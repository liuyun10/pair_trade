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9"/>
  </bookViews>
  <sheets>
    <sheet name="表紙-" sheetId="1" r:id="rId1"/>
    <sheet name="建玉管理" sheetId="2" r:id="rId2"/>
    <sheet name="取引履歴" sheetId="13" r:id="rId3"/>
    <sheet name="資産状況" sheetId="15" r:id="rId4"/>
    <sheet name="監視" sheetId="3" r:id="rId5"/>
    <sheet name="シミュレーション" sheetId="4" r:id="rId6"/>
    <sheet name="Search Result" sheetId="5" r:id="rId7"/>
    <sheet name="個別計算" sheetId="6" r:id="rId8"/>
    <sheet name="日経サヤ計算" sheetId="11" r:id="rId9"/>
    <sheet name="グラフ" sheetId="7" r:id="rId10"/>
    <sheet name="code" sheetId="8" r:id="rId11"/>
    <sheet name="元データ" sheetId="9" r:id="rId12"/>
    <sheet name="改訂欄" sheetId="10" r:id="rId13"/>
    <sheet name="Fee_Refer" sheetId="17" r:id="rId14"/>
    <sheet name="Faiue" sheetId="18" r:id="rId15"/>
    <sheet name="Fiscal_date" sheetId="19" r:id="rId16"/>
  </sheets>
  <functionGroups/>
  <definedNames>
    <definedName name="_xlnm._FilterDatabase" localSheetId="2" hidden="1">取引履歴!$B$3:$AC$23</definedName>
    <definedName name="_xlnm._FilterDatabase" localSheetId="11" hidden="1">元データ!$A$1:$AH$284</definedName>
  </definedNames>
  <calcPr calcId="125725"/>
</workbook>
</file>

<file path=xl/calcChain.xml><?xml version="1.0" encoding="utf-8"?>
<calcChain xmlns="http://schemas.openxmlformats.org/spreadsheetml/2006/main">
  <c r="AC26" i="13"/>
  <c r="P11" i="2"/>
  <c r="Q11" s="1"/>
  <c r="M11"/>
  <c r="J11"/>
  <c r="P10"/>
  <c r="M10"/>
  <c r="J10"/>
  <c r="C10"/>
  <c r="C26" i="13"/>
  <c r="J26"/>
  <c r="M26"/>
  <c r="P26"/>
  <c r="J27"/>
  <c r="M27"/>
  <c r="P27"/>
  <c r="Q27" s="1"/>
  <c r="C24"/>
  <c r="J24"/>
  <c r="M24"/>
  <c r="P24" s="1"/>
  <c r="Q24" s="1"/>
  <c r="J25"/>
  <c r="M25"/>
  <c r="P25" s="1"/>
  <c r="Q25" s="1"/>
  <c r="J8" i="2"/>
  <c r="J9"/>
  <c r="P9"/>
  <c r="M9"/>
  <c r="M8"/>
  <c r="P8" s="1"/>
  <c r="C8"/>
  <c r="AB22" i="13"/>
  <c r="AA22"/>
  <c r="M7" i="2"/>
  <c r="P7" s="1"/>
  <c r="J7"/>
  <c r="M6"/>
  <c r="P6" s="1"/>
  <c r="Q6" s="1"/>
  <c r="J6"/>
  <c r="C6"/>
  <c r="C22" i="13"/>
  <c r="J22"/>
  <c r="M22"/>
  <c r="P22" s="1"/>
  <c r="J23"/>
  <c r="M23"/>
  <c r="P23" s="1"/>
  <c r="M5" i="2"/>
  <c r="P5" s="1"/>
  <c r="J5"/>
  <c r="M4"/>
  <c r="P4" s="1"/>
  <c r="Q4" s="1"/>
  <c r="J4"/>
  <c r="C4"/>
  <c r="C20" i="13"/>
  <c r="J20"/>
  <c r="M20"/>
  <c r="P20" s="1"/>
  <c r="J21"/>
  <c r="M21"/>
  <c r="P21" s="1"/>
  <c r="AB18"/>
  <c r="AA18"/>
  <c r="M19"/>
  <c r="P19" s="1"/>
  <c r="J19"/>
  <c r="V18"/>
  <c r="M18"/>
  <c r="P18" s="1"/>
  <c r="J18"/>
  <c r="C18"/>
  <c r="AA14"/>
  <c r="AB14"/>
  <c r="AA16"/>
  <c r="AB16"/>
  <c r="M17"/>
  <c r="P17" s="1"/>
  <c r="Q17" s="1"/>
  <c r="J17"/>
  <c r="V16"/>
  <c r="M16"/>
  <c r="P16" s="1"/>
  <c r="J16"/>
  <c r="C16"/>
  <c r="M15"/>
  <c r="P15" s="1"/>
  <c r="J15"/>
  <c r="V14"/>
  <c r="M14"/>
  <c r="P14" s="1"/>
  <c r="J14"/>
  <c r="C14"/>
  <c r="C12"/>
  <c r="J12"/>
  <c r="M12"/>
  <c r="P12" s="1"/>
  <c r="J13"/>
  <c r="M13"/>
  <c r="P13" s="1"/>
  <c r="AA10"/>
  <c r="AB10"/>
  <c r="V10"/>
  <c r="P11"/>
  <c r="M11"/>
  <c r="J11"/>
  <c r="P10"/>
  <c r="M10"/>
  <c r="J10"/>
  <c r="C10"/>
  <c r="AB6"/>
  <c r="AB8"/>
  <c r="AB4"/>
  <c r="AA6"/>
  <c r="AA8"/>
  <c r="AA4"/>
  <c r="M9"/>
  <c r="P9" s="1"/>
  <c r="J9"/>
  <c r="V8"/>
  <c r="M8"/>
  <c r="P8" s="1"/>
  <c r="Q8" s="1"/>
  <c r="J8"/>
  <c r="C8"/>
  <c r="V6"/>
  <c r="V4"/>
  <c r="P1" i="2"/>
  <c r="U24" i="13" s="1"/>
  <c r="V24" s="1"/>
  <c r="R26" l="1"/>
  <c r="S26" s="1"/>
  <c r="R10" i="2"/>
  <c r="S10" s="1"/>
  <c r="Q10"/>
  <c r="U10"/>
  <c r="V10" s="1"/>
  <c r="Q26" i="13"/>
  <c r="U26"/>
  <c r="AB24"/>
  <c r="AA24"/>
  <c r="Q5" i="2"/>
  <c r="R24" i="13"/>
  <c r="Q8" i="2"/>
  <c r="R8"/>
  <c r="S8" s="1"/>
  <c r="Q9"/>
  <c r="U8"/>
  <c r="V8" s="1"/>
  <c r="Q19" i="13"/>
  <c r="Q23"/>
  <c r="Q15"/>
  <c r="Q20"/>
  <c r="Q21"/>
  <c r="Q7" i="2"/>
  <c r="U6"/>
  <c r="V6" s="1"/>
  <c r="R6"/>
  <c r="S6" s="1"/>
  <c r="R22" i="13"/>
  <c r="Q22"/>
  <c r="Q18"/>
  <c r="V22"/>
  <c r="R4" i="2"/>
  <c r="S4" s="1"/>
  <c r="U4"/>
  <c r="V4" s="1"/>
  <c r="R16" i="13"/>
  <c r="Q16"/>
  <c r="Q11"/>
  <c r="Q13"/>
  <c r="R20"/>
  <c r="Q9"/>
  <c r="R18"/>
  <c r="Q14"/>
  <c r="R14"/>
  <c r="R12"/>
  <c r="Q12"/>
  <c r="Q10"/>
  <c r="R8"/>
  <c r="S8" s="1"/>
  <c r="R10"/>
  <c r="J2" i="2"/>
  <c r="R6" i="13"/>
  <c r="R4"/>
  <c r="V26" l="1"/>
  <c r="AA26"/>
  <c r="AB26"/>
  <c r="S24"/>
  <c r="AC24"/>
  <c r="S22"/>
  <c r="AC22"/>
  <c r="S20"/>
  <c r="AC20"/>
  <c r="V20"/>
  <c r="AA20"/>
  <c r="AB20"/>
  <c r="S14"/>
  <c r="AC14"/>
  <c r="S18"/>
  <c r="AC18"/>
  <c r="S16"/>
  <c r="AC16"/>
  <c r="S12"/>
  <c r="AC12"/>
  <c r="V12"/>
  <c r="AA12"/>
  <c r="AB12"/>
  <c r="R2"/>
  <c r="S4"/>
  <c r="AC4"/>
  <c r="S6"/>
  <c r="AC6"/>
  <c r="AC8"/>
  <c r="S10"/>
  <c r="AC10"/>
  <c r="S2" i="2"/>
  <c r="R2"/>
</calcChain>
</file>

<file path=xl/sharedStrings.xml><?xml version="1.0" encoding="utf-8"?>
<sst xmlns="http://schemas.openxmlformats.org/spreadsheetml/2006/main" count="5662" uniqueCount="1241">
  <si>
    <t>サヤ</t>
    <phoneticPr fontId="1" type="noConversion"/>
  </si>
  <si>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</si>
  <si>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</si>
  <si>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</si>
  <si>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</si>
  <si>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</si>
  <si>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</si>
  <si>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</si>
  <si>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</si>
  <si>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</si>
  <si>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</si>
  <si>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</si>
  <si>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</si>
  <si>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</si>
  <si>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</si>
  <si>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</si>
  <si>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</si>
  <si>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</si>
  <si>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</si>
  <si>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</si>
  <si>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サヤ移動平均（σ）</t>
    <phoneticPr fontId="1" type="noConversion"/>
  </si>
  <si>
    <t>同業/異業</t>
    <phoneticPr fontId="1" type="noConversion"/>
  </si>
  <si>
    <t>銘柄名</t>
    <phoneticPr fontId="1" type="noConversion"/>
  </si>
  <si>
    <t>業種分類</t>
    <phoneticPr fontId="1" type="noConversion"/>
  </si>
  <si>
    <t>勝率</t>
    <phoneticPr fontId="1" type="noConversion"/>
  </si>
  <si>
    <t>１年間で最大サヤ</t>
    <phoneticPr fontId="1" type="noConversion"/>
  </si>
  <si>
    <t>今日時点のサヤ</t>
    <phoneticPr fontId="1" type="noConversion"/>
  </si>
  <si>
    <t>標準偏差</t>
    <phoneticPr fontId="1" type="noConversion"/>
  </si>
  <si>
    <t>サヤ移動平均（+1σ）</t>
    <phoneticPr fontId="1" type="noConversion"/>
  </si>
  <si>
    <t>指数（σ）</t>
    <phoneticPr fontId="1" type="noConversion"/>
  </si>
  <si>
    <t>売買指示</t>
    <phoneticPr fontId="1" type="noConversion"/>
  </si>
  <si>
    <t>売買金額</t>
    <phoneticPr fontId="1" type="noConversion"/>
  </si>
  <si>
    <t>売り　６，０００</t>
    <phoneticPr fontId="1" type="noConversion"/>
  </si>
  <si>
    <t>株価１（今日）</t>
    <phoneticPr fontId="1" type="noConversion"/>
  </si>
  <si>
    <t>株価２（今日）</t>
    <phoneticPr fontId="1" type="noConversion"/>
  </si>
  <si>
    <t>銘柄コード２</t>
    <phoneticPr fontId="1" type="noConversion"/>
  </si>
  <si>
    <t>銘柄１の株価</t>
    <phoneticPr fontId="1" type="noConversion"/>
  </si>
  <si>
    <t>銘柄２の株価</t>
    <phoneticPr fontId="1" type="noConversion"/>
  </si>
  <si>
    <t>銘柄１の変動率</t>
    <phoneticPr fontId="1" type="noConversion"/>
  </si>
  <si>
    <t>銘柄２の変動率</t>
    <phoneticPr fontId="1" type="noConversion"/>
  </si>
  <si>
    <t>銘柄１－２</t>
    <phoneticPr fontId="1" type="noConversion"/>
  </si>
  <si>
    <t>バッグテスト収益率</t>
    <phoneticPr fontId="1" type="noConversion"/>
  </si>
  <si>
    <t>勝ち回数</t>
    <phoneticPr fontId="1" type="noConversion"/>
  </si>
  <si>
    <t>負け回数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</si>
  <si>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</si>
  <si>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</si>
  <si>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</si>
  <si>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</si>
  <si>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</si>
  <si>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SYM_B_NAME</t>
  </si>
  <si>
    <t>アルプスアルパイン</t>
  </si>
  <si>
    <t>コンコルディア・フィナンシャルグループ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</si>
  <si>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</si>
  <si>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</si>
  <si>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</si>
  <si>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</si>
  <si>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</si>
  <si>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</si>
  <si>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</si>
  <si>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</si>
  <si>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</si>
  <si>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</si>
  <si>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</si>
  <si>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</si>
  <si>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</si>
  <si>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</si>
  <si>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SYM_B_INDUSTRY</t>
  </si>
  <si>
    <t>OPEN_B</t>
  </si>
  <si>
    <t>CLOSE_B</t>
  </si>
  <si>
    <t>PAIR_LOT_SIZE</t>
  </si>
  <si>
    <t>TRADE_B</t>
  </si>
  <si>
    <t>CORR_3M</t>
  </si>
  <si>
    <t>CORR_1Y</t>
  </si>
  <si>
    <t>COINT_3M</t>
  </si>
  <si>
    <t>COINT_1Y</t>
  </si>
  <si>
    <t>ABS_SIGMA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</si>
  <si>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</si>
  <si>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</si>
  <si>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</si>
  <si>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</si>
  <si>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</si>
  <si>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</si>
  <si>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</si>
  <si>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</si>
  <si>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</si>
  <si>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</si>
  <si>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BUY</t>
  </si>
  <si>
    <t>化学</t>
  </si>
  <si>
    <t>SELL</t>
  </si>
  <si>
    <t>三越伊勢丹ホールディングス</t>
  </si>
  <si>
    <t>王子ホールディングス</t>
  </si>
  <si>
    <t>マスタファイル</t>
    <phoneticPr fontId="1" type="noConversion"/>
  </si>
  <si>
    <t>G:\Stock\pairs_trade\pair_trade\stock_data</t>
    <phoneticPr fontId="1" type="noConversion"/>
  </si>
  <si>
    <t>G:\Stock\pairs_trade\pair_trade\stock_data\master\master.csv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</si>
  <si>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</si>
  <si>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</si>
  <si>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</si>
  <si>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</si>
  <si>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</si>
  <si>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</si>
  <si>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</si>
  <si>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SIGMA</t>
  </si>
  <si>
    <t>stop_profit_times</t>
  </si>
  <si>
    <t>stop_loss_times</t>
  </si>
  <si>
    <t>max_day_over_times</t>
  </si>
  <si>
    <t>建設業</t>
  </si>
  <si>
    <t>スカパーＪＳＡＴホールディングス</t>
  </si>
  <si>
    <t>情報・通信業</t>
  </si>
  <si>
    <t>パルプ・紙</t>
  </si>
  <si>
    <t>西日本フィナンシャルホールディングス</t>
  </si>
  <si>
    <t>銀行業</t>
  </si>
  <si>
    <t>エクセディ</t>
  </si>
  <si>
    <t>輸送用機器</t>
  </si>
  <si>
    <t>コーエーテクモホールディングス</t>
  </si>
  <si>
    <t>レーザーテック</t>
  </si>
  <si>
    <t>電気機器</t>
  </si>
  <si>
    <t>三菱瓦斯化学</t>
  </si>
  <si>
    <t>その他製品</t>
  </si>
  <si>
    <t>ダイセル</t>
  </si>
  <si>
    <t>日清紡ホールディングス</t>
  </si>
  <si>
    <t>東海理化電機製作所</t>
  </si>
  <si>
    <t>鉄鋼</t>
  </si>
  <si>
    <t>精密機器</t>
  </si>
  <si>
    <t>ほくほくフィナンシャルグループ</t>
  </si>
  <si>
    <t>小売業</t>
  </si>
  <si>
    <t>日本たばこ産業</t>
  </si>
  <si>
    <t>食料品</t>
  </si>
  <si>
    <t>宇部興産</t>
  </si>
  <si>
    <t>機械</t>
  </si>
  <si>
    <t>めぶきフィナンシャルグループ</t>
  </si>
  <si>
    <t>卸売業</t>
  </si>
  <si>
    <t>りそなホールディングス</t>
  </si>
  <si>
    <t>住友林業</t>
  </si>
  <si>
    <t>良品計画</t>
  </si>
  <si>
    <t>パナソニック</t>
  </si>
  <si>
    <t>ガラス・土石製品</t>
  </si>
  <si>
    <t>シチズン時計</t>
  </si>
  <si>
    <t>椿本チエイン</t>
  </si>
  <si>
    <t>小松製作所</t>
  </si>
  <si>
    <t>保険業</t>
  </si>
  <si>
    <t>戸田建設</t>
  </si>
  <si>
    <t>スタンレー電気</t>
  </si>
  <si>
    <t>飯田グループホールディングス</t>
  </si>
  <si>
    <t>不動産業</t>
  </si>
  <si>
    <t>日本発條</t>
  </si>
  <si>
    <t>金属製品</t>
  </si>
  <si>
    <t>日野自動車</t>
  </si>
  <si>
    <t>本田技研工業</t>
  </si>
  <si>
    <t>陸運業</t>
  </si>
  <si>
    <t>サービス業</t>
  </si>
  <si>
    <t>みずほフィナンシャルグループ</t>
  </si>
  <si>
    <t>西松建設</t>
  </si>
  <si>
    <t>デンカ</t>
  </si>
  <si>
    <t>オムロン</t>
  </si>
  <si>
    <t>パイロットコーポレーション</t>
  </si>
  <si>
    <t>北陸電力</t>
  </si>
  <si>
    <t>電気・ガス業</t>
  </si>
  <si>
    <t>トヨタ紡織</t>
  </si>
  <si>
    <t>ニッコンホールディングス</t>
  </si>
  <si>
    <t>日鉄物産</t>
  </si>
  <si>
    <t>住友ゴム工業</t>
  </si>
  <si>
    <t>ゴム製品</t>
  </si>
  <si>
    <t>日揮</t>
  </si>
  <si>
    <t>住友電気工業</t>
  </si>
  <si>
    <t>非鉄金属</t>
  </si>
  <si>
    <t>日本ペイントホールディングス</t>
  </si>
  <si>
    <t>ジェイテクト</t>
  </si>
  <si>
    <t>ゆうちょ銀行</t>
  </si>
  <si>
    <t>ＮＴＮ</t>
  </si>
  <si>
    <t>Ｔ＆Ｄホールディングス</t>
  </si>
  <si>
    <t>医薬品</t>
  </si>
  <si>
    <t>かんぽ生命保険</t>
  </si>
  <si>
    <t>日本精工</t>
  </si>
  <si>
    <t>日東電工</t>
  </si>
  <si>
    <t>東洋インキＳＣホールディングス</t>
  </si>
  <si>
    <t>第四北越フィナンシャルグループ</t>
  </si>
  <si>
    <t>丸一鋼管</t>
  </si>
  <si>
    <t>太平洋セメント</t>
  </si>
  <si>
    <t>三菱ＵＦＪフィナンシャル・グループ</t>
  </si>
  <si>
    <t>銘柄コード１</t>
    <phoneticPr fontId="1" type="noConversion"/>
  </si>
  <si>
    <t>決済</t>
    <phoneticPr fontId="1" type="noConversion"/>
  </si>
  <si>
    <t>現物</t>
    <phoneticPr fontId="1" type="noConversion"/>
  </si>
  <si>
    <t>選択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</si>
  <si>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</si>
  <si>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</si>
  <si>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</si>
  <si>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</si>
  <si>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</si>
  <si>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</si>
  <si>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</si>
  <si>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</si>
  <si>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</si>
  <si>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</si>
  <si>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</si>
  <si>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</si>
  <si>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現物</t>
    <phoneticPr fontId="1" type="noConversion"/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</si>
  <si>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</si>
  <si>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</si>
  <si>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</si>
  <si>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</si>
  <si>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</si>
  <si>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</si>
  <si>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</si>
  <si>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</si>
  <si>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</si>
  <si>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</si>
  <si>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</si>
  <si>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</si>
  <si>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</si>
  <si>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</si>
  <si>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</si>
  <si>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</si>
  <si>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</si>
  <si>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</si>
  <si>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</si>
  <si>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</si>
  <si>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</si>
  <si>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</si>
  <si>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</si>
  <si>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</si>
  <si>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</si>
  <si>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</si>
  <si>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</si>
  <si>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</si>
  <si>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</si>
  <si>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</si>
  <si>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</si>
  <si>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</si>
  <si>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</si>
  <si>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</si>
  <si>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</si>
  <si>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</si>
  <si>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</si>
  <si>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</si>
  <si>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</si>
  <si>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</si>
  <si>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</si>
  <si>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</si>
  <si>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</si>
  <si>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</si>
  <si>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</si>
  <si>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</si>
  <si>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</si>
  <si>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</si>
  <si>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</si>
  <si>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</si>
  <si>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</si>
  <si>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</si>
  <si>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</si>
  <si>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</si>
  <si>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</si>
  <si>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</si>
  <si>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</si>
  <si>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</si>
  <si>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</si>
  <si>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</si>
  <si>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</si>
  <si>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</si>
  <si>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</si>
  <si>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</si>
  <si>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</si>
  <si>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</si>
  <si>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</si>
  <si>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</si>
  <si>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</si>
  <si>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</si>
  <si>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</si>
  <si>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</si>
  <si>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買方金利</t>
  </si>
  <si>
    <t>（年率）</t>
  </si>
  <si>
    <t>通常</t>
  </si>
  <si>
    <t>：2.80％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</si>
  <si>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</si>
  <si>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</si>
  <si>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</si>
  <si>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</si>
  <si>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</si>
  <si>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</si>
  <si>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</si>
  <si>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</si>
  <si>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</si>
  <si>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</si>
  <si>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</si>
  <si>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</si>
  <si>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</si>
  <si>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</si>
  <si>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</si>
  <si>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</si>
  <si>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</si>
  <si>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</si>
  <si>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</si>
  <si>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</si>
  <si>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</si>
  <si>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</si>
  <si>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</si>
  <si>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</si>
  <si>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</si>
  <si>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</si>
  <si>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</si>
  <si>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</si>
  <si>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</si>
  <si>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</si>
  <si>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</si>
  <si>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</si>
  <si>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</si>
  <si>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</si>
  <si>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r>
      <t xml:space="preserve">OVRE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</si>
  <si>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</si>
  <si>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</si>
  <si>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</si>
  <si>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</si>
  <si>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</si>
  <si>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</si>
  <si>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</si>
  <si>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</si>
  <si>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DATE</t>
  </si>
  <si>
    <t>saya_divide</t>
  </si>
  <si>
    <t>saya_divide_mean</t>
  </si>
  <si>
    <t>saya_divide_std</t>
  </si>
  <si>
    <t>saya_divide_sigma</t>
  </si>
  <si>
    <t>deviation_rate(%)</t>
  </si>
  <si>
    <t>RAW DATA</t>
    <phoneticPr fontId="1" type="noConversion"/>
  </si>
  <si>
    <t>+1-Sigama</t>
  </si>
  <si>
    <t>-1-Sigama</t>
  </si>
  <si>
    <t>+2-Sigama</t>
  </si>
  <si>
    <t>-2-Sigama</t>
  </si>
  <si>
    <t>STOP LOSS</t>
    <phoneticPr fontId="1" type="noConversion"/>
  </si>
  <si>
    <t>銘柄１（売り銘柄）</t>
  </si>
  <si>
    <t>銘柄２（買い銘柄）</t>
  </si>
  <si>
    <t>シグマ</t>
  </si>
  <si>
    <t>バックテスト</t>
  </si>
  <si>
    <t>相関</t>
  </si>
  <si>
    <t>Code</t>
  </si>
  <si>
    <t>Name</t>
  </si>
  <si>
    <t>業種</t>
  </si>
  <si>
    <t>Price</t>
  </si>
  <si>
    <t>Lot</t>
  </si>
  <si>
    <t>σ</t>
  </si>
  <si>
    <t>離率</t>
  </si>
  <si>
    <t>Mount1</t>
  </si>
  <si>
    <t>Mount2</t>
  </si>
  <si>
    <t>差分</t>
  </si>
  <si>
    <t>Total Profit</t>
  </si>
  <si>
    <t>Ave Profit</t>
  </si>
  <si>
    <t>Total 
Times</t>
  </si>
  <si>
    <t>Profit
Times</t>
  </si>
  <si>
    <t>ST/SP/OM</t>
  </si>
  <si>
    <t>PL</t>
  </si>
  <si>
    <t>Open
Days</t>
  </si>
  <si>
    <t>CORR
3M</t>
  </si>
  <si>
    <t>CORR
1Y</t>
  </si>
  <si>
    <t>Coint 
3M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</si>
  <si>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</si>
  <si>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</si>
  <si>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</si>
  <si>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</si>
  <si>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その他金融業</t>
  </si>
  <si>
    <t>クリエイトＳＤホールディングス</t>
  </si>
  <si>
    <t>ヤマハ発動機</t>
  </si>
  <si>
    <t>ニプロ</t>
  </si>
  <si>
    <t>セブン銀行</t>
  </si>
  <si>
    <t>三井化学</t>
  </si>
  <si>
    <t>日本特殊陶業</t>
  </si>
  <si>
    <t>積水ハウス</t>
  </si>
  <si>
    <t>大同特殊鋼</t>
  </si>
  <si>
    <t>クリエイト・レストランツ・ホールディングス</t>
  </si>
  <si>
    <t>イオン</t>
  </si>
  <si>
    <t>日本軽金属ホールディングス</t>
  </si>
  <si>
    <t>SYM_A</t>
  </si>
  <si>
    <t>アズビル</t>
  </si>
  <si>
    <t>牧野フライス製作所</t>
  </si>
  <si>
    <t>田辺三菱製薬</t>
  </si>
  <si>
    <t>新光電気工業</t>
  </si>
  <si>
    <t>ＮＥＣネッツエスアイ</t>
  </si>
  <si>
    <t>三菱ＵＦＪリース</t>
  </si>
  <si>
    <t>前田建設工業</t>
  </si>
  <si>
    <t>ウシオ電機</t>
  </si>
  <si>
    <t>グローリー</t>
  </si>
  <si>
    <t>不二越</t>
  </si>
  <si>
    <t>三菱電機</t>
  </si>
  <si>
    <t>ＡＤＥＫＡ</t>
  </si>
  <si>
    <t>ヤオコー</t>
  </si>
  <si>
    <t>ディップ</t>
  </si>
  <si>
    <t>バローホールディングス</t>
  </si>
  <si>
    <t>興銀リース</t>
  </si>
  <si>
    <t>関西ペイント</t>
  </si>
  <si>
    <t>日立ハイテクノロジーズ</t>
  </si>
  <si>
    <t>東洋製罐グループホールディングス</t>
  </si>
  <si>
    <t>寿スピリッツ</t>
  </si>
  <si>
    <t>日本新薬</t>
  </si>
  <si>
    <t>日本電子</t>
  </si>
  <si>
    <t>三井金属鉱業</t>
  </si>
  <si>
    <t>オークマ</t>
  </si>
  <si>
    <t>相鉄ホールディングス</t>
  </si>
  <si>
    <t>積水化学工業</t>
  </si>
  <si>
    <t>リンナイ</t>
  </si>
  <si>
    <t>イビデン</t>
  </si>
  <si>
    <t>現物</t>
    <phoneticPr fontId="1" type="noConversion"/>
  </si>
  <si>
    <t>現物</t>
    <phoneticPr fontId="1" type="noConversion"/>
  </si>
  <si>
    <t>エス・エム・エス</t>
  </si>
  <si>
    <t>クミアイ化学工業</t>
  </si>
  <si>
    <t>マルハニチロ</t>
  </si>
  <si>
    <t>水産・農林業</t>
  </si>
  <si>
    <t>カチタス</t>
  </si>
  <si>
    <t>トヨタ自動車</t>
  </si>
  <si>
    <t>東ソー</t>
  </si>
  <si>
    <t>ジーエス・ユアサ　コーポレーション</t>
  </si>
  <si>
    <t>堀場製作所</t>
  </si>
  <si>
    <t>富士通ゼネラル</t>
  </si>
  <si>
    <t>富士通</t>
  </si>
  <si>
    <t>ＴＨＫ</t>
  </si>
  <si>
    <t>3/5/5</t>
  </si>
  <si>
    <t>ニチアス</t>
  </si>
  <si>
    <t>スギホールディングス</t>
  </si>
  <si>
    <t>日本碍子</t>
  </si>
  <si>
    <t>日本航空電子工業</t>
  </si>
  <si>
    <t>ショーワ</t>
  </si>
  <si>
    <t>ＮＴＴドコモ</t>
  </si>
  <si>
    <t>日本空港ビルデング</t>
  </si>
  <si>
    <t>神戸物産</t>
  </si>
  <si>
    <t>リクルートホールディングス</t>
  </si>
  <si>
    <t>Max</t>
    <phoneticPr fontId="1" type="noConversion"/>
  </si>
  <si>
    <t>Min</t>
    <phoneticPr fontId="1" type="noConversion"/>
  </si>
  <si>
    <t>決算日</t>
    <phoneticPr fontId="1" type="noConversion"/>
  </si>
  <si>
    <t>決算日</t>
    <phoneticPr fontId="1" type="noConversion"/>
  </si>
  <si>
    <t>G:\Stock\pairs_trade\pair_trade\stock_data\master\fiscal_data.csv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</si>
  <si>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</si>
  <si>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</si>
  <si>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</si>
  <si>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</si>
  <si>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</si>
  <si>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</si>
  <si>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</si>
  <si>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</si>
  <si>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</si>
  <si>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</si>
  <si>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</si>
  <si>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</si>
  <si>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</si>
  <si>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</si>
  <si>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</si>
  <si>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11/27</t>
  </si>
  <si>
    <t xml:space="preserve"> 1Q</t>
  </si>
  <si>
    <t xml:space="preserve"> 単</t>
  </si>
  <si>
    <t xml:space="preserve"> プラネット</t>
  </si>
  <si>
    <t xml:space="preserve"> JQ</t>
  </si>
  <si>
    <t xml:space="preserve"> サービス業</t>
  </si>
  <si>
    <t xml:space="preserve"> タカショー</t>
  </si>
  <si>
    <t xml:space="preserve"> 卸売業</t>
  </si>
  <si>
    <t xml:space="preserve"> 11/28</t>
  </si>
  <si>
    <t xml:space="preserve"> 本</t>
  </si>
  <si>
    <t xml:space="preserve"> ギグワークス</t>
  </si>
  <si>
    <t xml:space="preserve"> 東2</t>
  </si>
  <si>
    <t xml:space="preserve"> 菱洋エレク</t>
  </si>
  <si>
    <t xml:space="preserve"> 11/29</t>
  </si>
  <si>
    <t xml:space="preserve"> 2Q</t>
  </si>
  <si>
    <t xml:space="preserve"> 東和フード</t>
  </si>
  <si>
    <t xml:space="preserve"> 小売業</t>
  </si>
  <si>
    <t xml:space="preserve"> 大和コン</t>
  </si>
  <si>
    <t xml:space="preserve"> 情報・通信業</t>
  </si>
  <si>
    <t xml:space="preserve"> はてな</t>
  </si>
  <si>
    <t xml:space="preserve"> マザ</t>
  </si>
  <si>
    <t xml:space="preserve"> トリケミカル</t>
  </si>
  <si>
    <t xml:space="preserve"> 化学</t>
  </si>
  <si>
    <t xml:space="preserve"> ウチダエスコ</t>
  </si>
  <si>
    <t xml:space="preserve"> キタック</t>
  </si>
  <si>
    <t xml:space="preserve"> ダイサン</t>
  </si>
  <si>
    <t xml:space="preserve"> ACCESS</t>
  </si>
  <si>
    <t xml:space="preserve"> 共和工業</t>
  </si>
  <si>
    <t xml:space="preserve"> 金属製品</t>
  </si>
  <si>
    <t xml:space="preserve"> 内田洋</t>
  </si>
  <si>
    <t xml:space="preserve"> 12/2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</si>
  <si>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</si>
  <si>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</si>
  <si>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</si>
  <si>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</si>
  <si>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</si>
  <si>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</si>
  <si>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ピープル</t>
  </si>
  <si>
    <t xml:space="preserve"> その他製品</t>
  </si>
  <si>
    <t xml:space="preserve"> 12/3</t>
  </si>
  <si>
    <t xml:space="preserve"> アインHD</t>
  </si>
  <si>
    <t>" 2</t>
  </si>
  <si>
    <t xml:space="preserve"> 12/4</t>
  </si>
  <si>
    <t xml:space="preserve"> 15:30</t>
  </si>
  <si>
    <t xml:space="preserve"> オリバー</t>
  </si>
  <si>
    <t xml:space="preserve"> モロゾフ</t>
  </si>
  <si>
    <t xml:space="preserve"> ティーライフ</t>
  </si>
  <si>
    <t xml:space="preserve"> Link-U</t>
  </si>
  <si>
    <t xml:space="preserve"> 不二電機</t>
  </si>
  <si>
    <t xml:space="preserve"> 電気機器</t>
  </si>
  <si>
    <t xml:space="preserve"> 楽天地</t>
  </si>
  <si>
    <t xml:space="preserve"> 不動産業</t>
  </si>
  <si>
    <t xml:space="preserve"> 12/5</t>
  </si>
  <si>
    <t xml:space="preserve"> ファーマフーズ</t>
  </si>
  <si>
    <t xml:space="preserve"> ラクーンHD</t>
  </si>
  <si>
    <t xml:space="preserve"> アルチザ</t>
  </si>
  <si>
    <t xml:space="preserve"> スバル興</t>
  </si>
  <si>
    <t xml:space="preserve"> 12/6</t>
  </si>
  <si>
    <t xml:space="preserve"> 積水ハウス</t>
  </si>
  <si>
    <t xml:space="preserve"> 建設業</t>
  </si>
  <si>
    <t>" 16</t>
  </si>
  <si>
    <t>487"</t>
  </si>
  <si>
    <t xml:space="preserve"> 日　駐</t>
  </si>
  <si>
    <t xml:space="preserve"> ケア２１</t>
  </si>
  <si>
    <t xml:space="preserve"> 鳥貴族</t>
  </si>
  <si>
    <t xml:space="preserve"> ポールHD</t>
  </si>
  <si>
    <t xml:space="preserve"> エイチーム</t>
  </si>
  <si>
    <t xml:space="preserve"> ソフトウェアサー</t>
  </si>
  <si>
    <t xml:space="preserve"> アイル</t>
  </si>
  <si>
    <t xml:space="preserve"> ｇｕｍｉ</t>
  </si>
  <si>
    <t xml:space="preserve"> ユークス</t>
  </si>
  <si>
    <t xml:space="preserve"> HEROZ</t>
  </si>
  <si>
    <t xml:space="preserve"> 日本スキー</t>
  </si>
  <si>
    <t xml:space="preserve"> 巴工業</t>
  </si>
  <si>
    <t xml:space="preserve"> インスペック</t>
  </si>
  <si>
    <t xml:space="preserve"> トミタ電機</t>
  </si>
  <si>
    <t xml:space="preserve"> エイケン工業</t>
  </si>
  <si>
    <t xml:space="preserve"> 輸送用機器</t>
  </si>
  <si>
    <t xml:space="preserve"> トップカルチャ</t>
  </si>
  <si>
    <t xml:space="preserve"> 光・彩</t>
  </si>
  <si>
    <t xml:space="preserve"> カナモト</t>
  </si>
  <si>
    <t>" 1</t>
  </si>
  <si>
    <t xml:space="preserve"> 精養軒</t>
  </si>
  <si>
    <t xml:space="preserve"> 丹青社</t>
  </si>
  <si>
    <t xml:space="preserve"> 12/9</t>
  </si>
  <si>
    <t xml:space="preserve"> 16:00</t>
  </si>
  <si>
    <t xml:space="preserve"> アルトナー</t>
  </si>
  <si>
    <t xml:space="preserve"> 学　情</t>
  </si>
  <si>
    <t xml:space="preserve"> ストリーム</t>
  </si>
  <si>
    <t xml:space="preserve"> Bガレージ</t>
  </si>
  <si>
    <t xml:space="preserve"> GA TECH</t>
  </si>
  <si>
    <t xml:space="preserve"> 日東網</t>
  </si>
  <si>
    <t xml:space="preserve"> 繊維製品</t>
  </si>
  <si>
    <t xml:space="preserve"> イムラ封筒</t>
  </si>
  <si>
    <t xml:space="preserve"> パルプ・紙</t>
  </si>
  <si>
    <t xml:space="preserve"> ミライアル</t>
  </si>
  <si>
    <t xml:space="preserve"> ライクキッズ</t>
  </si>
  <si>
    <t xml:space="preserve"> Ｃａｓａ</t>
  </si>
  <si>
    <t xml:space="preserve"> その他金融業</t>
  </si>
  <si>
    <t xml:space="preserve"> Ｂ＆Ｐ</t>
  </si>
  <si>
    <t xml:space="preserve"> 萩原工業</t>
  </si>
  <si>
    <t xml:space="preserve"> 泉州電</t>
  </si>
  <si>
    <t xml:space="preserve"> 12/10</t>
  </si>
  <si>
    <t xml:space="preserve"> ベステラ</t>
  </si>
  <si>
    <t xml:space="preserve"> 大盛工業</t>
  </si>
  <si>
    <t xml:space="preserve"> アスカネット</t>
  </si>
  <si>
    <t xml:space="preserve"> テンポスHD</t>
  </si>
  <si>
    <t xml:space="preserve"> サトウ食品</t>
  </si>
  <si>
    <t xml:space="preserve"> アマガサ</t>
  </si>
  <si>
    <t xml:space="preserve"> アールエイジ</t>
  </si>
  <si>
    <t xml:space="preserve"> 山岡家</t>
  </si>
  <si>
    <t xml:space="preserve"> グッドコムA</t>
  </si>
  <si>
    <t xml:space="preserve"> Ｒみらい</t>
  </si>
  <si>
    <t xml:space="preserve"> 東証</t>
  </si>
  <si>
    <t xml:space="preserve"> ETF・REIT等</t>
  </si>
  <si>
    <t xml:space="preserve"> SYSHD</t>
  </si>
  <si>
    <t xml:space="preserve"> トビラシステム</t>
  </si>
  <si>
    <t xml:space="preserve"> サムコ</t>
  </si>
  <si>
    <t xml:space="preserve"> トランザス</t>
  </si>
  <si>
    <t xml:space="preserve"> マツモト</t>
  </si>
  <si>
    <t xml:space="preserve"> トーホー</t>
  </si>
  <si>
    <t xml:space="preserve"> シルバーライフ</t>
  </si>
  <si>
    <t xml:space="preserve"> きんえい</t>
  </si>
  <si>
    <t xml:space="preserve"> シーイーシー</t>
  </si>
  <si>
    <t xml:space="preserve"> 12/11</t>
  </si>
  <si>
    <t xml:space="preserve"> 太洋基礎</t>
  </si>
  <si>
    <t xml:space="preserve"> Hamee</t>
  </si>
  <si>
    <t xml:space="preserve"> アゼアス</t>
  </si>
  <si>
    <t xml:space="preserve"> クロスプラス</t>
  </si>
  <si>
    <t xml:space="preserve"> 菊池製作</t>
  </si>
  <si>
    <t xml:space="preserve"> シーアールイー</t>
  </si>
  <si>
    <t xml:space="preserve"> JPNミート</t>
  </si>
  <si>
    <t xml:space="preserve"> アセンテック</t>
  </si>
  <si>
    <t xml:space="preserve"> 神島化</t>
  </si>
  <si>
    <t xml:space="preserve"> ｶﾞﾗｽ土石製品</t>
  </si>
  <si>
    <t xml:space="preserve"> ハウテレビ</t>
  </si>
  <si>
    <t xml:space="preserve"> 12/12</t>
  </si>
  <si>
    <t xml:space="preserve"> くら寿司</t>
  </si>
  <si>
    <t xml:space="preserve"> 銚子丸</t>
  </si>
  <si>
    <t xml:space="preserve"> ミサワ</t>
  </si>
  <si>
    <t xml:space="preserve"> トーエル</t>
  </si>
  <si>
    <t xml:space="preserve"> バルニバーヒ</t>
  </si>
  <si>
    <t xml:space="preserve"> クスリのアオキ</t>
  </si>
  <si>
    <t xml:space="preserve"> TBCSCAT</t>
  </si>
  <si>
    <t xml:space="preserve"> シャノン</t>
  </si>
  <si>
    <t xml:space="preserve"> ラクスル</t>
  </si>
  <si>
    <t xml:space="preserve"> VALUENEX</t>
  </si>
  <si>
    <t xml:space="preserve"> セルソース</t>
  </si>
  <si>
    <t xml:space="preserve"> 医薬品</t>
  </si>
  <si>
    <t xml:space="preserve"> オハラ</t>
  </si>
  <si>
    <t xml:space="preserve"> ファーストロジ</t>
  </si>
  <si>
    <t xml:space="preserve"> 鎌倉新書</t>
  </si>
  <si>
    <t xml:space="preserve"> 石井表記</t>
  </si>
  <si>
    <t xml:space="preserve"> アイモバイル</t>
  </si>
  <si>
    <t xml:space="preserve"> 三井ハイテ</t>
  </si>
  <si>
    <t xml:space="preserve"> フロンティアI</t>
  </si>
  <si>
    <t xml:space="preserve"> オーエムツー</t>
  </si>
  <si>
    <t xml:space="preserve"> サンオータス</t>
  </si>
  <si>
    <t xml:space="preserve"> 小林産</t>
  </si>
  <si>
    <t xml:space="preserve"> REVOLUTI</t>
  </si>
  <si>
    <t xml:space="preserve"> 日本テレホン</t>
  </si>
  <si>
    <t xml:space="preserve"> エイチ・アイエス</t>
  </si>
  <si>
    <t>034"</t>
  </si>
  <si>
    <t xml:space="preserve"> ドーム</t>
  </si>
  <si>
    <t xml:space="preserve"> 12/13</t>
  </si>
  <si>
    <t xml:space="preserve"> Ｍマート</t>
  </si>
  <si>
    <t xml:space="preserve"> ベルグアース</t>
  </si>
  <si>
    <t xml:space="preserve"> 水産・農林業</t>
  </si>
  <si>
    <t xml:space="preserve"> フィット</t>
  </si>
  <si>
    <t xml:space="preserve"> 土屋ＨＤ</t>
  </si>
  <si>
    <t xml:space="preserve"> 日ハウスHD</t>
  </si>
  <si>
    <t xml:space="preserve"> フルスピード</t>
  </si>
  <si>
    <t xml:space="preserve"> アイ・ケイ・ケイ</t>
  </si>
  <si>
    <t xml:space="preserve"> アイスタディ</t>
  </si>
  <si>
    <t xml:space="preserve"> ブラス</t>
  </si>
  <si>
    <t xml:space="preserve"> 新都ＨＤ</t>
  </si>
  <si>
    <t xml:space="preserve"> ツクルバ</t>
  </si>
  <si>
    <t xml:space="preserve"> 神戸物産</t>
  </si>
  <si>
    <t>" 4</t>
  </si>
  <si>
    <t xml:space="preserve"> 丸善CHI</t>
  </si>
  <si>
    <t xml:space="preserve"> ジェネパ</t>
  </si>
  <si>
    <t xml:space="preserve"> 積水ハウスR</t>
  </si>
  <si>
    <t xml:space="preserve"> 稲葉製作</t>
  </si>
  <si>
    <t xml:space="preserve"> J.S.B.</t>
  </si>
  <si>
    <t xml:space="preserve"> リーガル不</t>
  </si>
  <si>
    <t xml:space="preserve"> モルフォ</t>
  </si>
  <si>
    <t xml:space="preserve"> エニグモ</t>
  </si>
  <si>
    <t xml:space="preserve"> フリービット</t>
  </si>
  <si>
    <t xml:space="preserve"> ネオジャパン</t>
  </si>
  <si>
    <t xml:space="preserve"> バリュゴルフ</t>
  </si>
  <si>
    <t xml:space="preserve"> SKIYAKI</t>
  </si>
  <si>
    <t xml:space="preserve"> ジャストプラ</t>
  </si>
  <si>
    <t xml:space="preserve"> スマレジ</t>
  </si>
  <si>
    <t xml:space="preserve"> サンバイオ</t>
  </si>
  <si>
    <t xml:space="preserve"> ステムリム</t>
  </si>
  <si>
    <t xml:space="preserve"> ナトコ</t>
  </si>
  <si>
    <t xml:space="preserve"> クミアイ化</t>
  </si>
  <si>
    <t xml:space="preserve"> イトクロ</t>
  </si>
  <si>
    <t xml:space="preserve"> ウエスコHD</t>
  </si>
  <si>
    <t xml:space="preserve"> HyAS&amp;Co.</t>
  </si>
  <si>
    <t xml:space="preserve"> ベストワン</t>
  </si>
  <si>
    <t xml:space="preserve"> ヤーマン</t>
  </si>
  <si>
    <t xml:space="preserve"> ウインテスト</t>
  </si>
  <si>
    <t xml:space="preserve"> ＭＳＯＬ</t>
  </si>
  <si>
    <t xml:space="preserve"> ジェイック</t>
  </si>
  <si>
    <t xml:space="preserve"> ハイレックス</t>
  </si>
  <si>
    <t xml:space="preserve"> 梅の花</t>
  </si>
  <si>
    <t xml:space="preserve"> フジコーポ</t>
  </si>
  <si>
    <t xml:space="preserve"> 浜木綿</t>
  </si>
  <si>
    <t xml:space="preserve"> ダブルエー</t>
  </si>
  <si>
    <t xml:space="preserve"> ブシロード</t>
  </si>
  <si>
    <t xml:space="preserve"> プリントネット</t>
  </si>
  <si>
    <t xml:space="preserve"> クロスフォー</t>
  </si>
  <si>
    <t xml:space="preserve"> オービス</t>
  </si>
  <si>
    <t xml:space="preserve"> 総合商研</t>
  </si>
  <si>
    <t xml:space="preserve"> MICS化学</t>
  </si>
  <si>
    <t xml:space="preserve"> ミロク</t>
  </si>
  <si>
    <t xml:space="preserve"> ナイガイ</t>
  </si>
  <si>
    <t xml:space="preserve"> 正栄食</t>
  </si>
  <si>
    <t xml:space="preserve"> ファースト住</t>
  </si>
  <si>
    <t xml:space="preserve"> アルデプロ</t>
  </si>
  <si>
    <t xml:space="preserve"> 明豊エンター</t>
  </si>
  <si>
    <t xml:space="preserve"> いちごオフ</t>
  </si>
  <si>
    <t xml:space="preserve"> スターツPR</t>
  </si>
  <si>
    <t xml:space="preserve"> ギフト</t>
  </si>
  <si>
    <t xml:space="preserve"> ＯＳ映</t>
  </si>
  <si>
    <t xml:space="preserve"> 12/16</t>
  </si>
  <si>
    <t xml:space="preserve"> プロレド</t>
  </si>
  <si>
    <t xml:space="preserve"> 星野ＲＲ</t>
  </si>
  <si>
    <t xml:space="preserve"> インベスコ</t>
  </si>
  <si>
    <t xml:space="preserve"> トーセイ・リート</t>
  </si>
  <si>
    <t xml:space="preserve"> システムディ</t>
  </si>
  <si>
    <t xml:space="preserve"> パーク24</t>
  </si>
  <si>
    <t>039"</t>
  </si>
  <si>
    <t xml:space="preserve"> ウイルコHD</t>
  </si>
  <si>
    <t xml:space="preserve"> 12/17</t>
  </si>
  <si>
    <t xml:space="preserve"> アスクル</t>
  </si>
  <si>
    <t xml:space="preserve"> ツルハHD</t>
  </si>
  <si>
    <t>" 6</t>
  </si>
  <si>
    <t xml:space="preserve"> プレミア投</t>
  </si>
  <si>
    <t xml:space="preserve"> 12/18</t>
  </si>
  <si>
    <t xml:space="preserve"> カイカ</t>
  </si>
  <si>
    <t xml:space="preserve"> 12/19</t>
  </si>
  <si>
    <t xml:space="preserve"> 日ヘルスケア</t>
  </si>
  <si>
    <t xml:space="preserve"> 12/25</t>
  </si>
  <si>
    <t xml:space="preserve"> ＫＴＫ</t>
  </si>
  <si>
    <t xml:space="preserve"> NaITO</t>
  </si>
  <si>
    <t xml:space="preserve"> 12/26</t>
  </si>
  <si>
    <t xml:space="preserve"> 15:00</t>
  </si>
  <si>
    <t xml:space="preserve"> オプトエレクト</t>
  </si>
  <si>
    <t xml:space="preserve"> ハイデ日高</t>
  </si>
  <si>
    <t xml:space="preserve"> 瑞  光</t>
  </si>
  <si>
    <t xml:space="preserve"> フィードフォー</t>
  </si>
  <si>
    <t xml:space="preserve"> 宝印刷</t>
  </si>
  <si>
    <t xml:space="preserve"> タキヒヨー</t>
  </si>
  <si>
    <t xml:space="preserve"> 12/27</t>
  </si>
  <si>
    <t xml:space="preserve"> ソーバル</t>
  </si>
  <si>
    <t xml:space="preserve"> アダストリア</t>
  </si>
  <si>
    <t xml:space="preserve"> パイプドH</t>
  </si>
  <si>
    <t xml:space="preserve"> 日プロセス</t>
  </si>
  <si>
    <t xml:space="preserve"> 1/6</t>
  </si>
  <si>
    <t xml:space="preserve"> ダイセキソリュ</t>
  </si>
  <si>
    <t xml:space="preserve"> ダイセキ</t>
  </si>
  <si>
    <t xml:space="preserve"> 1/7</t>
  </si>
  <si>
    <t xml:space="preserve"> ハニーズHLD</t>
  </si>
  <si>
    <t xml:space="preserve"> 1/8</t>
  </si>
  <si>
    <t xml:space="preserve"> リソー教育</t>
  </si>
  <si>
    <t xml:space="preserve"> 1/9</t>
  </si>
  <si>
    <t xml:space="preserve"> キユーピー</t>
  </si>
  <si>
    <t>" 3</t>
  </si>
  <si>
    <t xml:space="preserve"> AFC-HD</t>
  </si>
  <si>
    <t xml:space="preserve"> フェリシモ</t>
  </si>
  <si>
    <t xml:space="preserve"> 毎コムネット</t>
  </si>
  <si>
    <t xml:space="preserve"> ファーストリテイ</t>
  </si>
  <si>
    <t>" 70</t>
  </si>
  <si>
    <t xml:space="preserve"> 1/10</t>
  </si>
  <si>
    <t xml:space="preserve"> SERIOHD</t>
  </si>
  <si>
    <t xml:space="preserve"> ビットワンG</t>
  </si>
  <si>
    <t xml:space="preserve"> ローソン</t>
  </si>
  <si>
    <t xml:space="preserve"> ブロッコリー</t>
  </si>
  <si>
    <t xml:space="preserve"> アレンザHD</t>
  </si>
  <si>
    <t xml:space="preserve"> PRTIMES</t>
  </si>
  <si>
    <t xml:space="preserve"> 日本エンタ</t>
  </si>
  <si>
    <t xml:space="preserve"> ベクトル</t>
  </si>
  <si>
    <t xml:space="preserve"> 岡野バル</t>
  </si>
  <si>
    <t xml:space="preserve"> ベイカレント</t>
  </si>
  <si>
    <t xml:space="preserve"> トーセイ</t>
  </si>
  <si>
    <t xml:space="preserve"> 1/14</t>
  </si>
  <si>
    <t xml:space="preserve"> エスプール</t>
  </si>
  <si>
    <t xml:space="preserve"> 北の達人</t>
  </si>
  <si>
    <t xml:space="preserve"> ハ　ブ</t>
  </si>
  <si>
    <t xml:space="preserve"> ＴＫＰ</t>
  </si>
  <si>
    <t xml:space="preserve"> Ｎｏ．１</t>
  </si>
  <si>
    <t xml:space="preserve"> メディアドゥ</t>
  </si>
  <si>
    <t xml:space="preserve"> 明光ネット</t>
  </si>
  <si>
    <t xml:space="preserve"> 古野電</t>
  </si>
  <si>
    <t xml:space="preserve"> 東京衡機</t>
  </si>
  <si>
    <t xml:space="preserve"> 精密機器</t>
  </si>
  <si>
    <t xml:space="preserve"> 東　宝</t>
  </si>
  <si>
    <t>" 8</t>
  </si>
  <si>
    <t xml:space="preserve"> 1/15</t>
  </si>
  <si>
    <t xml:space="preserve"> シリコンスタシオ</t>
  </si>
  <si>
    <t xml:space="preserve"> エヌリンクス</t>
  </si>
  <si>
    <t xml:space="preserve"> テイツー</t>
  </si>
  <si>
    <t xml:space="preserve"> 1/17</t>
  </si>
  <si>
    <t xml:space="preserve"> ＡＰＩ</t>
  </si>
  <si>
    <t xml:space="preserve"> ネクスＧ</t>
  </si>
  <si>
    <t xml:space="preserve"> ティムコ</t>
  </si>
  <si>
    <t xml:space="preserve"> 1/23</t>
  </si>
  <si>
    <t xml:space="preserve"> ディスコ</t>
  </si>
  <si>
    <t xml:space="preserve"> 1/26</t>
  </si>
  <si>
    <t xml:space="preserve"> ＫＤＤＩ</t>
  </si>
  <si>
    <t>" 74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</si>
  <si>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</si>
  <si>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</si>
  <si>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</si>
  <si>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</si>
  <si>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</si>
  <si>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</si>
  <si>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</si>
  <si>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</si>
  <si>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</si>
  <si>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</si>
  <si>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</si>
  <si>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</si>
  <si>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</si>
  <si>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</si>
  <si>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</si>
  <si>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</si>
  <si>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</si>
  <si>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</si>
  <si>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</si>
  <si>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</si>
  <si>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</si>
  <si>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</si>
  <si>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</si>
  <si>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</si>
  <si>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</si>
  <si>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</si>
  <si>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</si>
  <si>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</si>
  <si>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</si>
  <si>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</si>
  <si>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</si>
  <si>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</si>
  <si>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</si>
  <si>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</si>
  <si>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</si>
  <si>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</si>
  <si>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</si>
  <si>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</si>
  <si>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</si>
  <si>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</si>
  <si>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</si>
  <si>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</si>
  <si>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</si>
  <si>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</si>
  <si>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</si>
  <si>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</si>
  <si>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</si>
  <si>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</si>
  <si>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</si>
  <si>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</si>
  <si>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</si>
  <si>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</si>
  <si>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</si>
  <si>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</si>
  <si>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</si>
  <si>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</si>
  <si>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</si>
  <si>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</si>
  <si>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</si>
  <si>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</si>
  <si>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</si>
  <si>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</si>
  <si>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</si>
  <si>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</si>
  <si>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>522"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</si>
  <si>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</si>
  <si>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</si>
  <si>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</si>
  <si>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</si>
  <si>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</si>
  <si>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</si>
  <si>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</si>
  <si>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</si>
  <si>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</si>
  <si>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</si>
  <si>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</si>
  <si>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</si>
  <si>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</si>
  <si>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</si>
  <si>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</si>
  <si>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</si>
  <si>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</si>
  <si>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</si>
  <si>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>078"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</si>
  <si>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</si>
  <si>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</si>
  <si>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</si>
  <si>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</si>
  <si>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</si>
  <si>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</si>
  <si>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</si>
  <si>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</si>
  <si>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</si>
  <si>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</si>
  <si>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</si>
  <si>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</si>
  <si>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</si>
  <si>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</si>
  <si>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</si>
  <si>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</si>
  <si>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</si>
  <si>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</si>
  <si>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</si>
  <si>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</si>
  <si>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</si>
  <si>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</si>
  <si>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</si>
  <si>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</si>
  <si>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</si>
  <si>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</si>
  <si>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</si>
  <si>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</si>
  <si>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01月下旬</t>
  </si>
  <si>
    <t xml:space="preserve"> 日本電技</t>
  </si>
  <si>
    <t xml:space="preserve"> 中電工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</si>
  <si>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</si>
  <si>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</si>
  <si>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</si>
  <si>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</si>
  <si>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野村不HD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</si>
  <si>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</si>
  <si>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</si>
  <si>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</si>
  <si>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</si>
  <si>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</si>
  <si>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 xml:space="preserve"> ＺＨＤ</t>
  </si>
  <si>
    <t>" 18</t>
  </si>
  <si>
    <t xml:space="preserve"> 赤阪鉄</t>
  </si>
  <si>
    <t xml:space="preserve"> 豊田織機</t>
  </si>
  <si>
    <t>" 21</t>
  </si>
  <si>
    <t xml:space="preserve"> コマツ</t>
  </si>
  <si>
    <t>" 25</t>
  </si>
  <si>
    <t>375"</t>
  </si>
  <si>
    <t xml:space="preserve"> タダノ</t>
  </si>
  <si>
    <t>351"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</si>
  <si>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</si>
  <si>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</si>
  <si>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</si>
  <si>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</si>
  <si>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H2Oリテイル</t>
  </si>
  <si>
    <t xml:space="preserve"> あおぞら</t>
  </si>
  <si>
    <t xml:space="preserve"> 銀行業</t>
  </si>
  <si>
    <t>323"</t>
  </si>
  <si>
    <t xml:space="preserve"> ＡＮＡ</t>
  </si>
  <si>
    <t xml:space="preserve"> 空運業</t>
  </si>
  <si>
    <t>051"</t>
  </si>
  <si>
    <t xml:space="preserve"> ゼンリン</t>
  </si>
  <si>
    <t xml:space="preserve"> 中部電</t>
  </si>
  <si>
    <t xml:space="preserve"> 電気・ガス業</t>
  </si>
  <si>
    <t>" 11</t>
  </si>
  <si>
    <t>601"</t>
  </si>
  <si>
    <t xml:space="preserve"> 中国電</t>
  </si>
  <si>
    <t xml:space="preserve"> 東ガス</t>
  </si>
  <si>
    <t xml:space="preserve"> ＳＣＳＫ</t>
  </si>
  <si>
    <t xml:space="preserve"> 王将フード</t>
  </si>
  <si>
    <t>542"</t>
  </si>
  <si>
    <t xml:space="preserve"> 01月上旬</t>
  </si>
  <si>
    <t xml:space="preserve"> ファーストコポ</t>
  </si>
  <si>
    <t xml:space="preserve"> サーラ</t>
  </si>
  <si>
    <t xml:space="preserve"> 黒　谷</t>
  </si>
  <si>
    <t xml:space="preserve"> ネクステージ</t>
  </si>
  <si>
    <t xml:space="preserve"> メディ一光</t>
  </si>
  <si>
    <t xml:space="preserve"> 7&amp;I-HD</t>
  </si>
  <si>
    <t>" 36</t>
  </si>
  <si>
    <t xml:space="preserve"> Fブラザース</t>
  </si>
  <si>
    <t xml:space="preserve"> リックソフト</t>
  </si>
  <si>
    <t xml:space="preserve"> 東海ソフト</t>
  </si>
  <si>
    <t xml:space="preserve"> Sansan</t>
  </si>
  <si>
    <t>424"</t>
  </si>
  <si>
    <t xml:space="preserve"> マルマエ</t>
  </si>
  <si>
    <t xml:space="preserve"> 中北製</t>
  </si>
  <si>
    <t xml:space="preserve"> ４℃ＨＤ</t>
  </si>
  <si>
    <t xml:space="preserve"> ワキタ</t>
  </si>
  <si>
    <t xml:space="preserve"> 01月中旬</t>
  </si>
  <si>
    <t xml:space="preserve"> サカタのタネ</t>
  </si>
  <si>
    <t xml:space="preserve"> 日本国土</t>
  </si>
  <si>
    <t xml:space="preserve"> 柿安本店</t>
  </si>
  <si>
    <t xml:space="preserve"> ドーン</t>
  </si>
  <si>
    <t xml:space="preserve"> ライク</t>
  </si>
  <si>
    <t xml:space="preserve"> キャンドゥ</t>
  </si>
  <si>
    <t xml:space="preserve"> 東武住販</t>
  </si>
  <si>
    <t xml:space="preserve"> バイク王</t>
  </si>
  <si>
    <t xml:space="preserve"> クリレスHD</t>
  </si>
  <si>
    <t xml:space="preserve"> バロック</t>
  </si>
  <si>
    <t xml:space="preserve"> Ｕ＆Ｃ</t>
  </si>
  <si>
    <t xml:space="preserve"> サインポスト</t>
  </si>
  <si>
    <t xml:space="preserve"> ヒトコムHD</t>
  </si>
  <si>
    <t xml:space="preserve"> サーバーワクス</t>
  </si>
  <si>
    <t xml:space="preserve"> ヴィッツ</t>
  </si>
  <si>
    <t xml:space="preserve"> ＴＯＮＥ</t>
  </si>
  <si>
    <t xml:space="preserve"> アクアライン</t>
  </si>
  <si>
    <t xml:space="preserve"> 前沢工</t>
  </si>
  <si>
    <t xml:space="preserve"> 日　宣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</si>
  <si>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</si>
  <si>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</si>
  <si>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</si>
  <si>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</si>
  <si>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中本パクス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</si>
  <si>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</si>
  <si>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</si>
  <si>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</si>
  <si>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</si>
  <si>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</si>
  <si>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</si>
  <si>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</si>
  <si>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</si>
  <si>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</si>
  <si>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</si>
  <si>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</si>
  <si>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</si>
  <si>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</si>
  <si>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</si>
  <si>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</si>
  <si>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</si>
  <si>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</si>
  <si>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</si>
  <si>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</si>
  <si>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</si>
  <si>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</si>
  <si>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</si>
  <si>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</si>
  <si>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</si>
  <si>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</si>
  <si>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</si>
  <si>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</si>
  <si>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</si>
  <si>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</si>
  <si>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>457"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</si>
  <si>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</si>
  <si>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</si>
  <si>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</si>
  <si>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</si>
  <si>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</si>
  <si>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</si>
  <si>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</si>
  <si>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</si>
  <si>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</si>
  <si>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</si>
  <si>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</si>
  <si>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</si>
  <si>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</si>
  <si>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</si>
  <si>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</si>
  <si>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</si>
  <si>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</si>
  <si>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</si>
  <si>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</si>
  <si>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</si>
  <si>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</si>
  <si>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</si>
  <si>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>" 15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</si>
  <si>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</si>
  <si>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</si>
  <si>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</si>
  <si>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</si>
  <si>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</si>
  <si>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</si>
  <si>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</si>
  <si>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</si>
  <si>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</si>
  <si>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</si>
  <si>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</si>
  <si>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</si>
  <si>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</si>
  <si>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</si>
  <si>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</si>
  <si>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</si>
  <si>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</si>
  <si>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</si>
  <si>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</si>
  <si>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</si>
  <si>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</si>
  <si>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</si>
  <si>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</si>
  <si>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</si>
  <si>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</si>
  <si>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</si>
  <si>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</si>
  <si>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</si>
  <si>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</si>
  <si>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</si>
  <si>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</si>
  <si>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</si>
  <si>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</si>
  <si>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</si>
  <si>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</si>
  <si>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</si>
  <si>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</si>
  <si>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</si>
  <si>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</si>
  <si>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</si>
  <si>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</si>
  <si>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</si>
  <si>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</si>
  <si>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</si>
  <si>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</si>
  <si>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</si>
  <si>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</si>
  <si>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</si>
  <si>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</si>
  <si>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</si>
  <si>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</si>
  <si>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</si>
  <si>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</si>
  <si>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</si>
  <si>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</si>
  <si>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>215"</t>
  </si>
  <si>
    <t xml:space="preserve"> 12月下旬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</si>
  <si>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</si>
  <si>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</si>
  <si>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</si>
  <si>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</si>
  <si>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オークワ</t>
  </si>
  <si>
    <t xml:space="preserve"> しまむら</t>
  </si>
  <si>
    <t xml:space="preserve"> 12月上旬</t>
  </si>
  <si>
    <t xml:space="preserve"> OSGコーポ</t>
  </si>
  <si>
    <t xml:space="preserve"> 12月中旬</t>
  </si>
  <si>
    <t xml:space="preserve"> コーセル</t>
  </si>
  <si>
    <t xml:space="preserve">                                                                    </t>
    <phoneticPr fontId="1" type="noConversion"/>
  </si>
  <si>
    <t>太陽ホールディングス</t>
  </si>
  <si>
    <t>ＦＵＪＩ</t>
  </si>
  <si>
    <t>因幡電機産業</t>
  </si>
  <si>
    <t>サトーホールディングス</t>
  </si>
  <si>
    <t>ホシザキ</t>
  </si>
  <si>
    <t>豊田合成</t>
  </si>
  <si>
    <t>ＮＳＤ</t>
  </si>
  <si>
    <t>中外製薬</t>
  </si>
  <si>
    <t>東芝テック</t>
  </si>
  <si>
    <t>日本通運</t>
  </si>
  <si>
    <t>カシオ計算機</t>
  </si>
  <si>
    <t>野村ホールディングス</t>
  </si>
  <si>
    <t>証券、商品先物取引業</t>
  </si>
  <si>
    <t>ケーヒン</t>
  </si>
  <si>
    <t>小糸製作所</t>
  </si>
  <si>
    <t>ブラザー工業</t>
  </si>
  <si>
    <t>浜松ホトニクス</t>
  </si>
  <si>
    <t>江崎グリコ</t>
  </si>
  <si>
    <t>野村不動産ホールディングス</t>
  </si>
  <si>
    <t>3/5/7</t>
  </si>
  <si>
    <t>2/3/11</t>
  </si>
  <si>
    <t>898"</t>
  </si>
  <si>
    <t>409"</t>
  </si>
  <si>
    <t>673"</t>
  </si>
  <si>
    <t>001"</t>
  </si>
  <si>
    <t>709"</t>
  </si>
  <si>
    <t>026"</t>
  </si>
  <si>
    <t>631"</t>
  </si>
  <si>
    <t>147"</t>
  </si>
  <si>
    <t>247"</t>
  </si>
  <si>
    <t>397"</t>
  </si>
  <si>
    <t>728"</t>
  </si>
  <si>
    <t>287"</t>
  </si>
  <si>
    <t>858"</t>
  </si>
  <si>
    <t>663"</t>
  </si>
  <si>
    <t>433"</t>
  </si>
  <si>
    <t>148"</t>
  </si>
  <si>
    <t xml:space="preserve"> 象　印</t>
  </si>
  <si>
    <t>294"</t>
  </si>
  <si>
    <t>246"</t>
  </si>
  <si>
    <t xml:space="preserve"> ヒマラヤ</t>
  </si>
  <si>
    <t>385"</t>
  </si>
  <si>
    <t>710"</t>
  </si>
  <si>
    <t>889"</t>
  </si>
  <si>
    <t>058"</t>
  </si>
  <si>
    <t>847"</t>
  </si>
  <si>
    <t>505"</t>
  </si>
  <si>
    <t>442"</t>
  </si>
  <si>
    <t>362"</t>
  </si>
  <si>
    <t>548"</t>
  </si>
  <si>
    <t>479"</t>
  </si>
  <si>
    <t>123"</t>
  </si>
  <si>
    <t xml:space="preserve"> Ｍ＆Ａ</t>
  </si>
  <si>
    <t>936"</t>
  </si>
  <si>
    <t xml:space="preserve"> ベネ・ワン</t>
  </si>
  <si>
    <t>874"</t>
  </si>
  <si>
    <t xml:space="preserve"> ＳＭＳ</t>
  </si>
  <si>
    <t xml:space="preserve"> 亀田菓</t>
  </si>
  <si>
    <t>127"</t>
  </si>
  <si>
    <t xml:space="preserve"> ALSOK</t>
  </si>
  <si>
    <t>867"</t>
  </si>
  <si>
    <t>090"</t>
  </si>
  <si>
    <t xml:space="preserve"> テクノプロHD</t>
  </si>
  <si>
    <t>672"</t>
  </si>
  <si>
    <t>198"</t>
  </si>
  <si>
    <t>371"</t>
  </si>
  <si>
    <t xml:space="preserve"> レーザーテク</t>
  </si>
  <si>
    <t>318"</t>
  </si>
  <si>
    <t xml:space="preserve"> 日新製糖</t>
  </si>
  <si>
    <t>150"</t>
  </si>
  <si>
    <t xml:space="preserve"> 社宅Ｓ</t>
  </si>
  <si>
    <t xml:space="preserve"> パンパシHD</t>
  </si>
  <si>
    <t>329"</t>
  </si>
  <si>
    <t xml:space="preserve"> Ｊ　Ｔ</t>
  </si>
  <si>
    <t>" 49</t>
  </si>
  <si>
    <t>520"</t>
  </si>
  <si>
    <t>237"</t>
  </si>
  <si>
    <t>521"</t>
  </si>
  <si>
    <t>175"</t>
  </si>
  <si>
    <t>512"</t>
  </si>
  <si>
    <t>602"</t>
  </si>
  <si>
    <t>498"</t>
  </si>
  <si>
    <t>783"</t>
  </si>
  <si>
    <t>279"</t>
  </si>
  <si>
    <t xml:space="preserve"> 森永菓</t>
  </si>
  <si>
    <t xml:space="preserve"> SBSHD</t>
  </si>
  <si>
    <t xml:space="preserve"> ツクイ</t>
  </si>
  <si>
    <t xml:space="preserve"> リビン保証</t>
  </si>
  <si>
    <t>070"</t>
  </si>
  <si>
    <t xml:space="preserve"> エスクリ</t>
  </si>
  <si>
    <t xml:space="preserve"> 共同ＰＲ</t>
  </si>
  <si>
    <t xml:space="preserve"> シイエム・シイ</t>
  </si>
  <si>
    <t xml:space="preserve"> fonfun</t>
  </si>
  <si>
    <t>485"</t>
  </si>
  <si>
    <t xml:space="preserve"> 岡本工</t>
  </si>
  <si>
    <t>616"</t>
  </si>
  <si>
    <t xml:space="preserve"> パーソルHD</t>
  </si>
  <si>
    <t xml:space="preserve"> イオレ</t>
  </si>
  <si>
    <t>174"</t>
  </si>
  <si>
    <t>998"</t>
  </si>
  <si>
    <t>541"</t>
  </si>
  <si>
    <t xml:space="preserve"> ＩＴＭ</t>
  </si>
  <si>
    <t xml:space="preserve"> デジアーツ</t>
  </si>
  <si>
    <t>062"</t>
  </si>
  <si>
    <t>470"</t>
  </si>
  <si>
    <t>190"</t>
  </si>
  <si>
    <t>360"</t>
  </si>
  <si>
    <t>907"</t>
  </si>
  <si>
    <t>207"</t>
  </si>
  <si>
    <t>273"</t>
  </si>
  <si>
    <t>940"</t>
  </si>
  <si>
    <t>567"</t>
  </si>
  <si>
    <t>574"</t>
  </si>
  <si>
    <t>990"</t>
  </si>
  <si>
    <t>894"</t>
  </si>
  <si>
    <t>429"</t>
  </si>
  <si>
    <t>750"</t>
  </si>
  <si>
    <t>719"</t>
  </si>
  <si>
    <t>681"</t>
  </si>
  <si>
    <t>915"</t>
  </si>
  <si>
    <t>162"</t>
  </si>
  <si>
    <t xml:space="preserve"> 博　展</t>
  </si>
  <si>
    <t xml:space="preserve"> エヌアイデイ</t>
  </si>
  <si>
    <t xml:space="preserve"> ユビテック</t>
  </si>
  <si>
    <t>996"</t>
  </si>
  <si>
    <t>229"</t>
  </si>
  <si>
    <t>641"</t>
  </si>
  <si>
    <t xml:space="preserve"> カナディアン</t>
  </si>
  <si>
    <t>354"</t>
  </si>
  <si>
    <t>108"</t>
  </si>
  <si>
    <t>281"</t>
  </si>
  <si>
    <t>828"</t>
  </si>
  <si>
    <t xml:space="preserve"> アイリック</t>
  </si>
  <si>
    <t xml:space="preserve"> 保険業</t>
  </si>
  <si>
    <t xml:space="preserve"> 穴吹興産</t>
  </si>
  <si>
    <t>217"</t>
  </si>
  <si>
    <t>463"</t>
  </si>
  <si>
    <t>254"</t>
  </si>
  <si>
    <t>651"</t>
  </si>
  <si>
    <t>444"</t>
  </si>
  <si>
    <t>3/6/9</t>
  </si>
  <si>
    <t>3/5/11</t>
  </si>
  <si>
    <t>`</t>
    <phoneticPr fontId="1" type="noConversion"/>
  </si>
  <si>
    <t>単に運がよかった</t>
    <phoneticPr fontId="1" type="noConversion"/>
  </si>
  <si>
    <t>売</t>
    <phoneticPr fontId="1" type="noConversion"/>
  </si>
  <si>
    <t>Total</t>
    <phoneticPr fontId="1" type="noConversion"/>
  </si>
  <si>
    <t>Current</t>
    <phoneticPr fontId="1" type="noConversion"/>
  </si>
  <si>
    <t>SPAN</t>
    <phoneticPr fontId="1" type="noConversion"/>
  </si>
  <si>
    <t>買</t>
    <phoneticPr fontId="1" type="noConversion"/>
  </si>
  <si>
    <t>三井住友トラスト・ホールディングス</t>
  </si>
  <si>
    <t>インフォマート</t>
  </si>
  <si>
    <t>ＴＫＣ</t>
  </si>
  <si>
    <t>長谷工コーポレーション</t>
  </si>
  <si>
    <t>4/5/12</t>
  </si>
  <si>
    <t>6/7/5</t>
  </si>
  <si>
    <t>1/4/11</t>
  </si>
  <si>
    <t>1/1/10</t>
  </si>
  <si>
    <t>3/4/14</t>
  </si>
  <si>
    <t>1/1/12</t>
  </si>
  <si>
    <t>7/6/7</t>
  </si>
  <si>
    <t>Setup</t>
  </si>
  <si>
    <t>OPEN_3105</t>
  </si>
  <si>
    <t>CLOSE_3105</t>
  </si>
  <si>
    <t>OPEN_3116</t>
  </si>
  <si>
    <t>CLOSE_3116</t>
  </si>
  <si>
    <t>日清紡ホールディングス</t>
    <phoneticPr fontId="1" type="noConversion"/>
  </si>
  <si>
    <t>トヨタ紡織</t>
    <phoneticPr fontId="1" type="noConversion"/>
  </si>
  <si>
    <t>1Y</t>
    <phoneticPr fontId="1" type="noConversion"/>
  </si>
</sst>
</file>

<file path=xl/styles.xml><?xml version="1.0" encoding="utf-8"?>
<styleSheet xmlns="http://schemas.openxmlformats.org/spreadsheetml/2006/main">
  <numFmts count="10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  <numFmt numFmtId="181" formatCode="0_ "/>
    <numFmt numFmtId="182" formatCode="0_);[Red]\(0\)"/>
    <numFmt numFmtId="183" formatCode="0_ ;[Red]\-0\ "/>
    <numFmt numFmtId="184" formatCode="&quot;¥&quot;#,##0"/>
  </numFmts>
  <fonts count="39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sz val="11"/>
      <color rgb="FF000000"/>
      <name val="FangSong"/>
      <family val="3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sz val="10"/>
      <color theme="4"/>
      <name val="FangSong"/>
      <family val="3"/>
      <charset val="134"/>
    </font>
    <font>
      <b/>
      <sz val="8"/>
      <color theme="3" tint="0.59999389629810485"/>
      <name val="Tahoma"/>
      <family val="2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0"/>
      <color theme="3" tint="0.39997558519241921"/>
      <name val="Tahoma"/>
      <family val="2"/>
    </font>
    <font>
      <sz val="11"/>
      <color rgb="FFFF0000"/>
      <name val="Tahoma"/>
      <family val="2"/>
      <charset val="134"/>
    </font>
    <font>
      <b/>
      <sz val="11"/>
      <color theme="3"/>
      <name val="Tahoma"/>
      <family val="2"/>
    </font>
    <font>
      <sz val="11"/>
      <color rgb="FF000000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1" fillId="0" borderId="0" applyNumberFormat="0" applyFill="0" applyBorder="0" applyAlignment="0" applyProtection="0">
      <alignment vertical="top"/>
      <protection locked="0"/>
    </xf>
  </cellStyleXfs>
  <cellXfs count="240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3" borderId="1" xfId="0" applyFont="1" applyFill="1" applyBorder="1"/>
    <xf numFmtId="14" fontId="2" fillId="0" borderId="1" xfId="0" applyNumberFormat="1" applyFont="1" applyBorder="1"/>
    <xf numFmtId="0" fontId="0" fillId="5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6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2" fillId="2" borderId="0" xfId="0" applyFont="1" applyFill="1"/>
    <xf numFmtId="0" fontId="2" fillId="8" borderId="0" xfId="0" applyFont="1" applyFill="1"/>
    <xf numFmtId="0" fontId="2" fillId="8" borderId="1" xfId="0" applyFont="1" applyFill="1" applyBorder="1"/>
    <xf numFmtId="14" fontId="0" fillId="2" borderId="1" xfId="0" applyNumberFormat="1" applyFill="1" applyBorder="1"/>
    <xf numFmtId="0" fontId="0" fillId="2" borderId="1" xfId="0" applyFill="1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14" borderId="1" xfId="0" applyFill="1" applyBorder="1"/>
    <xf numFmtId="0" fontId="0" fillId="15" borderId="1" xfId="0" applyFill="1" applyBorder="1"/>
    <xf numFmtId="181" fontId="0" fillId="15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79" fontId="0" fillId="15" borderId="1" xfId="0" applyNumberFormat="1" applyFill="1" applyBorder="1"/>
    <xf numFmtId="0" fontId="10" fillId="0" borderId="0" xfId="0" applyFont="1"/>
    <xf numFmtId="0" fontId="16" fillId="4" borderId="6" xfId="0" applyFont="1" applyFill="1" applyBorder="1" applyAlignment="1">
      <alignment horizontal="center"/>
    </xf>
    <xf numFmtId="178" fontId="16" fillId="4" borderId="6" xfId="0" applyNumberFormat="1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/>
    </xf>
    <xf numFmtId="178" fontId="16" fillId="10" borderId="1" xfId="0" applyNumberFormat="1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/>
    </xf>
    <xf numFmtId="178" fontId="16" fillId="4" borderId="1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/>
    </xf>
    <xf numFmtId="0" fontId="10" fillId="10" borderId="1" xfId="0" applyFont="1" applyFill="1" applyBorder="1" applyAlignment="1">
      <alignment horizontal="center"/>
    </xf>
    <xf numFmtId="0" fontId="10" fillId="4" borderId="1" xfId="0" applyFont="1" applyFill="1" applyBorder="1" applyAlignment="1">
      <alignment horizontal="center"/>
    </xf>
    <xf numFmtId="179" fontId="16" fillId="4" borderId="6" xfId="0" applyNumberFormat="1" applyFont="1" applyFill="1" applyBorder="1" applyAlignment="1">
      <alignment horizontal="center"/>
    </xf>
    <xf numFmtId="179" fontId="16" fillId="10" borderId="1" xfId="0" applyNumberFormat="1" applyFont="1" applyFill="1" applyBorder="1" applyAlignment="1">
      <alignment horizontal="center"/>
    </xf>
    <xf numFmtId="179" fontId="16" fillId="4" borderId="1" xfId="0" applyNumberFormat="1" applyFont="1" applyFill="1" applyBorder="1" applyAlignment="1">
      <alignment horizontal="center"/>
    </xf>
    <xf numFmtId="180" fontId="16" fillId="4" borderId="6" xfId="0" applyNumberFormat="1" applyFont="1" applyFill="1" applyBorder="1" applyAlignment="1">
      <alignment horizontal="center"/>
    </xf>
    <xf numFmtId="6" fontId="16" fillId="4" borderId="6" xfId="0" applyNumberFormat="1" applyFont="1" applyFill="1" applyBorder="1" applyAlignment="1">
      <alignment horizontal="center"/>
    </xf>
    <xf numFmtId="10" fontId="16" fillId="4" borderId="6" xfId="0" applyNumberFormat="1" applyFont="1" applyFill="1" applyBorder="1" applyAlignment="1">
      <alignment horizontal="center"/>
    </xf>
    <xf numFmtId="180" fontId="16" fillId="10" borderId="1" xfId="0" applyNumberFormat="1" applyFont="1" applyFill="1" applyBorder="1" applyAlignment="1">
      <alignment horizontal="center"/>
    </xf>
    <xf numFmtId="6" fontId="16" fillId="10" borderId="1" xfId="0" applyNumberFormat="1" applyFont="1" applyFill="1" applyBorder="1" applyAlignment="1">
      <alignment horizontal="center"/>
    </xf>
    <xf numFmtId="10" fontId="16" fillId="10" borderId="1" xfId="0" applyNumberFormat="1" applyFont="1" applyFill="1" applyBorder="1" applyAlignment="1">
      <alignment horizontal="center"/>
    </xf>
    <xf numFmtId="180" fontId="16" fillId="4" borderId="1" xfId="0" applyNumberFormat="1" applyFont="1" applyFill="1" applyBorder="1" applyAlignment="1">
      <alignment horizontal="center"/>
    </xf>
    <xf numFmtId="6" fontId="16" fillId="4" borderId="1" xfId="0" applyNumberFormat="1" applyFont="1" applyFill="1" applyBorder="1" applyAlignment="1">
      <alignment horizontal="center"/>
    </xf>
    <xf numFmtId="10" fontId="16" fillId="4" borderId="1" xfId="0" applyNumberFormat="1" applyFont="1" applyFill="1" applyBorder="1" applyAlignment="1">
      <alignment horizontal="center"/>
    </xf>
    <xf numFmtId="0" fontId="17" fillId="4" borderId="6" xfId="0" applyFont="1" applyFill="1" applyBorder="1" applyAlignment="1">
      <alignment horizontal="center" shrinkToFit="1"/>
    </xf>
    <xf numFmtId="0" fontId="10" fillId="4" borderId="6" xfId="0" applyFont="1" applyFill="1" applyBorder="1" applyAlignment="1">
      <alignment horizontal="left" shrinkToFit="1"/>
    </xf>
    <xf numFmtId="0" fontId="17" fillId="10" borderId="6" xfId="0" applyFont="1" applyFill="1" applyBorder="1" applyAlignment="1">
      <alignment horizontal="left" shrinkToFit="1"/>
    </xf>
    <xf numFmtId="0" fontId="17" fillId="4" borderId="6" xfId="0" applyFont="1" applyFill="1" applyBorder="1" applyAlignment="1">
      <alignment horizontal="left" shrinkToFit="1"/>
    </xf>
    <xf numFmtId="0" fontId="18" fillId="0" borderId="0" xfId="0" applyFont="1"/>
    <xf numFmtId="0" fontId="21" fillId="0" borderId="0" xfId="0" applyFont="1"/>
    <xf numFmtId="0" fontId="13" fillId="9" borderId="13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5" xfId="0" applyFont="1" applyFill="1" applyBorder="1" applyAlignment="1">
      <alignment horizontal="center" vertical="center"/>
    </xf>
    <xf numFmtId="0" fontId="14" fillId="9" borderId="16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5" fillId="9" borderId="17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14" fillId="9" borderId="15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left" wrapText="1" indent="1"/>
    </xf>
    <xf numFmtId="0" fontId="24" fillId="0" borderId="21" xfId="0" applyFont="1" applyBorder="1" applyAlignment="1">
      <alignment horizontal="left" wrapText="1"/>
    </xf>
    <xf numFmtId="0" fontId="23" fillId="16" borderId="22" xfId="0" applyFont="1" applyFill="1" applyBorder="1" applyAlignment="1">
      <alignment horizontal="center" vertical="center" wrapText="1"/>
    </xf>
    <xf numFmtId="0" fontId="23" fillId="16" borderId="23" xfId="0" applyFont="1" applyFill="1" applyBorder="1" applyAlignment="1">
      <alignment horizontal="center" vertical="center" wrapText="1"/>
    </xf>
    <xf numFmtId="0" fontId="22" fillId="17" borderId="24" xfId="0" applyFont="1" applyFill="1" applyBorder="1" applyAlignment="1">
      <alignment horizontal="left" wrapText="1"/>
    </xf>
    <xf numFmtId="0" fontId="22" fillId="15" borderId="24" xfId="0" applyFont="1" applyFill="1" applyBorder="1" applyAlignment="1">
      <alignment horizontal="left" wrapText="1"/>
    </xf>
    <xf numFmtId="0" fontId="24" fillId="15" borderId="21" xfId="0" applyFont="1" applyFill="1" applyBorder="1" applyAlignment="1">
      <alignment horizontal="left" wrapText="1"/>
    </xf>
    <xf numFmtId="0" fontId="22" fillId="18" borderId="24" xfId="0" applyFont="1" applyFill="1" applyBorder="1" applyAlignment="1">
      <alignment horizontal="left" wrapText="1"/>
    </xf>
    <xf numFmtId="0" fontId="24" fillId="18" borderId="21" xfId="0" applyFont="1" applyFill="1" applyBorder="1" applyAlignment="1">
      <alignment horizontal="left" wrapText="1"/>
    </xf>
    <xf numFmtId="0" fontId="25" fillId="0" borderId="0" xfId="0" applyFont="1"/>
    <xf numFmtId="0" fontId="24" fillId="0" borderId="25" xfId="0" applyFont="1" applyBorder="1" applyAlignment="1">
      <alignment horizontal="left" vertical="center" wrapText="1"/>
    </xf>
    <xf numFmtId="0" fontId="22" fillId="17" borderId="26" xfId="0" applyFont="1" applyFill="1" applyBorder="1" applyAlignment="1">
      <alignment horizontal="left" wrapText="1"/>
    </xf>
    <xf numFmtId="0" fontId="26" fillId="21" borderId="21" xfId="0" applyFont="1" applyFill="1" applyBorder="1" applyAlignment="1">
      <alignment horizontal="left" vertical="center" wrapText="1"/>
    </xf>
    <xf numFmtId="0" fontId="26" fillId="19" borderId="21" xfId="0" applyFont="1" applyFill="1" applyBorder="1" applyAlignment="1">
      <alignment horizontal="left" vertical="center" wrapText="1"/>
    </xf>
    <xf numFmtId="0" fontId="26" fillId="20" borderId="21" xfId="0" applyFont="1" applyFill="1" applyBorder="1" applyAlignment="1">
      <alignment horizontal="left" vertical="center" wrapText="1"/>
    </xf>
    <xf numFmtId="0" fontId="26" fillId="22" borderId="21" xfId="0" applyFont="1" applyFill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0" fillId="0" borderId="32" xfId="0" applyBorder="1"/>
    <xf numFmtId="0" fontId="26" fillId="16" borderId="24" xfId="0" applyFont="1" applyFill="1" applyBorder="1" applyAlignment="1">
      <alignment horizontal="left" vertical="center" wrapText="1"/>
    </xf>
    <xf numFmtId="0" fontId="24" fillId="23" borderId="24" xfId="0" applyFont="1" applyFill="1" applyBorder="1" applyAlignment="1">
      <alignment horizontal="left" vertical="center" wrapText="1"/>
    </xf>
    <xf numFmtId="0" fontId="24" fillId="23" borderId="26" xfId="0" applyFont="1" applyFill="1" applyBorder="1" applyAlignment="1">
      <alignment horizontal="left" vertical="center" wrapText="1"/>
    </xf>
    <xf numFmtId="0" fontId="24" fillId="15" borderId="25" xfId="0" applyFont="1" applyFill="1" applyBorder="1" applyAlignment="1">
      <alignment horizontal="left" vertical="center" wrapText="1"/>
    </xf>
    <xf numFmtId="10" fontId="20" fillId="0" borderId="20" xfId="0" applyNumberFormat="1" applyFont="1" applyBorder="1"/>
    <xf numFmtId="0" fontId="15" fillId="9" borderId="15" xfId="0" applyFont="1" applyFill="1" applyBorder="1" applyAlignment="1">
      <alignment horizontal="center" vertical="center" wrapText="1"/>
    </xf>
    <xf numFmtId="0" fontId="29" fillId="10" borderId="1" xfId="0" applyFont="1" applyFill="1" applyBorder="1" applyAlignment="1">
      <alignment horizontal="center"/>
    </xf>
    <xf numFmtId="6" fontId="30" fillId="0" borderId="13" xfId="0" applyNumberFormat="1" applyFont="1" applyBorder="1"/>
    <xf numFmtId="184" fontId="20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20" fillId="0" borderId="38" xfId="0" applyFont="1" applyBorder="1"/>
    <xf numFmtId="0" fontId="0" fillId="0" borderId="38" xfId="0" applyBorder="1"/>
    <xf numFmtId="0" fontId="16" fillId="10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9" fillId="12" borderId="11" xfId="0" applyFont="1" applyFill="1" applyBorder="1" applyAlignment="1">
      <alignment horizontal="center" vertical="center" wrapText="1"/>
    </xf>
    <xf numFmtId="0" fontId="3" fillId="11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/>
    </xf>
    <xf numFmtId="0" fontId="8" fillId="5" borderId="8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7" fillId="7" borderId="11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 wrapText="1"/>
    </xf>
    <xf numFmtId="0" fontId="7" fillId="13" borderId="10" xfId="0" applyFont="1" applyFill="1" applyBorder="1" applyAlignment="1">
      <alignment horizontal="center" vertical="center"/>
    </xf>
    <xf numFmtId="0" fontId="7" fillId="13" borderId="11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8" fillId="5" borderId="10" xfId="0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0" fontId="31" fillId="0" borderId="0" xfId="1" applyAlignment="1" applyProtection="1"/>
    <xf numFmtId="0" fontId="7" fillId="11" borderId="11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 wrapText="1"/>
    </xf>
    <xf numFmtId="183" fontId="20" fillId="0" borderId="19" xfId="0" applyNumberFormat="1" applyFont="1" applyBorder="1"/>
    <xf numFmtId="0" fontId="16" fillId="4" borderId="39" xfId="0" applyFont="1" applyFill="1" applyBorder="1" applyAlignment="1">
      <alignment horizontal="center"/>
    </xf>
    <xf numFmtId="0" fontId="16" fillId="10" borderId="39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49" fontId="0" fillId="0" borderId="0" xfId="0" applyNumberFormat="1"/>
    <xf numFmtId="0" fontId="0" fillId="24" borderId="0" xfId="0" applyFill="1"/>
    <xf numFmtId="0" fontId="36" fillId="24" borderId="0" xfId="0" applyFont="1" applyFill="1"/>
    <xf numFmtId="49" fontId="0" fillId="24" borderId="0" xfId="0" applyNumberFormat="1" applyFill="1"/>
    <xf numFmtId="0" fontId="31" fillId="24" borderId="0" xfId="1" applyFill="1" applyAlignment="1" applyProtection="1"/>
    <xf numFmtId="0" fontId="16" fillId="10" borderId="1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14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1" fillId="10" borderId="1" xfId="0" applyFont="1" applyFill="1" applyBorder="1" applyAlignment="1">
      <alignment horizontal="center" vertical="center"/>
    </xf>
    <xf numFmtId="0" fontId="11" fillId="10" borderId="5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177" fontId="16" fillId="10" borderId="14" xfId="0" applyNumberFormat="1" applyFont="1" applyFill="1" applyBorder="1" applyAlignment="1">
      <alignment horizontal="left" vertical="center"/>
    </xf>
    <xf numFmtId="177" fontId="16" fillId="10" borderId="6" xfId="0" applyNumberFormat="1" applyFont="1" applyFill="1" applyBorder="1" applyAlignment="1">
      <alignment horizontal="left" vertical="center"/>
    </xf>
    <xf numFmtId="183" fontId="16" fillId="10" borderId="1" xfId="0" applyNumberFormat="1" applyFont="1" applyFill="1" applyBorder="1" applyAlignment="1">
      <alignment horizontal="center" vertical="center"/>
    </xf>
    <xf numFmtId="10" fontId="16" fillId="10" borderId="1" xfId="0" applyNumberFormat="1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14" fontId="11" fillId="10" borderId="1" xfId="0" applyNumberFormat="1" applyFont="1" applyFill="1" applyBorder="1" applyAlignment="1">
      <alignment horizontal="center" vertical="center"/>
    </xf>
    <xf numFmtId="0" fontId="16" fillId="10" borderId="6" xfId="0" applyFont="1" applyFill="1" applyBorder="1" applyAlignment="1">
      <alignment horizontal="center" vertical="center"/>
    </xf>
    <xf numFmtId="0" fontId="33" fillId="10" borderId="6" xfId="0" applyFont="1" applyFill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182" fontId="27" fillId="10" borderId="1" xfId="0" applyNumberFormat="1" applyFont="1" applyFill="1" applyBorder="1" applyAlignment="1">
      <alignment horizontal="center" vertical="center"/>
    </xf>
    <xf numFmtId="0" fontId="11" fillId="10" borderId="14" xfId="0" applyFont="1" applyFill="1" applyBorder="1" applyAlignment="1">
      <alignment horizontal="center" vertical="center"/>
    </xf>
    <xf numFmtId="183" fontId="16" fillId="10" borderId="6" xfId="0" applyNumberFormat="1" applyFont="1" applyFill="1" applyBorder="1" applyAlignment="1">
      <alignment horizontal="center" vertical="center"/>
    </xf>
    <xf numFmtId="10" fontId="16" fillId="10" borderId="6" xfId="0" applyNumberFormat="1" applyFont="1" applyFill="1" applyBorder="1" applyAlignment="1">
      <alignment horizontal="center" vertical="center"/>
    </xf>
    <xf numFmtId="177" fontId="16" fillId="10" borderId="14" xfId="0" applyNumberFormat="1" applyFont="1" applyFill="1" applyBorder="1" applyAlignment="1">
      <alignment horizontal="center" vertical="center"/>
    </xf>
    <xf numFmtId="177" fontId="16" fillId="10" borderId="6" xfId="0" applyNumberFormat="1" applyFont="1" applyFill="1" applyBorder="1" applyAlignment="1">
      <alignment horizontal="center" vertical="center"/>
    </xf>
    <xf numFmtId="14" fontId="11" fillId="10" borderId="5" xfId="0" applyNumberFormat="1" applyFont="1" applyFill="1" applyBorder="1" applyAlignment="1">
      <alignment horizontal="center" vertical="center"/>
    </xf>
    <xf numFmtId="14" fontId="11" fillId="10" borderId="6" xfId="0" applyNumberFormat="1" applyFont="1" applyFill="1" applyBorder="1" applyAlignment="1">
      <alignment horizontal="center" vertical="center"/>
    </xf>
    <xf numFmtId="177" fontId="16" fillId="10" borderId="5" xfId="0" applyNumberFormat="1" applyFont="1" applyFill="1" applyBorder="1" applyAlignment="1">
      <alignment horizontal="center" vertical="center"/>
    </xf>
    <xf numFmtId="182" fontId="34" fillId="10" borderId="5" xfId="0" applyNumberFormat="1" applyFont="1" applyFill="1" applyBorder="1" applyAlignment="1">
      <alignment horizontal="center" vertical="center"/>
    </xf>
    <xf numFmtId="182" fontId="34" fillId="10" borderId="6" xfId="0" applyNumberFormat="1" applyFont="1" applyFill="1" applyBorder="1" applyAlignment="1">
      <alignment horizontal="center" vertical="center"/>
    </xf>
    <xf numFmtId="182" fontId="35" fillId="10" borderId="5" xfId="0" applyNumberFormat="1" applyFont="1" applyFill="1" applyBorder="1" applyAlignment="1">
      <alignment horizontal="center" vertical="center"/>
    </xf>
    <xf numFmtId="182" fontId="35" fillId="10" borderId="6" xfId="0" applyNumberFormat="1" applyFont="1" applyFill="1" applyBorder="1" applyAlignment="1">
      <alignment horizontal="center" vertical="center"/>
    </xf>
    <xf numFmtId="182" fontId="27" fillId="10" borderId="18" xfId="0" applyNumberFormat="1" applyFont="1" applyFill="1" applyBorder="1" applyAlignment="1">
      <alignment horizontal="center" vertical="center"/>
    </xf>
    <xf numFmtId="182" fontId="27" fillId="10" borderId="14" xfId="0" applyNumberFormat="1" applyFont="1" applyFill="1" applyBorder="1" applyAlignment="1">
      <alignment horizontal="center" vertical="center"/>
    </xf>
    <xf numFmtId="182" fontId="16" fillId="10" borderId="18" xfId="0" applyNumberFormat="1" applyFont="1" applyFill="1" applyBorder="1" applyAlignment="1">
      <alignment horizontal="center" vertical="center"/>
    </xf>
    <xf numFmtId="182" fontId="16" fillId="10" borderId="14" xfId="0" applyNumberFormat="1" applyFont="1" applyFill="1" applyBorder="1" applyAlignment="1">
      <alignment horizontal="center" vertical="center"/>
    </xf>
    <xf numFmtId="14" fontId="16" fillId="10" borderId="1" xfId="0" applyNumberFormat="1" applyFont="1" applyFill="1" applyBorder="1" applyAlignment="1">
      <alignment horizontal="center" vertical="center"/>
    </xf>
    <xf numFmtId="182" fontId="16" fillId="10" borderId="1" xfId="0" applyNumberFormat="1" applyFont="1" applyFill="1" applyBorder="1" applyAlignment="1">
      <alignment horizontal="center" vertical="center"/>
    </xf>
    <xf numFmtId="177" fontId="16" fillId="10" borderId="18" xfId="0" applyNumberFormat="1" applyFont="1" applyFill="1" applyBorder="1" applyAlignment="1">
      <alignment horizontal="center" vertical="center"/>
    </xf>
    <xf numFmtId="0" fontId="16" fillId="10" borderId="5" xfId="0" applyFont="1" applyFill="1" applyBorder="1" applyAlignment="1">
      <alignment horizontal="center" vertical="center"/>
    </xf>
    <xf numFmtId="14" fontId="16" fillId="10" borderId="18" xfId="0" applyNumberFormat="1" applyFont="1" applyFill="1" applyBorder="1" applyAlignment="1">
      <alignment horizontal="center" vertical="center"/>
    </xf>
    <xf numFmtId="14" fontId="16" fillId="10" borderId="14" xfId="0" applyNumberFormat="1" applyFont="1" applyFill="1" applyBorder="1" applyAlignment="1">
      <alignment horizontal="center" vertical="center"/>
    </xf>
    <xf numFmtId="14" fontId="2" fillId="0" borderId="4" xfId="0" applyNumberFormat="1" applyFont="1" applyBorder="1" applyAlignment="1"/>
    <xf numFmtId="0" fontId="0" fillId="0" borderId="0" xfId="0" applyBorder="1" applyAlignment="1"/>
    <xf numFmtId="0" fontId="0" fillId="0" borderId="0" xfId="0" applyAlignment="1"/>
    <xf numFmtId="0" fontId="3" fillId="13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6" fillId="12" borderId="7" xfId="0" applyFont="1" applyFill="1" applyBorder="1" applyAlignment="1">
      <alignment horizontal="left"/>
    </xf>
    <xf numFmtId="0" fontId="3" fillId="11" borderId="7" xfId="0" applyFont="1" applyFill="1" applyBorder="1" applyAlignment="1">
      <alignment horizontal="left" vertical="center"/>
    </xf>
    <xf numFmtId="0" fontId="3" fillId="7" borderId="7" xfId="0" applyFont="1" applyFill="1" applyBorder="1" applyAlignment="1">
      <alignment horizontal="left"/>
    </xf>
    <xf numFmtId="0" fontId="2" fillId="2" borderId="0" xfId="0" applyFont="1" applyFill="1" applyAlignment="1"/>
    <xf numFmtId="0" fontId="24" fillId="23" borderId="27" xfId="0" applyFont="1" applyFill="1" applyBorder="1" applyAlignment="1">
      <alignment horizontal="left" vertical="center" wrapText="1"/>
    </xf>
    <xf numFmtId="0" fontId="24" fillId="23" borderId="26" xfId="0" applyFont="1" applyFill="1" applyBorder="1" applyAlignment="1">
      <alignment horizontal="left" vertical="center" wrapText="1"/>
    </xf>
    <xf numFmtId="0" fontId="24" fillId="23" borderId="24" xfId="0" applyFont="1" applyFill="1" applyBorder="1" applyAlignment="1">
      <alignment horizontal="left" vertical="center" wrapText="1"/>
    </xf>
    <xf numFmtId="0" fontId="24" fillId="0" borderId="29" xfId="0" applyFont="1" applyBorder="1" applyAlignment="1">
      <alignment horizontal="left" vertical="center" wrapText="1"/>
    </xf>
    <xf numFmtId="0" fontId="24" fillId="0" borderId="32" xfId="0" applyFont="1" applyBorder="1" applyAlignment="1">
      <alignment horizontal="left" vertical="center" wrapText="1"/>
    </xf>
    <xf numFmtId="0" fontId="24" fillId="0" borderId="30" xfId="0" applyFont="1" applyBorder="1" applyAlignment="1">
      <alignment horizontal="left" vertical="center" wrapText="1"/>
    </xf>
    <xf numFmtId="0" fontId="24" fillId="0" borderId="35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25" xfId="0" applyFont="1" applyBorder="1" applyAlignment="1">
      <alignment horizontal="left" vertical="center" wrapText="1"/>
    </xf>
    <xf numFmtId="0" fontId="24" fillId="0" borderId="33" xfId="0" applyFont="1" applyBorder="1" applyAlignment="1">
      <alignment horizontal="left" vertical="center" wrapText="1"/>
    </xf>
    <xf numFmtId="0" fontId="24" fillId="0" borderId="28" xfId="0" applyFont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24" fillId="0" borderId="27" xfId="0" applyFont="1" applyBorder="1" applyAlignment="1">
      <alignment horizontal="left" vertical="center" wrapText="1"/>
    </xf>
    <xf numFmtId="0" fontId="24" fillId="0" borderId="24" xfId="0" applyFont="1" applyBorder="1" applyAlignment="1">
      <alignment horizontal="left" vertical="center" wrapText="1"/>
    </xf>
    <xf numFmtId="0" fontId="24" fillId="15" borderId="27" xfId="0" applyFont="1" applyFill="1" applyBorder="1" applyAlignment="1">
      <alignment horizontal="left" vertical="center" wrapText="1"/>
    </xf>
    <xf numFmtId="0" fontId="24" fillId="15" borderId="24" xfId="0" applyFont="1" applyFill="1" applyBorder="1" applyAlignment="1">
      <alignment horizontal="left" vertical="center" wrapText="1"/>
    </xf>
    <xf numFmtId="0" fontId="24" fillId="0" borderId="34" xfId="0" applyFont="1" applyBorder="1" applyAlignment="1">
      <alignment horizontal="left" vertical="center" wrapText="1"/>
    </xf>
    <xf numFmtId="0" fontId="24" fillId="0" borderId="31" xfId="0" applyFont="1" applyBorder="1" applyAlignment="1">
      <alignment horizontal="left" vertical="center" wrapText="1"/>
    </xf>
    <xf numFmtId="0" fontId="24" fillId="0" borderId="23" xfId="0" applyFont="1" applyBorder="1" applyAlignment="1">
      <alignment horizontal="left" vertical="center" wrapText="1"/>
    </xf>
    <xf numFmtId="0" fontId="24" fillId="0" borderId="26" xfId="0" applyFont="1" applyBorder="1" applyAlignment="1">
      <alignment horizontal="left" vertical="center" wrapText="1"/>
    </xf>
    <xf numFmtId="10" fontId="24" fillId="15" borderId="27" xfId="0" applyNumberFormat="1" applyFont="1" applyFill="1" applyBorder="1" applyAlignment="1">
      <alignment horizontal="left" vertical="center" wrapText="1"/>
    </xf>
    <xf numFmtId="10" fontId="24" fillId="15" borderId="26" xfId="0" applyNumberFormat="1" applyFont="1" applyFill="1" applyBorder="1" applyAlignment="1">
      <alignment horizontal="left" vertical="center" wrapText="1"/>
    </xf>
    <xf numFmtId="10" fontId="24" fillId="15" borderId="24" xfId="0" applyNumberFormat="1" applyFont="1" applyFill="1" applyBorder="1" applyAlignment="1">
      <alignment horizontal="left" vertical="center" wrapText="1"/>
    </xf>
    <xf numFmtId="10" fontId="24" fillId="0" borderId="27" xfId="0" applyNumberFormat="1" applyFont="1" applyBorder="1" applyAlignment="1">
      <alignment horizontal="left" vertical="center" wrapText="1"/>
    </xf>
    <xf numFmtId="10" fontId="24" fillId="0" borderId="26" xfId="0" applyNumberFormat="1" applyFont="1" applyBorder="1" applyAlignment="1">
      <alignment horizontal="left" vertical="center" wrapText="1"/>
    </xf>
    <xf numFmtId="10" fontId="24" fillId="0" borderId="24" xfId="0" applyNumberFormat="1" applyFont="1" applyBorder="1" applyAlignment="1">
      <alignment horizontal="left" vertical="center" wrapText="1"/>
    </xf>
    <xf numFmtId="0" fontId="26" fillId="19" borderId="29" xfId="0" applyFont="1" applyFill="1" applyBorder="1" applyAlignment="1">
      <alignment horizontal="left" vertical="center" wrapText="1"/>
    </xf>
    <xf numFmtId="0" fontId="26" fillId="19" borderId="30" xfId="0" applyFont="1" applyFill="1" applyBorder="1" applyAlignment="1">
      <alignment horizontal="left" vertical="center" wrapText="1"/>
    </xf>
    <xf numFmtId="0" fontId="26" fillId="19" borderId="33" xfId="0" applyFont="1" applyFill="1" applyBorder="1" applyAlignment="1">
      <alignment horizontal="left" vertical="center" wrapText="1"/>
    </xf>
    <xf numFmtId="0" fontId="26" fillId="19" borderId="21" xfId="0" applyFont="1" applyFill="1" applyBorder="1" applyAlignment="1">
      <alignment horizontal="left" vertical="center" wrapText="1"/>
    </xf>
    <xf numFmtId="0" fontId="26" fillId="16" borderId="34" xfId="0" applyFont="1" applyFill="1" applyBorder="1" applyAlignment="1">
      <alignment horizontal="left" vertical="center" wrapText="1"/>
    </xf>
    <xf numFmtId="0" fontId="26" fillId="16" borderId="31" xfId="0" applyFont="1" applyFill="1" applyBorder="1" applyAlignment="1">
      <alignment horizontal="left" vertical="center" wrapText="1"/>
    </xf>
    <xf numFmtId="0" fontId="26" fillId="16" borderId="23" xfId="0" applyFont="1" applyFill="1" applyBorder="1" applyAlignment="1">
      <alignment horizontal="left" vertical="center" wrapText="1"/>
    </xf>
    <xf numFmtId="0" fontId="26" fillId="20" borderId="34" xfId="0" applyFont="1" applyFill="1" applyBorder="1" applyAlignment="1">
      <alignment horizontal="left" vertical="center" wrapText="1"/>
    </xf>
    <xf numFmtId="0" fontId="26" fillId="20" borderId="23" xfId="0" applyFont="1" applyFill="1" applyBorder="1" applyAlignment="1">
      <alignment horizontal="left" vertical="center" wrapText="1"/>
    </xf>
    <xf numFmtId="0" fontId="26" fillId="22" borderId="34" xfId="0" applyFont="1" applyFill="1" applyBorder="1" applyAlignment="1">
      <alignment horizontal="left" vertical="center" wrapText="1"/>
    </xf>
    <xf numFmtId="0" fontId="26" fillId="22" borderId="23" xfId="0" applyFont="1" applyFill="1" applyBorder="1" applyAlignment="1">
      <alignment horizontal="left" vertical="center" wrapText="1"/>
    </xf>
    <xf numFmtId="0" fontId="21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layout/>
    </c:title>
    <c:plotArea>
      <c:layout>
        <c:manualLayout>
          <c:layoutTarget val="inner"/>
          <c:xMode val="edge"/>
          <c:yMode val="edge"/>
          <c:x val="0.10761277057364751"/>
          <c:y val="0.32811630502905387"/>
          <c:w val="0.65364151343755506"/>
          <c:h val="0.61719517455522965"/>
        </c:manualLayout>
      </c:layout>
      <c:lineChart>
        <c:grouping val="standard"/>
        <c:ser>
          <c:idx val="0"/>
          <c:order val="0"/>
          <c:tx>
            <c:strRef>
              <c:f>個別計算!$G$5</c:f>
              <c:strCache>
                <c:ptCount val="1"/>
              </c:strCache>
            </c:strRef>
          </c:tx>
          <c:cat>
            <c:numRef>
              <c:f>個別計算!$F$6:$F$11</c:f>
              <c:numCache>
                <c:formatCode>General</c:formatCode>
                <c:ptCount val="6"/>
              </c:numCache>
            </c:numRef>
          </c:cat>
          <c:val>
            <c:numRef>
              <c:f>個別計算!$G$6:$G$11</c:f>
              <c:numCache>
                <c:formatCode>General</c:formatCode>
                <c:ptCount val="6"/>
              </c:numCache>
            </c:numRef>
          </c:val>
        </c:ser>
        <c:marker val="1"/>
        <c:axId val="205809920"/>
        <c:axId val="205815808"/>
      </c:lineChart>
      <c:catAx>
        <c:axId val="205809920"/>
        <c:scaling>
          <c:orientation val="minMax"/>
        </c:scaling>
        <c:axPos val="b"/>
        <c:numFmt formatCode="General" sourceLinked="1"/>
        <c:tickLblPos val="nextTo"/>
        <c:crossAx val="205815808"/>
        <c:crosses val="autoZero"/>
        <c:auto val="1"/>
        <c:lblAlgn val="ctr"/>
        <c:lblOffset val="100"/>
      </c:catAx>
      <c:valAx>
        <c:axId val="205815808"/>
        <c:scaling>
          <c:orientation val="minMax"/>
        </c:scaling>
        <c:axPos val="l"/>
        <c:majorGridlines/>
        <c:numFmt formatCode="General" sourceLinked="1"/>
        <c:tickLblPos val="nextTo"/>
        <c:crossAx val="2058099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0896647511387505E-2"/>
          <c:y val="8.1284574217614369E-2"/>
          <c:w val="0.90558616623760912"/>
          <c:h val="0.81342996711994453"/>
        </c:manualLayout>
      </c:layout>
      <c:lineChart>
        <c:grouping val="standard"/>
        <c:ser>
          <c:idx val="0"/>
          <c:order val="0"/>
          <c:tx>
            <c:strRef>
              <c:f>グラフ!$F$41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43802</c:v>
                </c:pt>
                <c:pt idx="1">
                  <c:v>43801</c:v>
                </c:pt>
                <c:pt idx="2">
                  <c:v>43798</c:v>
                </c:pt>
                <c:pt idx="3">
                  <c:v>43797</c:v>
                </c:pt>
                <c:pt idx="4">
                  <c:v>43796</c:v>
                </c:pt>
                <c:pt idx="5">
                  <c:v>43795</c:v>
                </c:pt>
                <c:pt idx="6">
                  <c:v>43794</c:v>
                </c:pt>
                <c:pt idx="7">
                  <c:v>43791</c:v>
                </c:pt>
                <c:pt idx="8">
                  <c:v>43790</c:v>
                </c:pt>
                <c:pt idx="9">
                  <c:v>43789</c:v>
                </c:pt>
                <c:pt idx="10">
                  <c:v>43788</c:v>
                </c:pt>
                <c:pt idx="11">
                  <c:v>43787</c:v>
                </c:pt>
                <c:pt idx="12">
                  <c:v>43784</c:v>
                </c:pt>
                <c:pt idx="13">
                  <c:v>43783</c:v>
                </c:pt>
                <c:pt idx="14">
                  <c:v>43782</c:v>
                </c:pt>
                <c:pt idx="15">
                  <c:v>43781</c:v>
                </c:pt>
                <c:pt idx="16">
                  <c:v>43780</c:v>
                </c:pt>
                <c:pt idx="17">
                  <c:v>43777</c:v>
                </c:pt>
                <c:pt idx="18">
                  <c:v>43776</c:v>
                </c:pt>
                <c:pt idx="19">
                  <c:v>43775</c:v>
                </c:pt>
                <c:pt idx="20">
                  <c:v>43774</c:v>
                </c:pt>
                <c:pt idx="21">
                  <c:v>43770</c:v>
                </c:pt>
                <c:pt idx="22">
                  <c:v>43769</c:v>
                </c:pt>
                <c:pt idx="23">
                  <c:v>43768</c:v>
                </c:pt>
                <c:pt idx="24">
                  <c:v>43767</c:v>
                </c:pt>
                <c:pt idx="25">
                  <c:v>43766</c:v>
                </c:pt>
                <c:pt idx="26">
                  <c:v>43763</c:v>
                </c:pt>
                <c:pt idx="27">
                  <c:v>43762</c:v>
                </c:pt>
                <c:pt idx="28">
                  <c:v>43761</c:v>
                </c:pt>
                <c:pt idx="29">
                  <c:v>43759</c:v>
                </c:pt>
                <c:pt idx="30">
                  <c:v>43756</c:v>
                </c:pt>
                <c:pt idx="31">
                  <c:v>43755</c:v>
                </c:pt>
                <c:pt idx="32">
                  <c:v>43754</c:v>
                </c:pt>
                <c:pt idx="33">
                  <c:v>43753</c:v>
                </c:pt>
                <c:pt idx="34">
                  <c:v>43749</c:v>
                </c:pt>
                <c:pt idx="35">
                  <c:v>43748</c:v>
                </c:pt>
                <c:pt idx="36">
                  <c:v>43747</c:v>
                </c:pt>
                <c:pt idx="37">
                  <c:v>43746</c:v>
                </c:pt>
                <c:pt idx="38">
                  <c:v>43745</c:v>
                </c:pt>
                <c:pt idx="39">
                  <c:v>43742</c:v>
                </c:pt>
                <c:pt idx="40">
                  <c:v>43741</c:v>
                </c:pt>
                <c:pt idx="41">
                  <c:v>43740</c:v>
                </c:pt>
                <c:pt idx="42">
                  <c:v>43739</c:v>
                </c:pt>
                <c:pt idx="43">
                  <c:v>43738</c:v>
                </c:pt>
                <c:pt idx="44">
                  <c:v>43735</c:v>
                </c:pt>
                <c:pt idx="45">
                  <c:v>43734</c:v>
                </c:pt>
                <c:pt idx="46">
                  <c:v>43733</c:v>
                </c:pt>
                <c:pt idx="47">
                  <c:v>43732</c:v>
                </c:pt>
                <c:pt idx="48">
                  <c:v>43728</c:v>
                </c:pt>
                <c:pt idx="49">
                  <c:v>43727</c:v>
                </c:pt>
                <c:pt idx="50">
                  <c:v>43726</c:v>
                </c:pt>
                <c:pt idx="51">
                  <c:v>43725</c:v>
                </c:pt>
                <c:pt idx="52">
                  <c:v>43721</c:v>
                </c:pt>
                <c:pt idx="53">
                  <c:v>43720</c:v>
                </c:pt>
                <c:pt idx="54">
                  <c:v>43719</c:v>
                </c:pt>
                <c:pt idx="55">
                  <c:v>43718</c:v>
                </c:pt>
                <c:pt idx="56">
                  <c:v>43717</c:v>
                </c:pt>
                <c:pt idx="57">
                  <c:v>43714</c:v>
                </c:pt>
                <c:pt idx="58">
                  <c:v>43713</c:v>
                </c:pt>
                <c:pt idx="59">
                  <c:v>43712</c:v>
                </c:pt>
                <c:pt idx="60">
                  <c:v>43711</c:v>
                </c:pt>
                <c:pt idx="61">
                  <c:v>43710</c:v>
                </c:pt>
                <c:pt idx="62">
                  <c:v>43707</c:v>
                </c:pt>
                <c:pt idx="63">
                  <c:v>43706</c:v>
                </c:pt>
                <c:pt idx="64">
                  <c:v>43705</c:v>
                </c:pt>
                <c:pt idx="65">
                  <c:v>43704</c:v>
                </c:pt>
                <c:pt idx="66">
                  <c:v>43703</c:v>
                </c:pt>
                <c:pt idx="67">
                  <c:v>43700</c:v>
                </c:pt>
                <c:pt idx="68">
                  <c:v>43699</c:v>
                </c:pt>
                <c:pt idx="69">
                  <c:v>43698</c:v>
                </c:pt>
                <c:pt idx="70">
                  <c:v>43697</c:v>
                </c:pt>
                <c:pt idx="71">
                  <c:v>43696</c:v>
                </c:pt>
                <c:pt idx="72">
                  <c:v>43693</c:v>
                </c:pt>
                <c:pt idx="73">
                  <c:v>43692</c:v>
                </c:pt>
                <c:pt idx="74">
                  <c:v>43691</c:v>
                </c:pt>
                <c:pt idx="75">
                  <c:v>43690</c:v>
                </c:pt>
                <c:pt idx="76">
                  <c:v>43686</c:v>
                </c:pt>
                <c:pt idx="77">
                  <c:v>43685</c:v>
                </c:pt>
                <c:pt idx="78">
                  <c:v>43684</c:v>
                </c:pt>
                <c:pt idx="79">
                  <c:v>43683</c:v>
                </c:pt>
                <c:pt idx="80">
                  <c:v>43682</c:v>
                </c:pt>
                <c:pt idx="81">
                  <c:v>43679</c:v>
                </c:pt>
                <c:pt idx="82">
                  <c:v>43678</c:v>
                </c:pt>
                <c:pt idx="83">
                  <c:v>43677</c:v>
                </c:pt>
                <c:pt idx="84">
                  <c:v>43676</c:v>
                </c:pt>
                <c:pt idx="85">
                  <c:v>43675</c:v>
                </c:pt>
                <c:pt idx="86">
                  <c:v>43672</c:v>
                </c:pt>
                <c:pt idx="87">
                  <c:v>43671</c:v>
                </c:pt>
                <c:pt idx="88">
                  <c:v>43670</c:v>
                </c:pt>
                <c:pt idx="89">
                  <c:v>43669</c:v>
                </c:pt>
                <c:pt idx="90">
                  <c:v>43668</c:v>
                </c:pt>
                <c:pt idx="91">
                  <c:v>43665</c:v>
                </c:pt>
                <c:pt idx="92">
                  <c:v>43664</c:v>
                </c:pt>
                <c:pt idx="93">
                  <c:v>43663</c:v>
                </c:pt>
                <c:pt idx="94">
                  <c:v>43662</c:v>
                </c:pt>
                <c:pt idx="95">
                  <c:v>43658</c:v>
                </c:pt>
                <c:pt idx="96">
                  <c:v>43657</c:v>
                </c:pt>
                <c:pt idx="97">
                  <c:v>43656</c:v>
                </c:pt>
                <c:pt idx="98">
                  <c:v>43655</c:v>
                </c:pt>
                <c:pt idx="99">
                  <c:v>43654</c:v>
                </c:pt>
                <c:pt idx="100">
                  <c:v>43651</c:v>
                </c:pt>
                <c:pt idx="101">
                  <c:v>43650</c:v>
                </c:pt>
                <c:pt idx="102">
                  <c:v>43649</c:v>
                </c:pt>
                <c:pt idx="103">
                  <c:v>43648</c:v>
                </c:pt>
                <c:pt idx="104">
                  <c:v>43647</c:v>
                </c:pt>
                <c:pt idx="105">
                  <c:v>43644</c:v>
                </c:pt>
                <c:pt idx="106">
                  <c:v>43643</c:v>
                </c:pt>
                <c:pt idx="107">
                  <c:v>43642</c:v>
                </c:pt>
                <c:pt idx="108">
                  <c:v>43641</c:v>
                </c:pt>
                <c:pt idx="109">
                  <c:v>43640</c:v>
                </c:pt>
                <c:pt idx="110">
                  <c:v>43637</c:v>
                </c:pt>
                <c:pt idx="111">
                  <c:v>43636</c:v>
                </c:pt>
                <c:pt idx="112">
                  <c:v>43635</c:v>
                </c:pt>
                <c:pt idx="113">
                  <c:v>43634</c:v>
                </c:pt>
                <c:pt idx="114">
                  <c:v>43633</c:v>
                </c:pt>
                <c:pt idx="115">
                  <c:v>43630</c:v>
                </c:pt>
                <c:pt idx="116">
                  <c:v>43629</c:v>
                </c:pt>
                <c:pt idx="117">
                  <c:v>43628</c:v>
                </c:pt>
                <c:pt idx="118">
                  <c:v>43627</c:v>
                </c:pt>
                <c:pt idx="119">
                  <c:v>43626</c:v>
                </c:pt>
                <c:pt idx="120">
                  <c:v>43623</c:v>
                </c:pt>
                <c:pt idx="121">
                  <c:v>43622</c:v>
                </c:pt>
                <c:pt idx="122">
                  <c:v>43621</c:v>
                </c:pt>
                <c:pt idx="123">
                  <c:v>43620</c:v>
                </c:pt>
                <c:pt idx="124">
                  <c:v>43619</c:v>
                </c:pt>
                <c:pt idx="125">
                  <c:v>43616</c:v>
                </c:pt>
                <c:pt idx="126">
                  <c:v>43615</c:v>
                </c:pt>
                <c:pt idx="127">
                  <c:v>43614</c:v>
                </c:pt>
                <c:pt idx="128">
                  <c:v>43613</c:v>
                </c:pt>
                <c:pt idx="129">
                  <c:v>43612</c:v>
                </c:pt>
                <c:pt idx="130">
                  <c:v>43609</c:v>
                </c:pt>
                <c:pt idx="131">
                  <c:v>43608</c:v>
                </c:pt>
                <c:pt idx="132">
                  <c:v>43607</c:v>
                </c:pt>
                <c:pt idx="133">
                  <c:v>43606</c:v>
                </c:pt>
                <c:pt idx="134">
                  <c:v>43605</c:v>
                </c:pt>
                <c:pt idx="135">
                  <c:v>43602</c:v>
                </c:pt>
                <c:pt idx="136">
                  <c:v>43601</c:v>
                </c:pt>
                <c:pt idx="137">
                  <c:v>43600</c:v>
                </c:pt>
                <c:pt idx="138">
                  <c:v>43599</c:v>
                </c:pt>
                <c:pt idx="139">
                  <c:v>43598</c:v>
                </c:pt>
                <c:pt idx="140">
                  <c:v>43595</c:v>
                </c:pt>
                <c:pt idx="141">
                  <c:v>43594</c:v>
                </c:pt>
                <c:pt idx="142">
                  <c:v>43593</c:v>
                </c:pt>
                <c:pt idx="143">
                  <c:v>43592</c:v>
                </c:pt>
                <c:pt idx="144">
                  <c:v>43581</c:v>
                </c:pt>
                <c:pt idx="145">
                  <c:v>43580</c:v>
                </c:pt>
                <c:pt idx="146">
                  <c:v>43579</c:v>
                </c:pt>
                <c:pt idx="147">
                  <c:v>43578</c:v>
                </c:pt>
                <c:pt idx="148">
                  <c:v>43577</c:v>
                </c:pt>
                <c:pt idx="149">
                  <c:v>43574</c:v>
                </c:pt>
                <c:pt idx="150">
                  <c:v>43573</c:v>
                </c:pt>
                <c:pt idx="151">
                  <c:v>43572</c:v>
                </c:pt>
                <c:pt idx="152">
                  <c:v>43571</c:v>
                </c:pt>
                <c:pt idx="153">
                  <c:v>43570</c:v>
                </c:pt>
                <c:pt idx="154">
                  <c:v>43567</c:v>
                </c:pt>
                <c:pt idx="155">
                  <c:v>43566</c:v>
                </c:pt>
                <c:pt idx="156">
                  <c:v>43565</c:v>
                </c:pt>
                <c:pt idx="157">
                  <c:v>43564</c:v>
                </c:pt>
                <c:pt idx="158">
                  <c:v>43563</c:v>
                </c:pt>
                <c:pt idx="159">
                  <c:v>43560</c:v>
                </c:pt>
                <c:pt idx="160">
                  <c:v>43559</c:v>
                </c:pt>
                <c:pt idx="161">
                  <c:v>43558</c:v>
                </c:pt>
                <c:pt idx="162">
                  <c:v>43557</c:v>
                </c:pt>
                <c:pt idx="163">
                  <c:v>43556</c:v>
                </c:pt>
                <c:pt idx="164">
                  <c:v>43553</c:v>
                </c:pt>
                <c:pt idx="165">
                  <c:v>43552</c:v>
                </c:pt>
                <c:pt idx="166">
                  <c:v>43551</c:v>
                </c:pt>
                <c:pt idx="167">
                  <c:v>43550</c:v>
                </c:pt>
                <c:pt idx="168">
                  <c:v>43549</c:v>
                </c:pt>
                <c:pt idx="169">
                  <c:v>43546</c:v>
                </c:pt>
                <c:pt idx="170">
                  <c:v>43544</c:v>
                </c:pt>
                <c:pt idx="171">
                  <c:v>43543</c:v>
                </c:pt>
                <c:pt idx="172">
                  <c:v>43542</c:v>
                </c:pt>
                <c:pt idx="173">
                  <c:v>43539</c:v>
                </c:pt>
                <c:pt idx="174">
                  <c:v>43538</c:v>
                </c:pt>
                <c:pt idx="175">
                  <c:v>43537</c:v>
                </c:pt>
                <c:pt idx="176">
                  <c:v>43536</c:v>
                </c:pt>
                <c:pt idx="177">
                  <c:v>43535</c:v>
                </c:pt>
                <c:pt idx="178">
                  <c:v>43532</c:v>
                </c:pt>
                <c:pt idx="179">
                  <c:v>43531</c:v>
                </c:pt>
                <c:pt idx="180">
                  <c:v>43530</c:v>
                </c:pt>
                <c:pt idx="181">
                  <c:v>43529</c:v>
                </c:pt>
                <c:pt idx="182">
                  <c:v>43528</c:v>
                </c:pt>
                <c:pt idx="183">
                  <c:v>43525</c:v>
                </c:pt>
                <c:pt idx="184">
                  <c:v>43524</c:v>
                </c:pt>
                <c:pt idx="185">
                  <c:v>43523</c:v>
                </c:pt>
                <c:pt idx="186">
                  <c:v>43522</c:v>
                </c:pt>
                <c:pt idx="187">
                  <c:v>43521</c:v>
                </c:pt>
                <c:pt idx="188">
                  <c:v>43518</c:v>
                </c:pt>
                <c:pt idx="189">
                  <c:v>43517</c:v>
                </c:pt>
                <c:pt idx="190">
                  <c:v>43516</c:v>
                </c:pt>
                <c:pt idx="191">
                  <c:v>43515</c:v>
                </c:pt>
                <c:pt idx="192">
                  <c:v>43514</c:v>
                </c:pt>
                <c:pt idx="193">
                  <c:v>43511</c:v>
                </c:pt>
                <c:pt idx="194">
                  <c:v>43510</c:v>
                </c:pt>
                <c:pt idx="195">
                  <c:v>43509</c:v>
                </c:pt>
                <c:pt idx="196">
                  <c:v>43508</c:v>
                </c:pt>
                <c:pt idx="197">
                  <c:v>43504</c:v>
                </c:pt>
                <c:pt idx="198">
                  <c:v>43503</c:v>
                </c:pt>
                <c:pt idx="199">
                  <c:v>43502</c:v>
                </c:pt>
                <c:pt idx="200">
                  <c:v>43501</c:v>
                </c:pt>
                <c:pt idx="201">
                  <c:v>43500</c:v>
                </c:pt>
                <c:pt idx="202">
                  <c:v>43497</c:v>
                </c:pt>
                <c:pt idx="203">
                  <c:v>43496</c:v>
                </c:pt>
                <c:pt idx="204">
                  <c:v>43495</c:v>
                </c:pt>
                <c:pt idx="205">
                  <c:v>43494</c:v>
                </c:pt>
                <c:pt idx="206">
                  <c:v>43493</c:v>
                </c:pt>
                <c:pt idx="207">
                  <c:v>43490</c:v>
                </c:pt>
                <c:pt idx="208">
                  <c:v>43489</c:v>
                </c:pt>
                <c:pt idx="209">
                  <c:v>43488</c:v>
                </c:pt>
                <c:pt idx="210">
                  <c:v>43487</c:v>
                </c:pt>
                <c:pt idx="211">
                  <c:v>43486</c:v>
                </c:pt>
                <c:pt idx="212">
                  <c:v>43483</c:v>
                </c:pt>
                <c:pt idx="213">
                  <c:v>43482</c:v>
                </c:pt>
                <c:pt idx="214">
                  <c:v>43481</c:v>
                </c:pt>
                <c:pt idx="215">
                  <c:v>43480</c:v>
                </c:pt>
                <c:pt idx="216">
                  <c:v>43476</c:v>
                </c:pt>
                <c:pt idx="217">
                  <c:v>43475</c:v>
                </c:pt>
                <c:pt idx="218">
                  <c:v>43474</c:v>
                </c:pt>
                <c:pt idx="219">
                  <c:v>43473</c:v>
                </c:pt>
                <c:pt idx="220">
                  <c:v>43472</c:v>
                </c:pt>
                <c:pt idx="221">
                  <c:v>43469</c:v>
                </c:pt>
                <c:pt idx="222">
                  <c:v>43462</c:v>
                </c:pt>
                <c:pt idx="223">
                  <c:v>43461</c:v>
                </c:pt>
                <c:pt idx="224">
                  <c:v>43460</c:v>
                </c:pt>
                <c:pt idx="225">
                  <c:v>43459</c:v>
                </c:pt>
                <c:pt idx="226">
                  <c:v>43455</c:v>
                </c:pt>
                <c:pt idx="227">
                  <c:v>43454</c:v>
                </c:pt>
                <c:pt idx="228">
                  <c:v>43453</c:v>
                </c:pt>
                <c:pt idx="229">
                  <c:v>43452</c:v>
                </c:pt>
                <c:pt idx="230">
                  <c:v>43451</c:v>
                </c:pt>
                <c:pt idx="231">
                  <c:v>43448</c:v>
                </c:pt>
                <c:pt idx="232">
                  <c:v>43447</c:v>
                </c:pt>
                <c:pt idx="233">
                  <c:v>43446</c:v>
                </c:pt>
                <c:pt idx="234">
                  <c:v>43445</c:v>
                </c:pt>
                <c:pt idx="235">
                  <c:v>43444</c:v>
                </c:pt>
                <c:pt idx="236">
                  <c:v>43441</c:v>
                </c:pt>
                <c:pt idx="237">
                  <c:v>43440</c:v>
                </c:pt>
                <c:pt idx="238">
                  <c:v>43439</c:v>
                </c:pt>
                <c:pt idx="239">
                  <c:v>43438</c:v>
                </c:pt>
                <c:pt idx="240">
                  <c:v>43437</c:v>
                </c:pt>
              </c:numCache>
            </c:numRef>
          </c:cat>
          <c:val>
            <c:numRef>
              <c:f>グラフ!$F$42:$F$703</c:f>
              <c:numCache>
                <c:formatCode>General</c:formatCode>
                <c:ptCount val="662"/>
                <c:pt idx="0">
                  <c:v>0.59215915740198899</c:v>
                </c:pt>
                <c:pt idx="1">
                  <c:v>0.59038238702201595</c:v>
                </c:pt>
                <c:pt idx="2">
                  <c:v>0.58212420197330195</c:v>
                </c:pt>
                <c:pt idx="3">
                  <c:v>0.57934655775962596</c:v>
                </c:pt>
                <c:pt idx="4">
                  <c:v>0.574332171893147</c:v>
                </c:pt>
                <c:pt idx="5">
                  <c:v>0.57084548104956201</c:v>
                </c:pt>
                <c:pt idx="6">
                  <c:v>0.56976744186046502</c:v>
                </c:pt>
                <c:pt idx="7">
                  <c:v>0.56554967666078704</c:v>
                </c:pt>
                <c:pt idx="8">
                  <c:v>0.56552538370720096</c:v>
                </c:pt>
                <c:pt idx="9">
                  <c:v>0.56443148688046596</c:v>
                </c:pt>
                <c:pt idx="10">
                  <c:v>0.57142857142857095</c:v>
                </c:pt>
                <c:pt idx="11">
                  <c:v>0.58081395348837195</c:v>
                </c:pt>
                <c:pt idx="12">
                  <c:v>0.58872403560830799</c:v>
                </c:pt>
                <c:pt idx="13">
                  <c:v>0.579293836026331</c:v>
                </c:pt>
                <c:pt idx="14">
                  <c:v>0.57168037602820199</c:v>
                </c:pt>
                <c:pt idx="15">
                  <c:v>0.56341320864991196</c:v>
                </c:pt>
                <c:pt idx="16">
                  <c:v>0.55614035087719205</c:v>
                </c:pt>
                <c:pt idx="17">
                  <c:v>0.55812608444187395</c:v>
                </c:pt>
                <c:pt idx="18">
                  <c:v>0.54529514903565102</c:v>
                </c:pt>
                <c:pt idx="19">
                  <c:v>0.55097230406599795</c:v>
                </c:pt>
                <c:pt idx="20">
                  <c:v>0.57330939557151395</c:v>
                </c:pt>
                <c:pt idx="21">
                  <c:v>0.56121814791796099</c:v>
                </c:pt>
                <c:pt idx="22">
                  <c:v>0.56697819314641695</c:v>
                </c:pt>
                <c:pt idx="23">
                  <c:v>0.58136566687938696</c:v>
                </c:pt>
                <c:pt idx="24">
                  <c:v>0.58201393286890402</c:v>
                </c:pt>
                <c:pt idx="25">
                  <c:v>0.58177117000646394</c:v>
                </c:pt>
                <c:pt idx="26">
                  <c:v>0.57839947950552995</c:v>
                </c:pt>
                <c:pt idx="27">
                  <c:v>0.57945736434108497</c:v>
                </c:pt>
                <c:pt idx="28">
                  <c:v>0.57785016286644897</c:v>
                </c:pt>
                <c:pt idx="29">
                  <c:v>0.57518056467498302</c:v>
                </c:pt>
                <c:pt idx="30">
                  <c:v>0.57320261437908404</c:v>
                </c:pt>
                <c:pt idx="31">
                  <c:v>0.57058823529411695</c:v>
                </c:pt>
                <c:pt idx="32">
                  <c:v>0.57244501940491499</c:v>
                </c:pt>
                <c:pt idx="33">
                  <c:v>0.57161458333333304</c:v>
                </c:pt>
                <c:pt idx="34">
                  <c:v>0.565974547890154</c:v>
                </c:pt>
                <c:pt idx="35">
                  <c:v>0.56566347469220202</c:v>
                </c:pt>
                <c:pt idx="36">
                  <c:v>0.55715263518138203</c:v>
                </c:pt>
                <c:pt idx="37">
                  <c:v>0.56462585034013602</c:v>
                </c:pt>
                <c:pt idx="38">
                  <c:v>0.55616065350578603</c:v>
                </c:pt>
                <c:pt idx="39">
                  <c:v>0.55390835579514797</c:v>
                </c:pt>
                <c:pt idx="40">
                  <c:v>0.55951580363147202</c:v>
                </c:pt>
                <c:pt idx="41">
                  <c:v>0.56442119032047</c:v>
                </c:pt>
                <c:pt idx="42">
                  <c:v>0.56221792392005099</c:v>
                </c:pt>
                <c:pt idx="43">
                  <c:v>0.55724685638649896</c:v>
                </c:pt>
                <c:pt idx="44">
                  <c:v>0.56547619047619002</c:v>
                </c:pt>
                <c:pt idx="45">
                  <c:v>0.56609947643978997</c:v>
                </c:pt>
                <c:pt idx="46">
                  <c:v>0.56607495069033498</c:v>
                </c:pt>
                <c:pt idx="47">
                  <c:v>0.57386736703873897</c:v>
                </c:pt>
                <c:pt idx="48">
                  <c:v>0.56975228161668801</c:v>
                </c:pt>
                <c:pt idx="49">
                  <c:v>0.57611548556430403</c:v>
                </c:pt>
                <c:pt idx="50">
                  <c:v>0.57601572739187401</c:v>
                </c:pt>
                <c:pt idx="51">
                  <c:v>0.56958762886597902</c:v>
                </c:pt>
                <c:pt idx="52">
                  <c:v>0.56138107416879701</c:v>
                </c:pt>
                <c:pt idx="53">
                  <c:v>0.55661577608142498</c:v>
                </c:pt>
                <c:pt idx="54">
                  <c:v>0.55782747603833804</c:v>
                </c:pt>
                <c:pt idx="55">
                  <c:v>0.56245824983299897</c:v>
                </c:pt>
                <c:pt idx="56">
                  <c:v>0.56202356202356196</c:v>
                </c:pt>
                <c:pt idx="57">
                  <c:v>0.55061559507523905</c:v>
                </c:pt>
                <c:pt idx="58">
                  <c:v>0.54355400696864098</c:v>
                </c:pt>
                <c:pt idx="59">
                  <c:v>0.53791130185979896</c:v>
                </c:pt>
                <c:pt idx="60">
                  <c:v>0.54249291784702502</c:v>
                </c:pt>
                <c:pt idx="61">
                  <c:v>0.55539772727272696</c:v>
                </c:pt>
                <c:pt idx="62">
                  <c:v>0.55377094972066998</c:v>
                </c:pt>
                <c:pt idx="63">
                  <c:v>0.55555555555555503</c:v>
                </c:pt>
                <c:pt idx="64">
                  <c:v>0.55349500713266697</c:v>
                </c:pt>
                <c:pt idx="65">
                  <c:v>0.55650929899856905</c:v>
                </c:pt>
                <c:pt idx="66">
                  <c:v>0.55057803468208</c:v>
                </c:pt>
                <c:pt idx="67">
                  <c:v>0.57081850533807799</c:v>
                </c:pt>
                <c:pt idx="68">
                  <c:v>0.56918687589158301</c:v>
                </c:pt>
                <c:pt idx="69">
                  <c:v>0.57245854361932202</c:v>
                </c:pt>
                <c:pt idx="70">
                  <c:v>0.56611865618298696</c:v>
                </c:pt>
                <c:pt idx="71">
                  <c:v>0.56793673616103502</c:v>
                </c:pt>
                <c:pt idx="72">
                  <c:v>0.56676342525399104</c:v>
                </c:pt>
                <c:pt idx="73">
                  <c:v>0.56809905316824405</c:v>
                </c:pt>
                <c:pt idx="74">
                  <c:v>0.57523398128149705</c:v>
                </c:pt>
                <c:pt idx="75">
                  <c:v>0.56862745098039202</c:v>
                </c:pt>
                <c:pt idx="76">
                  <c:v>0.57152974504249199</c:v>
                </c:pt>
                <c:pt idx="77">
                  <c:v>0.55476529160739596</c:v>
                </c:pt>
                <c:pt idx="78">
                  <c:v>0.54939587775408605</c:v>
                </c:pt>
                <c:pt idx="79">
                  <c:v>0.56614509246088196</c:v>
                </c:pt>
                <c:pt idx="80">
                  <c:v>0.562764456981664</c:v>
                </c:pt>
                <c:pt idx="81">
                  <c:v>0.55741127348643005</c:v>
                </c:pt>
                <c:pt idx="82">
                  <c:v>0.58520027155465004</c:v>
                </c:pt>
                <c:pt idx="83">
                  <c:v>0.55780535597648595</c:v>
                </c:pt>
                <c:pt idx="84">
                  <c:v>0.58333333333333304</c:v>
                </c:pt>
                <c:pt idx="85">
                  <c:v>0.59653979238754296</c:v>
                </c:pt>
                <c:pt idx="86">
                  <c:v>0.58281786941580704</c:v>
                </c:pt>
                <c:pt idx="87">
                  <c:v>0.57239512855209695</c:v>
                </c:pt>
                <c:pt idx="88">
                  <c:v>0.57621326042378596</c:v>
                </c:pt>
                <c:pt idx="89">
                  <c:v>0.58133150308853798</c:v>
                </c:pt>
                <c:pt idx="90">
                  <c:v>0.57550452331245605</c:v>
                </c:pt>
                <c:pt idx="91">
                  <c:v>0.57876230661040695</c:v>
                </c:pt>
                <c:pt idx="92">
                  <c:v>0.57656362329259503</c:v>
                </c:pt>
                <c:pt idx="93">
                  <c:v>0.59001406469760898</c:v>
                </c:pt>
                <c:pt idx="94">
                  <c:v>0.57678943710910302</c:v>
                </c:pt>
                <c:pt idx="95">
                  <c:v>0.57839721254355403</c:v>
                </c:pt>
                <c:pt idx="96">
                  <c:v>0.57847222222222205</c:v>
                </c:pt>
                <c:pt idx="97">
                  <c:v>0.57627118644067798</c:v>
                </c:pt>
                <c:pt idx="98">
                  <c:v>0.57172848145556299</c:v>
                </c:pt>
                <c:pt idx="99">
                  <c:v>0.56984785615490996</c:v>
                </c:pt>
                <c:pt idx="100">
                  <c:v>0.56348661633493402</c:v>
                </c:pt>
                <c:pt idx="101">
                  <c:v>0.56756756756756699</c:v>
                </c:pt>
                <c:pt idx="102">
                  <c:v>0.56933797909407602</c:v>
                </c:pt>
                <c:pt idx="103">
                  <c:v>0.57854671280276804</c:v>
                </c:pt>
                <c:pt idx="104">
                  <c:v>0.58287292817679504</c:v>
                </c:pt>
                <c:pt idx="105">
                  <c:v>0.58203677510608198</c:v>
                </c:pt>
                <c:pt idx="106">
                  <c:v>0.58557284299858503</c:v>
                </c:pt>
                <c:pt idx="107">
                  <c:v>0.59226841721371204</c:v>
                </c:pt>
                <c:pt idx="108">
                  <c:v>0.59018759018759004</c:v>
                </c:pt>
                <c:pt idx="109">
                  <c:v>0.59029264810849302</c:v>
                </c:pt>
                <c:pt idx="110">
                  <c:v>0.59350180505415095</c:v>
                </c:pt>
                <c:pt idx="111">
                  <c:v>0.58569405099150096</c:v>
                </c:pt>
                <c:pt idx="112">
                  <c:v>0.57987332864180097</c:v>
                </c:pt>
                <c:pt idx="113">
                  <c:v>0.57358219669777399</c:v>
                </c:pt>
                <c:pt idx="114">
                  <c:v>0.58099352051835795</c:v>
                </c:pt>
                <c:pt idx="115">
                  <c:v>0.59097421203438305</c:v>
                </c:pt>
                <c:pt idx="116">
                  <c:v>0.58351254480286696</c:v>
                </c:pt>
                <c:pt idx="117">
                  <c:v>0.57364341085271298</c:v>
                </c:pt>
                <c:pt idx="118">
                  <c:v>0.56713286713286704</c:v>
                </c:pt>
                <c:pt idx="119">
                  <c:v>0.55673009161381204</c:v>
                </c:pt>
                <c:pt idx="120">
                  <c:v>0.55899280575539501</c:v>
                </c:pt>
                <c:pt idx="121">
                  <c:v>0.55251798561151</c:v>
                </c:pt>
                <c:pt idx="122">
                  <c:v>0.55003548616039699</c:v>
                </c:pt>
                <c:pt idx="123">
                  <c:v>0.54202898550724599</c:v>
                </c:pt>
                <c:pt idx="124">
                  <c:v>0.54973821989528704</c:v>
                </c:pt>
                <c:pt idx="125">
                  <c:v>0.56606606606606602</c:v>
                </c:pt>
                <c:pt idx="126">
                  <c:v>0.55772005772005695</c:v>
                </c:pt>
                <c:pt idx="127">
                  <c:v>0.55147588192944497</c:v>
                </c:pt>
                <c:pt idx="128">
                  <c:v>0.54700854700854695</c:v>
                </c:pt>
                <c:pt idx="129">
                  <c:v>0.55427749820273098</c:v>
                </c:pt>
                <c:pt idx="130">
                  <c:v>0.55363570914326798</c:v>
                </c:pt>
                <c:pt idx="131">
                  <c:v>0.55068296189791499</c:v>
                </c:pt>
                <c:pt idx="132">
                  <c:v>0.55216465578424401</c:v>
                </c:pt>
                <c:pt idx="133">
                  <c:v>0.54788732394366202</c:v>
                </c:pt>
                <c:pt idx="134">
                  <c:v>0.54431263084438197</c:v>
                </c:pt>
                <c:pt idx="135">
                  <c:v>0.54287690179806303</c:v>
                </c:pt>
                <c:pt idx="136">
                  <c:v>0.53878116343490301</c:v>
                </c:pt>
                <c:pt idx="137">
                  <c:v>0.54965517241379303</c:v>
                </c:pt>
                <c:pt idx="138">
                  <c:v>0.56338028169013998</c:v>
                </c:pt>
                <c:pt idx="139">
                  <c:v>0.56829440905873996</c:v>
                </c:pt>
                <c:pt idx="140">
                  <c:v>0.56597222222222199</c:v>
                </c:pt>
                <c:pt idx="141">
                  <c:v>0.58811333794056597</c:v>
                </c:pt>
                <c:pt idx="142">
                  <c:v>0.60685483870967705</c:v>
                </c:pt>
                <c:pt idx="143">
                  <c:v>0.62068965517241304</c:v>
                </c:pt>
                <c:pt idx="144">
                  <c:v>0.59914841849148404</c:v>
                </c:pt>
                <c:pt idx="145">
                  <c:v>0.58149010477299101</c:v>
                </c:pt>
                <c:pt idx="146">
                  <c:v>0.57925072046109505</c:v>
                </c:pt>
                <c:pt idx="147">
                  <c:v>0.57047353760445596</c:v>
                </c:pt>
                <c:pt idx="148">
                  <c:v>0.56835722160970203</c:v>
                </c:pt>
                <c:pt idx="149">
                  <c:v>0.56455142231947397</c:v>
                </c:pt>
                <c:pt idx="150">
                  <c:v>0.55916345624656005</c:v>
                </c:pt>
                <c:pt idx="151">
                  <c:v>0.57681641708263998</c:v>
                </c:pt>
                <c:pt idx="152">
                  <c:v>0.57992148065058802</c:v>
                </c:pt>
                <c:pt idx="153">
                  <c:v>0.58375634517766495</c:v>
                </c:pt>
                <c:pt idx="154">
                  <c:v>0.573378839590443</c:v>
                </c:pt>
                <c:pt idx="155">
                  <c:v>0.57361268403170995</c:v>
                </c:pt>
                <c:pt idx="156">
                  <c:v>0.58091993185689905</c:v>
                </c:pt>
                <c:pt idx="157">
                  <c:v>0.57948139797068698</c:v>
                </c:pt>
                <c:pt idx="158">
                  <c:v>0.57536557930258703</c:v>
                </c:pt>
                <c:pt idx="159">
                  <c:v>0.58783783783783705</c:v>
                </c:pt>
                <c:pt idx="160">
                  <c:v>0.58252427184466005</c:v>
                </c:pt>
                <c:pt idx="161">
                  <c:v>0.58184951177484201</c:v>
                </c:pt>
                <c:pt idx="162">
                  <c:v>0.58592848904267503</c:v>
                </c:pt>
                <c:pt idx="163">
                  <c:v>0.57940663176265195</c:v>
                </c:pt>
                <c:pt idx="164">
                  <c:v>0.57731343283582004</c:v>
                </c:pt>
                <c:pt idx="165">
                  <c:v>0.56708407871198496</c:v>
                </c:pt>
                <c:pt idx="166">
                  <c:v>0.56600467289719603</c:v>
                </c:pt>
                <c:pt idx="167">
                  <c:v>0.55043227665705996</c:v>
                </c:pt>
                <c:pt idx="168">
                  <c:v>0.54896142433234396</c:v>
                </c:pt>
                <c:pt idx="169">
                  <c:v>0.55434157561817099</c:v>
                </c:pt>
                <c:pt idx="170">
                  <c:v>0.55799192152336896</c:v>
                </c:pt>
                <c:pt idx="171">
                  <c:v>0.55471916618413397</c:v>
                </c:pt>
                <c:pt idx="172">
                  <c:v>0.55439208842350196</c:v>
                </c:pt>
                <c:pt idx="173">
                  <c:v>0.54022988505747105</c:v>
                </c:pt>
                <c:pt idx="174">
                  <c:v>0.54555940023067995</c:v>
                </c:pt>
                <c:pt idx="175">
                  <c:v>0.53615819209039495</c:v>
                </c:pt>
                <c:pt idx="176">
                  <c:v>0.54140845070422505</c:v>
                </c:pt>
                <c:pt idx="177">
                  <c:v>0.53837276399307499</c:v>
                </c:pt>
                <c:pt idx="178">
                  <c:v>0.53998832457676504</c:v>
                </c:pt>
                <c:pt idx="179">
                  <c:v>0.536901408450704</c:v>
                </c:pt>
                <c:pt idx="180">
                  <c:v>0.52996670366259702</c:v>
                </c:pt>
                <c:pt idx="181">
                  <c:v>0.51815181518151798</c:v>
                </c:pt>
                <c:pt idx="182">
                  <c:v>0.52034725990233299</c:v>
                </c:pt>
                <c:pt idx="183">
                  <c:v>0.514754098360655</c:v>
                </c:pt>
                <c:pt idx="184">
                  <c:v>0.51882160392798604</c:v>
                </c:pt>
                <c:pt idx="185">
                  <c:v>0.526771227690643</c:v>
                </c:pt>
                <c:pt idx="186">
                  <c:v>0.51995685005393699</c:v>
                </c:pt>
                <c:pt idx="187">
                  <c:v>0.52583423035522003</c:v>
                </c:pt>
                <c:pt idx="188">
                  <c:v>0.53165938864628803</c:v>
                </c:pt>
                <c:pt idx="189">
                  <c:v>0.526633717737506</c:v>
                </c:pt>
                <c:pt idx="190">
                  <c:v>0.52117263843648198</c:v>
                </c:pt>
                <c:pt idx="191">
                  <c:v>0.52039151712887399</c:v>
                </c:pt>
                <c:pt idx="192">
                  <c:v>0.52383561643835597</c:v>
                </c:pt>
                <c:pt idx="193">
                  <c:v>0.53250423968343696</c:v>
                </c:pt>
                <c:pt idx="194">
                  <c:v>0.54769921436588098</c:v>
                </c:pt>
                <c:pt idx="195">
                  <c:v>0.51741293532338295</c:v>
                </c:pt>
                <c:pt idx="196">
                  <c:v>0.514746800222593</c:v>
                </c:pt>
                <c:pt idx="197">
                  <c:v>0.52305896088733195</c:v>
                </c:pt>
                <c:pt idx="198">
                  <c:v>0.52432126696832504</c:v>
                </c:pt>
                <c:pt idx="199">
                  <c:v>0.52977528089887604</c:v>
                </c:pt>
                <c:pt idx="200">
                  <c:v>0.530337078651685</c:v>
                </c:pt>
                <c:pt idx="201">
                  <c:v>0.53798185941042997</c:v>
                </c:pt>
                <c:pt idx="202">
                  <c:v>0.53949678174370896</c:v>
                </c:pt>
                <c:pt idx="203">
                  <c:v>0.53567383918459799</c:v>
                </c:pt>
                <c:pt idx="204">
                  <c:v>0.54224537037037002</c:v>
                </c:pt>
                <c:pt idx="205">
                  <c:v>0.54587155963302703</c:v>
                </c:pt>
                <c:pt idx="206">
                  <c:v>0.53965517241379302</c:v>
                </c:pt>
                <c:pt idx="207">
                  <c:v>0.54228571428571404</c:v>
                </c:pt>
                <c:pt idx="208">
                  <c:v>0.53965517241379302</c:v>
                </c:pt>
                <c:pt idx="209">
                  <c:v>0.53770869314910696</c:v>
                </c:pt>
                <c:pt idx="210">
                  <c:v>0.53133985048878596</c:v>
                </c:pt>
                <c:pt idx="211">
                  <c:v>0.53075170842824604</c:v>
                </c:pt>
                <c:pt idx="212">
                  <c:v>0.533834586466165</c:v>
                </c:pt>
                <c:pt idx="213">
                  <c:v>0.51972157772621796</c:v>
                </c:pt>
                <c:pt idx="214">
                  <c:v>0.51425247236765503</c:v>
                </c:pt>
                <c:pt idx="215">
                  <c:v>0.52027809965237504</c:v>
                </c:pt>
                <c:pt idx="216">
                  <c:v>0.51135701805474598</c:v>
                </c:pt>
                <c:pt idx="217">
                  <c:v>0.50524475524475498</c:v>
                </c:pt>
                <c:pt idx="218">
                  <c:v>0.50703399765533397</c:v>
                </c:pt>
                <c:pt idx="219">
                  <c:v>0.51219512195121897</c:v>
                </c:pt>
                <c:pt idx="220">
                  <c:v>0.50207715133531094</c:v>
                </c:pt>
                <c:pt idx="221">
                  <c:v>0.498765432098765</c:v>
                </c:pt>
                <c:pt idx="222">
                  <c:v>0.50639853747714803</c:v>
                </c:pt>
                <c:pt idx="223">
                  <c:v>0.49758454106280098</c:v>
                </c:pt>
                <c:pt idx="224">
                  <c:v>0.51468710089399705</c:v>
                </c:pt>
                <c:pt idx="225">
                  <c:v>0.52511415525114102</c:v>
                </c:pt>
                <c:pt idx="226">
                  <c:v>0.51082251082250996</c:v>
                </c:pt>
                <c:pt idx="227">
                  <c:v>0.5115712545676</c:v>
                </c:pt>
                <c:pt idx="228">
                  <c:v>0.519928613920285</c:v>
                </c:pt>
                <c:pt idx="229">
                  <c:v>0.52832438878950505</c:v>
                </c:pt>
                <c:pt idx="230">
                  <c:v>0.53759621077560604</c:v>
                </c:pt>
                <c:pt idx="231">
                  <c:v>0.53423054417788096</c:v>
                </c:pt>
                <c:pt idx="232">
                  <c:v>0.53727064220183396</c:v>
                </c:pt>
                <c:pt idx="233">
                  <c:v>0.54156908665105297</c:v>
                </c:pt>
                <c:pt idx="234">
                  <c:v>0.5546875</c:v>
                </c:pt>
                <c:pt idx="235">
                  <c:v>0.56157925751325799</c:v>
                </c:pt>
                <c:pt idx="236">
                  <c:v>0.56087709174841305</c:v>
                </c:pt>
                <c:pt idx="237">
                  <c:v>0.56343713956170705</c:v>
                </c:pt>
                <c:pt idx="238">
                  <c:v>0.5648201027984</c:v>
                </c:pt>
                <c:pt idx="239">
                  <c:v>0.56580427446569104</c:v>
                </c:pt>
                <c:pt idx="240">
                  <c:v>0.58605174353205802</c:v>
                </c:pt>
              </c:numCache>
            </c:numRef>
          </c:val>
        </c:ser>
        <c:ser>
          <c:idx val="1"/>
          <c:order val="1"/>
          <c:tx>
            <c:strRef>
              <c:f>グラフ!$N$41</c:f>
              <c:strCache>
                <c:ptCount val="1"/>
                <c:pt idx="0">
                  <c:v>+2-Sigama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dPt>
            <c:idx val="526"/>
            <c:spPr>
              <a:ln w="25400">
                <a:solidFill>
                  <a:schemeClr val="accent2"/>
                </a:solidFill>
              </a:ln>
            </c:spPr>
          </c:dPt>
          <c:cat>
            <c:numRef>
              <c:f>グラフ!$A$42:$A$703</c:f>
              <c:numCache>
                <c:formatCode>yyyy/mm/dd</c:formatCode>
                <c:ptCount val="662"/>
                <c:pt idx="0">
                  <c:v>43802</c:v>
                </c:pt>
                <c:pt idx="1">
                  <c:v>43801</c:v>
                </c:pt>
                <c:pt idx="2">
                  <c:v>43798</c:v>
                </c:pt>
                <c:pt idx="3">
                  <c:v>43797</c:v>
                </c:pt>
                <c:pt idx="4">
                  <c:v>43796</c:v>
                </c:pt>
                <c:pt idx="5">
                  <c:v>43795</c:v>
                </c:pt>
                <c:pt idx="6">
                  <c:v>43794</c:v>
                </c:pt>
                <c:pt idx="7">
                  <c:v>43791</c:v>
                </c:pt>
                <c:pt idx="8">
                  <c:v>43790</c:v>
                </c:pt>
                <c:pt idx="9">
                  <c:v>43789</c:v>
                </c:pt>
                <c:pt idx="10">
                  <c:v>43788</c:v>
                </c:pt>
                <c:pt idx="11">
                  <c:v>43787</c:v>
                </c:pt>
                <c:pt idx="12">
                  <c:v>43784</c:v>
                </c:pt>
                <c:pt idx="13">
                  <c:v>43783</c:v>
                </c:pt>
                <c:pt idx="14">
                  <c:v>43782</c:v>
                </c:pt>
                <c:pt idx="15">
                  <c:v>43781</c:v>
                </c:pt>
                <c:pt idx="16">
                  <c:v>43780</c:v>
                </c:pt>
                <c:pt idx="17">
                  <c:v>43777</c:v>
                </c:pt>
                <c:pt idx="18">
                  <c:v>43776</c:v>
                </c:pt>
                <c:pt idx="19">
                  <c:v>43775</c:v>
                </c:pt>
                <c:pt idx="20">
                  <c:v>43774</c:v>
                </c:pt>
                <c:pt idx="21">
                  <c:v>43770</c:v>
                </c:pt>
                <c:pt idx="22">
                  <c:v>43769</c:v>
                </c:pt>
                <c:pt idx="23">
                  <c:v>43768</c:v>
                </c:pt>
                <c:pt idx="24">
                  <c:v>43767</c:v>
                </c:pt>
                <c:pt idx="25">
                  <c:v>43766</c:v>
                </c:pt>
                <c:pt idx="26">
                  <c:v>43763</c:v>
                </c:pt>
                <c:pt idx="27">
                  <c:v>43762</c:v>
                </c:pt>
                <c:pt idx="28">
                  <c:v>43761</c:v>
                </c:pt>
                <c:pt idx="29">
                  <c:v>43759</c:v>
                </c:pt>
                <c:pt idx="30">
                  <c:v>43756</c:v>
                </c:pt>
                <c:pt idx="31">
                  <c:v>43755</c:v>
                </c:pt>
                <c:pt idx="32">
                  <c:v>43754</c:v>
                </c:pt>
                <c:pt idx="33">
                  <c:v>43753</c:v>
                </c:pt>
                <c:pt idx="34">
                  <c:v>43749</c:v>
                </c:pt>
                <c:pt idx="35">
                  <c:v>43748</c:v>
                </c:pt>
                <c:pt idx="36">
                  <c:v>43747</c:v>
                </c:pt>
                <c:pt idx="37">
                  <c:v>43746</c:v>
                </c:pt>
                <c:pt idx="38">
                  <c:v>43745</c:v>
                </c:pt>
                <c:pt idx="39">
                  <c:v>43742</c:v>
                </c:pt>
                <c:pt idx="40">
                  <c:v>43741</c:v>
                </c:pt>
                <c:pt idx="41">
                  <c:v>43740</c:v>
                </c:pt>
                <c:pt idx="42">
                  <c:v>43739</c:v>
                </c:pt>
                <c:pt idx="43">
                  <c:v>43738</c:v>
                </c:pt>
                <c:pt idx="44">
                  <c:v>43735</c:v>
                </c:pt>
                <c:pt idx="45">
                  <c:v>43734</c:v>
                </c:pt>
                <c:pt idx="46">
                  <c:v>43733</c:v>
                </c:pt>
                <c:pt idx="47">
                  <c:v>43732</c:v>
                </c:pt>
                <c:pt idx="48">
                  <c:v>43728</c:v>
                </c:pt>
                <c:pt idx="49">
                  <c:v>43727</c:v>
                </c:pt>
                <c:pt idx="50">
                  <c:v>43726</c:v>
                </c:pt>
                <c:pt idx="51">
                  <c:v>43725</c:v>
                </c:pt>
                <c:pt idx="52">
                  <c:v>43721</c:v>
                </c:pt>
                <c:pt idx="53">
                  <c:v>43720</c:v>
                </c:pt>
                <c:pt idx="54">
                  <c:v>43719</c:v>
                </c:pt>
                <c:pt idx="55">
                  <c:v>43718</c:v>
                </c:pt>
                <c:pt idx="56">
                  <c:v>43717</c:v>
                </c:pt>
                <c:pt idx="57">
                  <c:v>43714</c:v>
                </c:pt>
                <c:pt idx="58">
                  <c:v>43713</c:v>
                </c:pt>
                <c:pt idx="59">
                  <c:v>43712</c:v>
                </c:pt>
                <c:pt idx="60">
                  <c:v>43711</c:v>
                </c:pt>
                <c:pt idx="61">
                  <c:v>43710</c:v>
                </c:pt>
                <c:pt idx="62">
                  <c:v>43707</c:v>
                </c:pt>
                <c:pt idx="63">
                  <c:v>43706</c:v>
                </c:pt>
                <c:pt idx="64">
                  <c:v>43705</c:v>
                </c:pt>
                <c:pt idx="65">
                  <c:v>43704</c:v>
                </c:pt>
                <c:pt idx="66">
                  <c:v>43703</c:v>
                </c:pt>
                <c:pt idx="67">
                  <c:v>43700</c:v>
                </c:pt>
                <c:pt idx="68">
                  <c:v>43699</c:v>
                </c:pt>
                <c:pt idx="69">
                  <c:v>43698</c:v>
                </c:pt>
                <c:pt idx="70">
                  <c:v>43697</c:v>
                </c:pt>
                <c:pt idx="71">
                  <c:v>43696</c:v>
                </c:pt>
                <c:pt idx="72">
                  <c:v>43693</c:v>
                </c:pt>
                <c:pt idx="73">
                  <c:v>43692</c:v>
                </c:pt>
                <c:pt idx="74">
                  <c:v>43691</c:v>
                </c:pt>
                <c:pt idx="75">
                  <c:v>43690</c:v>
                </c:pt>
                <c:pt idx="76">
                  <c:v>43686</c:v>
                </c:pt>
                <c:pt idx="77">
                  <c:v>43685</c:v>
                </c:pt>
                <c:pt idx="78">
                  <c:v>43684</c:v>
                </c:pt>
                <c:pt idx="79">
                  <c:v>43683</c:v>
                </c:pt>
                <c:pt idx="80">
                  <c:v>43682</c:v>
                </c:pt>
                <c:pt idx="81">
                  <c:v>43679</c:v>
                </c:pt>
                <c:pt idx="82">
                  <c:v>43678</c:v>
                </c:pt>
                <c:pt idx="83">
                  <c:v>43677</c:v>
                </c:pt>
                <c:pt idx="84">
                  <c:v>43676</c:v>
                </c:pt>
                <c:pt idx="85">
                  <c:v>43675</c:v>
                </c:pt>
                <c:pt idx="86">
                  <c:v>43672</c:v>
                </c:pt>
                <c:pt idx="87">
                  <c:v>43671</c:v>
                </c:pt>
                <c:pt idx="88">
                  <c:v>43670</c:v>
                </c:pt>
                <c:pt idx="89">
                  <c:v>43669</c:v>
                </c:pt>
                <c:pt idx="90">
                  <c:v>43668</c:v>
                </c:pt>
                <c:pt idx="91">
                  <c:v>43665</c:v>
                </c:pt>
                <c:pt idx="92">
                  <c:v>43664</c:v>
                </c:pt>
                <c:pt idx="93">
                  <c:v>43663</c:v>
                </c:pt>
                <c:pt idx="94">
                  <c:v>43662</c:v>
                </c:pt>
                <c:pt idx="95">
                  <c:v>43658</c:v>
                </c:pt>
                <c:pt idx="96">
                  <c:v>43657</c:v>
                </c:pt>
                <c:pt idx="97">
                  <c:v>43656</c:v>
                </c:pt>
                <c:pt idx="98">
                  <c:v>43655</c:v>
                </c:pt>
                <c:pt idx="99">
                  <c:v>43654</c:v>
                </c:pt>
                <c:pt idx="100">
                  <c:v>43651</c:v>
                </c:pt>
                <c:pt idx="101">
                  <c:v>43650</c:v>
                </c:pt>
                <c:pt idx="102">
                  <c:v>43649</c:v>
                </c:pt>
                <c:pt idx="103">
                  <c:v>43648</c:v>
                </c:pt>
                <c:pt idx="104">
                  <c:v>43647</c:v>
                </c:pt>
                <c:pt idx="105">
                  <c:v>43644</c:v>
                </c:pt>
                <c:pt idx="106">
                  <c:v>43643</c:v>
                </c:pt>
                <c:pt idx="107">
                  <c:v>43642</c:v>
                </c:pt>
                <c:pt idx="108">
                  <c:v>43641</c:v>
                </c:pt>
                <c:pt idx="109">
                  <c:v>43640</c:v>
                </c:pt>
                <c:pt idx="110">
                  <c:v>43637</c:v>
                </c:pt>
                <c:pt idx="111">
                  <c:v>43636</c:v>
                </c:pt>
                <c:pt idx="112">
                  <c:v>43635</c:v>
                </c:pt>
                <c:pt idx="113">
                  <c:v>43634</c:v>
                </c:pt>
                <c:pt idx="114">
                  <c:v>43633</c:v>
                </c:pt>
                <c:pt idx="115">
                  <c:v>43630</c:v>
                </c:pt>
                <c:pt idx="116">
                  <c:v>43629</c:v>
                </c:pt>
                <c:pt idx="117">
                  <c:v>43628</c:v>
                </c:pt>
                <c:pt idx="118">
                  <c:v>43627</c:v>
                </c:pt>
                <c:pt idx="119">
                  <c:v>43626</c:v>
                </c:pt>
                <c:pt idx="120">
                  <c:v>43623</c:v>
                </c:pt>
                <c:pt idx="121">
                  <c:v>43622</c:v>
                </c:pt>
                <c:pt idx="122">
                  <c:v>43621</c:v>
                </c:pt>
                <c:pt idx="123">
                  <c:v>43620</c:v>
                </c:pt>
                <c:pt idx="124">
                  <c:v>43619</c:v>
                </c:pt>
                <c:pt idx="125">
                  <c:v>43616</c:v>
                </c:pt>
                <c:pt idx="126">
                  <c:v>43615</c:v>
                </c:pt>
                <c:pt idx="127">
                  <c:v>43614</c:v>
                </c:pt>
                <c:pt idx="128">
                  <c:v>43613</c:v>
                </c:pt>
                <c:pt idx="129">
                  <c:v>43612</c:v>
                </c:pt>
                <c:pt idx="130">
                  <c:v>43609</c:v>
                </c:pt>
                <c:pt idx="131">
                  <c:v>43608</c:v>
                </c:pt>
                <c:pt idx="132">
                  <c:v>43607</c:v>
                </c:pt>
                <c:pt idx="133">
                  <c:v>43606</c:v>
                </c:pt>
                <c:pt idx="134">
                  <c:v>43605</c:v>
                </c:pt>
                <c:pt idx="135">
                  <c:v>43602</c:v>
                </c:pt>
                <c:pt idx="136">
                  <c:v>43601</c:v>
                </c:pt>
                <c:pt idx="137">
                  <c:v>43600</c:v>
                </c:pt>
                <c:pt idx="138">
                  <c:v>43599</c:v>
                </c:pt>
                <c:pt idx="139">
                  <c:v>43598</c:v>
                </c:pt>
                <c:pt idx="140">
                  <c:v>43595</c:v>
                </c:pt>
                <c:pt idx="141">
                  <c:v>43594</c:v>
                </c:pt>
                <c:pt idx="142">
                  <c:v>43593</c:v>
                </c:pt>
                <c:pt idx="143">
                  <c:v>43592</c:v>
                </c:pt>
                <c:pt idx="144">
                  <c:v>43581</c:v>
                </c:pt>
                <c:pt idx="145">
                  <c:v>43580</c:v>
                </c:pt>
                <c:pt idx="146">
                  <c:v>43579</c:v>
                </c:pt>
                <c:pt idx="147">
                  <c:v>43578</c:v>
                </c:pt>
                <c:pt idx="148">
                  <c:v>43577</c:v>
                </c:pt>
                <c:pt idx="149">
                  <c:v>43574</c:v>
                </c:pt>
                <c:pt idx="150">
                  <c:v>43573</c:v>
                </c:pt>
                <c:pt idx="151">
                  <c:v>43572</c:v>
                </c:pt>
                <c:pt idx="152">
                  <c:v>43571</c:v>
                </c:pt>
                <c:pt idx="153">
                  <c:v>43570</c:v>
                </c:pt>
                <c:pt idx="154">
                  <c:v>43567</c:v>
                </c:pt>
                <c:pt idx="155">
                  <c:v>43566</c:v>
                </c:pt>
                <c:pt idx="156">
                  <c:v>43565</c:v>
                </c:pt>
                <c:pt idx="157">
                  <c:v>43564</c:v>
                </c:pt>
                <c:pt idx="158">
                  <c:v>43563</c:v>
                </c:pt>
                <c:pt idx="159">
                  <c:v>43560</c:v>
                </c:pt>
                <c:pt idx="160">
                  <c:v>43559</c:v>
                </c:pt>
                <c:pt idx="161">
                  <c:v>43558</c:v>
                </c:pt>
                <c:pt idx="162">
                  <c:v>43557</c:v>
                </c:pt>
                <c:pt idx="163">
                  <c:v>43556</c:v>
                </c:pt>
                <c:pt idx="164">
                  <c:v>43553</c:v>
                </c:pt>
                <c:pt idx="165">
                  <c:v>43552</c:v>
                </c:pt>
                <c:pt idx="166">
                  <c:v>43551</c:v>
                </c:pt>
                <c:pt idx="167">
                  <c:v>43550</c:v>
                </c:pt>
                <c:pt idx="168">
                  <c:v>43549</c:v>
                </c:pt>
                <c:pt idx="169">
                  <c:v>43546</c:v>
                </c:pt>
                <c:pt idx="170">
                  <c:v>43544</c:v>
                </c:pt>
                <c:pt idx="171">
                  <c:v>43543</c:v>
                </c:pt>
                <c:pt idx="172">
                  <c:v>43542</c:v>
                </c:pt>
                <c:pt idx="173">
                  <c:v>43539</c:v>
                </c:pt>
                <c:pt idx="174">
                  <c:v>43538</c:v>
                </c:pt>
                <c:pt idx="175">
                  <c:v>43537</c:v>
                </c:pt>
                <c:pt idx="176">
                  <c:v>43536</c:v>
                </c:pt>
                <c:pt idx="177">
                  <c:v>43535</c:v>
                </c:pt>
                <c:pt idx="178">
                  <c:v>43532</c:v>
                </c:pt>
                <c:pt idx="179">
                  <c:v>43531</c:v>
                </c:pt>
                <c:pt idx="180">
                  <c:v>43530</c:v>
                </c:pt>
                <c:pt idx="181">
                  <c:v>43529</c:v>
                </c:pt>
                <c:pt idx="182">
                  <c:v>43528</c:v>
                </c:pt>
                <c:pt idx="183">
                  <c:v>43525</c:v>
                </c:pt>
                <c:pt idx="184">
                  <c:v>43524</c:v>
                </c:pt>
                <c:pt idx="185">
                  <c:v>43523</c:v>
                </c:pt>
                <c:pt idx="186">
                  <c:v>43522</c:v>
                </c:pt>
                <c:pt idx="187">
                  <c:v>43521</c:v>
                </c:pt>
                <c:pt idx="188">
                  <c:v>43518</c:v>
                </c:pt>
                <c:pt idx="189">
                  <c:v>43517</c:v>
                </c:pt>
                <c:pt idx="190">
                  <c:v>43516</c:v>
                </c:pt>
                <c:pt idx="191">
                  <c:v>43515</c:v>
                </c:pt>
                <c:pt idx="192">
                  <c:v>43514</c:v>
                </c:pt>
                <c:pt idx="193">
                  <c:v>43511</c:v>
                </c:pt>
                <c:pt idx="194">
                  <c:v>43510</c:v>
                </c:pt>
                <c:pt idx="195">
                  <c:v>43509</c:v>
                </c:pt>
                <c:pt idx="196">
                  <c:v>43508</c:v>
                </c:pt>
                <c:pt idx="197">
                  <c:v>43504</c:v>
                </c:pt>
                <c:pt idx="198">
                  <c:v>43503</c:v>
                </c:pt>
                <c:pt idx="199">
                  <c:v>43502</c:v>
                </c:pt>
                <c:pt idx="200">
                  <c:v>43501</c:v>
                </c:pt>
                <c:pt idx="201">
                  <c:v>43500</c:v>
                </c:pt>
                <c:pt idx="202">
                  <c:v>43497</c:v>
                </c:pt>
                <c:pt idx="203">
                  <c:v>43496</c:v>
                </c:pt>
                <c:pt idx="204">
                  <c:v>43495</c:v>
                </c:pt>
                <c:pt idx="205">
                  <c:v>43494</c:v>
                </c:pt>
                <c:pt idx="206">
                  <c:v>43493</c:v>
                </c:pt>
                <c:pt idx="207">
                  <c:v>43490</c:v>
                </c:pt>
                <c:pt idx="208">
                  <c:v>43489</c:v>
                </c:pt>
                <c:pt idx="209">
                  <c:v>43488</c:v>
                </c:pt>
                <c:pt idx="210">
                  <c:v>43487</c:v>
                </c:pt>
                <c:pt idx="211">
                  <c:v>43486</c:v>
                </c:pt>
                <c:pt idx="212">
                  <c:v>43483</c:v>
                </c:pt>
                <c:pt idx="213">
                  <c:v>43482</c:v>
                </c:pt>
                <c:pt idx="214">
                  <c:v>43481</c:v>
                </c:pt>
                <c:pt idx="215">
                  <c:v>43480</c:v>
                </c:pt>
                <c:pt idx="216">
                  <c:v>43476</c:v>
                </c:pt>
                <c:pt idx="217">
                  <c:v>43475</c:v>
                </c:pt>
                <c:pt idx="218">
                  <c:v>43474</c:v>
                </c:pt>
                <c:pt idx="219">
                  <c:v>43473</c:v>
                </c:pt>
                <c:pt idx="220">
                  <c:v>43472</c:v>
                </c:pt>
                <c:pt idx="221">
                  <c:v>43469</c:v>
                </c:pt>
                <c:pt idx="222">
                  <c:v>43462</c:v>
                </c:pt>
                <c:pt idx="223">
                  <c:v>43461</c:v>
                </c:pt>
                <c:pt idx="224">
                  <c:v>43460</c:v>
                </c:pt>
                <c:pt idx="225">
                  <c:v>43459</c:v>
                </c:pt>
                <c:pt idx="226">
                  <c:v>43455</c:v>
                </c:pt>
                <c:pt idx="227">
                  <c:v>43454</c:v>
                </c:pt>
                <c:pt idx="228">
                  <c:v>43453</c:v>
                </c:pt>
                <c:pt idx="229">
                  <c:v>43452</c:v>
                </c:pt>
                <c:pt idx="230">
                  <c:v>43451</c:v>
                </c:pt>
                <c:pt idx="231">
                  <c:v>43448</c:v>
                </c:pt>
                <c:pt idx="232">
                  <c:v>43447</c:v>
                </c:pt>
                <c:pt idx="233">
                  <c:v>43446</c:v>
                </c:pt>
                <c:pt idx="234">
                  <c:v>43445</c:v>
                </c:pt>
                <c:pt idx="235">
                  <c:v>43444</c:v>
                </c:pt>
                <c:pt idx="236">
                  <c:v>43441</c:v>
                </c:pt>
                <c:pt idx="237">
                  <c:v>43440</c:v>
                </c:pt>
                <c:pt idx="238">
                  <c:v>43439</c:v>
                </c:pt>
                <c:pt idx="239">
                  <c:v>43438</c:v>
                </c:pt>
                <c:pt idx="240">
                  <c:v>43437</c:v>
                </c:pt>
              </c:numCache>
            </c:numRef>
          </c:cat>
          <c:val>
            <c:numRef>
              <c:f>グラフ!$N$42:$N$703</c:f>
              <c:numCache>
                <c:formatCode>General</c:formatCode>
                <c:ptCount val="662"/>
                <c:pt idx="0">
                  <c:v>0.58869653098735619</c:v>
                </c:pt>
                <c:pt idx="1">
                  <c:v>0.58757498121682217</c:v>
                </c:pt>
                <c:pt idx="2">
                  <c:v>0.5866124632841222</c:v>
                </c:pt>
                <c:pt idx="3">
                  <c:v>0.58606089163298836</c:v>
                </c:pt>
                <c:pt idx="4">
                  <c:v>0.58574465931883479</c:v>
                </c:pt>
                <c:pt idx="5">
                  <c:v>0.58552754908156623</c:v>
                </c:pt>
                <c:pt idx="6">
                  <c:v>0.58538318673199963</c:v>
                </c:pt>
                <c:pt idx="7">
                  <c:v>0.58526200698574027</c:v>
                </c:pt>
                <c:pt idx="8">
                  <c:v>0.58605076361825204</c:v>
                </c:pt>
                <c:pt idx="9">
                  <c:v>0.5860145940608632</c:v>
                </c:pt>
                <c:pt idx="10">
                  <c:v>0.58668217613227924</c:v>
                </c:pt>
                <c:pt idx="11">
                  <c:v>0.58814724545190877</c:v>
                </c:pt>
                <c:pt idx="12">
                  <c:v>0.58825063430112479</c:v>
                </c:pt>
                <c:pt idx="13">
                  <c:v>0.58744630962033562</c:v>
                </c:pt>
                <c:pt idx="14">
                  <c:v>0.58731285696915014</c:v>
                </c:pt>
                <c:pt idx="15">
                  <c:v>0.58769974895318489</c:v>
                </c:pt>
                <c:pt idx="16">
                  <c:v>0.58797340464262293</c:v>
                </c:pt>
                <c:pt idx="17">
                  <c:v>0.58836363409580372</c:v>
                </c:pt>
                <c:pt idx="18">
                  <c:v>0.58866478317750703</c:v>
                </c:pt>
                <c:pt idx="19">
                  <c:v>0.5893828842973674</c:v>
                </c:pt>
                <c:pt idx="20">
                  <c:v>0.58953768702863896</c:v>
                </c:pt>
                <c:pt idx="21">
                  <c:v>0.58971038290008637</c:v>
                </c:pt>
                <c:pt idx="22">
                  <c:v>0.59004311660616404</c:v>
                </c:pt>
                <c:pt idx="23">
                  <c:v>0.59025716640822823</c:v>
                </c:pt>
                <c:pt idx="24">
                  <c:v>0.58992287998193083</c:v>
                </c:pt>
                <c:pt idx="25">
                  <c:v>0.58951189618125821</c:v>
                </c:pt>
                <c:pt idx="26">
                  <c:v>0.58902674049525316</c:v>
                </c:pt>
                <c:pt idx="27">
                  <c:v>0.58872355886347305</c:v>
                </c:pt>
                <c:pt idx="28">
                  <c:v>0.58840056393933815</c:v>
                </c:pt>
                <c:pt idx="29">
                  <c:v>0.58842947477644492</c:v>
                </c:pt>
                <c:pt idx="30">
                  <c:v>0.58876205871779297</c:v>
                </c:pt>
                <c:pt idx="31">
                  <c:v>0.58910877685964547</c:v>
                </c:pt>
                <c:pt idx="32">
                  <c:v>0.58970228282414783</c:v>
                </c:pt>
                <c:pt idx="33">
                  <c:v>0.59066202340155938</c:v>
                </c:pt>
                <c:pt idx="34">
                  <c:v>0.59147162919130936</c:v>
                </c:pt>
                <c:pt idx="35">
                  <c:v>0.59234995076831509</c:v>
                </c:pt>
                <c:pt idx="36">
                  <c:v>0.59340576849204241</c:v>
                </c:pt>
                <c:pt idx="37">
                  <c:v>0.59395866341906889</c:v>
                </c:pt>
                <c:pt idx="38">
                  <c:v>0.59427073406096842</c:v>
                </c:pt>
                <c:pt idx="39">
                  <c:v>0.59434754536250378</c:v>
                </c:pt>
                <c:pt idx="40">
                  <c:v>0.59459713697308003</c:v>
                </c:pt>
                <c:pt idx="41">
                  <c:v>0.59538040315721519</c:v>
                </c:pt>
                <c:pt idx="42">
                  <c:v>0.59578893507990249</c:v>
                </c:pt>
                <c:pt idx="43">
                  <c:v>0.59588425124643352</c:v>
                </c:pt>
                <c:pt idx="44">
                  <c:v>0.59584440274569761</c:v>
                </c:pt>
                <c:pt idx="45">
                  <c:v>0.59589974927216494</c:v>
                </c:pt>
                <c:pt idx="46">
                  <c:v>0.59592095782999976</c:v>
                </c:pt>
                <c:pt idx="47">
                  <c:v>0.59604695008528119</c:v>
                </c:pt>
                <c:pt idx="48">
                  <c:v>0.59611984137757323</c:v>
                </c:pt>
                <c:pt idx="49">
                  <c:v>0.5965116141435054</c:v>
                </c:pt>
                <c:pt idx="50">
                  <c:v>0.59648770687548258</c:v>
                </c:pt>
                <c:pt idx="51">
                  <c:v>0.5963160432057808</c:v>
                </c:pt>
                <c:pt idx="52">
                  <c:v>0.59627855554097375</c:v>
                </c:pt>
                <c:pt idx="53">
                  <c:v>0.59638217408757521</c:v>
                </c:pt>
                <c:pt idx="54">
                  <c:v>0.59656293780590808</c:v>
                </c:pt>
                <c:pt idx="55">
                  <c:v>0.59659973050911119</c:v>
                </c:pt>
                <c:pt idx="56">
                  <c:v>0.59665554531149956</c:v>
                </c:pt>
                <c:pt idx="57">
                  <c:v>0.59675881500276506</c:v>
                </c:pt>
                <c:pt idx="58">
                  <c:v>0.59673063940567939</c:v>
                </c:pt>
                <c:pt idx="59">
                  <c:v>0.5966047905079902</c:v>
                </c:pt>
                <c:pt idx="60">
                  <c:v>0.59635960646307673</c:v>
                </c:pt>
                <c:pt idx="61">
                  <c:v>0.59634589423970286</c:v>
                </c:pt>
                <c:pt idx="62">
                  <c:v>0.59678856735186681</c:v>
                </c:pt>
                <c:pt idx="63">
                  <c:v>0.59685949651973658</c:v>
                </c:pt>
                <c:pt idx="64">
                  <c:v>0.59683714318339298</c:v>
                </c:pt>
                <c:pt idx="65">
                  <c:v>0.59682879416425083</c:v>
                </c:pt>
                <c:pt idx="66">
                  <c:v>0.59682596113194819</c:v>
                </c:pt>
                <c:pt idx="67">
                  <c:v>0.5973651300704107</c:v>
                </c:pt>
                <c:pt idx="68">
                  <c:v>0.59914267767165641</c:v>
                </c:pt>
                <c:pt idx="69">
                  <c:v>0.6020696257457312</c:v>
                </c:pt>
                <c:pt idx="70">
                  <c:v>0.6031068164850788</c:v>
                </c:pt>
                <c:pt idx="71">
                  <c:v>0.60339054160272043</c:v>
                </c:pt>
                <c:pt idx="72">
                  <c:v>0.60359207594095221</c:v>
                </c:pt>
                <c:pt idx="73">
                  <c:v>0.60362740204462539</c:v>
                </c:pt>
                <c:pt idx="74">
                  <c:v>0.60362968421092122</c:v>
                </c:pt>
                <c:pt idx="75">
                  <c:v>0.60350498822951726</c:v>
                </c:pt>
                <c:pt idx="76">
                  <c:v>0.60348493023400585</c:v>
                </c:pt>
                <c:pt idx="77">
                  <c:v>0.6035848789963586</c:v>
                </c:pt>
                <c:pt idx="78">
                  <c:v>0.6037724350256104</c:v>
                </c:pt>
                <c:pt idx="79">
                  <c:v>0.60396172480452759</c:v>
                </c:pt>
                <c:pt idx="80">
                  <c:v>0.60403598132949843</c:v>
                </c:pt>
                <c:pt idx="81">
                  <c:v>0.60411698437285732</c:v>
                </c:pt>
                <c:pt idx="82">
                  <c:v>0.60432123655191616</c:v>
                </c:pt>
                <c:pt idx="83">
                  <c:v>0.60414773502669561</c:v>
                </c:pt>
                <c:pt idx="84">
                  <c:v>0.60421844497932609</c:v>
                </c:pt>
                <c:pt idx="85">
                  <c:v>0.60437817038014807</c:v>
                </c:pt>
                <c:pt idx="86">
                  <c:v>0.60378552518536521</c:v>
                </c:pt>
                <c:pt idx="87">
                  <c:v>0.60375598670356423</c:v>
                </c:pt>
                <c:pt idx="88">
                  <c:v>0.60409412611851421</c:v>
                </c:pt>
                <c:pt idx="89">
                  <c:v>0.60416596249835952</c:v>
                </c:pt>
                <c:pt idx="90">
                  <c:v>0.60406532456038764</c:v>
                </c:pt>
                <c:pt idx="91">
                  <c:v>0.60396673973481274</c:v>
                </c:pt>
                <c:pt idx="92">
                  <c:v>0.60379101281857839</c:v>
                </c:pt>
                <c:pt idx="93">
                  <c:v>0.60380756551795012</c:v>
                </c:pt>
                <c:pt idx="94">
                  <c:v>0.60339121870238521</c:v>
                </c:pt>
                <c:pt idx="95">
                  <c:v>0.60329267255933483</c:v>
                </c:pt>
                <c:pt idx="96">
                  <c:v>0.60310467308007343</c:v>
                </c:pt>
                <c:pt idx="97">
                  <c:v>0.60293615759285779</c:v>
                </c:pt>
                <c:pt idx="98">
                  <c:v>0.60281445338300099</c:v>
                </c:pt>
                <c:pt idx="99">
                  <c:v>0.60309123965629752</c:v>
                </c:pt>
                <c:pt idx="100">
                  <c:v>0.6032151623522698</c:v>
                </c:pt>
                <c:pt idx="101">
                  <c:v>0.60366465062240693</c:v>
                </c:pt>
                <c:pt idx="102">
                  <c:v>0.60387995989573739</c:v>
                </c:pt>
                <c:pt idx="103">
                  <c:v>0.60413495422204866</c:v>
                </c:pt>
                <c:pt idx="104">
                  <c:v>0.60410628114770903</c:v>
                </c:pt>
                <c:pt idx="105">
                  <c:v>0.60398552135136341</c:v>
                </c:pt>
                <c:pt idx="106">
                  <c:v>0.60407907559790341</c:v>
                </c:pt>
                <c:pt idx="107">
                  <c:v>0.60448497380434485</c:v>
                </c:pt>
                <c:pt idx="108">
                  <c:v>0.60435883524789979</c:v>
                </c:pt>
                <c:pt idx="109">
                  <c:v>0.60448877652969579</c:v>
                </c:pt>
                <c:pt idx="110">
                  <c:v>0.60430537510054816</c:v>
                </c:pt>
                <c:pt idx="111">
                  <c:v>0.60357444093360102</c:v>
                </c:pt>
                <c:pt idx="112">
                  <c:v>0.603384904197516</c:v>
                </c:pt>
                <c:pt idx="113">
                  <c:v>0.60316579910835277</c:v>
                </c:pt>
                <c:pt idx="114">
                  <c:v>0.60297097566212354</c:v>
                </c:pt>
                <c:pt idx="115">
                  <c:v>0.60259290231212981</c:v>
                </c:pt>
                <c:pt idx="116">
                  <c:v>0.60184353811622104</c:v>
                </c:pt>
                <c:pt idx="117">
                  <c:v>0.60141067359815736</c:v>
                </c:pt>
                <c:pt idx="118">
                  <c:v>0.60121201700629645</c:v>
                </c:pt>
                <c:pt idx="119">
                  <c:v>0.60100407306352699</c:v>
                </c:pt>
                <c:pt idx="120">
                  <c:v>0.60092102043632656</c:v>
                </c:pt>
                <c:pt idx="121">
                  <c:v>0.6012009053658276</c:v>
                </c:pt>
                <c:pt idx="122">
                  <c:v>0.60161577671843058</c:v>
                </c:pt>
                <c:pt idx="123">
                  <c:v>0.60180010672886763</c:v>
                </c:pt>
                <c:pt idx="124">
                  <c:v>0.60197830829843746</c:v>
                </c:pt>
                <c:pt idx="125">
                  <c:v>0.60202451441671945</c:v>
                </c:pt>
                <c:pt idx="126">
                  <c:v>0.60175700029663293</c:v>
                </c:pt>
                <c:pt idx="127">
                  <c:v>0.60160841418235522</c:v>
                </c:pt>
                <c:pt idx="128">
                  <c:v>0.60154635983958848</c:v>
                </c:pt>
                <c:pt idx="129">
                  <c:v>0.60153686742332058</c:v>
                </c:pt>
                <c:pt idx="130">
                  <c:v>0.60143357432772782</c:v>
                </c:pt>
                <c:pt idx="131">
                  <c:v>0.60135314053763067</c:v>
                </c:pt>
                <c:pt idx="132">
                  <c:v>0.60129242079889422</c:v>
                </c:pt>
                <c:pt idx="133">
                  <c:v>0.60121432699531874</c:v>
                </c:pt>
                <c:pt idx="134">
                  <c:v>0.6011789973423276</c:v>
                </c:pt>
                <c:pt idx="135">
                  <c:v>0.60116962536484708</c:v>
                </c:pt>
                <c:pt idx="136">
                  <c:v>0.60120007187400215</c:v>
                </c:pt>
                <c:pt idx="137">
                  <c:v>0.60123997441061872</c:v>
                </c:pt>
                <c:pt idx="138">
                  <c:v>0.60119633889659119</c:v>
                </c:pt>
                <c:pt idx="139">
                  <c:v>0.601063625783537</c:v>
                </c:pt>
                <c:pt idx="140">
                  <c:v>0.60087258398486398</c:v>
                </c:pt>
                <c:pt idx="141">
                  <c:v>0.60058670180144047</c:v>
                </c:pt>
                <c:pt idx="142">
                  <c:v>0.59950884142854799</c:v>
                </c:pt>
                <c:pt idx="143">
                  <c:v>0.59727646577910964</c:v>
                </c:pt>
                <c:pt idx="144">
                  <c:v>0.59360532540566113</c:v>
                </c:pt>
                <c:pt idx="145">
                  <c:v>0.59141146594094185</c:v>
                </c:pt>
                <c:pt idx="146">
                  <c:v>0.5905511414377661</c:v>
                </c:pt>
                <c:pt idx="147">
                  <c:v>0.58983325916656304</c:v>
                </c:pt>
                <c:pt idx="148">
                  <c:v>0.58923180443720935</c:v>
                </c:pt>
                <c:pt idx="149">
                  <c:v>0.588923812232241</c:v>
                </c:pt>
                <c:pt idx="150">
                  <c:v>0.58829382893991899</c:v>
                </c:pt>
                <c:pt idx="151">
                  <c:v>0.5877479686853968</c:v>
                </c:pt>
                <c:pt idx="152">
                  <c:v>0.58651740641426886</c:v>
                </c:pt>
                <c:pt idx="153">
                  <c:v>0.58502336871432803</c:v>
                </c:pt>
                <c:pt idx="154">
                  <c:v>0.58311130410612122</c:v>
                </c:pt>
                <c:pt idx="155">
                  <c:v>0.58176072217523078</c:v>
                </c:pt>
                <c:pt idx="156">
                  <c:v>0.58044518416304258</c:v>
                </c:pt>
                <c:pt idx="157">
                  <c:v>0.57857168818587157</c:v>
                </c:pt>
                <c:pt idx="158">
                  <c:v>0.57677181787740062</c:v>
                </c:pt>
                <c:pt idx="159">
                  <c:v>0.57527778923390005</c:v>
                </c:pt>
                <c:pt idx="160">
                  <c:v>0.57319813130999375</c:v>
                </c:pt>
                <c:pt idx="161">
                  <c:v>0.57181482787087889</c:v>
                </c:pt>
                <c:pt idx="162">
                  <c:v>0.57040924423878925</c:v>
                </c:pt>
                <c:pt idx="163">
                  <c:v>0.56874253184946699</c:v>
                </c:pt>
                <c:pt idx="164">
                  <c:v>0.56768464600975166</c:v>
                </c:pt>
                <c:pt idx="165">
                  <c:v>0.56684143821819577</c:v>
                </c:pt>
                <c:pt idx="166">
                  <c:v>0.56836492672196792</c:v>
                </c:pt>
                <c:pt idx="167">
                  <c:v>0.57032898324543235</c:v>
                </c:pt>
                <c:pt idx="168">
                  <c:v>0.57304324730566103</c:v>
                </c:pt>
                <c:pt idx="169">
                  <c:v>0.57413320998894257</c:v>
                </c:pt>
                <c:pt idx="170">
                  <c:v>0.57514815791554397</c:v>
                </c:pt>
                <c:pt idx="171">
                  <c:v>0.57611470945591037</c:v>
                </c:pt>
                <c:pt idx="172">
                  <c:v>0.57648781754083378</c:v>
                </c:pt>
                <c:pt idx="173">
                  <c:v>0.57723752281344198</c:v>
                </c:pt>
                <c:pt idx="174">
                  <c:v>0.57751865234777799</c:v>
                </c:pt>
                <c:pt idx="175">
                  <c:v>0.57835010812030863</c:v>
                </c:pt>
                <c:pt idx="176">
                  <c:v>0.57922482392600361</c:v>
                </c:pt>
                <c:pt idx="177">
                  <c:v>0.58016267384423104</c:v>
                </c:pt>
                <c:pt idx="178">
                  <c:v>0.58092661205687546</c:v>
                </c:pt>
                <c:pt idx="179">
                  <c:v>0.58187554595376145</c:v>
                </c:pt>
                <c:pt idx="180">
                  <c:v>0.5829183946327624</c:v>
                </c:pt>
                <c:pt idx="181">
                  <c:v>0.58436608598755924</c:v>
                </c:pt>
                <c:pt idx="182">
                  <c:v>0.58815583388358961</c:v>
                </c:pt>
                <c:pt idx="183">
                  <c:v>0.59069728156707901</c:v>
                </c:pt>
                <c:pt idx="184">
                  <c:v>0.59285741546023563</c:v>
                </c:pt>
                <c:pt idx="185">
                  <c:v>0.59561944940059186</c:v>
                </c:pt>
                <c:pt idx="186">
                  <c:v>0.59756516115044633</c:v>
                </c:pt>
                <c:pt idx="187">
                  <c:v>0.59785192921268437</c:v>
                </c:pt>
                <c:pt idx="188">
                  <c:v>0.60579153782894679</c:v>
                </c:pt>
                <c:pt idx="189">
                  <c:v>0.60948582286992403</c:v>
                </c:pt>
                <c:pt idx="190">
                  <c:v>0.61265799510409813</c:v>
                </c:pt>
                <c:pt idx="191">
                  <c:v>0.61519940638053605</c:v>
                </c:pt>
                <c:pt idx="192">
                  <c:v>0.61817246380514401</c:v>
                </c:pt>
                <c:pt idx="193">
                  <c:v>0.62186778214457217</c:v>
                </c:pt>
                <c:pt idx="194">
                  <c:v>0.62526820398368321</c:v>
                </c:pt>
                <c:pt idx="195">
                  <c:v>0.6306343355153482</c:v>
                </c:pt>
                <c:pt idx="196">
                  <c:v>0.63568444831084037</c:v>
                </c:pt>
                <c:pt idx="197">
                  <c:v>0.64043576303111005</c:v>
                </c:pt>
                <c:pt idx="198">
                  <c:v>0.64511667166465847</c:v>
                </c:pt>
                <c:pt idx="199">
                  <c:v>0.64951078880162261</c:v>
                </c:pt>
                <c:pt idx="200">
                  <c:v>0.65367537935750997</c:v>
                </c:pt>
                <c:pt idx="201">
                  <c:v>0.65680220574561976</c:v>
                </c:pt>
                <c:pt idx="202">
                  <c:v>0.66054931863510391</c:v>
                </c:pt>
                <c:pt idx="203">
                  <c:v>0.66402477735824539</c:v>
                </c:pt>
                <c:pt idx="204">
                  <c:v>0.66708156692034248</c:v>
                </c:pt>
                <c:pt idx="205">
                  <c:v>0.66953187788518365</c:v>
                </c:pt>
                <c:pt idx="206">
                  <c:v>0.67172432370617796</c:v>
                </c:pt>
                <c:pt idx="207">
                  <c:v>0.67441455047548704</c:v>
                </c:pt>
                <c:pt idx="208">
                  <c:v>0.67640124559239256</c:v>
                </c:pt>
                <c:pt idx="209">
                  <c:v>0.67799592930289265</c:v>
                </c:pt>
                <c:pt idx="210">
                  <c:v>0.67991113853073115</c:v>
                </c:pt>
                <c:pt idx="211">
                  <c:v>0.68175400487500493</c:v>
                </c:pt>
                <c:pt idx="212">
                  <c:v>0.68376510198972118</c:v>
                </c:pt>
                <c:pt idx="213">
                  <c:v>0.6855238216605416</c:v>
                </c:pt>
                <c:pt idx="214">
                  <c:v>0.68747256896109465</c:v>
                </c:pt>
                <c:pt idx="215">
                  <c:v>0.68877004951907606</c:v>
                </c:pt>
                <c:pt idx="216">
                  <c:v>0.69027318848986252</c:v>
                </c:pt>
                <c:pt idx="217">
                  <c:v>0.69173618186017638</c:v>
                </c:pt>
                <c:pt idx="218">
                  <c:v>0.6928912970822052</c:v>
                </c:pt>
                <c:pt idx="219">
                  <c:v>0.69414144006628942</c:v>
                </c:pt>
                <c:pt idx="220">
                  <c:v>0.69527375107952161</c:v>
                </c:pt>
                <c:pt idx="221">
                  <c:v>0.69627391799866034</c:v>
                </c:pt>
                <c:pt idx="222">
                  <c:v>0.69683716217794522</c:v>
                </c:pt>
                <c:pt idx="223">
                  <c:v>0.6973624556571949</c:v>
                </c:pt>
                <c:pt idx="224">
                  <c:v>0.69725705445964026</c:v>
                </c:pt>
                <c:pt idx="225">
                  <c:v>0.69755987183770285</c:v>
                </c:pt>
                <c:pt idx="226">
                  <c:v>0.69820488369395661</c:v>
                </c:pt>
                <c:pt idx="227">
                  <c:v>0.697601521240239</c:v>
                </c:pt>
                <c:pt idx="228">
                  <c:v>0.69676066981288209</c:v>
                </c:pt>
                <c:pt idx="229">
                  <c:v>0.69565397727782252</c:v>
                </c:pt>
                <c:pt idx="230">
                  <c:v>0.69446138145198721</c:v>
                </c:pt>
                <c:pt idx="231">
                  <c:v>0.69346125260905944</c:v>
                </c:pt>
                <c:pt idx="232">
                  <c:v>0.69230583210749652</c:v>
                </c:pt>
                <c:pt idx="233">
                  <c:v>0.69123292450055696</c:v>
                </c:pt>
                <c:pt idx="234">
                  <c:v>0.6902882092675976</c:v>
                </c:pt>
                <c:pt idx="235">
                  <c:v>0.68975634808078345</c:v>
                </c:pt>
                <c:pt idx="236">
                  <c:v>0.68946630413489962</c:v>
                </c:pt>
                <c:pt idx="237">
                  <c:v>0.68890176150222071</c:v>
                </c:pt>
                <c:pt idx="238">
                  <c:v>0.6883620173027668</c:v>
                </c:pt>
                <c:pt idx="239">
                  <c:v>0.68780701164053282</c:v>
                </c:pt>
                <c:pt idx="240">
                  <c:v>0.68723338976116977</c:v>
                </c:pt>
              </c:numCache>
            </c:numRef>
          </c:val>
        </c:ser>
        <c:ser>
          <c:idx val="2"/>
          <c:order val="2"/>
          <c:tx>
            <c:strRef>
              <c:f>グラフ!$O$41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43802</c:v>
                </c:pt>
                <c:pt idx="1">
                  <c:v>43801</c:v>
                </c:pt>
                <c:pt idx="2">
                  <c:v>43798</c:v>
                </c:pt>
                <c:pt idx="3">
                  <c:v>43797</c:v>
                </c:pt>
                <c:pt idx="4">
                  <c:v>43796</c:v>
                </c:pt>
                <c:pt idx="5">
                  <c:v>43795</c:v>
                </c:pt>
                <c:pt idx="6">
                  <c:v>43794</c:v>
                </c:pt>
                <c:pt idx="7">
                  <c:v>43791</c:v>
                </c:pt>
                <c:pt idx="8">
                  <c:v>43790</c:v>
                </c:pt>
                <c:pt idx="9">
                  <c:v>43789</c:v>
                </c:pt>
                <c:pt idx="10">
                  <c:v>43788</c:v>
                </c:pt>
                <c:pt idx="11">
                  <c:v>43787</c:v>
                </c:pt>
                <c:pt idx="12">
                  <c:v>43784</c:v>
                </c:pt>
                <c:pt idx="13">
                  <c:v>43783</c:v>
                </c:pt>
                <c:pt idx="14">
                  <c:v>43782</c:v>
                </c:pt>
                <c:pt idx="15">
                  <c:v>43781</c:v>
                </c:pt>
                <c:pt idx="16">
                  <c:v>43780</c:v>
                </c:pt>
                <c:pt idx="17">
                  <c:v>43777</c:v>
                </c:pt>
                <c:pt idx="18">
                  <c:v>43776</c:v>
                </c:pt>
                <c:pt idx="19">
                  <c:v>43775</c:v>
                </c:pt>
                <c:pt idx="20">
                  <c:v>43774</c:v>
                </c:pt>
                <c:pt idx="21">
                  <c:v>43770</c:v>
                </c:pt>
                <c:pt idx="22">
                  <c:v>43769</c:v>
                </c:pt>
                <c:pt idx="23">
                  <c:v>43768</c:v>
                </c:pt>
                <c:pt idx="24">
                  <c:v>43767</c:v>
                </c:pt>
                <c:pt idx="25">
                  <c:v>43766</c:v>
                </c:pt>
                <c:pt idx="26">
                  <c:v>43763</c:v>
                </c:pt>
                <c:pt idx="27">
                  <c:v>43762</c:v>
                </c:pt>
                <c:pt idx="28">
                  <c:v>43761</c:v>
                </c:pt>
                <c:pt idx="29">
                  <c:v>43759</c:v>
                </c:pt>
                <c:pt idx="30">
                  <c:v>43756</c:v>
                </c:pt>
                <c:pt idx="31">
                  <c:v>43755</c:v>
                </c:pt>
                <c:pt idx="32">
                  <c:v>43754</c:v>
                </c:pt>
                <c:pt idx="33">
                  <c:v>43753</c:v>
                </c:pt>
                <c:pt idx="34">
                  <c:v>43749</c:v>
                </c:pt>
                <c:pt idx="35">
                  <c:v>43748</c:v>
                </c:pt>
                <c:pt idx="36">
                  <c:v>43747</c:v>
                </c:pt>
                <c:pt idx="37">
                  <c:v>43746</c:v>
                </c:pt>
                <c:pt idx="38">
                  <c:v>43745</c:v>
                </c:pt>
                <c:pt idx="39">
                  <c:v>43742</c:v>
                </c:pt>
                <c:pt idx="40">
                  <c:v>43741</c:v>
                </c:pt>
                <c:pt idx="41">
                  <c:v>43740</c:v>
                </c:pt>
                <c:pt idx="42">
                  <c:v>43739</c:v>
                </c:pt>
                <c:pt idx="43">
                  <c:v>43738</c:v>
                </c:pt>
                <c:pt idx="44">
                  <c:v>43735</c:v>
                </c:pt>
                <c:pt idx="45">
                  <c:v>43734</c:v>
                </c:pt>
                <c:pt idx="46">
                  <c:v>43733</c:v>
                </c:pt>
                <c:pt idx="47">
                  <c:v>43732</c:v>
                </c:pt>
                <c:pt idx="48">
                  <c:v>43728</c:v>
                </c:pt>
                <c:pt idx="49">
                  <c:v>43727</c:v>
                </c:pt>
                <c:pt idx="50">
                  <c:v>43726</c:v>
                </c:pt>
                <c:pt idx="51">
                  <c:v>43725</c:v>
                </c:pt>
                <c:pt idx="52">
                  <c:v>43721</c:v>
                </c:pt>
                <c:pt idx="53">
                  <c:v>43720</c:v>
                </c:pt>
                <c:pt idx="54">
                  <c:v>43719</c:v>
                </c:pt>
                <c:pt idx="55">
                  <c:v>43718</c:v>
                </c:pt>
                <c:pt idx="56">
                  <c:v>43717</c:v>
                </c:pt>
                <c:pt idx="57">
                  <c:v>43714</c:v>
                </c:pt>
                <c:pt idx="58">
                  <c:v>43713</c:v>
                </c:pt>
                <c:pt idx="59">
                  <c:v>43712</c:v>
                </c:pt>
                <c:pt idx="60">
                  <c:v>43711</c:v>
                </c:pt>
                <c:pt idx="61">
                  <c:v>43710</c:v>
                </c:pt>
                <c:pt idx="62">
                  <c:v>43707</c:v>
                </c:pt>
                <c:pt idx="63">
                  <c:v>43706</c:v>
                </c:pt>
                <c:pt idx="64">
                  <c:v>43705</c:v>
                </c:pt>
                <c:pt idx="65">
                  <c:v>43704</c:v>
                </c:pt>
                <c:pt idx="66">
                  <c:v>43703</c:v>
                </c:pt>
                <c:pt idx="67">
                  <c:v>43700</c:v>
                </c:pt>
                <c:pt idx="68">
                  <c:v>43699</c:v>
                </c:pt>
                <c:pt idx="69">
                  <c:v>43698</c:v>
                </c:pt>
                <c:pt idx="70">
                  <c:v>43697</c:v>
                </c:pt>
                <c:pt idx="71">
                  <c:v>43696</c:v>
                </c:pt>
                <c:pt idx="72">
                  <c:v>43693</c:v>
                </c:pt>
                <c:pt idx="73">
                  <c:v>43692</c:v>
                </c:pt>
                <c:pt idx="74">
                  <c:v>43691</c:v>
                </c:pt>
                <c:pt idx="75">
                  <c:v>43690</c:v>
                </c:pt>
                <c:pt idx="76">
                  <c:v>43686</c:v>
                </c:pt>
                <c:pt idx="77">
                  <c:v>43685</c:v>
                </c:pt>
                <c:pt idx="78">
                  <c:v>43684</c:v>
                </c:pt>
                <c:pt idx="79">
                  <c:v>43683</c:v>
                </c:pt>
                <c:pt idx="80">
                  <c:v>43682</c:v>
                </c:pt>
                <c:pt idx="81">
                  <c:v>43679</c:v>
                </c:pt>
                <c:pt idx="82">
                  <c:v>43678</c:v>
                </c:pt>
                <c:pt idx="83">
                  <c:v>43677</c:v>
                </c:pt>
                <c:pt idx="84">
                  <c:v>43676</c:v>
                </c:pt>
                <c:pt idx="85">
                  <c:v>43675</c:v>
                </c:pt>
                <c:pt idx="86">
                  <c:v>43672</c:v>
                </c:pt>
                <c:pt idx="87">
                  <c:v>43671</c:v>
                </c:pt>
                <c:pt idx="88">
                  <c:v>43670</c:v>
                </c:pt>
                <c:pt idx="89">
                  <c:v>43669</c:v>
                </c:pt>
                <c:pt idx="90">
                  <c:v>43668</c:v>
                </c:pt>
                <c:pt idx="91">
                  <c:v>43665</c:v>
                </c:pt>
                <c:pt idx="92">
                  <c:v>43664</c:v>
                </c:pt>
                <c:pt idx="93">
                  <c:v>43663</c:v>
                </c:pt>
                <c:pt idx="94">
                  <c:v>43662</c:v>
                </c:pt>
                <c:pt idx="95">
                  <c:v>43658</c:v>
                </c:pt>
                <c:pt idx="96">
                  <c:v>43657</c:v>
                </c:pt>
                <c:pt idx="97">
                  <c:v>43656</c:v>
                </c:pt>
                <c:pt idx="98">
                  <c:v>43655</c:v>
                </c:pt>
                <c:pt idx="99">
                  <c:v>43654</c:v>
                </c:pt>
                <c:pt idx="100">
                  <c:v>43651</c:v>
                </c:pt>
                <c:pt idx="101">
                  <c:v>43650</c:v>
                </c:pt>
                <c:pt idx="102">
                  <c:v>43649</c:v>
                </c:pt>
                <c:pt idx="103">
                  <c:v>43648</c:v>
                </c:pt>
                <c:pt idx="104">
                  <c:v>43647</c:v>
                </c:pt>
                <c:pt idx="105">
                  <c:v>43644</c:v>
                </c:pt>
                <c:pt idx="106">
                  <c:v>43643</c:v>
                </c:pt>
                <c:pt idx="107">
                  <c:v>43642</c:v>
                </c:pt>
                <c:pt idx="108">
                  <c:v>43641</c:v>
                </c:pt>
                <c:pt idx="109">
                  <c:v>43640</c:v>
                </c:pt>
                <c:pt idx="110">
                  <c:v>43637</c:v>
                </c:pt>
                <c:pt idx="111">
                  <c:v>43636</c:v>
                </c:pt>
                <c:pt idx="112">
                  <c:v>43635</c:v>
                </c:pt>
                <c:pt idx="113">
                  <c:v>43634</c:v>
                </c:pt>
                <c:pt idx="114">
                  <c:v>43633</c:v>
                </c:pt>
                <c:pt idx="115">
                  <c:v>43630</c:v>
                </c:pt>
                <c:pt idx="116">
                  <c:v>43629</c:v>
                </c:pt>
                <c:pt idx="117">
                  <c:v>43628</c:v>
                </c:pt>
                <c:pt idx="118">
                  <c:v>43627</c:v>
                </c:pt>
                <c:pt idx="119">
                  <c:v>43626</c:v>
                </c:pt>
                <c:pt idx="120">
                  <c:v>43623</c:v>
                </c:pt>
                <c:pt idx="121">
                  <c:v>43622</c:v>
                </c:pt>
                <c:pt idx="122">
                  <c:v>43621</c:v>
                </c:pt>
                <c:pt idx="123">
                  <c:v>43620</c:v>
                </c:pt>
                <c:pt idx="124">
                  <c:v>43619</c:v>
                </c:pt>
                <c:pt idx="125">
                  <c:v>43616</c:v>
                </c:pt>
                <c:pt idx="126">
                  <c:v>43615</c:v>
                </c:pt>
                <c:pt idx="127">
                  <c:v>43614</c:v>
                </c:pt>
                <c:pt idx="128">
                  <c:v>43613</c:v>
                </c:pt>
                <c:pt idx="129">
                  <c:v>43612</c:v>
                </c:pt>
                <c:pt idx="130">
                  <c:v>43609</c:v>
                </c:pt>
                <c:pt idx="131">
                  <c:v>43608</c:v>
                </c:pt>
                <c:pt idx="132">
                  <c:v>43607</c:v>
                </c:pt>
                <c:pt idx="133">
                  <c:v>43606</c:v>
                </c:pt>
                <c:pt idx="134">
                  <c:v>43605</c:v>
                </c:pt>
                <c:pt idx="135">
                  <c:v>43602</c:v>
                </c:pt>
                <c:pt idx="136">
                  <c:v>43601</c:v>
                </c:pt>
                <c:pt idx="137">
                  <c:v>43600</c:v>
                </c:pt>
                <c:pt idx="138">
                  <c:v>43599</c:v>
                </c:pt>
                <c:pt idx="139">
                  <c:v>43598</c:v>
                </c:pt>
                <c:pt idx="140">
                  <c:v>43595</c:v>
                </c:pt>
                <c:pt idx="141">
                  <c:v>43594</c:v>
                </c:pt>
                <c:pt idx="142">
                  <c:v>43593</c:v>
                </c:pt>
                <c:pt idx="143">
                  <c:v>43592</c:v>
                </c:pt>
                <c:pt idx="144">
                  <c:v>43581</c:v>
                </c:pt>
                <c:pt idx="145">
                  <c:v>43580</c:v>
                </c:pt>
                <c:pt idx="146">
                  <c:v>43579</c:v>
                </c:pt>
                <c:pt idx="147">
                  <c:v>43578</c:v>
                </c:pt>
                <c:pt idx="148">
                  <c:v>43577</c:v>
                </c:pt>
                <c:pt idx="149">
                  <c:v>43574</c:v>
                </c:pt>
                <c:pt idx="150">
                  <c:v>43573</c:v>
                </c:pt>
                <c:pt idx="151">
                  <c:v>43572</c:v>
                </c:pt>
                <c:pt idx="152">
                  <c:v>43571</c:v>
                </c:pt>
                <c:pt idx="153">
                  <c:v>43570</c:v>
                </c:pt>
                <c:pt idx="154">
                  <c:v>43567</c:v>
                </c:pt>
                <c:pt idx="155">
                  <c:v>43566</c:v>
                </c:pt>
                <c:pt idx="156">
                  <c:v>43565</c:v>
                </c:pt>
                <c:pt idx="157">
                  <c:v>43564</c:v>
                </c:pt>
                <c:pt idx="158">
                  <c:v>43563</c:v>
                </c:pt>
                <c:pt idx="159">
                  <c:v>43560</c:v>
                </c:pt>
                <c:pt idx="160">
                  <c:v>43559</c:v>
                </c:pt>
                <c:pt idx="161">
                  <c:v>43558</c:v>
                </c:pt>
                <c:pt idx="162">
                  <c:v>43557</c:v>
                </c:pt>
                <c:pt idx="163">
                  <c:v>43556</c:v>
                </c:pt>
                <c:pt idx="164">
                  <c:v>43553</c:v>
                </c:pt>
                <c:pt idx="165">
                  <c:v>43552</c:v>
                </c:pt>
                <c:pt idx="166">
                  <c:v>43551</c:v>
                </c:pt>
                <c:pt idx="167">
                  <c:v>43550</c:v>
                </c:pt>
                <c:pt idx="168">
                  <c:v>43549</c:v>
                </c:pt>
                <c:pt idx="169">
                  <c:v>43546</c:v>
                </c:pt>
                <c:pt idx="170">
                  <c:v>43544</c:v>
                </c:pt>
                <c:pt idx="171">
                  <c:v>43543</c:v>
                </c:pt>
                <c:pt idx="172">
                  <c:v>43542</c:v>
                </c:pt>
                <c:pt idx="173">
                  <c:v>43539</c:v>
                </c:pt>
                <c:pt idx="174">
                  <c:v>43538</c:v>
                </c:pt>
                <c:pt idx="175">
                  <c:v>43537</c:v>
                </c:pt>
                <c:pt idx="176">
                  <c:v>43536</c:v>
                </c:pt>
                <c:pt idx="177">
                  <c:v>43535</c:v>
                </c:pt>
                <c:pt idx="178">
                  <c:v>43532</c:v>
                </c:pt>
                <c:pt idx="179">
                  <c:v>43531</c:v>
                </c:pt>
                <c:pt idx="180">
                  <c:v>43530</c:v>
                </c:pt>
                <c:pt idx="181">
                  <c:v>43529</c:v>
                </c:pt>
                <c:pt idx="182">
                  <c:v>43528</c:v>
                </c:pt>
                <c:pt idx="183">
                  <c:v>43525</c:v>
                </c:pt>
                <c:pt idx="184">
                  <c:v>43524</c:v>
                </c:pt>
                <c:pt idx="185">
                  <c:v>43523</c:v>
                </c:pt>
                <c:pt idx="186">
                  <c:v>43522</c:v>
                </c:pt>
                <c:pt idx="187">
                  <c:v>43521</c:v>
                </c:pt>
                <c:pt idx="188">
                  <c:v>43518</c:v>
                </c:pt>
                <c:pt idx="189">
                  <c:v>43517</c:v>
                </c:pt>
                <c:pt idx="190">
                  <c:v>43516</c:v>
                </c:pt>
                <c:pt idx="191">
                  <c:v>43515</c:v>
                </c:pt>
                <c:pt idx="192">
                  <c:v>43514</c:v>
                </c:pt>
                <c:pt idx="193">
                  <c:v>43511</c:v>
                </c:pt>
                <c:pt idx="194">
                  <c:v>43510</c:v>
                </c:pt>
                <c:pt idx="195">
                  <c:v>43509</c:v>
                </c:pt>
                <c:pt idx="196">
                  <c:v>43508</c:v>
                </c:pt>
                <c:pt idx="197">
                  <c:v>43504</c:v>
                </c:pt>
                <c:pt idx="198">
                  <c:v>43503</c:v>
                </c:pt>
                <c:pt idx="199">
                  <c:v>43502</c:v>
                </c:pt>
                <c:pt idx="200">
                  <c:v>43501</c:v>
                </c:pt>
                <c:pt idx="201">
                  <c:v>43500</c:v>
                </c:pt>
                <c:pt idx="202">
                  <c:v>43497</c:v>
                </c:pt>
                <c:pt idx="203">
                  <c:v>43496</c:v>
                </c:pt>
                <c:pt idx="204">
                  <c:v>43495</c:v>
                </c:pt>
                <c:pt idx="205">
                  <c:v>43494</c:v>
                </c:pt>
                <c:pt idx="206">
                  <c:v>43493</c:v>
                </c:pt>
                <c:pt idx="207">
                  <c:v>43490</c:v>
                </c:pt>
                <c:pt idx="208">
                  <c:v>43489</c:v>
                </c:pt>
                <c:pt idx="209">
                  <c:v>43488</c:v>
                </c:pt>
                <c:pt idx="210">
                  <c:v>43487</c:v>
                </c:pt>
                <c:pt idx="211">
                  <c:v>43486</c:v>
                </c:pt>
                <c:pt idx="212">
                  <c:v>43483</c:v>
                </c:pt>
                <c:pt idx="213">
                  <c:v>43482</c:v>
                </c:pt>
                <c:pt idx="214">
                  <c:v>43481</c:v>
                </c:pt>
                <c:pt idx="215">
                  <c:v>43480</c:v>
                </c:pt>
                <c:pt idx="216">
                  <c:v>43476</c:v>
                </c:pt>
                <c:pt idx="217">
                  <c:v>43475</c:v>
                </c:pt>
                <c:pt idx="218">
                  <c:v>43474</c:v>
                </c:pt>
                <c:pt idx="219">
                  <c:v>43473</c:v>
                </c:pt>
                <c:pt idx="220">
                  <c:v>43472</c:v>
                </c:pt>
                <c:pt idx="221">
                  <c:v>43469</c:v>
                </c:pt>
                <c:pt idx="222">
                  <c:v>43462</c:v>
                </c:pt>
                <c:pt idx="223">
                  <c:v>43461</c:v>
                </c:pt>
                <c:pt idx="224">
                  <c:v>43460</c:v>
                </c:pt>
                <c:pt idx="225">
                  <c:v>43459</c:v>
                </c:pt>
                <c:pt idx="226">
                  <c:v>43455</c:v>
                </c:pt>
                <c:pt idx="227">
                  <c:v>43454</c:v>
                </c:pt>
                <c:pt idx="228">
                  <c:v>43453</c:v>
                </c:pt>
                <c:pt idx="229">
                  <c:v>43452</c:v>
                </c:pt>
                <c:pt idx="230">
                  <c:v>43451</c:v>
                </c:pt>
                <c:pt idx="231">
                  <c:v>43448</c:v>
                </c:pt>
                <c:pt idx="232">
                  <c:v>43447</c:v>
                </c:pt>
                <c:pt idx="233">
                  <c:v>43446</c:v>
                </c:pt>
                <c:pt idx="234">
                  <c:v>43445</c:v>
                </c:pt>
                <c:pt idx="235">
                  <c:v>43444</c:v>
                </c:pt>
                <c:pt idx="236">
                  <c:v>43441</c:v>
                </c:pt>
                <c:pt idx="237">
                  <c:v>43440</c:v>
                </c:pt>
                <c:pt idx="238">
                  <c:v>43439</c:v>
                </c:pt>
                <c:pt idx="239">
                  <c:v>43438</c:v>
                </c:pt>
                <c:pt idx="240">
                  <c:v>43437</c:v>
                </c:pt>
              </c:numCache>
            </c:numRef>
          </c:cat>
          <c:val>
            <c:numRef>
              <c:f>グラフ!$O$42:$O$703</c:f>
              <c:numCache>
                <c:formatCode>General</c:formatCode>
                <c:ptCount val="662"/>
                <c:pt idx="0">
                  <c:v>0.5444348038380078</c:v>
                </c:pt>
                <c:pt idx="1">
                  <c:v>0.5449288414372998</c:v>
                </c:pt>
                <c:pt idx="2">
                  <c:v>0.54538862225054585</c:v>
                </c:pt>
                <c:pt idx="3">
                  <c:v>0.54521062295858758</c:v>
                </c:pt>
                <c:pt idx="4">
                  <c:v>0.54472817047259514</c:v>
                </c:pt>
                <c:pt idx="5">
                  <c:v>0.54472695859166975</c:v>
                </c:pt>
                <c:pt idx="6">
                  <c:v>0.54465582696609238</c:v>
                </c:pt>
                <c:pt idx="7">
                  <c:v>0.54444750888904381</c:v>
                </c:pt>
                <c:pt idx="8">
                  <c:v>0.54418276812036803</c:v>
                </c:pt>
                <c:pt idx="9">
                  <c:v>0.54401307027160484</c:v>
                </c:pt>
                <c:pt idx="10">
                  <c:v>0.54384953743893083</c:v>
                </c:pt>
                <c:pt idx="11">
                  <c:v>0.54305410067820725</c:v>
                </c:pt>
                <c:pt idx="12">
                  <c:v>0.54300414958705712</c:v>
                </c:pt>
                <c:pt idx="13">
                  <c:v>0.54337303674634641</c:v>
                </c:pt>
                <c:pt idx="14">
                  <c:v>0.54342434071479784</c:v>
                </c:pt>
                <c:pt idx="15">
                  <c:v>0.54329481211903918</c:v>
                </c:pt>
                <c:pt idx="16">
                  <c:v>0.54334359148726896</c:v>
                </c:pt>
                <c:pt idx="17">
                  <c:v>0.54355661418697221</c:v>
                </c:pt>
                <c:pt idx="18">
                  <c:v>0.54374713280795495</c:v>
                </c:pt>
                <c:pt idx="19">
                  <c:v>0.54422153610574653</c:v>
                </c:pt>
                <c:pt idx="20">
                  <c:v>0.54475519025562502</c:v>
                </c:pt>
                <c:pt idx="21">
                  <c:v>0.54471816950343166</c:v>
                </c:pt>
                <c:pt idx="22">
                  <c:v>0.54484554444546796</c:v>
                </c:pt>
                <c:pt idx="23">
                  <c:v>0.54487930779791782</c:v>
                </c:pt>
                <c:pt idx="24">
                  <c:v>0.54495660261291323</c:v>
                </c:pt>
                <c:pt idx="25">
                  <c:v>0.54504315770121181</c:v>
                </c:pt>
                <c:pt idx="26">
                  <c:v>0.5450407252893108</c:v>
                </c:pt>
                <c:pt idx="27">
                  <c:v>0.54505505593607906</c:v>
                </c:pt>
                <c:pt idx="28">
                  <c:v>0.54510820058695986</c:v>
                </c:pt>
                <c:pt idx="29">
                  <c:v>0.545097864414821</c:v>
                </c:pt>
                <c:pt idx="30">
                  <c:v>0.54497041016685499</c:v>
                </c:pt>
                <c:pt idx="31">
                  <c:v>0.54485926964438858</c:v>
                </c:pt>
                <c:pt idx="32">
                  <c:v>0.54466535321867227</c:v>
                </c:pt>
                <c:pt idx="33">
                  <c:v>0.54423423658282855</c:v>
                </c:pt>
                <c:pt idx="34">
                  <c:v>0.54391991097585857</c:v>
                </c:pt>
                <c:pt idx="35">
                  <c:v>0.54369007207134301</c:v>
                </c:pt>
                <c:pt idx="36">
                  <c:v>0.54337660982393365</c:v>
                </c:pt>
                <c:pt idx="37">
                  <c:v>0.54358481931851121</c:v>
                </c:pt>
                <c:pt idx="38">
                  <c:v>0.54367934809798768</c:v>
                </c:pt>
                <c:pt idx="39">
                  <c:v>0.54406711128157226</c:v>
                </c:pt>
                <c:pt idx="40">
                  <c:v>0.54453979073028203</c:v>
                </c:pt>
                <c:pt idx="41">
                  <c:v>0.54459541543689083</c:v>
                </c:pt>
                <c:pt idx="42">
                  <c:v>0.54469598630040161</c:v>
                </c:pt>
                <c:pt idx="43">
                  <c:v>0.54490534978540839</c:v>
                </c:pt>
                <c:pt idx="44">
                  <c:v>0.54520882523938041</c:v>
                </c:pt>
                <c:pt idx="45">
                  <c:v>0.54492024940991701</c:v>
                </c:pt>
                <c:pt idx="46">
                  <c:v>0.54470952963383024</c:v>
                </c:pt>
                <c:pt idx="47">
                  <c:v>0.54422201830978079</c:v>
                </c:pt>
                <c:pt idx="48">
                  <c:v>0.54351361019406674</c:v>
                </c:pt>
                <c:pt idx="49">
                  <c:v>0.54238254953188259</c:v>
                </c:pt>
                <c:pt idx="50">
                  <c:v>0.54170306304873139</c:v>
                </c:pt>
                <c:pt idx="51">
                  <c:v>0.54160940241641131</c:v>
                </c:pt>
                <c:pt idx="52">
                  <c:v>0.54133042151732624</c:v>
                </c:pt>
                <c:pt idx="53">
                  <c:v>0.54096266451100883</c:v>
                </c:pt>
                <c:pt idx="54">
                  <c:v>0.54052570801739996</c:v>
                </c:pt>
                <c:pt idx="55">
                  <c:v>0.54039424923858081</c:v>
                </c:pt>
                <c:pt idx="56">
                  <c:v>0.54010316668446634</c:v>
                </c:pt>
                <c:pt idx="57">
                  <c:v>0.53969748098984904</c:v>
                </c:pt>
                <c:pt idx="58">
                  <c:v>0.53976696487250864</c:v>
                </c:pt>
                <c:pt idx="59">
                  <c:v>0.54000836888953174</c:v>
                </c:pt>
                <c:pt idx="60">
                  <c:v>0.54042425504070124</c:v>
                </c:pt>
                <c:pt idx="61">
                  <c:v>0.54044820683610317</c:v>
                </c:pt>
                <c:pt idx="62">
                  <c:v>0.53956242535493126</c:v>
                </c:pt>
                <c:pt idx="63">
                  <c:v>0.53938174212554346</c:v>
                </c:pt>
                <c:pt idx="64">
                  <c:v>0.53961275482547699</c:v>
                </c:pt>
                <c:pt idx="65">
                  <c:v>0.54001575456264728</c:v>
                </c:pt>
                <c:pt idx="66">
                  <c:v>0.54027093221424782</c:v>
                </c:pt>
                <c:pt idx="67">
                  <c:v>0.5407327046960112</c:v>
                </c:pt>
                <c:pt idx="68">
                  <c:v>0.53991612598467364</c:v>
                </c:pt>
                <c:pt idx="69">
                  <c:v>0.5383625853580889</c:v>
                </c:pt>
                <c:pt idx="70">
                  <c:v>0.53803712461533126</c:v>
                </c:pt>
                <c:pt idx="71">
                  <c:v>0.53816330479342367</c:v>
                </c:pt>
                <c:pt idx="72">
                  <c:v>0.53826347670319385</c:v>
                </c:pt>
                <c:pt idx="73">
                  <c:v>0.53832708692886666</c:v>
                </c:pt>
                <c:pt idx="74">
                  <c:v>0.53833168925434283</c:v>
                </c:pt>
                <c:pt idx="75">
                  <c:v>0.5381715169967588</c:v>
                </c:pt>
                <c:pt idx="76">
                  <c:v>0.53793920179936816</c:v>
                </c:pt>
                <c:pt idx="77">
                  <c:v>0.53798023095808534</c:v>
                </c:pt>
                <c:pt idx="78">
                  <c:v>0.53846350663665365</c:v>
                </c:pt>
                <c:pt idx="79">
                  <c:v>0.53919049598903046</c:v>
                </c:pt>
                <c:pt idx="80">
                  <c:v>0.53930913938751557</c:v>
                </c:pt>
                <c:pt idx="81">
                  <c:v>0.53951742239882461</c:v>
                </c:pt>
                <c:pt idx="82">
                  <c:v>0.53994006777631176</c:v>
                </c:pt>
                <c:pt idx="83">
                  <c:v>0.5399610660059605</c:v>
                </c:pt>
                <c:pt idx="84">
                  <c:v>0.540358628675358</c:v>
                </c:pt>
                <c:pt idx="85">
                  <c:v>0.54031902339465598</c:v>
                </c:pt>
                <c:pt idx="86">
                  <c:v>0.54053792137496282</c:v>
                </c:pt>
                <c:pt idx="87">
                  <c:v>0.54054163698633784</c:v>
                </c:pt>
                <c:pt idx="88">
                  <c:v>0.54056438718446986</c:v>
                </c:pt>
                <c:pt idx="89">
                  <c:v>0.5405777073736604</c:v>
                </c:pt>
                <c:pt idx="90">
                  <c:v>0.5405711967715604</c:v>
                </c:pt>
                <c:pt idx="91">
                  <c:v>0.54044523640778919</c:v>
                </c:pt>
                <c:pt idx="92">
                  <c:v>0.54028075975833767</c:v>
                </c:pt>
                <c:pt idx="93">
                  <c:v>0.5395673711486858</c:v>
                </c:pt>
                <c:pt idx="94">
                  <c:v>0.53888898088784287</c:v>
                </c:pt>
                <c:pt idx="95">
                  <c:v>0.53838891739113515</c:v>
                </c:pt>
                <c:pt idx="96">
                  <c:v>0.53803277577652653</c:v>
                </c:pt>
                <c:pt idx="97">
                  <c:v>0.5375678764360583</c:v>
                </c:pt>
                <c:pt idx="98">
                  <c:v>0.53710613803212504</c:v>
                </c:pt>
                <c:pt idx="99">
                  <c:v>0.53598938918821237</c:v>
                </c:pt>
                <c:pt idx="100">
                  <c:v>0.53521777433426021</c:v>
                </c:pt>
                <c:pt idx="101">
                  <c:v>0.53403952808426902</c:v>
                </c:pt>
                <c:pt idx="102">
                  <c:v>0.53312664236124863</c:v>
                </c:pt>
                <c:pt idx="103">
                  <c:v>0.53204590896557735</c:v>
                </c:pt>
                <c:pt idx="104">
                  <c:v>0.53104635835389102</c:v>
                </c:pt>
                <c:pt idx="105">
                  <c:v>0.52994121095754054</c:v>
                </c:pt>
                <c:pt idx="106">
                  <c:v>0.52845912147250862</c:v>
                </c:pt>
                <c:pt idx="107">
                  <c:v>0.5262553291909452</c:v>
                </c:pt>
                <c:pt idx="108">
                  <c:v>0.52446357021908618</c:v>
                </c:pt>
                <c:pt idx="109">
                  <c:v>0.52232206915523816</c:v>
                </c:pt>
                <c:pt idx="110">
                  <c:v>0.52059957607290575</c:v>
                </c:pt>
                <c:pt idx="111">
                  <c:v>0.51955102817682697</c:v>
                </c:pt>
                <c:pt idx="112">
                  <c:v>0.51798757288791009</c:v>
                </c:pt>
                <c:pt idx="113">
                  <c:v>0.51676563535609721</c:v>
                </c:pt>
                <c:pt idx="114">
                  <c:v>0.51584251725428643</c:v>
                </c:pt>
                <c:pt idx="115">
                  <c:v>0.5147709958634582</c:v>
                </c:pt>
                <c:pt idx="116">
                  <c:v>0.51365898476342298</c:v>
                </c:pt>
                <c:pt idx="117">
                  <c:v>0.51240862187684655</c:v>
                </c:pt>
                <c:pt idx="118">
                  <c:v>0.51127907061765754</c:v>
                </c:pt>
                <c:pt idx="119">
                  <c:v>0.51056358449510897</c:v>
                </c:pt>
                <c:pt idx="120">
                  <c:v>0.51040581372903138</c:v>
                </c:pt>
                <c:pt idx="121">
                  <c:v>0.50901713225467637</c:v>
                </c:pt>
                <c:pt idx="122">
                  <c:v>0.50759502929170341</c:v>
                </c:pt>
                <c:pt idx="123">
                  <c:v>0.50669132527398442</c:v>
                </c:pt>
                <c:pt idx="124">
                  <c:v>0.50604091787671057</c:v>
                </c:pt>
                <c:pt idx="125">
                  <c:v>0.50546236671852263</c:v>
                </c:pt>
                <c:pt idx="126">
                  <c:v>0.50477710784089302</c:v>
                </c:pt>
                <c:pt idx="127">
                  <c:v>0.50439934200024683</c:v>
                </c:pt>
                <c:pt idx="128">
                  <c:v>0.50414195367139358</c:v>
                </c:pt>
                <c:pt idx="129">
                  <c:v>0.50384918721235739</c:v>
                </c:pt>
                <c:pt idx="130">
                  <c:v>0.50363162356575419</c:v>
                </c:pt>
                <c:pt idx="131">
                  <c:v>0.5035050133689114</c:v>
                </c:pt>
                <c:pt idx="132">
                  <c:v>0.50327165872140378</c:v>
                </c:pt>
                <c:pt idx="133">
                  <c:v>0.50308631408501925</c:v>
                </c:pt>
                <c:pt idx="134">
                  <c:v>0.50290211969721432</c:v>
                </c:pt>
                <c:pt idx="135">
                  <c:v>0.50273538666948703</c:v>
                </c:pt>
                <c:pt idx="136">
                  <c:v>0.50239728545874984</c:v>
                </c:pt>
                <c:pt idx="137">
                  <c:v>0.5021432641219572</c:v>
                </c:pt>
                <c:pt idx="138">
                  <c:v>0.50176501734404677</c:v>
                </c:pt>
                <c:pt idx="139">
                  <c:v>0.50073349835139702</c:v>
                </c:pt>
                <c:pt idx="140">
                  <c:v>0.49948342183830802</c:v>
                </c:pt>
                <c:pt idx="141">
                  <c:v>0.49855079408653563</c:v>
                </c:pt>
                <c:pt idx="142">
                  <c:v>0.49758181926247202</c:v>
                </c:pt>
                <c:pt idx="143">
                  <c:v>0.4971045926861804</c:v>
                </c:pt>
                <c:pt idx="144">
                  <c:v>0.49774491552583877</c:v>
                </c:pt>
                <c:pt idx="145">
                  <c:v>0.49762002041615222</c:v>
                </c:pt>
                <c:pt idx="146">
                  <c:v>0.49636266616099006</c:v>
                </c:pt>
                <c:pt idx="147">
                  <c:v>0.49493427407586299</c:v>
                </c:pt>
                <c:pt idx="148">
                  <c:v>0.49382706213515459</c:v>
                </c:pt>
                <c:pt idx="149">
                  <c:v>0.49224778285887305</c:v>
                </c:pt>
                <c:pt idx="150">
                  <c:v>0.49154805091318299</c:v>
                </c:pt>
                <c:pt idx="151">
                  <c:v>0.49118592980782716</c:v>
                </c:pt>
                <c:pt idx="152">
                  <c:v>0.49065665457868524</c:v>
                </c:pt>
                <c:pt idx="153">
                  <c:v>0.49032801958307998</c:v>
                </c:pt>
                <c:pt idx="154">
                  <c:v>0.49053801135775676</c:v>
                </c:pt>
                <c:pt idx="155">
                  <c:v>0.49068714126728724</c:v>
                </c:pt>
                <c:pt idx="156">
                  <c:v>0.4910422399926474</c:v>
                </c:pt>
                <c:pt idx="157">
                  <c:v>0.49167068563171035</c:v>
                </c:pt>
                <c:pt idx="158">
                  <c:v>0.49234493578634542</c:v>
                </c:pt>
                <c:pt idx="159">
                  <c:v>0.49293772462580604</c:v>
                </c:pt>
                <c:pt idx="160">
                  <c:v>0.49413337354070219</c:v>
                </c:pt>
                <c:pt idx="161">
                  <c:v>0.49495814326431326</c:v>
                </c:pt>
                <c:pt idx="162">
                  <c:v>0.49580446236236486</c:v>
                </c:pt>
                <c:pt idx="163">
                  <c:v>0.49687140543219499</c:v>
                </c:pt>
                <c:pt idx="164">
                  <c:v>0.4975403171661964</c:v>
                </c:pt>
                <c:pt idx="165">
                  <c:v>0.49807661406788217</c:v>
                </c:pt>
                <c:pt idx="166">
                  <c:v>0.49705892995931195</c:v>
                </c:pt>
                <c:pt idx="167">
                  <c:v>0.49575136784564755</c:v>
                </c:pt>
                <c:pt idx="168">
                  <c:v>0.494137193719971</c:v>
                </c:pt>
                <c:pt idx="169">
                  <c:v>0.49364421477733933</c:v>
                </c:pt>
                <c:pt idx="170">
                  <c:v>0.49314316307509998</c:v>
                </c:pt>
                <c:pt idx="171">
                  <c:v>0.49264345564073758</c:v>
                </c:pt>
                <c:pt idx="172">
                  <c:v>0.49249387116800414</c:v>
                </c:pt>
                <c:pt idx="173">
                  <c:v>0.492159466745626</c:v>
                </c:pt>
                <c:pt idx="174">
                  <c:v>0.49215862127843596</c:v>
                </c:pt>
                <c:pt idx="175">
                  <c:v>0.49188808513876348</c:v>
                </c:pt>
                <c:pt idx="176">
                  <c:v>0.49175524406728838</c:v>
                </c:pt>
                <c:pt idx="177">
                  <c:v>0.49151115927817501</c:v>
                </c:pt>
                <c:pt idx="178">
                  <c:v>0.49140544046911461</c:v>
                </c:pt>
                <c:pt idx="179">
                  <c:v>0.4911984186204526</c:v>
                </c:pt>
                <c:pt idx="180">
                  <c:v>0.49101535763216558</c:v>
                </c:pt>
                <c:pt idx="181">
                  <c:v>0.4907962039492848</c:v>
                </c:pt>
                <c:pt idx="182">
                  <c:v>0.48943476099554839</c:v>
                </c:pt>
                <c:pt idx="183">
                  <c:v>0.48891563757369899</c:v>
                </c:pt>
                <c:pt idx="184">
                  <c:v>0.48884910768971646</c:v>
                </c:pt>
                <c:pt idx="185">
                  <c:v>0.48832566839363822</c:v>
                </c:pt>
                <c:pt idx="186">
                  <c:v>0.48811331462266555</c:v>
                </c:pt>
                <c:pt idx="187">
                  <c:v>0.4887726865646756</c:v>
                </c:pt>
                <c:pt idx="188">
                  <c:v>0.4844331600161712</c:v>
                </c:pt>
                <c:pt idx="189">
                  <c:v>0.48317112076642399</c:v>
                </c:pt>
                <c:pt idx="190">
                  <c:v>0.48244485113113178</c:v>
                </c:pt>
                <c:pt idx="191">
                  <c:v>0.48231437285801204</c:v>
                </c:pt>
                <c:pt idx="192">
                  <c:v>0.48199916271726195</c:v>
                </c:pt>
                <c:pt idx="193">
                  <c:v>0.48118593066422982</c:v>
                </c:pt>
                <c:pt idx="194">
                  <c:v>0.48037893671268278</c:v>
                </c:pt>
                <c:pt idx="195">
                  <c:v>0.47795346404500377</c:v>
                </c:pt>
                <c:pt idx="196">
                  <c:v>0.47666861355830958</c:v>
                </c:pt>
                <c:pt idx="197">
                  <c:v>0.47576435703946002</c:v>
                </c:pt>
                <c:pt idx="198">
                  <c:v>0.47474204705575362</c:v>
                </c:pt>
                <c:pt idx="199">
                  <c:v>0.47395298237027739</c:v>
                </c:pt>
                <c:pt idx="200">
                  <c:v>0.47322665112585194</c:v>
                </c:pt>
                <c:pt idx="201">
                  <c:v>0.47316734249507819</c:v>
                </c:pt>
                <c:pt idx="202">
                  <c:v>0.47259131129973825</c:v>
                </c:pt>
                <c:pt idx="203">
                  <c:v>0.47219378470122064</c:v>
                </c:pt>
                <c:pt idx="204">
                  <c:v>0.47219537799089162</c:v>
                </c:pt>
                <c:pt idx="205">
                  <c:v>0.47237207831854244</c:v>
                </c:pt>
                <c:pt idx="206">
                  <c:v>0.47261099049987398</c:v>
                </c:pt>
                <c:pt idx="207">
                  <c:v>0.47282897406772301</c:v>
                </c:pt>
                <c:pt idx="208">
                  <c:v>0.47334201985367941</c:v>
                </c:pt>
                <c:pt idx="209">
                  <c:v>0.4741223308019834</c:v>
                </c:pt>
                <c:pt idx="210">
                  <c:v>0.47487906703170479</c:v>
                </c:pt>
                <c:pt idx="211">
                  <c:v>0.47591484854247296</c:v>
                </c:pt>
                <c:pt idx="212">
                  <c:v>0.47694966021644081</c:v>
                </c:pt>
                <c:pt idx="213">
                  <c:v>0.47803629484916044</c:v>
                </c:pt>
                <c:pt idx="214">
                  <c:v>0.47959715131933145</c:v>
                </c:pt>
                <c:pt idx="215">
                  <c:v>0.48170962595944999</c:v>
                </c:pt>
                <c:pt idx="216">
                  <c:v>0.48356961211285937</c:v>
                </c:pt>
                <c:pt idx="217">
                  <c:v>0.4858785812270176</c:v>
                </c:pt>
                <c:pt idx="218">
                  <c:v>0.48866663897543883</c:v>
                </c:pt>
                <c:pt idx="219">
                  <c:v>0.49142580483650267</c:v>
                </c:pt>
                <c:pt idx="220">
                  <c:v>0.49409745944365835</c:v>
                </c:pt>
                <c:pt idx="221">
                  <c:v>0.49738249307733357</c:v>
                </c:pt>
                <c:pt idx="222">
                  <c:v>0.50113482595500081</c:v>
                </c:pt>
                <c:pt idx="223">
                  <c:v>0.50464375656171501</c:v>
                </c:pt>
                <c:pt idx="224">
                  <c:v>0.50898822388470977</c:v>
                </c:pt>
                <c:pt idx="225">
                  <c:v>0.51240932483093926</c:v>
                </c:pt>
                <c:pt idx="226">
                  <c:v>0.51529279076681533</c:v>
                </c:pt>
                <c:pt idx="227">
                  <c:v>0.51944699446770903</c:v>
                </c:pt>
                <c:pt idx="228">
                  <c:v>0.523769186418648</c:v>
                </c:pt>
                <c:pt idx="229">
                  <c:v>0.52770641657272943</c:v>
                </c:pt>
                <c:pt idx="230">
                  <c:v>0.53103526162923875</c:v>
                </c:pt>
                <c:pt idx="231">
                  <c:v>0.53366715195271264</c:v>
                </c:pt>
                <c:pt idx="232">
                  <c:v>0.53680239023825538</c:v>
                </c:pt>
                <c:pt idx="233">
                  <c:v>0.53993812221358695</c:v>
                </c:pt>
                <c:pt idx="234">
                  <c:v>0.54295488402474235</c:v>
                </c:pt>
                <c:pt idx="235">
                  <c:v>0.5452557623055726</c:v>
                </c:pt>
                <c:pt idx="236">
                  <c:v>0.54727550104235845</c:v>
                </c:pt>
                <c:pt idx="237">
                  <c:v>0.54921152635661719</c:v>
                </c:pt>
                <c:pt idx="238">
                  <c:v>0.55103470732572724</c:v>
                </c:pt>
                <c:pt idx="239">
                  <c:v>0.55277226513853317</c:v>
                </c:pt>
                <c:pt idx="240">
                  <c:v>0.55441608077694227</c:v>
                </c:pt>
              </c:numCache>
            </c:numRef>
          </c:val>
        </c:ser>
        <c:ser>
          <c:idx val="3"/>
          <c:order val="3"/>
          <c:tx>
            <c:strRef>
              <c:f>グラフ!$G$41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19050">
              <a:solidFill>
                <a:schemeClr val="accent4">
                  <a:lumMod val="40000"/>
                  <a:lumOff val="60000"/>
                  <a:alpha val="86000"/>
                </a:schemeClr>
              </a:solidFill>
            </a:ln>
          </c:spPr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43802</c:v>
                </c:pt>
                <c:pt idx="1">
                  <c:v>43801</c:v>
                </c:pt>
                <c:pt idx="2">
                  <c:v>43798</c:v>
                </c:pt>
                <c:pt idx="3">
                  <c:v>43797</c:v>
                </c:pt>
                <c:pt idx="4">
                  <c:v>43796</c:v>
                </c:pt>
                <c:pt idx="5">
                  <c:v>43795</c:v>
                </c:pt>
                <c:pt idx="6">
                  <c:v>43794</c:v>
                </c:pt>
                <c:pt idx="7">
                  <c:v>43791</c:v>
                </c:pt>
                <c:pt idx="8">
                  <c:v>43790</c:v>
                </c:pt>
                <c:pt idx="9">
                  <c:v>43789</c:v>
                </c:pt>
                <c:pt idx="10">
                  <c:v>43788</c:v>
                </c:pt>
                <c:pt idx="11">
                  <c:v>43787</c:v>
                </c:pt>
                <c:pt idx="12">
                  <c:v>43784</c:v>
                </c:pt>
                <c:pt idx="13">
                  <c:v>43783</c:v>
                </c:pt>
                <c:pt idx="14">
                  <c:v>43782</c:v>
                </c:pt>
                <c:pt idx="15">
                  <c:v>43781</c:v>
                </c:pt>
                <c:pt idx="16">
                  <c:v>43780</c:v>
                </c:pt>
                <c:pt idx="17">
                  <c:v>43777</c:v>
                </c:pt>
                <c:pt idx="18">
                  <c:v>43776</c:v>
                </c:pt>
                <c:pt idx="19">
                  <c:v>43775</c:v>
                </c:pt>
                <c:pt idx="20">
                  <c:v>43774</c:v>
                </c:pt>
                <c:pt idx="21">
                  <c:v>43770</c:v>
                </c:pt>
                <c:pt idx="22">
                  <c:v>43769</c:v>
                </c:pt>
                <c:pt idx="23">
                  <c:v>43768</c:v>
                </c:pt>
                <c:pt idx="24">
                  <c:v>43767</c:v>
                </c:pt>
                <c:pt idx="25">
                  <c:v>43766</c:v>
                </c:pt>
                <c:pt idx="26">
                  <c:v>43763</c:v>
                </c:pt>
                <c:pt idx="27">
                  <c:v>43762</c:v>
                </c:pt>
                <c:pt idx="28">
                  <c:v>43761</c:v>
                </c:pt>
                <c:pt idx="29">
                  <c:v>43759</c:v>
                </c:pt>
                <c:pt idx="30">
                  <c:v>43756</c:v>
                </c:pt>
                <c:pt idx="31">
                  <c:v>43755</c:v>
                </c:pt>
                <c:pt idx="32">
                  <c:v>43754</c:v>
                </c:pt>
                <c:pt idx="33">
                  <c:v>43753</c:v>
                </c:pt>
                <c:pt idx="34">
                  <c:v>43749</c:v>
                </c:pt>
                <c:pt idx="35">
                  <c:v>43748</c:v>
                </c:pt>
                <c:pt idx="36">
                  <c:v>43747</c:v>
                </c:pt>
                <c:pt idx="37">
                  <c:v>43746</c:v>
                </c:pt>
                <c:pt idx="38">
                  <c:v>43745</c:v>
                </c:pt>
                <c:pt idx="39">
                  <c:v>43742</c:v>
                </c:pt>
                <c:pt idx="40">
                  <c:v>43741</c:v>
                </c:pt>
                <c:pt idx="41">
                  <c:v>43740</c:v>
                </c:pt>
                <c:pt idx="42">
                  <c:v>43739</c:v>
                </c:pt>
                <c:pt idx="43">
                  <c:v>43738</c:v>
                </c:pt>
                <c:pt idx="44">
                  <c:v>43735</c:v>
                </c:pt>
                <c:pt idx="45">
                  <c:v>43734</c:v>
                </c:pt>
                <c:pt idx="46">
                  <c:v>43733</c:v>
                </c:pt>
                <c:pt idx="47">
                  <c:v>43732</c:v>
                </c:pt>
                <c:pt idx="48">
                  <c:v>43728</c:v>
                </c:pt>
                <c:pt idx="49">
                  <c:v>43727</c:v>
                </c:pt>
                <c:pt idx="50">
                  <c:v>43726</c:v>
                </c:pt>
                <c:pt idx="51">
                  <c:v>43725</c:v>
                </c:pt>
                <c:pt idx="52">
                  <c:v>43721</c:v>
                </c:pt>
                <c:pt idx="53">
                  <c:v>43720</c:v>
                </c:pt>
                <c:pt idx="54">
                  <c:v>43719</c:v>
                </c:pt>
                <c:pt idx="55">
                  <c:v>43718</c:v>
                </c:pt>
                <c:pt idx="56">
                  <c:v>43717</c:v>
                </c:pt>
                <c:pt idx="57">
                  <c:v>43714</c:v>
                </c:pt>
                <c:pt idx="58">
                  <c:v>43713</c:v>
                </c:pt>
                <c:pt idx="59">
                  <c:v>43712</c:v>
                </c:pt>
                <c:pt idx="60">
                  <c:v>43711</c:v>
                </c:pt>
                <c:pt idx="61">
                  <c:v>43710</c:v>
                </c:pt>
                <c:pt idx="62">
                  <c:v>43707</c:v>
                </c:pt>
                <c:pt idx="63">
                  <c:v>43706</c:v>
                </c:pt>
                <c:pt idx="64">
                  <c:v>43705</c:v>
                </c:pt>
                <c:pt idx="65">
                  <c:v>43704</c:v>
                </c:pt>
                <c:pt idx="66">
                  <c:v>43703</c:v>
                </c:pt>
                <c:pt idx="67">
                  <c:v>43700</c:v>
                </c:pt>
                <c:pt idx="68">
                  <c:v>43699</c:v>
                </c:pt>
                <c:pt idx="69">
                  <c:v>43698</c:v>
                </c:pt>
                <c:pt idx="70">
                  <c:v>43697</c:v>
                </c:pt>
                <c:pt idx="71">
                  <c:v>43696</c:v>
                </c:pt>
                <c:pt idx="72">
                  <c:v>43693</c:v>
                </c:pt>
                <c:pt idx="73">
                  <c:v>43692</c:v>
                </c:pt>
                <c:pt idx="74">
                  <c:v>43691</c:v>
                </c:pt>
                <c:pt idx="75">
                  <c:v>43690</c:v>
                </c:pt>
                <c:pt idx="76">
                  <c:v>43686</c:v>
                </c:pt>
                <c:pt idx="77">
                  <c:v>43685</c:v>
                </c:pt>
                <c:pt idx="78">
                  <c:v>43684</c:v>
                </c:pt>
                <c:pt idx="79">
                  <c:v>43683</c:v>
                </c:pt>
                <c:pt idx="80">
                  <c:v>43682</c:v>
                </c:pt>
                <c:pt idx="81">
                  <c:v>43679</c:v>
                </c:pt>
                <c:pt idx="82">
                  <c:v>43678</c:v>
                </c:pt>
                <c:pt idx="83">
                  <c:v>43677</c:v>
                </c:pt>
                <c:pt idx="84">
                  <c:v>43676</c:v>
                </c:pt>
                <c:pt idx="85">
                  <c:v>43675</c:v>
                </c:pt>
                <c:pt idx="86">
                  <c:v>43672</c:v>
                </c:pt>
                <c:pt idx="87">
                  <c:v>43671</c:v>
                </c:pt>
                <c:pt idx="88">
                  <c:v>43670</c:v>
                </c:pt>
                <c:pt idx="89">
                  <c:v>43669</c:v>
                </c:pt>
                <c:pt idx="90">
                  <c:v>43668</c:v>
                </c:pt>
                <c:pt idx="91">
                  <c:v>43665</c:v>
                </c:pt>
                <c:pt idx="92">
                  <c:v>43664</c:v>
                </c:pt>
                <c:pt idx="93">
                  <c:v>43663</c:v>
                </c:pt>
                <c:pt idx="94">
                  <c:v>43662</c:v>
                </c:pt>
                <c:pt idx="95">
                  <c:v>43658</c:v>
                </c:pt>
                <c:pt idx="96">
                  <c:v>43657</c:v>
                </c:pt>
                <c:pt idx="97">
                  <c:v>43656</c:v>
                </c:pt>
                <c:pt idx="98">
                  <c:v>43655</c:v>
                </c:pt>
                <c:pt idx="99">
                  <c:v>43654</c:v>
                </c:pt>
                <c:pt idx="100">
                  <c:v>43651</c:v>
                </c:pt>
                <c:pt idx="101">
                  <c:v>43650</c:v>
                </c:pt>
                <c:pt idx="102">
                  <c:v>43649</c:v>
                </c:pt>
                <c:pt idx="103">
                  <c:v>43648</c:v>
                </c:pt>
                <c:pt idx="104">
                  <c:v>43647</c:v>
                </c:pt>
                <c:pt idx="105">
                  <c:v>43644</c:v>
                </c:pt>
                <c:pt idx="106">
                  <c:v>43643</c:v>
                </c:pt>
                <c:pt idx="107">
                  <c:v>43642</c:v>
                </c:pt>
                <c:pt idx="108">
                  <c:v>43641</c:v>
                </c:pt>
                <c:pt idx="109">
                  <c:v>43640</c:v>
                </c:pt>
                <c:pt idx="110">
                  <c:v>43637</c:v>
                </c:pt>
                <c:pt idx="111">
                  <c:v>43636</c:v>
                </c:pt>
                <c:pt idx="112">
                  <c:v>43635</c:v>
                </c:pt>
                <c:pt idx="113">
                  <c:v>43634</c:v>
                </c:pt>
                <c:pt idx="114">
                  <c:v>43633</c:v>
                </c:pt>
                <c:pt idx="115">
                  <c:v>43630</c:v>
                </c:pt>
                <c:pt idx="116">
                  <c:v>43629</c:v>
                </c:pt>
                <c:pt idx="117">
                  <c:v>43628</c:v>
                </c:pt>
                <c:pt idx="118">
                  <c:v>43627</c:v>
                </c:pt>
                <c:pt idx="119">
                  <c:v>43626</c:v>
                </c:pt>
                <c:pt idx="120">
                  <c:v>43623</c:v>
                </c:pt>
                <c:pt idx="121">
                  <c:v>43622</c:v>
                </c:pt>
                <c:pt idx="122">
                  <c:v>43621</c:v>
                </c:pt>
                <c:pt idx="123">
                  <c:v>43620</c:v>
                </c:pt>
                <c:pt idx="124">
                  <c:v>43619</c:v>
                </c:pt>
                <c:pt idx="125">
                  <c:v>43616</c:v>
                </c:pt>
                <c:pt idx="126">
                  <c:v>43615</c:v>
                </c:pt>
                <c:pt idx="127">
                  <c:v>43614</c:v>
                </c:pt>
                <c:pt idx="128">
                  <c:v>43613</c:v>
                </c:pt>
                <c:pt idx="129">
                  <c:v>43612</c:v>
                </c:pt>
                <c:pt idx="130">
                  <c:v>43609</c:v>
                </c:pt>
                <c:pt idx="131">
                  <c:v>43608</c:v>
                </c:pt>
                <c:pt idx="132">
                  <c:v>43607</c:v>
                </c:pt>
                <c:pt idx="133">
                  <c:v>43606</c:v>
                </c:pt>
                <c:pt idx="134">
                  <c:v>43605</c:v>
                </c:pt>
                <c:pt idx="135">
                  <c:v>43602</c:v>
                </c:pt>
                <c:pt idx="136">
                  <c:v>43601</c:v>
                </c:pt>
                <c:pt idx="137">
                  <c:v>43600</c:v>
                </c:pt>
                <c:pt idx="138">
                  <c:v>43599</c:v>
                </c:pt>
                <c:pt idx="139">
                  <c:v>43598</c:v>
                </c:pt>
                <c:pt idx="140">
                  <c:v>43595</c:v>
                </c:pt>
                <c:pt idx="141">
                  <c:v>43594</c:v>
                </c:pt>
                <c:pt idx="142">
                  <c:v>43593</c:v>
                </c:pt>
                <c:pt idx="143">
                  <c:v>43592</c:v>
                </c:pt>
                <c:pt idx="144">
                  <c:v>43581</c:v>
                </c:pt>
                <c:pt idx="145">
                  <c:v>43580</c:v>
                </c:pt>
                <c:pt idx="146">
                  <c:v>43579</c:v>
                </c:pt>
                <c:pt idx="147">
                  <c:v>43578</c:v>
                </c:pt>
                <c:pt idx="148">
                  <c:v>43577</c:v>
                </c:pt>
                <c:pt idx="149">
                  <c:v>43574</c:v>
                </c:pt>
                <c:pt idx="150">
                  <c:v>43573</c:v>
                </c:pt>
                <c:pt idx="151">
                  <c:v>43572</c:v>
                </c:pt>
                <c:pt idx="152">
                  <c:v>43571</c:v>
                </c:pt>
                <c:pt idx="153">
                  <c:v>43570</c:v>
                </c:pt>
                <c:pt idx="154">
                  <c:v>43567</c:v>
                </c:pt>
                <c:pt idx="155">
                  <c:v>43566</c:v>
                </c:pt>
                <c:pt idx="156">
                  <c:v>43565</c:v>
                </c:pt>
                <c:pt idx="157">
                  <c:v>43564</c:v>
                </c:pt>
                <c:pt idx="158">
                  <c:v>43563</c:v>
                </c:pt>
                <c:pt idx="159">
                  <c:v>43560</c:v>
                </c:pt>
                <c:pt idx="160">
                  <c:v>43559</c:v>
                </c:pt>
                <c:pt idx="161">
                  <c:v>43558</c:v>
                </c:pt>
                <c:pt idx="162">
                  <c:v>43557</c:v>
                </c:pt>
                <c:pt idx="163">
                  <c:v>43556</c:v>
                </c:pt>
                <c:pt idx="164">
                  <c:v>43553</c:v>
                </c:pt>
                <c:pt idx="165">
                  <c:v>43552</c:v>
                </c:pt>
                <c:pt idx="166">
                  <c:v>43551</c:v>
                </c:pt>
                <c:pt idx="167">
                  <c:v>43550</c:v>
                </c:pt>
                <c:pt idx="168">
                  <c:v>43549</c:v>
                </c:pt>
                <c:pt idx="169">
                  <c:v>43546</c:v>
                </c:pt>
                <c:pt idx="170">
                  <c:v>43544</c:v>
                </c:pt>
                <c:pt idx="171">
                  <c:v>43543</c:v>
                </c:pt>
                <c:pt idx="172">
                  <c:v>43542</c:v>
                </c:pt>
                <c:pt idx="173">
                  <c:v>43539</c:v>
                </c:pt>
                <c:pt idx="174">
                  <c:v>43538</c:v>
                </c:pt>
                <c:pt idx="175">
                  <c:v>43537</c:v>
                </c:pt>
                <c:pt idx="176">
                  <c:v>43536</c:v>
                </c:pt>
                <c:pt idx="177">
                  <c:v>43535</c:v>
                </c:pt>
                <c:pt idx="178">
                  <c:v>43532</c:v>
                </c:pt>
                <c:pt idx="179">
                  <c:v>43531</c:v>
                </c:pt>
                <c:pt idx="180">
                  <c:v>43530</c:v>
                </c:pt>
                <c:pt idx="181">
                  <c:v>43529</c:v>
                </c:pt>
                <c:pt idx="182">
                  <c:v>43528</c:v>
                </c:pt>
                <c:pt idx="183">
                  <c:v>43525</c:v>
                </c:pt>
                <c:pt idx="184">
                  <c:v>43524</c:v>
                </c:pt>
                <c:pt idx="185">
                  <c:v>43523</c:v>
                </c:pt>
                <c:pt idx="186">
                  <c:v>43522</c:v>
                </c:pt>
                <c:pt idx="187">
                  <c:v>43521</c:v>
                </c:pt>
                <c:pt idx="188">
                  <c:v>43518</c:v>
                </c:pt>
                <c:pt idx="189">
                  <c:v>43517</c:v>
                </c:pt>
                <c:pt idx="190">
                  <c:v>43516</c:v>
                </c:pt>
                <c:pt idx="191">
                  <c:v>43515</c:v>
                </c:pt>
                <c:pt idx="192">
                  <c:v>43514</c:v>
                </c:pt>
                <c:pt idx="193">
                  <c:v>43511</c:v>
                </c:pt>
                <c:pt idx="194">
                  <c:v>43510</c:v>
                </c:pt>
                <c:pt idx="195">
                  <c:v>43509</c:v>
                </c:pt>
                <c:pt idx="196">
                  <c:v>43508</c:v>
                </c:pt>
                <c:pt idx="197">
                  <c:v>43504</c:v>
                </c:pt>
                <c:pt idx="198">
                  <c:v>43503</c:v>
                </c:pt>
                <c:pt idx="199">
                  <c:v>43502</c:v>
                </c:pt>
                <c:pt idx="200">
                  <c:v>43501</c:v>
                </c:pt>
                <c:pt idx="201">
                  <c:v>43500</c:v>
                </c:pt>
                <c:pt idx="202">
                  <c:v>43497</c:v>
                </c:pt>
                <c:pt idx="203">
                  <c:v>43496</c:v>
                </c:pt>
                <c:pt idx="204">
                  <c:v>43495</c:v>
                </c:pt>
                <c:pt idx="205">
                  <c:v>43494</c:v>
                </c:pt>
                <c:pt idx="206">
                  <c:v>43493</c:v>
                </c:pt>
                <c:pt idx="207">
                  <c:v>43490</c:v>
                </c:pt>
                <c:pt idx="208">
                  <c:v>43489</c:v>
                </c:pt>
                <c:pt idx="209">
                  <c:v>43488</c:v>
                </c:pt>
                <c:pt idx="210">
                  <c:v>43487</c:v>
                </c:pt>
                <c:pt idx="211">
                  <c:v>43486</c:v>
                </c:pt>
                <c:pt idx="212">
                  <c:v>43483</c:v>
                </c:pt>
                <c:pt idx="213">
                  <c:v>43482</c:v>
                </c:pt>
                <c:pt idx="214">
                  <c:v>43481</c:v>
                </c:pt>
                <c:pt idx="215">
                  <c:v>43480</c:v>
                </c:pt>
                <c:pt idx="216">
                  <c:v>43476</c:v>
                </c:pt>
                <c:pt idx="217">
                  <c:v>43475</c:v>
                </c:pt>
                <c:pt idx="218">
                  <c:v>43474</c:v>
                </c:pt>
                <c:pt idx="219">
                  <c:v>43473</c:v>
                </c:pt>
                <c:pt idx="220">
                  <c:v>43472</c:v>
                </c:pt>
                <c:pt idx="221">
                  <c:v>43469</c:v>
                </c:pt>
                <c:pt idx="222">
                  <c:v>43462</c:v>
                </c:pt>
                <c:pt idx="223">
                  <c:v>43461</c:v>
                </c:pt>
                <c:pt idx="224">
                  <c:v>43460</c:v>
                </c:pt>
                <c:pt idx="225">
                  <c:v>43459</c:v>
                </c:pt>
                <c:pt idx="226">
                  <c:v>43455</c:v>
                </c:pt>
                <c:pt idx="227">
                  <c:v>43454</c:v>
                </c:pt>
                <c:pt idx="228">
                  <c:v>43453</c:v>
                </c:pt>
                <c:pt idx="229">
                  <c:v>43452</c:v>
                </c:pt>
                <c:pt idx="230">
                  <c:v>43451</c:v>
                </c:pt>
                <c:pt idx="231">
                  <c:v>43448</c:v>
                </c:pt>
                <c:pt idx="232">
                  <c:v>43447</c:v>
                </c:pt>
                <c:pt idx="233">
                  <c:v>43446</c:v>
                </c:pt>
                <c:pt idx="234">
                  <c:v>43445</c:v>
                </c:pt>
                <c:pt idx="235">
                  <c:v>43444</c:v>
                </c:pt>
                <c:pt idx="236">
                  <c:v>43441</c:v>
                </c:pt>
                <c:pt idx="237">
                  <c:v>43440</c:v>
                </c:pt>
                <c:pt idx="238">
                  <c:v>43439</c:v>
                </c:pt>
                <c:pt idx="239">
                  <c:v>43438</c:v>
                </c:pt>
                <c:pt idx="240">
                  <c:v>43437</c:v>
                </c:pt>
              </c:numCache>
            </c:numRef>
          </c:cat>
          <c:val>
            <c:numRef>
              <c:f>グラフ!$G$42:$G$703</c:f>
              <c:numCache>
                <c:formatCode>General</c:formatCode>
                <c:ptCount val="662"/>
                <c:pt idx="0">
                  <c:v>0.56656566741268199</c:v>
                </c:pt>
                <c:pt idx="1">
                  <c:v>0.56625191132706099</c:v>
                </c:pt>
                <c:pt idx="2">
                  <c:v>0.56600054276733403</c:v>
                </c:pt>
                <c:pt idx="3">
                  <c:v>0.56563575729578797</c:v>
                </c:pt>
                <c:pt idx="4">
                  <c:v>0.56523641489571497</c:v>
                </c:pt>
                <c:pt idx="5">
                  <c:v>0.56512725383661799</c:v>
                </c:pt>
                <c:pt idx="6">
                  <c:v>0.565019506849046</c:v>
                </c:pt>
                <c:pt idx="7">
                  <c:v>0.56485475793739204</c:v>
                </c:pt>
                <c:pt idx="8">
                  <c:v>0.56511676586931003</c:v>
                </c:pt>
                <c:pt idx="9">
                  <c:v>0.56501383216623402</c:v>
                </c:pt>
                <c:pt idx="10">
                  <c:v>0.56526585678560504</c:v>
                </c:pt>
                <c:pt idx="11">
                  <c:v>0.56560067306505801</c:v>
                </c:pt>
                <c:pt idx="12">
                  <c:v>0.56562739194409095</c:v>
                </c:pt>
                <c:pt idx="13">
                  <c:v>0.56540967318334101</c:v>
                </c:pt>
                <c:pt idx="14">
                  <c:v>0.56536859884197399</c:v>
                </c:pt>
                <c:pt idx="15">
                  <c:v>0.56549728053611203</c:v>
                </c:pt>
                <c:pt idx="16">
                  <c:v>0.56565849806494595</c:v>
                </c:pt>
                <c:pt idx="17">
                  <c:v>0.56596012414138797</c:v>
                </c:pt>
                <c:pt idx="18">
                  <c:v>0.56620595799273099</c:v>
                </c:pt>
                <c:pt idx="19">
                  <c:v>0.56680221020155697</c:v>
                </c:pt>
                <c:pt idx="20">
                  <c:v>0.56714643864213199</c:v>
                </c:pt>
                <c:pt idx="21">
                  <c:v>0.56721427620175902</c:v>
                </c:pt>
                <c:pt idx="22">
                  <c:v>0.567444330525816</c:v>
                </c:pt>
                <c:pt idx="23">
                  <c:v>0.56756823710307303</c:v>
                </c:pt>
                <c:pt idx="24">
                  <c:v>0.56743974129742203</c:v>
                </c:pt>
                <c:pt idx="25">
                  <c:v>0.56727752694123501</c:v>
                </c:pt>
                <c:pt idx="26">
                  <c:v>0.56703373289228198</c:v>
                </c:pt>
                <c:pt idx="27">
                  <c:v>0.56688930739977605</c:v>
                </c:pt>
                <c:pt idx="28">
                  <c:v>0.566754382263149</c:v>
                </c:pt>
                <c:pt idx="29">
                  <c:v>0.56676366959563296</c:v>
                </c:pt>
                <c:pt idx="30">
                  <c:v>0.56686623444232398</c:v>
                </c:pt>
                <c:pt idx="31">
                  <c:v>0.56698402325201702</c:v>
                </c:pt>
                <c:pt idx="32">
                  <c:v>0.56718381802141005</c:v>
                </c:pt>
                <c:pt idx="33">
                  <c:v>0.56744812999219396</c:v>
                </c:pt>
                <c:pt idx="34">
                  <c:v>0.56769577008358396</c:v>
                </c:pt>
                <c:pt idx="35">
                  <c:v>0.56802001141982905</c:v>
                </c:pt>
                <c:pt idx="36">
                  <c:v>0.56839118915798803</c:v>
                </c:pt>
                <c:pt idx="37">
                  <c:v>0.56877174136879005</c:v>
                </c:pt>
                <c:pt idx="38">
                  <c:v>0.56897504107947805</c:v>
                </c:pt>
                <c:pt idx="39">
                  <c:v>0.56920732832203802</c:v>
                </c:pt>
                <c:pt idx="40">
                  <c:v>0.56956846385168103</c:v>
                </c:pt>
                <c:pt idx="41">
                  <c:v>0.56998790929705301</c:v>
                </c:pt>
                <c:pt idx="42">
                  <c:v>0.57024246069015205</c:v>
                </c:pt>
                <c:pt idx="43">
                  <c:v>0.57039480051592095</c:v>
                </c:pt>
                <c:pt idx="44">
                  <c:v>0.57052661399253901</c:v>
                </c:pt>
                <c:pt idx="45">
                  <c:v>0.57040999934104097</c:v>
                </c:pt>
                <c:pt idx="46">
                  <c:v>0.570315243731915</c:v>
                </c:pt>
                <c:pt idx="47">
                  <c:v>0.57013448419753099</c:v>
                </c:pt>
                <c:pt idx="48">
                  <c:v>0.56981672578581999</c:v>
                </c:pt>
                <c:pt idx="49">
                  <c:v>0.56944708183769399</c:v>
                </c:pt>
                <c:pt idx="50">
                  <c:v>0.56909538496210699</c:v>
                </c:pt>
                <c:pt idx="51">
                  <c:v>0.56896272281109606</c:v>
                </c:pt>
                <c:pt idx="52">
                  <c:v>0.56880448852915</c:v>
                </c:pt>
                <c:pt idx="53">
                  <c:v>0.56867241929929202</c:v>
                </c:pt>
                <c:pt idx="54">
                  <c:v>0.56854432291165402</c:v>
                </c:pt>
                <c:pt idx="55">
                  <c:v>0.568496989873846</c:v>
                </c:pt>
                <c:pt idx="56">
                  <c:v>0.56837935599798295</c:v>
                </c:pt>
                <c:pt idx="57">
                  <c:v>0.56822814799630705</c:v>
                </c:pt>
                <c:pt idx="58">
                  <c:v>0.56824880213909401</c:v>
                </c:pt>
                <c:pt idx="59">
                  <c:v>0.56830657969876097</c:v>
                </c:pt>
                <c:pt idx="60">
                  <c:v>0.56839193075188899</c:v>
                </c:pt>
                <c:pt idx="61">
                  <c:v>0.56839705053790301</c:v>
                </c:pt>
                <c:pt idx="62">
                  <c:v>0.56817549635339903</c:v>
                </c:pt>
                <c:pt idx="63">
                  <c:v>0.56812061932264002</c:v>
                </c:pt>
                <c:pt idx="64">
                  <c:v>0.56822494900443499</c:v>
                </c:pt>
                <c:pt idx="65">
                  <c:v>0.56842227436344905</c:v>
                </c:pt>
                <c:pt idx="66">
                  <c:v>0.56854844667309801</c:v>
                </c:pt>
                <c:pt idx="67">
                  <c:v>0.56904891738321095</c:v>
                </c:pt>
                <c:pt idx="68">
                  <c:v>0.56952940182816503</c:v>
                </c:pt>
                <c:pt idx="69">
                  <c:v>0.57021610555191005</c:v>
                </c:pt>
                <c:pt idx="70">
                  <c:v>0.57057197055020503</c:v>
                </c:pt>
                <c:pt idx="71">
                  <c:v>0.57077692319807205</c:v>
                </c:pt>
                <c:pt idx="72">
                  <c:v>0.57092777632207303</c:v>
                </c:pt>
                <c:pt idx="73">
                  <c:v>0.57097724448674603</c:v>
                </c:pt>
                <c:pt idx="74">
                  <c:v>0.57098068673263203</c:v>
                </c:pt>
                <c:pt idx="75">
                  <c:v>0.57083825261313803</c:v>
                </c:pt>
                <c:pt idx="76">
                  <c:v>0.570712066016687</c:v>
                </c:pt>
                <c:pt idx="77">
                  <c:v>0.57078255497722197</c:v>
                </c:pt>
                <c:pt idx="78">
                  <c:v>0.57111797083113203</c:v>
                </c:pt>
                <c:pt idx="79">
                  <c:v>0.57157611039677902</c:v>
                </c:pt>
                <c:pt idx="80">
                  <c:v>0.571672560358507</c:v>
                </c:pt>
                <c:pt idx="81">
                  <c:v>0.57181720338584097</c:v>
                </c:pt>
                <c:pt idx="82">
                  <c:v>0.57213065216411396</c:v>
                </c:pt>
                <c:pt idx="83">
                  <c:v>0.57205440051632805</c:v>
                </c:pt>
                <c:pt idx="84">
                  <c:v>0.57228853682734204</c:v>
                </c:pt>
                <c:pt idx="85">
                  <c:v>0.57234859688740203</c:v>
                </c:pt>
                <c:pt idx="86">
                  <c:v>0.57216172328016401</c:v>
                </c:pt>
                <c:pt idx="87">
                  <c:v>0.57214881184495103</c:v>
                </c:pt>
                <c:pt idx="88">
                  <c:v>0.57232925665149204</c:v>
                </c:pt>
                <c:pt idx="89">
                  <c:v>0.57237183493600996</c:v>
                </c:pt>
                <c:pt idx="90">
                  <c:v>0.57231826066597402</c:v>
                </c:pt>
                <c:pt idx="91">
                  <c:v>0.57220598807130096</c:v>
                </c:pt>
                <c:pt idx="92">
                  <c:v>0.57203588628845803</c:v>
                </c:pt>
                <c:pt idx="93">
                  <c:v>0.57168746833331796</c:v>
                </c:pt>
                <c:pt idx="94">
                  <c:v>0.57114009979511404</c:v>
                </c:pt>
                <c:pt idx="95">
                  <c:v>0.57084079497523499</c:v>
                </c:pt>
                <c:pt idx="96">
                  <c:v>0.57056872442829998</c:v>
                </c:pt>
                <c:pt idx="97">
                  <c:v>0.57025201701445805</c:v>
                </c:pt>
                <c:pt idx="98">
                  <c:v>0.56996029570756301</c:v>
                </c:pt>
                <c:pt idx="99">
                  <c:v>0.56954031442225495</c:v>
                </c:pt>
                <c:pt idx="100">
                  <c:v>0.569216468343265</c:v>
                </c:pt>
                <c:pt idx="101">
                  <c:v>0.56885208935333798</c:v>
                </c:pt>
                <c:pt idx="102">
                  <c:v>0.56850330112849301</c:v>
                </c:pt>
                <c:pt idx="103">
                  <c:v>0.56809043159381301</c:v>
                </c:pt>
                <c:pt idx="104">
                  <c:v>0.56757631975080003</c:v>
                </c:pt>
                <c:pt idx="105">
                  <c:v>0.56696336615445198</c:v>
                </c:pt>
                <c:pt idx="106">
                  <c:v>0.56626909853520602</c:v>
                </c:pt>
                <c:pt idx="107">
                  <c:v>0.56537015149764502</c:v>
                </c:pt>
                <c:pt idx="108">
                  <c:v>0.56441120273349299</c:v>
                </c:pt>
                <c:pt idx="109">
                  <c:v>0.56340542284246697</c:v>
                </c:pt>
                <c:pt idx="110">
                  <c:v>0.56245247558672695</c:v>
                </c:pt>
                <c:pt idx="111">
                  <c:v>0.56156273455521399</c:v>
                </c:pt>
                <c:pt idx="112">
                  <c:v>0.56068623854271304</c:v>
                </c:pt>
                <c:pt idx="113">
                  <c:v>0.55996571723222499</c:v>
                </c:pt>
                <c:pt idx="114">
                  <c:v>0.55940674645820498</c:v>
                </c:pt>
                <c:pt idx="115">
                  <c:v>0.55868194908779401</c:v>
                </c:pt>
                <c:pt idx="116">
                  <c:v>0.55775126143982201</c:v>
                </c:pt>
                <c:pt idx="117">
                  <c:v>0.55690964773750196</c:v>
                </c:pt>
                <c:pt idx="118">
                  <c:v>0.55624554381197699</c:v>
                </c:pt>
                <c:pt idx="119">
                  <c:v>0.55578382877931798</c:v>
                </c:pt>
                <c:pt idx="120">
                  <c:v>0.55566341708267897</c:v>
                </c:pt>
                <c:pt idx="121">
                  <c:v>0.55510901881025199</c:v>
                </c:pt>
                <c:pt idx="122">
                  <c:v>0.554605403005067</c:v>
                </c:pt>
                <c:pt idx="123">
                  <c:v>0.55424571600142603</c:v>
                </c:pt>
                <c:pt idx="124">
                  <c:v>0.55400961308757402</c:v>
                </c:pt>
                <c:pt idx="125">
                  <c:v>0.55374344056762104</c:v>
                </c:pt>
                <c:pt idx="126">
                  <c:v>0.55326705406876298</c:v>
                </c:pt>
                <c:pt idx="127">
                  <c:v>0.55300387809130103</c:v>
                </c:pt>
                <c:pt idx="128">
                  <c:v>0.55284415675549103</c:v>
                </c:pt>
                <c:pt idx="129">
                  <c:v>0.55269302731783898</c:v>
                </c:pt>
                <c:pt idx="130">
                  <c:v>0.552532598946741</c:v>
                </c:pt>
                <c:pt idx="131">
                  <c:v>0.55242907695327104</c:v>
                </c:pt>
                <c:pt idx="132">
                  <c:v>0.552282039760149</c:v>
                </c:pt>
                <c:pt idx="133">
                  <c:v>0.55215032054016899</c:v>
                </c:pt>
                <c:pt idx="134">
                  <c:v>0.55204055851977096</c:v>
                </c:pt>
                <c:pt idx="135">
                  <c:v>0.55195250601716705</c:v>
                </c:pt>
                <c:pt idx="136">
                  <c:v>0.551798678666376</c:v>
                </c:pt>
                <c:pt idx="137">
                  <c:v>0.55169161926628796</c:v>
                </c:pt>
                <c:pt idx="138">
                  <c:v>0.55148067812031898</c:v>
                </c:pt>
                <c:pt idx="139">
                  <c:v>0.55089856206746701</c:v>
                </c:pt>
                <c:pt idx="140">
                  <c:v>0.55017800291158603</c:v>
                </c:pt>
                <c:pt idx="141">
                  <c:v>0.54956874794398802</c:v>
                </c:pt>
                <c:pt idx="142">
                  <c:v>0.54854533034551001</c:v>
                </c:pt>
                <c:pt idx="143">
                  <c:v>0.547190529232645</c:v>
                </c:pt>
                <c:pt idx="144">
                  <c:v>0.54567512046574995</c:v>
                </c:pt>
                <c:pt idx="145">
                  <c:v>0.54451574317854701</c:v>
                </c:pt>
                <c:pt idx="146">
                  <c:v>0.54345690379937805</c:v>
                </c:pt>
                <c:pt idx="147">
                  <c:v>0.54238376662121301</c:v>
                </c:pt>
                <c:pt idx="148">
                  <c:v>0.54152943328618197</c:v>
                </c:pt>
                <c:pt idx="149">
                  <c:v>0.54058579754555702</c:v>
                </c:pt>
                <c:pt idx="150">
                  <c:v>0.53992093992655099</c:v>
                </c:pt>
                <c:pt idx="151">
                  <c:v>0.53946694924661198</c:v>
                </c:pt>
                <c:pt idx="152">
                  <c:v>0.53858703049647705</c:v>
                </c:pt>
                <c:pt idx="153">
                  <c:v>0.53767569414870398</c:v>
                </c:pt>
                <c:pt idx="154">
                  <c:v>0.53682465773193899</c:v>
                </c:pt>
                <c:pt idx="155">
                  <c:v>0.53622393172125904</c:v>
                </c:pt>
                <c:pt idx="156">
                  <c:v>0.53574371207784499</c:v>
                </c:pt>
                <c:pt idx="157">
                  <c:v>0.53512118690879096</c:v>
                </c:pt>
                <c:pt idx="158">
                  <c:v>0.53455837683187302</c:v>
                </c:pt>
                <c:pt idx="159">
                  <c:v>0.53410775692985302</c:v>
                </c:pt>
                <c:pt idx="160">
                  <c:v>0.53366575242534797</c:v>
                </c:pt>
                <c:pt idx="161">
                  <c:v>0.53338648556759605</c:v>
                </c:pt>
                <c:pt idx="162">
                  <c:v>0.53310685330057705</c:v>
                </c:pt>
                <c:pt idx="163">
                  <c:v>0.53280696864083099</c:v>
                </c:pt>
                <c:pt idx="164">
                  <c:v>0.53261248158797403</c:v>
                </c:pt>
                <c:pt idx="165">
                  <c:v>0.53245902614303897</c:v>
                </c:pt>
                <c:pt idx="166">
                  <c:v>0.53271192834063996</c:v>
                </c:pt>
                <c:pt idx="167">
                  <c:v>0.53304017554553995</c:v>
                </c:pt>
                <c:pt idx="168">
                  <c:v>0.53359022051281602</c:v>
                </c:pt>
                <c:pt idx="169">
                  <c:v>0.53388871238314095</c:v>
                </c:pt>
                <c:pt idx="170">
                  <c:v>0.53414566049532197</c:v>
                </c:pt>
                <c:pt idx="171">
                  <c:v>0.534379082548324</c:v>
                </c:pt>
                <c:pt idx="172">
                  <c:v>0.53449084435441896</c:v>
                </c:pt>
                <c:pt idx="173">
                  <c:v>0.53469849477953402</c:v>
                </c:pt>
                <c:pt idx="174">
                  <c:v>0.53483863681310695</c:v>
                </c:pt>
                <c:pt idx="175">
                  <c:v>0.53511909662953605</c:v>
                </c:pt>
                <c:pt idx="176">
                  <c:v>0.53549003399664596</c:v>
                </c:pt>
                <c:pt idx="177">
                  <c:v>0.53583691656120302</c:v>
                </c:pt>
                <c:pt idx="178">
                  <c:v>0.53616602626299503</c:v>
                </c:pt>
                <c:pt idx="179">
                  <c:v>0.536536982287107</c:v>
                </c:pt>
                <c:pt idx="180">
                  <c:v>0.53696687613246397</c:v>
                </c:pt>
                <c:pt idx="181">
                  <c:v>0.53758114496842202</c:v>
                </c:pt>
                <c:pt idx="182">
                  <c:v>0.538795297439569</c:v>
                </c:pt>
                <c:pt idx="183">
                  <c:v>0.53980645957038897</c:v>
                </c:pt>
                <c:pt idx="184">
                  <c:v>0.54085326157497604</c:v>
                </c:pt>
                <c:pt idx="185">
                  <c:v>0.54197255889711504</c:v>
                </c:pt>
                <c:pt idx="186">
                  <c:v>0.54283923788655597</c:v>
                </c:pt>
                <c:pt idx="187">
                  <c:v>0.54331230788868001</c:v>
                </c:pt>
                <c:pt idx="188">
                  <c:v>0.545112348922559</c:v>
                </c:pt>
                <c:pt idx="189">
                  <c:v>0.54632847181817401</c:v>
                </c:pt>
                <c:pt idx="190">
                  <c:v>0.54755142311761495</c:v>
                </c:pt>
                <c:pt idx="191">
                  <c:v>0.54875688961927405</c:v>
                </c:pt>
                <c:pt idx="192">
                  <c:v>0.55008581326120298</c:v>
                </c:pt>
                <c:pt idx="193">
                  <c:v>0.55152685640440102</c:v>
                </c:pt>
                <c:pt idx="194">
                  <c:v>0.55282357034818297</c:v>
                </c:pt>
                <c:pt idx="195">
                  <c:v>0.55429389978017596</c:v>
                </c:pt>
                <c:pt idx="196">
                  <c:v>0.55617653093457498</c:v>
                </c:pt>
                <c:pt idx="197">
                  <c:v>0.55810006003528501</c:v>
                </c:pt>
                <c:pt idx="198">
                  <c:v>0.55992935936020605</c:v>
                </c:pt>
                <c:pt idx="199">
                  <c:v>0.56173188558595</c:v>
                </c:pt>
                <c:pt idx="200">
                  <c:v>0.56345101524168095</c:v>
                </c:pt>
                <c:pt idx="201">
                  <c:v>0.56498477412034898</c:v>
                </c:pt>
                <c:pt idx="202">
                  <c:v>0.56657031496742105</c:v>
                </c:pt>
                <c:pt idx="203">
                  <c:v>0.56810928102973302</c:v>
                </c:pt>
                <c:pt idx="204">
                  <c:v>0.56963847245561705</c:v>
                </c:pt>
                <c:pt idx="205">
                  <c:v>0.57095197810186304</c:v>
                </c:pt>
                <c:pt idx="206">
                  <c:v>0.57216765710302597</c:v>
                </c:pt>
                <c:pt idx="207">
                  <c:v>0.573621762271605</c:v>
                </c:pt>
                <c:pt idx="208">
                  <c:v>0.57487163272303599</c:v>
                </c:pt>
                <c:pt idx="209">
                  <c:v>0.57605913005243803</c:v>
                </c:pt>
                <c:pt idx="210">
                  <c:v>0.57739510278121797</c:v>
                </c:pt>
                <c:pt idx="211">
                  <c:v>0.57883442670873897</c:v>
                </c:pt>
                <c:pt idx="212">
                  <c:v>0.58035738110308099</c:v>
                </c:pt>
                <c:pt idx="213">
                  <c:v>0.58178005825485102</c:v>
                </c:pt>
                <c:pt idx="214">
                  <c:v>0.58353486014021305</c:v>
                </c:pt>
                <c:pt idx="215">
                  <c:v>0.58523983773926302</c:v>
                </c:pt>
                <c:pt idx="216">
                  <c:v>0.58692140030136097</c:v>
                </c:pt>
                <c:pt idx="217">
                  <c:v>0.58880738154359702</c:v>
                </c:pt>
                <c:pt idx="218">
                  <c:v>0.59077896802882202</c:v>
                </c:pt>
                <c:pt idx="219">
                  <c:v>0.59278362245139604</c:v>
                </c:pt>
                <c:pt idx="220">
                  <c:v>0.59468560526158998</c:v>
                </c:pt>
                <c:pt idx="221">
                  <c:v>0.59682820553799698</c:v>
                </c:pt>
                <c:pt idx="222">
                  <c:v>0.59898599406647302</c:v>
                </c:pt>
                <c:pt idx="223">
                  <c:v>0.60100310610945495</c:v>
                </c:pt>
                <c:pt idx="224">
                  <c:v>0.60312263917217501</c:v>
                </c:pt>
                <c:pt idx="225">
                  <c:v>0.60498459833432106</c:v>
                </c:pt>
                <c:pt idx="226">
                  <c:v>0.60674883723038597</c:v>
                </c:pt>
                <c:pt idx="227">
                  <c:v>0.60852425785397402</c:v>
                </c:pt>
                <c:pt idx="228">
                  <c:v>0.61026492811576505</c:v>
                </c:pt>
                <c:pt idx="229">
                  <c:v>0.61168019692527598</c:v>
                </c:pt>
                <c:pt idx="230">
                  <c:v>0.61274832154061298</c:v>
                </c:pt>
                <c:pt idx="231">
                  <c:v>0.61356420228088604</c:v>
                </c:pt>
                <c:pt idx="232">
                  <c:v>0.61455411117287595</c:v>
                </c:pt>
                <c:pt idx="233">
                  <c:v>0.61558552335707195</c:v>
                </c:pt>
                <c:pt idx="234">
                  <c:v>0.61662154664616997</c:v>
                </c:pt>
                <c:pt idx="235">
                  <c:v>0.61750605519317803</c:v>
                </c:pt>
                <c:pt idx="236">
                  <c:v>0.61837090258862903</c:v>
                </c:pt>
                <c:pt idx="237">
                  <c:v>0.61905664392941895</c:v>
                </c:pt>
                <c:pt idx="238">
                  <c:v>0.61969836231424702</c:v>
                </c:pt>
                <c:pt idx="239">
                  <c:v>0.62028963838953299</c:v>
                </c:pt>
                <c:pt idx="240">
                  <c:v>0.62082473526905602</c:v>
                </c:pt>
              </c:numCache>
            </c:numRef>
          </c:val>
        </c:ser>
        <c:marker val="1"/>
        <c:axId val="206199808"/>
        <c:axId val="206213888"/>
      </c:lineChart>
      <c:dateAx>
        <c:axId val="206199808"/>
        <c:scaling>
          <c:orientation val="minMax"/>
        </c:scaling>
        <c:axPos val="b"/>
        <c:numFmt formatCode="yyyy/mm/dd" sourceLinked="1"/>
        <c:tickLblPos val="nextTo"/>
        <c:crossAx val="206213888"/>
        <c:crosses val="autoZero"/>
        <c:auto val="1"/>
        <c:lblOffset val="100"/>
      </c:dateAx>
      <c:valAx>
        <c:axId val="206213888"/>
        <c:scaling>
          <c:orientation val="minMax"/>
          <c:max val="0.69820488369395661"/>
          <c:min val="0.37219378470122066"/>
        </c:scaling>
        <c:axPos val="l"/>
        <c:majorGridlines/>
        <c:numFmt formatCode="General" sourceLinked="1"/>
        <c:majorTickMark val="none"/>
        <c:tickLblPos val="nextTo"/>
        <c:crossAx val="2061998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145E-2"/>
          <c:w val="0.11146820076747002"/>
          <c:h val="0.1504558576043829"/>
        </c:manualLayout>
      </c:layout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99390</xdr:colOff>
      <xdr:row>3</xdr:row>
      <xdr:rowOff>132523</xdr:rowOff>
    </xdr:from>
    <xdr:to>
      <xdr:col>8</xdr:col>
      <xdr:colOff>289890</xdr:colOff>
      <xdr:row>13</xdr:row>
      <xdr:rowOff>132523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66674</xdr:colOff>
      <xdr:row>2</xdr:row>
      <xdr:rowOff>114299</xdr:rowOff>
    </xdr:from>
    <xdr:to>
      <xdr:col>19</xdr:col>
      <xdr:colOff>323849</xdr:colOff>
      <xdr:row>36</xdr:row>
      <xdr:rowOff>66674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GridLines="0" workbookViewId="0">
      <selection activeCell="D17" sqref="D17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W17"/>
  <sheetViews>
    <sheetView showGridLines="0" zoomScale="115" zoomScaleNormal="115" workbookViewId="0">
      <selection activeCell="Q15" sqref="Q15"/>
    </sheetView>
  </sheetViews>
  <sheetFormatPr defaultRowHeight="14.25"/>
  <cols>
    <col min="1" max="1" width="1.625" customWidth="1"/>
    <col min="2" max="2" width="4.87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9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1.25" customWidth="1"/>
  </cols>
  <sheetData>
    <row r="1" spans="2:23" ht="18.75" customHeight="1" thickBot="1">
      <c r="C1" s="63" t="s">
        <v>201</v>
      </c>
      <c r="D1" s="18"/>
      <c r="H1" s="1"/>
      <c r="I1" s="18" t="s">
        <v>48</v>
      </c>
      <c r="J1" s="62"/>
      <c r="K1" s="153">
        <v>43802</v>
      </c>
      <c r="L1" s="154"/>
      <c r="M1" s="28"/>
      <c r="N1" s="18" t="s">
        <v>305</v>
      </c>
      <c r="P1" s="153">
        <f ca="1">TODAY()</f>
        <v>43802</v>
      </c>
      <c r="Q1" s="155"/>
      <c r="U1" s="63" t="s">
        <v>47</v>
      </c>
      <c r="V1" s="63"/>
    </row>
    <row r="2" spans="2:23" ht="16.5" customHeight="1" thickBot="1">
      <c r="J2" s="100">
        <f>SUM(J4:J86)</f>
        <v>8238510</v>
      </c>
      <c r="R2" s="135">
        <f>SUM(R4:R86)</f>
        <v>-31071.999999999993</v>
      </c>
      <c r="S2" s="97">
        <f>SUM(S4:S86)</f>
        <v>-1.5159601763078531E-2</v>
      </c>
    </row>
    <row r="3" spans="2:23" ht="24.75" thickBot="1">
      <c r="C3" s="64" t="s">
        <v>183</v>
      </c>
      <c r="D3" s="74" t="s">
        <v>208</v>
      </c>
      <c r="E3" s="66"/>
      <c r="F3" s="65" t="s">
        <v>96</v>
      </c>
      <c r="G3" s="67" t="s">
        <v>97</v>
      </c>
      <c r="H3" s="68" t="s">
        <v>184</v>
      </c>
      <c r="I3" s="68" t="s">
        <v>185</v>
      </c>
      <c r="J3" s="66" t="s">
        <v>46</v>
      </c>
      <c r="K3" s="66" t="s">
        <v>186</v>
      </c>
      <c r="L3" s="68" t="s">
        <v>187</v>
      </c>
      <c r="M3" s="69" t="s">
        <v>209</v>
      </c>
      <c r="N3" s="66" t="s">
        <v>188</v>
      </c>
      <c r="O3" s="69" t="s">
        <v>203</v>
      </c>
      <c r="P3" s="66" t="s">
        <v>298</v>
      </c>
      <c r="Q3" s="66" t="s">
        <v>189</v>
      </c>
      <c r="R3" s="69" t="s">
        <v>205</v>
      </c>
      <c r="S3" s="72" t="s">
        <v>206</v>
      </c>
      <c r="T3" s="71"/>
      <c r="U3" s="73" t="s">
        <v>304</v>
      </c>
      <c r="V3" s="73" t="s">
        <v>207</v>
      </c>
      <c r="W3" s="70" t="s">
        <v>204</v>
      </c>
    </row>
    <row r="4" spans="2:23" s="114" customFormat="1">
      <c r="B4" s="30" t="s">
        <v>182</v>
      </c>
      <c r="C4" s="157">
        <f>ROW()/2-1</f>
        <v>1</v>
      </c>
      <c r="D4" s="159">
        <v>43789</v>
      </c>
      <c r="E4" s="39" t="s">
        <v>191</v>
      </c>
      <c r="F4" s="39">
        <v>4182</v>
      </c>
      <c r="G4" s="61" t="s">
        <v>116</v>
      </c>
      <c r="H4" s="55">
        <v>1627</v>
      </c>
      <c r="I4" s="39">
        <v>600</v>
      </c>
      <c r="J4" s="56">
        <f t="shared" ref="J4:J5" si="0">H4*I4</f>
        <v>976200</v>
      </c>
      <c r="K4" s="58" t="s">
        <v>197</v>
      </c>
      <c r="L4" s="55">
        <v>1694</v>
      </c>
      <c r="M4" s="39">
        <f t="shared" ref="M4:M11" si="1">360*2</f>
        <v>720</v>
      </c>
      <c r="N4" s="39">
        <v>162</v>
      </c>
      <c r="O4" s="58">
        <v>92</v>
      </c>
      <c r="P4" s="55">
        <f>(H4-L4)*I4-M4-N4-O4</f>
        <v>-41174</v>
      </c>
      <c r="Q4" s="57">
        <f t="shared" ref="Q4:Q5" si="2">P4/J4</f>
        <v>-4.2177832411391107E-2</v>
      </c>
      <c r="R4" s="161">
        <f>P4+P5</f>
        <v>-18688</v>
      </c>
      <c r="S4" s="162">
        <f t="shared" ref="S4" si="3">R4/(J4+J5)</f>
        <v>-9.5875230863944182E-3</v>
      </c>
      <c r="U4" s="164">
        <f ca="1">$P$1</f>
        <v>43802</v>
      </c>
      <c r="V4" s="156">
        <f t="shared" ref="V4" ca="1" si="4">DATEDIF(D4,U4,"d")</f>
        <v>13</v>
      </c>
      <c r="W4" s="156"/>
    </row>
    <row r="5" spans="2:23" s="114" customFormat="1">
      <c r="B5" s="30"/>
      <c r="C5" s="158"/>
      <c r="D5" s="160">
        <v>43748</v>
      </c>
      <c r="E5" s="35" t="s">
        <v>192</v>
      </c>
      <c r="F5" s="35">
        <v>1824</v>
      </c>
      <c r="G5" s="60" t="s">
        <v>375</v>
      </c>
      <c r="H5" s="52">
        <v>973</v>
      </c>
      <c r="I5" s="52">
        <v>1000</v>
      </c>
      <c r="J5" s="53">
        <f t="shared" si="0"/>
        <v>973000</v>
      </c>
      <c r="K5" s="44" t="s">
        <v>181</v>
      </c>
      <c r="L5" s="47">
        <v>997</v>
      </c>
      <c r="M5" s="37">
        <f t="shared" si="1"/>
        <v>720</v>
      </c>
      <c r="N5" s="142">
        <v>386</v>
      </c>
      <c r="O5" s="142">
        <v>408</v>
      </c>
      <c r="P5" s="35">
        <f>(L5-H5)*I5-M5-N5-O5</f>
        <v>22486</v>
      </c>
      <c r="Q5" s="54">
        <f t="shared" si="2"/>
        <v>2.3109969167523125E-2</v>
      </c>
      <c r="R5" s="161"/>
      <c r="S5" s="163"/>
      <c r="U5" s="156"/>
      <c r="V5" s="156"/>
      <c r="W5" s="156"/>
    </row>
    <row r="6" spans="2:23" s="114" customFormat="1">
      <c r="B6" s="30" t="s">
        <v>182</v>
      </c>
      <c r="C6" s="157">
        <f>ROW()/2-1</f>
        <v>2</v>
      </c>
      <c r="D6" s="159">
        <v>43790</v>
      </c>
      <c r="E6" s="39" t="s">
        <v>191</v>
      </c>
      <c r="F6" s="39">
        <v>6995</v>
      </c>
      <c r="G6" s="61" t="s">
        <v>120</v>
      </c>
      <c r="H6" s="55">
        <v>2050</v>
      </c>
      <c r="I6" s="39">
        <v>500</v>
      </c>
      <c r="J6" s="56">
        <f t="shared" ref="J6:J7" si="5">H6*I6</f>
        <v>1025000</v>
      </c>
      <c r="K6" s="58" t="s">
        <v>197</v>
      </c>
      <c r="L6" s="55">
        <v>2125</v>
      </c>
      <c r="M6" s="39">
        <f t="shared" si="1"/>
        <v>720</v>
      </c>
      <c r="N6" s="39">
        <v>162</v>
      </c>
      <c r="O6" s="58">
        <v>92</v>
      </c>
      <c r="P6" s="55">
        <f>(H6-L6)*I6-M6-N6-O6</f>
        <v>-38474</v>
      </c>
      <c r="Q6" s="57">
        <f t="shared" ref="Q6:Q7" si="6">P6/J6</f>
        <v>-3.7535609756097564E-2</v>
      </c>
      <c r="R6" s="161">
        <f>P6+P7</f>
        <v>8012</v>
      </c>
      <c r="S6" s="162">
        <f t="shared" ref="S6" si="7">R6/(J6+J7)</f>
        <v>3.8980247153838671E-3</v>
      </c>
      <c r="U6" s="164">
        <f ca="1">$P$1</f>
        <v>43802</v>
      </c>
      <c r="V6" s="156">
        <f t="shared" ref="V6" ca="1" si="8">DATEDIF(D6,U6,"d")</f>
        <v>12</v>
      </c>
      <c r="W6" s="156"/>
    </row>
    <row r="7" spans="2:23" s="114" customFormat="1">
      <c r="B7" s="30"/>
      <c r="C7" s="158"/>
      <c r="D7" s="160">
        <v>43748</v>
      </c>
      <c r="E7" s="35" t="s">
        <v>192</v>
      </c>
      <c r="F7" s="35">
        <v>6472</v>
      </c>
      <c r="G7" s="60" t="s">
        <v>168</v>
      </c>
      <c r="H7" s="52">
        <v>322</v>
      </c>
      <c r="I7" s="52">
        <v>3200</v>
      </c>
      <c r="J7" s="53">
        <f t="shared" si="5"/>
        <v>1030400</v>
      </c>
      <c r="K7" s="44" t="s">
        <v>181</v>
      </c>
      <c r="L7" s="47">
        <v>337</v>
      </c>
      <c r="M7" s="37">
        <f t="shared" si="1"/>
        <v>720</v>
      </c>
      <c r="N7" s="142">
        <v>386</v>
      </c>
      <c r="O7" s="142">
        <v>408</v>
      </c>
      <c r="P7" s="35">
        <f>(L7-H7)*I7-M7-N7-O7</f>
        <v>46486</v>
      </c>
      <c r="Q7" s="54">
        <f t="shared" si="6"/>
        <v>4.5114518633540372E-2</v>
      </c>
      <c r="R7" s="161"/>
      <c r="S7" s="163"/>
      <c r="U7" s="156"/>
      <c r="V7" s="156"/>
      <c r="W7" s="156"/>
    </row>
    <row r="8" spans="2:23" s="114" customFormat="1">
      <c r="B8" s="30" t="s">
        <v>182</v>
      </c>
      <c r="C8" s="157">
        <f>ROW()/2-1</f>
        <v>3</v>
      </c>
      <c r="D8" s="159">
        <v>43791</v>
      </c>
      <c r="E8" s="39" t="s">
        <v>191</v>
      </c>
      <c r="F8" s="39">
        <v>8601</v>
      </c>
      <c r="G8" s="61" t="s">
        <v>52</v>
      </c>
      <c r="H8" s="55">
        <v>533.79999999999995</v>
      </c>
      <c r="I8" s="39">
        <v>2000</v>
      </c>
      <c r="J8" s="56">
        <f t="shared" ref="J8:J9" si="9">H8*I8</f>
        <v>1067600</v>
      </c>
      <c r="K8" s="58" t="s">
        <v>197</v>
      </c>
      <c r="L8" s="55">
        <v>545.4</v>
      </c>
      <c r="M8" s="39">
        <f t="shared" si="1"/>
        <v>720</v>
      </c>
      <c r="N8" s="39">
        <v>162</v>
      </c>
      <c r="O8" s="58">
        <v>92</v>
      </c>
      <c r="P8" s="55">
        <f>(H8-L8)*I8-M8-N8-O8</f>
        <v>-24174.000000000044</v>
      </c>
      <c r="Q8" s="57">
        <f t="shared" ref="Q8:Q9" si="10">P8/J8</f>
        <v>-2.2643312101910867E-2</v>
      </c>
      <c r="R8" s="161">
        <f>P8+P9</f>
        <v>-24307.999999999993</v>
      </c>
      <c r="S8" s="162">
        <f t="shared" ref="S8" si="11">R8/(J8+J9)</f>
        <v>-1.1341336530879804E-2</v>
      </c>
      <c r="U8" s="164">
        <f ca="1">$P$1</f>
        <v>43802</v>
      </c>
      <c r="V8" s="156">
        <f t="shared" ref="V8" ca="1" si="12">DATEDIF(D8,U8,"d")</f>
        <v>11</v>
      </c>
      <c r="W8" s="156"/>
    </row>
    <row r="9" spans="2:23" s="114" customFormat="1">
      <c r="B9" s="30"/>
      <c r="C9" s="158"/>
      <c r="D9" s="160">
        <v>43748</v>
      </c>
      <c r="E9" s="35" t="s">
        <v>192</v>
      </c>
      <c r="F9" s="35">
        <v>8308</v>
      </c>
      <c r="G9" s="60" t="s">
        <v>131</v>
      </c>
      <c r="H9" s="52">
        <v>467.7</v>
      </c>
      <c r="I9" s="52">
        <v>2300</v>
      </c>
      <c r="J9" s="53">
        <f t="shared" si="9"/>
        <v>1075710</v>
      </c>
      <c r="K9" s="44" t="s">
        <v>181</v>
      </c>
      <c r="L9" s="47">
        <v>468.3</v>
      </c>
      <c r="M9" s="37">
        <f t="shared" si="1"/>
        <v>720</v>
      </c>
      <c r="N9" s="143">
        <v>386</v>
      </c>
      <c r="O9" s="143">
        <v>408</v>
      </c>
      <c r="P9" s="35">
        <f>(L9-H9)*I9-M9-N9-O9</f>
        <v>-133.9999999999477</v>
      </c>
      <c r="Q9" s="54">
        <f t="shared" si="10"/>
        <v>-1.2456888938463685E-4</v>
      </c>
      <c r="R9" s="161"/>
      <c r="S9" s="163"/>
      <c r="U9" s="156"/>
      <c r="V9" s="156"/>
      <c r="W9" s="156"/>
    </row>
    <row r="10" spans="2:23" s="114" customFormat="1">
      <c r="B10" s="30" t="s">
        <v>182</v>
      </c>
      <c r="C10" s="157">
        <f>ROW()/2-1</f>
        <v>4</v>
      </c>
      <c r="D10" s="159">
        <v>43802</v>
      </c>
      <c r="E10" s="39" t="s">
        <v>191</v>
      </c>
      <c r="F10" s="39">
        <v>3861</v>
      </c>
      <c r="G10" s="61" t="s">
        <v>90</v>
      </c>
      <c r="H10" s="55">
        <v>616</v>
      </c>
      <c r="I10" s="55">
        <v>1700</v>
      </c>
      <c r="J10" s="56">
        <f t="shared" ref="J10:J11" si="13">H10*I10</f>
        <v>1047200</v>
      </c>
      <c r="K10" s="58" t="s">
        <v>197</v>
      </c>
      <c r="L10" s="55">
        <v>615</v>
      </c>
      <c r="M10" s="39">
        <f t="shared" si="1"/>
        <v>720</v>
      </c>
      <c r="N10" s="39">
        <v>162</v>
      </c>
      <c r="O10" s="58">
        <v>92</v>
      </c>
      <c r="P10" s="55">
        <f>(H10-L10)*I10-M10-N10-O10</f>
        <v>726</v>
      </c>
      <c r="Q10" s="57">
        <f t="shared" ref="Q10:Q11" si="14">P10/J10</f>
        <v>6.9327731092436976E-4</v>
      </c>
      <c r="R10" s="161">
        <f>P10+P11</f>
        <v>3912</v>
      </c>
      <c r="S10" s="162">
        <f t="shared" ref="S10" si="15">R10/(J10+J11)</f>
        <v>1.8712331388118244E-3</v>
      </c>
      <c r="U10" s="164">
        <f ca="1">$P$1</f>
        <v>43802</v>
      </c>
      <c r="V10" s="156">
        <f t="shared" ref="V10" ca="1" si="16">DATEDIF(D10,U10,"d")</f>
        <v>0</v>
      </c>
      <c r="W10" s="156"/>
    </row>
    <row r="11" spans="2:23" s="114" customFormat="1">
      <c r="B11" s="30"/>
      <c r="C11" s="158"/>
      <c r="D11" s="160">
        <v>43748</v>
      </c>
      <c r="E11" s="35" t="s">
        <v>192</v>
      </c>
      <c r="F11" s="35">
        <v>5703</v>
      </c>
      <c r="G11" s="60" t="s">
        <v>367</v>
      </c>
      <c r="H11" s="52">
        <v>222</v>
      </c>
      <c r="I11" s="52">
        <v>4700</v>
      </c>
      <c r="J11" s="53">
        <f t="shared" si="13"/>
        <v>1043400</v>
      </c>
      <c r="K11" s="44" t="s">
        <v>181</v>
      </c>
      <c r="L11" s="47">
        <v>223</v>
      </c>
      <c r="M11" s="37">
        <f t="shared" si="1"/>
        <v>720</v>
      </c>
      <c r="N11" s="149">
        <v>386</v>
      </c>
      <c r="O11" s="149">
        <v>408</v>
      </c>
      <c r="P11" s="35">
        <f>(L11-H11)*I11-M11-N11-O11</f>
        <v>3186</v>
      </c>
      <c r="Q11" s="54">
        <f t="shared" si="14"/>
        <v>3.0534790109258193E-3</v>
      </c>
      <c r="R11" s="161"/>
      <c r="S11" s="163"/>
      <c r="U11" s="156"/>
      <c r="V11" s="156"/>
      <c r="W11" s="156"/>
    </row>
    <row r="17" spans="8:8">
      <c r="H17" s="114" t="s">
        <v>1072</v>
      </c>
    </row>
  </sheetData>
  <mergeCells count="30">
    <mergeCell ref="V10:V11"/>
    <mergeCell ref="W10:W11"/>
    <mergeCell ref="C10:C11"/>
    <mergeCell ref="D10:D11"/>
    <mergeCell ref="R10:R11"/>
    <mergeCell ref="S10:S11"/>
    <mergeCell ref="U10:U11"/>
    <mergeCell ref="V6:V7"/>
    <mergeCell ref="W6:W7"/>
    <mergeCell ref="C4:C5"/>
    <mergeCell ref="D4:D5"/>
    <mergeCell ref="R4:R5"/>
    <mergeCell ref="S4:S5"/>
    <mergeCell ref="U4:U5"/>
    <mergeCell ref="K1:L1"/>
    <mergeCell ref="P1:Q1"/>
    <mergeCell ref="V8:V9"/>
    <mergeCell ref="W8:W9"/>
    <mergeCell ref="C8:C9"/>
    <mergeCell ref="D8:D9"/>
    <mergeCell ref="R8:R9"/>
    <mergeCell ref="S8:S9"/>
    <mergeCell ref="U8:U9"/>
    <mergeCell ref="V4:V5"/>
    <mergeCell ref="W4:W5"/>
    <mergeCell ref="C6:C7"/>
    <mergeCell ref="D6:D7"/>
    <mergeCell ref="R6:R7"/>
    <mergeCell ref="S6:S7"/>
    <mergeCell ref="U6:U7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1:AC27"/>
  <sheetViews>
    <sheetView showGridLines="0" zoomScaleNormal="100" workbookViewId="0">
      <selection activeCell="M34" sqref="M34"/>
    </sheetView>
  </sheetViews>
  <sheetFormatPr defaultRowHeight="14.25"/>
  <cols>
    <col min="1" max="1" width="0.5" customWidth="1"/>
    <col min="2" max="2" width="4.625" customWidth="1"/>
    <col min="3" max="3" width="3.625" customWidth="1"/>
    <col min="4" max="4" width="10.375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/>
    <row r="2" spans="2:29" ht="15" thickBot="1">
      <c r="C2" s="63" t="s">
        <v>299</v>
      </c>
      <c r="R2" s="101">
        <f>SUM(R4:R1014)</f>
        <v>441984.99999999988</v>
      </c>
      <c r="U2" s="63" t="s">
        <v>180</v>
      </c>
    </row>
    <row r="3" spans="2:29" ht="30" customHeight="1" thickBot="1">
      <c r="C3" s="64" t="s">
        <v>183</v>
      </c>
      <c r="D3" s="98" t="s">
        <v>208</v>
      </c>
      <c r="E3" s="66"/>
      <c r="F3" s="67" t="s">
        <v>96</v>
      </c>
      <c r="G3" s="67" t="s">
        <v>97</v>
      </c>
      <c r="H3" s="69" t="s">
        <v>313</v>
      </c>
      <c r="I3" s="69" t="s">
        <v>310</v>
      </c>
      <c r="J3" s="66" t="s">
        <v>46</v>
      </c>
      <c r="K3" s="66" t="s">
        <v>186</v>
      </c>
      <c r="L3" s="69" t="s">
        <v>311</v>
      </c>
      <c r="M3" s="69" t="s">
        <v>209</v>
      </c>
      <c r="N3" s="66" t="s">
        <v>188</v>
      </c>
      <c r="O3" s="69" t="s">
        <v>203</v>
      </c>
      <c r="P3" s="68" t="s">
        <v>312</v>
      </c>
      <c r="Q3" s="68" t="s">
        <v>190</v>
      </c>
      <c r="R3" s="69" t="s">
        <v>205</v>
      </c>
      <c r="S3" s="72" t="s">
        <v>206</v>
      </c>
      <c r="T3" s="71"/>
      <c r="U3" s="73" t="s">
        <v>300</v>
      </c>
      <c r="V3" s="73" t="s">
        <v>207</v>
      </c>
      <c r="W3" s="73" t="s">
        <v>204</v>
      </c>
      <c r="AA3" s="73" t="s">
        <v>307</v>
      </c>
      <c r="AB3" s="73" t="s">
        <v>308</v>
      </c>
      <c r="AC3" s="73" t="s">
        <v>309</v>
      </c>
    </row>
    <row r="4" spans="2:29">
      <c r="C4" s="169">
        <v>1</v>
      </c>
      <c r="D4" s="187">
        <v>43726</v>
      </c>
      <c r="E4" s="31" t="s">
        <v>301</v>
      </c>
      <c r="F4" s="31">
        <v>6472</v>
      </c>
      <c r="G4" s="59" t="s">
        <v>302</v>
      </c>
      <c r="H4" s="49">
        <v>320</v>
      </c>
      <c r="I4" s="32">
        <v>1200</v>
      </c>
      <c r="J4" s="50">
        <v>384000</v>
      </c>
      <c r="K4" s="43" t="s">
        <v>198</v>
      </c>
      <c r="L4" s="46">
        <v>313</v>
      </c>
      <c r="M4" s="33">
        <v>360</v>
      </c>
      <c r="N4" s="34">
        <v>162</v>
      </c>
      <c r="O4" s="34">
        <v>92</v>
      </c>
      <c r="P4" s="31">
        <v>7786</v>
      </c>
      <c r="Q4" s="51">
        <v>2.0276041666666668E-2</v>
      </c>
      <c r="R4" s="165">
        <f>P4+P5</f>
        <v>32</v>
      </c>
      <c r="S4" s="171">
        <f t="shared" ref="S4" si="0">R4/(J4+J5)</f>
        <v>4.308255694975497E-5</v>
      </c>
      <c r="U4" s="189">
        <v>43742</v>
      </c>
      <c r="V4" s="183">
        <f>DATEDIF(D4,U4,"d")</f>
        <v>16</v>
      </c>
      <c r="W4" s="181" t="s">
        <v>306</v>
      </c>
      <c r="AA4" s="165">
        <f>YEAR(U4)</f>
        <v>2019</v>
      </c>
      <c r="AB4" s="165">
        <f>MONTH(U4)</f>
        <v>10</v>
      </c>
      <c r="AC4" s="165" t="str">
        <f>IF(R4&gt;0,"○","☓")</f>
        <v>○</v>
      </c>
    </row>
    <row r="5" spans="2:29">
      <c r="C5" s="158"/>
      <c r="D5" s="172"/>
      <c r="E5" s="35" t="s">
        <v>303</v>
      </c>
      <c r="F5" s="35">
        <v>6752</v>
      </c>
      <c r="G5" s="60" t="s">
        <v>134</v>
      </c>
      <c r="H5" s="52">
        <v>896.9</v>
      </c>
      <c r="I5" s="36">
        <v>400</v>
      </c>
      <c r="J5" s="53">
        <v>358760</v>
      </c>
      <c r="K5" s="44" t="s">
        <v>199</v>
      </c>
      <c r="L5" s="47">
        <v>880.4</v>
      </c>
      <c r="M5" s="37">
        <v>360</v>
      </c>
      <c r="N5" s="38">
        <v>386</v>
      </c>
      <c r="O5" s="38">
        <v>408</v>
      </c>
      <c r="P5" s="35">
        <v>-7754</v>
      </c>
      <c r="Q5" s="54">
        <v>-2.1613334819935333E-2</v>
      </c>
      <c r="R5" s="163"/>
      <c r="S5" s="188"/>
      <c r="U5" s="190"/>
      <c r="V5" s="184"/>
      <c r="W5" s="182"/>
      <c r="AA5" s="163"/>
      <c r="AB5" s="163"/>
      <c r="AC5" s="163"/>
    </row>
    <row r="6" spans="2:29">
      <c r="C6" s="169">
        <v>2</v>
      </c>
      <c r="D6" s="176">
        <v>43732</v>
      </c>
      <c r="E6" s="31" t="s">
        <v>191</v>
      </c>
      <c r="F6" s="31">
        <v>6305</v>
      </c>
      <c r="G6" s="59" t="s">
        <v>58</v>
      </c>
      <c r="H6" s="49">
        <v>2638</v>
      </c>
      <c r="I6" s="32">
        <v>300</v>
      </c>
      <c r="J6" s="50">
        <v>791400</v>
      </c>
      <c r="K6" s="43" t="s">
        <v>198</v>
      </c>
      <c r="L6" s="46">
        <v>2464</v>
      </c>
      <c r="M6" s="33">
        <v>720</v>
      </c>
      <c r="N6" s="34">
        <v>162</v>
      </c>
      <c r="O6" s="34">
        <v>92</v>
      </c>
      <c r="P6" s="31">
        <v>51226</v>
      </c>
      <c r="Q6" s="51">
        <v>6.4728329542582771E-2</v>
      </c>
      <c r="R6" s="165">
        <f>P6+P7</f>
        <v>39212</v>
      </c>
      <c r="S6" s="162">
        <f t="shared" ref="S6" si="1">R6/(J6+J7)</f>
        <v>2.4835011717018178E-2</v>
      </c>
      <c r="T6" s="3"/>
      <c r="U6" s="185">
        <v>43748</v>
      </c>
      <c r="V6" s="186">
        <f>DATEDIF(D6,U6,"d")</f>
        <v>16</v>
      </c>
      <c r="W6" s="168" t="s">
        <v>306</v>
      </c>
      <c r="AA6" s="165">
        <f t="shared" ref="AA6" si="2">YEAR(U6)</f>
        <v>2019</v>
      </c>
      <c r="AB6" s="165">
        <f t="shared" ref="AB6" si="3">MONTH(U6)</f>
        <v>10</v>
      </c>
      <c r="AC6" s="165" t="str">
        <f>IF(R6&gt;0,"○","☓")</f>
        <v>○</v>
      </c>
    </row>
    <row r="7" spans="2:29">
      <c r="C7" s="158"/>
      <c r="D7" s="173"/>
      <c r="E7" s="35" t="s">
        <v>192</v>
      </c>
      <c r="F7" s="35">
        <v>3861</v>
      </c>
      <c r="G7" s="60" t="s">
        <v>90</v>
      </c>
      <c r="H7" s="52">
        <v>525</v>
      </c>
      <c r="I7" s="36">
        <v>1500</v>
      </c>
      <c r="J7" s="53">
        <v>787500</v>
      </c>
      <c r="K7" s="44" t="s">
        <v>199</v>
      </c>
      <c r="L7" s="47">
        <v>518</v>
      </c>
      <c r="M7" s="37">
        <v>720</v>
      </c>
      <c r="N7" s="38">
        <v>386</v>
      </c>
      <c r="O7" s="38">
        <v>408</v>
      </c>
      <c r="P7" s="35">
        <v>-12014</v>
      </c>
      <c r="Q7" s="54">
        <v>-1.5255873015873016E-2</v>
      </c>
      <c r="R7" s="163"/>
      <c r="S7" s="163"/>
      <c r="T7" s="3"/>
      <c r="U7" s="185"/>
      <c r="V7" s="186"/>
      <c r="W7" s="168"/>
      <c r="AA7" s="163"/>
      <c r="AB7" s="163"/>
      <c r="AC7" s="163"/>
    </row>
    <row r="8" spans="2:29">
      <c r="B8" s="30"/>
      <c r="C8" s="157">
        <f>ROW()/2-1</f>
        <v>3</v>
      </c>
      <c r="D8" s="176">
        <v>43747</v>
      </c>
      <c r="E8" s="39" t="s">
        <v>200</v>
      </c>
      <c r="F8" s="39">
        <v>3099</v>
      </c>
      <c r="G8" s="61" t="s">
        <v>89</v>
      </c>
      <c r="H8" s="55">
        <v>872</v>
      </c>
      <c r="I8" s="39">
        <v>1200</v>
      </c>
      <c r="J8" s="39">
        <f t="shared" ref="J8:J11" si="4">H8*I8</f>
        <v>1046400</v>
      </c>
      <c r="K8" s="58" t="s">
        <v>197</v>
      </c>
      <c r="L8" s="55">
        <v>876</v>
      </c>
      <c r="M8" s="39">
        <f t="shared" ref="M8:M11" si="5">360*2</f>
        <v>720</v>
      </c>
      <c r="N8" s="39">
        <v>162</v>
      </c>
      <c r="O8" s="58">
        <v>92</v>
      </c>
      <c r="P8" s="55">
        <f>(H8-L8)*I8-M8-N8-O8</f>
        <v>-5774</v>
      </c>
      <c r="Q8" s="57">
        <f t="shared" ref="Q8:Q11" si="6">P8/J8</f>
        <v>-5.5179663608562694E-3</v>
      </c>
      <c r="R8" s="161">
        <f>P8+P9</f>
        <v>63112</v>
      </c>
      <c r="S8" s="171">
        <f>R8/(J8+J9)</f>
        <v>3.0858595736358303E-2</v>
      </c>
      <c r="U8" s="175">
        <v>43753</v>
      </c>
      <c r="V8" s="158">
        <f t="shared" ref="V8" si="7">DATEDIF(D8,U8,"d")</f>
        <v>6</v>
      </c>
      <c r="W8" s="179" t="s">
        <v>355</v>
      </c>
      <c r="AA8" s="165">
        <f t="shared" ref="AA8:AA10" si="8">YEAR(U8)</f>
        <v>2019</v>
      </c>
      <c r="AB8" s="165">
        <f t="shared" ref="AB8" si="9">MONTH(U8)</f>
        <v>10</v>
      </c>
      <c r="AC8" s="165" t="str">
        <f t="shared" ref="AC8:AC10" si="10">IF(R8&gt;0,"○","☓")</f>
        <v>○</v>
      </c>
    </row>
    <row r="9" spans="2:29">
      <c r="B9" s="30"/>
      <c r="C9" s="158"/>
      <c r="D9" s="173">
        <v>43747</v>
      </c>
      <c r="E9" s="35" t="s">
        <v>192</v>
      </c>
      <c r="F9" s="35">
        <v>7211</v>
      </c>
      <c r="G9" s="60" t="s">
        <v>55</v>
      </c>
      <c r="H9" s="52">
        <v>454</v>
      </c>
      <c r="I9" s="52">
        <v>2200</v>
      </c>
      <c r="J9" s="53">
        <f t="shared" si="4"/>
        <v>998800</v>
      </c>
      <c r="K9" s="44" t="s">
        <v>197</v>
      </c>
      <c r="L9" s="47">
        <v>486</v>
      </c>
      <c r="M9" s="37">
        <f t="shared" si="5"/>
        <v>720</v>
      </c>
      <c r="N9" s="38">
        <v>386</v>
      </c>
      <c r="O9" s="38">
        <v>408</v>
      </c>
      <c r="P9" s="35">
        <f>(L9-H9)*I9-M9-N9-O9</f>
        <v>68886</v>
      </c>
      <c r="Q9" s="54">
        <f t="shared" si="6"/>
        <v>6.8968762515018017E-2</v>
      </c>
      <c r="R9" s="161"/>
      <c r="S9" s="163"/>
      <c r="U9" s="164"/>
      <c r="V9" s="156"/>
      <c r="W9" s="180"/>
      <c r="AA9" s="163"/>
      <c r="AB9" s="163"/>
      <c r="AC9" s="163"/>
    </row>
    <row r="10" spans="2:29">
      <c r="C10" s="157">
        <f>ROW()/2-1</f>
        <v>4</v>
      </c>
      <c r="D10" s="176">
        <v>43753</v>
      </c>
      <c r="E10" s="136" t="s">
        <v>191</v>
      </c>
      <c r="F10" s="39">
        <v>7453</v>
      </c>
      <c r="G10" s="61" t="s">
        <v>133</v>
      </c>
      <c r="H10" s="55">
        <v>2127</v>
      </c>
      <c r="I10" s="39">
        <v>500</v>
      </c>
      <c r="J10" s="39">
        <f t="shared" si="4"/>
        <v>1063500</v>
      </c>
      <c r="K10" s="58" t="s">
        <v>197</v>
      </c>
      <c r="L10" s="55">
        <v>2298</v>
      </c>
      <c r="M10" s="39">
        <f t="shared" si="5"/>
        <v>720</v>
      </c>
      <c r="N10" s="39">
        <v>162</v>
      </c>
      <c r="O10" s="58">
        <v>92</v>
      </c>
      <c r="P10" s="55">
        <f>(H10-L10)*I10-M10-N10-O10</f>
        <v>-86474</v>
      </c>
      <c r="Q10" s="57">
        <f t="shared" si="6"/>
        <v>-8.1310766337564649E-2</v>
      </c>
      <c r="R10" s="161">
        <f>P10+P11</f>
        <v>-93278.000000000029</v>
      </c>
      <c r="S10" s="162">
        <f t="shared" ref="S10" si="11">R10/(J10+J11)</f>
        <v>-4.3858585003691025E-2</v>
      </c>
      <c r="U10" s="174">
        <v>43759</v>
      </c>
      <c r="V10" s="156">
        <f>DATEDIF(D10,U10,"d")</f>
        <v>6</v>
      </c>
      <c r="W10" s="177" t="s">
        <v>326</v>
      </c>
      <c r="X10" s="1" t="s">
        <v>353</v>
      </c>
      <c r="AA10" s="165">
        <f t="shared" si="8"/>
        <v>2019</v>
      </c>
      <c r="AB10" s="165">
        <f t="shared" ref="AB10" si="12">MONTH(U10)</f>
        <v>10</v>
      </c>
      <c r="AC10" s="166" t="str">
        <f t="shared" si="10"/>
        <v>☓</v>
      </c>
    </row>
    <row r="11" spans="2:29">
      <c r="C11" s="158"/>
      <c r="D11" s="173">
        <v>43748</v>
      </c>
      <c r="E11" s="137" t="s">
        <v>192</v>
      </c>
      <c r="F11" s="35">
        <v>8308</v>
      </c>
      <c r="G11" s="60" t="s">
        <v>131</v>
      </c>
      <c r="H11" s="52">
        <v>462.3</v>
      </c>
      <c r="I11" s="52">
        <v>2300</v>
      </c>
      <c r="J11" s="53">
        <f t="shared" si="4"/>
        <v>1063290</v>
      </c>
      <c r="K11" s="44" t="s">
        <v>197</v>
      </c>
      <c r="L11" s="47">
        <v>460</v>
      </c>
      <c r="M11" s="37">
        <f t="shared" si="5"/>
        <v>720</v>
      </c>
      <c r="N11" s="113">
        <v>386</v>
      </c>
      <c r="O11" s="113">
        <v>408</v>
      </c>
      <c r="P11" s="35">
        <f>(L11-H11)*I11-M11-N11-O11</f>
        <v>-6804.0000000000264</v>
      </c>
      <c r="Q11" s="54">
        <f t="shared" si="6"/>
        <v>-6.3990068560787995E-3</v>
      </c>
      <c r="R11" s="161"/>
      <c r="S11" s="163"/>
      <c r="U11" s="175"/>
      <c r="V11" s="156"/>
      <c r="W11" s="178"/>
      <c r="X11" s="1" t="s">
        <v>354</v>
      </c>
      <c r="AA11" s="163"/>
      <c r="AB11" s="163"/>
      <c r="AC11" s="167"/>
    </row>
    <row r="12" spans="2:29">
      <c r="B12" s="30"/>
      <c r="C12" s="169">
        <f>ROW()/2-1</f>
        <v>5</v>
      </c>
      <c r="D12" s="172">
        <v>43742</v>
      </c>
      <c r="E12" s="31" t="s">
        <v>191</v>
      </c>
      <c r="F12" s="31">
        <v>8750</v>
      </c>
      <c r="G12" s="59" t="s">
        <v>57</v>
      </c>
      <c r="H12" s="49">
        <v>1635</v>
      </c>
      <c r="I12" s="32">
        <v>600</v>
      </c>
      <c r="J12" s="50">
        <f>H12*I12</f>
        <v>981000</v>
      </c>
      <c r="K12" s="43" t="s">
        <v>198</v>
      </c>
      <c r="L12" s="46">
        <v>1741.5</v>
      </c>
      <c r="M12" s="33">
        <f>360*2</f>
        <v>720</v>
      </c>
      <c r="N12" s="34">
        <v>162</v>
      </c>
      <c r="O12" s="34">
        <v>92</v>
      </c>
      <c r="P12" s="31">
        <f>(H12-L12)*I12-M12-N12-O12</f>
        <v>-64874</v>
      </c>
      <c r="Q12" s="51">
        <f>P12/J12</f>
        <v>-6.6130479102956163E-2</v>
      </c>
      <c r="R12" s="170">
        <f>P12+P13</f>
        <v>-11199.999999999898</v>
      </c>
      <c r="S12" s="171">
        <f>R12/(J12+J13)</f>
        <v>-5.7306824833502686E-3</v>
      </c>
      <c r="U12" s="174">
        <v>43759</v>
      </c>
      <c r="V12" s="156">
        <f>DATEDIF(D12,U12,"d")</f>
        <v>17</v>
      </c>
      <c r="W12" s="168" t="s">
        <v>306</v>
      </c>
      <c r="AA12" s="165">
        <f t="shared" ref="AA12" si="13">YEAR(U12)</f>
        <v>2019</v>
      </c>
      <c r="AB12" s="165">
        <f t="shared" ref="AB12" si="14">MONTH(U12)</f>
        <v>10</v>
      </c>
      <c r="AC12" s="166" t="str">
        <f t="shared" ref="AC12" si="15">IF(R12&gt;0,"○","☓")</f>
        <v>☓</v>
      </c>
    </row>
    <row r="13" spans="2:29">
      <c r="B13" s="30"/>
      <c r="C13" s="158"/>
      <c r="D13" s="173"/>
      <c r="E13" s="35" t="s">
        <v>192</v>
      </c>
      <c r="F13" s="35">
        <v>8002</v>
      </c>
      <c r="G13" s="60" t="s">
        <v>56</v>
      </c>
      <c r="H13" s="52">
        <v>695.28</v>
      </c>
      <c r="I13" s="36">
        <v>1400</v>
      </c>
      <c r="J13" s="53">
        <f>H13*I13</f>
        <v>973392</v>
      </c>
      <c r="K13" s="99" t="s">
        <v>195</v>
      </c>
      <c r="L13" s="47">
        <v>734.7</v>
      </c>
      <c r="M13" s="37">
        <f>360*2</f>
        <v>720</v>
      </c>
      <c r="N13" s="38">
        <v>386</v>
      </c>
      <c r="O13" s="38">
        <v>408</v>
      </c>
      <c r="P13" s="35">
        <f>(L13-H13)*I13-M13-N13-O13</f>
        <v>53674.000000000102</v>
      </c>
      <c r="Q13" s="54">
        <f>P13/J13</f>
        <v>5.5141196968949924E-2</v>
      </c>
      <c r="R13" s="161"/>
      <c r="S13" s="163"/>
      <c r="U13" s="175"/>
      <c r="V13" s="156"/>
      <c r="W13" s="168"/>
      <c r="AA13" s="163"/>
      <c r="AB13" s="163"/>
      <c r="AC13" s="167"/>
    </row>
    <row r="14" spans="2:29" s="114" customFormat="1">
      <c r="B14" s="30"/>
      <c r="C14" s="157">
        <f>ROW()/2-1</f>
        <v>6</v>
      </c>
      <c r="D14" s="159">
        <v>43745</v>
      </c>
      <c r="E14" s="39" t="s">
        <v>191</v>
      </c>
      <c r="F14" s="39">
        <v>6770</v>
      </c>
      <c r="G14" s="61" t="s">
        <v>50</v>
      </c>
      <c r="H14" s="55">
        <v>2105</v>
      </c>
      <c r="I14" s="40">
        <v>400</v>
      </c>
      <c r="J14" s="56">
        <f t="shared" ref="J14:J19" si="16">H14*I14</f>
        <v>842000</v>
      </c>
      <c r="K14" s="45" t="s">
        <v>198</v>
      </c>
      <c r="L14" s="48">
        <v>2145</v>
      </c>
      <c r="M14" s="41">
        <f t="shared" ref="M14:M19" si="17">360*2</f>
        <v>720</v>
      </c>
      <c r="N14" s="42">
        <v>162</v>
      </c>
      <c r="O14" s="42">
        <v>92</v>
      </c>
      <c r="P14" s="39">
        <f>(H14-L14)*I14-M14-N14-O14</f>
        <v>-16974</v>
      </c>
      <c r="Q14" s="57">
        <f t="shared" ref="Q14:Q19" si="18">P14/J14</f>
        <v>-2.0159144893111641E-2</v>
      </c>
      <c r="R14" s="161">
        <f>P14+P15</f>
        <v>-1335.0000000000437</v>
      </c>
      <c r="S14" s="162">
        <f t="shared" ref="S14" si="19">R14/(J14+J15)</f>
        <v>-7.9789761449534544E-4</v>
      </c>
      <c r="U14" s="164">
        <v>43761</v>
      </c>
      <c r="V14" s="156">
        <f t="shared" ref="V14" si="20">DATEDIF(D14,U14,"d")</f>
        <v>16</v>
      </c>
      <c r="W14" s="168" t="s">
        <v>306</v>
      </c>
      <c r="AA14" s="165">
        <f t="shared" ref="AA14" si="21">YEAR(U14)</f>
        <v>2019</v>
      </c>
      <c r="AB14" s="165">
        <f t="shared" ref="AB14" si="22">MONTH(U14)</f>
        <v>10</v>
      </c>
      <c r="AC14" s="166" t="str">
        <f t="shared" ref="AC14" si="23">IF(R14&gt;0,"○","☓")</f>
        <v>☓</v>
      </c>
    </row>
    <row r="15" spans="2:29" s="114" customFormat="1">
      <c r="B15" s="30"/>
      <c r="C15" s="158"/>
      <c r="D15" s="160">
        <v>43745</v>
      </c>
      <c r="E15" s="35" t="s">
        <v>192</v>
      </c>
      <c r="F15" s="35">
        <v>8601</v>
      </c>
      <c r="G15" s="60" t="s">
        <v>52</v>
      </c>
      <c r="H15" s="52">
        <v>488.91</v>
      </c>
      <c r="I15" s="36">
        <v>1700</v>
      </c>
      <c r="J15" s="53">
        <f t="shared" si="16"/>
        <v>831147</v>
      </c>
      <c r="K15" s="99" t="s">
        <v>397</v>
      </c>
      <c r="L15" s="47">
        <v>499</v>
      </c>
      <c r="M15" s="37">
        <f t="shared" si="17"/>
        <v>720</v>
      </c>
      <c r="N15" s="138">
        <v>386</v>
      </c>
      <c r="O15" s="138">
        <v>408</v>
      </c>
      <c r="P15" s="35">
        <f>(L15-H15)*I15-M15-N15-O15</f>
        <v>15638.999999999956</v>
      </c>
      <c r="Q15" s="54">
        <f t="shared" si="18"/>
        <v>1.8816166093362494E-2</v>
      </c>
      <c r="R15" s="161"/>
      <c r="S15" s="163"/>
      <c r="U15" s="156"/>
      <c r="V15" s="156"/>
      <c r="W15" s="168"/>
      <c r="AA15" s="163"/>
      <c r="AB15" s="163"/>
      <c r="AC15" s="167"/>
    </row>
    <row r="16" spans="2:29" s="114" customFormat="1">
      <c r="B16" s="30"/>
      <c r="C16" s="157">
        <f>ROW()/2-1</f>
        <v>7</v>
      </c>
      <c r="D16" s="159">
        <v>43745</v>
      </c>
      <c r="E16" s="39" t="s">
        <v>191</v>
      </c>
      <c r="F16" s="39">
        <v>5803</v>
      </c>
      <c r="G16" s="61" t="s">
        <v>53</v>
      </c>
      <c r="H16" s="55">
        <v>413</v>
      </c>
      <c r="I16" s="40">
        <v>1700</v>
      </c>
      <c r="J16" s="56">
        <f t="shared" si="16"/>
        <v>702100</v>
      </c>
      <c r="K16" s="45" t="s">
        <v>198</v>
      </c>
      <c r="L16" s="48">
        <v>459</v>
      </c>
      <c r="M16" s="41">
        <f t="shared" si="17"/>
        <v>720</v>
      </c>
      <c r="N16" s="42">
        <v>162</v>
      </c>
      <c r="O16" s="42">
        <v>92</v>
      </c>
      <c r="P16" s="39">
        <f>(H16-L16)*I16-M16-N16-O16</f>
        <v>-79174</v>
      </c>
      <c r="Q16" s="57">
        <f t="shared" si="18"/>
        <v>-0.11276741204956559</v>
      </c>
      <c r="R16" s="161">
        <f>P16+P17</f>
        <v>-16688</v>
      </c>
      <c r="S16" s="162">
        <f>R16/(J16+J17)</f>
        <v>-1.2074379567325086E-2</v>
      </c>
      <c r="U16" s="164">
        <v>43761</v>
      </c>
      <c r="V16" s="156">
        <f t="shared" ref="V16" si="24">DATEDIF(D16,U16,"d")</f>
        <v>16</v>
      </c>
      <c r="W16" s="168" t="s">
        <v>306</v>
      </c>
      <c r="AA16" s="165">
        <f t="shared" ref="AA16" si="25">YEAR(U16)</f>
        <v>2019</v>
      </c>
      <c r="AB16" s="165">
        <f t="shared" ref="AB16" si="26">MONTH(U16)</f>
        <v>10</v>
      </c>
      <c r="AC16" s="166" t="str">
        <f t="shared" ref="AC16" si="27">IF(R16&gt;0,"○","☓")</f>
        <v>☓</v>
      </c>
    </row>
    <row r="17" spans="2:29" s="114" customFormat="1">
      <c r="B17" s="30"/>
      <c r="C17" s="158"/>
      <c r="D17" s="160">
        <v>43745</v>
      </c>
      <c r="E17" s="35" t="s">
        <v>192</v>
      </c>
      <c r="F17" s="35">
        <v>7259</v>
      </c>
      <c r="G17" s="60" t="s">
        <v>54</v>
      </c>
      <c r="H17" s="52">
        <v>3400</v>
      </c>
      <c r="I17" s="52">
        <v>200</v>
      </c>
      <c r="J17" s="53">
        <f t="shared" si="16"/>
        <v>680000</v>
      </c>
      <c r="K17" s="99" t="s">
        <v>181</v>
      </c>
      <c r="L17" s="47">
        <v>3720</v>
      </c>
      <c r="M17" s="37">
        <f t="shared" si="17"/>
        <v>720</v>
      </c>
      <c r="N17" s="138">
        <v>386</v>
      </c>
      <c r="O17" s="138">
        <v>408</v>
      </c>
      <c r="P17" s="35">
        <f>(L17-H17)*I17-M17-N17-O17</f>
        <v>62486</v>
      </c>
      <c r="Q17" s="54">
        <f t="shared" si="18"/>
        <v>9.189117647058824E-2</v>
      </c>
      <c r="R17" s="161"/>
      <c r="S17" s="163"/>
      <c r="U17" s="156"/>
      <c r="V17" s="156"/>
      <c r="W17" s="168"/>
      <c r="AA17" s="163"/>
      <c r="AB17" s="163"/>
      <c r="AC17" s="167"/>
    </row>
    <row r="18" spans="2:29" s="114" customFormat="1">
      <c r="B18" s="30"/>
      <c r="C18" s="157">
        <f>ROW()/2-1</f>
        <v>8</v>
      </c>
      <c r="D18" s="159">
        <v>43748</v>
      </c>
      <c r="E18" s="39" t="s">
        <v>191</v>
      </c>
      <c r="F18" s="39">
        <v>7186</v>
      </c>
      <c r="G18" s="61" t="s">
        <v>193</v>
      </c>
      <c r="H18" s="55">
        <v>410</v>
      </c>
      <c r="I18" s="39">
        <v>1800</v>
      </c>
      <c r="J18" s="39">
        <f t="shared" si="16"/>
        <v>738000</v>
      </c>
      <c r="K18" s="58" t="s">
        <v>197</v>
      </c>
      <c r="L18" s="55">
        <v>444</v>
      </c>
      <c r="M18" s="39">
        <f t="shared" si="17"/>
        <v>720</v>
      </c>
      <c r="N18" s="39">
        <v>162</v>
      </c>
      <c r="O18" s="58">
        <v>92</v>
      </c>
      <c r="P18" s="55">
        <f>(H18-L18)*I18-M18-N18-O18</f>
        <v>-62174</v>
      </c>
      <c r="Q18" s="57">
        <f t="shared" si="18"/>
        <v>-8.4246612466124665E-2</v>
      </c>
      <c r="R18" s="161">
        <f>P18+P19</f>
        <v>-3088</v>
      </c>
      <c r="S18" s="162">
        <f t="shared" ref="S18" si="28">R18/(J18+J19)</f>
        <v>-2.0839519503306789E-3</v>
      </c>
      <c r="U18" s="164">
        <v>43767</v>
      </c>
      <c r="V18" s="156">
        <f t="shared" ref="V18" si="29">DATEDIF(D18,U18,"d")</f>
        <v>19</v>
      </c>
      <c r="W18" s="168" t="s">
        <v>306</v>
      </c>
      <c r="AA18" s="165">
        <f t="shared" ref="AA18" si="30">YEAR(U18)</f>
        <v>2019</v>
      </c>
      <c r="AB18" s="165">
        <f t="shared" ref="AB18" si="31">MONTH(U18)</f>
        <v>10</v>
      </c>
      <c r="AC18" s="166" t="str">
        <f t="shared" ref="AC18" si="32">IF(R18&gt;0,"○","☓")</f>
        <v>☓</v>
      </c>
    </row>
    <row r="19" spans="2:29" s="114" customFormat="1">
      <c r="B19" s="30"/>
      <c r="C19" s="158"/>
      <c r="D19" s="160">
        <v>43748</v>
      </c>
      <c r="E19" s="35" t="s">
        <v>192</v>
      </c>
      <c r="F19" s="35">
        <v>8309</v>
      </c>
      <c r="G19" s="60" t="s">
        <v>194</v>
      </c>
      <c r="H19" s="52">
        <v>3719</v>
      </c>
      <c r="I19" s="52">
        <v>200</v>
      </c>
      <c r="J19" s="53">
        <f t="shared" si="16"/>
        <v>743800</v>
      </c>
      <c r="K19" s="44" t="s">
        <v>197</v>
      </c>
      <c r="L19" s="47">
        <v>4022</v>
      </c>
      <c r="M19" s="37">
        <f t="shared" si="17"/>
        <v>720</v>
      </c>
      <c r="N19" s="139">
        <v>386</v>
      </c>
      <c r="O19" s="139">
        <v>408</v>
      </c>
      <c r="P19" s="35">
        <f>(L19-H19)*I19-M19-N19-O19</f>
        <v>59086</v>
      </c>
      <c r="Q19" s="54">
        <f t="shared" si="18"/>
        <v>7.9438020973379944E-2</v>
      </c>
      <c r="R19" s="161"/>
      <c r="S19" s="163"/>
      <c r="U19" s="156"/>
      <c r="V19" s="156"/>
      <c r="W19" s="168"/>
      <c r="AA19" s="163"/>
      <c r="AB19" s="163"/>
      <c r="AC19" s="167"/>
    </row>
    <row r="20" spans="2:29">
      <c r="B20" s="30"/>
      <c r="C20" s="157">
        <f>ROW()/2-1</f>
        <v>9</v>
      </c>
      <c r="D20" s="159">
        <v>43782</v>
      </c>
      <c r="E20" s="39" t="s">
        <v>191</v>
      </c>
      <c r="F20" s="39">
        <v>1820</v>
      </c>
      <c r="G20" s="61" t="s">
        <v>151</v>
      </c>
      <c r="H20" s="55">
        <v>2431</v>
      </c>
      <c r="I20" s="39">
        <v>400</v>
      </c>
      <c r="J20" s="56">
        <f t="shared" ref="J20:J27" si="33">H20*I20</f>
        <v>972400</v>
      </c>
      <c r="K20" s="58" t="s">
        <v>197</v>
      </c>
      <c r="L20" s="55">
        <v>2375</v>
      </c>
      <c r="M20" s="39">
        <f t="shared" ref="M20:M27" si="34">360*2</f>
        <v>720</v>
      </c>
      <c r="N20" s="39">
        <v>162</v>
      </c>
      <c r="O20" s="58">
        <v>92</v>
      </c>
      <c r="P20" s="55">
        <f>(H20-L20)*I20-M20-N20-O20</f>
        <v>21426</v>
      </c>
      <c r="Q20" s="57">
        <f t="shared" ref="Q20:Q27" si="35">P20/J20</f>
        <v>2.2034142328259974E-2</v>
      </c>
      <c r="R20" s="161">
        <f>P20+P21</f>
        <v>485966</v>
      </c>
      <c r="S20" s="162">
        <f>R20/(J20+J21)</f>
        <v>0.2544948186257156</v>
      </c>
      <c r="U20" s="164">
        <v>43789</v>
      </c>
      <c r="V20" s="156">
        <f>DATEDIF(D20,U20,"d")</f>
        <v>7</v>
      </c>
      <c r="W20" s="179" t="s">
        <v>355</v>
      </c>
      <c r="X20" s="1" t="s">
        <v>1216</v>
      </c>
      <c r="AA20" s="165">
        <f t="shared" ref="AA20" si="36">YEAR(U20)</f>
        <v>2019</v>
      </c>
      <c r="AB20" s="165">
        <f t="shared" ref="AB20" si="37">MONTH(U20)</f>
        <v>11</v>
      </c>
      <c r="AC20" s="165" t="str">
        <f t="shared" ref="AC20" si="38">IF(R20&gt;0,"○","☓")</f>
        <v>○</v>
      </c>
    </row>
    <row r="21" spans="2:29">
      <c r="B21" s="30"/>
      <c r="C21" s="158"/>
      <c r="D21" s="160">
        <v>43748</v>
      </c>
      <c r="E21" s="35" t="s">
        <v>192</v>
      </c>
      <c r="F21" s="35">
        <v>4508</v>
      </c>
      <c r="G21" s="60" t="s">
        <v>371</v>
      </c>
      <c r="H21" s="52">
        <v>1338.76</v>
      </c>
      <c r="I21" s="52">
        <v>700</v>
      </c>
      <c r="J21" s="53">
        <f t="shared" si="33"/>
        <v>937132</v>
      </c>
      <c r="K21" s="44" t="s">
        <v>398</v>
      </c>
      <c r="L21" s="47">
        <v>2004</v>
      </c>
      <c r="M21" s="37">
        <f t="shared" si="34"/>
        <v>720</v>
      </c>
      <c r="N21" s="38">
        <v>0</v>
      </c>
      <c r="O21" s="38">
        <v>408</v>
      </c>
      <c r="P21" s="35">
        <f>(L21-H21)*I21-M21-N21-O21</f>
        <v>464540</v>
      </c>
      <c r="Q21" s="54">
        <f t="shared" si="35"/>
        <v>0.49570391364290195</v>
      </c>
      <c r="R21" s="161"/>
      <c r="S21" s="163"/>
      <c r="U21" s="156"/>
      <c r="V21" s="156"/>
      <c r="W21" s="180"/>
      <c r="X21" s="114" t="s">
        <v>1215</v>
      </c>
      <c r="AA21" s="163"/>
      <c r="AB21" s="163"/>
      <c r="AC21" s="163"/>
    </row>
    <row r="22" spans="2:29" s="114" customFormat="1">
      <c r="B22" s="30"/>
      <c r="C22" s="157">
        <f>ROW()/2-1</f>
        <v>10</v>
      </c>
      <c r="D22" s="159">
        <v>43782</v>
      </c>
      <c r="E22" s="39" t="s">
        <v>191</v>
      </c>
      <c r="F22" s="39">
        <v>8002</v>
      </c>
      <c r="G22" s="61" t="s">
        <v>56</v>
      </c>
      <c r="H22" s="55">
        <v>814</v>
      </c>
      <c r="I22" s="39">
        <v>1300</v>
      </c>
      <c r="J22" s="56">
        <f t="shared" si="33"/>
        <v>1058200</v>
      </c>
      <c r="K22" s="58" t="s">
        <v>197</v>
      </c>
      <c r="L22" s="55">
        <v>794.1</v>
      </c>
      <c r="M22" s="39">
        <f t="shared" si="34"/>
        <v>720</v>
      </c>
      <c r="N22" s="39">
        <v>162</v>
      </c>
      <c r="O22" s="58">
        <v>92</v>
      </c>
      <c r="P22" s="55">
        <f>(H22-L22)*I22-M22-N22-O22</f>
        <v>24895.999999999971</v>
      </c>
      <c r="Q22" s="57">
        <f t="shared" si="35"/>
        <v>2.3526743526743499E-2</v>
      </c>
      <c r="R22" s="161">
        <f>P22+P23</f>
        <v>60327.999999999913</v>
      </c>
      <c r="S22" s="162">
        <f>R22/(J22+J23)</f>
        <v>2.888939968585982E-2</v>
      </c>
      <c r="U22" s="164">
        <v>43790</v>
      </c>
      <c r="V22" s="156">
        <f>DATEDIF(D22,U22,"d")</f>
        <v>8</v>
      </c>
      <c r="W22" s="179" t="s">
        <v>355</v>
      </c>
      <c r="AA22" s="165">
        <f t="shared" ref="AA22" si="39">YEAR(U22)</f>
        <v>2019</v>
      </c>
      <c r="AB22" s="165">
        <f t="shared" ref="AB22" si="40">MONTH(U22)</f>
        <v>11</v>
      </c>
      <c r="AC22" s="165" t="str">
        <f t="shared" ref="AC22" si="41">IF(R22&gt;0,"○","☓")</f>
        <v>○</v>
      </c>
    </row>
    <row r="23" spans="2:29" s="114" customFormat="1">
      <c r="B23" s="30"/>
      <c r="C23" s="158"/>
      <c r="D23" s="160">
        <v>43748</v>
      </c>
      <c r="E23" s="35" t="s">
        <v>192</v>
      </c>
      <c r="F23" s="35">
        <v>8601</v>
      </c>
      <c r="G23" s="60" t="s">
        <v>52</v>
      </c>
      <c r="H23" s="52">
        <v>515.02</v>
      </c>
      <c r="I23" s="52">
        <v>2000</v>
      </c>
      <c r="J23" s="53">
        <f t="shared" si="33"/>
        <v>1030040</v>
      </c>
      <c r="K23" s="44" t="s">
        <v>398</v>
      </c>
      <c r="L23" s="47">
        <v>533.29999999999995</v>
      </c>
      <c r="M23" s="37">
        <f t="shared" si="34"/>
        <v>720</v>
      </c>
      <c r="N23" s="139">
        <v>0</v>
      </c>
      <c r="O23" s="139">
        <v>408</v>
      </c>
      <c r="P23" s="35">
        <f>(L23-H23)*I23-M23-N23-O23</f>
        <v>35431.999999999942</v>
      </c>
      <c r="Q23" s="54">
        <f t="shared" si="35"/>
        <v>3.4398664129548312E-2</v>
      </c>
      <c r="R23" s="161"/>
      <c r="S23" s="163"/>
      <c r="U23" s="156"/>
      <c r="V23" s="156"/>
      <c r="W23" s="180"/>
      <c r="AA23" s="163"/>
      <c r="AB23" s="163"/>
      <c r="AC23" s="163"/>
    </row>
    <row r="24" spans="2:29" s="114" customFormat="1">
      <c r="B24" s="30" t="s">
        <v>182</v>
      </c>
      <c r="C24" s="157">
        <f>ROW()/2-1</f>
        <v>11</v>
      </c>
      <c r="D24" s="159">
        <v>43783</v>
      </c>
      <c r="E24" s="39" t="s">
        <v>191</v>
      </c>
      <c r="F24" s="39">
        <v>3105</v>
      </c>
      <c r="G24" s="61" t="s">
        <v>119</v>
      </c>
      <c r="H24" s="55">
        <v>970</v>
      </c>
      <c r="I24" s="39">
        <v>1100</v>
      </c>
      <c r="J24" s="56">
        <f t="shared" si="33"/>
        <v>1067000</v>
      </c>
      <c r="K24" s="58" t="s">
        <v>197</v>
      </c>
      <c r="L24" s="55">
        <v>999</v>
      </c>
      <c r="M24" s="39">
        <f t="shared" si="34"/>
        <v>720</v>
      </c>
      <c r="N24" s="39">
        <v>162</v>
      </c>
      <c r="O24" s="58">
        <v>92</v>
      </c>
      <c r="P24" s="55">
        <f>(H24-L24)*I24-M24-N24-O24</f>
        <v>-32874</v>
      </c>
      <c r="Q24" s="57">
        <f t="shared" si="35"/>
        <v>-3.0809746954076851E-2</v>
      </c>
      <c r="R24" s="161">
        <f>P24+P25</f>
        <v>-58188</v>
      </c>
      <c r="S24" s="162">
        <f>R24/(J24+J25)</f>
        <v>-2.741096664782363E-2</v>
      </c>
      <c r="U24" s="164">
        <f ca="1">建玉管理!$P$1</f>
        <v>43802</v>
      </c>
      <c r="V24" s="156">
        <f ca="1">DATEDIF(D24,U24,"d")</f>
        <v>19</v>
      </c>
      <c r="W24" s="177" t="s">
        <v>326</v>
      </c>
      <c r="AA24" s="165">
        <f t="shared" ref="AA24" ca="1" si="42">YEAR(U24)</f>
        <v>2019</v>
      </c>
      <c r="AB24" s="165">
        <f t="shared" ref="AB24" ca="1" si="43">MONTH(U24)</f>
        <v>12</v>
      </c>
      <c r="AC24" s="165" t="str">
        <f t="shared" ref="AC24" si="44">IF(R24&gt;0,"○","☓")</f>
        <v>☓</v>
      </c>
    </row>
    <row r="25" spans="2:29" s="114" customFormat="1">
      <c r="B25" s="30"/>
      <c r="C25" s="158"/>
      <c r="D25" s="160">
        <v>43748</v>
      </c>
      <c r="E25" s="35" t="s">
        <v>192</v>
      </c>
      <c r="F25" s="35">
        <v>6301</v>
      </c>
      <c r="G25" s="60" t="s">
        <v>138</v>
      </c>
      <c r="H25" s="52">
        <v>2639.5</v>
      </c>
      <c r="I25" s="52">
        <v>400</v>
      </c>
      <c r="J25" s="53">
        <f t="shared" si="33"/>
        <v>1055800</v>
      </c>
      <c r="K25" s="44" t="s">
        <v>181</v>
      </c>
      <c r="L25" s="47">
        <v>2580</v>
      </c>
      <c r="M25" s="37">
        <f t="shared" si="34"/>
        <v>720</v>
      </c>
      <c r="N25" s="140">
        <v>386</v>
      </c>
      <c r="O25" s="140">
        <v>408</v>
      </c>
      <c r="P25" s="35">
        <f>(L25-H25)*I25-M25-N25-O25</f>
        <v>-25314</v>
      </c>
      <c r="Q25" s="54">
        <f t="shared" si="35"/>
        <v>-2.3976131843152112E-2</v>
      </c>
      <c r="R25" s="161"/>
      <c r="S25" s="163"/>
      <c r="U25" s="156"/>
      <c r="V25" s="156"/>
      <c r="W25" s="178"/>
      <c r="AA25" s="163"/>
      <c r="AB25" s="163"/>
      <c r="AC25" s="163"/>
    </row>
    <row r="26" spans="2:29" s="114" customFormat="1">
      <c r="B26" s="30" t="s">
        <v>182</v>
      </c>
      <c r="C26" s="157">
        <f>ROW()/2-1</f>
        <v>12</v>
      </c>
      <c r="D26" s="159">
        <v>43784</v>
      </c>
      <c r="E26" s="39" t="s">
        <v>191</v>
      </c>
      <c r="F26" s="39">
        <v>6770</v>
      </c>
      <c r="G26" s="61" t="s">
        <v>50</v>
      </c>
      <c r="H26" s="55">
        <v>2386</v>
      </c>
      <c r="I26" s="39">
        <v>400</v>
      </c>
      <c r="J26" s="56">
        <f t="shared" si="33"/>
        <v>954400</v>
      </c>
      <c r="K26" s="58" t="s">
        <v>197</v>
      </c>
      <c r="L26" s="55">
        <v>2446</v>
      </c>
      <c r="M26" s="39">
        <f t="shared" si="34"/>
        <v>720</v>
      </c>
      <c r="N26" s="39">
        <v>162</v>
      </c>
      <c r="O26" s="58">
        <v>92</v>
      </c>
      <c r="P26" s="55">
        <f>(H26-L26)*I26-M26-N26-O26</f>
        <v>-24974</v>
      </c>
      <c r="Q26" s="57">
        <f t="shared" si="35"/>
        <v>-2.6167225481978206E-2</v>
      </c>
      <c r="R26" s="161">
        <f>P26+P27</f>
        <v>-22888</v>
      </c>
      <c r="S26" s="162">
        <f>R26/(J26+J27)</f>
        <v>-1.2057738910546834E-2</v>
      </c>
      <c r="U26" s="164">
        <f ca="1">建玉管理!$P$1</f>
        <v>43802</v>
      </c>
      <c r="V26" s="156">
        <f ca="1">DATEDIF(D26,U26,"d")</f>
        <v>18</v>
      </c>
      <c r="W26" s="168" t="s">
        <v>306</v>
      </c>
      <c r="AA26" s="165">
        <f t="shared" ref="AA26" ca="1" si="45">YEAR(U26)</f>
        <v>2019</v>
      </c>
      <c r="AB26" s="165">
        <f t="shared" ref="AB26" ca="1" si="46">MONTH(U26)</f>
        <v>12</v>
      </c>
      <c r="AC26" s="165" t="str">
        <f t="shared" ref="AC26" si="47">IF(R26&gt;0,"○","☓")</f>
        <v>☓</v>
      </c>
    </row>
    <row r="27" spans="2:29" s="114" customFormat="1">
      <c r="B27" s="30"/>
      <c r="C27" s="158"/>
      <c r="D27" s="160">
        <v>43748</v>
      </c>
      <c r="E27" s="35" t="s">
        <v>192</v>
      </c>
      <c r="F27" s="35">
        <v>1911</v>
      </c>
      <c r="G27" s="60" t="s">
        <v>132</v>
      </c>
      <c r="H27" s="52">
        <v>1573</v>
      </c>
      <c r="I27" s="52">
        <v>600</v>
      </c>
      <c r="J27" s="53">
        <f t="shared" si="33"/>
        <v>943800</v>
      </c>
      <c r="K27" s="44" t="s">
        <v>181</v>
      </c>
      <c r="L27" s="47">
        <v>1579</v>
      </c>
      <c r="M27" s="37">
        <f t="shared" si="34"/>
        <v>720</v>
      </c>
      <c r="N27" s="141">
        <v>386</v>
      </c>
      <c r="O27" s="141">
        <v>408</v>
      </c>
      <c r="P27" s="35">
        <f>(L27-H27)*I27-M27-N27-O27</f>
        <v>2086</v>
      </c>
      <c r="Q27" s="54">
        <f t="shared" si="35"/>
        <v>2.2102140283958467E-3</v>
      </c>
      <c r="R27" s="161"/>
      <c r="S27" s="163"/>
      <c r="U27" s="156"/>
      <c r="V27" s="156"/>
      <c r="W27" s="168"/>
      <c r="AA27" s="163"/>
      <c r="AB27" s="163"/>
      <c r="AC27" s="163"/>
    </row>
  </sheetData>
  <autoFilter ref="B3:AC23"/>
  <mergeCells count="120">
    <mergeCell ref="AA24:AA25"/>
    <mergeCell ref="AB24:AB25"/>
    <mergeCell ref="AC24:AC25"/>
    <mergeCell ref="V26:V27"/>
    <mergeCell ref="W26:W27"/>
    <mergeCell ref="V24:V25"/>
    <mergeCell ref="W24:W25"/>
    <mergeCell ref="C24:C25"/>
    <mergeCell ref="D24:D25"/>
    <mergeCell ref="R24:R25"/>
    <mergeCell ref="S24:S25"/>
    <mergeCell ref="U24:U25"/>
    <mergeCell ref="AA26:AA27"/>
    <mergeCell ref="AB26:AB27"/>
    <mergeCell ref="AC26:AC27"/>
    <mergeCell ref="R22:R23"/>
    <mergeCell ref="S22:S23"/>
    <mergeCell ref="U22:U23"/>
    <mergeCell ref="V22:V23"/>
    <mergeCell ref="C26:C27"/>
    <mergeCell ref="D26:D27"/>
    <mergeCell ref="R26:R27"/>
    <mergeCell ref="S26:S27"/>
    <mergeCell ref="U26:U27"/>
    <mergeCell ref="V14:V15"/>
    <mergeCell ref="W14:W15"/>
    <mergeCell ref="V16:V17"/>
    <mergeCell ref="W16:W17"/>
    <mergeCell ref="V18:V19"/>
    <mergeCell ref="W18:W19"/>
    <mergeCell ref="AA14:AA15"/>
    <mergeCell ref="AB14:AB1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AA22:AA23"/>
    <mergeCell ref="AB22:AB23"/>
    <mergeCell ref="AC22:AC23"/>
    <mergeCell ref="C18:C19"/>
    <mergeCell ref="D18:D19"/>
    <mergeCell ref="R18:R19"/>
    <mergeCell ref="S18:S19"/>
    <mergeCell ref="U18:U19"/>
    <mergeCell ref="D20:D21"/>
    <mergeCell ref="AA18:AA19"/>
    <mergeCell ref="AB18:AB19"/>
    <mergeCell ref="AC18:AC19"/>
    <mergeCell ref="AA20:AA21"/>
    <mergeCell ref="AB20:AB21"/>
    <mergeCell ref="AC20:AC21"/>
    <mergeCell ref="C22:C23"/>
    <mergeCell ref="W22:W23"/>
    <mergeCell ref="W20:W21"/>
    <mergeCell ref="C20:C21"/>
    <mergeCell ref="R20:R21"/>
    <mergeCell ref="S20:S21"/>
    <mergeCell ref="V20:V21"/>
    <mergeCell ref="U20:U21"/>
    <mergeCell ref="D22:D23"/>
  </mergeCells>
  <phoneticPr fontId="1" type="noConversion"/>
  <dataValidations count="1">
    <dataValidation type="custom" allowBlank="1" showInputMessage="1" showErrorMessage="1" sqref="K4 K6 K12">
      <formula1>"""aaa"",""bbb"""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27"/>
  <sheetViews>
    <sheetView showGridLines="0" workbookViewId="0">
      <selection activeCell="D38" sqref="D38"/>
    </sheetView>
  </sheetViews>
  <sheetFormatPr defaultRowHeight="14.25"/>
  <sheetData>
    <row r="27" spans="1:1">
      <c r="A27" s="21" t="s">
        <v>95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D42" sqref="D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H19"/>
  <sheetViews>
    <sheetView showGridLines="0" zoomScale="115" zoomScaleNormal="115" workbookViewId="0">
      <selection activeCell="D31" sqref="D31"/>
    </sheetView>
  </sheetViews>
  <sheetFormatPr defaultRowHeight="14.25"/>
  <cols>
    <col min="2" max="2" width="16.37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>
      <c r="B1" s="1" t="s">
        <v>1</v>
      </c>
    </row>
    <row r="3" spans="1:8">
      <c r="B3" s="4" t="s">
        <v>2</v>
      </c>
      <c r="C3" s="2" t="s">
        <v>3</v>
      </c>
      <c r="F3" s="4" t="s">
        <v>16</v>
      </c>
      <c r="G3" s="11">
        <v>1000000</v>
      </c>
    </row>
    <row r="4" spans="1:8">
      <c r="B4" s="4" t="s">
        <v>4</v>
      </c>
      <c r="C4" s="5">
        <v>43737</v>
      </c>
      <c r="F4" s="4" t="s">
        <v>17</v>
      </c>
      <c r="G4" s="29">
        <v>5</v>
      </c>
    </row>
    <row r="5" spans="1:8">
      <c r="B5" s="8"/>
    </row>
    <row r="6" spans="1:8">
      <c r="A6" s="10"/>
      <c r="B6" s="9"/>
      <c r="C6" s="2" t="s">
        <v>6</v>
      </c>
      <c r="D6" s="2" t="s">
        <v>7</v>
      </c>
      <c r="F6" s="1" t="s">
        <v>18</v>
      </c>
    </row>
    <row r="7" spans="1:8">
      <c r="B7" s="4" t="s">
        <v>5</v>
      </c>
      <c r="C7" s="7">
        <v>0.05</v>
      </c>
      <c r="D7" s="7">
        <v>0.2</v>
      </c>
      <c r="F7" s="4" t="s">
        <v>19</v>
      </c>
      <c r="G7" s="29">
        <v>2.5</v>
      </c>
    </row>
    <row r="8" spans="1:8">
      <c r="B8" s="4" t="s">
        <v>8</v>
      </c>
      <c r="C8" s="24">
        <v>2</v>
      </c>
      <c r="D8" s="24">
        <v>3</v>
      </c>
      <c r="F8" s="4" t="s">
        <v>98</v>
      </c>
      <c r="G8" s="29">
        <v>2.5</v>
      </c>
    </row>
    <row r="9" spans="1:8">
      <c r="B9" s="4" t="s">
        <v>9</v>
      </c>
      <c r="C9" s="24">
        <v>0.9</v>
      </c>
      <c r="D9" s="23">
        <v>1</v>
      </c>
      <c r="E9" s="1"/>
      <c r="F9" s="4" t="s">
        <v>99</v>
      </c>
      <c r="G9" s="25">
        <v>15</v>
      </c>
      <c r="H9" s="1"/>
    </row>
    <row r="10" spans="1:8">
      <c r="B10" s="4" t="s">
        <v>10</v>
      </c>
      <c r="C10" s="3">
        <v>2</v>
      </c>
      <c r="D10" s="3">
        <v>3</v>
      </c>
      <c r="E10" s="12"/>
      <c r="F10" s="4" t="s">
        <v>100</v>
      </c>
      <c r="G10" s="24">
        <v>2</v>
      </c>
      <c r="H10" s="1"/>
    </row>
    <row r="11" spans="1:8">
      <c r="B11" s="4" t="s">
        <v>11</v>
      </c>
      <c r="C11" s="2" t="s">
        <v>15</v>
      </c>
      <c r="D11" s="6"/>
      <c r="E11" s="1" t="s">
        <v>21</v>
      </c>
    </row>
    <row r="12" spans="1:8">
      <c r="B12" s="4" t="s">
        <v>12</v>
      </c>
      <c r="C12" s="2" t="s">
        <v>14</v>
      </c>
      <c r="D12" s="6"/>
    </row>
    <row r="13" spans="1:8">
      <c r="B13" s="4" t="s">
        <v>13</v>
      </c>
      <c r="C13" s="3">
        <v>200</v>
      </c>
      <c r="D13" s="6"/>
    </row>
    <row r="16" spans="1:8">
      <c r="B16" s="1"/>
    </row>
    <row r="17" spans="2:7">
      <c r="B17" s="4" t="s">
        <v>94</v>
      </c>
      <c r="C17" s="191" t="s">
        <v>92</v>
      </c>
      <c r="D17" s="192"/>
      <c r="E17" s="193"/>
      <c r="F17" s="193"/>
    </row>
    <row r="18" spans="2:7">
      <c r="B18" s="4" t="s">
        <v>91</v>
      </c>
      <c r="C18" s="191" t="s">
        <v>93</v>
      </c>
      <c r="D18" s="192"/>
      <c r="E18" s="193"/>
      <c r="F18" s="193"/>
      <c r="G18" s="193"/>
    </row>
    <row r="19" spans="2:7">
      <c r="B19" s="4" t="s">
        <v>426</v>
      </c>
      <c r="C19" s="191" t="s">
        <v>425</v>
      </c>
      <c r="D19" s="192"/>
      <c r="E19" s="193"/>
      <c r="F19" s="193"/>
      <c r="G19" s="193"/>
    </row>
  </sheetData>
  <mergeCells count="3">
    <mergeCell ref="C17:F17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AZ300"/>
  <sheetViews>
    <sheetView showGridLines="0" zoomScale="85" zoomScaleNormal="85" workbookViewId="0">
      <selection activeCell="C1" sqref="C1"/>
    </sheetView>
  </sheetViews>
  <sheetFormatPr defaultRowHeight="14.25"/>
  <cols>
    <col min="1" max="1" width="5" customWidth="1"/>
    <col min="2" max="2" width="5.625" style="26" customWidth="1"/>
    <col min="3" max="3" width="13.875" style="28" customWidth="1"/>
    <col min="4" max="4" width="10" style="28" customWidth="1"/>
    <col min="5" max="5" width="9.125" customWidth="1"/>
    <col min="6" max="6" width="5.5" customWidth="1"/>
    <col min="7" max="7" width="10.75" customWidth="1"/>
    <col min="8" max="8" width="6.5" style="27" customWidth="1"/>
    <col min="9" max="9" width="15.5" style="28" customWidth="1"/>
    <col min="10" max="10" width="12.5" style="28" customWidth="1"/>
    <col min="11" max="11" width="7.5" style="27" customWidth="1"/>
    <col min="12" max="12" width="6.875" style="27" customWidth="1"/>
    <col min="13" max="13" width="14.625" style="27" customWidth="1"/>
    <col min="14" max="14" width="7.625" style="27" customWidth="1"/>
    <col min="15" max="15" width="6.75" style="27" customWidth="1"/>
    <col min="16" max="17" width="7.875" style="27" customWidth="1"/>
    <col min="18" max="18" width="7.375" style="27" customWidth="1"/>
    <col min="19" max="19" width="9.875" style="27" customWidth="1"/>
    <col min="20" max="20" width="10.25" style="27" customWidth="1"/>
    <col min="21" max="21" width="6.125" style="26" customWidth="1"/>
    <col min="22" max="22" width="7" style="27" customWidth="1"/>
    <col min="23" max="23" width="8.875" style="27" customWidth="1"/>
    <col min="24" max="24" width="6.5" style="27" customWidth="1"/>
    <col min="25" max="25" width="5.875" style="27" customWidth="1"/>
    <col min="26" max="26" width="7.5" style="27" customWidth="1"/>
    <col min="27" max="27" width="6.875" style="27" customWidth="1"/>
    <col min="28" max="28" width="6.375" style="27" customWidth="1"/>
    <col min="29" max="29" width="7" style="27" customWidth="1"/>
  </cols>
  <sheetData>
    <row r="1" spans="1:52" ht="15" thickBot="1"/>
    <row r="2" spans="1:52">
      <c r="A2" s="114"/>
      <c r="B2" s="198" t="s">
        <v>327</v>
      </c>
      <c r="C2" s="195"/>
      <c r="D2" s="195"/>
      <c r="E2" s="195"/>
      <c r="F2" s="195"/>
      <c r="G2" s="196"/>
      <c r="H2" s="199" t="s">
        <v>328</v>
      </c>
      <c r="I2" s="195"/>
      <c r="J2" s="195"/>
      <c r="K2" s="195"/>
      <c r="L2" s="195"/>
      <c r="M2" s="196"/>
      <c r="N2" s="194" t="s">
        <v>329</v>
      </c>
      <c r="O2" s="195"/>
      <c r="P2" s="195"/>
      <c r="Q2" s="195"/>
      <c r="R2" s="196"/>
      <c r="S2" s="197" t="s">
        <v>330</v>
      </c>
      <c r="T2" s="195"/>
      <c r="U2" s="195"/>
      <c r="V2" s="195"/>
      <c r="W2" s="195"/>
      <c r="X2" s="195"/>
      <c r="Y2" s="196"/>
      <c r="Z2" s="119" t="s">
        <v>331</v>
      </c>
      <c r="AA2" s="120"/>
      <c r="AB2" s="120"/>
      <c r="AC2" s="121"/>
    </row>
    <row r="3" spans="1:52" s="22" customFormat="1" ht="28.5" customHeight="1" thickBot="1">
      <c r="A3" s="115"/>
      <c r="B3" s="117" t="s">
        <v>332</v>
      </c>
      <c r="C3" s="133" t="s">
        <v>333</v>
      </c>
      <c r="D3" s="133" t="s">
        <v>334</v>
      </c>
      <c r="E3" s="133" t="s">
        <v>335</v>
      </c>
      <c r="F3" s="133" t="s">
        <v>336</v>
      </c>
      <c r="G3" s="134" t="s">
        <v>424</v>
      </c>
      <c r="H3" s="118" t="s">
        <v>332</v>
      </c>
      <c r="I3" s="122" t="s">
        <v>333</v>
      </c>
      <c r="J3" s="122" t="s">
        <v>334</v>
      </c>
      <c r="K3" s="122" t="s">
        <v>335</v>
      </c>
      <c r="L3" s="122" t="s">
        <v>336</v>
      </c>
      <c r="M3" s="123" t="s">
        <v>423</v>
      </c>
      <c r="N3" s="124" t="s">
        <v>337</v>
      </c>
      <c r="O3" s="125" t="s">
        <v>338</v>
      </c>
      <c r="P3" s="125" t="s">
        <v>339</v>
      </c>
      <c r="Q3" s="125" t="s">
        <v>340</v>
      </c>
      <c r="R3" s="126" t="s">
        <v>341</v>
      </c>
      <c r="S3" s="127" t="s">
        <v>342</v>
      </c>
      <c r="T3" s="128" t="s">
        <v>343</v>
      </c>
      <c r="U3" s="116" t="s">
        <v>344</v>
      </c>
      <c r="V3" s="116" t="s">
        <v>345</v>
      </c>
      <c r="W3" s="116" t="s">
        <v>346</v>
      </c>
      <c r="X3" s="128" t="s">
        <v>347</v>
      </c>
      <c r="Y3" s="129" t="s">
        <v>348</v>
      </c>
      <c r="Z3" s="130" t="s">
        <v>349</v>
      </c>
      <c r="AA3" s="131" t="s">
        <v>350</v>
      </c>
      <c r="AB3" s="131" t="s">
        <v>351</v>
      </c>
      <c r="AC3" s="131" t="s">
        <v>352</v>
      </c>
    </row>
    <row r="4" spans="1:52">
      <c r="A4" s="132" t="s">
        <v>314</v>
      </c>
      <c r="B4">
        <v>3105</v>
      </c>
      <c r="C4" s="114" t="s">
        <v>119</v>
      </c>
      <c r="D4" s="114" t="s">
        <v>115</v>
      </c>
      <c r="E4">
        <v>1012</v>
      </c>
      <c r="F4">
        <v>1000</v>
      </c>
      <c r="H4">
        <v>3116</v>
      </c>
      <c r="I4" s="114" t="s">
        <v>157</v>
      </c>
      <c r="J4" s="114" t="s">
        <v>112</v>
      </c>
      <c r="K4">
        <v>1709</v>
      </c>
      <c r="L4">
        <v>600</v>
      </c>
      <c r="M4"/>
      <c r="N4">
        <v>2.3129228466796099</v>
      </c>
      <c r="O4">
        <v>4.32</v>
      </c>
      <c r="P4">
        <v>1012000</v>
      </c>
      <c r="Q4">
        <v>1025400</v>
      </c>
      <c r="R4">
        <v>1.31</v>
      </c>
      <c r="S4">
        <v>331195</v>
      </c>
      <c r="T4">
        <v>18400</v>
      </c>
      <c r="U4" s="144">
        <v>18</v>
      </c>
      <c r="V4" s="144">
        <v>12</v>
      </c>
      <c r="W4" s="144" t="s">
        <v>1213</v>
      </c>
      <c r="X4">
        <v>66.67</v>
      </c>
      <c r="Y4">
        <v>12</v>
      </c>
      <c r="Z4">
        <v>0.96559134661726198</v>
      </c>
      <c r="AA4">
        <v>0.90072309008593499</v>
      </c>
      <c r="AB4">
        <v>2.7626188167762699E-2</v>
      </c>
      <c r="AC4">
        <v>7.3994203544526502E-2</v>
      </c>
      <c r="AD4" s="132" t="s">
        <v>1233</v>
      </c>
    </row>
    <row r="5" spans="1:52" s="145" customFormat="1">
      <c r="A5" s="148" t="s">
        <v>314</v>
      </c>
      <c r="B5" s="146">
        <v>6995</v>
      </c>
      <c r="C5" s="145" t="s">
        <v>120</v>
      </c>
      <c r="D5" s="145" t="s">
        <v>112</v>
      </c>
      <c r="E5" s="145">
        <v>2125</v>
      </c>
      <c r="F5" s="145">
        <v>500</v>
      </c>
      <c r="H5" s="145">
        <v>6473</v>
      </c>
      <c r="I5" s="145" t="s">
        <v>166</v>
      </c>
      <c r="J5" s="145" t="s">
        <v>128</v>
      </c>
      <c r="K5" s="145">
        <v>1360</v>
      </c>
      <c r="L5" s="145">
        <v>800</v>
      </c>
      <c r="N5" s="145">
        <v>-2.2708633573510202</v>
      </c>
      <c r="O5" s="145">
        <v>-5.78</v>
      </c>
      <c r="P5" s="145">
        <v>1062500</v>
      </c>
      <c r="Q5" s="145">
        <v>1088000</v>
      </c>
      <c r="R5" s="145">
        <v>2.4</v>
      </c>
      <c r="S5" s="145">
        <v>185609</v>
      </c>
      <c r="T5" s="145">
        <v>12374</v>
      </c>
      <c r="U5" s="147">
        <v>15</v>
      </c>
      <c r="V5" s="147">
        <v>10</v>
      </c>
      <c r="W5" s="147" t="s">
        <v>1092</v>
      </c>
      <c r="X5" s="145">
        <v>66.67</v>
      </c>
      <c r="Y5" s="145">
        <v>12</v>
      </c>
      <c r="Z5" s="145">
        <v>0.95311435674008205</v>
      </c>
      <c r="AA5" s="145">
        <v>0.90357884036036695</v>
      </c>
      <c r="AB5" s="145">
        <v>4.8538565245278198E-3</v>
      </c>
      <c r="AC5" s="145">
        <v>0.21715322855334199</v>
      </c>
      <c r="AD5" s="148" t="s">
        <v>1233</v>
      </c>
    </row>
    <row r="6" spans="1:52" s="145" customFormat="1">
      <c r="A6" s="132" t="s">
        <v>314</v>
      </c>
      <c r="B6">
        <v>3105</v>
      </c>
      <c r="C6" s="114" t="s">
        <v>119</v>
      </c>
      <c r="D6" s="114" t="s">
        <v>115</v>
      </c>
      <c r="E6">
        <v>1012</v>
      </c>
      <c r="F6">
        <v>1000</v>
      </c>
      <c r="G6"/>
      <c r="H6">
        <v>7762</v>
      </c>
      <c r="I6" s="114" t="s">
        <v>136</v>
      </c>
      <c r="J6" s="114" t="s">
        <v>122</v>
      </c>
      <c r="K6">
        <v>596</v>
      </c>
      <c r="L6">
        <v>1700</v>
      </c>
      <c r="M6"/>
      <c r="N6">
        <v>2.6585576344551902</v>
      </c>
      <c r="O6">
        <v>5.8</v>
      </c>
      <c r="P6">
        <v>1012000</v>
      </c>
      <c r="Q6">
        <v>1013200</v>
      </c>
      <c r="R6">
        <v>0.12</v>
      </c>
      <c r="S6">
        <v>153088</v>
      </c>
      <c r="T6">
        <v>11776</v>
      </c>
      <c r="U6" s="144">
        <v>13</v>
      </c>
      <c r="V6" s="144">
        <v>5</v>
      </c>
      <c r="W6" s="144" t="s">
        <v>411</v>
      </c>
      <c r="X6">
        <v>38.46</v>
      </c>
      <c r="Y6">
        <v>12</v>
      </c>
      <c r="Z6">
        <v>0.94923506228182897</v>
      </c>
      <c r="AA6">
        <v>0.90625214711782698</v>
      </c>
      <c r="AB6">
        <v>3.0577024500173199E-2</v>
      </c>
      <c r="AC6">
        <v>1.96675091213609E-2</v>
      </c>
      <c r="AD6" s="132" t="s">
        <v>1233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2" s="145" customFormat="1">
      <c r="A7" s="132" t="s">
        <v>314</v>
      </c>
      <c r="B7">
        <v>1820</v>
      </c>
      <c r="C7" s="114" t="s">
        <v>151</v>
      </c>
      <c r="D7" s="114" t="s">
        <v>105</v>
      </c>
      <c r="E7">
        <v>2440</v>
      </c>
      <c r="F7">
        <v>400</v>
      </c>
      <c r="G7"/>
      <c r="H7">
        <v>1860</v>
      </c>
      <c r="I7" s="114" t="s">
        <v>140</v>
      </c>
      <c r="J7" s="114" t="s">
        <v>105</v>
      </c>
      <c r="K7">
        <v>679</v>
      </c>
      <c r="L7">
        <v>1400</v>
      </c>
      <c r="M7" s="114" t="s">
        <v>952</v>
      </c>
      <c r="N7">
        <v>2.4503920236790302</v>
      </c>
      <c r="O7">
        <v>8.09</v>
      </c>
      <c r="P7">
        <v>976000</v>
      </c>
      <c r="Q7">
        <v>950600</v>
      </c>
      <c r="R7">
        <v>2.6</v>
      </c>
      <c r="S7">
        <v>115262</v>
      </c>
      <c r="T7">
        <v>5489</v>
      </c>
      <c r="U7" s="144">
        <v>21</v>
      </c>
      <c r="V7" s="144">
        <v>13</v>
      </c>
      <c r="W7" s="144" t="s">
        <v>1226</v>
      </c>
      <c r="X7">
        <v>61.9</v>
      </c>
      <c r="Y7">
        <v>14</v>
      </c>
      <c r="Z7">
        <v>0.93223332618157495</v>
      </c>
      <c r="AA7">
        <v>0.93510198791025301</v>
      </c>
      <c r="AB7">
        <v>0.37520753991079098</v>
      </c>
      <c r="AC7">
        <v>4.0181251733860203E-2</v>
      </c>
      <c r="AD7" s="132" t="s">
        <v>1233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2" s="145" customFormat="1">
      <c r="A8" s="132" t="s">
        <v>314</v>
      </c>
      <c r="B8">
        <v>6951</v>
      </c>
      <c r="C8" s="114" t="s">
        <v>390</v>
      </c>
      <c r="D8" s="114" t="s">
        <v>115</v>
      </c>
      <c r="E8">
        <v>3140</v>
      </c>
      <c r="F8">
        <v>300</v>
      </c>
      <c r="G8"/>
      <c r="H8">
        <v>6925</v>
      </c>
      <c r="I8" s="114" t="s">
        <v>376</v>
      </c>
      <c r="J8" s="114" t="s">
        <v>115</v>
      </c>
      <c r="K8">
        <v>1644</v>
      </c>
      <c r="L8">
        <v>600</v>
      </c>
      <c r="M8" s="114" t="s">
        <v>768</v>
      </c>
      <c r="N8">
        <v>-2.1770040673012701</v>
      </c>
      <c r="O8">
        <v>-9.44</v>
      </c>
      <c r="P8">
        <v>942000</v>
      </c>
      <c r="Q8">
        <v>986400</v>
      </c>
      <c r="R8">
        <v>4.71</v>
      </c>
      <c r="S8">
        <v>110041</v>
      </c>
      <c r="T8">
        <v>6113</v>
      </c>
      <c r="U8" s="144">
        <v>18</v>
      </c>
      <c r="V8" s="144">
        <v>11</v>
      </c>
      <c r="W8" s="144" t="s">
        <v>1227</v>
      </c>
      <c r="X8">
        <v>61.11</v>
      </c>
      <c r="Y8">
        <v>10</v>
      </c>
      <c r="Z8">
        <v>0.94149840174095401</v>
      </c>
      <c r="AA8">
        <v>0.94116636588381197</v>
      </c>
      <c r="AB8">
        <v>1.52508971232441E-2</v>
      </c>
      <c r="AC8">
        <v>7.0950379876295903E-3</v>
      </c>
      <c r="AD8" s="132" t="s">
        <v>1233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2" s="145" customFormat="1">
      <c r="A9" s="132" t="s">
        <v>314</v>
      </c>
      <c r="B9">
        <v>8002</v>
      </c>
      <c r="C9" s="114" t="s">
        <v>56</v>
      </c>
      <c r="D9" s="114" t="s">
        <v>130</v>
      </c>
      <c r="E9">
        <v>815.2</v>
      </c>
      <c r="F9">
        <v>1300</v>
      </c>
      <c r="G9"/>
      <c r="H9">
        <v>9072</v>
      </c>
      <c r="I9" s="114" t="s">
        <v>158</v>
      </c>
      <c r="J9" s="114" t="s">
        <v>148</v>
      </c>
      <c r="K9">
        <v>2685</v>
      </c>
      <c r="L9">
        <v>400</v>
      </c>
      <c r="M9"/>
      <c r="N9">
        <v>2.1067484761344999</v>
      </c>
      <c r="O9">
        <v>4.1500000000000004</v>
      </c>
      <c r="P9">
        <v>1059760</v>
      </c>
      <c r="Q9">
        <v>1074000</v>
      </c>
      <c r="R9">
        <v>1.33</v>
      </c>
      <c r="S9">
        <v>77791</v>
      </c>
      <c r="T9">
        <v>4862</v>
      </c>
      <c r="U9" s="144">
        <v>16</v>
      </c>
      <c r="V9" s="144">
        <v>8</v>
      </c>
      <c r="W9" s="144" t="s">
        <v>1228</v>
      </c>
      <c r="X9">
        <v>50</v>
      </c>
      <c r="Y9">
        <v>16</v>
      </c>
      <c r="Z9">
        <v>0.94748001498863599</v>
      </c>
      <c r="AA9">
        <v>0.915186461749535</v>
      </c>
      <c r="AB9">
        <v>2.1461910867726499E-2</v>
      </c>
      <c r="AC9">
        <v>1.3210753214614201E-3</v>
      </c>
      <c r="AD9" s="132" t="s">
        <v>1233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2" s="145" customFormat="1">
      <c r="A10" s="132" t="s">
        <v>314</v>
      </c>
      <c r="B10">
        <v>6471</v>
      </c>
      <c r="C10" s="114" t="s">
        <v>172</v>
      </c>
      <c r="D10" s="114" t="s">
        <v>128</v>
      </c>
      <c r="E10">
        <v>1062</v>
      </c>
      <c r="F10">
        <v>1000</v>
      </c>
      <c r="G10"/>
      <c r="H10">
        <v>6473</v>
      </c>
      <c r="I10" s="114" t="s">
        <v>166</v>
      </c>
      <c r="J10" s="114" t="s">
        <v>128</v>
      </c>
      <c r="K10">
        <v>1360</v>
      </c>
      <c r="L10">
        <v>800</v>
      </c>
      <c r="M10"/>
      <c r="N10">
        <v>2.0297309623386601</v>
      </c>
      <c r="O10">
        <v>3.79</v>
      </c>
      <c r="P10">
        <v>1062000</v>
      </c>
      <c r="Q10">
        <v>1088000</v>
      </c>
      <c r="R10">
        <v>2.39</v>
      </c>
      <c r="S10">
        <v>46361</v>
      </c>
      <c r="T10">
        <v>3863</v>
      </c>
      <c r="U10" s="144">
        <v>12</v>
      </c>
      <c r="V10" s="144">
        <v>8</v>
      </c>
      <c r="W10" s="144" t="s">
        <v>1229</v>
      </c>
      <c r="X10">
        <v>66.67</v>
      </c>
      <c r="Y10">
        <v>16</v>
      </c>
      <c r="Z10">
        <v>0.96951007418497503</v>
      </c>
      <c r="AA10">
        <v>0.95536901798573204</v>
      </c>
      <c r="AB10">
        <v>4.6007674507537101E-2</v>
      </c>
      <c r="AC10">
        <v>1.45075632895828E-2</v>
      </c>
      <c r="AD10" s="132" t="s">
        <v>1233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2">
      <c r="A11" s="132" t="s">
        <v>314</v>
      </c>
      <c r="B11">
        <v>6752</v>
      </c>
      <c r="C11" s="114" t="s">
        <v>134</v>
      </c>
      <c r="D11" s="114" t="s">
        <v>115</v>
      </c>
      <c r="E11">
        <v>1029.5</v>
      </c>
      <c r="F11">
        <v>700</v>
      </c>
      <c r="H11">
        <v>6371</v>
      </c>
      <c r="I11" s="114" t="s">
        <v>137</v>
      </c>
      <c r="J11" s="114" t="s">
        <v>128</v>
      </c>
      <c r="K11">
        <v>3790</v>
      </c>
      <c r="L11">
        <v>200</v>
      </c>
      <c r="M11"/>
      <c r="N11">
        <v>-2.2961067258274999</v>
      </c>
      <c r="O11">
        <v>-5.45</v>
      </c>
      <c r="P11">
        <v>720650</v>
      </c>
      <c r="Q11">
        <v>758000</v>
      </c>
      <c r="R11">
        <v>4.93</v>
      </c>
      <c r="S11">
        <v>-1507</v>
      </c>
      <c r="T11">
        <v>-72</v>
      </c>
      <c r="U11" s="144">
        <v>21</v>
      </c>
      <c r="V11" s="144">
        <v>9</v>
      </c>
      <c r="W11" s="144" t="s">
        <v>1230</v>
      </c>
      <c r="X11">
        <v>42.86</v>
      </c>
      <c r="Y11">
        <v>14</v>
      </c>
      <c r="Z11">
        <v>0.92916691212420099</v>
      </c>
      <c r="AA11">
        <v>0.90628425735961304</v>
      </c>
      <c r="AB11">
        <v>8.2409490542433794E-2</v>
      </c>
      <c r="AC11">
        <v>0.124451164134651</v>
      </c>
      <c r="AD11" s="132" t="s">
        <v>1233</v>
      </c>
    </row>
    <row r="12" spans="1:52">
      <c r="A12" s="132" t="s">
        <v>314</v>
      </c>
      <c r="B12">
        <v>5991</v>
      </c>
      <c r="C12" s="114" t="s">
        <v>144</v>
      </c>
      <c r="D12" s="114" t="s">
        <v>145</v>
      </c>
      <c r="E12">
        <v>978</v>
      </c>
      <c r="F12">
        <v>1000</v>
      </c>
      <c r="H12">
        <v>7267</v>
      </c>
      <c r="I12" s="114" t="s">
        <v>147</v>
      </c>
      <c r="J12" s="114" t="s">
        <v>112</v>
      </c>
      <c r="K12">
        <v>3105</v>
      </c>
      <c r="L12">
        <v>300</v>
      </c>
      <c r="M12"/>
      <c r="N12">
        <v>2.0925009432769399</v>
      </c>
      <c r="O12">
        <v>5.39</v>
      </c>
      <c r="P12">
        <v>978000</v>
      </c>
      <c r="Q12">
        <v>931500</v>
      </c>
      <c r="R12">
        <v>4.99</v>
      </c>
      <c r="S12">
        <v>-2961</v>
      </c>
      <c r="T12">
        <v>-212</v>
      </c>
      <c r="U12" s="144">
        <v>14</v>
      </c>
      <c r="V12" s="144">
        <v>9</v>
      </c>
      <c r="W12" s="144" t="s">
        <v>1231</v>
      </c>
      <c r="X12">
        <v>64.290000000000006</v>
      </c>
      <c r="Y12">
        <v>16</v>
      </c>
      <c r="Z12">
        <v>0.96992228141319903</v>
      </c>
      <c r="AA12">
        <v>0.91491786221924898</v>
      </c>
      <c r="AB12">
        <v>5.8329997478538703E-2</v>
      </c>
      <c r="AC12">
        <v>6.0323526024856702E-2</v>
      </c>
      <c r="AD12" s="132" t="s">
        <v>1233</v>
      </c>
    </row>
    <row r="13" spans="1:52" s="145" customFormat="1">
      <c r="A13" s="132" t="s">
        <v>314</v>
      </c>
      <c r="B13">
        <v>5802</v>
      </c>
      <c r="C13" s="114" t="s">
        <v>163</v>
      </c>
      <c r="D13" s="114" t="s">
        <v>164</v>
      </c>
      <c r="E13">
        <v>1664</v>
      </c>
      <c r="F13">
        <v>600</v>
      </c>
      <c r="G13"/>
      <c r="H13">
        <v>8002</v>
      </c>
      <c r="I13" s="114" t="s">
        <v>56</v>
      </c>
      <c r="J13" s="114" t="s">
        <v>130</v>
      </c>
      <c r="K13">
        <v>815.2</v>
      </c>
      <c r="L13">
        <v>1200</v>
      </c>
      <c r="M13"/>
      <c r="N13">
        <v>2.2741818678573198</v>
      </c>
      <c r="O13">
        <v>6.78</v>
      </c>
      <c r="P13">
        <v>998400</v>
      </c>
      <c r="Q13">
        <v>978240</v>
      </c>
      <c r="R13">
        <v>2.02</v>
      </c>
      <c r="S13">
        <v>-65152</v>
      </c>
      <c r="T13">
        <v>-4072</v>
      </c>
      <c r="U13" s="144">
        <v>16</v>
      </c>
      <c r="V13" s="144">
        <v>7</v>
      </c>
      <c r="W13" s="144" t="s">
        <v>1093</v>
      </c>
      <c r="X13">
        <v>43.75</v>
      </c>
      <c r="Y13">
        <v>15</v>
      </c>
      <c r="Z13">
        <v>0.95050776682007698</v>
      </c>
      <c r="AA13">
        <v>0.94475059057777699</v>
      </c>
      <c r="AB13">
        <v>0.144838533155174</v>
      </c>
      <c r="AC13">
        <v>1.27085819855723E-3</v>
      </c>
      <c r="AD13" s="132" t="s">
        <v>1233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2" s="145" customFormat="1">
      <c r="A14" s="132" t="s">
        <v>314</v>
      </c>
      <c r="B14">
        <v>8410</v>
      </c>
      <c r="C14" s="114" t="s">
        <v>360</v>
      </c>
      <c r="D14" s="114" t="s">
        <v>110</v>
      </c>
      <c r="E14">
        <v>340</v>
      </c>
      <c r="F14">
        <v>3100</v>
      </c>
      <c r="G14"/>
      <c r="H14">
        <v>9412</v>
      </c>
      <c r="I14" s="114" t="s">
        <v>106</v>
      </c>
      <c r="J14" s="114" t="s">
        <v>107</v>
      </c>
      <c r="K14">
        <v>462</v>
      </c>
      <c r="L14">
        <v>2300</v>
      </c>
      <c r="M14"/>
      <c r="N14">
        <v>2.1420983920543399</v>
      </c>
      <c r="O14">
        <v>6.78</v>
      </c>
      <c r="P14">
        <v>1054000</v>
      </c>
      <c r="Q14">
        <v>1062600</v>
      </c>
      <c r="R14">
        <v>0.81</v>
      </c>
      <c r="S14">
        <v>-93985</v>
      </c>
      <c r="T14">
        <v>-4947</v>
      </c>
      <c r="U14" s="144">
        <v>19</v>
      </c>
      <c r="V14" s="144">
        <v>8</v>
      </c>
      <c r="W14" s="144" t="s">
        <v>1214</v>
      </c>
      <c r="X14">
        <v>42.11</v>
      </c>
      <c r="Y14">
        <v>14</v>
      </c>
      <c r="Z14">
        <v>0.92668925599087704</v>
      </c>
      <c r="AA14">
        <v>0.90671141197293204</v>
      </c>
      <c r="AB14">
        <v>9.4399698824976903E-4</v>
      </c>
      <c r="AC14">
        <v>7.5711807808670397E-3</v>
      </c>
      <c r="AD14" s="132" t="s">
        <v>1233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2">
      <c r="A15" s="132" t="s">
        <v>314</v>
      </c>
      <c r="B15">
        <v>6951</v>
      </c>
      <c r="C15" s="114" t="s">
        <v>390</v>
      </c>
      <c r="D15" s="114" t="s">
        <v>115</v>
      </c>
      <c r="E15">
        <v>3140</v>
      </c>
      <c r="F15">
        <v>300</v>
      </c>
      <c r="H15">
        <v>1928</v>
      </c>
      <c r="I15" s="114" t="s">
        <v>363</v>
      </c>
      <c r="J15" s="114" t="s">
        <v>105</v>
      </c>
      <c r="K15">
        <v>2346</v>
      </c>
      <c r="L15">
        <v>400</v>
      </c>
      <c r="M15" s="114" t="s">
        <v>498</v>
      </c>
      <c r="N15">
        <v>-2.5041792695104199</v>
      </c>
      <c r="O15">
        <v>-8.09</v>
      </c>
      <c r="P15">
        <v>942000</v>
      </c>
      <c r="Q15">
        <v>938400</v>
      </c>
      <c r="R15">
        <v>0.38</v>
      </c>
      <c r="S15">
        <v>-286170</v>
      </c>
      <c r="T15">
        <v>-14308</v>
      </c>
      <c r="U15" s="144">
        <v>20</v>
      </c>
      <c r="V15" s="144">
        <v>8</v>
      </c>
      <c r="W15" s="144" t="s">
        <v>1232</v>
      </c>
      <c r="X15">
        <v>40</v>
      </c>
      <c r="Y15">
        <v>12</v>
      </c>
      <c r="Z15">
        <v>0.93422354631951399</v>
      </c>
      <c r="AA15">
        <v>0.91415543407102096</v>
      </c>
      <c r="AB15">
        <v>9.0818691187973297E-2</v>
      </c>
      <c r="AC15">
        <v>0.38556934549426503</v>
      </c>
      <c r="AD15" s="132" t="s">
        <v>1233</v>
      </c>
    </row>
    <row r="16" spans="1:52">
      <c r="B16"/>
      <c r="C16"/>
      <c r="D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52" s="145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>
      <c r="B18"/>
      <c r="C18"/>
      <c r="D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52">
      <c r="B19"/>
      <c r="C19"/>
      <c r="D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52">
      <c r="B20"/>
      <c r="C20"/>
      <c r="D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52">
      <c r="B21"/>
      <c r="C21"/>
      <c r="D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52" s="14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>
      <c r="B23"/>
      <c r="C23"/>
      <c r="D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</row>
    <row r="24" spans="1:52">
      <c r="B24"/>
      <c r="C24"/>
      <c r="D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spans="1:52">
      <c r="B25"/>
      <c r="C25"/>
      <c r="D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1:52">
      <c r="B26"/>
      <c r="C26"/>
      <c r="D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1:52">
      <c r="B27"/>
      <c r="C27"/>
      <c r="D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1:52">
      <c r="B28"/>
      <c r="C28"/>
      <c r="D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52">
      <c r="B29"/>
      <c r="C29"/>
      <c r="D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1:52">
      <c r="B30"/>
      <c r="C30"/>
      <c r="D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1:52">
      <c r="B31"/>
      <c r="C31"/>
      <c r="D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</row>
    <row r="32" spans="1:52">
      <c r="B32"/>
      <c r="C32"/>
      <c r="D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</row>
    <row r="33" spans="2:29">
      <c r="B33"/>
      <c r="C33"/>
      <c r="D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</row>
    <row r="34" spans="2:29">
      <c r="B34"/>
      <c r="C34"/>
      <c r="D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</row>
    <row r="35" spans="2:29">
      <c r="B35"/>
      <c r="C35"/>
      <c r="D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</row>
    <row r="36" spans="2:29">
      <c r="B36"/>
      <c r="C36"/>
      <c r="D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2:29">
      <c r="B37"/>
      <c r="C37"/>
      <c r="D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2:29">
      <c r="B38"/>
      <c r="C38"/>
      <c r="D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2:29">
      <c r="B39"/>
      <c r="C39"/>
      <c r="D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2:29">
      <c r="B40"/>
      <c r="C40"/>
      <c r="D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2:29">
      <c r="B41"/>
      <c r="C41"/>
      <c r="D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2:29">
      <c r="B42"/>
      <c r="C42"/>
      <c r="D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2:29">
      <c r="B43"/>
      <c r="C43"/>
      <c r="D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2:29">
      <c r="B44"/>
      <c r="C44"/>
      <c r="D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2:29">
      <c r="B45"/>
      <c r="C45"/>
      <c r="D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2:29">
      <c r="B46"/>
      <c r="C46"/>
      <c r="D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2:29">
      <c r="B47"/>
      <c r="C47"/>
      <c r="D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2:29">
      <c r="B48"/>
      <c r="C48"/>
      <c r="D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2:29">
      <c r="B49"/>
      <c r="C49"/>
      <c r="D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2:29">
      <c r="B50"/>
      <c r="C50"/>
      <c r="D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2:29">
      <c r="B51"/>
      <c r="C51"/>
      <c r="D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2:29">
      <c r="B52"/>
      <c r="C52"/>
      <c r="D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2:29">
      <c r="B53"/>
      <c r="C53"/>
      <c r="D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2:29">
      <c r="B54"/>
      <c r="C54"/>
      <c r="D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2:29">
      <c r="B55"/>
      <c r="C55"/>
      <c r="D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2:29">
      <c r="B56"/>
      <c r="C56"/>
      <c r="D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2:29">
      <c r="B57"/>
      <c r="C57"/>
      <c r="D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2:29">
      <c r="B58"/>
      <c r="C58"/>
      <c r="D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2:29">
      <c r="B59"/>
      <c r="C59"/>
      <c r="D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2:29">
      <c r="B60"/>
      <c r="C60"/>
      <c r="D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2:29">
      <c r="B61"/>
      <c r="C61"/>
      <c r="D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2:29">
      <c r="B62"/>
      <c r="C62"/>
      <c r="D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2:29">
      <c r="B63"/>
      <c r="C63"/>
      <c r="D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2:29">
      <c r="B64"/>
      <c r="C64"/>
      <c r="D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2:29">
      <c r="B65"/>
      <c r="C65"/>
      <c r="D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2:29">
      <c r="B66"/>
      <c r="C66"/>
      <c r="D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2:29">
      <c r="B67"/>
      <c r="C67"/>
      <c r="D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2:29">
      <c r="B68"/>
      <c r="C68"/>
      <c r="D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2:29">
      <c r="B69"/>
      <c r="C69"/>
      <c r="D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2:29">
      <c r="B70"/>
      <c r="C70"/>
      <c r="D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2:29">
      <c r="B71"/>
      <c r="C71"/>
      <c r="D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2:29">
      <c r="B72"/>
      <c r="C72"/>
      <c r="D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2:29">
      <c r="B73"/>
      <c r="C73"/>
      <c r="D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2:29">
      <c r="B74"/>
      <c r="C74"/>
      <c r="D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2:29">
      <c r="B75"/>
      <c r="C75"/>
      <c r="D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2:29">
      <c r="B76"/>
      <c r="C76"/>
      <c r="D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2:29">
      <c r="B77"/>
      <c r="C77"/>
      <c r="D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2:29">
      <c r="B78"/>
      <c r="C78"/>
      <c r="D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2:29">
      <c r="B79"/>
      <c r="C79"/>
      <c r="D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2:29">
      <c r="B80"/>
      <c r="C80"/>
      <c r="D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2:29">
      <c r="B81"/>
      <c r="C81"/>
      <c r="D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2:29">
      <c r="B82"/>
      <c r="C82"/>
      <c r="D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2:29">
      <c r="B83"/>
      <c r="C83"/>
      <c r="D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2:29">
      <c r="B84"/>
      <c r="C84"/>
      <c r="D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2:29">
      <c r="B85"/>
      <c r="C85"/>
      <c r="D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2:29">
      <c r="B86"/>
      <c r="C86"/>
      <c r="D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2:29">
      <c r="B87"/>
      <c r="C87"/>
      <c r="D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2:29">
      <c r="B88"/>
      <c r="C88"/>
      <c r="D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2:29">
      <c r="B89"/>
      <c r="C89"/>
      <c r="D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2:29">
      <c r="B90"/>
      <c r="C90"/>
      <c r="D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2:29">
      <c r="B91"/>
      <c r="C91"/>
      <c r="D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2:29">
      <c r="B92"/>
      <c r="C92"/>
      <c r="D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2:29">
      <c r="B93"/>
      <c r="C93"/>
      <c r="D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2:29">
      <c r="B94"/>
      <c r="C94"/>
      <c r="D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2:29">
      <c r="B95"/>
      <c r="C95"/>
      <c r="D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2:29">
      <c r="B96"/>
      <c r="C96"/>
      <c r="D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2:29">
      <c r="B97"/>
      <c r="C97"/>
      <c r="D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2:29">
      <c r="B98"/>
      <c r="C98"/>
      <c r="D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2:29">
      <c r="B99"/>
      <c r="C99"/>
      <c r="D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2:29">
      <c r="B100"/>
      <c r="C100"/>
      <c r="D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2:29">
      <c r="B101"/>
      <c r="C101"/>
      <c r="D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2:29">
      <c r="B102"/>
      <c r="C102"/>
      <c r="D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2:29">
      <c r="B103"/>
      <c r="C103"/>
      <c r="D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2:29">
      <c r="B104"/>
      <c r="C104"/>
      <c r="D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2:29">
      <c r="B105"/>
      <c r="C105"/>
      <c r="D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2:29">
      <c r="B106"/>
      <c r="C106"/>
      <c r="D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2:29">
      <c r="B107"/>
      <c r="C107"/>
      <c r="D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2:29">
      <c r="B108"/>
      <c r="C108"/>
      <c r="D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2:29">
      <c r="B109"/>
      <c r="C109"/>
      <c r="D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2:29">
      <c r="B110"/>
      <c r="C110"/>
      <c r="D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2:29">
      <c r="B111"/>
      <c r="C111"/>
      <c r="D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2:29">
      <c r="B112"/>
      <c r="C112"/>
      <c r="D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2:29">
      <c r="B113"/>
      <c r="C113"/>
      <c r="D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2:29">
      <c r="B114"/>
      <c r="C114"/>
      <c r="D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2:29">
      <c r="B115"/>
      <c r="C115"/>
      <c r="D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2:29">
      <c r="B116"/>
      <c r="C116"/>
      <c r="D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2:29">
      <c r="B117"/>
      <c r="C117"/>
      <c r="D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2:29">
      <c r="B118"/>
      <c r="C118"/>
      <c r="D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2:29">
      <c r="B119"/>
      <c r="C119"/>
      <c r="D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2:29">
      <c r="B120"/>
      <c r="C120"/>
      <c r="D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2:29">
      <c r="B121"/>
      <c r="C121"/>
      <c r="D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2:29">
      <c r="B122"/>
      <c r="C122"/>
      <c r="D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2:29">
      <c r="B123"/>
      <c r="C123"/>
      <c r="D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2:29">
      <c r="B124"/>
      <c r="C124"/>
      <c r="D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2:29">
      <c r="B125"/>
      <c r="C125"/>
      <c r="D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2:29">
      <c r="B126"/>
      <c r="C126"/>
      <c r="D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2:29">
      <c r="B127"/>
      <c r="C127"/>
      <c r="D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2:29">
      <c r="B128"/>
      <c r="C128"/>
      <c r="D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2:29">
      <c r="B129"/>
      <c r="C129"/>
      <c r="D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2:29">
      <c r="B130"/>
      <c r="C130"/>
      <c r="D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2:29">
      <c r="B131"/>
      <c r="C131"/>
      <c r="D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2:29">
      <c r="B132"/>
      <c r="C132"/>
      <c r="D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2:29">
      <c r="B133"/>
      <c r="C133"/>
      <c r="D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2:29">
      <c r="B134"/>
      <c r="C134"/>
      <c r="D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2:29">
      <c r="B135"/>
      <c r="C135"/>
      <c r="D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2:29">
      <c r="B136"/>
      <c r="C136"/>
      <c r="D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2:29">
      <c r="B137"/>
      <c r="C137"/>
      <c r="D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2:29">
      <c r="B138"/>
      <c r="C138"/>
      <c r="D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2:29">
      <c r="B139"/>
      <c r="C139"/>
      <c r="D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2:29">
      <c r="B140"/>
      <c r="C140"/>
      <c r="D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2:29">
      <c r="B141"/>
      <c r="C141"/>
      <c r="D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2:29">
      <c r="B142"/>
      <c r="C142"/>
      <c r="D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2:29">
      <c r="B143"/>
      <c r="C143"/>
      <c r="D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2:29">
      <c r="B144"/>
      <c r="C144"/>
      <c r="D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</row>
    <row r="145" spans="2:29">
      <c r="B145"/>
      <c r="C145"/>
      <c r="D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</row>
    <row r="146" spans="2:29">
      <c r="B146"/>
      <c r="C146"/>
      <c r="D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</row>
    <row r="147" spans="2:29">
      <c r="B147"/>
      <c r="C147"/>
      <c r="D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</row>
    <row r="148" spans="2:29">
      <c r="B148"/>
      <c r="C148"/>
      <c r="D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</row>
    <row r="149" spans="2:29">
      <c r="B149"/>
      <c r="C149"/>
      <c r="D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</row>
    <row r="150" spans="2:29">
      <c r="B150"/>
      <c r="C150"/>
      <c r="D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</row>
    <row r="151" spans="2:29">
      <c r="B151"/>
      <c r="C151"/>
      <c r="D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</row>
    <row r="152" spans="2:29">
      <c r="B152"/>
      <c r="C152"/>
      <c r="D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</row>
    <row r="153" spans="2:29">
      <c r="B153"/>
      <c r="C153"/>
      <c r="D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</row>
    <row r="154" spans="2:29">
      <c r="B154"/>
      <c r="C154"/>
      <c r="D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</row>
    <row r="155" spans="2:29">
      <c r="B155"/>
      <c r="C155"/>
      <c r="D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</row>
    <row r="156" spans="2:29">
      <c r="B156"/>
      <c r="C156"/>
      <c r="D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2:29">
      <c r="B157"/>
      <c r="C157"/>
      <c r="D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</row>
    <row r="158" spans="2:29">
      <c r="B158"/>
      <c r="C158"/>
      <c r="D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</row>
    <row r="159" spans="2:29">
      <c r="B159"/>
      <c r="C159"/>
      <c r="D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</row>
    <row r="160" spans="2:29">
      <c r="B160"/>
      <c r="C160"/>
      <c r="D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</row>
    <row r="161" spans="2:29">
      <c r="B161"/>
      <c r="C161"/>
      <c r="D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</row>
    <row r="162" spans="2:29">
      <c r="B162"/>
      <c r="C162"/>
      <c r="D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</row>
    <row r="163" spans="2:29">
      <c r="B163"/>
      <c r="C163"/>
      <c r="D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</row>
    <row r="164" spans="2:29">
      <c r="B164"/>
      <c r="C164"/>
      <c r="D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</row>
    <row r="165" spans="2:29">
      <c r="B165"/>
      <c r="C165"/>
      <c r="D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</row>
    <row r="166" spans="2:29">
      <c r="B166"/>
      <c r="C166"/>
      <c r="D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</row>
    <row r="167" spans="2:29">
      <c r="B167"/>
      <c r="C167"/>
      <c r="D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</row>
    <row r="168" spans="2:29">
      <c r="B168"/>
      <c r="C168"/>
      <c r="D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</row>
    <row r="169" spans="2:29">
      <c r="B169"/>
      <c r="C169"/>
      <c r="D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</row>
    <row r="170" spans="2:29">
      <c r="B170"/>
      <c r="C170"/>
      <c r="D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</row>
    <row r="171" spans="2:29">
      <c r="B171"/>
      <c r="C171"/>
      <c r="D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</row>
    <row r="172" spans="2:29">
      <c r="B172"/>
      <c r="C172"/>
      <c r="D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</row>
    <row r="173" spans="2:29">
      <c r="B173"/>
      <c r="C173"/>
      <c r="D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</row>
    <row r="174" spans="2:29">
      <c r="B174"/>
      <c r="C174"/>
      <c r="D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</row>
    <row r="175" spans="2:29">
      <c r="B175"/>
      <c r="C175"/>
      <c r="D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</row>
    <row r="176" spans="2:29">
      <c r="B176"/>
      <c r="C176"/>
      <c r="D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</row>
    <row r="177" spans="2:29">
      <c r="B177"/>
      <c r="C177"/>
      <c r="D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</row>
    <row r="178" spans="2:29">
      <c r="B178"/>
      <c r="C178"/>
      <c r="D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</row>
    <row r="179" spans="2:29">
      <c r="B179"/>
      <c r="C179"/>
      <c r="D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</row>
    <row r="180" spans="2:29">
      <c r="B180"/>
      <c r="C180"/>
      <c r="D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</row>
    <row r="181" spans="2:29">
      <c r="B181"/>
      <c r="C181"/>
      <c r="D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</row>
    <row r="182" spans="2:29">
      <c r="B182"/>
      <c r="C182"/>
      <c r="D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</row>
    <row r="183" spans="2:29">
      <c r="B183"/>
      <c r="C183"/>
      <c r="D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</row>
    <row r="184" spans="2:29">
      <c r="B184"/>
      <c r="C184"/>
      <c r="D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</row>
    <row r="185" spans="2:29">
      <c r="B185"/>
      <c r="C185"/>
      <c r="D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</row>
    <row r="186" spans="2:29">
      <c r="B186"/>
      <c r="C186"/>
      <c r="D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</row>
    <row r="187" spans="2:29">
      <c r="B187"/>
      <c r="C187"/>
      <c r="D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</row>
    <row r="188" spans="2:29">
      <c r="B188"/>
      <c r="C188"/>
      <c r="D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</row>
    <row r="189" spans="2:29">
      <c r="B189"/>
      <c r="C189"/>
      <c r="D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</row>
    <row r="190" spans="2:29">
      <c r="B190"/>
      <c r="C190"/>
      <c r="D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</row>
    <row r="191" spans="2:29">
      <c r="B191"/>
      <c r="C191"/>
      <c r="D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</row>
    <row r="192" spans="2:29">
      <c r="B192"/>
      <c r="C192"/>
      <c r="D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</row>
    <row r="193" spans="2:29">
      <c r="B193"/>
      <c r="C193"/>
      <c r="D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</row>
    <row r="194" spans="2:29">
      <c r="B194"/>
      <c r="C194"/>
      <c r="D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</row>
    <row r="195" spans="2:29">
      <c r="B195"/>
      <c r="C195"/>
      <c r="D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</row>
    <row r="196" spans="2:29">
      <c r="B196"/>
      <c r="C196"/>
      <c r="D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</row>
    <row r="197" spans="2:29">
      <c r="B197"/>
      <c r="C197"/>
      <c r="D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</row>
    <row r="198" spans="2:29">
      <c r="B198"/>
      <c r="C198"/>
      <c r="D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</row>
    <row r="199" spans="2:29">
      <c r="B199"/>
      <c r="C199"/>
      <c r="D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</row>
    <row r="200" spans="2:29">
      <c r="B200"/>
      <c r="C200"/>
      <c r="D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</row>
    <row r="201" spans="2:29">
      <c r="B201"/>
      <c r="C201"/>
      <c r="D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</row>
    <row r="202" spans="2:29">
      <c r="B202"/>
      <c r="C202"/>
      <c r="D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</row>
    <row r="203" spans="2:29">
      <c r="B203"/>
      <c r="C203"/>
      <c r="D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</row>
    <row r="204" spans="2:29">
      <c r="B204"/>
      <c r="C204"/>
      <c r="D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</row>
    <row r="205" spans="2:29">
      <c r="B205"/>
      <c r="C205"/>
      <c r="D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</row>
    <row r="206" spans="2:29">
      <c r="B206"/>
      <c r="C206"/>
      <c r="D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</row>
    <row r="207" spans="2:29">
      <c r="B207"/>
      <c r="C207"/>
      <c r="D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</row>
    <row r="208" spans="2:29">
      <c r="B208"/>
      <c r="C208"/>
      <c r="D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</row>
    <row r="209" spans="2:29">
      <c r="B209"/>
      <c r="C209"/>
      <c r="D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</row>
    <row r="210" spans="2:29">
      <c r="B210"/>
      <c r="C210"/>
      <c r="D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</row>
    <row r="211" spans="2:29">
      <c r="B211"/>
      <c r="C211"/>
      <c r="D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</row>
    <row r="212" spans="2:29">
      <c r="B212"/>
      <c r="C212"/>
      <c r="D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</row>
    <row r="213" spans="2:29">
      <c r="B213"/>
      <c r="C213"/>
      <c r="D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</row>
    <row r="214" spans="2:29">
      <c r="B214"/>
      <c r="C214"/>
      <c r="D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</row>
    <row r="215" spans="2:29">
      <c r="B215"/>
      <c r="C215"/>
      <c r="D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</row>
    <row r="216" spans="2:29">
      <c r="B216"/>
      <c r="C216"/>
      <c r="D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</row>
    <row r="217" spans="2:29">
      <c r="B217"/>
      <c r="C217"/>
      <c r="D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</row>
    <row r="218" spans="2:29">
      <c r="B218"/>
      <c r="C218"/>
      <c r="D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</row>
    <row r="219" spans="2:29">
      <c r="B219"/>
      <c r="C219"/>
      <c r="D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</row>
    <row r="220" spans="2:29">
      <c r="B220"/>
      <c r="C220"/>
      <c r="D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</row>
    <row r="221" spans="2:29">
      <c r="B221"/>
      <c r="C221"/>
      <c r="D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</row>
    <row r="222" spans="2:29">
      <c r="B222"/>
      <c r="C222"/>
      <c r="D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</row>
    <row r="223" spans="2:29">
      <c r="B223"/>
      <c r="C223"/>
      <c r="D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</row>
    <row r="224" spans="2:29">
      <c r="B224"/>
      <c r="C224"/>
      <c r="D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</row>
    <row r="225" spans="2:29">
      <c r="B225"/>
      <c r="C225"/>
      <c r="D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</row>
    <row r="226" spans="2:29">
      <c r="B226"/>
      <c r="C226"/>
      <c r="D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</row>
    <row r="227" spans="2:29">
      <c r="B227"/>
      <c r="C227"/>
      <c r="D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</row>
    <row r="228" spans="2:29">
      <c r="B228"/>
      <c r="C228"/>
      <c r="D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</row>
    <row r="229" spans="2:29">
      <c r="B229"/>
      <c r="C229"/>
      <c r="D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</row>
    <row r="230" spans="2:29">
      <c r="B230"/>
      <c r="C230"/>
      <c r="D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</row>
    <row r="231" spans="2:29">
      <c r="B231"/>
      <c r="C231"/>
      <c r="D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</row>
    <row r="232" spans="2:29">
      <c r="B232"/>
      <c r="C232"/>
      <c r="D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</row>
    <row r="233" spans="2:29">
      <c r="B233"/>
      <c r="C233"/>
      <c r="D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</row>
    <row r="234" spans="2:29">
      <c r="B234"/>
      <c r="C234"/>
      <c r="D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</row>
    <row r="235" spans="2:29">
      <c r="B235"/>
      <c r="C235"/>
      <c r="D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</row>
    <row r="236" spans="2:29">
      <c r="B236"/>
      <c r="C236"/>
      <c r="D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</row>
    <row r="237" spans="2:29">
      <c r="B237"/>
      <c r="C237"/>
      <c r="D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</row>
    <row r="238" spans="2:29">
      <c r="B238"/>
      <c r="C238"/>
      <c r="D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</row>
    <row r="239" spans="2:29">
      <c r="B239"/>
      <c r="C239"/>
      <c r="D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</row>
    <row r="240" spans="2:29">
      <c r="B240"/>
      <c r="C240"/>
      <c r="D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</row>
    <row r="241" spans="2:29">
      <c r="B241"/>
      <c r="C241"/>
      <c r="D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</row>
    <row r="242" spans="2:29">
      <c r="B242"/>
      <c r="C242"/>
      <c r="D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</row>
    <row r="243" spans="2:29">
      <c r="B243"/>
      <c r="C243"/>
      <c r="D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</row>
    <row r="244" spans="2:29">
      <c r="B244"/>
      <c r="C244"/>
      <c r="D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</row>
    <row r="245" spans="2:29">
      <c r="B245"/>
      <c r="C245"/>
      <c r="D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</row>
    <row r="246" spans="2:29">
      <c r="B246"/>
      <c r="C246"/>
      <c r="D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</row>
    <row r="247" spans="2:29">
      <c r="B247"/>
      <c r="C247"/>
      <c r="D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</row>
    <row r="248" spans="2:29">
      <c r="B248"/>
      <c r="C248"/>
      <c r="D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</row>
    <row r="249" spans="2:29">
      <c r="B249"/>
      <c r="C249"/>
      <c r="D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</row>
    <row r="250" spans="2:29">
      <c r="B250"/>
      <c r="C250"/>
      <c r="D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</row>
    <row r="251" spans="2:29">
      <c r="B251"/>
      <c r="C251"/>
      <c r="D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</row>
    <row r="252" spans="2:29">
      <c r="B252"/>
      <c r="C252"/>
      <c r="D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</row>
    <row r="253" spans="2:29">
      <c r="B253"/>
      <c r="C253"/>
      <c r="D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</row>
    <row r="254" spans="2:29">
      <c r="B254"/>
      <c r="C254"/>
      <c r="D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</row>
    <row r="255" spans="2:29">
      <c r="B255"/>
      <c r="C255"/>
      <c r="D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</row>
    <row r="256" spans="2:29">
      <c r="B256"/>
      <c r="C256"/>
      <c r="D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</row>
    <row r="257" spans="2:29">
      <c r="B257"/>
      <c r="C257"/>
      <c r="D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</row>
    <row r="258" spans="2:29">
      <c r="B258"/>
      <c r="C258"/>
      <c r="D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</row>
    <row r="259" spans="2:29">
      <c r="B259"/>
      <c r="C259"/>
      <c r="D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</row>
    <row r="260" spans="2:29">
      <c r="B260"/>
      <c r="C260"/>
      <c r="D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</row>
    <row r="261" spans="2:29">
      <c r="B261"/>
      <c r="C261"/>
      <c r="D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</row>
    <row r="262" spans="2:29">
      <c r="B262"/>
      <c r="C262"/>
      <c r="D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</row>
    <row r="263" spans="2:29">
      <c r="B263"/>
      <c r="C263"/>
      <c r="D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</row>
    <row r="264" spans="2:29">
      <c r="B264"/>
      <c r="C264"/>
      <c r="D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</row>
    <row r="265" spans="2:29">
      <c r="B265"/>
      <c r="C265"/>
      <c r="D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</row>
    <row r="266" spans="2:29">
      <c r="B266"/>
      <c r="C266"/>
      <c r="D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</row>
    <row r="267" spans="2:29">
      <c r="B267"/>
      <c r="C267"/>
      <c r="D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</row>
    <row r="268" spans="2:29">
      <c r="B268"/>
      <c r="C268"/>
      <c r="D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</row>
    <row r="269" spans="2:29">
      <c r="B269"/>
      <c r="C269"/>
      <c r="D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</row>
    <row r="270" spans="2:29">
      <c r="B270"/>
      <c r="C270"/>
      <c r="D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</row>
    <row r="271" spans="2:29">
      <c r="B271"/>
      <c r="C271"/>
      <c r="D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</row>
    <row r="272" spans="2:29">
      <c r="B272"/>
      <c r="C272"/>
      <c r="D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</row>
    <row r="273" spans="2:29">
      <c r="B273"/>
      <c r="C273"/>
      <c r="D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</row>
    <row r="274" spans="2:29">
      <c r="B274"/>
      <c r="C274"/>
      <c r="D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</row>
    <row r="275" spans="2:29">
      <c r="B275"/>
      <c r="C275"/>
      <c r="D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</row>
    <row r="276" spans="2:29">
      <c r="B276"/>
      <c r="C276"/>
      <c r="D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</row>
    <row r="277" spans="2:29">
      <c r="B277"/>
      <c r="C277"/>
      <c r="D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</row>
    <row r="278" spans="2:29">
      <c r="B278"/>
      <c r="C278"/>
      <c r="D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</row>
    <row r="279" spans="2:29">
      <c r="B279"/>
      <c r="C279"/>
      <c r="D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</row>
    <row r="280" spans="2:29">
      <c r="B280"/>
      <c r="C280"/>
      <c r="D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</row>
    <row r="281" spans="2:29">
      <c r="B281"/>
      <c r="C281"/>
      <c r="D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</row>
    <row r="282" spans="2:29">
      <c r="B282"/>
      <c r="C282"/>
      <c r="D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</row>
    <row r="283" spans="2:29">
      <c r="B283"/>
      <c r="C283"/>
      <c r="D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</row>
    <row r="284" spans="2:29">
      <c r="B284"/>
      <c r="C284"/>
      <c r="D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</row>
    <row r="285" spans="2:29">
      <c r="B285"/>
      <c r="C285"/>
      <c r="D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</row>
    <row r="286" spans="2:29">
      <c r="B286"/>
      <c r="C286"/>
      <c r="D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</row>
    <row r="287" spans="2:29">
      <c r="B287"/>
      <c r="C287"/>
      <c r="D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</row>
    <row r="288" spans="2:29">
      <c r="B288"/>
      <c r="C288"/>
      <c r="D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</row>
    <row r="289" spans="2:29">
      <c r="B289"/>
      <c r="C289"/>
      <c r="D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</row>
    <row r="290" spans="2:29">
      <c r="B290"/>
      <c r="C290"/>
      <c r="D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</row>
    <row r="291" spans="2:29">
      <c r="B291"/>
      <c r="C291"/>
      <c r="D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</row>
    <row r="292" spans="2:29">
      <c r="B292"/>
      <c r="C292"/>
      <c r="D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</row>
    <row r="293" spans="2:29">
      <c r="B293"/>
      <c r="C293"/>
      <c r="D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</row>
    <row r="294" spans="2:29">
      <c r="B294"/>
      <c r="C294"/>
      <c r="D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</row>
    <row r="295" spans="2:29">
      <c r="B295"/>
      <c r="C295"/>
      <c r="D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</row>
    <row r="296" spans="2:29">
      <c r="B296"/>
      <c r="C296"/>
      <c r="D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</row>
    <row r="297" spans="2:29">
      <c r="B297"/>
      <c r="C297"/>
      <c r="D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</row>
    <row r="298" spans="2:29">
      <c r="B298"/>
      <c r="C298"/>
      <c r="D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</row>
    <row r="299" spans="2:29">
      <c r="B299"/>
      <c r="C299"/>
      <c r="D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</row>
    <row r="300" spans="2:29">
      <c r="B300"/>
      <c r="C300"/>
      <c r="D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</row>
  </sheetData>
  <mergeCells count="4">
    <mergeCell ref="N2:R2"/>
    <mergeCell ref="S2:Y2"/>
    <mergeCell ref="B2:G2"/>
    <mergeCell ref="H2:M2"/>
  </mergeCells>
  <phoneticPr fontId="1" type="noConversion"/>
  <hyperlinks>
    <hyperlink ref="A4" display="Select"/>
    <hyperlink ref="AD4" display="Setup"/>
    <hyperlink ref="A5" display="Select"/>
    <hyperlink ref="AD5" display="Setup"/>
    <hyperlink ref="A6" display="Select"/>
    <hyperlink ref="AD6" display="Setup"/>
    <hyperlink ref="A7" display="Select"/>
    <hyperlink ref="AD7" display="Setup"/>
    <hyperlink ref="A8" display="Select"/>
    <hyperlink ref="AD8" display="Setup"/>
    <hyperlink ref="A9" display="Select"/>
    <hyperlink ref="AD9" display="Setup"/>
    <hyperlink ref="A10" display="Select"/>
    <hyperlink ref="AD10" display="Setup"/>
    <hyperlink ref="A11" display="Select"/>
    <hyperlink ref="AD11" display="Setup"/>
    <hyperlink ref="A12" display="Select"/>
    <hyperlink ref="AD12" display="Setup"/>
    <hyperlink ref="A13" display="Select"/>
    <hyperlink ref="AD13" display="Setup"/>
    <hyperlink ref="A14" display="Select"/>
    <hyperlink ref="AD14" display="Setup"/>
    <hyperlink ref="A15" display="Select"/>
    <hyperlink ref="AD15" display="Setup"/>
  </hyperlink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B1:K26"/>
  <sheetViews>
    <sheetView showGridLines="0" zoomScale="130" zoomScaleNormal="130" workbookViewId="0">
      <selection activeCell="D32" sqref="D32"/>
    </sheetView>
  </sheetViews>
  <sheetFormatPr defaultRowHeight="14.25"/>
  <cols>
    <col min="1" max="1" width="1.25" customWidth="1"/>
    <col min="2" max="2" width="11.375" customWidth="1"/>
    <col min="3" max="3" width="15.375" customWidth="1"/>
    <col min="4" max="4" width="13.375" customWidth="1"/>
    <col min="5" max="5" width="10.875" customWidth="1"/>
    <col min="6" max="6" width="13" customWidth="1"/>
    <col min="7" max="7" width="15.75" customWidth="1"/>
  </cols>
  <sheetData>
    <row r="1" spans="3:11">
      <c r="F1" s="13" t="s">
        <v>22</v>
      </c>
      <c r="G1" s="13" t="s">
        <v>30</v>
      </c>
      <c r="H1" s="13" t="s">
        <v>31</v>
      </c>
      <c r="I1" s="13" t="s">
        <v>23</v>
      </c>
      <c r="J1" s="13" t="s">
        <v>12</v>
      </c>
    </row>
    <row r="2" spans="3:11">
      <c r="C2" s="200" t="s">
        <v>179</v>
      </c>
      <c r="D2" s="193"/>
      <c r="E2">
        <v>8804</v>
      </c>
      <c r="G2" s="1" t="s">
        <v>32</v>
      </c>
    </row>
    <row r="3" spans="3:11">
      <c r="C3" s="200" t="s">
        <v>35</v>
      </c>
      <c r="D3" s="193"/>
      <c r="E3">
        <v>5711</v>
      </c>
    </row>
    <row r="4" spans="3:11">
      <c r="C4" s="200" t="s">
        <v>25</v>
      </c>
      <c r="D4" s="193"/>
    </row>
    <row r="5" spans="3:11">
      <c r="C5" s="200" t="s">
        <v>26</v>
      </c>
      <c r="D5" s="193"/>
    </row>
    <row r="6" spans="3:11">
      <c r="C6" s="200" t="s">
        <v>28</v>
      </c>
      <c r="D6" s="193"/>
    </row>
    <row r="7" spans="3:11">
      <c r="C7" s="200" t="s">
        <v>27</v>
      </c>
      <c r="D7" s="193"/>
    </row>
    <row r="8" spans="3:11">
      <c r="C8" s="200" t="s">
        <v>29</v>
      </c>
      <c r="D8" s="193"/>
      <c r="K8" s="1" t="s">
        <v>41</v>
      </c>
    </row>
    <row r="9" spans="3:11">
      <c r="C9" s="200" t="s">
        <v>20</v>
      </c>
      <c r="D9" s="193"/>
      <c r="K9" s="1" t="s">
        <v>42</v>
      </c>
    </row>
    <row r="10" spans="3:11">
      <c r="C10" s="200" t="s">
        <v>9</v>
      </c>
      <c r="D10" s="193"/>
      <c r="K10" s="1" t="s">
        <v>43</v>
      </c>
    </row>
    <row r="11" spans="3:11">
      <c r="K11" s="1" t="s">
        <v>24</v>
      </c>
    </row>
    <row r="16" spans="3:11">
      <c r="C16" s="14" t="s">
        <v>33</v>
      </c>
      <c r="D16" s="14" t="s">
        <v>34</v>
      </c>
      <c r="E16" s="1"/>
    </row>
    <row r="17" spans="2:8">
      <c r="C17">
        <v>333</v>
      </c>
      <c r="D17">
        <v>222</v>
      </c>
    </row>
    <row r="18" spans="2:8">
      <c r="B18" s="3"/>
      <c r="C18" s="15" t="s">
        <v>36</v>
      </c>
      <c r="D18" s="15" t="s">
        <v>37</v>
      </c>
      <c r="E18" s="15" t="s">
        <v>38</v>
      </c>
      <c r="F18" s="15" t="s">
        <v>39</v>
      </c>
      <c r="G18" s="15" t="s">
        <v>40</v>
      </c>
      <c r="H18" s="15" t="s">
        <v>0</v>
      </c>
    </row>
    <row r="19" spans="2:8">
      <c r="B19" s="16">
        <v>43737</v>
      </c>
      <c r="C19" s="3"/>
      <c r="D19" s="3"/>
      <c r="E19" s="3"/>
      <c r="F19" s="3"/>
      <c r="G19" s="3"/>
      <c r="H19" s="3"/>
    </row>
    <row r="20" spans="2:8">
      <c r="B20" s="16">
        <v>43737</v>
      </c>
      <c r="C20" s="3"/>
      <c r="D20" s="3"/>
      <c r="E20" s="3"/>
      <c r="F20" s="3"/>
      <c r="G20" s="3"/>
      <c r="H20" s="3"/>
    </row>
    <row r="21" spans="2:8">
      <c r="B21" s="17"/>
      <c r="C21" s="3"/>
      <c r="D21" s="3"/>
      <c r="E21" s="3"/>
      <c r="F21" s="3"/>
      <c r="G21" s="3"/>
      <c r="H21" s="3"/>
    </row>
    <row r="22" spans="2:8">
      <c r="B22" s="17"/>
      <c r="C22" s="3"/>
      <c r="D22" s="3"/>
      <c r="E22" s="3"/>
      <c r="F22" s="3"/>
      <c r="G22" s="3"/>
      <c r="H22" s="3"/>
    </row>
    <row r="23" spans="2:8">
      <c r="B23" s="17"/>
      <c r="C23" s="3"/>
      <c r="D23" s="3"/>
      <c r="E23" s="3"/>
      <c r="F23" s="3"/>
      <c r="G23" s="3"/>
      <c r="H23" s="3"/>
    </row>
    <row r="24" spans="2:8">
      <c r="B24" s="17"/>
      <c r="C24" s="3"/>
      <c r="D24" s="3"/>
      <c r="E24" s="3"/>
      <c r="F24" s="3"/>
      <c r="G24" s="3"/>
      <c r="H24" s="3"/>
    </row>
    <row r="25" spans="2:8">
      <c r="B25" s="17"/>
      <c r="C25" s="3"/>
      <c r="D25" s="3"/>
      <c r="E25" s="3"/>
      <c r="F25" s="3"/>
      <c r="G25" s="3"/>
      <c r="H25" s="3"/>
    </row>
    <row r="26" spans="2:8">
      <c r="B26" s="17"/>
      <c r="C26" s="3"/>
      <c r="D26" s="3"/>
      <c r="E26" s="3"/>
      <c r="F26" s="3"/>
      <c r="G26" s="3"/>
      <c r="H26" s="3"/>
    </row>
  </sheetData>
  <mergeCells count="9">
    <mergeCell ref="C8:D8"/>
    <mergeCell ref="C9:D9"/>
    <mergeCell ref="C10:D10"/>
    <mergeCell ref="C2:D2"/>
    <mergeCell ref="C3:D3"/>
    <mergeCell ref="C4:D4"/>
    <mergeCell ref="C5:D5"/>
    <mergeCell ref="C6:D6"/>
    <mergeCell ref="C7:D7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C42" sqref="C42"/>
    </sheetView>
  </sheetViews>
  <sheetFormatPr defaultRowHeight="14.25"/>
  <sheetData>
    <row r="1" spans="1:1">
      <c r="A1" s="1" t="s">
        <v>44</v>
      </c>
    </row>
    <row r="2" spans="1:1">
      <c r="A2" s="1" t="s">
        <v>45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U777"/>
  <sheetViews>
    <sheetView showGridLines="0" tabSelected="1" workbookViewId="0">
      <selection activeCell="I1" sqref="I1"/>
    </sheetView>
  </sheetViews>
  <sheetFormatPr defaultRowHeight="14.25"/>
  <cols>
    <col min="1" max="1" width="9.125" customWidth="1"/>
  </cols>
  <sheetData>
    <row r="1" spans="1:21" ht="22.5" customHeight="1" thickBot="1">
      <c r="A1" s="150"/>
      <c r="B1" s="151" t="s">
        <v>1217</v>
      </c>
      <c r="C1" s="114">
        <v>3105</v>
      </c>
      <c r="D1" s="239" t="s">
        <v>1238</v>
      </c>
      <c r="H1" s="152" t="s">
        <v>1221</v>
      </c>
      <c r="I1" s="114">
        <v>3116</v>
      </c>
      <c r="J1" s="238" t="s">
        <v>1239</v>
      </c>
      <c r="N1" s="151" t="s">
        <v>1218</v>
      </c>
      <c r="O1" s="151">
        <v>12</v>
      </c>
      <c r="P1" s="151"/>
      <c r="Q1" s="151" t="s">
        <v>1219</v>
      </c>
      <c r="R1" s="151">
        <v>1</v>
      </c>
      <c r="T1" s="151" t="s">
        <v>1220</v>
      </c>
      <c r="U1" s="114" t="s">
        <v>1240</v>
      </c>
    </row>
    <row r="2" spans="1:21">
      <c r="B2" s="102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4"/>
    </row>
    <row r="3" spans="1:21">
      <c r="B3" s="105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6"/>
    </row>
    <row r="4" spans="1:21">
      <c r="B4" s="105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6"/>
    </row>
    <row r="5" spans="1:21">
      <c r="B5" s="105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6"/>
    </row>
    <row r="6" spans="1:21">
      <c r="A6" s="114" t="s">
        <v>421</v>
      </c>
      <c r="B6" s="105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6"/>
    </row>
    <row r="7" spans="1:21">
      <c r="A7">
        <v>0.69820488369395661</v>
      </c>
      <c r="B7" s="105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6"/>
    </row>
    <row r="8" spans="1:21">
      <c r="A8" s="114" t="s">
        <v>422</v>
      </c>
      <c r="B8" s="105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6"/>
    </row>
    <row r="9" spans="1:21">
      <c r="A9">
        <v>0.37219378470122066</v>
      </c>
      <c r="B9" s="105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6"/>
    </row>
    <row r="10" spans="1:21">
      <c r="B10" s="105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6"/>
    </row>
    <row r="11" spans="1:21">
      <c r="B11" s="105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6"/>
    </row>
    <row r="12" spans="1:21">
      <c r="B12" s="10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6"/>
    </row>
    <row r="13" spans="1:21">
      <c r="B13" s="105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6"/>
    </row>
    <row r="14" spans="1:21">
      <c r="B14" s="105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6"/>
    </row>
    <row r="15" spans="1:21">
      <c r="B15" s="10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6"/>
    </row>
    <row r="16" spans="1:21">
      <c r="B16" s="10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6"/>
    </row>
    <row r="17" spans="2:20">
      <c r="B17" s="105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6"/>
    </row>
    <row r="18" spans="2:20">
      <c r="B18" s="105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6"/>
    </row>
    <row r="19" spans="2:20">
      <c r="B19" s="105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6"/>
    </row>
    <row r="20" spans="2:20">
      <c r="B20" s="105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6"/>
    </row>
    <row r="21" spans="2:20">
      <c r="B21" s="105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6"/>
    </row>
    <row r="22" spans="2:20">
      <c r="B22" s="105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6"/>
    </row>
    <row r="23" spans="2:20">
      <c r="B23" s="105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6"/>
    </row>
    <row r="24" spans="2:20">
      <c r="B24" s="105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6"/>
    </row>
    <row r="25" spans="2:20">
      <c r="B25" s="105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6"/>
    </row>
    <row r="26" spans="2:20">
      <c r="B26" s="105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6"/>
    </row>
    <row r="27" spans="2:20">
      <c r="B27" s="105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6"/>
    </row>
    <row r="28" spans="2:20">
      <c r="B28" s="105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6"/>
    </row>
    <row r="29" spans="2:20">
      <c r="B29" s="105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6"/>
    </row>
    <row r="30" spans="2:20">
      <c r="B30" s="105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6"/>
    </row>
    <row r="31" spans="2:20">
      <c r="B31" s="105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6"/>
    </row>
    <row r="32" spans="2:20">
      <c r="B32" s="105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6"/>
    </row>
    <row r="33" spans="1:20">
      <c r="B33" s="105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6"/>
    </row>
    <row r="34" spans="1:20">
      <c r="B34" s="105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6"/>
    </row>
    <row r="35" spans="1:20">
      <c r="B35" s="105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6"/>
    </row>
    <row r="36" spans="1:20">
      <c r="B36" s="105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6"/>
    </row>
    <row r="37" spans="1:20">
      <c r="B37" s="105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6"/>
    </row>
    <row r="38" spans="1:20" ht="15" thickBot="1">
      <c r="B38" s="107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9"/>
    </row>
    <row r="40" spans="1:20">
      <c r="A40" s="111" t="s">
        <v>321</v>
      </c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</row>
    <row r="41" spans="1:20">
      <c r="A41" s="114" t="s">
        <v>315</v>
      </c>
      <c r="B41" s="114" t="s">
        <v>1234</v>
      </c>
      <c r="C41" s="114" t="s">
        <v>1235</v>
      </c>
      <c r="D41" s="114" t="s">
        <v>1236</v>
      </c>
      <c r="E41" s="114" t="s">
        <v>1237</v>
      </c>
      <c r="F41" s="114" t="s">
        <v>316</v>
      </c>
      <c r="G41" s="114" t="s">
        <v>317</v>
      </c>
      <c r="H41" s="114" t="s">
        <v>318</v>
      </c>
      <c r="I41" s="114" t="s">
        <v>319</v>
      </c>
      <c r="J41" s="114" t="s">
        <v>320</v>
      </c>
      <c r="L41" s="114" t="s">
        <v>322</v>
      </c>
      <c r="M41" s="114" t="s">
        <v>323</v>
      </c>
      <c r="N41" s="114" t="s">
        <v>324</v>
      </c>
      <c r="O41" s="114" t="s">
        <v>325</v>
      </c>
    </row>
    <row r="42" spans="1:20">
      <c r="A42" s="19">
        <v>43802</v>
      </c>
      <c r="B42">
        <v>997</v>
      </c>
      <c r="C42">
        <v>1012</v>
      </c>
      <c r="D42">
        <v>1714</v>
      </c>
      <c r="E42">
        <v>1709</v>
      </c>
      <c r="F42">
        <v>0.59215915740198899</v>
      </c>
      <c r="G42">
        <v>0.56656566741268199</v>
      </c>
      <c r="H42">
        <v>1.1065431787337101E-2</v>
      </c>
      <c r="I42">
        <v>2.3129228466796099</v>
      </c>
      <c r="J42">
        <v>4.32</v>
      </c>
      <c r="L42">
        <v>0.57763109920001909</v>
      </c>
      <c r="M42">
        <v>0.5555002356253449</v>
      </c>
      <c r="N42">
        <v>0.58869653098735619</v>
      </c>
      <c r="O42">
        <v>0.5444348038380078</v>
      </c>
    </row>
    <row r="43" spans="1:20">
      <c r="A43" s="19">
        <v>43801</v>
      </c>
      <c r="B43">
        <v>1003</v>
      </c>
      <c r="C43">
        <v>1019</v>
      </c>
      <c r="D43">
        <v>1723</v>
      </c>
      <c r="E43">
        <v>1726</v>
      </c>
      <c r="F43">
        <v>0.59038238702201595</v>
      </c>
      <c r="G43">
        <v>0.56625191132706099</v>
      </c>
      <c r="H43">
        <v>1.0661534944880599E-2</v>
      </c>
      <c r="I43">
        <v>2.2633209776741898</v>
      </c>
      <c r="J43">
        <v>4.09</v>
      </c>
      <c r="L43">
        <v>0.57691344627194163</v>
      </c>
      <c r="M43">
        <v>0.55559037638218034</v>
      </c>
      <c r="N43">
        <v>0.58757498121682217</v>
      </c>
      <c r="O43">
        <v>0.5449288414372998</v>
      </c>
    </row>
    <row r="44" spans="1:20">
      <c r="A44" s="19">
        <v>43798</v>
      </c>
      <c r="B44">
        <v>999</v>
      </c>
      <c r="C44">
        <v>1003</v>
      </c>
      <c r="D44">
        <v>1738</v>
      </c>
      <c r="E44">
        <v>1723</v>
      </c>
      <c r="F44">
        <v>0.58212420197330195</v>
      </c>
      <c r="G44">
        <v>0.56600054276733403</v>
      </c>
      <c r="H44">
        <v>1.0305960258394101E-2</v>
      </c>
      <c r="I44">
        <v>1.56449848453816</v>
      </c>
      <c r="J44">
        <v>2.77</v>
      </c>
      <c r="L44">
        <v>0.57630650302572817</v>
      </c>
      <c r="M44">
        <v>0.55569458250893988</v>
      </c>
      <c r="N44">
        <v>0.5866124632841222</v>
      </c>
      <c r="O44">
        <v>0.54538862225054585</v>
      </c>
    </row>
    <row r="45" spans="1:20">
      <c r="A45" s="19">
        <v>43797</v>
      </c>
      <c r="B45">
        <v>993</v>
      </c>
      <c r="C45">
        <v>993</v>
      </c>
      <c r="D45">
        <v>1731</v>
      </c>
      <c r="E45">
        <v>1714</v>
      </c>
      <c r="F45">
        <v>0.57934655775962596</v>
      </c>
      <c r="G45">
        <v>0.56563575729578797</v>
      </c>
      <c r="H45">
        <v>1.02125671686002E-2</v>
      </c>
      <c r="I45">
        <v>1.3425420109836099</v>
      </c>
      <c r="J45">
        <v>2.37</v>
      </c>
      <c r="L45">
        <v>0.57584832446438816</v>
      </c>
      <c r="M45">
        <v>0.55542319012718777</v>
      </c>
      <c r="N45">
        <v>0.58606089163298836</v>
      </c>
      <c r="O45">
        <v>0.54521062295858758</v>
      </c>
    </row>
    <row r="46" spans="1:20">
      <c r="A46" s="19">
        <v>43796</v>
      </c>
      <c r="B46">
        <v>990</v>
      </c>
      <c r="C46">
        <v>989</v>
      </c>
      <c r="D46">
        <v>1729</v>
      </c>
      <c r="E46">
        <v>1722</v>
      </c>
      <c r="F46">
        <v>0.574332171893147</v>
      </c>
      <c r="G46">
        <v>0.56523641489571497</v>
      </c>
      <c r="H46">
        <v>1.0254122211559901E-2</v>
      </c>
      <c r="I46">
        <v>0.88703419071585998</v>
      </c>
      <c r="J46">
        <v>1.58</v>
      </c>
      <c r="L46">
        <v>0.57549053710727482</v>
      </c>
      <c r="M46">
        <v>0.55498229268415511</v>
      </c>
      <c r="N46">
        <v>0.58574465931883479</v>
      </c>
      <c r="O46">
        <v>0.54472817047259514</v>
      </c>
    </row>
    <row r="47" spans="1:20">
      <c r="A47" s="19">
        <v>43795</v>
      </c>
      <c r="B47">
        <v>988</v>
      </c>
      <c r="C47">
        <v>979</v>
      </c>
      <c r="D47">
        <v>1740</v>
      </c>
      <c r="E47">
        <v>1715</v>
      </c>
      <c r="F47">
        <v>0.57084548104956201</v>
      </c>
      <c r="G47">
        <v>0.56512725383661799</v>
      </c>
      <c r="H47">
        <v>1.02001476224741E-2</v>
      </c>
      <c r="I47">
        <v>0.560602397591346</v>
      </c>
      <c r="J47">
        <v>1</v>
      </c>
      <c r="L47">
        <v>0.57532740145909211</v>
      </c>
      <c r="M47">
        <v>0.55492710621414387</v>
      </c>
      <c r="N47">
        <v>0.58552754908156623</v>
      </c>
      <c r="O47">
        <v>0.54472695859166975</v>
      </c>
    </row>
    <row r="48" spans="1:20">
      <c r="A48" s="19">
        <v>43794</v>
      </c>
      <c r="B48">
        <v>977</v>
      </c>
      <c r="C48">
        <v>980</v>
      </c>
      <c r="D48">
        <v>1710</v>
      </c>
      <c r="E48">
        <v>1720</v>
      </c>
      <c r="F48">
        <v>0.56976744186046502</v>
      </c>
      <c r="G48">
        <v>0.565019506849046</v>
      </c>
      <c r="H48">
        <v>1.0181839941476801E-2</v>
      </c>
      <c r="I48">
        <v>0.46631404920027097</v>
      </c>
      <c r="J48">
        <v>0.83</v>
      </c>
      <c r="L48">
        <v>0.57520134679052282</v>
      </c>
      <c r="M48">
        <v>0.55483766690756919</v>
      </c>
      <c r="N48">
        <v>0.58538318673199963</v>
      </c>
      <c r="O48">
        <v>0.54465582696609238</v>
      </c>
    </row>
    <row r="49" spans="1:15">
      <c r="A49" s="19">
        <v>43791</v>
      </c>
      <c r="B49">
        <v>957</v>
      </c>
      <c r="C49">
        <v>962</v>
      </c>
      <c r="D49">
        <v>1711</v>
      </c>
      <c r="E49">
        <v>1701</v>
      </c>
      <c r="F49">
        <v>0.56554967666078704</v>
      </c>
      <c r="G49">
        <v>0.56485475793739204</v>
      </c>
      <c r="H49">
        <v>1.02036245241741E-2</v>
      </c>
      <c r="I49">
        <v>6.8105085771156496E-2</v>
      </c>
      <c r="J49">
        <v>0.12</v>
      </c>
      <c r="L49">
        <v>0.57505838246156615</v>
      </c>
      <c r="M49">
        <v>0.55465113341321792</v>
      </c>
      <c r="N49">
        <v>0.58526200698574027</v>
      </c>
      <c r="O49">
        <v>0.54444750888904381</v>
      </c>
    </row>
    <row r="50" spans="1:15">
      <c r="A50" s="19">
        <v>43790</v>
      </c>
      <c r="B50">
        <v>956</v>
      </c>
      <c r="C50">
        <v>958</v>
      </c>
      <c r="D50">
        <v>1698</v>
      </c>
      <c r="E50">
        <v>1694</v>
      </c>
      <c r="F50">
        <v>0.56552538370720096</v>
      </c>
      <c r="G50">
        <v>0.56511676586931003</v>
      </c>
      <c r="H50">
        <v>1.0466998874471001E-2</v>
      </c>
      <c r="I50">
        <v>3.9038681745547497E-2</v>
      </c>
      <c r="J50">
        <v>7.0000000000000007E-2</v>
      </c>
      <c r="L50">
        <v>0.57558376474378103</v>
      </c>
      <c r="M50">
        <v>0.55464976699483903</v>
      </c>
      <c r="N50">
        <v>0.58605076361825204</v>
      </c>
      <c r="O50">
        <v>0.54418276812036803</v>
      </c>
    </row>
    <row r="51" spans="1:15">
      <c r="A51" s="19">
        <v>43789</v>
      </c>
      <c r="B51">
        <v>978</v>
      </c>
      <c r="C51">
        <v>968</v>
      </c>
      <c r="D51">
        <v>1721</v>
      </c>
      <c r="E51">
        <v>1715</v>
      </c>
      <c r="F51">
        <v>0.56443148688046596</v>
      </c>
      <c r="G51">
        <v>0.56501383216623402</v>
      </c>
      <c r="H51">
        <v>1.05003809473146E-2</v>
      </c>
      <c r="I51">
        <v>-5.5459443680140399E-2</v>
      </c>
      <c r="J51">
        <v>-0.1</v>
      </c>
      <c r="L51">
        <v>0.57551421311354867</v>
      </c>
      <c r="M51">
        <v>0.55451345121891937</v>
      </c>
      <c r="N51">
        <v>0.5860145940608632</v>
      </c>
      <c r="O51">
        <v>0.54401307027160484</v>
      </c>
    </row>
    <row r="52" spans="1:15">
      <c r="A52" s="19">
        <v>43788</v>
      </c>
      <c r="B52">
        <v>990</v>
      </c>
      <c r="C52">
        <v>992</v>
      </c>
      <c r="D52">
        <v>1717</v>
      </c>
      <c r="E52">
        <v>1736</v>
      </c>
      <c r="F52">
        <v>0.57142857142857095</v>
      </c>
      <c r="G52">
        <v>0.56526585678560504</v>
      </c>
      <c r="H52">
        <v>1.07081596733371E-2</v>
      </c>
      <c r="I52">
        <v>0.575515759100096</v>
      </c>
      <c r="J52">
        <v>1.08</v>
      </c>
      <c r="L52">
        <v>0.57597401645894208</v>
      </c>
      <c r="M52">
        <v>0.55455769711226799</v>
      </c>
      <c r="N52">
        <v>0.58668217613227924</v>
      </c>
      <c r="O52">
        <v>0.54384953743893083</v>
      </c>
    </row>
    <row r="53" spans="1:15">
      <c r="A53" s="19">
        <v>43787</v>
      </c>
      <c r="B53">
        <v>996</v>
      </c>
      <c r="C53">
        <v>999</v>
      </c>
      <c r="D53">
        <v>1685</v>
      </c>
      <c r="E53">
        <v>1720</v>
      </c>
      <c r="F53">
        <v>0.58081395348837195</v>
      </c>
      <c r="G53">
        <v>0.56560067306505801</v>
      </c>
      <c r="H53">
        <v>1.1273286193425399E-2</v>
      </c>
      <c r="I53">
        <v>1.34949828845696</v>
      </c>
      <c r="J53">
        <v>2.62</v>
      </c>
      <c r="L53">
        <v>0.57687395925848339</v>
      </c>
      <c r="M53">
        <v>0.55432738687163263</v>
      </c>
      <c r="N53">
        <v>0.58814724545190877</v>
      </c>
      <c r="O53">
        <v>0.54305410067820725</v>
      </c>
    </row>
    <row r="54" spans="1:15">
      <c r="A54" s="19">
        <v>43784</v>
      </c>
      <c r="B54">
        <v>972</v>
      </c>
      <c r="C54">
        <v>992</v>
      </c>
      <c r="D54">
        <v>1659</v>
      </c>
      <c r="E54">
        <v>1685</v>
      </c>
      <c r="F54">
        <v>0.58872403560830799</v>
      </c>
      <c r="G54">
        <v>0.56562739194409095</v>
      </c>
      <c r="H54">
        <v>1.13116211785169E-2</v>
      </c>
      <c r="I54">
        <v>2.0418508805866602</v>
      </c>
      <c r="J54">
        <v>3.92</v>
      </c>
      <c r="L54">
        <v>0.57693901312260787</v>
      </c>
      <c r="M54">
        <v>0.55431577076557403</v>
      </c>
      <c r="N54">
        <v>0.58825063430112479</v>
      </c>
      <c r="O54">
        <v>0.54300414958705712</v>
      </c>
    </row>
    <row r="55" spans="1:15">
      <c r="A55" s="19">
        <v>43783</v>
      </c>
      <c r="B55">
        <v>970</v>
      </c>
      <c r="C55">
        <v>968</v>
      </c>
      <c r="D55">
        <v>1687</v>
      </c>
      <c r="E55">
        <v>1671</v>
      </c>
      <c r="F55">
        <v>0.579293836026331</v>
      </c>
      <c r="G55">
        <v>0.56540967318334101</v>
      </c>
      <c r="H55">
        <v>1.1018318218497299E-2</v>
      </c>
      <c r="I55">
        <v>1.2600981899108099</v>
      </c>
      <c r="J55">
        <v>2.4</v>
      </c>
      <c r="L55">
        <v>0.57642799140183831</v>
      </c>
      <c r="M55">
        <v>0.55439135496484371</v>
      </c>
      <c r="N55">
        <v>0.58744630962033562</v>
      </c>
      <c r="O55">
        <v>0.54337303674634641</v>
      </c>
    </row>
    <row r="56" spans="1:15">
      <c r="A56" s="19">
        <v>43782</v>
      </c>
      <c r="B56">
        <v>993</v>
      </c>
      <c r="C56">
        <v>973</v>
      </c>
      <c r="D56">
        <v>1708</v>
      </c>
      <c r="E56">
        <v>1702</v>
      </c>
      <c r="F56">
        <v>0.57168037602820199</v>
      </c>
      <c r="G56">
        <v>0.56536859884197399</v>
      </c>
      <c r="H56">
        <v>1.0972129063588101E-2</v>
      </c>
      <c r="I56">
        <v>0.57525546315106502</v>
      </c>
      <c r="J56">
        <v>1.1000000000000001</v>
      </c>
      <c r="L56">
        <v>0.57634072790556212</v>
      </c>
      <c r="M56">
        <v>0.55439646977838586</v>
      </c>
      <c r="N56">
        <v>0.58731285696915014</v>
      </c>
      <c r="O56">
        <v>0.54342434071479784</v>
      </c>
    </row>
    <row r="57" spans="1:15">
      <c r="A57" s="19">
        <v>43781</v>
      </c>
      <c r="B57">
        <v>952</v>
      </c>
      <c r="C57">
        <v>964</v>
      </c>
      <c r="D57">
        <v>1703</v>
      </c>
      <c r="E57">
        <v>1711</v>
      </c>
      <c r="F57">
        <v>0.56341320864991196</v>
      </c>
      <c r="G57">
        <v>0.56549728053611203</v>
      </c>
      <c r="H57">
        <v>1.11012342085364E-2</v>
      </c>
      <c r="I57">
        <v>-0.187733349918631</v>
      </c>
      <c r="J57">
        <v>-0.37</v>
      </c>
      <c r="L57">
        <v>0.5765985147446484</v>
      </c>
      <c r="M57">
        <v>0.55439604632757566</v>
      </c>
      <c r="N57">
        <v>0.58769974895318489</v>
      </c>
      <c r="O57">
        <v>0.54329481211903918</v>
      </c>
    </row>
    <row r="58" spans="1:15">
      <c r="A58" s="19">
        <v>43780</v>
      </c>
      <c r="B58">
        <v>971</v>
      </c>
      <c r="C58">
        <v>951</v>
      </c>
      <c r="D58">
        <v>1735</v>
      </c>
      <c r="E58">
        <v>1710</v>
      </c>
      <c r="F58">
        <v>0.55614035087719205</v>
      </c>
      <c r="G58">
        <v>0.56565849806494595</v>
      </c>
      <c r="H58">
        <v>1.1157453288838499E-2</v>
      </c>
      <c r="I58">
        <v>-0.85307524408591096</v>
      </c>
      <c r="J58">
        <v>-1.71</v>
      </c>
      <c r="L58">
        <v>0.5768159513537845</v>
      </c>
      <c r="M58">
        <v>0.5545010447761074</v>
      </c>
      <c r="N58">
        <v>0.58797340464262293</v>
      </c>
      <c r="O58">
        <v>0.54334359148726896</v>
      </c>
    </row>
    <row r="59" spans="1:15">
      <c r="A59" s="19">
        <v>43777</v>
      </c>
      <c r="B59">
        <v>955</v>
      </c>
      <c r="C59">
        <v>965</v>
      </c>
      <c r="D59">
        <v>1729</v>
      </c>
      <c r="E59">
        <v>1729</v>
      </c>
      <c r="F59">
        <v>0.55812608444187395</v>
      </c>
      <c r="G59">
        <v>0.56596012414138797</v>
      </c>
      <c r="H59">
        <v>1.1201754977207899E-2</v>
      </c>
      <c r="I59">
        <v>-0.69935824479777797</v>
      </c>
      <c r="J59">
        <v>-1.4</v>
      </c>
      <c r="L59">
        <v>0.57716187911859584</v>
      </c>
      <c r="M59">
        <v>0.55475836916418009</v>
      </c>
      <c r="N59">
        <v>0.58836363409580372</v>
      </c>
      <c r="O59">
        <v>0.54355661418697221</v>
      </c>
    </row>
    <row r="60" spans="1:15">
      <c r="A60" s="19">
        <v>43776</v>
      </c>
      <c r="B60">
        <v>930</v>
      </c>
      <c r="C60">
        <v>933</v>
      </c>
      <c r="D60">
        <v>1689</v>
      </c>
      <c r="E60">
        <v>1711</v>
      </c>
      <c r="F60">
        <v>0.54529514903565102</v>
      </c>
      <c r="G60">
        <v>0.56620595799273099</v>
      </c>
      <c r="H60">
        <v>1.1229412592387999E-2</v>
      </c>
      <c r="I60">
        <v>-1.8621462863742899</v>
      </c>
      <c r="J60">
        <v>-3.83</v>
      </c>
      <c r="L60">
        <v>0.57743537058511896</v>
      </c>
      <c r="M60">
        <v>0.55497654540034302</v>
      </c>
      <c r="N60">
        <v>0.58866478317750703</v>
      </c>
      <c r="O60">
        <v>0.54374713280795495</v>
      </c>
    </row>
    <row r="61" spans="1:15">
      <c r="A61" s="19">
        <v>43775</v>
      </c>
      <c r="B61">
        <v>960</v>
      </c>
      <c r="C61">
        <v>935</v>
      </c>
      <c r="D61">
        <v>1683</v>
      </c>
      <c r="E61">
        <v>1697</v>
      </c>
      <c r="F61">
        <v>0.55097230406599795</v>
      </c>
      <c r="G61">
        <v>0.56680221020155697</v>
      </c>
      <c r="H61">
        <v>1.12903370479052E-2</v>
      </c>
      <c r="I61">
        <v>-1.4020756039781801</v>
      </c>
      <c r="J61">
        <v>-2.87</v>
      </c>
      <c r="L61">
        <v>0.57809254724946213</v>
      </c>
      <c r="M61">
        <v>0.5555118731536518</v>
      </c>
      <c r="N61">
        <v>0.5893828842973674</v>
      </c>
      <c r="O61">
        <v>0.54422153610574653</v>
      </c>
    </row>
    <row r="62" spans="1:15">
      <c r="A62" s="19">
        <v>43774</v>
      </c>
      <c r="B62">
        <v>921</v>
      </c>
      <c r="C62">
        <v>958</v>
      </c>
      <c r="D62">
        <v>1649</v>
      </c>
      <c r="E62">
        <v>1671</v>
      </c>
      <c r="F62">
        <v>0.57330939557151395</v>
      </c>
      <c r="G62">
        <v>0.56714643864213199</v>
      </c>
      <c r="H62">
        <v>1.11956241932535E-2</v>
      </c>
      <c r="I62">
        <v>0.55047908209488805</v>
      </c>
      <c r="J62">
        <v>1.07</v>
      </c>
      <c r="L62">
        <v>0.57834206283538547</v>
      </c>
      <c r="M62">
        <v>0.55595081444887851</v>
      </c>
      <c r="N62">
        <v>0.58953768702863896</v>
      </c>
      <c r="O62">
        <v>0.54475519025562502</v>
      </c>
    </row>
    <row r="63" spans="1:15">
      <c r="A63" s="19">
        <v>43770</v>
      </c>
      <c r="B63">
        <v>888</v>
      </c>
      <c r="C63">
        <v>903</v>
      </c>
      <c r="D63">
        <v>1565</v>
      </c>
      <c r="E63">
        <v>1609</v>
      </c>
      <c r="F63">
        <v>0.56121814791796099</v>
      </c>
      <c r="G63">
        <v>0.56721427620175902</v>
      </c>
      <c r="H63">
        <v>1.1248053349163701E-2</v>
      </c>
      <c r="I63">
        <v>-0.533081422861864</v>
      </c>
      <c r="J63">
        <v>-1.07</v>
      </c>
      <c r="L63">
        <v>0.57846232955092269</v>
      </c>
      <c r="M63">
        <v>0.55596622285259534</v>
      </c>
      <c r="N63">
        <v>0.58971038290008637</v>
      </c>
      <c r="O63">
        <v>0.54471816950343166</v>
      </c>
    </row>
    <row r="64" spans="1:15">
      <c r="A64" s="19">
        <v>43769</v>
      </c>
      <c r="B64">
        <v>914</v>
      </c>
      <c r="C64">
        <v>910</v>
      </c>
      <c r="D64">
        <v>1545</v>
      </c>
      <c r="E64">
        <v>1605</v>
      </c>
      <c r="F64">
        <v>0.56697819314641695</v>
      </c>
      <c r="G64">
        <v>0.567444330525816</v>
      </c>
      <c r="H64">
        <v>1.1299393040173999E-2</v>
      </c>
      <c r="I64">
        <v>-4.1253311371854597E-2</v>
      </c>
      <c r="J64">
        <v>-0.08</v>
      </c>
      <c r="L64">
        <v>0.57874372356599002</v>
      </c>
      <c r="M64">
        <v>0.55614493748564198</v>
      </c>
      <c r="N64">
        <v>0.59004311660616404</v>
      </c>
      <c r="O64">
        <v>0.54484554444546796</v>
      </c>
    </row>
    <row r="65" spans="1:15">
      <c r="A65" s="19">
        <v>43768</v>
      </c>
      <c r="B65">
        <v>919</v>
      </c>
      <c r="C65">
        <v>911</v>
      </c>
      <c r="D65">
        <v>1560</v>
      </c>
      <c r="E65">
        <v>1567</v>
      </c>
      <c r="F65">
        <v>0.58136566687938696</v>
      </c>
      <c r="G65">
        <v>0.56756823710307303</v>
      </c>
      <c r="H65">
        <v>1.13444646525776E-2</v>
      </c>
      <c r="I65">
        <v>1.2162257276000199</v>
      </c>
      <c r="J65">
        <v>2.37</v>
      </c>
      <c r="L65">
        <v>0.57891270175565057</v>
      </c>
      <c r="M65">
        <v>0.55622377245049548</v>
      </c>
      <c r="N65">
        <v>0.59025716640822823</v>
      </c>
      <c r="O65">
        <v>0.54487930779791782</v>
      </c>
    </row>
    <row r="66" spans="1:15">
      <c r="A66" s="19">
        <v>43767</v>
      </c>
      <c r="B66">
        <v>906</v>
      </c>
      <c r="C66">
        <v>919</v>
      </c>
      <c r="D66">
        <v>1565</v>
      </c>
      <c r="E66">
        <v>1579</v>
      </c>
      <c r="F66">
        <v>0.58201393286890402</v>
      </c>
      <c r="G66">
        <v>0.56743974129742203</v>
      </c>
      <c r="H66">
        <v>1.12415693422544E-2</v>
      </c>
      <c r="I66">
        <v>1.2964552481743701</v>
      </c>
      <c r="J66">
        <v>2.5</v>
      </c>
      <c r="L66">
        <v>0.57868131063967643</v>
      </c>
      <c r="M66">
        <v>0.55619817195516763</v>
      </c>
      <c r="N66">
        <v>0.58992287998193083</v>
      </c>
      <c r="O66">
        <v>0.54495660261291323</v>
      </c>
    </row>
    <row r="67" spans="1:15">
      <c r="A67" s="19">
        <v>43766</v>
      </c>
      <c r="B67">
        <v>902</v>
      </c>
      <c r="C67">
        <v>900</v>
      </c>
      <c r="D67">
        <v>1546</v>
      </c>
      <c r="E67">
        <v>1547</v>
      </c>
      <c r="F67">
        <v>0.58177117000646394</v>
      </c>
      <c r="G67">
        <v>0.56727752694123501</v>
      </c>
      <c r="H67">
        <v>1.11171846200116E-2</v>
      </c>
      <c r="I67">
        <v>1.3037152445178199</v>
      </c>
      <c r="J67">
        <v>2.4900000000000002</v>
      </c>
      <c r="L67">
        <v>0.57839471156124667</v>
      </c>
      <c r="M67">
        <v>0.55616034232122336</v>
      </c>
      <c r="N67">
        <v>0.58951189618125821</v>
      </c>
      <c r="O67">
        <v>0.54504315770121181</v>
      </c>
    </row>
    <row r="68" spans="1:15">
      <c r="A68" s="19">
        <v>43763</v>
      </c>
      <c r="B68">
        <v>894</v>
      </c>
      <c r="C68">
        <v>889</v>
      </c>
      <c r="D68">
        <v>1530</v>
      </c>
      <c r="E68">
        <v>1537</v>
      </c>
      <c r="F68">
        <v>0.57839947950552995</v>
      </c>
      <c r="G68">
        <v>0.56703373289228198</v>
      </c>
      <c r="H68">
        <v>1.09965038014856E-2</v>
      </c>
      <c r="I68">
        <v>1.0335782007107099</v>
      </c>
      <c r="J68">
        <v>1.97</v>
      </c>
      <c r="L68">
        <v>0.57803023669376763</v>
      </c>
      <c r="M68">
        <v>0.55603722909079634</v>
      </c>
      <c r="N68">
        <v>0.58902674049525316</v>
      </c>
      <c r="O68">
        <v>0.5450407252893108</v>
      </c>
    </row>
    <row r="69" spans="1:15">
      <c r="A69" s="19">
        <v>43762</v>
      </c>
      <c r="B69">
        <v>890</v>
      </c>
      <c r="C69">
        <v>897</v>
      </c>
      <c r="D69">
        <v>1532</v>
      </c>
      <c r="E69">
        <v>1548</v>
      </c>
      <c r="F69">
        <v>0.57945736434108497</v>
      </c>
      <c r="G69">
        <v>0.56688930739977605</v>
      </c>
      <c r="H69">
        <v>1.09171257318485E-2</v>
      </c>
      <c r="I69">
        <v>1.1512239805615101</v>
      </c>
      <c r="J69">
        <v>2.17</v>
      </c>
      <c r="L69">
        <v>0.57780643313162461</v>
      </c>
      <c r="M69">
        <v>0.5559721816679275</v>
      </c>
      <c r="N69">
        <v>0.58872355886347305</v>
      </c>
      <c r="O69">
        <v>0.54505505593607906</v>
      </c>
    </row>
    <row r="70" spans="1:15">
      <c r="A70" s="19">
        <v>43761</v>
      </c>
      <c r="B70">
        <v>886</v>
      </c>
      <c r="C70">
        <v>887</v>
      </c>
      <c r="D70">
        <v>1543</v>
      </c>
      <c r="E70">
        <v>1535</v>
      </c>
      <c r="F70">
        <v>0.57785016286644897</v>
      </c>
      <c r="G70">
        <v>0.566754382263149</v>
      </c>
      <c r="H70">
        <v>1.0823090838094599E-2</v>
      </c>
      <c r="I70">
        <v>1.0251951840084099</v>
      </c>
      <c r="J70">
        <v>1.92</v>
      </c>
      <c r="L70">
        <v>0.57757747310124363</v>
      </c>
      <c r="M70">
        <v>0.55593129142505437</v>
      </c>
      <c r="N70">
        <v>0.58840056393933815</v>
      </c>
      <c r="O70">
        <v>0.54510820058695986</v>
      </c>
    </row>
    <row r="71" spans="1:15">
      <c r="A71" s="19">
        <v>43759</v>
      </c>
      <c r="B71">
        <v>873</v>
      </c>
      <c r="C71">
        <v>876</v>
      </c>
      <c r="D71">
        <v>1537</v>
      </c>
      <c r="E71">
        <v>1523</v>
      </c>
      <c r="F71">
        <v>0.57518056467498302</v>
      </c>
      <c r="G71">
        <v>0.56676366959563296</v>
      </c>
      <c r="H71">
        <v>1.0832902590406E-2</v>
      </c>
      <c r="I71">
        <v>0.77697505438702497</v>
      </c>
      <c r="J71">
        <v>1.46</v>
      </c>
      <c r="L71">
        <v>0.57759657218603899</v>
      </c>
      <c r="M71">
        <v>0.55593076700522692</v>
      </c>
      <c r="N71">
        <v>0.58842947477644492</v>
      </c>
      <c r="O71">
        <v>0.545097864414821</v>
      </c>
    </row>
    <row r="72" spans="1:15">
      <c r="A72" s="19">
        <v>43756</v>
      </c>
      <c r="B72">
        <v>881</v>
      </c>
      <c r="C72">
        <v>877</v>
      </c>
      <c r="D72">
        <v>1526</v>
      </c>
      <c r="E72">
        <v>1530</v>
      </c>
      <c r="F72">
        <v>0.57320261437908404</v>
      </c>
      <c r="G72">
        <v>0.56686623444232398</v>
      </c>
      <c r="H72">
        <v>1.09479121377345E-2</v>
      </c>
      <c r="I72">
        <v>0.57877519083485396</v>
      </c>
      <c r="J72">
        <v>1.1100000000000001</v>
      </c>
      <c r="L72">
        <v>0.57781414658005847</v>
      </c>
      <c r="M72">
        <v>0.55591832230458949</v>
      </c>
      <c r="N72">
        <v>0.58876205871779297</v>
      </c>
      <c r="O72">
        <v>0.54497041016685499</v>
      </c>
    </row>
    <row r="73" spans="1:15">
      <c r="A73" s="19">
        <v>43755</v>
      </c>
      <c r="B73">
        <v>887</v>
      </c>
      <c r="C73">
        <v>873</v>
      </c>
      <c r="D73">
        <v>1546</v>
      </c>
      <c r="E73">
        <v>1530</v>
      </c>
      <c r="F73">
        <v>0.57058823529411695</v>
      </c>
      <c r="G73">
        <v>0.56698402325201702</v>
      </c>
      <c r="H73">
        <v>1.10623768038142E-2</v>
      </c>
      <c r="I73">
        <v>0.32580810670426602</v>
      </c>
      <c r="J73">
        <v>0.63</v>
      </c>
      <c r="L73">
        <v>0.57804640005583119</v>
      </c>
      <c r="M73">
        <v>0.55592164644820286</v>
      </c>
      <c r="N73">
        <v>0.58910877685964547</v>
      </c>
      <c r="O73">
        <v>0.54485926964438858</v>
      </c>
    </row>
    <row r="74" spans="1:15">
      <c r="A74" s="19">
        <v>43754</v>
      </c>
      <c r="B74">
        <v>888</v>
      </c>
      <c r="C74">
        <v>885</v>
      </c>
      <c r="D74">
        <v>1555</v>
      </c>
      <c r="E74">
        <v>1546</v>
      </c>
      <c r="F74">
        <v>0.57244501940491499</v>
      </c>
      <c r="G74">
        <v>0.56718381802141005</v>
      </c>
      <c r="H74">
        <v>1.1259232401368899E-2</v>
      </c>
      <c r="I74">
        <v>0.467278869105274</v>
      </c>
      <c r="J74">
        <v>0.92</v>
      </c>
      <c r="L74">
        <v>0.57844305042277899</v>
      </c>
      <c r="M74">
        <v>0.5559245856200411</v>
      </c>
      <c r="N74">
        <v>0.58970228282414783</v>
      </c>
      <c r="O74">
        <v>0.54466535321867227</v>
      </c>
    </row>
    <row r="75" spans="1:15">
      <c r="A75" s="19">
        <v>43753</v>
      </c>
      <c r="B75">
        <v>870</v>
      </c>
      <c r="C75">
        <v>878</v>
      </c>
      <c r="D75">
        <v>1529</v>
      </c>
      <c r="E75">
        <v>1536</v>
      </c>
      <c r="F75">
        <v>0.57161458333333304</v>
      </c>
      <c r="G75">
        <v>0.56744812999219396</v>
      </c>
      <c r="H75">
        <v>1.1606946704682699E-2</v>
      </c>
      <c r="I75">
        <v>0.35896204636295997</v>
      </c>
      <c r="J75">
        <v>0.73</v>
      </c>
      <c r="L75">
        <v>0.57905507669687661</v>
      </c>
      <c r="M75">
        <v>0.55584118328751131</v>
      </c>
      <c r="N75">
        <v>0.59066202340155938</v>
      </c>
      <c r="O75">
        <v>0.54423423658282855</v>
      </c>
    </row>
    <row r="76" spans="1:15">
      <c r="A76" s="19">
        <v>43749</v>
      </c>
      <c r="B76">
        <v>839</v>
      </c>
      <c r="C76">
        <v>845</v>
      </c>
      <c r="D76">
        <v>1477</v>
      </c>
      <c r="E76">
        <v>1493</v>
      </c>
      <c r="F76">
        <v>0.565974547890154</v>
      </c>
      <c r="G76">
        <v>0.56769577008358396</v>
      </c>
      <c r="H76">
        <v>1.1887929553862701E-2</v>
      </c>
      <c r="I76">
        <v>-0.14478738165733401</v>
      </c>
      <c r="J76">
        <v>-0.3</v>
      </c>
      <c r="L76">
        <v>0.57958369963744671</v>
      </c>
      <c r="M76">
        <v>0.55580784052972121</v>
      </c>
      <c r="N76">
        <v>0.59147162919130936</v>
      </c>
      <c r="O76">
        <v>0.54391991097585857</v>
      </c>
    </row>
    <row r="77" spans="1:15">
      <c r="A77" s="19">
        <v>43748</v>
      </c>
      <c r="B77">
        <v>818</v>
      </c>
      <c r="C77">
        <v>827</v>
      </c>
      <c r="D77">
        <v>1471</v>
      </c>
      <c r="E77">
        <v>1462</v>
      </c>
      <c r="F77">
        <v>0.56566347469220202</v>
      </c>
      <c r="G77">
        <v>0.56802001141982905</v>
      </c>
      <c r="H77">
        <v>1.2164969674242999E-2</v>
      </c>
      <c r="I77">
        <v>-0.193714969353044</v>
      </c>
      <c r="J77">
        <v>-0.42</v>
      </c>
      <c r="L77">
        <v>0.58018498109407202</v>
      </c>
      <c r="M77">
        <v>0.55585504174558609</v>
      </c>
      <c r="N77">
        <v>0.59234995076831509</v>
      </c>
      <c r="O77">
        <v>0.54369007207134301</v>
      </c>
    </row>
    <row r="78" spans="1:15">
      <c r="A78" s="19">
        <v>43747</v>
      </c>
      <c r="B78">
        <v>815</v>
      </c>
      <c r="C78">
        <v>814</v>
      </c>
      <c r="D78">
        <v>1452</v>
      </c>
      <c r="E78">
        <v>1461</v>
      </c>
      <c r="F78">
        <v>0.55715263518138203</v>
      </c>
      <c r="G78">
        <v>0.56839118915798803</v>
      </c>
      <c r="H78">
        <v>1.25072896670272E-2</v>
      </c>
      <c r="I78">
        <v>-0.89856030169621004</v>
      </c>
      <c r="J78">
        <v>-2.02</v>
      </c>
      <c r="L78">
        <v>0.58089847882501522</v>
      </c>
      <c r="M78">
        <v>0.55588389949096084</v>
      </c>
      <c r="N78">
        <v>0.59340576849204241</v>
      </c>
      <c r="O78">
        <v>0.54337660982393365</v>
      </c>
    </row>
    <row r="79" spans="1:15">
      <c r="A79" s="19">
        <v>43746</v>
      </c>
      <c r="B79">
        <v>830</v>
      </c>
      <c r="C79">
        <v>830</v>
      </c>
      <c r="D79">
        <v>1480</v>
      </c>
      <c r="E79">
        <v>1470</v>
      </c>
      <c r="F79">
        <v>0.56462585034013602</v>
      </c>
      <c r="G79">
        <v>0.56877174136879005</v>
      </c>
      <c r="H79">
        <v>1.2593461025139399E-2</v>
      </c>
      <c r="I79">
        <v>-0.32920981931637899</v>
      </c>
      <c r="J79">
        <v>-0.73</v>
      </c>
      <c r="L79">
        <v>0.58136520239392941</v>
      </c>
      <c r="M79">
        <v>0.55617828034365069</v>
      </c>
      <c r="N79">
        <v>0.59395866341906889</v>
      </c>
      <c r="O79">
        <v>0.54358481931851121</v>
      </c>
    </row>
    <row r="80" spans="1:15">
      <c r="A80" s="19">
        <v>43745</v>
      </c>
      <c r="B80">
        <v>824</v>
      </c>
      <c r="C80">
        <v>817</v>
      </c>
      <c r="D80">
        <v>1475</v>
      </c>
      <c r="E80">
        <v>1469</v>
      </c>
      <c r="F80">
        <v>0.55616065350578603</v>
      </c>
      <c r="G80">
        <v>0.56897504107947805</v>
      </c>
      <c r="H80">
        <v>1.26478464907452E-2</v>
      </c>
      <c r="I80">
        <v>-1.0131675446147499</v>
      </c>
      <c r="J80">
        <v>-2.2999999999999998</v>
      </c>
      <c r="L80">
        <v>0.58162288757022329</v>
      </c>
      <c r="M80">
        <v>0.55632719458873281</v>
      </c>
      <c r="N80">
        <v>0.59427073406096842</v>
      </c>
      <c r="O80">
        <v>0.54367934809798768</v>
      </c>
    </row>
    <row r="81" spans="1:15">
      <c r="A81" s="19">
        <v>43742</v>
      </c>
      <c r="B81">
        <v>836</v>
      </c>
      <c r="C81">
        <v>822</v>
      </c>
      <c r="D81">
        <v>1477</v>
      </c>
      <c r="E81">
        <v>1484</v>
      </c>
      <c r="F81">
        <v>0.55390835579514797</v>
      </c>
      <c r="G81">
        <v>0.56920732832203802</v>
      </c>
      <c r="H81">
        <v>1.25701085202329E-2</v>
      </c>
      <c r="I81">
        <v>-1.21709152329633</v>
      </c>
      <c r="J81">
        <v>-2.76</v>
      </c>
      <c r="L81">
        <v>0.5817774368422709</v>
      </c>
      <c r="M81">
        <v>0.55663721980180514</v>
      </c>
      <c r="N81">
        <v>0.59434754536250378</v>
      </c>
      <c r="O81">
        <v>0.54406711128157226</v>
      </c>
    </row>
    <row r="82" spans="1:15">
      <c r="A82" s="19">
        <v>43741</v>
      </c>
      <c r="B82">
        <v>836</v>
      </c>
      <c r="C82">
        <v>832</v>
      </c>
      <c r="D82">
        <v>1491</v>
      </c>
      <c r="E82">
        <v>1487</v>
      </c>
      <c r="F82">
        <v>0.55951580363147202</v>
      </c>
      <c r="G82">
        <v>0.56956846385168103</v>
      </c>
      <c r="H82">
        <v>1.25143365606995E-2</v>
      </c>
      <c r="I82">
        <v>-0.803291502625746</v>
      </c>
      <c r="J82">
        <v>-1.8</v>
      </c>
      <c r="L82">
        <v>0.58208280041238047</v>
      </c>
      <c r="M82">
        <v>0.55705412729098158</v>
      </c>
      <c r="N82">
        <v>0.59459713697308003</v>
      </c>
      <c r="O82">
        <v>0.54453979073028203</v>
      </c>
    </row>
    <row r="83" spans="1:15">
      <c r="A83" s="19">
        <v>43740</v>
      </c>
      <c r="B83">
        <v>857</v>
      </c>
      <c r="C83">
        <v>863</v>
      </c>
      <c r="D83">
        <v>1528</v>
      </c>
      <c r="E83">
        <v>1529</v>
      </c>
      <c r="F83">
        <v>0.56442119032047</v>
      </c>
      <c r="G83">
        <v>0.56998790929705301</v>
      </c>
      <c r="H83">
        <v>1.26962469300811E-2</v>
      </c>
      <c r="I83">
        <v>-0.43845389958457598</v>
      </c>
      <c r="J83">
        <v>-0.99</v>
      </c>
      <c r="L83">
        <v>0.5826841562271341</v>
      </c>
      <c r="M83">
        <v>0.55729166236697192</v>
      </c>
      <c r="N83">
        <v>0.59538040315721519</v>
      </c>
      <c r="O83">
        <v>0.54459541543689083</v>
      </c>
    </row>
    <row r="84" spans="1:15">
      <c r="A84" s="19">
        <v>43739</v>
      </c>
      <c r="B84">
        <v>840</v>
      </c>
      <c r="C84">
        <v>872</v>
      </c>
      <c r="D84">
        <v>1534</v>
      </c>
      <c r="E84">
        <v>1551</v>
      </c>
      <c r="F84">
        <v>0.56221792392005099</v>
      </c>
      <c r="G84">
        <v>0.57024246069015205</v>
      </c>
      <c r="H84">
        <v>1.2773237194875201E-2</v>
      </c>
      <c r="I84">
        <v>-0.62823046716146103</v>
      </c>
      <c r="J84">
        <v>-1.43</v>
      </c>
      <c r="L84">
        <v>0.58301569788502727</v>
      </c>
      <c r="M84">
        <v>0.55746922349527683</v>
      </c>
      <c r="N84">
        <v>0.59578893507990249</v>
      </c>
      <c r="O84">
        <v>0.54469598630040161</v>
      </c>
    </row>
    <row r="85" spans="1:15">
      <c r="A85" s="19">
        <v>43738</v>
      </c>
      <c r="B85">
        <v>854</v>
      </c>
      <c r="C85">
        <v>842</v>
      </c>
      <c r="D85">
        <v>1517</v>
      </c>
      <c r="E85">
        <v>1511</v>
      </c>
      <c r="F85">
        <v>0.55724685638649896</v>
      </c>
      <c r="G85">
        <v>0.57039480051592095</v>
      </c>
      <c r="H85">
        <v>1.2744725365256299E-2</v>
      </c>
      <c r="I85">
        <v>-1.03163808968884</v>
      </c>
      <c r="J85">
        <v>-2.36</v>
      </c>
      <c r="L85">
        <v>0.58313952588117723</v>
      </c>
      <c r="M85">
        <v>0.55765007515066467</v>
      </c>
      <c r="N85">
        <v>0.59588425124643352</v>
      </c>
      <c r="O85">
        <v>0.54490534978540839</v>
      </c>
    </row>
    <row r="86" spans="1:15">
      <c r="A86" s="19">
        <v>43735</v>
      </c>
      <c r="B86">
        <v>861</v>
      </c>
      <c r="C86">
        <v>855</v>
      </c>
      <c r="D86">
        <v>1500</v>
      </c>
      <c r="E86">
        <v>1512</v>
      </c>
      <c r="F86">
        <v>0.56547619047619002</v>
      </c>
      <c r="G86">
        <v>0.57052661399253901</v>
      </c>
      <c r="H86">
        <v>1.2658894376579299E-2</v>
      </c>
      <c r="I86">
        <v>-0.39896245012461301</v>
      </c>
      <c r="J86">
        <v>-0.89</v>
      </c>
      <c r="L86">
        <v>0.58318550836911831</v>
      </c>
      <c r="M86">
        <v>0.55786771961595971</v>
      </c>
      <c r="N86">
        <v>0.59584440274569761</v>
      </c>
      <c r="O86">
        <v>0.54520882523938041</v>
      </c>
    </row>
    <row r="87" spans="1:15">
      <c r="A87" s="19">
        <v>43734</v>
      </c>
      <c r="B87">
        <v>873</v>
      </c>
      <c r="C87">
        <v>865</v>
      </c>
      <c r="D87">
        <v>1540</v>
      </c>
      <c r="E87">
        <v>1528</v>
      </c>
      <c r="F87">
        <v>0.56609947643978997</v>
      </c>
      <c r="G87">
        <v>0.57040999934104097</v>
      </c>
      <c r="H87">
        <v>1.2744874965562E-2</v>
      </c>
      <c r="I87">
        <v>-0.33821617810279903</v>
      </c>
      <c r="J87">
        <v>-0.76</v>
      </c>
      <c r="L87">
        <v>0.58315487430660295</v>
      </c>
      <c r="M87">
        <v>0.55766512437547899</v>
      </c>
      <c r="N87">
        <v>0.59589974927216494</v>
      </c>
      <c r="O87">
        <v>0.54492024940991701</v>
      </c>
    </row>
    <row r="88" spans="1:15">
      <c r="A88" s="19">
        <v>43733</v>
      </c>
      <c r="B88">
        <v>871</v>
      </c>
      <c r="C88">
        <v>861</v>
      </c>
      <c r="D88">
        <v>1510</v>
      </c>
      <c r="E88">
        <v>1521</v>
      </c>
      <c r="F88">
        <v>0.56607495069033498</v>
      </c>
      <c r="G88">
        <v>0.570315243731915</v>
      </c>
      <c r="H88">
        <v>1.2802857049042399E-2</v>
      </c>
      <c r="I88">
        <v>-0.33119896795985099</v>
      </c>
      <c r="J88">
        <v>-0.75</v>
      </c>
      <c r="L88">
        <v>0.58311810078095738</v>
      </c>
      <c r="M88">
        <v>0.55751238668287262</v>
      </c>
      <c r="N88">
        <v>0.59592095782999976</v>
      </c>
      <c r="O88">
        <v>0.54470952963383024</v>
      </c>
    </row>
    <row r="89" spans="1:15">
      <c r="A89" s="19">
        <v>43732</v>
      </c>
      <c r="B89">
        <v>872</v>
      </c>
      <c r="C89">
        <v>874</v>
      </c>
      <c r="D89">
        <v>1536</v>
      </c>
      <c r="E89">
        <v>1523</v>
      </c>
      <c r="F89">
        <v>0.57386736703873897</v>
      </c>
      <c r="G89">
        <v>0.57013448419753099</v>
      </c>
      <c r="H89">
        <v>1.2956232943875099E-2</v>
      </c>
      <c r="I89">
        <v>0.28811482916202402</v>
      </c>
      <c r="J89">
        <v>0.65</v>
      </c>
      <c r="L89">
        <v>0.58309071714140603</v>
      </c>
      <c r="M89">
        <v>0.55717825125365594</v>
      </c>
      <c r="N89">
        <v>0.59604695008528119</v>
      </c>
      <c r="O89">
        <v>0.54422201830978079</v>
      </c>
    </row>
    <row r="90" spans="1:15">
      <c r="A90" s="19">
        <v>43728</v>
      </c>
      <c r="B90">
        <v>881</v>
      </c>
      <c r="C90">
        <v>874</v>
      </c>
      <c r="D90">
        <v>1541</v>
      </c>
      <c r="E90">
        <v>1534</v>
      </c>
      <c r="F90">
        <v>0.56975228161668801</v>
      </c>
      <c r="G90">
        <v>0.56981672578581999</v>
      </c>
      <c r="H90">
        <v>1.31515577958766E-2</v>
      </c>
      <c r="I90">
        <v>-4.9001167870664497E-3</v>
      </c>
      <c r="J90">
        <v>-0.01</v>
      </c>
      <c r="L90">
        <v>0.58296828358169661</v>
      </c>
      <c r="M90">
        <v>0.55666516798994337</v>
      </c>
      <c r="N90">
        <v>0.59611984137757323</v>
      </c>
      <c r="O90">
        <v>0.54351361019406674</v>
      </c>
    </row>
    <row r="91" spans="1:15">
      <c r="A91" s="19">
        <v>43727</v>
      </c>
      <c r="B91">
        <v>886</v>
      </c>
      <c r="C91">
        <v>878</v>
      </c>
      <c r="D91">
        <v>1529</v>
      </c>
      <c r="E91">
        <v>1524</v>
      </c>
      <c r="F91">
        <v>0.57611548556430403</v>
      </c>
      <c r="G91">
        <v>0.56944708183769399</v>
      </c>
      <c r="H91">
        <v>1.35322661529057E-2</v>
      </c>
      <c r="I91">
        <v>0.49277804997785601</v>
      </c>
      <c r="J91">
        <v>1.1599999999999999</v>
      </c>
      <c r="L91">
        <v>0.58297934799059969</v>
      </c>
      <c r="M91">
        <v>0.55591481568478829</v>
      </c>
      <c r="N91">
        <v>0.5965116141435054</v>
      </c>
      <c r="O91">
        <v>0.54238254953188259</v>
      </c>
    </row>
    <row r="92" spans="1:15">
      <c r="A92" s="19">
        <v>43726</v>
      </c>
      <c r="B92">
        <v>881</v>
      </c>
      <c r="C92">
        <v>879</v>
      </c>
      <c r="D92">
        <v>1544</v>
      </c>
      <c r="E92">
        <v>1526</v>
      </c>
      <c r="F92">
        <v>0.57601572739187401</v>
      </c>
      <c r="G92">
        <v>0.56909538496210699</v>
      </c>
      <c r="H92">
        <v>1.3696160956687801E-2</v>
      </c>
      <c r="I92">
        <v>0.50527607346696701</v>
      </c>
      <c r="J92">
        <v>1.2</v>
      </c>
      <c r="L92">
        <v>0.58279154591879478</v>
      </c>
      <c r="M92">
        <v>0.55539922400541919</v>
      </c>
      <c r="N92">
        <v>0.59648770687548258</v>
      </c>
      <c r="O92">
        <v>0.54170306304873139</v>
      </c>
    </row>
    <row r="93" spans="1:15">
      <c r="A93" s="19">
        <v>43725</v>
      </c>
      <c r="B93">
        <v>878</v>
      </c>
      <c r="C93">
        <v>884</v>
      </c>
      <c r="D93">
        <v>1554</v>
      </c>
      <c r="E93">
        <v>1552</v>
      </c>
      <c r="F93">
        <v>0.56958762886597902</v>
      </c>
      <c r="G93">
        <v>0.56896272281109606</v>
      </c>
      <c r="H93">
        <v>1.36766601973424E-2</v>
      </c>
      <c r="I93">
        <v>4.5691422164914397E-2</v>
      </c>
      <c r="J93">
        <v>0.11</v>
      </c>
      <c r="L93">
        <v>0.58263938300843843</v>
      </c>
      <c r="M93">
        <v>0.55528606261375368</v>
      </c>
      <c r="N93">
        <v>0.5963160432057808</v>
      </c>
      <c r="O93">
        <v>0.54160940241641131</v>
      </c>
    </row>
    <row r="94" spans="1:15">
      <c r="A94" s="19">
        <v>43721</v>
      </c>
      <c r="B94">
        <v>881</v>
      </c>
      <c r="C94">
        <v>878</v>
      </c>
      <c r="D94">
        <v>1582</v>
      </c>
      <c r="E94">
        <v>1564</v>
      </c>
      <c r="F94">
        <v>0.56138107416879701</v>
      </c>
      <c r="G94">
        <v>0.56880448852915</v>
      </c>
      <c r="H94">
        <v>1.37370335059119E-2</v>
      </c>
      <c r="I94">
        <v>-0.54039428215401897</v>
      </c>
      <c r="J94">
        <v>-1.32</v>
      </c>
      <c r="L94">
        <v>0.58254152203506193</v>
      </c>
      <c r="M94">
        <v>0.55506745502323807</v>
      </c>
      <c r="N94">
        <v>0.59627855554097375</v>
      </c>
      <c r="O94">
        <v>0.54133042151732624</v>
      </c>
    </row>
    <row r="95" spans="1:15">
      <c r="A95" s="19">
        <v>43720</v>
      </c>
      <c r="B95">
        <v>880</v>
      </c>
      <c r="C95">
        <v>875</v>
      </c>
      <c r="D95">
        <v>1583</v>
      </c>
      <c r="E95">
        <v>1572</v>
      </c>
      <c r="F95">
        <v>0.55661577608142498</v>
      </c>
      <c r="G95">
        <v>0.56867241929929202</v>
      </c>
      <c r="H95">
        <v>1.3854877394141599E-2</v>
      </c>
      <c r="I95">
        <v>-0.87020930426752197</v>
      </c>
      <c r="J95">
        <v>-2.17</v>
      </c>
      <c r="L95">
        <v>0.58252729669343362</v>
      </c>
      <c r="M95">
        <v>0.55481754190515042</v>
      </c>
      <c r="N95">
        <v>0.59638217408757521</v>
      </c>
      <c r="O95">
        <v>0.54096266451100883</v>
      </c>
    </row>
    <row r="96" spans="1:15">
      <c r="A96" s="19">
        <v>43719</v>
      </c>
      <c r="B96">
        <v>854</v>
      </c>
      <c r="C96">
        <v>873</v>
      </c>
      <c r="D96">
        <v>1522</v>
      </c>
      <c r="E96">
        <v>1565</v>
      </c>
      <c r="F96">
        <v>0.55782747603833804</v>
      </c>
      <c r="G96">
        <v>0.56854432291165402</v>
      </c>
      <c r="H96">
        <v>1.4009307447127001E-2</v>
      </c>
      <c r="I96">
        <v>-0.764980489846665</v>
      </c>
      <c r="J96">
        <v>-1.92</v>
      </c>
      <c r="L96">
        <v>0.58255363035878105</v>
      </c>
      <c r="M96">
        <v>0.55453501546452699</v>
      </c>
      <c r="N96">
        <v>0.59656293780590808</v>
      </c>
      <c r="O96">
        <v>0.54052570801739996</v>
      </c>
    </row>
    <row r="97" spans="1:15">
      <c r="A97" s="19">
        <v>43718</v>
      </c>
      <c r="B97">
        <v>819</v>
      </c>
      <c r="C97">
        <v>842</v>
      </c>
      <c r="D97">
        <v>1470</v>
      </c>
      <c r="E97">
        <v>1497</v>
      </c>
      <c r="F97">
        <v>0.56245824983299897</v>
      </c>
      <c r="G97">
        <v>0.568496989873846</v>
      </c>
      <c r="H97">
        <v>1.40513703176326E-2</v>
      </c>
      <c r="I97">
        <v>-0.429761646326352</v>
      </c>
      <c r="J97">
        <v>-1.07</v>
      </c>
      <c r="L97">
        <v>0.5825483601914786</v>
      </c>
      <c r="M97">
        <v>0.55444561955621341</v>
      </c>
      <c r="N97">
        <v>0.59659973050911119</v>
      </c>
      <c r="O97">
        <v>0.54039424923858081</v>
      </c>
    </row>
    <row r="98" spans="1:15">
      <c r="A98" s="19">
        <v>43717</v>
      </c>
      <c r="B98">
        <v>805</v>
      </c>
      <c r="C98">
        <v>811</v>
      </c>
      <c r="D98">
        <v>1445</v>
      </c>
      <c r="E98">
        <v>1443</v>
      </c>
      <c r="F98">
        <v>0.56202356202356196</v>
      </c>
      <c r="G98">
        <v>0.56837935599798295</v>
      </c>
      <c r="H98">
        <v>1.4138094656758299E-2</v>
      </c>
      <c r="I98">
        <v>-0.44955095638597897</v>
      </c>
      <c r="J98">
        <v>-1.1299999999999999</v>
      </c>
      <c r="L98">
        <v>0.58251745065474125</v>
      </c>
      <c r="M98">
        <v>0.55424126134122464</v>
      </c>
      <c r="N98">
        <v>0.59665554531149956</v>
      </c>
      <c r="O98">
        <v>0.54010316668446634</v>
      </c>
    </row>
    <row r="99" spans="1:15">
      <c r="A99" s="19">
        <v>43714</v>
      </c>
      <c r="B99">
        <v>790</v>
      </c>
      <c r="C99">
        <v>805</v>
      </c>
      <c r="D99">
        <v>1449</v>
      </c>
      <c r="E99">
        <v>1462</v>
      </c>
      <c r="F99">
        <v>0.55061559507523905</v>
      </c>
      <c r="G99">
        <v>0.56822814799630705</v>
      </c>
      <c r="H99">
        <v>1.4265333503229E-2</v>
      </c>
      <c r="I99">
        <v>-1.2346401096813999</v>
      </c>
      <c r="J99">
        <v>-3.2</v>
      </c>
      <c r="L99">
        <v>0.58249348149953606</v>
      </c>
      <c r="M99">
        <v>0.55396281449307805</v>
      </c>
      <c r="N99">
        <v>0.59675881500276506</v>
      </c>
      <c r="O99">
        <v>0.53969748098984904</v>
      </c>
    </row>
    <row r="100" spans="1:15">
      <c r="A100" s="19">
        <v>43713</v>
      </c>
      <c r="B100">
        <v>758</v>
      </c>
      <c r="C100">
        <v>780</v>
      </c>
      <c r="D100">
        <v>1416</v>
      </c>
      <c r="E100">
        <v>1435</v>
      </c>
      <c r="F100">
        <v>0.54355400696864098</v>
      </c>
      <c r="G100">
        <v>0.56824880213909401</v>
      </c>
      <c r="H100">
        <v>1.42409186332927E-2</v>
      </c>
      <c r="I100">
        <v>-1.7340731877170901</v>
      </c>
      <c r="J100">
        <v>-4.54</v>
      </c>
      <c r="L100">
        <v>0.5824897207723867</v>
      </c>
      <c r="M100">
        <v>0.55400788350580132</v>
      </c>
      <c r="N100">
        <v>0.59673063940567939</v>
      </c>
      <c r="O100">
        <v>0.53976696487250864</v>
      </c>
    </row>
    <row r="101" spans="1:15">
      <c r="A101" s="19">
        <v>43712</v>
      </c>
      <c r="B101">
        <v>765</v>
      </c>
      <c r="C101">
        <v>752</v>
      </c>
      <c r="D101">
        <v>1401</v>
      </c>
      <c r="E101">
        <v>1398</v>
      </c>
      <c r="F101">
        <v>0.53791130185979896</v>
      </c>
      <c r="G101">
        <v>0.56830657969876097</v>
      </c>
      <c r="H101">
        <v>1.4149105404614601E-2</v>
      </c>
      <c r="I101">
        <v>-2.1482119872432901</v>
      </c>
      <c r="J101">
        <v>-5.65</v>
      </c>
      <c r="L101">
        <v>0.58245568510337553</v>
      </c>
      <c r="M101">
        <v>0.55415747429414641</v>
      </c>
      <c r="N101">
        <v>0.5966047905079902</v>
      </c>
      <c r="O101">
        <v>0.54000836888953174</v>
      </c>
    </row>
    <row r="102" spans="1:15">
      <c r="A102" s="19">
        <v>43711</v>
      </c>
      <c r="B102">
        <v>775</v>
      </c>
      <c r="C102">
        <v>766</v>
      </c>
      <c r="D102">
        <v>1400</v>
      </c>
      <c r="E102">
        <v>1412</v>
      </c>
      <c r="F102">
        <v>0.54249291784702502</v>
      </c>
      <c r="G102">
        <v>0.56839193075188899</v>
      </c>
      <c r="H102">
        <v>1.39838378555939E-2</v>
      </c>
      <c r="I102">
        <v>-1.8520675920526</v>
      </c>
      <c r="J102">
        <v>-4.7699999999999996</v>
      </c>
      <c r="L102">
        <v>0.58237576860748286</v>
      </c>
      <c r="M102">
        <v>0.55440809289629511</v>
      </c>
      <c r="N102">
        <v>0.59635960646307673</v>
      </c>
      <c r="O102">
        <v>0.54042425504070124</v>
      </c>
    </row>
    <row r="103" spans="1:15">
      <c r="A103" s="19">
        <v>43710</v>
      </c>
      <c r="B103">
        <v>788</v>
      </c>
      <c r="C103">
        <v>782</v>
      </c>
      <c r="D103">
        <v>1416</v>
      </c>
      <c r="E103">
        <v>1408</v>
      </c>
      <c r="F103">
        <v>0.55539772727272696</v>
      </c>
      <c r="G103">
        <v>0.56839705053790301</v>
      </c>
      <c r="H103">
        <v>1.39744218508999E-2</v>
      </c>
      <c r="I103">
        <v>-0.93022261699784503</v>
      </c>
      <c r="J103">
        <v>-2.34</v>
      </c>
      <c r="L103">
        <v>0.58237147238880294</v>
      </c>
      <c r="M103">
        <v>0.55442262868700309</v>
      </c>
      <c r="N103">
        <v>0.59634589423970286</v>
      </c>
      <c r="O103">
        <v>0.54044820683610317</v>
      </c>
    </row>
    <row r="104" spans="1:15">
      <c r="A104" s="19">
        <v>43707</v>
      </c>
      <c r="B104">
        <v>782</v>
      </c>
      <c r="C104">
        <v>793</v>
      </c>
      <c r="D104">
        <v>1425</v>
      </c>
      <c r="E104">
        <v>1432</v>
      </c>
      <c r="F104">
        <v>0.55377094972066998</v>
      </c>
      <c r="G104">
        <v>0.56817549635339903</v>
      </c>
      <c r="H104">
        <v>1.4306535499233899E-2</v>
      </c>
      <c r="I104">
        <v>-1.0068507944148899</v>
      </c>
      <c r="J104">
        <v>-2.6</v>
      </c>
      <c r="L104">
        <v>0.58248203185263292</v>
      </c>
      <c r="M104">
        <v>0.55386896085416515</v>
      </c>
      <c r="N104">
        <v>0.59678856735186681</v>
      </c>
      <c r="O104">
        <v>0.53956242535493126</v>
      </c>
    </row>
    <row r="105" spans="1:15">
      <c r="A105" s="19">
        <v>43706</v>
      </c>
      <c r="B105">
        <v>781</v>
      </c>
      <c r="C105">
        <v>775</v>
      </c>
      <c r="D105">
        <v>1407</v>
      </c>
      <c r="E105">
        <v>1395</v>
      </c>
      <c r="F105">
        <v>0.55555555555555503</v>
      </c>
      <c r="G105">
        <v>0.56812061932264002</v>
      </c>
      <c r="H105">
        <v>1.4369438598548299E-2</v>
      </c>
      <c r="I105">
        <v>-0.87442969194039299</v>
      </c>
      <c r="J105">
        <v>-2.2599999999999998</v>
      </c>
      <c r="L105">
        <v>0.58249005792118835</v>
      </c>
      <c r="M105">
        <v>0.55375118072409169</v>
      </c>
      <c r="N105">
        <v>0.59685949651973658</v>
      </c>
      <c r="O105">
        <v>0.53938174212554346</v>
      </c>
    </row>
    <row r="106" spans="1:15">
      <c r="A106" s="19">
        <v>43705</v>
      </c>
      <c r="B106">
        <v>778</v>
      </c>
      <c r="C106">
        <v>776</v>
      </c>
      <c r="D106">
        <v>1407</v>
      </c>
      <c r="E106">
        <v>1402</v>
      </c>
      <c r="F106">
        <v>0.55349500713266697</v>
      </c>
      <c r="G106">
        <v>0.56822494900443499</v>
      </c>
      <c r="H106">
        <v>1.4306097089479001E-2</v>
      </c>
      <c r="I106">
        <v>-1.02962686326238</v>
      </c>
      <c r="J106">
        <v>-2.66</v>
      </c>
      <c r="L106">
        <v>0.58253104609391404</v>
      </c>
      <c r="M106">
        <v>0.55391885191495593</v>
      </c>
      <c r="N106">
        <v>0.59683714318339298</v>
      </c>
      <c r="O106">
        <v>0.53961275482547699</v>
      </c>
    </row>
    <row r="107" spans="1:15">
      <c r="A107" s="19">
        <v>43704</v>
      </c>
      <c r="B107">
        <v>764</v>
      </c>
      <c r="C107">
        <v>778</v>
      </c>
      <c r="D107">
        <v>1398</v>
      </c>
      <c r="E107">
        <v>1398</v>
      </c>
      <c r="F107">
        <v>0.55650929899856905</v>
      </c>
      <c r="G107">
        <v>0.56842227436344905</v>
      </c>
      <c r="H107">
        <v>1.4203259900400901E-2</v>
      </c>
      <c r="I107">
        <v>-0.838749375032115</v>
      </c>
      <c r="J107">
        <v>-2.14</v>
      </c>
      <c r="L107">
        <v>0.58262553426385</v>
      </c>
      <c r="M107">
        <v>0.55421901446304811</v>
      </c>
      <c r="N107">
        <v>0.59682879416425083</v>
      </c>
      <c r="O107">
        <v>0.54001575456264728</v>
      </c>
    </row>
    <row r="108" spans="1:15">
      <c r="A108" s="19">
        <v>43703</v>
      </c>
      <c r="B108">
        <v>773</v>
      </c>
      <c r="C108">
        <v>762</v>
      </c>
      <c r="D108">
        <v>1361</v>
      </c>
      <c r="E108">
        <v>1384</v>
      </c>
      <c r="F108">
        <v>0.55057803468208</v>
      </c>
      <c r="G108">
        <v>0.56854844667309801</v>
      </c>
      <c r="H108">
        <v>1.4138757229425101E-2</v>
      </c>
      <c r="I108">
        <v>-1.2710036461774401</v>
      </c>
      <c r="J108">
        <v>-3.26</v>
      </c>
      <c r="L108">
        <v>0.58268720390252315</v>
      </c>
      <c r="M108">
        <v>0.55440968944367286</v>
      </c>
      <c r="N108">
        <v>0.59682596113194819</v>
      </c>
      <c r="O108">
        <v>0.54027093221424782</v>
      </c>
    </row>
    <row r="109" spans="1:15">
      <c r="A109" s="19">
        <v>43700</v>
      </c>
      <c r="B109">
        <v>785</v>
      </c>
      <c r="C109">
        <v>802</v>
      </c>
      <c r="D109">
        <v>1405</v>
      </c>
      <c r="E109">
        <v>1405</v>
      </c>
      <c r="F109">
        <v>0.57081850533807799</v>
      </c>
      <c r="G109">
        <v>0.56904891738321095</v>
      </c>
      <c r="H109">
        <v>1.41581063435999E-2</v>
      </c>
      <c r="I109">
        <v>0.12498761571084401</v>
      </c>
      <c r="J109">
        <v>0.31</v>
      </c>
      <c r="L109">
        <v>0.58320702372681088</v>
      </c>
      <c r="M109">
        <v>0.55489081103961102</v>
      </c>
      <c r="N109">
        <v>0.5973651300704107</v>
      </c>
      <c r="O109">
        <v>0.5407327046960112</v>
      </c>
    </row>
    <row r="110" spans="1:15">
      <c r="A110" s="19">
        <v>43699</v>
      </c>
      <c r="B110">
        <v>792</v>
      </c>
      <c r="C110">
        <v>798</v>
      </c>
      <c r="D110">
        <v>1389</v>
      </c>
      <c r="E110">
        <v>1402</v>
      </c>
      <c r="F110">
        <v>0.56918687589158301</v>
      </c>
      <c r="G110">
        <v>0.56952940182816503</v>
      </c>
      <c r="H110">
        <v>1.48066379217457E-2</v>
      </c>
      <c r="I110">
        <v>-2.3133268902273799E-2</v>
      </c>
      <c r="J110">
        <v>-0.06</v>
      </c>
      <c r="L110">
        <v>0.58433603974991077</v>
      </c>
      <c r="M110">
        <v>0.55472276390641928</v>
      </c>
      <c r="N110">
        <v>0.59914267767165641</v>
      </c>
      <c r="O110">
        <v>0.53991612598467364</v>
      </c>
    </row>
    <row r="111" spans="1:15">
      <c r="A111" s="19">
        <v>43698</v>
      </c>
      <c r="B111">
        <v>781</v>
      </c>
      <c r="C111">
        <v>794</v>
      </c>
      <c r="D111">
        <v>1382</v>
      </c>
      <c r="E111">
        <v>1387</v>
      </c>
      <c r="F111">
        <v>0.57245854361932202</v>
      </c>
      <c r="G111">
        <v>0.57021610555191005</v>
      </c>
      <c r="H111">
        <v>1.5926760096910599E-2</v>
      </c>
      <c r="I111">
        <v>0.140796876060621</v>
      </c>
      <c r="J111">
        <v>0.39</v>
      </c>
      <c r="L111">
        <v>0.58614286564882068</v>
      </c>
      <c r="M111">
        <v>0.55428934545499942</v>
      </c>
      <c r="N111">
        <v>0.6020696257457312</v>
      </c>
      <c r="O111">
        <v>0.5383625853580889</v>
      </c>
    </row>
    <row r="112" spans="1:15">
      <c r="A112" s="19">
        <v>43697</v>
      </c>
      <c r="B112">
        <v>786</v>
      </c>
      <c r="C112">
        <v>792</v>
      </c>
      <c r="D112">
        <v>1395</v>
      </c>
      <c r="E112">
        <v>1399</v>
      </c>
      <c r="F112">
        <v>0.56611865618298696</v>
      </c>
      <c r="G112">
        <v>0.57057197055020503</v>
      </c>
      <c r="H112">
        <v>1.6267422967436902E-2</v>
      </c>
      <c r="I112">
        <v>-0.27375659784172901</v>
      </c>
      <c r="J112">
        <v>-0.79</v>
      </c>
      <c r="L112">
        <v>0.58683939351764192</v>
      </c>
      <c r="M112">
        <v>0.55430454758276815</v>
      </c>
      <c r="N112">
        <v>0.6031068164850788</v>
      </c>
      <c r="O112">
        <v>0.53803712461533126</v>
      </c>
    </row>
    <row r="113" spans="1:15">
      <c r="A113" s="19">
        <v>43696</v>
      </c>
      <c r="B113">
        <v>793</v>
      </c>
      <c r="C113">
        <v>790</v>
      </c>
      <c r="D113">
        <v>1386</v>
      </c>
      <c r="E113">
        <v>1391</v>
      </c>
      <c r="F113">
        <v>0.56793673616103502</v>
      </c>
      <c r="G113">
        <v>0.57077692319807205</v>
      </c>
      <c r="H113">
        <v>1.6306809202324201E-2</v>
      </c>
      <c r="I113">
        <v>-0.17417184452200599</v>
      </c>
      <c r="J113">
        <v>-0.5</v>
      </c>
      <c r="L113">
        <v>0.58708373240039624</v>
      </c>
      <c r="M113">
        <v>0.55447011399574786</v>
      </c>
      <c r="N113">
        <v>0.60339054160272043</v>
      </c>
      <c r="O113">
        <v>0.53816330479342367</v>
      </c>
    </row>
    <row r="114" spans="1:15">
      <c r="A114" s="19">
        <v>43693</v>
      </c>
      <c r="B114">
        <v>769</v>
      </c>
      <c r="C114">
        <v>781</v>
      </c>
      <c r="D114">
        <v>1373</v>
      </c>
      <c r="E114">
        <v>1378</v>
      </c>
      <c r="F114">
        <v>0.56676342525399104</v>
      </c>
      <c r="G114">
        <v>0.57092777632207303</v>
      </c>
      <c r="H114">
        <v>1.6332149809439599E-2</v>
      </c>
      <c r="I114">
        <v>-0.25497874539915599</v>
      </c>
      <c r="J114">
        <v>-0.73</v>
      </c>
      <c r="L114">
        <v>0.58725992613151268</v>
      </c>
      <c r="M114">
        <v>0.55459562651263339</v>
      </c>
      <c r="N114">
        <v>0.60359207594095221</v>
      </c>
      <c r="O114">
        <v>0.53826347670319385</v>
      </c>
    </row>
    <row r="115" spans="1:15">
      <c r="A115" s="19">
        <v>43692</v>
      </c>
      <c r="B115">
        <v>775</v>
      </c>
      <c r="C115">
        <v>780</v>
      </c>
      <c r="D115">
        <v>1348</v>
      </c>
      <c r="E115">
        <v>1373</v>
      </c>
      <c r="F115">
        <v>0.56809905316824405</v>
      </c>
      <c r="G115">
        <v>0.57097724448674603</v>
      </c>
      <c r="H115">
        <v>1.6325078778939701E-2</v>
      </c>
      <c r="I115">
        <v>-0.176304896134066</v>
      </c>
      <c r="J115">
        <v>-0.51</v>
      </c>
      <c r="L115">
        <v>0.58730232326568577</v>
      </c>
      <c r="M115">
        <v>0.55465216570780629</v>
      </c>
      <c r="N115">
        <v>0.60362740204462539</v>
      </c>
      <c r="O115">
        <v>0.53832708692886666</v>
      </c>
    </row>
    <row r="116" spans="1:15">
      <c r="A116" s="19">
        <v>43691</v>
      </c>
      <c r="B116">
        <v>797</v>
      </c>
      <c r="C116">
        <v>799</v>
      </c>
      <c r="D116">
        <v>1401</v>
      </c>
      <c r="E116">
        <v>1389</v>
      </c>
      <c r="F116">
        <v>0.57523398128149705</v>
      </c>
      <c r="G116">
        <v>0.57098068673263203</v>
      </c>
      <c r="H116">
        <v>1.6324498739144599E-2</v>
      </c>
      <c r="I116">
        <v>0.26054671673723301</v>
      </c>
      <c r="J116">
        <v>0.74</v>
      </c>
      <c r="L116">
        <v>0.58730518547177657</v>
      </c>
      <c r="M116">
        <v>0.55465618799348748</v>
      </c>
      <c r="N116">
        <v>0.60362968421092122</v>
      </c>
      <c r="O116">
        <v>0.53833168925434283</v>
      </c>
    </row>
    <row r="117" spans="1:15">
      <c r="A117" s="19">
        <v>43690</v>
      </c>
      <c r="B117">
        <v>789</v>
      </c>
      <c r="C117">
        <v>783</v>
      </c>
      <c r="D117">
        <v>1391</v>
      </c>
      <c r="E117">
        <v>1377</v>
      </c>
      <c r="F117">
        <v>0.56862745098039202</v>
      </c>
      <c r="G117">
        <v>0.57083825261313803</v>
      </c>
      <c r="H117">
        <v>1.63333678081896E-2</v>
      </c>
      <c r="I117">
        <v>-0.13535491631051999</v>
      </c>
      <c r="J117">
        <v>-0.39</v>
      </c>
      <c r="L117">
        <v>0.58717162042132764</v>
      </c>
      <c r="M117">
        <v>0.55450488480494842</v>
      </c>
      <c r="N117">
        <v>0.60350498822951726</v>
      </c>
      <c r="O117">
        <v>0.5381715169967588</v>
      </c>
    </row>
    <row r="118" spans="1:15">
      <c r="A118" s="19">
        <v>43686</v>
      </c>
      <c r="B118">
        <v>794</v>
      </c>
      <c r="C118">
        <v>807</v>
      </c>
      <c r="D118">
        <v>1415</v>
      </c>
      <c r="E118">
        <v>1412</v>
      </c>
      <c r="F118">
        <v>0.57152974504249199</v>
      </c>
      <c r="G118">
        <v>0.570712066016687</v>
      </c>
      <c r="H118">
        <v>1.63864321086594E-2</v>
      </c>
      <c r="I118">
        <v>4.9899759775852898E-2</v>
      </c>
      <c r="J118">
        <v>0.14000000000000001</v>
      </c>
      <c r="L118">
        <v>0.58709849812534642</v>
      </c>
      <c r="M118">
        <v>0.55432563390802758</v>
      </c>
      <c r="N118">
        <v>0.60348493023400585</v>
      </c>
      <c r="O118">
        <v>0.53793920179936816</v>
      </c>
    </row>
    <row r="119" spans="1:15">
      <c r="A119" s="19">
        <v>43685</v>
      </c>
      <c r="B119">
        <v>767</v>
      </c>
      <c r="C119">
        <v>780</v>
      </c>
      <c r="D119">
        <v>1391</v>
      </c>
      <c r="E119">
        <v>1406</v>
      </c>
      <c r="F119">
        <v>0.55476529160739596</v>
      </c>
      <c r="G119">
        <v>0.57078255497722197</v>
      </c>
      <c r="H119">
        <v>1.6401162009568301E-2</v>
      </c>
      <c r="I119">
        <v>-0.97659320482789402</v>
      </c>
      <c r="J119">
        <v>-2.89</v>
      </c>
      <c r="L119">
        <v>0.58718371698679028</v>
      </c>
      <c r="M119">
        <v>0.55438139296765365</v>
      </c>
      <c r="N119">
        <v>0.6035848789963586</v>
      </c>
      <c r="O119">
        <v>0.53798023095808534</v>
      </c>
    </row>
    <row r="120" spans="1:15">
      <c r="A120" s="19">
        <v>43684</v>
      </c>
      <c r="B120">
        <v>793</v>
      </c>
      <c r="C120">
        <v>773</v>
      </c>
      <c r="D120">
        <v>1390</v>
      </c>
      <c r="E120">
        <v>1407</v>
      </c>
      <c r="F120">
        <v>0.54939587775408605</v>
      </c>
      <c r="G120">
        <v>0.57111797083113203</v>
      </c>
      <c r="H120">
        <v>1.63272320972392E-2</v>
      </c>
      <c r="I120">
        <v>-1.33042103815736</v>
      </c>
      <c r="J120">
        <v>-3.95</v>
      </c>
      <c r="L120">
        <v>0.58744520292837121</v>
      </c>
      <c r="M120">
        <v>0.55479073873389284</v>
      </c>
      <c r="N120">
        <v>0.6037724350256104</v>
      </c>
      <c r="O120">
        <v>0.53846350663665365</v>
      </c>
    </row>
    <row r="121" spans="1:15">
      <c r="A121" s="19">
        <v>43683</v>
      </c>
      <c r="B121">
        <v>761</v>
      </c>
      <c r="C121">
        <v>796</v>
      </c>
      <c r="D121">
        <v>1369</v>
      </c>
      <c r="E121">
        <v>1406</v>
      </c>
      <c r="F121">
        <v>0.56614509246088196</v>
      </c>
      <c r="G121">
        <v>0.57157611039677902</v>
      </c>
      <c r="H121">
        <v>1.6192807203874299E-2</v>
      </c>
      <c r="I121">
        <v>-0.33539693689419597</v>
      </c>
      <c r="J121">
        <v>-0.96</v>
      </c>
      <c r="L121">
        <v>0.58776891760065331</v>
      </c>
      <c r="M121">
        <v>0.55538330319290474</v>
      </c>
      <c r="N121">
        <v>0.60396172480452759</v>
      </c>
      <c r="O121">
        <v>0.53919049598903046</v>
      </c>
    </row>
    <row r="122" spans="1:15">
      <c r="A122" s="19">
        <v>43682</v>
      </c>
      <c r="B122">
        <v>798</v>
      </c>
      <c r="C122">
        <v>798</v>
      </c>
      <c r="D122">
        <v>1424</v>
      </c>
      <c r="E122">
        <v>1418</v>
      </c>
      <c r="F122">
        <v>0.562764456981664</v>
      </c>
      <c r="G122">
        <v>0.571672560358507</v>
      </c>
      <c r="H122">
        <v>1.6181710485495701E-2</v>
      </c>
      <c r="I122">
        <v>-0.55050443430115503</v>
      </c>
      <c r="J122">
        <v>-1.58</v>
      </c>
      <c r="L122">
        <v>0.58785427084400266</v>
      </c>
      <c r="M122">
        <v>0.55549084987301134</v>
      </c>
      <c r="N122">
        <v>0.60403598132949843</v>
      </c>
      <c r="O122">
        <v>0.53930913938751557</v>
      </c>
    </row>
    <row r="123" spans="1:15">
      <c r="A123" s="19">
        <v>43679</v>
      </c>
      <c r="B123">
        <v>838</v>
      </c>
      <c r="C123">
        <v>801</v>
      </c>
      <c r="D123">
        <v>1446</v>
      </c>
      <c r="E123">
        <v>1437</v>
      </c>
      <c r="F123">
        <v>0.55741127348643005</v>
      </c>
      <c r="G123">
        <v>0.57181720338584097</v>
      </c>
      <c r="H123">
        <v>1.61498904935082E-2</v>
      </c>
      <c r="I123">
        <v>-0.89201409168698897</v>
      </c>
      <c r="J123">
        <v>-2.58</v>
      </c>
      <c r="L123">
        <v>0.5879670938793492</v>
      </c>
      <c r="M123">
        <v>0.55566731289233273</v>
      </c>
      <c r="N123">
        <v>0.60411698437285732</v>
      </c>
      <c r="O123">
        <v>0.53951742239882461</v>
      </c>
    </row>
    <row r="124" spans="1:15">
      <c r="A124" s="19">
        <v>43678</v>
      </c>
      <c r="B124">
        <v>852</v>
      </c>
      <c r="C124">
        <v>862</v>
      </c>
      <c r="D124">
        <v>1499</v>
      </c>
      <c r="E124">
        <v>1473</v>
      </c>
      <c r="F124">
        <v>0.58520027155465004</v>
      </c>
      <c r="G124">
        <v>0.57213065216411396</v>
      </c>
      <c r="H124">
        <v>1.6095292193901101E-2</v>
      </c>
      <c r="I124">
        <v>0.81201504347268305</v>
      </c>
      <c r="J124">
        <v>2.23</v>
      </c>
      <c r="L124">
        <v>0.58822594435801512</v>
      </c>
      <c r="M124">
        <v>0.55603535997021281</v>
      </c>
      <c r="N124">
        <v>0.60432123655191616</v>
      </c>
      <c r="O124">
        <v>0.53994006777631176</v>
      </c>
    </row>
    <row r="125" spans="1:15">
      <c r="A125" s="19">
        <v>43677</v>
      </c>
      <c r="B125">
        <v>868</v>
      </c>
      <c r="C125">
        <v>854</v>
      </c>
      <c r="D125">
        <v>1465</v>
      </c>
      <c r="E125">
        <v>1531</v>
      </c>
      <c r="F125">
        <v>0.55780535597648595</v>
      </c>
      <c r="G125">
        <v>0.57205440051632805</v>
      </c>
      <c r="H125">
        <v>1.6046667255183798E-2</v>
      </c>
      <c r="I125">
        <v>-0.88797532305276305</v>
      </c>
      <c r="J125">
        <v>-2.5499999999999998</v>
      </c>
      <c r="L125">
        <v>0.58810106777151183</v>
      </c>
      <c r="M125">
        <v>0.55600773326114428</v>
      </c>
      <c r="N125">
        <v>0.60414773502669561</v>
      </c>
      <c r="O125">
        <v>0.5399610660059605</v>
      </c>
    </row>
    <row r="126" spans="1:15">
      <c r="A126" s="19">
        <v>43676</v>
      </c>
      <c r="B126">
        <v>870</v>
      </c>
      <c r="C126">
        <v>868</v>
      </c>
      <c r="D126">
        <v>1461</v>
      </c>
      <c r="E126">
        <v>1488</v>
      </c>
      <c r="F126">
        <v>0.58333333333333304</v>
      </c>
      <c r="G126">
        <v>0.57228853682734204</v>
      </c>
      <c r="H126">
        <v>1.5964954075992001E-2</v>
      </c>
      <c r="I126">
        <v>0.69181511286648101</v>
      </c>
      <c r="J126">
        <v>1.89</v>
      </c>
      <c r="L126">
        <v>0.58825349090333401</v>
      </c>
      <c r="M126">
        <v>0.55632358275135008</v>
      </c>
      <c r="N126">
        <v>0.60421844497932609</v>
      </c>
      <c r="O126">
        <v>0.540358628675358</v>
      </c>
    </row>
    <row r="127" spans="1:15">
      <c r="A127" s="19">
        <v>43675</v>
      </c>
      <c r="B127">
        <v>852</v>
      </c>
      <c r="C127">
        <v>862</v>
      </c>
      <c r="D127">
        <v>1450</v>
      </c>
      <c r="E127">
        <v>1445</v>
      </c>
      <c r="F127">
        <v>0.59653979238754296</v>
      </c>
      <c r="G127">
        <v>0.57234859688740203</v>
      </c>
      <c r="H127">
        <v>1.6014786746373001E-2</v>
      </c>
      <c r="I127">
        <v>1.5105537078487301</v>
      </c>
      <c r="J127">
        <v>4.0599999999999996</v>
      </c>
      <c r="L127">
        <v>0.58836338363377505</v>
      </c>
      <c r="M127">
        <v>0.55633381014102901</v>
      </c>
      <c r="N127">
        <v>0.60437817038014807</v>
      </c>
      <c r="O127">
        <v>0.54031902339465598</v>
      </c>
    </row>
    <row r="128" spans="1:15">
      <c r="A128" s="19">
        <v>43672</v>
      </c>
      <c r="B128">
        <v>849</v>
      </c>
      <c r="C128">
        <v>848</v>
      </c>
      <c r="D128">
        <v>1457</v>
      </c>
      <c r="E128">
        <v>1455</v>
      </c>
      <c r="F128">
        <v>0.58281786941580704</v>
      </c>
      <c r="G128">
        <v>0.57216172328016401</v>
      </c>
      <c r="H128">
        <v>1.5811900952600599E-2</v>
      </c>
      <c r="I128">
        <v>0.67393200650492902</v>
      </c>
      <c r="J128">
        <v>1.83</v>
      </c>
      <c r="L128">
        <v>0.58797362423276467</v>
      </c>
      <c r="M128">
        <v>0.55634982232756336</v>
      </c>
      <c r="N128">
        <v>0.60378552518536521</v>
      </c>
      <c r="O128">
        <v>0.54053792137496282</v>
      </c>
    </row>
    <row r="129" spans="1:15">
      <c r="A129" s="19">
        <v>43671</v>
      </c>
      <c r="B129">
        <v>845</v>
      </c>
      <c r="C129">
        <v>846</v>
      </c>
      <c r="D129">
        <v>1471</v>
      </c>
      <c r="E129">
        <v>1478</v>
      </c>
      <c r="F129">
        <v>0.57239512855209695</v>
      </c>
      <c r="G129">
        <v>0.57214881184495103</v>
      </c>
      <c r="H129">
        <v>1.5803587429306602E-2</v>
      </c>
      <c r="I129">
        <v>1.5586126140527699E-2</v>
      </c>
      <c r="J129">
        <v>0.04</v>
      </c>
      <c r="L129">
        <v>0.58795239927425769</v>
      </c>
      <c r="M129">
        <v>0.55634522441564438</v>
      </c>
      <c r="N129">
        <v>0.60375598670356423</v>
      </c>
      <c r="O129">
        <v>0.54054163698633784</v>
      </c>
    </row>
    <row r="130" spans="1:15">
      <c r="A130" s="19">
        <v>43670</v>
      </c>
      <c r="B130">
        <v>849</v>
      </c>
      <c r="C130">
        <v>843</v>
      </c>
      <c r="D130">
        <v>1472</v>
      </c>
      <c r="E130">
        <v>1463</v>
      </c>
      <c r="F130">
        <v>0.57621326042378596</v>
      </c>
      <c r="G130">
        <v>0.57232925665149204</v>
      </c>
      <c r="H130">
        <v>1.58824347335111E-2</v>
      </c>
      <c r="I130">
        <v>0.24454712627272299</v>
      </c>
      <c r="J130">
        <v>0.67</v>
      </c>
      <c r="L130">
        <v>0.58821169138500318</v>
      </c>
      <c r="M130">
        <v>0.55644682191798089</v>
      </c>
      <c r="N130">
        <v>0.60409412611851421</v>
      </c>
      <c r="O130">
        <v>0.54056438718446986</v>
      </c>
    </row>
    <row r="131" spans="1:15">
      <c r="A131" s="19">
        <v>43669</v>
      </c>
      <c r="B131">
        <v>823</v>
      </c>
      <c r="C131">
        <v>847</v>
      </c>
      <c r="D131">
        <v>1443</v>
      </c>
      <c r="E131">
        <v>1457</v>
      </c>
      <c r="F131">
        <v>0.58133150308853798</v>
      </c>
      <c r="G131">
        <v>0.57237183493600996</v>
      </c>
      <c r="H131">
        <v>1.5897063781174801E-2</v>
      </c>
      <c r="I131">
        <v>0.56360522143323799</v>
      </c>
      <c r="J131">
        <v>1.54</v>
      </c>
      <c r="L131">
        <v>0.5882688987171848</v>
      </c>
      <c r="M131">
        <v>0.55647477115483512</v>
      </c>
      <c r="N131">
        <v>0.60416596249835952</v>
      </c>
      <c r="O131">
        <v>0.5405777073736604</v>
      </c>
    </row>
    <row r="132" spans="1:15">
      <c r="A132" s="19">
        <v>43668</v>
      </c>
      <c r="B132">
        <v>822</v>
      </c>
      <c r="C132">
        <v>827</v>
      </c>
      <c r="D132">
        <v>1439</v>
      </c>
      <c r="E132">
        <v>1437</v>
      </c>
      <c r="F132">
        <v>0.57550452331245605</v>
      </c>
      <c r="G132">
        <v>0.57231826066597402</v>
      </c>
      <c r="H132">
        <v>1.5873531947206799E-2</v>
      </c>
      <c r="I132">
        <v>0.20072802052366001</v>
      </c>
      <c r="J132">
        <v>0.55000000000000004</v>
      </c>
      <c r="L132">
        <v>0.58819179261318078</v>
      </c>
      <c r="M132">
        <v>0.55644472871876727</v>
      </c>
      <c r="N132">
        <v>0.60406532456038764</v>
      </c>
      <c r="O132">
        <v>0.5405711967715604</v>
      </c>
    </row>
    <row r="133" spans="1:15">
      <c r="A133" s="19">
        <v>43665</v>
      </c>
      <c r="B133">
        <v>801</v>
      </c>
      <c r="C133">
        <v>823</v>
      </c>
      <c r="D133">
        <v>1390</v>
      </c>
      <c r="E133">
        <v>1422</v>
      </c>
      <c r="F133">
        <v>0.57876230661040695</v>
      </c>
      <c r="G133">
        <v>0.57220598807130096</v>
      </c>
      <c r="H133">
        <v>1.5880375831755899E-2</v>
      </c>
      <c r="I133">
        <v>0.41285663567203201</v>
      </c>
      <c r="J133">
        <v>1.1299999999999999</v>
      </c>
      <c r="L133">
        <v>0.58808636390305691</v>
      </c>
      <c r="M133">
        <v>0.55632561223954502</v>
      </c>
      <c r="N133">
        <v>0.60396673973481274</v>
      </c>
      <c r="O133">
        <v>0.54044523640778919</v>
      </c>
    </row>
    <row r="134" spans="1:15">
      <c r="A134" s="19">
        <v>43664</v>
      </c>
      <c r="B134">
        <v>828</v>
      </c>
      <c r="C134">
        <v>802</v>
      </c>
      <c r="D134">
        <v>1411</v>
      </c>
      <c r="E134">
        <v>1391</v>
      </c>
      <c r="F134">
        <v>0.57656362329259503</v>
      </c>
      <c r="G134">
        <v>0.57203588628845803</v>
      </c>
      <c r="H134">
        <v>1.58775632650602E-2</v>
      </c>
      <c r="I134">
        <v>0.28516573535563</v>
      </c>
      <c r="J134">
        <v>0.79</v>
      </c>
      <c r="L134">
        <v>0.58791344955351821</v>
      </c>
      <c r="M134">
        <v>0.55615832302339785</v>
      </c>
      <c r="N134">
        <v>0.60379101281857839</v>
      </c>
      <c r="O134">
        <v>0.54028075975833767</v>
      </c>
    </row>
    <row r="135" spans="1:15">
      <c r="A135" s="19">
        <v>43663</v>
      </c>
      <c r="B135">
        <v>830</v>
      </c>
      <c r="C135">
        <v>839</v>
      </c>
      <c r="D135">
        <v>1438</v>
      </c>
      <c r="E135">
        <v>1422</v>
      </c>
      <c r="F135">
        <v>0.59001406469760898</v>
      </c>
      <c r="G135">
        <v>0.57168746833331796</v>
      </c>
      <c r="H135">
        <v>1.6060048592316099E-2</v>
      </c>
      <c r="I135">
        <v>1.1411295712429399</v>
      </c>
      <c r="J135">
        <v>3.11</v>
      </c>
      <c r="L135">
        <v>0.58774751692563409</v>
      </c>
      <c r="M135">
        <v>0.55562741974100183</v>
      </c>
      <c r="N135">
        <v>0.60380756551795012</v>
      </c>
      <c r="O135">
        <v>0.5395673711486858</v>
      </c>
    </row>
    <row r="136" spans="1:15">
      <c r="A136" s="19">
        <v>43662</v>
      </c>
      <c r="B136">
        <v>825</v>
      </c>
      <c r="C136">
        <v>830</v>
      </c>
      <c r="D136">
        <v>1432</v>
      </c>
      <c r="E136">
        <v>1439</v>
      </c>
      <c r="F136">
        <v>0.57678943710910302</v>
      </c>
      <c r="G136">
        <v>0.57114009979511404</v>
      </c>
      <c r="H136">
        <v>1.6125559453635599E-2</v>
      </c>
      <c r="I136">
        <v>0.350334345312587</v>
      </c>
      <c r="J136">
        <v>0.98</v>
      </c>
      <c r="L136">
        <v>0.58726565924874963</v>
      </c>
      <c r="M136">
        <v>0.55501454034147846</v>
      </c>
      <c r="N136">
        <v>0.60339121870238521</v>
      </c>
      <c r="O136">
        <v>0.53888898088784287</v>
      </c>
    </row>
    <row r="137" spans="1:15">
      <c r="A137" s="19">
        <v>43658</v>
      </c>
      <c r="B137">
        <v>840</v>
      </c>
      <c r="C137">
        <v>830</v>
      </c>
      <c r="D137">
        <v>1441</v>
      </c>
      <c r="E137">
        <v>1435</v>
      </c>
      <c r="F137">
        <v>0.57839721254355403</v>
      </c>
      <c r="G137">
        <v>0.57084079497523499</v>
      </c>
      <c r="H137">
        <v>1.62259387920499E-2</v>
      </c>
      <c r="I137">
        <v>0.46569986890499698</v>
      </c>
      <c r="J137">
        <v>1.31</v>
      </c>
      <c r="L137">
        <v>0.58706673376728491</v>
      </c>
      <c r="M137">
        <v>0.55461485618318507</v>
      </c>
      <c r="N137">
        <v>0.60329267255933483</v>
      </c>
      <c r="O137">
        <v>0.53838891739113515</v>
      </c>
    </row>
    <row r="138" spans="1:15">
      <c r="A138" s="19">
        <v>43657</v>
      </c>
      <c r="B138">
        <v>818</v>
      </c>
      <c r="C138">
        <v>833</v>
      </c>
      <c r="D138">
        <v>1410</v>
      </c>
      <c r="E138">
        <v>1440</v>
      </c>
      <c r="F138">
        <v>0.57847222222222205</v>
      </c>
      <c r="G138">
        <v>0.57056872442829998</v>
      </c>
      <c r="H138">
        <v>1.6267974325886701E-2</v>
      </c>
      <c r="I138">
        <v>0.48583171054957802</v>
      </c>
      <c r="J138">
        <v>1.37</v>
      </c>
      <c r="L138">
        <v>0.58683669875418665</v>
      </c>
      <c r="M138">
        <v>0.55430075010241331</v>
      </c>
      <c r="N138">
        <v>0.60310467308007343</v>
      </c>
      <c r="O138">
        <v>0.53803277577652653</v>
      </c>
    </row>
    <row r="139" spans="1:15">
      <c r="A139" s="19">
        <v>43656</v>
      </c>
      <c r="B139">
        <v>818</v>
      </c>
      <c r="C139">
        <v>816</v>
      </c>
      <c r="D139">
        <v>1410</v>
      </c>
      <c r="E139">
        <v>1416</v>
      </c>
      <c r="F139">
        <v>0.57627118644067798</v>
      </c>
      <c r="G139">
        <v>0.57025201701445805</v>
      </c>
      <c r="H139">
        <v>1.63420702891999E-2</v>
      </c>
      <c r="I139">
        <v>0.36832355507594799</v>
      </c>
      <c r="J139">
        <v>1.04</v>
      </c>
      <c r="L139">
        <v>0.58659408730365792</v>
      </c>
      <c r="M139">
        <v>0.55390994672525817</v>
      </c>
      <c r="N139">
        <v>0.60293615759285779</v>
      </c>
      <c r="O139">
        <v>0.5375678764360583</v>
      </c>
    </row>
    <row r="140" spans="1:15">
      <c r="A140" s="19">
        <v>43655</v>
      </c>
      <c r="B140">
        <v>821</v>
      </c>
      <c r="C140">
        <v>817</v>
      </c>
      <c r="D140">
        <v>1440</v>
      </c>
      <c r="E140">
        <v>1429</v>
      </c>
      <c r="F140">
        <v>0.57172848145556299</v>
      </c>
      <c r="G140">
        <v>0.56996029570756301</v>
      </c>
      <c r="H140">
        <v>1.6427078837719E-2</v>
      </c>
      <c r="I140">
        <v>0.107638477021249</v>
      </c>
      <c r="J140">
        <v>0.31</v>
      </c>
      <c r="L140">
        <v>0.586387374545282</v>
      </c>
      <c r="M140">
        <v>0.55353321686984402</v>
      </c>
      <c r="N140">
        <v>0.60281445338300099</v>
      </c>
      <c r="O140">
        <v>0.53710613803212504</v>
      </c>
    </row>
    <row r="141" spans="1:15">
      <c r="A141" s="19">
        <v>43654</v>
      </c>
      <c r="B141">
        <v>818</v>
      </c>
      <c r="C141">
        <v>824</v>
      </c>
      <c r="D141">
        <v>1460</v>
      </c>
      <c r="E141">
        <v>1446</v>
      </c>
      <c r="F141">
        <v>0.56984785615490996</v>
      </c>
      <c r="G141">
        <v>0.56954031442225495</v>
      </c>
      <c r="H141">
        <v>1.67754626170213E-2</v>
      </c>
      <c r="I141">
        <v>1.83328316885129E-2</v>
      </c>
      <c r="J141">
        <v>0.05</v>
      </c>
      <c r="L141">
        <v>0.58631577703927629</v>
      </c>
      <c r="M141">
        <v>0.5527648518052336</v>
      </c>
      <c r="N141">
        <v>0.60309123965629752</v>
      </c>
      <c r="O141">
        <v>0.53598938918821237</v>
      </c>
    </row>
    <row r="142" spans="1:15">
      <c r="A142" s="19">
        <v>43651</v>
      </c>
      <c r="B142">
        <v>821</v>
      </c>
      <c r="C142">
        <v>821</v>
      </c>
      <c r="D142">
        <v>1444</v>
      </c>
      <c r="E142">
        <v>1457</v>
      </c>
      <c r="F142">
        <v>0.56348661633493402</v>
      </c>
      <c r="G142">
        <v>0.569216468343265</v>
      </c>
      <c r="H142">
        <v>1.69993470045024E-2</v>
      </c>
      <c r="I142">
        <v>-0.33706306523498403</v>
      </c>
      <c r="J142">
        <v>-1.02</v>
      </c>
      <c r="L142">
        <v>0.58621581534776745</v>
      </c>
      <c r="M142">
        <v>0.55221712133876255</v>
      </c>
      <c r="N142">
        <v>0.6032151623522698</v>
      </c>
      <c r="O142">
        <v>0.53521777433426021</v>
      </c>
    </row>
    <row r="143" spans="1:15">
      <c r="A143" s="19">
        <v>43650</v>
      </c>
      <c r="B143">
        <v>825</v>
      </c>
      <c r="C143">
        <v>819</v>
      </c>
      <c r="D143">
        <v>1442</v>
      </c>
      <c r="E143">
        <v>1443</v>
      </c>
      <c r="F143">
        <v>0.56756756756756699</v>
      </c>
      <c r="G143">
        <v>0.56885208935333798</v>
      </c>
      <c r="H143">
        <v>1.7406280634534501E-2</v>
      </c>
      <c r="I143">
        <v>-7.3796453862886205E-2</v>
      </c>
      <c r="J143">
        <v>-0.23</v>
      </c>
      <c r="L143">
        <v>0.58625836998787251</v>
      </c>
      <c r="M143">
        <v>0.55144580871880344</v>
      </c>
      <c r="N143">
        <v>0.60366465062240693</v>
      </c>
      <c r="O143">
        <v>0.53403952808426902</v>
      </c>
    </row>
    <row r="144" spans="1:15">
      <c r="A144" s="19">
        <v>43649</v>
      </c>
      <c r="B144">
        <v>831</v>
      </c>
      <c r="C144">
        <v>817</v>
      </c>
      <c r="D144">
        <v>1427</v>
      </c>
      <c r="E144">
        <v>1435</v>
      </c>
      <c r="F144">
        <v>0.56933797909407602</v>
      </c>
      <c r="G144">
        <v>0.56850330112849301</v>
      </c>
      <c r="H144">
        <v>1.7688329383622199E-2</v>
      </c>
      <c r="I144">
        <v>4.7188060979665998E-2</v>
      </c>
      <c r="J144">
        <v>0.15</v>
      </c>
      <c r="L144">
        <v>0.5861916305121152</v>
      </c>
      <c r="M144">
        <v>0.55081497174487082</v>
      </c>
      <c r="N144">
        <v>0.60387995989573739</v>
      </c>
      <c r="O144">
        <v>0.53312664236124863</v>
      </c>
    </row>
    <row r="145" spans="1:15">
      <c r="A145" s="19">
        <v>43648</v>
      </c>
      <c r="B145">
        <v>842</v>
      </c>
      <c r="C145">
        <v>836</v>
      </c>
      <c r="D145">
        <v>1443</v>
      </c>
      <c r="E145">
        <v>1445</v>
      </c>
      <c r="F145">
        <v>0.57854671280276804</v>
      </c>
      <c r="G145">
        <v>0.56809043159381301</v>
      </c>
      <c r="H145">
        <v>1.8022261314117799E-2</v>
      </c>
      <c r="I145">
        <v>0.58018697136320796</v>
      </c>
      <c r="J145">
        <v>1.81</v>
      </c>
      <c r="L145">
        <v>0.58611269290793078</v>
      </c>
      <c r="M145">
        <v>0.55006817027969523</v>
      </c>
      <c r="N145">
        <v>0.60413495422204866</v>
      </c>
      <c r="O145">
        <v>0.53204590896557735</v>
      </c>
    </row>
    <row r="146" spans="1:15">
      <c r="A146" s="19">
        <v>43647</v>
      </c>
      <c r="B146">
        <v>840</v>
      </c>
      <c r="C146">
        <v>844</v>
      </c>
      <c r="D146">
        <v>1424</v>
      </c>
      <c r="E146">
        <v>1448</v>
      </c>
      <c r="F146">
        <v>0.58287292817679504</v>
      </c>
      <c r="G146">
        <v>0.56757631975080003</v>
      </c>
      <c r="H146">
        <v>1.8264980698454499E-2</v>
      </c>
      <c r="I146">
        <v>0.837482868366208</v>
      </c>
      <c r="J146">
        <v>2.62</v>
      </c>
      <c r="L146">
        <v>0.58584130044925453</v>
      </c>
      <c r="M146">
        <v>0.54931133905234553</v>
      </c>
      <c r="N146">
        <v>0.60410628114770903</v>
      </c>
      <c r="O146">
        <v>0.53104635835389102</v>
      </c>
    </row>
    <row r="147" spans="1:15">
      <c r="A147" s="19">
        <v>43644</v>
      </c>
      <c r="B147">
        <v>822</v>
      </c>
      <c r="C147">
        <v>823</v>
      </c>
      <c r="D147">
        <v>1419</v>
      </c>
      <c r="E147">
        <v>1414</v>
      </c>
      <c r="F147">
        <v>0.58203677510608198</v>
      </c>
      <c r="G147">
        <v>0.56696336615445198</v>
      </c>
      <c r="H147">
        <v>1.8511077598455699E-2</v>
      </c>
      <c r="I147">
        <v>0.81429127350678598</v>
      </c>
      <c r="J147">
        <v>2.59</v>
      </c>
      <c r="L147">
        <v>0.58547444375290769</v>
      </c>
      <c r="M147">
        <v>0.54845228855599626</v>
      </c>
      <c r="N147">
        <v>0.60398552135136341</v>
      </c>
      <c r="O147">
        <v>0.52994121095754054</v>
      </c>
    </row>
    <row r="148" spans="1:15">
      <c r="A148" s="19">
        <v>43643</v>
      </c>
      <c r="B148">
        <v>817</v>
      </c>
      <c r="C148">
        <v>828</v>
      </c>
      <c r="D148">
        <v>1387</v>
      </c>
      <c r="E148">
        <v>1414</v>
      </c>
      <c r="F148">
        <v>0.58557284299858503</v>
      </c>
      <c r="G148">
        <v>0.56626909853520602</v>
      </c>
      <c r="H148">
        <v>1.8904988531348699E-2</v>
      </c>
      <c r="I148">
        <v>1.0210926302001999</v>
      </c>
      <c r="J148">
        <v>3.3</v>
      </c>
      <c r="L148">
        <v>0.58517408706655472</v>
      </c>
      <c r="M148">
        <v>0.54736411000385732</v>
      </c>
      <c r="N148">
        <v>0.60407907559790341</v>
      </c>
      <c r="O148">
        <v>0.52845912147250862</v>
      </c>
    </row>
    <row r="149" spans="1:15">
      <c r="A149" s="19">
        <v>43642</v>
      </c>
      <c r="B149">
        <v>802</v>
      </c>
      <c r="C149">
        <v>812</v>
      </c>
      <c r="D149">
        <v>1379</v>
      </c>
      <c r="E149">
        <v>1371</v>
      </c>
      <c r="F149">
        <v>0.59226841721371204</v>
      </c>
      <c r="G149">
        <v>0.56537015149764502</v>
      </c>
      <c r="H149">
        <v>1.9557411153349899E-2</v>
      </c>
      <c r="I149">
        <v>1.3753489920091</v>
      </c>
      <c r="J149">
        <v>4.54</v>
      </c>
      <c r="L149">
        <v>0.58492756265099488</v>
      </c>
      <c r="M149">
        <v>0.54581274034429517</v>
      </c>
      <c r="N149">
        <v>0.60448497380434485</v>
      </c>
      <c r="O149">
        <v>0.5262553291909452</v>
      </c>
    </row>
    <row r="150" spans="1:15">
      <c r="A150" s="19">
        <v>43641</v>
      </c>
      <c r="B150">
        <v>825</v>
      </c>
      <c r="C150">
        <v>818</v>
      </c>
      <c r="D150">
        <v>1400</v>
      </c>
      <c r="E150">
        <v>1386</v>
      </c>
      <c r="F150">
        <v>0.59018759018759004</v>
      </c>
      <c r="G150">
        <v>0.56441120273349299</v>
      </c>
      <c r="H150">
        <v>1.9973816257203399E-2</v>
      </c>
      <c r="I150">
        <v>1.2905088903479101</v>
      </c>
      <c r="J150">
        <v>4.37</v>
      </c>
      <c r="L150">
        <v>0.58438501899069639</v>
      </c>
      <c r="M150">
        <v>0.54443738647628959</v>
      </c>
      <c r="N150">
        <v>0.60435883524789979</v>
      </c>
      <c r="O150">
        <v>0.52446357021908618</v>
      </c>
    </row>
    <row r="151" spans="1:15">
      <c r="A151" s="19">
        <v>43640</v>
      </c>
      <c r="B151">
        <v>825</v>
      </c>
      <c r="C151">
        <v>827</v>
      </c>
      <c r="D151">
        <v>1378</v>
      </c>
      <c r="E151">
        <v>1401</v>
      </c>
      <c r="F151">
        <v>0.59029264810849302</v>
      </c>
      <c r="G151">
        <v>0.56340542284246697</v>
      </c>
      <c r="H151">
        <v>2.0541676843614399E-2</v>
      </c>
      <c r="I151">
        <v>1.3089109263436001</v>
      </c>
      <c r="J151">
        <v>4.55</v>
      </c>
      <c r="L151">
        <v>0.58394709968608138</v>
      </c>
      <c r="M151">
        <v>0.54286374599885256</v>
      </c>
      <c r="N151">
        <v>0.60448877652969579</v>
      </c>
      <c r="O151">
        <v>0.52232206915523816</v>
      </c>
    </row>
    <row r="152" spans="1:15">
      <c r="A152" s="19">
        <v>43637</v>
      </c>
      <c r="B152">
        <v>830</v>
      </c>
      <c r="C152">
        <v>822</v>
      </c>
      <c r="D152">
        <v>1410</v>
      </c>
      <c r="E152">
        <v>1385</v>
      </c>
      <c r="F152">
        <v>0.59350180505415095</v>
      </c>
      <c r="G152">
        <v>0.56245247558672695</v>
      </c>
      <c r="H152">
        <v>2.09264497569106E-2</v>
      </c>
      <c r="I152">
        <v>1.4837361247657599</v>
      </c>
      <c r="J152">
        <v>5.23</v>
      </c>
      <c r="L152">
        <v>0.58337892534363756</v>
      </c>
      <c r="M152">
        <v>0.54152602582981635</v>
      </c>
      <c r="N152">
        <v>0.60430537510054816</v>
      </c>
      <c r="O152">
        <v>0.52059957607290575</v>
      </c>
    </row>
    <row r="153" spans="1:15">
      <c r="A153" s="19">
        <v>43636</v>
      </c>
      <c r="B153">
        <v>823</v>
      </c>
      <c r="C153">
        <v>827</v>
      </c>
      <c r="D153">
        <v>1419</v>
      </c>
      <c r="E153">
        <v>1412</v>
      </c>
      <c r="F153">
        <v>0.58569405099150096</v>
      </c>
      <c r="G153">
        <v>0.56156273455521399</v>
      </c>
      <c r="H153">
        <v>2.1005853189193499E-2</v>
      </c>
      <c r="I153">
        <v>1.1487901119246899</v>
      </c>
      <c r="J153">
        <v>4.12</v>
      </c>
      <c r="L153">
        <v>0.58256858774440745</v>
      </c>
      <c r="M153">
        <v>0.54055688136602054</v>
      </c>
      <c r="N153">
        <v>0.60357444093360102</v>
      </c>
      <c r="O153">
        <v>0.51955102817682697</v>
      </c>
    </row>
    <row r="154" spans="1:15">
      <c r="A154" s="19">
        <v>43635</v>
      </c>
      <c r="B154">
        <v>823</v>
      </c>
      <c r="C154">
        <v>824</v>
      </c>
      <c r="D154">
        <v>1409</v>
      </c>
      <c r="E154">
        <v>1421</v>
      </c>
      <c r="F154">
        <v>0.57987332864180097</v>
      </c>
      <c r="G154">
        <v>0.56068623854271304</v>
      </c>
      <c r="H154">
        <v>2.13493328274015E-2</v>
      </c>
      <c r="I154">
        <v>0.898720829086609</v>
      </c>
      <c r="J154">
        <v>3.31</v>
      </c>
      <c r="L154">
        <v>0.58203557137011452</v>
      </c>
      <c r="M154">
        <v>0.53933690571531157</v>
      </c>
      <c r="N154">
        <v>0.603384904197516</v>
      </c>
      <c r="O154">
        <v>0.51798757288791009</v>
      </c>
    </row>
    <row r="155" spans="1:15">
      <c r="A155" s="19">
        <v>43634</v>
      </c>
      <c r="B155">
        <v>800</v>
      </c>
      <c r="C155">
        <v>799</v>
      </c>
      <c r="D155">
        <v>1387</v>
      </c>
      <c r="E155">
        <v>1393</v>
      </c>
      <c r="F155">
        <v>0.57358219669777399</v>
      </c>
      <c r="G155">
        <v>0.55996571723222499</v>
      </c>
      <c r="H155">
        <v>2.1600040938063898E-2</v>
      </c>
      <c r="I155">
        <v>0.63039137308086302</v>
      </c>
      <c r="J155">
        <v>2.37</v>
      </c>
      <c r="L155">
        <v>0.58156575817028888</v>
      </c>
      <c r="M155">
        <v>0.5383656762941611</v>
      </c>
      <c r="N155">
        <v>0.60316579910835277</v>
      </c>
      <c r="O155">
        <v>0.51676563535609721</v>
      </c>
    </row>
    <row r="156" spans="1:15">
      <c r="A156" s="19">
        <v>43633</v>
      </c>
      <c r="B156">
        <v>819</v>
      </c>
      <c r="C156">
        <v>807</v>
      </c>
      <c r="D156">
        <v>1396</v>
      </c>
      <c r="E156">
        <v>1389</v>
      </c>
      <c r="F156">
        <v>0.58099352051835795</v>
      </c>
      <c r="G156">
        <v>0.55940674645820498</v>
      </c>
      <c r="H156">
        <v>2.17821146019593E-2</v>
      </c>
      <c r="I156">
        <v>0.99103206711671099</v>
      </c>
      <c r="J156">
        <v>3.72</v>
      </c>
      <c r="L156">
        <v>0.58118886106016432</v>
      </c>
      <c r="M156">
        <v>0.53762463185624565</v>
      </c>
      <c r="N156">
        <v>0.60297097566212354</v>
      </c>
      <c r="O156">
        <v>0.51584251725428643</v>
      </c>
    </row>
    <row r="157" spans="1:15">
      <c r="A157" s="19">
        <v>43630</v>
      </c>
      <c r="B157">
        <v>819</v>
      </c>
      <c r="C157">
        <v>825</v>
      </c>
      <c r="D157">
        <v>1396</v>
      </c>
      <c r="E157">
        <v>1396</v>
      </c>
      <c r="F157">
        <v>0.59097421203438305</v>
      </c>
      <c r="G157">
        <v>0.55868194908779401</v>
      </c>
      <c r="H157">
        <v>2.1955476612167901E-2</v>
      </c>
      <c r="I157">
        <v>1.47080673842867</v>
      </c>
      <c r="J157">
        <v>5.46</v>
      </c>
      <c r="L157">
        <v>0.58063742569996191</v>
      </c>
      <c r="M157">
        <v>0.5367264724756261</v>
      </c>
      <c r="N157">
        <v>0.60259290231212981</v>
      </c>
      <c r="O157">
        <v>0.5147709958634582</v>
      </c>
    </row>
    <row r="158" spans="1:15">
      <c r="A158" s="19">
        <v>43629</v>
      </c>
      <c r="B158">
        <v>810</v>
      </c>
      <c r="C158">
        <v>814</v>
      </c>
      <c r="D158">
        <v>1410</v>
      </c>
      <c r="E158">
        <v>1395</v>
      </c>
      <c r="F158">
        <v>0.58351254480286696</v>
      </c>
      <c r="G158">
        <v>0.55775126143982201</v>
      </c>
      <c r="H158">
        <v>2.20461383381995E-2</v>
      </c>
      <c r="I158">
        <v>1.1685168154101699</v>
      </c>
      <c r="J158">
        <v>4.41</v>
      </c>
      <c r="L158">
        <v>0.57979739977802147</v>
      </c>
      <c r="M158">
        <v>0.53570512310162255</v>
      </c>
      <c r="N158">
        <v>0.60184353811622104</v>
      </c>
      <c r="O158">
        <v>0.51365898476342298</v>
      </c>
    </row>
    <row r="159" spans="1:15">
      <c r="A159" s="19">
        <v>43628</v>
      </c>
      <c r="B159">
        <v>807</v>
      </c>
      <c r="C159">
        <v>814</v>
      </c>
      <c r="D159">
        <v>1427</v>
      </c>
      <c r="E159">
        <v>1419</v>
      </c>
      <c r="F159">
        <v>0.57364341085271298</v>
      </c>
      <c r="G159">
        <v>0.55690964773750196</v>
      </c>
      <c r="H159">
        <v>2.22505129303277E-2</v>
      </c>
      <c r="I159">
        <v>0.75206190381357796</v>
      </c>
      <c r="J159">
        <v>2.92</v>
      </c>
      <c r="L159">
        <v>0.5791601606678296</v>
      </c>
      <c r="M159">
        <v>0.53465913480717431</v>
      </c>
      <c r="N159">
        <v>0.60141067359815736</v>
      </c>
      <c r="O159">
        <v>0.51240862187684655</v>
      </c>
    </row>
    <row r="160" spans="1:15">
      <c r="A160" s="19">
        <v>43627</v>
      </c>
      <c r="B160">
        <v>792</v>
      </c>
      <c r="C160">
        <v>811</v>
      </c>
      <c r="D160">
        <v>1420</v>
      </c>
      <c r="E160">
        <v>1430</v>
      </c>
      <c r="F160">
        <v>0.56713286713286704</v>
      </c>
      <c r="G160">
        <v>0.55624554381197699</v>
      </c>
      <c r="H160">
        <v>2.24832365971597E-2</v>
      </c>
      <c r="I160">
        <v>0.48424181606775202</v>
      </c>
      <c r="J160">
        <v>1.92</v>
      </c>
      <c r="L160">
        <v>0.57872878040913667</v>
      </c>
      <c r="M160">
        <v>0.53376230721481732</v>
      </c>
      <c r="N160">
        <v>0.60121201700629645</v>
      </c>
      <c r="O160">
        <v>0.51127907061765754</v>
      </c>
    </row>
    <row r="161" spans="1:15">
      <c r="A161" s="19">
        <v>43626</v>
      </c>
      <c r="B161">
        <v>787</v>
      </c>
      <c r="C161">
        <v>790</v>
      </c>
      <c r="D161">
        <v>1420</v>
      </c>
      <c r="E161">
        <v>1419</v>
      </c>
      <c r="F161">
        <v>0.55673009161381204</v>
      </c>
      <c r="G161">
        <v>0.55578382877931798</v>
      </c>
      <c r="H161">
        <v>2.2610122142104502E-2</v>
      </c>
      <c r="I161">
        <v>4.1851292467453297E-2</v>
      </c>
      <c r="J161">
        <v>0.17</v>
      </c>
      <c r="L161">
        <v>0.57839395092142243</v>
      </c>
      <c r="M161">
        <v>0.53317370663721353</v>
      </c>
      <c r="N161">
        <v>0.60100407306352699</v>
      </c>
      <c r="O161">
        <v>0.51056358449510897</v>
      </c>
    </row>
    <row r="162" spans="1:15">
      <c r="A162" s="19">
        <v>43623</v>
      </c>
      <c r="B162">
        <v>769</v>
      </c>
      <c r="C162">
        <v>777</v>
      </c>
      <c r="D162">
        <v>1381</v>
      </c>
      <c r="E162">
        <v>1390</v>
      </c>
      <c r="F162">
        <v>0.55899280575539501</v>
      </c>
      <c r="G162">
        <v>0.55566341708267897</v>
      </c>
      <c r="H162">
        <v>2.2628801676823799E-2</v>
      </c>
      <c r="I162">
        <v>0.14713057811303701</v>
      </c>
      <c r="J162">
        <v>0.6</v>
      </c>
      <c r="L162">
        <v>0.57829221875950276</v>
      </c>
      <c r="M162">
        <v>0.53303461540585517</v>
      </c>
      <c r="N162">
        <v>0.60092102043632656</v>
      </c>
      <c r="O162">
        <v>0.51040581372903138</v>
      </c>
    </row>
    <row r="163" spans="1:15">
      <c r="A163" s="19">
        <v>43622</v>
      </c>
      <c r="B163">
        <v>775</v>
      </c>
      <c r="C163">
        <v>768</v>
      </c>
      <c r="D163">
        <v>1397</v>
      </c>
      <c r="E163">
        <v>1390</v>
      </c>
      <c r="F163">
        <v>0.55251798561151</v>
      </c>
      <c r="G163">
        <v>0.55510901881025199</v>
      </c>
      <c r="H163">
        <v>2.3045943277787799E-2</v>
      </c>
      <c r="I163">
        <v>-0.112429036534124</v>
      </c>
      <c r="J163">
        <v>-0.47</v>
      </c>
      <c r="L163">
        <v>0.57815496208803974</v>
      </c>
      <c r="M163">
        <v>0.53206307553246424</v>
      </c>
      <c r="N163">
        <v>0.6012009053658276</v>
      </c>
      <c r="O163">
        <v>0.50901713225467637</v>
      </c>
    </row>
    <row r="164" spans="1:15">
      <c r="A164" s="19">
        <v>43621</v>
      </c>
      <c r="B164">
        <v>763</v>
      </c>
      <c r="C164">
        <v>775</v>
      </c>
      <c r="D164">
        <v>1430</v>
      </c>
      <c r="E164">
        <v>1409</v>
      </c>
      <c r="F164">
        <v>0.55003548616039699</v>
      </c>
      <c r="G164">
        <v>0.554605403005067</v>
      </c>
      <c r="H164">
        <v>2.3505186856681799E-2</v>
      </c>
      <c r="I164">
        <v>-0.19442163436239401</v>
      </c>
      <c r="J164">
        <v>-0.83</v>
      </c>
      <c r="L164">
        <v>0.57811058986174879</v>
      </c>
      <c r="M164">
        <v>0.53110021614838521</v>
      </c>
      <c r="N164">
        <v>0.60161577671843058</v>
      </c>
      <c r="O164">
        <v>0.50759502929170341</v>
      </c>
    </row>
    <row r="165" spans="1:15">
      <c r="A165" s="19">
        <v>43620</v>
      </c>
      <c r="B165">
        <v>738</v>
      </c>
      <c r="C165">
        <v>748</v>
      </c>
      <c r="D165">
        <v>1354</v>
      </c>
      <c r="E165">
        <v>1380</v>
      </c>
      <c r="F165">
        <v>0.54202898550724599</v>
      </c>
      <c r="G165">
        <v>0.55424571600142603</v>
      </c>
      <c r="H165">
        <v>2.3777195363720801E-2</v>
      </c>
      <c r="I165">
        <v>-0.51380031611381405</v>
      </c>
      <c r="J165">
        <v>-2.25</v>
      </c>
      <c r="L165">
        <v>0.57802291136514683</v>
      </c>
      <c r="M165">
        <v>0.53046852063770522</v>
      </c>
      <c r="N165">
        <v>0.60180010672886763</v>
      </c>
      <c r="O165">
        <v>0.50669132527398442</v>
      </c>
    </row>
    <row r="166" spans="1:15">
      <c r="A166" s="19">
        <v>43619</v>
      </c>
      <c r="B166">
        <v>750</v>
      </c>
      <c r="C166">
        <v>735</v>
      </c>
      <c r="D166">
        <v>1312</v>
      </c>
      <c r="E166">
        <v>1337</v>
      </c>
      <c r="F166">
        <v>0.54973821989528704</v>
      </c>
      <c r="G166">
        <v>0.55400961308757402</v>
      </c>
      <c r="H166">
        <v>2.3984347605431701E-2</v>
      </c>
      <c r="I166">
        <v>-0.17809086419839601</v>
      </c>
      <c r="J166">
        <v>-0.78</v>
      </c>
      <c r="L166">
        <v>0.57799396069300568</v>
      </c>
      <c r="M166">
        <v>0.53002526548214235</v>
      </c>
      <c r="N166">
        <v>0.60197830829843746</v>
      </c>
      <c r="O166">
        <v>0.50604091787671057</v>
      </c>
    </row>
    <row r="167" spans="1:15">
      <c r="A167" s="19">
        <v>43616</v>
      </c>
      <c r="B167">
        <v>770</v>
      </c>
      <c r="C167">
        <v>754</v>
      </c>
      <c r="D167">
        <v>1373</v>
      </c>
      <c r="E167">
        <v>1332</v>
      </c>
      <c r="F167">
        <v>0.56606606606606602</v>
      </c>
      <c r="G167">
        <v>0.55374344056762104</v>
      </c>
      <c r="H167">
        <v>2.4140536924549202E-2</v>
      </c>
      <c r="I167">
        <v>0.51045366293874495</v>
      </c>
      <c r="J167">
        <v>2.1800000000000002</v>
      </c>
      <c r="L167">
        <v>0.57788397749217024</v>
      </c>
      <c r="M167">
        <v>0.52960290364307183</v>
      </c>
      <c r="N167">
        <v>0.60202451441671945</v>
      </c>
      <c r="O167">
        <v>0.50546236671852263</v>
      </c>
    </row>
    <row r="168" spans="1:15">
      <c r="A168" s="19">
        <v>43615</v>
      </c>
      <c r="B168">
        <v>764</v>
      </c>
      <c r="C168">
        <v>773</v>
      </c>
      <c r="D168">
        <v>1385</v>
      </c>
      <c r="E168">
        <v>1386</v>
      </c>
      <c r="F168">
        <v>0.55772005772005695</v>
      </c>
      <c r="G168">
        <v>0.55326705406876298</v>
      </c>
      <c r="H168">
        <v>2.4244973113935E-2</v>
      </c>
      <c r="I168">
        <v>0.18366708968362999</v>
      </c>
      <c r="J168">
        <v>0.8</v>
      </c>
      <c r="L168">
        <v>0.57751202718269801</v>
      </c>
      <c r="M168">
        <v>0.52902208095482794</v>
      </c>
      <c r="N168">
        <v>0.60175700029663293</v>
      </c>
      <c r="O168">
        <v>0.50477710784089302</v>
      </c>
    </row>
    <row r="169" spans="1:15">
      <c r="A169" s="19">
        <v>43614</v>
      </c>
      <c r="B169">
        <v>761</v>
      </c>
      <c r="C169">
        <v>766</v>
      </c>
      <c r="D169">
        <v>1390</v>
      </c>
      <c r="E169">
        <v>1389</v>
      </c>
      <c r="F169">
        <v>0.55147588192944497</v>
      </c>
      <c r="G169">
        <v>0.55300387809130103</v>
      </c>
      <c r="H169">
        <v>2.4302268045527101E-2</v>
      </c>
      <c r="I169">
        <v>-6.2874632071112005E-2</v>
      </c>
      <c r="J169">
        <v>-0.28000000000000003</v>
      </c>
      <c r="L169">
        <v>0.57730614613682818</v>
      </c>
      <c r="M169">
        <v>0.52870161004577387</v>
      </c>
      <c r="N169">
        <v>0.60160841418235522</v>
      </c>
      <c r="O169">
        <v>0.50439934200024683</v>
      </c>
    </row>
    <row r="170" spans="1:15">
      <c r="A170" s="19">
        <v>43613</v>
      </c>
      <c r="B170">
        <v>766</v>
      </c>
      <c r="C170">
        <v>768</v>
      </c>
      <c r="D170">
        <v>1392</v>
      </c>
      <c r="E170">
        <v>1404</v>
      </c>
      <c r="F170">
        <v>0.54700854700854695</v>
      </c>
      <c r="G170">
        <v>0.55284415675549103</v>
      </c>
      <c r="H170">
        <v>2.4351101542048701E-2</v>
      </c>
      <c r="I170">
        <v>-0.23964459007605801</v>
      </c>
      <c r="J170">
        <v>-1.07</v>
      </c>
      <c r="L170">
        <v>0.5771952582975397</v>
      </c>
      <c r="M170">
        <v>0.52849305521344236</v>
      </c>
      <c r="N170">
        <v>0.60154635983958848</v>
      </c>
      <c r="O170">
        <v>0.50414195367139358</v>
      </c>
    </row>
    <row r="171" spans="1:15">
      <c r="A171" s="19">
        <v>43612</v>
      </c>
      <c r="B171">
        <v>768</v>
      </c>
      <c r="C171">
        <v>771</v>
      </c>
      <c r="D171">
        <v>1388</v>
      </c>
      <c r="E171">
        <v>1391</v>
      </c>
      <c r="F171">
        <v>0.55427749820273098</v>
      </c>
      <c r="G171">
        <v>0.55269302731783898</v>
      </c>
      <c r="H171">
        <v>2.4421920052740801E-2</v>
      </c>
      <c r="I171">
        <v>6.4879046425132994E-2</v>
      </c>
      <c r="J171">
        <v>0.28999999999999998</v>
      </c>
      <c r="L171">
        <v>0.57711494737057978</v>
      </c>
      <c r="M171">
        <v>0.52827110726509818</v>
      </c>
      <c r="N171">
        <v>0.60153686742332058</v>
      </c>
      <c r="O171">
        <v>0.50384918721235739</v>
      </c>
    </row>
    <row r="172" spans="1:15">
      <c r="A172" s="19">
        <v>43609</v>
      </c>
      <c r="B172">
        <v>754</v>
      </c>
      <c r="C172">
        <v>769</v>
      </c>
      <c r="D172">
        <v>1372</v>
      </c>
      <c r="E172">
        <v>1389</v>
      </c>
      <c r="F172">
        <v>0.55363570914326798</v>
      </c>
      <c r="G172">
        <v>0.552532598946741</v>
      </c>
      <c r="H172">
        <v>2.4450487690493398E-2</v>
      </c>
      <c r="I172">
        <v>4.5116081547785201E-2</v>
      </c>
      <c r="J172">
        <v>0.2</v>
      </c>
      <c r="L172">
        <v>0.57698308663723441</v>
      </c>
      <c r="M172">
        <v>0.5280821112562476</v>
      </c>
      <c r="N172">
        <v>0.60143357432772782</v>
      </c>
      <c r="O172">
        <v>0.50363162356575419</v>
      </c>
    </row>
    <row r="173" spans="1:15">
      <c r="A173" s="19">
        <v>43608</v>
      </c>
      <c r="B173">
        <v>774</v>
      </c>
      <c r="C173">
        <v>766</v>
      </c>
      <c r="D173">
        <v>1396</v>
      </c>
      <c r="E173">
        <v>1391</v>
      </c>
      <c r="F173">
        <v>0.55068296189791499</v>
      </c>
      <c r="G173">
        <v>0.55242907695327104</v>
      </c>
      <c r="H173">
        <v>2.44620317921798E-2</v>
      </c>
      <c r="I173">
        <v>-7.1380622435219906E-2</v>
      </c>
      <c r="J173">
        <v>-0.32</v>
      </c>
      <c r="L173">
        <v>0.5768911087454508</v>
      </c>
      <c r="M173">
        <v>0.52796704516109128</v>
      </c>
      <c r="N173">
        <v>0.60135314053763067</v>
      </c>
      <c r="O173">
        <v>0.5035050133689114</v>
      </c>
    </row>
    <row r="174" spans="1:15">
      <c r="A174" s="19">
        <v>43607</v>
      </c>
      <c r="B174">
        <v>781</v>
      </c>
      <c r="C174">
        <v>778</v>
      </c>
      <c r="D174">
        <v>1414</v>
      </c>
      <c r="E174">
        <v>1409</v>
      </c>
      <c r="F174">
        <v>0.55216465578424401</v>
      </c>
      <c r="G174">
        <v>0.552282039760149</v>
      </c>
      <c r="H174">
        <v>2.45051905193726E-2</v>
      </c>
      <c r="I174">
        <v>-4.7901678549591804E-3</v>
      </c>
      <c r="J174">
        <v>-0.02</v>
      </c>
      <c r="L174">
        <v>0.57678723027952161</v>
      </c>
      <c r="M174">
        <v>0.52777684924077639</v>
      </c>
      <c r="N174">
        <v>0.60129242079889422</v>
      </c>
      <c r="O174">
        <v>0.50327165872140378</v>
      </c>
    </row>
    <row r="175" spans="1:15">
      <c r="A175" s="19">
        <v>43606</v>
      </c>
      <c r="B175">
        <v>775</v>
      </c>
      <c r="C175">
        <v>778</v>
      </c>
      <c r="D175">
        <v>1417</v>
      </c>
      <c r="E175">
        <v>1420</v>
      </c>
      <c r="F175">
        <v>0.54788732394366202</v>
      </c>
      <c r="G175">
        <v>0.55215032054016899</v>
      </c>
      <c r="H175">
        <v>2.45320032275749E-2</v>
      </c>
      <c r="I175">
        <v>-0.17377286954354401</v>
      </c>
      <c r="J175">
        <v>-0.78</v>
      </c>
      <c r="L175">
        <v>0.57668232376774387</v>
      </c>
      <c r="M175">
        <v>0.52761831731259412</v>
      </c>
      <c r="N175">
        <v>0.60121432699531874</v>
      </c>
      <c r="O175">
        <v>0.50308631408501925</v>
      </c>
    </row>
    <row r="176" spans="1:15">
      <c r="A176" s="19">
        <v>43605</v>
      </c>
      <c r="B176">
        <v>788</v>
      </c>
      <c r="C176">
        <v>780</v>
      </c>
      <c r="D176">
        <v>1458</v>
      </c>
      <c r="E176">
        <v>1433</v>
      </c>
      <c r="F176">
        <v>0.54431263084438197</v>
      </c>
      <c r="G176">
        <v>0.55204055851977096</v>
      </c>
      <c r="H176">
        <v>2.4569219411278299E-2</v>
      </c>
      <c r="I176">
        <v>-0.31453696375234003</v>
      </c>
      <c r="J176">
        <v>-1.42</v>
      </c>
      <c r="L176">
        <v>0.57660977793104928</v>
      </c>
      <c r="M176">
        <v>0.52747133910849264</v>
      </c>
      <c r="N176">
        <v>0.6011789973423276</v>
      </c>
      <c r="O176">
        <v>0.50290211969721432</v>
      </c>
    </row>
    <row r="177" spans="1:15">
      <c r="A177" s="19">
        <v>43602</v>
      </c>
      <c r="B177">
        <v>790</v>
      </c>
      <c r="C177">
        <v>785</v>
      </c>
      <c r="D177">
        <v>1448</v>
      </c>
      <c r="E177">
        <v>1446</v>
      </c>
      <c r="F177">
        <v>0.54287690179806303</v>
      </c>
      <c r="G177">
        <v>0.55195250601716705</v>
      </c>
      <c r="H177">
        <v>2.460855967384E-2</v>
      </c>
      <c r="I177">
        <v>-0.36879867572060498</v>
      </c>
      <c r="J177">
        <v>-1.67</v>
      </c>
      <c r="L177">
        <v>0.57656106569100707</v>
      </c>
      <c r="M177">
        <v>0.52734394634332704</v>
      </c>
      <c r="N177">
        <v>0.60116962536484708</v>
      </c>
      <c r="O177">
        <v>0.50273538666948703</v>
      </c>
    </row>
    <row r="178" spans="1:15">
      <c r="A178" s="19">
        <v>43601</v>
      </c>
      <c r="B178">
        <v>793</v>
      </c>
      <c r="C178">
        <v>778</v>
      </c>
      <c r="D178">
        <v>1450</v>
      </c>
      <c r="E178">
        <v>1444</v>
      </c>
      <c r="F178">
        <v>0.53878116343490301</v>
      </c>
      <c r="G178">
        <v>0.551798678666376</v>
      </c>
      <c r="H178">
        <v>2.4700696603813101E-2</v>
      </c>
      <c r="I178">
        <v>-0.52701004511201999</v>
      </c>
      <c r="J178">
        <v>-2.42</v>
      </c>
      <c r="L178">
        <v>0.57649937527018913</v>
      </c>
      <c r="M178">
        <v>0.52709798206256286</v>
      </c>
      <c r="N178">
        <v>0.60120007187400215</v>
      </c>
      <c r="O178">
        <v>0.50239728545874984</v>
      </c>
    </row>
    <row r="179" spans="1:15">
      <c r="A179" s="19">
        <v>43600</v>
      </c>
      <c r="B179">
        <v>808</v>
      </c>
      <c r="C179">
        <v>797</v>
      </c>
      <c r="D179">
        <v>1434</v>
      </c>
      <c r="E179">
        <v>1450</v>
      </c>
      <c r="F179">
        <v>0.54965517241379303</v>
      </c>
      <c r="G179">
        <v>0.55169161926628796</v>
      </c>
      <c r="H179">
        <v>2.47741775721654E-2</v>
      </c>
      <c r="I179">
        <v>-8.2200381690286303E-2</v>
      </c>
      <c r="J179">
        <v>-0.37</v>
      </c>
      <c r="L179">
        <v>0.57646579683845334</v>
      </c>
      <c r="M179">
        <v>0.52691744169412258</v>
      </c>
      <c r="N179">
        <v>0.60123997441061872</v>
      </c>
      <c r="O179">
        <v>0.5021432641219572</v>
      </c>
    </row>
    <row r="180" spans="1:15">
      <c r="A180" s="19">
        <v>43599</v>
      </c>
      <c r="B180">
        <v>788</v>
      </c>
      <c r="C180">
        <v>800</v>
      </c>
      <c r="D180">
        <v>1364</v>
      </c>
      <c r="E180">
        <v>1420</v>
      </c>
      <c r="F180">
        <v>0.56338028169013998</v>
      </c>
      <c r="G180">
        <v>0.55148067812031898</v>
      </c>
      <c r="H180">
        <v>2.4857830388136101E-2</v>
      </c>
      <c r="I180">
        <v>0.47870644316168898</v>
      </c>
      <c r="J180">
        <v>2.11</v>
      </c>
      <c r="L180">
        <v>0.57633850850845503</v>
      </c>
      <c r="M180">
        <v>0.52662284773218293</v>
      </c>
      <c r="N180">
        <v>0.60119633889659119</v>
      </c>
      <c r="O180">
        <v>0.50176501734404677</v>
      </c>
    </row>
    <row r="181" spans="1:15">
      <c r="A181" s="19">
        <v>43598</v>
      </c>
      <c r="B181">
        <v>815</v>
      </c>
      <c r="C181">
        <v>803</v>
      </c>
      <c r="D181">
        <v>1432</v>
      </c>
      <c r="E181">
        <v>1413</v>
      </c>
      <c r="F181">
        <v>0.56829440905873996</v>
      </c>
      <c r="G181">
        <v>0.55089856206746701</v>
      </c>
      <c r="H181">
        <v>2.5082531858034999E-2</v>
      </c>
      <c r="I181">
        <v>0.69354429966368303</v>
      </c>
      <c r="J181">
        <v>3.06</v>
      </c>
      <c r="L181">
        <v>0.57598109392550201</v>
      </c>
      <c r="M181">
        <v>0.52581603020943202</v>
      </c>
      <c r="N181">
        <v>0.601063625783537</v>
      </c>
      <c r="O181">
        <v>0.50073349835139702</v>
      </c>
    </row>
    <row r="182" spans="1:15">
      <c r="A182" s="19">
        <v>43595</v>
      </c>
      <c r="B182">
        <v>856</v>
      </c>
      <c r="C182">
        <v>815</v>
      </c>
      <c r="D182">
        <v>1447</v>
      </c>
      <c r="E182">
        <v>1440</v>
      </c>
      <c r="F182">
        <v>0.56597222222222199</v>
      </c>
      <c r="G182">
        <v>0.55017800291158603</v>
      </c>
      <c r="H182">
        <v>2.5347290536638999E-2</v>
      </c>
      <c r="I182">
        <v>0.623112726301286</v>
      </c>
      <c r="J182">
        <v>2.79</v>
      </c>
      <c r="L182">
        <v>0.57552529344822501</v>
      </c>
      <c r="M182">
        <v>0.52483071237494705</v>
      </c>
      <c r="N182">
        <v>0.60087258398486398</v>
      </c>
      <c r="O182">
        <v>0.49948342183830802</v>
      </c>
    </row>
    <row r="183" spans="1:15">
      <c r="A183" s="19">
        <v>43594</v>
      </c>
      <c r="B183">
        <v>910</v>
      </c>
      <c r="C183">
        <v>851</v>
      </c>
      <c r="D183">
        <v>1493</v>
      </c>
      <c r="E183">
        <v>1447</v>
      </c>
      <c r="F183">
        <v>0.58811333794056597</v>
      </c>
      <c r="G183">
        <v>0.54956874794398802</v>
      </c>
      <c r="H183">
        <v>2.5508976928726199E-2</v>
      </c>
      <c r="I183">
        <v>1.51102061459675</v>
      </c>
      <c r="J183">
        <v>6.55</v>
      </c>
      <c r="L183">
        <v>0.57507772487271425</v>
      </c>
      <c r="M183">
        <v>0.5240597710152618</v>
      </c>
      <c r="N183">
        <v>0.60058670180144047</v>
      </c>
      <c r="O183">
        <v>0.49855079408653563</v>
      </c>
    </row>
    <row r="184" spans="1:15">
      <c r="A184" s="19">
        <v>43593</v>
      </c>
      <c r="B184">
        <v>930</v>
      </c>
      <c r="C184">
        <v>903</v>
      </c>
      <c r="D184">
        <v>1523</v>
      </c>
      <c r="E184">
        <v>1488</v>
      </c>
      <c r="F184">
        <v>0.60685483870967705</v>
      </c>
      <c r="G184">
        <v>0.54854533034551001</v>
      </c>
      <c r="H184">
        <v>2.5481755541519002E-2</v>
      </c>
      <c r="I184">
        <v>2.28828458342123</v>
      </c>
      <c r="J184">
        <v>9.61</v>
      </c>
      <c r="L184">
        <v>0.574027085887029</v>
      </c>
      <c r="M184">
        <v>0.52306357480399102</v>
      </c>
      <c r="N184">
        <v>0.59950884142854799</v>
      </c>
      <c r="O184">
        <v>0.49758181926247202</v>
      </c>
    </row>
    <row r="185" spans="1:15">
      <c r="A185" s="19">
        <v>43592</v>
      </c>
      <c r="B185">
        <v>979</v>
      </c>
      <c r="C185">
        <v>954</v>
      </c>
      <c r="D185">
        <v>1593</v>
      </c>
      <c r="E185">
        <v>1537</v>
      </c>
      <c r="F185">
        <v>0.62068965517241304</v>
      </c>
      <c r="G185">
        <v>0.547190529232645</v>
      </c>
      <c r="H185">
        <v>2.50429682732323E-2</v>
      </c>
      <c r="I185">
        <v>2.9349206986110201</v>
      </c>
      <c r="J185">
        <v>11.84</v>
      </c>
      <c r="L185">
        <v>0.57223349750587726</v>
      </c>
      <c r="M185">
        <v>0.52214756095941273</v>
      </c>
      <c r="N185">
        <v>0.59727646577910964</v>
      </c>
      <c r="O185">
        <v>0.4971045926861804</v>
      </c>
    </row>
    <row r="186" spans="1:15">
      <c r="A186" s="19">
        <v>43581</v>
      </c>
      <c r="B186">
        <v>992</v>
      </c>
      <c r="C186">
        <v>985</v>
      </c>
      <c r="D186">
        <v>1695</v>
      </c>
      <c r="E186">
        <v>1644</v>
      </c>
      <c r="F186">
        <v>0.59914841849148404</v>
      </c>
      <c r="G186">
        <v>0.54567512046574995</v>
      </c>
      <c r="H186">
        <v>2.3965102469955601E-2</v>
      </c>
      <c r="I186">
        <v>2.2312985347244498</v>
      </c>
      <c r="J186">
        <v>8.92</v>
      </c>
      <c r="L186">
        <v>0.5696402229357056</v>
      </c>
      <c r="M186">
        <v>0.52171001799579431</v>
      </c>
      <c r="N186">
        <v>0.59360532540566113</v>
      </c>
      <c r="O186">
        <v>0.49774491552583877</v>
      </c>
    </row>
    <row r="187" spans="1:15">
      <c r="A187" s="19">
        <v>43580</v>
      </c>
      <c r="B187">
        <v>1001</v>
      </c>
      <c r="C187">
        <v>999</v>
      </c>
      <c r="D187">
        <v>1740</v>
      </c>
      <c r="E187">
        <v>1718</v>
      </c>
      <c r="F187">
        <v>0.58149010477299101</v>
      </c>
      <c r="G187">
        <v>0.54451574317854701</v>
      </c>
      <c r="H187">
        <v>2.34478613811974E-2</v>
      </c>
      <c r="I187">
        <v>1.57687564734982</v>
      </c>
      <c r="J187">
        <v>6.36</v>
      </c>
      <c r="L187">
        <v>0.56796360455974437</v>
      </c>
      <c r="M187">
        <v>0.52106788179734964</v>
      </c>
      <c r="N187">
        <v>0.59141146594094185</v>
      </c>
      <c r="O187">
        <v>0.49762002041615222</v>
      </c>
    </row>
    <row r="188" spans="1:15">
      <c r="A188" s="19">
        <v>43579</v>
      </c>
      <c r="B188">
        <v>1019</v>
      </c>
      <c r="C188">
        <v>1005</v>
      </c>
      <c r="D188">
        <v>1786</v>
      </c>
      <c r="E188">
        <v>1735</v>
      </c>
      <c r="F188">
        <v>0.57925072046109505</v>
      </c>
      <c r="G188">
        <v>0.54345690379937805</v>
      </c>
      <c r="H188">
        <v>2.3547118819194E-2</v>
      </c>
      <c r="I188">
        <v>1.5200932622185599</v>
      </c>
      <c r="J188">
        <v>6.18</v>
      </c>
      <c r="L188">
        <v>0.56700402261857208</v>
      </c>
      <c r="M188">
        <v>0.51990978498018403</v>
      </c>
      <c r="N188">
        <v>0.5905511414377661</v>
      </c>
      <c r="O188">
        <v>0.49636266616099006</v>
      </c>
    </row>
    <row r="189" spans="1:15">
      <c r="A189" s="19">
        <v>43578</v>
      </c>
      <c r="B189">
        <v>1035</v>
      </c>
      <c r="C189">
        <v>1024</v>
      </c>
      <c r="D189">
        <v>1807</v>
      </c>
      <c r="E189">
        <v>1795</v>
      </c>
      <c r="F189">
        <v>0.57047353760445596</v>
      </c>
      <c r="G189">
        <v>0.54238376662121301</v>
      </c>
      <c r="H189">
        <v>2.3724746272674999E-2</v>
      </c>
      <c r="I189">
        <v>1.1839861493311501</v>
      </c>
      <c r="J189">
        <v>4.92</v>
      </c>
      <c r="L189">
        <v>0.56610851289388797</v>
      </c>
      <c r="M189">
        <v>0.51865902034853806</v>
      </c>
      <c r="N189">
        <v>0.58983325916656304</v>
      </c>
      <c r="O189">
        <v>0.49493427407586299</v>
      </c>
    </row>
    <row r="190" spans="1:15">
      <c r="A190" s="19">
        <v>43577</v>
      </c>
      <c r="B190">
        <v>1032</v>
      </c>
      <c r="C190">
        <v>1031</v>
      </c>
      <c r="D190">
        <v>1821</v>
      </c>
      <c r="E190">
        <v>1814</v>
      </c>
      <c r="F190">
        <v>0.56835722160970203</v>
      </c>
      <c r="G190">
        <v>0.54152943328618197</v>
      </c>
      <c r="H190">
        <v>2.38511855755137E-2</v>
      </c>
      <c r="I190">
        <v>1.1247989429532399</v>
      </c>
      <c r="J190">
        <v>4.72</v>
      </c>
      <c r="L190">
        <v>0.56538061886169566</v>
      </c>
      <c r="M190">
        <v>0.51767824771066828</v>
      </c>
      <c r="N190">
        <v>0.58923180443720935</v>
      </c>
      <c r="O190">
        <v>0.49382706213515459</v>
      </c>
    </row>
    <row r="191" spans="1:15">
      <c r="A191" s="19">
        <v>43574</v>
      </c>
      <c r="B191">
        <v>1036</v>
      </c>
      <c r="C191">
        <v>1032</v>
      </c>
      <c r="D191">
        <v>1832</v>
      </c>
      <c r="E191">
        <v>1828</v>
      </c>
      <c r="F191">
        <v>0.56455142231947397</v>
      </c>
      <c r="G191">
        <v>0.54058579754555702</v>
      </c>
      <c r="H191">
        <v>2.4169007343342E-2</v>
      </c>
      <c r="I191">
        <v>0.99158498458230404</v>
      </c>
      <c r="J191">
        <v>4.25</v>
      </c>
      <c r="L191">
        <v>0.56475480488889906</v>
      </c>
      <c r="M191">
        <v>0.51641679020221498</v>
      </c>
      <c r="N191">
        <v>0.588923812232241</v>
      </c>
      <c r="O191">
        <v>0.49224778285887305</v>
      </c>
    </row>
    <row r="192" spans="1:15">
      <c r="A192" s="19">
        <v>43573</v>
      </c>
      <c r="B192">
        <v>1046</v>
      </c>
      <c r="C192">
        <v>1016</v>
      </c>
      <c r="D192">
        <v>1819</v>
      </c>
      <c r="E192">
        <v>1817</v>
      </c>
      <c r="F192">
        <v>0.55916345624656005</v>
      </c>
      <c r="G192">
        <v>0.53992093992655099</v>
      </c>
      <c r="H192">
        <v>2.4186444506684002E-2</v>
      </c>
      <c r="I192">
        <v>0.79559094825579901</v>
      </c>
      <c r="J192">
        <v>3.44</v>
      </c>
      <c r="L192">
        <v>0.56410738443323494</v>
      </c>
      <c r="M192">
        <v>0.51573449541986705</v>
      </c>
      <c r="N192">
        <v>0.58829382893991899</v>
      </c>
      <c r="O192">
        <v>0.49154805091318299</v>
      </c>
    </row>
    <row r="193" spans="1:15">
      <c r="A193" s="19">
        <v>43572</v>
      </c>
      <c r="B193">
        <v>1040</v>
      </c>
      <c r="C193">
        <v>1040</v>
      </c>
      <c r="D193">
        <v>1795</v>
      </c>
      <c r="E193">
        <v>1803</v>
      </c>
      <c r="F193">
        <v>0.57681641708263998</v>
      </c>
      <c r="G193">
        <v>0.53946694924661198</v>
      </c>
      <c r="H193">
        <v>2.4140509719392401E-2</v>
      </c>
      <c r="I193">
        <v>1.5471698100071301</v>
      </c>
      <c r="J193">
        <v>6.48</v>
      </c>
      <c r="L193">
        <v>0.56360745896600439</v>
      </c>
      <c r="M193">
        <v>0.51532643952721957</v>
      </c>
      <c r="N193">
        <v>0.5877479686853968</v>
      </c>
      <c r="O193">
        <v>0.49118592980782716</v>
      </c>
    </row>
    <row r="194" spans="1:15">
      <c r="A194" s="19">
        <v>43571</v>
      </c>
      <c r="B194">
        <v>1033</v>
      </c>
      <c r="C194">
        <v>1034</v>
      </c>
      <c r="D194">
        <v>1779</v>
      </c>
      <c r="E194">
        <v>1783</v>
      </c>
      <c r="F194">
        <v>0.57992148065058802</v>
      </c>
      <c r="G194">
        <v>0.53858703049647705</v>
      </c>
      <c r="H194">
        <v>2.3965187958895899E-2</v>
      </c>
      <c r="I194">
        <v>1.7247705390421499</v>
      </c>
      <c r="J194">
        <v>7.13</v>
      </c>
      <c r="L194">
        <v>0.56255221845537295</v>
      </c>
      <c r="M194">
        <v>0.51462184253758114</v>
      </c>
      <c r="N194">
        <v>0.58651740641426886</v>
      </c>
      <c r="O194">
        <v>0.49065665457868524</v>
      </c>
    </row>
    <row r="195" spans="1:15">
      <c r="A195" s="19">
        <v>43570</v>
      </c>
      <c r="B195">
        <v>1028</v>
      </c>
      <c r="C195">
        <v>1035</v>
      </c>
      <c r="D195">
        <v>1772</v>
      </c>
      <c r="E195">
        <v>1773</v>
      </c>
      <c r="F195">
        <v>0.58375634517766495</v>
      </c>
      <c r="G195">
        <v>0.53767569414870398</v>
      </c>
      <c r="H195">
        <v>2.3673837282811999E-2</v>
      </c>
      <c r="I195">
        <v>1.9464800099144299</v>
      </c>
      <c r="J195">
        <v>7.89</v>
      </c>
      <c r="L195">
        <v>0.561349531431516</v>
      </c>
      <c r="M195">
        <v>0.51400185686589195</v>
      </c>
      <c r="N195">
        <v>0.58502336871432803</v>
      </c>
      <c r="O195">
        <v>0.49032801958307998</v>
      </c>
    </row>
    <row r="196" spans="1:15">
      <c r="A196" s="19">
        <v>43567</v>
      </c>
      <c r="B196">
        <v>1014</v>
      </c>
      <c r="C196">
        <v>1008</v>
      </c>
      <c r="D196">
        <v>1770</v>
      </c>
      <c r="E196">
        <v>1758</v>
      </c>
      <c r="F196">
        <v>0.573378839590443</v>
      </c>
      <c r="G196">
        <v>0.53682465773193899</v>
      </c>
      <c r="H196">
        <v>2.31433231870911E-2</v>
      </c>
      <c r="I196">
        <v>1.5794698783316301</v>
      </c>
      <c r="J196">
        <v>6.38</v>
      </c>
      <c r="L196">
        <v>0.55996798091903011</v>
      </c>
      <c r="M196">
        <v>0.51368133454484788</v>
      </c>
      <c r="N196">
        <v>0.58311130410612122</v>
      </c>
      <c r="O196">
        <v>0.49053801135775676</v>
      </c>
    </row>
    <row r="197" spans="1:15">
      <c r="A197" s="19">
        <v>43566</v>
      </c>
      <c r="B197">
        <v>1012</v>
      </c>
      <c r="C197">
        <v>1013</v>
      </c>
      <c r="D197">
        <v>1758</v>
      </c>
      <c r="E197">
        <v>1766</v>
      </c>
      <c r="F197">
        <v>0.57361268403170995</v>
      </c>
      <c r="G197">
        <v>0.53622393172125904</v>
      </c>
      <c r="H197">
        <v>2.2768395226985899E-2</v>
      </c>
      <c r="I197">
        <v>1.6421338411297299</v>
      </c>
      <c r="J197">
        <v>6.52</v>
      </c>
      <c r="L197">
        <v>0.55899232694824497</v>
      </c>
      <c r="M197">
        <v>0.51345553649427311</v>
      </c>
      <c r="N197">
        <v>0.58176072217523078</v>
      </c>
      <c r="O197">
        <v>0.49068714126728724</v>
      </c>
    </row>
    <row r="198" spans="1:15">
      <c r="A198" s="19">
        <v>43565</v>
      </c>
      <c r="B198">
        <v>1028</v>
      </c>
      <c r="C198">
        <v>1023</v>
      </c>
      <c r="D198">
        <v>1756</v>
      </c>
      <c r="E198">
        <v>1761</v>
      </c>
      <c r="F198">
        <v>0.58091993185689905</v>
      </c>
      <c r="G198">
        <v>0.53574371207784499</v>
      </c>
      <c r="H198">
        <v>2.2350736042598799E-2</v>
      </c>
      <c r="I198">
        <v>2.0212408080410298</v>
      </c>
      <c r="J198">
        <v>7.78</v>
      </c>
      <c r="L198">
        <v>0.55809444812044384</v>
      </c>
      <c r="M198">
        <v>0.51339297603524614</v>
      </c>
      <c r="N198">
        <v>0.58044518416304258</v>
      </c>
      <c r="O198">
        <v>0.4910422399926474</v>
      </c>
    </row>
    <row r="199" spans="1:15">
      <c r="A199" s="19">
        <v>43564</v>
      </c>
      <c r="B199">
        <v>1023</v>
      </c>
      <c r="C199">
        <v>1028</v>
      </c>
      <c r="D199">
        <v>1776</v>
      </c>
      <c r="E199">
        <v>1774</v>
      </c>
      <c r="F199">
        <v>0.57948139797068698</v>
      </c>
      <c r="G199">
        <v>0.53512118690879096</v>
      </c>
      <c r="H199">
        <v>2.1725250638540299E-2</v>
      </c>
      <c r="I199">
        <v>2.0418733850279098</v>
      </c>
      <c r="J199">
        <v>7.66</v>
      </c>
      <c r="L199">
        <v>0.55684643754733121</v>
      </c>
      <c r="M199">
        <v>0.51339593627025071</v>
      </c>
      <c r="N199">
        <v>0.57857168818587157</v>
      </c>
      <c r="O199">
        <v>0.49167068563171035</v>
      </c>
    </row>
    <row r="200" spans="1:15">
      <c r="A200" s="19">
        <v>43563</v>
      </c>
      <c r="B200">
        <v>1044</v>
      </c>
      <c r="C200">
        <v>1023</v>
      </c>
      <c r="D200">
        <v>1791</v>
      </c>
      <c r="E200">
        <v>1778</v>
      </c>
      <c r="F200">
        <v>0.57536557930258703</v>
      </c>
      <c r="G200">
        <v>0.53455837683187302</v>
      </c>
      <c r="H200">
        <v>2.11067205227638E-2</v>
      </c>
      <c r="I200">
        <v>1.9333748427048401</v>
      </c>
      <c r="J200">
        <v>7.09</v>
      </c>
      <c r="L200">
        <v>0.55566509735463687</v>
      </c>
      <c r="M200">
        <v>0.51345165630910916</v>
      </c>
      <c r="N200">
        <v>0.57677181787740062</v>
      </c>
      <c r="O200">
        <v>0.49234493578634542</v>
      </c>
    </row>
    <row r="201" spans="1:15">
      <c r="A201" s="19">
        <v>43560</v>
      </c>
      <c r="B201">
        <v>1030</v>
      </c>
      <c r="C201">
        <v>1044</v>
      </c>
      <c r="D201">
        <v>1747</v>
      </c>
      <c r="E201">
        <v>1776</v>
      </c>
      <c r="F201">
        <v>0.58783783783783705</v>
      </c>
      <c r="G201">
        <v>0.53410775692985302</v>
      </c>
      <c r="H201">
        <v>2.0585016152023499E-2</v>
      </c>
      <c r="I201">
        <v>2.6101549064222</v>
      </c>
      <c r="J201">
        <v>9.14</v>
      </c>
      <c r="L201">
        <v>0.55469277308187648</v>
      </c>
      <c r="M201">
        <v>0.51352274077782956</v>
      </c>
      <c r="N201">
        <v>0.57527778923390005</v>
      </c>
      <c r="O201">
        <v>0.49293772462580604</v>
      </c>
    </row>
    <row r="202" spans="1:15">
      <c r="A202" s="19">
        <v>43559</v>
      </c>
      <c r="B202">
        <v>1016</v>
      </c>
      <c r="C202">
        <v>1020</v>
      </c>
      <c r="D202">
        <v>1741</v>
      </c>
      <c r="E202">
        <v>1751</v>
      </c>
      <c r="F202">
        <v>0.58252427184466005</v>
      </c>
      <c r="G202">
        <v>0.53366575242534797</v>
      </c>
      <c r="H202">
        <v>1.9766189442322901E-2</v>
      </c>
      <c r="I202">
        <v>2.4718228853304698</v>
      </c>
      <c r="J202">
        <v>8.39</v>
      </c>
      <c r="L202">
        <v>0.55343194186767086</v>
      </c>
      <c r="M202">
        <v>0.51389956298302508</v>
      </c>
      <c r="N202">
        <v>0.57319813130999375</v>
      </c>
      <c r="O202">
        <v>0.49413337354070219</v>
      </c>
    </row>
    <row r="203" spans="1:15">
      <c r="A203" s="19">
        <v>43558</v>
      </c>
      <c r="B203">
        <v>1028</v>
      </c>
      <c r="C203">
        <v>1013</v>
      </c>
      <c r="D203">
        <v>1726</v>
      </c>
      <c r="E203">
        <v>1741</v>
      </c>
      <c r="F203">
        <v>0.58184951177484201</v>
      </c>
      <c r="G203">
        <v>0.53338648556759605</v>
      </c>
      <c r="H203">
        <v>1.9214171151641399E-2</v>
      </c>
      <c r="I203">
        <v>2.5222543207701902</v>
      </c>
      <c r="J203">
        <v>8.33</v>
      </c>
      <c r="L203">
        <v>0.55260065671923742</v>
      </c>
      <c r="M203">
        <v>0.51417231441595468</v>
      </c>
      <c r="N203">
        <v>0.57181482787087889</v>
      </c>
      <c r="O203">
        <v>0.49495814326431326</v>
      </c>
    </row>
    <row r="204" spans="1:15">
      <c r="A204" s="19">
        <v>43557</v>
      </c>
      <c r="B204">
        <v>1019</v>
      </c>
      <c r="C204">
        <v>1016</v>
      </c>
      <c r="D204">
        <v>1740</v>
      </c>
      <c r="E204">
        <v>1734</v>
      </c>
      <c r="F204">
        <v>0.58592848904267503</v>
      </c>
      <c r="G204">
        <v>0.53310685330057705</v>
      </c>
      <c r="H204">
        <v>1.86511954691061E-2</v>
      </c>
      <c r="I204">
        <v>2.83207775231309</v>
      </c>
      <c r="J204">
        <v>9.02</v>
      </c>
      <c r="L204">
        <v>0.55175804876968315</v>
      </c>
      <c r="M204">
        <v>0.51445565783147096</v>
      </c>
      <c r="N204">
        <v>0.57040924423878925</v>
      </c>
      <c r="O204">
        <v>0.49580446236236486</v>
      </c>
    </row>
    <row r="205" spans="1:15">
      <c r="A205" s="19">
        <v>43556</v>
      </c>
      <c r="B205">
        <v>982</v>
      </c>
      <c r="C205">
        <v>996</v>
      </c>
      <c r="D205">
        <v>1698</v>
      </c>
      <c r="E205">
        <v>1719</v>
      </c>
      <c r="F205">
        <v>0.57940663176265195</v>
      </c>
      <c r="G205">
        <v>0.53280696864083099</v>
      </c>
      <c r="H205">
        <v>1.7967781604318001E-2</v>
      </c>
      <c r="I205">
        <v>2.59351232934746</v>
      </c>
      <c r="J205">
        <v>8.0399999999999991</v>
      </c>
      <c r="L205">
        <v>0.55077475024514899</v>
      </c>
      <c r="M205">
        <v>0.51483918703651299</v>
      </c>
      <c r="N205">
        <v>0.56874253184946699</v>
      </c>
      <c r="O205">
        <v>0.49687140543219499</v>
      </c>
    </row>
    <row r="206" spans="1:15">
      <c r="A206" s="19">
        <v>43553</v>
      </c>
      <c r="B206">
        <v>956</v>
      </c>
      <c r="C206">
        <v>967</v>
      </c>
      <c r="D206">
        <v>1695</v>
      </c>
      <c r="E206">
        <v>1675</v>
      </c>
      <c r="F206">
        <v>0.57731343283582004</v>
      </c>
      <c r="G206">
        <v>0.53261248158797403</v>
      </c>
      <c r="H206">
        <v>1.7536082210888801E-2</v>
      </c>
      <c r="I206">
        <v>2.5490842658167798</v>
      </c>
      <c r="J206">
        <v>7.74</v>
      </c>
      <c r="L206">
        <v>0.55014856379886279</v>
      </c>
      <c r="M206">
        <v>0.51507639937708527</v>
      </c>
      <c r="N206">
        <v>0.56768464600975166</v>
      </c>
      <c r="O206">
        <v>0.4975403171661964</v>
      </c>
    </row>
    <row r="207" spans="1:15">
      <c r="A207" s="19">
        <v>43552</v>
      </c>
      <c r="B207">
        <v>966</v>
      </c>
      <c r="C207">
        <v>951</v>
      </c>
      <c r="D207">
        <v>1685</v>
      </c>
      <c r="E207">
        <v>1677</v>
      </c>
      <c r="F207">
        <v>0.56708407871198496</v>
      </c>
      <c r="G207">
        <v>0.53245902614303897</v>
      </c>
      <c r="H207">
        <v>1.7191206037578399E-2</v>
      </c>
      <c r="I207">
        <v>2.0141142217281902</v>
      </c>
      <c r="J207">
        <v>6.11</v>
      </c>
      <c r="L207">
        <v>0.54965023218061737</v>
      </c>
      <c r="M207">
        <v>0.51526782010546057</v>
      </c>
      <c r="N207">
        <v>0.56684143821819577</v>
      </c>
      <c r="O207">
        <v>0.49807661406788217</v>
      </c>
    </row>
    <row r="208" spans="1:15">
      <c r="A208" s="19">
        <v>43551</v>
      </c>
      <c r="B208">
        <v>966</v>
      </c>
      <c r="C208">
        <v>969</v>
      </c>
      <c r="D208">
        <v>1698</v>
      </c>
      <c r="E208">
        <v>1712</v>
      </c>
      <c r="F208">
        <v>0.56600467289719603</v>
      </c>
      <c r="G208">
        <v>0.53271192834063996</v>
      </c>
      <c r="H208">
        <v>1.7826499190664001E-2</v>
      </c>
      <c r="I208">
        <v>1.8675985789734599</v>
      </c>
      <c r="J208">
        <v>5.88</v>
      </c>
      <c r="L208">
        <v>0.550538427531304</v>
      </c>
      <c r="M208">
        <v>0.51488542914997593</v>
      </c>
      <c r="N208">
        <v>0.56836492672196792</v>
      </c>
      <c r="O208">
        <v>0.49705892995931195</v>
      </c>
    </row>
    <row r="209" spans="1:15">
      <c r="A209" s="19">
        <v>43550</v>
      </c>
      <c r="B209">
        <v>929</v>
      </c>
      <c r="C209">
        <v>955</v>
      </c>
      <c r="D209">
        <v>1692</v>
      </c>
      <c r="E209">
        <v>1735</v>
      </c>
      <c r="F209">
        <v>0.55043227665705996</v>
      </c>
      <c r="G209">
        <v>0.53304017554553995</v>
      </c>
      <c r="H209">
        <v>1.8644403849946201E-2</v>
      </c>
      <c r="I209">
        <v>0.93283224561615197</v>
      </c>
      <c r="J209">
        <v>3.16</v>
      </c>
      <c r="L209">
        <v>0.5516845793954861</v>
      </c>
      <c r="M209">
        <v>0.51439577169559381</v>
      </c>
      <c r="N209">
        <v>0.57032898324543235</v>
      </c>
      <c r="O209">
        <v>0.49575136784564755</v>
      </c>
    </row>
    <row r="210" spans="1:15">
      <c r="A210" s="19">
        <v>43549</v>
      </c>
      <c r="B210">
        <v>954</v>
      </c>
      <c r="C210">
        <v>925</v>
      </c>
      <c r="D210">
        <v>1699</v>
      </c>
      <c r="E210">
        <v>1685</v>
      </c>
      <c r="F210">
        <v>0.54896142433234396</v>
      </c>
      <c r="G210">
        <v>0.53359022051281602</v>
      </c>
      <c r="H210">
        <v>1.97265133964225E-2</v>
      </c>
      <c r="I210">
        <v>0.779215440185969</v>
      </c>
      <c r="J210">
        <v>2.8</v>
      </c>
      <c r="L210">
        <v>0.55331673390923852</v>
      </c>
      <c r="M210">
        <v>0.51386370711639351</v>
      </c>
      <c r="N210">
        <v>0.57304324730566103</v>
      </c>
      <c r="O210">
        <v>0.494137193719971</v>
      </c>
    </row>
    <row r="211" spans="1:15">
      <c r="A211" s="19">
        <v>43546</v>
      </c>
      <c r="B211">
        <v>974</v>
      </c>
      <c r="C211">
        <v>964</v>
      </c>
      <c r="D211">
        <v>1713</v>
      </c>
      <c r="E211">
        <v>1739</v>
      </c>
      <c r="F211">
        <v>0.55434157561817099</v>
      </c>
      <c r="G211">
        <v>0.53388871238314095</v>
      </c>
      <c r="H211">
        <v>2.01222488029008E-2</v>
      </c>
      <c r="I211">
        <v>1.01643029242741</v>
      </c>
      <c r="J211">
        <v>3.69</v>
      </c>
      <c r="L211">
        <v>0.55401096118604176</v>
      </c>
      <c r="M211">
        <v>0.51376646358024014</v>
      </c>
      <c r="N211">
        <v>0.57413320998894257</v>
      </c>
      <c r="O211">
        <v>0.49364421477733933</v>
      </c>
    </row>
    <row r="212" spans="1:15">
      <c r="A212" s="19">
        <v>43544</v>
      </c>
      <c r="B212">
        <v>959</v>
      </c>
      <c r="C212">
        <v>967</v>
      </c>
      <c r="D212">
        <v>1711</v>
      </c>
      <c r="E212">
        <v>1733</v>
      </c>
      <c r="F212">
        <v>0.55799192152336896</v>
      </c>
      <c r="G212">
        <v>0.53414566049532197</v>
      </c>
      <c r="H212">
        <v>2.0501248710111001E-2</v>
      </c>
      <c r="I212">
        <v>1.16316139398313</v>
      </c>
      <c r="J212">
        <v>4.2699999999999996</v>
      </c>
      <c r="L212">
        <v>0.55464690920543303</v>
      </c>
      <c r="M212">
        <v>0.51364441178521092</v>
      </c>
      <c r="N212">
        <v>0.57514815791554397</v>
      </c>
      <c r="O212">
        <v>0.49314316307509998</v>
      </c>
    </row>
    <row r="213" spans="1:15">
      <c r="A213" s="19">
        <v>43543</v>
      </c>
      <c r="B213">
        <v>958</v>
      </c>
      <c r="C213">
        <v>958</v>
      </c>
      <c r="D213">
        <v>1727</v>
      </c>
      <c r="E213">
        <v>1727</v>
      </c>
      <c r="F213">
        <v>0.55471916618413397</v>
      </c>
      <c r="G213">
        <v>0.534379082548324</v>
      </c>
      <c r="H213">
        <v>2.08678134537932E-2</v>
      </c>
      <c r="I213">
        <v>0.97471082348170401</v>
      </c>
      <c r="J213">
        <v>3.67</v>
      </c>
      <c r="L213">
        <v>0.55524689600211719</v>
      </c>
      <c r="M213">
        <v>0.51351126909453082</v>
      </c>
      <c r="N213">
        <v>0.57611470945591037</v>
      </c>
      <c r="O213">
        <v>0.49264345564073758</v>
      </c>
    </row>
    <row r="214" spans="1:15">
      <c r="A214" s="19">
        <v>43542</v>
      </c>
      <c r="B214">
        <v>944</v>
      </c>
      <c r="C214">
        <v>953</v>
      </c>
      <c r="D214">
        <v>1700</v>
      </c>
      <c r="E214">
        <v>1719</v>
      </c>
      <c r="F214">
        <v>0.55439208842350196</v>
      </c>
      <c r="G214">
        <v>0.53449084435441896</v>
      </c>
      <c r="H214">
        <v>2.09984865932074E-2</v>
      </c>
      <c r="I214">
        <v>0.94774659024811003</v>
      </c>
      <c r="J214">
        <v>3.59</v>
      </c>
      <c r="L214">
        <v>0.55548933094762631</v>
      </c>
      <c r="M214">
        <v>0.5134923577612116</v>
      </c>
      <c r="N214">
        <v>0.57648781754083378</v>
      </c>
      <c r="O214">
        <v>0.49249387116800414</v>
      </c>
    </row>
    <row r="215" spans="1:15">
      <c r="A215" s="19">
        <v>43539</v>
      </c>
      <c r="B215">
        <v>942</v>
      </c>
      <c r="C215">
        <v>940</v>
      </c>
      <c r="D215">
        <v>1732</v>
      </c>
      <c r="E215">
        <v>1740</v>
      </c>
      <c r="F215">
        <v>0.54022988505747105</v>
      </c>
      <c r="G215">
        <v>0.53469849477953402</v>
      </c>
      <c r="H215">
        <v>2.1269514016954E-2</v>
      </c>
      <c r="I215">
        <v>0.26006190237951299</v>
      </c>
      <c r="J215">
        <v>1.02</v>
      </c>
      <c r="L215">
        <v>0.555968008796488</v>
      </c>
      <c r="M215">
        <v>0.51342898076258003</v>
      </c>
      <c r="N215">
        <v>0.57723752281344198</v>
      </c>
      <c r="O215">
        <v>0.492159466745626</v>
      </c>
    </row>
    <row r="216" spans="1:15">
      <c r="A216" s="19">
        <v>43538</v>
      </c>
      <c r="B216">
        <v>960</v>
      </c>
      <c r="C216">
        <v>946</v>
      </c>
      <c r="D216">
        <v>1771</v>
      </c>
      <c r="E216">
        <v>1734</v>
      </c>
      <c r="F216">
        <v>0.54555940023067995</v>
      </c>
      <c r="G216">
        <v>0.53483863681310695</v>
      </c>
      <c r="H216">
        <v>2.1340007767335498E-2</v>
      </c>
      <c r="I216">
        <v>0.50237860897048103</v>
      </c>
      <c r="J216">
        <v>1.97</v>
      </c>
      <c r="L216">
        <v>0.55617864458044242</v>
      </c>
      <c r="M216">
        <v>0.51349862904577148</v>
      </c>
      <c r="N216">
        <v>0.57751865234777799</v>
      </c>
      <c r="O216">
        <v>0.49215862127843596</v>
      </c>
    </row>
    <row r="217" spans="1:15">
      <c r="A217" s="19">
        <v>43537</v>
      </c>
      <c r="B217">
        <v>967</v>
      </c>
      <c r="C217">
        <v>949</v>
      </c>
      <c r="D217">
        <v>1764</v>
      </c>
      <c r="E217">
        <v>1770</v>
      </c>
      <c r="F217">
        <v>0.53615819209039495</v>
      </c>
      <c r="G217">
        <v>0.53511909662953605</v>
      </c>
      <c r="H217">
        <v>2.1615505745386301E-2</v>
      </c>
      <c r="I217">
        <v>4.8071762608685703E-2</v>
      </c>
      <c r="J217">
        <v>0.19</v>
      </c>
      <c r="L217">
        <v>0.55673460237492234</v>
      </c>
      <c r="M217">
        <v>0.51350359088414976</v>
      </c>
      <c r="N217">
        <v>0.57835010812030863</v>
      </c>
      <c r="O217">
        <v>0.49188808513876348</v>
      </c>
    </row>
    <row r="218" spans="1:15">
      <c r="A218" s="19">
        <v>43536</v>
      </c>
      <c r="B218">
        <v>948</v>
      </c>
      <c r="C218">
        <v>961</v>
      </c>
      <c r="D218">
        <v>1760</v>
      </c>
      <c r="E218">
        <v>1775</v>
      </c>
      <c r="F218">
        <v>0.54140845070422505</v>
      </c>
      <c r="G218">
        <v>0.53549003399664596</v>
      </c>
      <c r="H218">
        <v>2.18673949646788E-2</v>
      </c>
      <c r="I218">
        <v>0.27065028628871601</v>
      </c>
      <c r="J218">
        <v>1.0900000000000001</v>
      </c>
      <c r="L218">
        <v>0.55735742896132479</v>
      </c>
      <c r="M218">
        <v>0.51362263903196714</v>
      </c>
      <c r="N218">
        <v>0.57922482392600361</v>
      </c>
      <c r="O218">
        <v>0.49175524406728838</v>
      </c>
    </row>
    <row r="219" spans="1:15">
      <c r="A219" s="19">
        <v>43535</v>
      </c>
      <c r="B219">
        <v>927</v>
      </c>
      <c r="C219">
        <v>933</v>
      </c>
      <c r="D219">
        <v>1711</v>
      </c>
      <c r="E219">
        <v>1733</v>
      </c>
      <c r="F219">
        <v>0.53837276399307499</v>
      </c>
      <c r="G219">
        <v>0.53583691656120302</v>
      </c>
      <c r="H219">
        <v>2.2162878641513999E-2</v>
      </c>
      <c r="I219">
        <v>0.114418685085508</v>
      </c>
      <c r="J219">
        <v>0.47</v>
      </c>
      <c r="L219">
        <v>0.55799979520271703</v>
      </c>
      <c r="M219">
        <v>0.51367403791968902</v>
      </c>
      <c r="N219">
        <v>0.58016267384423104</v>
      </c>
      <c r="O219">
        <v>0.49151115927817501</v>
      </c>
    </row>
    <row r="220" spans="1:15">
      <c r="A220" s="19">
        <v>43532</v>
      </c>
      <c r="B220">
        <v>951</v>
      </c>
      <c r="C220">
        <v>925</v>
      </c>
      <c r="D220">
        <v>1750</v>
      </c>
      <c r="E220">
        <v>1713</v>
      </c>
      <c r="F220">
        <v>0.53998832457676504</v>
      </c>
      <c r="G220">
        <v>0.53616602626299503</v>
      </c>
      <c r="H220">
        <v>2.2380292896940199E-2</v>
      </c>
      <c r="I220">
        <v>0.17078857418766599</v>
      </c>
      <c r="J220">
        <v>0.71</v>
      </c>
      <c r="L220">
        <v>0.55854631915993525</v>
      </c>
      <c r="M220">
        <v>0.51378573336605482</v>
      </c>
      <c r="N220">
        <v>0.58092661205687546</v>
      </c>
      <c r="O220">
        <v>0.49140544046911461</v>
      </c>
    </row>
    <row r="221" spans="1:15">
      <c r="A221" s="19">
        <v>43531</v>
      </c>
      <c r="B221">
        <v>955</v>
      </c>
      <c r="C221">
        <v>953</v>
      </c>
      <c r="D221">
        <v>1775</v>
      </c>
      <c r="E221">
        <v>1775</v>
      </c>
      <c r="F221">
        <v>0.536901408450704</v>
      </c>
      <c r="G221">
        <v>0.536536982287107</v>
      </c>
      <c r="H221">
        <v>2.2669281833327198E-2</v>
      </c>
      <c r="I221">
        <v>1.6075770122570401E-2</v>
      </c>
      <c r="J221">
        <v>7.0000000000000007E-2</v>
      </c>
      <c r="L221">
        <v>0.55920626412043417</v>
      </c>
      <c r="M221">
        <v>0.51386770045377983</v>
      </c>
      <c r="N221">
        <v>0.58187554595376145</v>
      </c>
      <c r="O221">
        <v>0.4911984186204526</v>
      </c>
    </row>
    <row r="222" spans="1:15">
      <c r="A222" s="19">
        <v>43530</v>
      </c>
      <c r="B222">
        <v>945</v>
      </c>
      <c r="C222">
        <v>955</v>
      </c>
      <c r="D222">
        <v>1806</v>
      </c>
      <c r="E222">
        <v>1802</v>
      </c>
      <c r="F222">
        <v>0.52996670366259702</v>
      </c>
      <c r="G222">
        <v>0.53696687613246397</v>
      </c>
      <c r="H222">
        <v>2.2975759250149198E-2</v>
      </c>
      <c r="I222">
        <v>-0.30467643718113302</v>
      </c>
      <c r="J222">
        <v>-1.32</v>
      </c>
      <c r="L222">
        <v>0.55994263538261313</v>
      </c>
      <c r="M222">
        <v>0.5139911168823148</v>
      </c>
      <c r="N222">
        <v>0.5829183946327624</v>
      </c>
      <c r="O222">
        <v>0.49101535763216558</v>
      </c>
    </row>
    <row r="223" spans="1:15">
      <c r="A223" s="19">
        <v>43529</v>
      </c>
      <c r="B223">
        <v>949</v>
      </c>
      <c r="C223">
        <v>942</v>
      </c>
      <c r="D223">
        <v>1825</v>
      </c>
      <c r="E223">
        <v>1818</v>
      </c>
      <c r="F223">
        <v>0.51815181518151798</v>
      </c>
      <c r="G223">
        <v>0.53758114496842202</v>
      </c>
      <c r="H223">
        <v>2.3392470509568601E-2</v>
      </c>
      <c r="I223">
        <v>-0.83058049721410998</v>
      </c>
      <c r="J223">
        <v>-3.75</v>
      </c>
      <c r="L223">
        <v>0.56097361547799063</v>
      </c>
      <c r="M223">
        <v>0.51418867445885341</v>
      </c>
      <c r="N223">
        <v>0.58436608598755924</v>
      </c>
      <c r="O223">
        <v>0.4907962039492848</v>
      </c>
    </row>
    <row r="224" spans="1:15">
      <c r="A224" s="19">
        <v>43528</v>
      </c>
      <c r="B224">
        <v>955</v>
      </c>
      <c r="C224">
        <v>959</v>
      </c>
      <c r="D224">
        <v>1851</v>
      </c>
      <c r="E224">
        <v>1843</v>
      </c>
      <c r="F224">
        <v>0.52034725990233299</v>
      </c>
      <c r="G224">
        <v>0.538795297439569</v>
      </c>
      <c r="H224">
        <v>2.4680268222010301E-2</v>
      </c>
      <c r="I224">
        <v>-0.74748124174697705</v>
      </c>
      <c r="J224">
        <v>-3.55</v>
      </c>
      <c r="L224">
        <v>0.5634755656615793</v>
      </c>
      <c r="M224">
        <v>0.51411502921755869</v>
      </c>
      <c r="N224">
        <v>0.58815583388358961</v>
      </c>
      <c r="O224">
        <v>0.48943476099554839</v>
      </c>
    </row>
    <row r="225" spans="1:15">
      <c r="A225" s="19">
        <v>43525</v>
      </c>
      <c r="B225">
        <v>940</v>
      </c>
      <c r="C225">
        <v>942</v>
      </c>
      <c r="D225">
        <v>1842</v>
      </c>
      <c r="E225">
        <v>1830</v>
      </c>
      <c r="F225">
        <v>0.514754098360655</v>
      </c>
      <c r="G225">
        <v>0.53980645957038897</v>
      </c>
      <c r="H225">
        <v>2.5445410998344999E-2</v>
      </c>
      <c r="I225">
        <v>-0.98455321516965999</v>
      </c>
      <c r="J225">
        <v>-4.87</v>
      </c>
      <c r="L225">
        <v>0.56525187056873394</v>
      </c>
      <c r="M225">
        <v>0.51436104857204401</v>
      </c>
      <c r="N225">
        <v>0.59069728156707901</v>
      </c>
      <c r="O225">
        <v>0.48891563757369899</v>
      </c>
    </row>
    <row r="226" spans="1:15">
      <c r="A226" s="19">
        <v>43524</v>
      </c>
      <c r="B226">
        <v>976</v>
      </c>
      <c r="C226">
        <v>951</v>
      </c>
      <c r="D226">
        <v>1850</v>
      </c>
      <c r="E226">
        <v>1833</v>
      </c>
      <c r="F226">
        <v>0.51882160392798604</v>
      </c>
      <c r="G226">
        <v>0.54085326157497604</v>
      </c>
      <c r="H226">
        <v>2.60020769426298E-2</v>
      </c>
      <c r="I226">
        <v>-0.84730376329550805</v>
      </c>
      <c r="J226">
        <v>-4.25</v>
      </c>
      <c r="L226">
        <v>0.56685533851760583</v>
      </c>
      <c r="M226">
        <v>0.51485118463234625</v>
      </c>
      <c r="N226">
        <v>0.59285741546023563</v>
      </c>
      <c r="O226">
        <v>0.48884910768971646</v>
      </c>
    </row>
    <row r="227" spans="1:15">
      <c r="A227" s="19">
        <v>43523</v>
      </c>
      <c r="B227">
        <v>962</v>
      </c>
      <c r="C227">
        <v>974</v>
      </c>
      <c r="D227">
        <v>1870</v>
      </c>
      <c r="E227">
        <v>1849</v>
      </c>
      <c r="F227">
        <v>0.526771227690643</v>
      </c>
      <c r="G227">
        <v>0.54197255889711504</v>
      </c>
      <c r="H227">
        <v>2.6823445251738399E-2</v>
      </c>
      <c r="I227">
        <v>-0.56671807308147704</v>
      </c>
      <c r="J227">
        <v>-2.89</v>
      </c>
      <c r="L227">
        <v>0.56879600414885345</v>
      </c>
      <c r="M227">
        <v>0.51514911364537663</v>
      </c>
      <c r="N227">
        <v>0.59561944940059186</v>
      </c>
      <c r="O227">
        <v>0.48832566839363822</v>
      </c>
    </row>
    <row r="228" spans="1:15">
      <c r="A228" s="19">
        <v>43522</v>
      </c>
      <c r="B228">
        <v>977</v>
      </c>
      <c r="C228">
        <v>964</v>
      </c>
      <c r="D228">
        <v>1840</v>
      </c>
      <c r="E228">
        <v>1854</v>
      </c>
      <c r="F228">
        <v>0.51995685005393699</v>
      </c>
      <c r="G228">
        <v>0.54283923788655597</v>
      </c>
      <c r="H228">
        <v>2.7362961631945199E-2</v>
      </c>
      <c r="I228">
        <v>-0.83625406271463698</v>
      </c>
      <c r="J228">
        <v>-4.4000000000000004</v>
      </c>
      <c r="L228">
        <v>0.57020219951850115</v>
      </c>
      <c r="M228">
        <v>0.51547627625461079</v>
      </c>
      <c r="N228">
        <v>0.59756516115044633</v>
      </c>
      <c r="O228">
        <v>0.48811331462266555</v>
      </c>
    </row>
    <row r="229" spans="1:15">
      <c r="A229" s="19">
        <v>43521</v>
      </c>
      <c r="B229">
        <v>975</v>
      </c>
      <c r="C229">
        <v>977</v>
      </c>
      <c r="D229">
        <v>1855</v>
      </c>
      <c r="E229">
        <v>1858</v>
      </c>
      <c r="F229">
        <v>0.52583423035522003</v>
      </c>
      <c r="G229">
        <v>0.54331230788868001</v>
      </c>
      <c r="H229">
        <v>2.7269810662002202E-2</v>
      </c>
      <c r="I229">
        <v>-0.64093138562980001</v>
      </c>
      <c r="J229">
        <v>-3.32</v>
      </c>
      <c r="L229">
        <v>0.57058211855068219</v>
      </c>
      <c r="M229">
        <v>0.51604249722667783</v>
      </c>
      <c r="N229">
        <v>0.59785192921268437</v>
      </c>
      <c r="O229">
        <v>0.4887726865646756</v>
      </c>
    </row>
    <row r="230" spans="1:15">
      <c r="A230" s="19">
        <v>43518</v>
      </c>
      <c r="B230">
        <v>950</v>
      </c>
      <c r="C230">
        <v>974</v>
      </c>
      <c r="D230">
        <v>1812</v>
      </c>
      <c r="E230">
        <v>1832</v>
      </c>
      <c r="F230">
        <v>0.53165938864628803</v>
      </c>
      <c r="G230">
        <v>0.545112348922559</v>
      </c>
      <c r="H230">
        <v>3.03395944531939E-2</v>
      </c>
      <c r="I230">
        <v>-0.44341265988327899</v>
      </c>
      <c r="J230">
        <v>-2.5299999999999998</v>
      </c>
      <c r="L230">
        <v>0.57545194337575289</v>
      </c>
      <c r="M230">
        <v>0.5147727544693651</v>
      </c>
      <c r="N230">
        <v>0.60579153782894679</v>
      </c>
      <c r="O230">
        <v>0.4844331600161712</v>
      </c>
    </row>
    <row r="231" spans="1:15">
      <c r="A231" s="19">
        <v>43517</v>
      </c>
      <c r="B231">
        <v>966</v>
      </c>
      <c r="C231">
        <v>959</v>
      </c>
      <c r="D231">
        <v>1836</v>
      </c>
      <c r="E231">
        <v>1821</v>
      </c>
      <c r="F231">
        <v>0.526633717737506</v>
      </c>
      <c r="G231">
        <v>0.54632847181817401</v>
      </c>
      <c r="H231">
        <v>3.1578675525874997E-2</v>
      </c>
      <c r="I231">
        <v>-0.62367258134464798</v>
      </c>
      <c r="J231">
        <v>-3.74</v>
      </c>
      <c r="L231">
        <v>0.57790714734404902</v>
      </c>
      <c r="M231">
        <v>0.514749796292299</v>
      </c>
      <c r="N231">
        <v>0.60948582286992403</v>
      </c>
      <c r="O231">
        <v>0.48317112076642399</v>
      </c>
    </row>
    <row r="232" spans="1:15">
      <c r="A232" s="19">
        <v>43516</v>
      </c>
      <c r="B232">
        <v>958</v>
      </c>
      <c r="C232">
        <v>960</v>
      </c>
      <c r="D232">
        <v>1845</v>
      </c>
      <c r="E232">
        <v>1842</v>
      </c>
      <c r="F232">
        <v>0.52117263843648198</v>
      </c>
      <c r="G232">
        <v>0.54755142311761495</v>
      </c>
      <c r="H232">
        <v>3.2553285993241601E-2</v>
      </c>
      <c r="I232">
        <v>-0.81032632732099097</v>
      </c>
      <c r="J232">
        <v>-5.0599999999999996</v>
      </c>
      <c r="L232">
        <v>0.58010470911085654</v>
      </c>
      <c r="M232">
        <v>0.51499813712437337</v>
      </c>
      <c r="N232">
        <v>0.61265799510409813</v>
      </c>
      <c r="O232">
        <v>0.48244485113113178</v>
      </c>
    </row>
    <row r="233" spans="1:15">
      <c r="A233" s="19">
        <v>43515</v>
      </c>
      <c r="B233">
        <v>961</v>
      </c>
      <c r="C233">
        <v>957</v>
      </c>
      <c r="D233">
        <v>1826</v>
      </c>
      <c r="E233">
        <v>1839</v>
      </c>
      <c r="F233">
        <v>0.52039151712887399</v>
      </c>
      <c r="G233">
        <v>0.54875688961927405</v>
      </c>
      <c r="H233">
        <v>3.3221258380631002E-2</v>
      </c>
      <c r="I233">
        <v>-0.85383197004174805</v>
      </c>
      <c r="J233">
        <v>-5.45</v>
      </c>
      <c r="L233">
        <v>0.5819781479999051</v>
      </c>
      <c r="M233">
        <v>0.51553563123864299</v>
      </c>
      <c r="N233">
        <v>0.61519940638053605</v>
      </c>
      <c r="O233">
        <v>0.48231437285801204</v>
      </c>
    </row>
    <row r="234" spans="1:15">
      <c r="A234" s="19">
        <v>43514</v>
      </c>
      <c r="B234">
        <v>968</v>
      </c>
      <c r="C234">
        <v>956</v>
      </c>
      <c r="D234">
        <v>1809</v>
      </c>
      <c r="E234">
        <v>1825</v>
      </c>
      <c r="F234">
        <v>0.52383561643835597</v>
      </c>
      <c r="G234">
        <v>0.55008581326120298</v>
      </c>
      <c r="H234">
        <v>3.4043325271970501E-2</v>
      </c>
      <c r="I234">
        <v>-0.77108204363515798</v>
      </c>
      <c r="J234">
        <v>-5.01</v>
      </c>
      <c r="L234">
        <v>0.5841291385331735</v>
      </c>
      <c r="M234">
        <v>0.51604248798923247</v>
      </c>
      <c r="N234">
        <v>0.61817246380514401</v>
      </c>
      <c r="O234">
        <v>0.48199916271726195</v>
      </c>
    </row>
    <row r="235" spans="1:15">
      <c r="A235" s="19">
        <v>43511</v>
      </c>
      <c r="B235">
        <v>980</v>
      </c>
      <c r="C235">
        <v>942</v>
      </c>
      <c r="D235">
        <v>1777</v>
      </c>
      <c r="E235">
        <v>1769</v>
      </c>
      <c r="F235">
        <v>0.53250423968343696</v>
      </c>
      <c r="G235">
        <v>0.55152685640440102</v>
      </c>
      <c r="H235">
        <v>3.51704628700856E-2</v>
      </c>
      <c r="I235">
        <v>-0.54086910346420403</v>
      </c>
      <c r="J235">
        <v>-3.57</v>
      </c>
      <c r="L235">
        <v>0.58669731927448665</v>
      </c>
      <c r="M235">
        <v>0.51635639353431539</v>
      </c>
      <c r="N235">
        <v>0.62186778214457217</v>
      </c>
      <c r="O235">
        <v>0.48118593066422982</v>
      </c>
    </row>
    <row r="236" spans="1:15">
      <c r="A236" s="19">
        <v>43510</v>
      </c>
      <c r="B236">
        <v>941</v>
      </c>
      <c r="C236">
        <v>976</v>
      </c>
      <c r="D236">
        <v>1797</v>
      </c>
      <c r="E236">
        <v>1782</v>
      </c>
      <c r="F236">
        <v>0.54769921436588098</v>
      </c>
      <c r="G236">
        <v>0.55282357034818297</v>
      </c>
      <c r="H236">
        <v>3.6222316817750101E-2</v>
      </c>
      <c r="I236">
        <v>-0.14146958097919499</v>
      </c>
      <c r="J236">
        <v>-0.94</v>
      </c>
      <c r="L236">
        <v>0.58904588716593309</v>
      </c>
      <c r="M236">
        <v>0.51660125353043285</v>
      </c>
      <c r="N236">
        <v>0.62526820398368321</v>
      </c>
      <c r="O236">
        <v>0.48037893671268278</v>
      </c>
    </row>
    <row r="237" spans="1:15">
      <c r="A237" s="19">
        <v>43509</v>
      </c>
      <c r="B237">
        <v>940</v>
      </c>
      <c r="C237">
        <v>936</v>
      </c>
      <c r="D237">
        <v>1800</v>
      </c>
      <c r="E237">
        <v>1809</v>
      </c>
      <c r="F237">
        <v>0.51741293532338295</v>
      </c>
      <c r="G237">
        <v>0.55429389978017596</v>
      </c>
      <c r="H237">
        <v>3.81702178675861E-2</v>
      </c>
      <c r="I237">
        <v>-0.966223577364275</v>
      </c>
      <c r="J237">
        <v>-7.13</v>
      </c>
      <c r="L237">
        <v>0.59246411764776208</v>
      </c>
      <c r="M237">
        <v>0.51612368191258984</v>
      </c>
      <c r="N237">
        <v>0.6306343355153482</v>
      </c>
      <c r="O237">
        <v>0.47795346404500377</v>
      </c>
    </row>
    <row r="238" spans="1:15">
      <c r="A238" s="19">
        <v>43508</v>
      </c>
      <c r="B238">
        <v>896</v>
      </c>
      <c r="C238">
        <v>925</v>
      </c>
      <c r="D238">
        <v>1730</v>
      </c>
      <c r="E238">
        <v>1797</v>
      </c>
      <c r="F238">
        <v>0.514746800222593</v>
      </c>
      <c r="G238">
        <v>0.55617653093457498</v>
      </c>
      <c r="H238">
        <v>3.9753958688132703E-2</v>
      </c>
      <c r="I238">
        <v>-1.0421535887028299</v>
      </c>
      <c r="J238">
        <v>-8.0500000000000007</v>
      </c>
      <c r="L238">
        <v>0.59593048962270767</v>
      </c>
      <c r="M238">
        <v>0.51642257224644228</v>
      </c>
      <c r="N238">
        <v>0.63568444831084037</v>
      </c>
      <c r="O238">
        <v>0.47666861355830958</v>
      </c>
    </row>
    <row r="239" spans="1:15">
      <c r="A239" s="19">
        <v>43504</v>
      </c>
      <c r="B239">
        <v>912</v>
      </c>
      <c r="C239">
        <v>896</v>
      </c>
      <c r="D239">
        <v>1734</v>
      </c>
      <c r="E239">
        <v>1713</v>
      </c>
      <c r="F239">
        <v>0.52305896088733195</v>
      </c>
      <c r="G239">
        <v>0.55810006003528501</v>
      </c>
      <c r="H239">
        <v>4.1167851497912501E-2</v>
      </c>
      <c r="I239">
        <v>-0.85117629103694203</v>
      </c>
      <c r="J239">
        <v>-6.7</v>
      </c>
      <c r="L239">
        <v>0.59926791153319747</v>
      </c>
      <c r="M239">
        <v>0.51693220853737254</v>
      </c>
      <c r="N239">
        <v>0.64043576303111005</v>
      </c>
      <c r="O239">
        <v>0.47576435703946002</v>
      </c>
    </row>
    <row r="240" spans="1:15">
      <c r="A240" s="19">
        <v>43503</v>
      </c>
      <c r="B240">
        <v>935</v>
      </c>
      <c r="C240">
        <v>927</v>
      </c>
      <c r="D240">
        <v>1782</v>
      </c>
      <c r="E240">
        <v>1768</v>
      </c>
      <c r="F240">
        <v>0.52432126696832504</v>
      </c>
      <c r="G240">
        <v>0.55992935936020605</v>
      </c>
      <c r="H240">
        <v>4.2593656152226197E-2</v>
      </c>
      <c r="I240">
        <v>-0.83599520700030605</v>
      </c>
      <c r="J240">
        <v>-6.79</v>
      </c>
      <c r="L240">
        <v>0.60252301551243226</v>
      </c>
      <c r="M240">
        <v>0.51733570320797984</v>
      </c>
      <c r="N240">
        <v>0.64511667166465847</v>
      </c>
      <c r="O240">
        <v>0.47474204705575362</v>
      </c>
    </row>
    <row r="241" spans="1:15">
      <c r="A241" s="19">
        <v>43502</v>
      </c>
      <c r="B241">
        <v>953</v>
      </c>
      <c r="C241">
        <v>943</v>
      </c>
      <c r="D241">
        <v>1791</v>
      </c>
      <c r="E241">
        <v>1780</v>
      </c>
      <c r="F241">
        <v>0.52977528089887604</v>
      </c>
      <c r="G241">
        <v>0.56173188558595</v>
      </c>
      <c r="H241">
        <v>4.3889451607836298E-2</v>
      </c>
      <c r="I241">
        <v>-0.72811583458856199</v>
      </c>
      <c r="J241">
        <v>-6.03</v>
      </c>
      <c r="L241">
        <v>0.6056213371937863</v>
      </c>
      <c r="M241">
        <v>0.51784243397811369</v>
      </c>
      <c r="N241">
        <v>0.64951078880162261</v>
      </c>
      <c r="O241">
        <v>0.47395298237027739</v>
      </c>
    </row>
    <row r="242" spans="1:15">
      <c r="A242" s="19">
        <v>43501</v>
      </c>
      <c r="B242">
        <v>942</v>
      </c>
      <c r="C242">
        <v>944</v>
      </c>
      <c r="D242">
        <v>1766</v>
      </c>
      <c r="E242">
        <v>1780</v>
      </c>
      <c r="F242">
        <v>0.530337078651685</v>
      </c>
      <c r="G242">
        <v>0.56345101524168095</v>
      </c>
      <c r="H242">
        <v>4.51121820579145E-2</v>
      </c>
      <c r="I242">
        <v>-0.73403535540543896</v>
      </c>
      <c r="J242">
        <v>-6.24</v>
      </c>
      <c r="L242">
        <v>0.6085631972995954</v>
      </c>
      <c r="M242">
        <v>0.5183388331837665</v>
      </c>
      <c r="N242">
        <v>0.65367537935750997</v>
      </c>
      <c r="O242">
        <v>0.47322665112585194</v>
      </c>
    </row>
    <row r="243" spans="1:15">
      <c r="A243" s="19">
        <v>43500</v>
      </c>
      <c r="B243">
        <v>933</v>
      </c>
      <c r="C243">
        <v>949</v>
      </c>
      <c r="D243">
        <v>1730</v>
      </c>
      <c r="E243">
        <v>1764</v>
      </c>
      <c r="F243">
        <v>0.53798185941042997</v>
      </c>
      <c r="G243">
        <v>0.56498477412034898</v>
      </c>
      <c r="H243">
        <v>4.5908715812635399E-2</v>
      </c>
      <c r="I243">
        <v>-0.58818710634651195</v>
      </c>
      <c r="J243">
        <v>-5.0199999999999996</v>
      </c>
      <c r="L243">
        <v>0.61089348993298442</v>
      </c>
      <c r="M243">
        <v>0.51907605830771353</v>
      </c>
      <c r="N243">
        <v>0.65680220574561976</v>
      </c>
      <c r="O243">
        <v>0.47316734249507819</v>
      </c>
    </row>
    <row r="244" spans="1:15">
      <c r="A244" s="19">
        <v>43497</v>
      </c>
      <c r="B244">
        <v>949</v>
      </c>
      <c r="C244">
        <v>922</v>
      </c>
      <c r="D244">
        <v>1779</v>
      </c>
      <c r="E244">
        <v>1709</v>
      </c>
      <c r="F244">
        <v>0.53949678174370896</v>
      </c>
      <c r="G244">
        <v>0.56657031496742105</v>
      </c>
      <c r="H244">
        <v>4.6989501833841402E-2</v>
      </c>
      <c r="I244">
        <v>-0.57616131619029098</v>
      </c>
      <c r="J244">
        <v>-5.0199999999999996</v>
      </c>
      <c r="L244">
        <v>0.61355981680126248</v>
      </c>
      <c r="M244">
        <v>0.51958081313357962</v>
      </c>
      <c r="N244">
        <v>0.66054931863510391</v>
      </c>
      <c r="O244">
        <v>0.47259131129973825</v>
      </c>
    </row>
    <row r="245" spans="1:15">
      <c r="A245" s="19">
        <v>43496</v>
      </c>
      <c r="B245">
        <v>960</v>
      </c>
      <c r="C245">
        <v>946</v>
      </c>
      <c r="D245">
        <v>1768</v>
      </c>
      <c r="E245">
        <v>1766</v>
      </c>
      <c r="F245">
        <v>0.53567383918459799</v>
      </c>
      <c r="G245">
        <v>0.56810928102973302</v>
      </c>
      <c r="H245">
        <v>4.79577481642562E-2</v>
      </c>
      <c r="I245">
        <v>-0.67633371220939997</v>
      </c>
      <c r="J245">
        <v>-6.06</v>
      </c>
      <c r="L245">
        <v>0.61606702919398926</v>
      </c>
      <c r="M245">
        <v>0.52015153286547677</v>
      </c>
      <c r="N245">
        <v>0.66402477735824539</v>
      </c>
      <c r="O245">
        <v>0.47219378470122064</v>
      </c>
    </row>
    <row r="246" spans="1:15">
      <c r="A246" s="19">
        <v>43495</v>
      </c>
      <c r="B246">
        <v>947</v>
      </c>
      <c r="C246">
        <v>937</v>
      </c>
      <c r="D246">
        <v>1760</v>
      </c>
      <c r="E246">
        <v>1728</v>
      </c>
      <c r="F246">
        <v>0.54224537037037002</v>
      </c>
      <c r="G246">
        <v>0.56963847245561705</v>
      </c>
      <c r="H246">
        <v>4.8721547232362702E-2</v>
      </c>
      <c r="I246">
        <v>-0.56223793457550997</v>
      </c>
      <c r="J246">
        <v>-5.05</v>
      </c>
      <c r="L246">
        <v>0.61836001968797971</v>
      </c>
      <c r="M246">
        <v>0.52091692522325439</v>
      </c>
      <c r="N246">
        <v>0.66708156692034248</v>
      </c>
      <c r="O246">
        <v>0.47219537799089162</v>
      </c>
    </row>
    <row r="247" spans="1:15">
      <c r="A247" s="19">
        <v>43494</v>
      </c>
      <c r="B247">
        <v>949</v>
      </c>
      <c r="C247">
        <v>952</v>
      </c>
      <c r="D247">
        <v>1740</v>
      </c>
      <c r="E247">
        <v>1744</v>
      </c>
      <c r="F247">
        <v>0.54587155963302703</v>
      </c>
      <c r="G247">
        <v>0.57095197810186304</v>
      </c>
      <c r="H247">
        <v>4.9289949891660301E-2</v>
      </c>
      <c r="I247">
        <v>-0.50883432675348905</v>
      </c>
      <c r="J247">
        <v>-4.59</v>
      </c>
      <c r="L247">
        <v>0.6202419279935234</v>
      </c>
      <c r="M247">
        <v>0.52166202821020269</v>
      </c>
      <c r="N247">
        <v>0.66953187788518365</v>
      </c>
      <c r="O247">
        <v>0.47237207831854244</v>
      </c>
    </row>
    <row r="248" spans="1:15">
      <c r="A248" s="19">
        <v>43493</v>
      </c>
      <c r="B248">
        <v>959</v>
      </c>
      <c r="C248">
        <v>939</v>
      </c>
      <c r="D248">
        <v>1764</v>
      </c>
      <c r="E248">
        <v>1740</v>
      </c>
      <c r="F248">
        <v>0.53965517241379302</v>
      </c>
      <c r="G248">
        <v>0.57216765710302597</v>
      </c>
      <c r="H248">
        <v>4.9778333301576001E-2</v>
      </c>
      <c r="I248">
        <v>-0.65314530505191304</v>
      </c>
      <c r="J248">
        <v>-6.02</v>
      </c>
      <c r="L248">
        <v>0.62194599040460197</v>
      </c>
      <c r="M248">
        <v>0.52238932380144998</v>
      </c>
      <c r="N248">
        <v>0.67172432370617796</v>
      </c>
      <c r="O248">
        <v>0.47261099049987398</v>
      </c>
    </row>
    <row r="249" spans="1:15">
      <c r="A249" s="19">
        <v>43490</v>
      </c>
      <c r="B249">
        <v>942</v>
      </c>
      <c r="C249">
        <v>949</v>
      </c>
      <c r="D249">
        <v>1722</v>
      </c>
      <c r="E249">
        <v>1750</v>
      </c>
      <c r="F249">
        <v>0.54228571428571404</v>
      </c>
      <c r="G249">
        <v>0.573621762271605</v>
      </c>
      <c r="H249">
        <v>5.0396394101941001E-2</v>
      </c>
      <c r="I249">
        <v>-0.62179147028863302</v>
      </c>
      <c r="J249">
        <v>-5.78</v>
      </c>
      <c r="L249">
        <v>0.62401815637354596</v>
      </c>
      <c r="M249">
        <v>0.52322536816966403</v>
      </c>
      <c r="N249">
        <v>0.67441455047548704</v>
      </c>
      <c r="O249">
        <v>0.47282897406772301</v>
      </c>
    </row>
    <row r="250" spans="1:15">
      <c r="A250" s="19">
        <v>43489</v>
      </c>
      <c r="B250">
        <v>930</v>
      </c>
      <c r="C250">
        <v>939</v>
      </c>
      <c r="D250">
        <v>1720</v>
      </c>
      <c r="E250">
        <v>1740</v>
      </c>
      <c r="F250">
        <v>0.53965517241379302</v>
      </c>
      <c r="G250">
        <v>0.57487163272303599</v>
      </c>
      <c r="H250">
        <v>5.0764806434678303E-2</v>
      </c>
      <c r="I250">
        <v>-0.69371800628369695</v>
      </c>
      <c r="J250">
        <v>-6.53</v>
      </c>
      <c r="L250">
        <v>0.62563643915771427</v>
      </c>
      <c r="M250">
        <v>0.5241068262883577</v>
      </c>
      <c r="N250">
        <v>0.67640124559239256</v>
      </c>
      <c r="O250">
        <v>0.47334201985367941</v>
      </c>
    </row>
    <row r="251" spans="1:15">
      <c r="A251" s="19">
        <v>43488</v>
      </c>
      <c r="B251">
        <v>910</v>
      </c>
      <c r="C251">
        <v>934</v>
      </c>
      <c r="D251">
        <v>1719</v>
      </c>
      <c r="E251">
        <v>1737</v>
      </c>
      <c r="F251">
        <v>0.53770869314910696</v>
      </c>
      <c r="G251">
        <v>0.57605913005243803</v>
      </c>
      <c r="H251">
        <v>5.0968399625227298E-2</v>
      </c>
      <c r="I251">
        <v>-0.75243557155654905</v>
      </c>
      <c r="J251">
        <v>-7.13</v>
      </c>
      <c r="L251">
        <v>0.62702752967766529</v>
      </c>
      <c r="M251">
        <v>0.52509073042721077</v>
      </c>
      <c r="N251">
        <v>0.67799592930289265</v>
      </c>
      <c r="O251">
        <v>0.4741223308019834</v>
      </c>
    </row>
    <row r="252" spans="1:15">
      <c r="A252" s="19">
        <v>43487</v>
      </c>
      <c r="B252">
        <v>932</v>
      </c>
      <c r="C252">
        <v>924</v>
      </c>
      <c r="D252">
        <v>1764</v>
      </c>
      <c r="E252">
        <v>1739</v>
      </c>
      <c r="F252">
        <v>0.53133985048878596</v>
      </c>
      <c r="G252">
        <v>0.57739510278121797</v>
      </c>
      <c r="H252">
        <v>5.1258017874756603E-2</v>
      </c>
      <c r="I252">
        <v>-0.89849850232139095</v>
      </c>
      <c r="J252">
        <v>-8.67</v>
      </c>
      <c r="L252">
        <v>0.62865312065597456</v>
      </c>
      <c r="M252">
        <v>0.52613708490646138</v>
      </c>
      <c r="N252">
        <v>0.67991113853073115</v>
      </c>
      <c r="O252">
        <v>0.47487906703170479</v>
      </c>
    </row>
    <row r="253" spans="1:15">
      <c r="A253" s="19">
        <v>43486</v>
      </c>
      <c r="B253">
        <v>937</v>
      </c>
      <c r="C253">
        <v>932</v>
      </c>
      <c r="D253">
        <v>1744</v>
      </c>
      <c r="E253">
        <v>1756</v>
      </c>
      <c r="F253">
        <v>0.53075170842824604</v>
      </c>
      <c r="G253">
        <v>0.57883442670873897</v>
      </c>
      <c r="H253">
        <v>5.1459789083132999E-2</v>
      </c>
      <c r="I253">
        <v>-0.93437456968227495</v>
      </c>
      <c r="J253">
        <v>-9.06</v>
      </c>
      <c r="L253">
        <v>0.63029421579187195</v>
      </c>
      <c r="M253">
        <v>0.52737463762560599</v>
      </c>
      <c r="N253">
        <v>0.68175400487500493</v>
      </c>
      <c r="O253">
        <v>0.47591484854247296</v>
      </c>
    </row>
    <row r="254" spans="1:15">
      <c r="A254" s="19">
        <v>43483</v>
      </c>
      <c r="B254">
        <v>902</v>
      </c>
      <c r="C254">
        <v>923</v>
      </c>
      <c r="D254">
        <v>1734</v>
      </c>
      <c r="E254">
        <v>1729</v>
      </c>
      <c r="F254">
        <v>0.533834586466165</v>
      </c>
      <c r="G254">
        <v>0.58035738110308099</v>
      </c>
      <c r="H254">
        <v>5.17038604433201E-2</v>
      </c>
      <c r="I254">
        <v>-0.89979344362333802</v>
      </c>
      <c r="J254">
        <v>-8.7100000000000009</v>
      </c>
      <c r="L254">
        <v>0.63206124154640109</v>
      </c>
      <c r="M254">
        <v>0.5286535206597609</v>
      </c>
      <c r="N254">
        <v>0.68376510198972118</v>
      </c>
      <c r="O254">
        <v>0.47694966021644081</v>
      </c>
    </row>
    <row r="255" spans="1:15">
      <c r="A255" s="19">
        <v>43482</v>
      </c>
      <c r="B255">
        <v>902</v>
      </c>
      <c r="C255">
        <v>896</v>
      </c>
      <c r="D255">
        <v>1725</v>
      </c>
      <c r="E255">
        <v>1724</v>
      </c>
      <c r="F255">
        <v>0.51972157772621796</v>
      </c>
      <c r="G255">
        <v>0.58178005825485102</v>
      </c>
      <c r="H255">
        <v>5.1871881702845297E-2</v>
      </c>
      <c r="I255">
        <v>-1.1963799748800901</v>
      </c>
      <c r="J255">
        <v>-11.94</v>
      </c>
      <c r="L255">
        <v>0.63365193995769631</v>
      </c>
      <c r="M255">
        <v>0.52990817655200573</v>
      </c>
      <c r="N255">
        <v>0.6855238216605416</v>
      </c>
      <c r="O255">
        <v>0.47803629484916044</v>
      </c>
    </row>
    <row r="256" spans="1:15">
      <c r="A256" s="19">
        <v>43481</v>
      </c>
      <c r="B256">
        <v>900</v>
      </c>
      <c r="C256">
        <v>884</v>
      </c>
      <c r="D256">
        <v>1727</v>
      </c>
      <c r="E256">
        <v>1719</v>
      </c>
      <c r="F256">
        <v>0.51425247236765503</v>
      </c>
      <c r="G256">
        <v>0.58353486014021305</v>
      </c>
      <c r="H256">
        <v>5.1968854410440801E-2</v>
      </c>
      <c r="I256">
        <v>-1.3331521073252299</v>
      </c>
      <c r="J256">
        <v>-13.47</v>
      </c>
      <c r="L256">
        <v>0.63550371455065391</v>
      </c>
      <c r="M256">
        <v>0.5315660057297722</v>
      </c>
      <c r="N256">
        <v>0.68747256896109465</v>
      </c>
      <c r="O256">
        <v>0.47959715131933145</v>
      </c>
    </row>
    <row r="257" spans="1:15">
      <c r="A257" s="19">
        <v>43480</v>
      </c>
      <c r="B257">
        <v>887</v>
      </c>
      <c r="C257">
        <v>898</v>
      </c>
      <c r="D257">
        <v>1717</v>
      </c>
      <c r="E257">
        <v>1726</v>
      </c>
      <c r="F257">
        <v>0.52027809965237504</v>
      </c>
      <c r="G257">
        <v>0.58523983773926302</v>
      </c>
      <c r="H257">
        <v>5.1765105889906501E-2</v>
      </c>
      <c r="I257">
        <v>-1.2549329701951699</v>
      </c>
      <c r="J257">
        <v>-12.49</v>
      </c>
      <c r="L257">
        <v>0.63700494362916948</v>
      </c>
      <c r="M257">
        <v>0.53347473184935656</v>
      </c>
      <c r="N257">
        <v>0.68877004951907606</v>
      </c>
      <c r="O257">
        <v>0.48170962595944999</v>
      </c>
    </row>
    <row r="258" spans="1:15">
      <c r="A258" s="19">
        <v>43476</v>
      </c>
      <c r="B258">
        <v>871</v>
      </c>
      <c r="C258">
        <v>878</v>
      </c>
      <c r="D258">
        <v>1717</v>
      </c>
      <c r="E258">
        <v>1717</v>
      </c>
      <c r="F258">
        <v>0.51135701805474598</v>
      </c>
      <c r="G258">
        <v>0.58692140030136097</v>
      </c>
      <c r="H258">
        <v>5.1675894094250802E-2</v>
      </c>
      <c r="I258">
        <v>-1.46227527498206</v>
      </c>
      <c r="J258">
        <v>-14.78</v>
      </c>
      <c r="L258">
        <v>0.63859729439561175</v>
      </c>
      <c r="M258">
        <v>0.5352455062071102</v>
      </c>
      <c r="N258">
        <v>0.69027318848986252</v>
      </c>
      <c r="O258">
        <v>0.48356961211285937</v>
      </c>
    </row>
    <row r="259" spans="1:15">
      <c r="A259" s="19">
        <v>43475</v>
      </c>
      <c r="B259">
        <v>864</v>
      </c>
      <c r="C259">
        <v>867</v>
      </c>
      <c r="D259">
        <v>1701</v>
      </c>
      <c r="E259">
        <v>1716</v>
      </c>
      <c r="F259">
        <v>0.50524475524475498</v>
      </c>
      <c r="G259">
        <v>0.58880738154359702</v>
      </c>
      <c r="H259">
        <v>5.1464400158289701E-2</v>
      </c>
      <c r="I259">
        <v>-1.6236976636631799</v>
      </c>
      <c r="J259">
        <v>-16.54</v>
      </c>
      <c r="L259">
        <v>0.6402717817018867</v>
      </c>
      <c r="M259">
        <v>0.53734298138530734</v>
      </c>
      <c r="N259">
        <v>0.69173618186017638</v>
      </c>
      <c r="O259">
        <v>0.4858785812270176</v>
      </c>
    </row>
    <row r="260" spans="1:15">
      <c r="A260" s="19">
        <v>43474</v>
      </c>
      <c r="B260">
        <v>871</v>
      </c>
      <c r="C260">
        <v>865</v>
      </c>
      <c r="D260">
        <v>1687</v>
      </c>
      <c r="E260">
        <v>1706</v>
      </c>
      <c r="F260">
        <v>0.50703399765533397</v>
      </c>
      <c r="G260">
        <v>0.59077896802882202</v>
      </c>
      <c r="H260">
        <v>5.1056164526691601E-2</v>
      </c>
      <c r="I260">
        <v>-1.6402518902434799</v>
      </c>
      <c r="J260">
        <v>-16.52</v>
      </c>
      <c r="L260">
        <v>0.64183513255551361</v>
      </c>
      <c r="M260">
        <v>0.53972280350213042</v>
      </c>
      <c r="N260">
        <v>0.6928912970822052</v>
      </c>
      <c r="O260">
        <v>0.48866663897543883</v>
      </c>
    </row>
    <row r="261" spans="1:15">
      <c r="A261" s="19">
        <v>43473</v>
      </c>
      <c r="B261">
        <v>841</v>
      </c>
      <c r="C261">
        <v>861</v>
      </c>
      <c r="D261">
        <v>1688</v>
      </c>
      <c r="E261">
        <v>1681</v>
      </c>
      <c r="F261">
        <v>0.51219512195121897</v>
      </c>
      <c r="G261">
        <v>0.59278362245139604</v>
      </c>
      <c r="H261">
        <v>5.0678908807446701E-2</v>
      </c>
      <c r="I261">
        <v>-1.59017828908611</v>
      </c>
      <c r="J261">
        <v>-15.73</v>
      </c>
      <c r="L261">
        <v>0.64346253125884278</v>
      </c>
      <c r="M261">
        <v>0.5421047136439493</v>
      </c>
      <c r="N261">
        <v>0.69414144006628942</v>
      </c>
      <c r="O261">
        <v>0.49142580483650267</v>
      </c>
    </row>
    <row r="262" spans="1:15">
      <c r="A262" s="19">
        <v>43472</v>
      </c>
      <c r="B262">
        <v>830</v>
      </c>
      <c r="C262">
        <v>846</v>
      </c>
      <c r="D262">
        <v>1665</v>
      </c>
      <c r="E262">
        <v>1685</v>
      </c>
      <c r="F262">
        <v>0.50207715133531094</v>
      </c>
      <c r="G262">
        <v>0.59468560526158998</v>
      </c>
      <c r="H262">
        <v>5.0294072908965801E-2</v>
      </c>
      <c r="I262">
        <v>-1.8413393183308699</v>
      </c>
      <c r="J262">
        <v>-18.45</v>
      </c>
      <c r="L262">
        <v>0.64497967817055579</v>
      </c>
      <c r="M262">
        <v>0.54439153235262416</v>
      </c>
      <c r="N262">
        <v>0.69527375107952161</v>
      </c>
      <c r="O262">
        <v>0.49409745944365835</v>
      </c>
    </row>
    <row r="263" spans="1:15">
      <c r="A263" s="19">
        <v>43469</v>
      </c>
      <c r="B263">
        <v>828</v>
      </c>
      <c r="C263">
        <v>808</v>
      </c>
      <c r="D263">
        <v>1586</v>
      </c>
      <c r="E263">
        <v>1620</v>
      </c>
      <c r="F263">
        <v>0.498765432098765</v>
      </c>
      <c r="G263">
        <v>0.59682820553799698</v>
      </c>
      <c r="H263">
        <v>4.9722856230331701E-2</v>
      </c>
      <c r="I263">
        <v>-1.9721870558878201</v>
      </c>
      <c r="J263">
        <v>-19.66</v>
      </c>
      <c r="L263">
        <v>0.64655106176832866</v>
      </c>
      <c r="M263">
        <v>0.5471053493076653</v>
      </c>
      <c r="N263">
        <v>0.69627391799866034</v>
      </c>
      <c r="O263">
        <v>0.49738249307733357</v>
      </c>
    </row>
    <row r="264" spans="1:15">
      <c r="A264" s="19">
        <v>43462</v>
      </c>
      <c r="B264">
        <v>818</v>
      </c>
      <c r="C264">
        <v>831</v>
      </c>
      <c r="D264">
        <v>1647</v>
      </c>
      <c r="E264">
        <v>1641</v>
      </c>
      <c r="F264">
        <v>0.50639853747714803</v>
      </c>
      <c r="G264">
        <v>0.59898599406647302</v>
      </c>
      <c r="H264">
        <v>4.8925584055736097E-2</v>
      </c>
      <c r="I264">
        <v>-1.89241392568455</v>
      </c>
      <c r="J264">
        <v>-18.28</v>
      </c>
      <c r="L264">
        <v>0.64791157812220912</v>
      </c>
      <c r="M264">
        <v>0.55006041001073691</v>
      </c>
      <c r="N264">
        <v>0.69683716217794522</v>
      </c>
      <c r="O264">
        <v>0.50113482595500081</v>
      </c>
    </row>
    <row r="265" spans="1:15">
      <c r="A265" s="19">
        <v>43461</v>
      </c>
      <c r="B265">
        <v>839</v>
      </c>
      <c r="C265">
        <v>824</v>
      </c>
      <c r="D265">
        <v>1626</v>
      </c>
      <c r="E265">
        <v>1656</v>
      </c>
      <c r="F265">
        <v>0.49758454106280098</v>
      </c>
      <c r="G265">
        <v>0.60100310610945495</v>
      </c>
      <c r="H265">
        <v>4.8179674773870002E-2</v>
      </c>
      <c r="I265">
        <v>-2.1465185377868501</v>
      </c>
      <c r="J265">
        <v>-20.78</v>
      </c>
      <c r="L265">
        <v>0.64918278088332493</v>
      </c>
      <c r="M265">
        <v>0.55282343133558498</v>
      </c>
      <c r="N265">
        <v>0.6973624556571949</v>
      </c>
      <c r="O265">
        <v>0.50464375656171501</v>
      </c>
    </row>
    <row r="266" spans="1:15">
      <c r="A266" s="19">
        <v>43460</v>
      </c>
      <c r="B266">
        <v>800</v>
      </c>
      <c r="C266">
        <v>806</v>
      </c>
      <c r="D266">
        <v>1547</v>
      </c>
      <c r="E266">
        <v>1566</v>
      </c>
      <c r="F266">
        <v>0.51468710089399705</v>
      </c>
      <c r="G266">
        <v>0.60312263917217501</v>
      </c>
      <c r="H266">
        <v>4.7067207643732602E-2</v>
      </c>
      <c r="I266">
        <v>-1.8789204353820099</v>
      </c>
      <c r="J266">
        <v>-17.18</v>
      </c>
      <c r="L266">
        <v>0.65018984681590763</v>
      </c>
      <c r="M266">
        <v>0.55605543152844239</v>
      </c>
      <c r="N266">
        <v>0.69725705445964026</v>
      </c>
      <c r="O266">
        <v>0.50898822388470977</v>
      </c>
    </row>
    <row r="267" spans="1:15">
      <c r="A267" s="19">
        <v>43459</v>
      </c>
      <c r="B267">
        <v>811</v>
      </c>
      <c r="C267">
        <v>805</v>
      </c>
      <c r="D267">
        <v>1567</v>
      </c>
      <c r="E267">
        <v>1533</v>
      </c>
      <c r="F267">
        <v>0.52511415525114102</v>
      </c>
      <c r="G267">
        <v>0.60498459833432106</v>
      </c>
      <c r="H267">
        <v>4.6287636751690897E-2</v>
      </c>
      <c r="I267">
        <v>-1.72552432330134</v>
      </c>
      <c r="J267">
        <v>-15.21</v>
      </c>
      <c r="L267">
        <v>0.65127223508601195</v>
      </c>
      <c r="M267">
        <v>0.55869696158263016</v>
      </c>
      <c r="N267">
        <v>0.69755987183770285</v>
      </c>
      <c r="O267">
        <v>0.51240932483093926</v>
      </c>
    </row>
    <row r="268" spans="1:15">
      <c r="A268" s="19">
        <v>43455</v>
      </c>
      <c r="B268">
        <v>833</v>
      </c>
      <c r="C268">
        <v>826</v>
      </c>
      <c r="D268">
        <v>1635</v>
      </c>
      <c r="E268">
        <v>1617</v>
      </c>
      <c r="F268">
        <v>0.51082251082250996</v>
      </c>
      <c r="G268">
        <v>0.60674883723038597</v>
      </c>
      <c r="H268">
        <v>4.5728023231785299E-2</v>
      </c>
      <c r="I268">
        <v>-2.09775799670251</v>
      </c>
      <c r="J268">
        <v>-18.78</v>
      </c>
      <c r="L268">
        <v>0.65247686046217124</v>
      </c>
      <c r="M268">
        <v>0.56102081399860071</v>
      </c>
      <c r="N268">
        <v>0.69820488369395661</v>
      </c>
      <c r="O268">
        <v>0.51529279076681533</v>
      </c>
    </row>
    <row r="269" spans="1:15">
      <c r="A269" s="19">
        <v>43454</v>
      </c>
      <c r="B269">
        <v>860</v>
      </c>
      <c r="C269">
        <v>840</v>
      </c>
      <c r="D269">
        <v>1672</v>
      </c>
      <c r="E269">
        <v>1642</v>
      </c>
      <c r="F269">
        <v>0.5115712545676</v>
      </c>
      <c r="G269">
        <v>0.60852425785397402</v>
      </c>
      <c r="H269">
        <v>4.4538631693132498E-2</v>
      </c>
      <c r="I269">
        <v>-2.1768294085541799</v>
      </c>
      <c r="J269">
        <v>-18.95</v>
      </c>
      <c r="L269">
        <v>0.65306288954710656</v>
      </c>
      <c r="M269">
        <v>0.56398562616084147</v>
      </c>
      <c r="N269">
        <v>0.697601521240239</v>
      </c>
      <c r="O269">
        <v>0.51944699446770903</v>
      </c>
    </row>
    <row r="270" spans="1:15">
      <c r="A270" s="19">
        <v>43453</v>
      </c>
      <c r="B270">
        <v>889</v>
      </c>
      <c r="C270">
        <v>874</v>
      </c>
      <c r="D270">
        <v>1687</v>
      </c>
      <c r="E270">
        <v>1681</v>
      </c>
      <c r="F270">
        <v>0.519928613920285</v>
      </c>
      <c r="G270">
        <v>0.61026492811576505</v>
      </c>
      <c r="H270">
        <v>4.3247870848558502E-2</v>
      </c>
      <c r="I270">
        <v>-2.0888037358373301</v>
      </c>
      <c r="J270">
        <v>-17.37</v>
      </c>
      <c r="L270">
        <v>0.65351279896432357</v>
      </c>
      <c r="M270">
        <v>0.56701705726720653</v>
      </c>
      <c r="N270">
        <v>0.69676066981288209</v>
      </c>
      <c r="O270">
        <v>0.523769186418648</v>
      </c>
    </row>
    <row r="271" spans="1:15">
      <c r="A271" s="19">
        <v>43452</v>
      </c>
      <c r="B271">
        <v>897</v>
      </c>
      <c r="C271">
        <v>886</v>
      </c>
      <c r="D271">
        <v>1677</v>
      </c>
      <c r="E271">
        <v>1677</v>
      </c>
      <c r="F271">
        <v>0.52832438878950505</v>
      </c>
      <c r="G271">
        <v>0.61168019692527598</v>
      </c>
      <c r="H271">
        <v>4.19868901762733E-2</v>
      </c>
      <c r="I271">
        <v>-1.9852817816661099</v>
      </c>
      <c r="J271">
        <v>-15.78</v>
      </c>
      <c r="L271">
        <v>0.6536670871015493</v>
      </c>
      <c r="M271">
        <v>0.56969330674900265</v>
      </c>
      <c r="N271">
        <v>0.69565397727782252</v>
      </c>
      <c r="O271">
        <v>0.52770641657272943</v>
      </c>
    </row>
    <row r="272" spans="1:15">
      <c r="A272" s="19">
        <v>43451</v>
      </c>
      <c r="B272">
        <v>922</v>
      </c>
      <c r="C272">
        <v>908</v>
      </c>
      <c r="D272">
        <v>1707</v>
      </c>
      <c r="E272">
        <v>1689</v>
      </c>
      <c r="F272">
        <v>0.53759621077560604</v>
      </c>
      <c r="G272">
        <v>0.61274832154061298</v>
      </c>
      <c r="H272">
        <v>4.0856529955687101E-2</v>
      </c>
      <c r="I272">
        <v>-1.83941491963502</v>
      </c>
      <c r="J272">
        <v>-13.98</v>
      </c>
      <c r="L272">
        <v>0.6536048514963001</v>
      </c>
      <c r="M272">
        <v>0.57189179158492587</v>
      </c>
      <c r="N272">
        <v>0.69446138145198721</v>
      </c>
      <c r="O272">
        <v>0.53103526162923875</v>
      </c>
    </row>
    <row r="273" spans="1:15">
      <c r="A273" s="19">
        <v>43448</v>
      </c>
      <c r="B273">
        <v>922</v>
      </c>
      <c r="C273">
        <v>913</v>
      </c>
      <c r="D273">
        <v>1744</v>
      </c>
      <c r="E273">
        <v>1709</v>
      </c>
      <c r="F273">
        <v>0.53423054417788096</v>
      </c>
      <c r="G273">
        <v>0.61356420228088604</v>
      </c>
      <c r="H273">
        <v>3.9948525164086701E-2</v>
      </c>
      <c r="I273">
        <v>-1.9858970456893099</v>
      </c>
      <c r="J273">
        <v>-14.85</v>
      </c>
      <c r="L273">
        <v>0.6535127274449728</v>
      </c>
      <c r="M273">
        <v>0.57361567711679928</v>
      </c>
      <c r="N273">
        <v>0.69346125260905944</v>
      </c>
      <c r="O273">
        <v>0.53366715195271264</v>
      </c>
    </row>
    <row r="274" spans="1:15">
      <c r="A274" s="19">
        <v>43447</v>
      </c>
      <c r="B274">
        <v>927</v>
      </c>
      <c r="C274">
        <v>937</v>
      </c>
      <c r="D274">
        <v>1724</v>
      </c>
      <c r="E274">
        <v>1744</v>
      </c>
      <c r="F274">
        <v>0.53727064220183396</v>
      </c>
      <c r="G274">
        <v>0.61455411117287595</v>
      </c>
      <c r="H274">
        <v>3.88758604673103E-2</v>
      </c>
      <c r="I274">
        <v>-1.9879552000148399</v>
      </c>
      <c r="J274">
        <v>-14.38</v>
      </c>
      <c r="L274">
        <v>0.65342997164018624</v>
      </c>
      <c r="M274">
        <v>0.57567825070556566</v>
      </c>
      <c r="N274">
        <v>0.69230583210749652</v>
      </c>
      <c r="O274">
        <v>0.53680239023825538</v>
      </c>
    </row>
    <row r="275" spans="1:15">
      <c r="A275" s="19">
        <v>43446</v>
      </c>
      <c r="B275">
        <v>918</v>
      </c>
      <c r="C275">
        <v>925</v>
      </c>
      <c r="D275">
        <v>1674</v>
      </c>
      <c r="E275">
        <v>1708</v>
      </c>
      <c r="F275">
        <v>0.54156908665105297</v>
      </c>
      <c r="G275">
        <v>0.61558552335707195</v>
      </c>
      <c r="H275">
        <v>3.7823700571742502E-2</v>
      </c>
      <c r="I275">
        <v>-1.9568798289746201</v>
      </c>
      <c r="J275">
        <v>-13.67</v>
      </c>
      <c r="L275">
        <v>0.65340922392881451</v>
      </c>
      <c r="M275">
        <v>0.57776182278532939</v>
      </c>
      <c r="N275">
        <v>0.69123292450055696</v>
      </c>
      <c r="O275">
        <v>0.53993812221358695</v>
      </c>
    </row>
    <row r="276" spans="1:15">
      <c r="A276" s="19">
        <v>43445</v>
      </c>
      <c r="B276">
        <v>952</v>
      </c>
      <c r="C276">
        <v>923</v>
      </c>
      <c r="D276">
        <v>1691</v>
      </c>
      <c r="E276">
        <v>1664</v>
      </c>
      <c r="F276">
        <v>0.5546875</v>
      </c>
      <c r="G276">
        <v>0.61662154664616997</v>
      </c>
      <c r="H276">
        <v>3.6833331310713799E-2</v>
      </c>
      <c r="I276">
        <v>-1.68146742209426</v>
      </c>
      <c r="J276">
        <v>-11.17</v>
      </c>
      <c r="L276">
        <v>0.65345487795688373</v>
      </c>
      <c r="M276">
        <v>0.57978821533545621</v>
      </c>
      <c r="N276">
        <v>0.6902882092675976</v>
      </c>
      <c r="O276">
        <v>0.54295488402474235</v>
      </c>
    </row>
    <row r="277" spans="1:15">
      <c r="A277" s="19">
        <v>43444</v>
      </c>
      <c r="B277">
        <v>957</v>
      </c>
      <c r="C277">
        <v>953</v>
      </c>
      <c r="D277">
        <v>1702</v>
      </c>
      <c r="E277">
        <v>1697</v>
      </c>
      <c r="F277">
        <v>0.56157925751325799</v>
      </c>
      <c r="G277">
        <v>0.61750605519317803</v>
      </c>
      <c r="H277">
        <v>3.61251464438027E-2</v>
      </c>
      <c r="I277">
        <v>-1.5481403727157399</v>
      </c>
      <c r="J277">
        <v>-9.9600000000000009</v>
      </c>
      <c r="L277">
        <v>0.65363120163698074</v>
      </c>
      <c r="M277">
        <v>0.58138090874937531</v>
      </c>
      <c r="N277">
        <v>0.68975634808078345</v>
      </c>
      <c r="O277">
        <v>0.5452557623055726</v>
      </c>
    </row>
    <row r="278" spans="1:15">
      <c r="A278" s="19">
        <v>43441</v>
      </c>
      <c r="B278">
        <v>977</v>
      </c>
      <c r="C278">
        <v>972</v>
      </c>
      <c r="D278">
        <v>1734</v>
      </c>
      <c r="E278">
        <v>1733</v>
      </c>
      <c r="F278">
        <v>0.56087709174841305</v>
      </c>
      <c r="G278">
        <v>0.61837090258862903</v>
      </c>
      <c r="H278">
        <v>3.55477007731353E-2</v>
      </c>
      <c r="I278">
        <v>-1.6173707325585001</v>
      </c>
      <c r="J278">
        <v>-10.25</v>
      </c>
      <c r="L278">
        <v>0.65391860336176433</v>
      </c>
      <c r="M278">
        <v>0.58282320181549374</v>
      </c>
      <c r="N278">
        <v>0.68946630413489962</v>
      </c>
      <c r="O278">
        <v>0.54727550104235845</v>
      </c>
    </row>
    <row r="279" spans="1:15">
      <c r="A279" s="19">
        <v>43440</v>
      </c>
      <c r="B279">
        <v>982</v>
      </c>
      <c r="C279">
        <v>977</v>
      </c>
      <c r="D279">
        <v>1736</v>
      </c>
      <c r="E279">
        <v>1734</v>
      </c>
      <c r="F279">
        <v>0.56343713956170705</v>
      </c>
      <c r="G279">
        <v>0.61905664392941895</v>
      </c>
      <c r="H279">
        <v>3.4922558786400902E-2</v>
      </c>
      <c r="I279">
        <v>-1.59265260910295</v>
      </c>
      <c r="J279">
        <v>-9.8699999999999992</v>
      </c>
      <c r="L279">
        <v>0.65397920271581989</v>
      </c>
      <c r="M279">
        <v>0.58413408514301801</v>
      </c>
      <c r="N279">
        <v>0.68890176150222071</v>
      </c>
      <c r="O279">
        <v>0.54921152635661719</v>
      </c>
    </row>
    <row r="280" spans="1:15">
      <c r="A280" s="19">
        <v>43439</v>
      </c>
      <c r="B280">
        <v>998</v>
      </c>
      <c r="C280">
        <v>989</v>
      </c>
      <c r="D280">
        <v>1751</v>
      </c>
      <c r="E280">
        <v>1751</v>
      </c>
      <c r="F280">
        <v>0.5648201027984</v>
      </c>
      <c r="G280">
        <v>0.61969836231424702</v>
      </c>
      <c r="H280">
        <v>3.4331827494259899E-2</v>
      </c>
      <c r="I280">
        <v>-1.5984660159737001</v>
      </c>
      <c r="J280">
        <v>-9.7200000000000006</v>
      </c>
      <c r="L280">
        <v>0.65403018980850691</v>
      </c>
      <c r="M280">
        <v>0.58536653481998713</v>
      </c>
      <c r="N280">
        <v>0.6883620173027668</v>
      </c>
      <c r="O280">
        <v>0.55103470732572724</v>
      </c>
    </row>
    <row r="281" spans="1:15">
      <c r="A281" s="19">
        <v>43438</v>
      </c>
      <c r="B281">
        <v>1035</v>
      </c>
      <c r="C281">
        <v>1006</v>
      </c>
      <c r="D281">
        <v>1789</v>
      </c>
      <c r="E281">
        <v>1778</v>
      </c>
      <c r="F281">
        <v>0.56580427446569104</v>
      </c>
      <c r="G281">
        <v>0.62028963838953299</v>
      </c>
      <c r="H281">
        <v>3.3758686625499898E-2</v>
      </c>
      <c r="I281">
        <v>-1.6139657483797301</v>
      </c>
      <c r="J281">
        <v>-9.6300000000000008</v>
      </c>
      <c r="L281">
        <v>0.65404832501503285</v>
      </c>
      <c r="M281">
        <v>0.58653095176403314</v>
      </c>
      <c r="N281">
        <v>0.68780701164053282</v>
      </c>
      <c r="O281">
        <v>0.55277226513853317</v>
      </c>
    </row>
    <row r="282" spans="1:15">
      <c r="A282" s="19">
        <v>43437</v>
      </c>
      <c r="B282">
        <v>1039</v>
      </c>
      <c r="C282">
        <v>1042</v>
      </c>
      <c r="D282">
        <v>1759</v>
      </c>
      <c r="E282">
        <v>1778</v>
      </c>
      <c r="F282">
        <v>0.58605174353205802</v>
      </c>
      <c r="G282">
        <v>0.62082473526905602</v>
      </c>
      <c r="H282">
        <v>3.3204327246056903E-2</v>
      </c>
      <c r="I282">
        <v>-1.04724277288669</v>
      </c>
      <c r="J282">
        <v>-5.93</v>
      </c>
      <c r="L282">
        <v>0.65402906251511295</v>
      </c>
      <c r="M282">
        <v>0.58762040802299909</v>
      </c>
      <c r="N282">
        <v>0.68723338976116977</v>
      </c>
      <c r="O282">
        <v>0.55441608077694227</v>
      </c>
    </row>
    <row r="283" spans="1:15">
      <c r="A283" s="19"/>
    </row>
    <row r="284" spans="1:15">
      <c r="A284" s="19"/>
    </row>
    <row r="285" spans="1:15">
      <c r="A285" s="19"/>
    </row>
    <row r="286" spans="1:15">
      <c r="A286" s="19"/>
    </row>
    <row r="287" spans="1:15">
      <c r="A287" s="19"/>
    </row>
    <row r="288" spans="1:15">
      <c r="A288" s="19"/>
    </row>
    <row r="289" spans="1:1">
      <c r="A289" s="19"/>
    </row>
    <row r="290" spans="1:1">
      <c r="A290" s="19"/>
    </row>
    <row r="291" spans="1:1">
      <c r="A291" s="19"/>
    </row>
    <row r="292" spans="1:1">
      <c r="A292" s="19"/>
    </row>
    <row r="293" spans="1:1">
      <c r="A293" s="19"/>
    </row>
    <row r="294" spans="1:1">
      <c r="A294" s="19"/>
    </row>
    <row r="295" spans="1:1">
      <c r="A295" s="19"/>
    </row>
    <row r="296" spans="1:1">
      <c r="A296" s="19"/>
    </row>
    <row r="297" spans="1:1">
      <c r="A297" s="19"/>
    </row>
    <row r="298" spans="1:1">
      <c r="A298" s="19"/>
    </row>
    <row r="299" spans="1:1">
      <c r="A299" s="19"/>
    </row>
    <row r="300" spans="1:1">
      <c r="A300" s="19"/>
    </row>
    <row r="301" spans="1:1">
      <c r="A301" s="19"/>
    </row>
    <row r="302" spans="1:1">
      <c r="A302" s="19"/>
    </row>
    <row r="303" spans="1:1">
      <c r="A303" s="19"/>
    </row>
    <row r="304" spans="1:1">
      <c r="A304" s="19"/>
    </row>
    <row r="305" spans="1:9">
      <c r="A305" s="19"/>
    </row>
    <row r="306" spans="1:9">
      <c r="A306" s="19"/>
    </row>
    <row r="307" spans="1:9">
      <c r="A307" s="19"/>
      <c r="I307" s="20"/>
    </row>
    <row r="308" spans="1:9">
      <c r="A308" s="19"/>
    </row>
    <row r="309" spans="1:9">
      <c r="A309" s="19"/>
    </row>
    <row r="310" spans="1:9">
      <c r="A310" s="19"/>
    </row>
    <row r="311" spans="1:9">
      <c r="A311" s="19"/>
    </row>
    <row r="312" spans="1:9">
      <c r="A312" s="19"/>
    </row>
    <row r="313" spans="1:9">
      <c r="A313" s="19"/>
    </row>
    <row r="314" spans="1:9">
      <c r="A314" s="19"/>
    </row>
    <row r="315" spans="1:9">
      <c r="A315" s="19"/>
    </row>
    <row r="316" spans="1:9">
      <c r="A316" s="19"/>
    </row>
    <row r="317" spans="1:9">
      <c r="A317" s="19"/>
    </row>
    <row r="318" spans="1:9">
      <c r="A318" s="19"/>
    </row>
    <row r="319" spans="1:9">
      <c r="A319" s="19"/>
    </row>
    <row r="320" spans="1:9">
      <c r="A320" s="19"/>
    </row>
    <row r="321" spans="1:1">
      <c r="A321" s="19"/>
    </row>
    <row r="322" spans="1:1">
      <c r="A322" s="19"/>
    </row>
    <row r="323" spans="1:1">
      <c r="A323" s="19"/>
    </row>
    <row r="324" spans="1:1">
      <c r="A324" s="19"/>
    </row>
    <row r="325" spans="1:1">
      <c r="A325" s="19"/>
    </row>
    <row r="326" spans="1:1">
      <c r="A326" s="19"/>
    </row>
    <row r="327" spans="1:1">
      <c r="A327" s="19"/>
    </row>
    <row r="328" spans="1:1">
      <c r="A328" s="19"/>
    </row>
    <row r="329" spans="1:1">
      <c r="A329" s="19"/>
    </row>
    <row r="330" spans="1:1">
      <c r="A330" s="19"/>
    </row>
    <row r="331" spans="1:1">
      <c r="A331" s="19"/>
    </row>
    <row r="332" spans="1:1">
      <c r="A332" s="19"/>
    </row>
    <row r="333" spans="1:1">
      <c r="A333" s="19"/>
    </row>
    <row r="334" spans="1:1">
      <c r="A334" s="19"/>
    </row>
    <row r="335" spans="1:1">
      <c r="A335" s="19"/>
    </row>
    <row r="336" spans="1:1">
      <c r="A336" s="19"/>
    </row>
    <row r="337" spans="1:9">
      <c r="A337" s="19"/>
      <c r="I337" s="20"/>
    </row>
    <row r="338" spans="1:9">
      <c r="A338" s="19"/>
    </row>
    <row r="339" spans="1:9">
      <c r="A339" s="19"/>
    </row>
    <row r="340" spans="1:9">
      <c r="A340" s="19"/>
    </row>
    <row r="341" spans="1:9">
      <c r="A341" s="19"/>
    </row>
    <row r="342" spans="1:9">
      <c r="A342" s="19"/>
    </row>
    <row r="343" spans="1:9">
      <c r="A343" s="19"/>
    </row>
    <row r="344" spans="1:9">
      <c r="A344" s="19"/>
    </row>
    <row r="345" spans="1:9">
      <c r="A345" s="19"/>
    </row>
    <row r="346" spans="1:9">
      <c r="A346" s="19"/>
    </row>
    <row r="347" spans="1:9">
      <c r="A347" s="19"/>
    </row>
    <row r="348" spans="1:9">
      <c r="A348" s="19"/>
    </row>
    <row r="349" spans="1:9">
      <c r="A349" s="19"/>
    </row>
    <row r="350" spans="1:9">
      <c r="A350" s="19"/>
    </row>
    <row r="351" spans="1:9">
      <c r="A351" s="19"/>
    </row>
    <row r="352" spans="1:9">
      <c r="A352" s="19"/>
    </row>
    <row r="353" spans="1:1">
      <c r="A353" s="19"/>
    </row>
    <row r="354" spans="1:1">
      <c r="A354" s="19"/>
    </row>
    <row r="355" spans="1:1">
      <c r="A355" s="19"/>
    </row>
    <row r="356" spans="1:1">
      <c r="A356" s="19"/>
    </row>
    <row r="357" spans="1:1">
      <c r="A357" s="19"/>
    </row>
    <row r="358" spans="1:1">
      <c r="A358" s="19"/>
    </row>
    <row r="359" spans="1:1">
      <c r="A359" s="19"/>
    </row>
    <row r="360" spans="1:1">
      <c r="A360" s="19"/>
    </row>
    <row r="361" spans="1:1">
      <c r="A361" s="19"/>
    </row>
    <row r="362" spans="1:1">
      <c r="A362" s="19"/>
    </row>
    <row r="363" spans="1:1">
      <c r="A363" s="19"/>
    </row>
    <row r="364" spans="1:1">
      <c r="A364" s="19"/>
    </row>
    <row r="365" spans="1:1">
      <c r="A365" s="19"/>
    </row>
    <row r="366" spans="1:1">
      <c r="A366" s="19"/>
    </row>
    <row r="367" spans="1:1">
      <c r="A367" s="19"/>
    </row>
    <row r="368" spans="1:1">
      <c r="A368" s="19"/>
    </row>
    <row r="369" spans="1:1">
      <c r="A369" s="19"/>
    </row>
    <row r="370" spans="1:1">
      <c r="A370" s="19"/>
    </row>
    <row r="371" spans="1:1">
      <c r="A371" s="19"/>
    </row>
    <row r="372" spans="1:1">
      <c r="A372" s="19"/>
    </row>
    <row r="373" spans="1:1">
      <c r="A373" s="19"/>
    </row>
    <row r="374" spans="1:1">
      <c r="A374" s="19"/>
    </row>
    <row r="375" spans="1:1">
      <c r="A375" s="19"/>
    </row>
    <row r="376" spans="1:1">
      <c r="A376" s="19"/>
    </row>
    <row r="377" spans="1:1">
      <c r="A377" s="19"/>
    </row>
    <row r="378" spans="1:1">
      <c r="A378" s="19"/>
    </row>
    <row r="379" spans="1:1">
      <c r="A379" s="19"/>
    </row>
    <row r="380" spans="1:1">
      <c r="A380" s="19"/>
    </row>
    <row r="381" spans="1:1">
      <c r="A381" s="19"/>
    </row>
    <row r="382" spans="1:1">
      <c r="A382" s="19"/>
    </row>
    <row r="383" spans="1:1">
      <c r="A383" s="19"/>
    </row>
    <row r="384" spans="1:1">
      <c r="A384" s="19"/>
    </row>
    <row r="385" spans="1:1">
      <c r="A385" s="19"/>
    </row>
    <row r="386" spans="1:1">
      <c r="A386" s="19"/>
    </row>
    <row r="387" spans="1:1">
      <c r="A387" s="19"/>
    </row>
    <row r="388" spans="1:1">
      <c r="A388" s="19"/>
    </row>
    <row r="389" spans="1:1">
      <c r="A389" s="19"/>
    </row>
    <row r="390" spans="1:1">
      <c r="A390" s="19"/>
    </row>
    <row r="391" spans="1:1">
      <c r="A391" s="19"/>
    </row>
    <row r="392" spans="1:1">
      <c r="A392" s="19"/>
    </row>
    <row r="393" spans="1:1">
      <c r="A393" s="19"/>
    </row>
    <row r="394" spans="1:1">
      <c r="A394" s="19"/>
    </row>
    <row r="395" spans="1:1">
      <c r="A395" s="19"/>
    </row>
    <row r="396" spans="1:1">
      <c r="A396" s="19"/>
    </row>
    <row r="397" spans="1:1">
      <c r="A397" s="19"/>
    </row>
    <row r="398" spans="1:1">
      <c r="A398" s="19"/>
    </row>
    <row r="399" spans="1:1">
      <c r="A399" s="19"/>
    </row>
    <row r="400" spans="1:1">
      <c r="A400" s="19"/>
    </row>
    <row r="401" spans="1:1">
      <c r="A401" s="19"/>
    </row>
    <row r="402" spans="1:1">
      <c r="A402" s="19"/>
    </row>
    <row r="403" spans="1:1">
      <c r="A403" s="19"/>
    </row>
    <row r="404" spans="1:1">
      <c r="A404" s="19"/>
    </row>
    <row r="405" spans="1:1">
      <c r="A405" s="19"/>
    </row>
    <row r="406" spans="1:1">
      <c r="A406" s="19"/>
    </row>
    <row r="407" spans="1:1">
      <c r="A407" s="19"/>
    </row>
    <row r="408" spans="1:1">
      <c r="A408" s="19"/>
    </row>
    <row r="409" spans="1:1">
      <c r="A409" s="19"/>
    </row>
    <row r="410" spans="1:1">
      <c r="A410" s="19"/>
    </row>
    <row r="411" spans="1:1">
      <c r="A411" s="19"/>
    </row>
    <row r="412" spans="1:1">
      <c r="A412" s="19"/>
    </row>
    <row r="413" spans="1:1">
      <c r="A413" s="19"/>
    </row>
    <row r="414" spans="1:1">
      <c r="A414" s="19"/>
    </row>
    <row r="415" spans="1:1">
      <c r="A415" s="19"/>
    </row>
    <row r="416" spans="1:1">
      <c r="A416" s="19"/>
    </row>
    <row r="417" spans="1:1">
      <c r="A417" s="19"/>
    </row>
    <row r="418" spans="1:1">
      <c r="A418" s="19"/>
    </row>
    <row r="419" spans="1:1">
      <c r="A419" s="19"/>
    </row>
    <row r="420" spans="1:1">
      <c r="A420" s="19"/>
    </row>
    <row r="421" spans="1:1">
      <c r="A421" s="19"/>
    </row>
    <row r="422" spans="1:1">
      <c r="A422" s="19"/>
    </row>
    <row r="423" spans="1:1">
      <c r="A423" s="19"/>
    </row>
    <row r="424" spans="1:1">
      <c r="A424" s="19"/>
    </row>
    <row r="425" spans="1:1">
      <c r="A425" s="19"/>
    </row>
    <row r="426" spans="1:1">
      <c r="A426" s="19"/>
    </row>
    <row r="427" spans="1:1">
      <c r="A427" s="19"/>
    </row>
    <row r="428" spans="1:1">
      <c r="A428" s="19"/>
    </row>
    <row r="429" spans="1:1">
      <c r="A429" s="19"/>
    </row>
    <row r="430" spans="1:1">
      <c r="A430" s="19"/>
    </row>
    <row r="431" spans="1:1">
      <c r="A431" s="19"/>
    </row>
    <row r="432" spans="1:1">
      <c r="A432" s="19"/>
    </row>
    <row r="433" spans="1:1">
      <c r="A433" s="19"/>
    </row>
    <row r="434" spans="1:1">
      <c r="A434" s="19"/>
    </row>
    <row r="435" spans="1:1">
      <c r="A435" s="19"/>
    </row>
    <row r="436" spans="1:1">
      <c r="A436" s="19"/>
    </row>
    <row r="437" spans="1:1">
      <c r="A437" s="19"/>
    </row>
    <row r="438" spans="1:1">
      <c r="A438" s="19"/>
    </row>
    <row r="439" spans="1:1">
      <c r="A439" s="19"/>
    </row>
    <row r="440" spans="1:1">
      <c r="A440" s="19"/>
    </row>
    <row r="441" spans="1:1">
      <c r="A441" s="19"/>
    </row>
    <row r="442" spans="1:1">
      <c r="A442" s="19"/>
    </row>
    <row r="443" spans="1:1">
      <c r="A443" s="19"/>
    </row>
    <row r="444" spans="1:1">
      <c r="A444" s="19"/>
    </row>
    <row r="445" spans="1:1">
      <c r="A445" s="19"/>
    </row>
    <row r="446" spans="1:1">
      <c r="A446" s="19"/>
    </row>
    <row r="447" spans="1:1">
      <c r="A447" s="19"/>
    </row>
    <row r="448" spans="1:1">
      <c r="A448" s="19"/>
    </row>
    <row r="449" spans="1:1">
      <c r="A449" s="19"/>
    </row>
    <row r="450" spans="1:1">
      <c r="A450" s="19"/>
    </row>
    <row r="451" spans="1:1">
      <c r="A451" s="19"/>
    </row>
    <row r="452" spans="1:1">
      <c r="A452" s="19"/>
    </row>
    <row r="453" spans="1:1">
      <c r="A453" s="19"/>
    </row>
    <row r="454" spans="1:1">
      <c r="A454" s="19"/>
    </row>
    <row r="455" spans="1:1">
      <c r="A455" s="19"/>
    </row>
    <row r="456" spans="1:1">
      <c r="A456" s="19"/>
    </row>
    <row r="457" spans="1:1">
      <c r="A457" s="19"/>
    </row>
    <row r="458" spans="1:1">
      <c r="A458" s="19"/>
    </row>
    <row r="459" spans="1:1">
      <c r="A459" s="19"/>
    </row>
    <row r="460" spans="1:1">
      <c r="A460" s="19"/>
    </row>
    <row r="461" spans="1:1">
      <c r="A461" s="19"/>
    </row>
    <row r="462" spans="1:1">
      <c r="A462" s="19"/>
    </row>
    <row r="463" spans="1:1">
      <c r="A463" s="19"/>
    </row>
    <row r="464" spans="1:1">
      <c r="A464" s="19"/>
    </row>
    <row r="465" spans="1:1">
      <c r="A465" s="19"/>
    </row>
    <row r="466" spans="1:1">
      <c r="A466" s="19"/>
    </row>
    <row r="467" spans="1:1">
      <c r="A467" s="19"/>
    </row>
    <row r="468" spans="1:1">
      <c r="A468" s="19"/>
    </row>
    <row r="469" spans="1:1">
      <c r="A469" s="19"/>
    </row>
    <row r="470" spans="1:1">
      <c r="A470" s="19"/>
    </row>
    <row r="471" spans="1:1">
      <c r="A471" s="19"/>
    </row>
    <row r="472" spans="1:1">
      <c r="A472" s="19"/>
    </row>
    <row r="473" spans="1:1">
      <c r="A473" s="19"/>
    </row>
    <row r="474" spans="1:1">
      <c r="A474" s="19"/>
    </row>
    <row r="475" spans="1:1">
      <c r="A475" s="19"/>
    </row>
    <row r="476" spans="1:1">
      <c r="A476" s="19"/>
    </row>
    <row r="477" spans="1:1">
      <c r="A477" s="19"/>
    </row>
    <row r="478" spans="1:1">
      <c r="A478" s="19"/>
    </row>
    <row r="479" spans="1:1">
      <c r="A479" s="19"/>
    </row>
    <row r="480" spans="1:1">
      <c r="A480" s="19"/>
    </row>
    <row r="481" spans="1:1">
      <c r="A481" s="19"/>
    </row>
    <row r="482" spans="1:1">
      <c r="A482" s="19"/>
    </row>
    <row r="483" spans="1:1">
      <c r="A483" s="19"/>
    </row>
    <row r="484" spans="1:1">
      <c r="A484" s="19"/>
    </row>
    <row r="485" spans="1:1">
      <c r="A485" s="19"/>
    </row>
    <row r="486" spans="1:1">
      <c r="A486" s="19"/>
    </row>
    <row r="487" spans="1:1">
      <c r="A487" s="19"/>
    </row>
    <row r="488" spans="1:1">
      <c r="A488" s="19"/>
    </row>
    <row r="489" spans="1:1">
      <c r="A489" s="19"/>
    </row>
    <row r="490" spans="1:1">
      <c r="A490" s="19"/>
    </row>
    <row r="491" spans="1:1">
      <c r="A491" s="19"/>
    </row>
    <row r="492" spans="1:1">
      <c r="A492" s="19"/>
    </row>
    <row r="493" spans="1:1">
      <c r="A493" s="19"/>
    </row>
    <row r="494" spans="1:1">
      <c r="A494" s="19"/>
    </row>
    <row r="495" spans="1:1">
      <c r="A495" s="19"/>
    </row>
    <row r="496" spans="1:1">
      <c r="A496" s="19"/>
    </row>
    <row r="497" spans="1:1">
      <c r="A497" s="19"/>
    </row>
    <row r="498" spans="1:1">
      <c r="A498" s="19"/>
    </row>
    <row r="499" spans="1:1">
      <c r="A499" s="19"/>
    </row>
    <row r="500" spans="1:1">
      <c r="A500" s="19"/>
    </row>
    <row r="501" spans="1:1">
      <c r="A501" s="19"/>
    </row>
    <row r="502" spans="1:1">
      <c r="A502" s="19"/>
    </row>
    <row r="503" spans="1:1">
      <c r="A503" s="19"/>
    </row>
    <row r="504" spans="1:1">
      <c r="A504" s="19"/>
    </row>
    <row r="505" spans="1:1">
      <c r="A505" s="19"/>
    </row>
    <row r="506" spans="1:1">
      <c r="A506" s="19"/>
    </row>
    <row r="507" spans="1:1">
      <c r="A507" s="19"/>
    </row>
    <row r="508" spans="1:1">
      <c r="A508" s="19"/>
    </row>
    <row r="509" spans="1:1">
      <c r="A509" s="19"/>
    </row>
    <row r="510" spans="1:1">
      <c r="A510" s="19"/>
    </row>
    <row r="511" spans="1:1">
      <c r="A511" s="19"/>
    </row>
    <row r="512" spans="1:1">
      <c r="A512" s="19"/>
    </row>
    <row r="513" spans="1:1">
      <c r="A513" s="19"/>
    </row>
    <row r="514" spans="1:1">
      <c r="A514" s="19"/>
    </row>
    <row r="515" spans="1:1">
      <c r="A515" s="19"/>
    </row>
    <row r="516" spans="1:1">
      <c r="A516" s="19"/>
    </row>
    <row r="517" spans="1:1">
      <c r="A517" s="19"/>
    </row>
    <row r="518" spans="1:1">
      <c r="A518" s="19"/>
    </row>
    <row r="519" spans="1:1">
      <c r="A519" s="19"/>
    </row>
    <row r="520" spans="1:1">
      <c r="A520" s="19"/>
    </row>
    <row r="521" spans="1:1">
      <c r="A521" s="19"/>
    </row>
    <row r="522" spans="1:1">
      <c r="A522" s="19"/>
    </row>
    <row r="523" spans="1:1">
      <c r="A523" s="19"/>
    </row>
    <row r="524" spans="1:1">
      <c r="A524" s="19"/>
    </row>
    <row r="525" spans="1:1">
      <c r="A525" s="19"/>
    </row>
    <row r="526" spans="1:1">
      <c r="A526" s="19"/>
    </row>
    <row r="527" spans="1:1">
      <c r="A527" s="19"/>
    </row>
    <row r="528" spans="1:1">
      <c r="A528" s="19"/>
    </row>
    <row r="529" spans="1:1">
      <c r="A529" s="19"/>
    </row>
    <row r="530" spans="1:1">
      <c r="A530" s="19"/>
    </row>
    <row r="531" spans="1:1">
      <c r="A531" s="19"/>
    </row>
    <row r="532" spans="1:1">
      <c r="A532" s="19"/>
    </row>
    <row r="533" spans="1:1">
      <c r="A533" s="19"/>
    </row>
    <row r="534" spans="1:1">
      <c r="A534" s="19"/>
    </row>
    <row r="535" spans="1:1">
      <c r="A535" s="19"/>
    </row>
    <row r="536" spans="1:1">
      <c r="A536" s="19"/>
    </row>
    <row r="537" spans="1:1">
      <c r="A537" s="19"/>
    </row>
    <row r="538" spans="1:1">
      <c r="A538" s="19"/>
    </row>
    <row r="539" spans="1:1">
      <c r="A539" s="19"/>
    </row>
    <row r="540" spans="1:1">
      <c r="A540" s="19"/>
    </row>
    <row r="541" spans="1:1">
      <c r="A541" s="19"/>
    </row>
    <row r="542" spans="1:1">
      <c r="A542" s="19"/>
    </row>
    <row r="543" spans="1:1">
      <c r="A543" s="19"/>
    </row>
    <row r="544" spans="1:1">
      <c r="A544" s="19"/>
    </row>
    <row r="545" spans="1:1">
      <c r="A545" s="19"/>
    </row>
    <row r="546" spans="1:1">
      <c r="A546" s="19"/>
    </row>
    <row r="547" spans="1:1">
      <c r="A547" s="19"/>
    </row>
    <row r="548" spans="1:1">
      <c r="A548" s="19"/>
    </row>
    <row r="549" spans="1:1">
      <c r="A549" s="19"/>
    </row>
    <row r="550" spans="1:1">
      <c r="A550" s="19"/>
    </row>
    <row r="551" spans="1:1">
      <c r="A551" s="19"/>
    </row>
    <row r="552" spans="1:1">
      <c r="A552" s="19"/>
    </row>
    <row r="553" spans="1:1">
      <c r="A553" s="19"/>
    </row>
    <row r="554" spans="1:1">
      <c r="A554" s="19"/>
    </row>
    <row r="555" spans="1:1">
      <c r="A555" s="19"/>
    </row>
    <row r="556" spans="1:1">
      <c r="A556" s="19"/>
    </row>
    <row r="557" spans="1:1">
      <c r="A557" s="19"/>
    </row>
    <row r="558" spans="1:1">
      <c r="A558" s="19"/>
    </row>
    <row r="559" spans="1:1">
      <c r="A559" s="19"/>
    </row>
    <row r="560" spans="1:1">
      <c r="A560" s="19"/>
    </row>
    <row r="561" spans="1:1">
      <c r="A561" s="19"/>
    </row>
    <row r="562" spans="1:1">
      <c r="A562" s="19"/>
    </row>
    <row r="563" spans="1:1">
      <c r="A563" s="19"/>
    </row>
    <row r="564" spans="1:1">
      <c r="A564" s="19"/>
    </row>
    <row r="565" spans="1:1">
      <c r="A565" s="19"/>
    </row>
    <row r="566" spans="1:1">
      <c r="A566" s="19"/>
    </row>
    <row r="567" spans="1:1">
      <c r="A567" s="19"/>
    </row>
    <row r="568" spans="1:1">
      <c r="A568" s="19"/>
    </row>
    <row r="569" spans="1:1">
      <c r="A569" s="19"/>
    </row>
    <row r="570" spans="1:1">
      <c r="A570" s="19"/>
    </row>
    <row r="571" spans="1:1">
      <c r="A571" s="19"/>
    </row>
    <row r="572" spans="1:1">
      <c r="A572" s="19"/>
    </row>
    <row r="573" spans="1:1">
      <c r="A573" s="19"/>
    </row>
    <row r="574" spans="1:1">
      <c r="A574" s="19"/>
    </row>
    <row r="575" spans="1:1">
      <c r="A575" s="19"/>
    </row>
    <row r="576" spans="1:1">
      <c r="A576" s="19"/>
    </row>
    <row r="577" spans="1:1">
      <c r="A577" s="19"/>
    </row>
    <row r="578" spans="1:1">
      <c r="A578" s="19"/>
    </row>
    <row r="579" spans="1:1">
      <c r="A579" s="19"/>
    </row>
    <row r="580" spans="1:1">
      <c r="A580" s="19"/>
    </row>
    <row r="581" spans="1:1">
      <c r="A581" s="19"/>
    </row>
    <row r="582" spans="1:1">
      <c r="A582" s="19"/>
    </row>
    <row r="583" spans="1:1">
      <c r="A583" s="19"/>
    </row>
    <row r="584" spans="1:1">
      <c r="A584" s="19"/>
    </row>
    <row r="585" spans="1:1">
      <c r="A585" s="19"/>
    </row>
    <row r="586" spans="1:1">
      <c r="A586" s="19"/>
    </row>
    <row r="587" spans="1:1">
      <c r="A587" s="19"/>
    </row>
    <row r="588" spans="1:1">
      <c r="A588" s="19"/>
    </row>
    <row r="589" spans="1:1">
      <c r="A589" s="19"/>
    </row>
    <row r="590" spans="1:1">
      <c r="A590" s="19"/>
    </row>
    <row r="591" spans="1:1">
      <c r="A591" s="19"/>
    </row>
    <row r="592" spans="1:1">
      <c r="A592" s="19"/>
    </row>
    <row r="593" spans="1:1">
      <c r="A593" s="19"/>
    </row>
    <row r="594" spans="1:1">
      <c r="A594" s="19"/>
    </row>
    <row r="595" spans="1:1">
      <c r="A595" s="19"/>
    </row>
    <row r="596" spans="1:1">
      <c r="A596" s="19"/>
    </row>
    <row r="597" spans="1:1">
      <c r="A597" s="19"/>
    </row>
    <row r="598" spans="1:1">
      <c r="A598" s="19"/>
    </row>
    <row r="599" spans="1:1">
      <c r="A599" s="19"/>
    </row>
    <row r="600" spans="1:1">
      <c r="A600" s="19"/>
    </row>
    <row r="601" spans="1:1">
      <c r="A601" s="19"/>
    </row>
    <row r="602" spans="1:1">
      <c r="A602" s="19"/>
    </row>
    <row r="603" spans="1:1">
      <c r="A603" s="19"/>
    </row>
    <row r="604" spans="1:1">
      <c r="A604" s="19"/>
    </row>
    <row r="605" spans="1:1">
      <c r="A605" s="19"/>
    </row>
    <row r="606" spans="1:1">
      <c r="A606" s="19"/>
    </row>
    <row r="607" spans="1:1">
      <c r="A607" s="19"/>
    </row>
    <row r="608" spans="1:1">
      <c r="A608" s="19"/>
    </row>
    <row r="609" spans="1:1">
      <c r="A609" s="19"/>
    </row>
    <row r="610" spans="1:1">
      <c r="A610" s="19"/>
    </row>
    <row r="611" spans="1:1">
      <c r="A611" s="19"/>
    </row>
    <row r="612" spans="1:1">
      <c r="A612" s="19"/>
    </row>
    <row r="613" spans="1:1">
      <c r="A613" s="19"/>
    </row>
    <row r="614" spans="1:1">
      <c r="A614" s="19"/>
    </row>
    <row r="615" spans="1:1">
      <c r="A615" s="19"/>
    </row>
    <row r="616" spans="1:1">
      <c r="A616" s="19"/>
    </row>
    <row r="617" spans="1:1">
      <c r="A617" s="19"/>
    </row>
    <row r="618" spans="1:1">
      <c r="A618" s="19"/>
    </row>
    <row r="619" spans="1:1">
      <c r="A619" s="19"/>
    </row>
    <row r="620" spans="1:1">
      <c r="A620" s="19"/>
    </row>
    <row r="621" spans="1:1">
      <c r="A621" s="19"/>
    </row>
    <row r="622" spans="1:1">
      <c r="A622" s="19"/>
    </row>
    <row r="623" spans="1:1">
      <c r="A623" s="19"/>
    </row>
    <row r="624" spans="1:1">
      <c r="A624" s="19"/>
    </row>
    <row r="625" spans="1:1">
      <c r="A625" s="19"/>
    </row>
    <row r="626" spans="1:1">
      <c r="A626" s="19"/>
    </row>
    <row r="627" spans="1:1">
      <c r="A627" s="19"/>
    </row>
    <row r="628" spans="1:1">
      <c r="A628" s="19"/>
    </row>
    <row r="629" spans="1:1">
      <c r="A629" s="19"/>
    </row>
    <row r="630" spans="1:1">
      <c r="A630" s="19"/>
    </row>
    <row r="631" spans="1:1">
      <c r="A631" s="19"/>
    </row>
    <row r="632" spans="1:1">
      <c r="A632" s="19"/>
    </row>
    <row r="633" spans="1:1">
      <c r="A633" s="19"/>
    </row>
    <row r="634" spans="1:1">
      <c r="A634" s="19"/>
    </row>
    <row r="635" spans="1:1">
      <c r="A635" s="19"/>
    </row>
    <row r="636" spans="1:1">
      <c r="A636" s="19"/>
    </row>
    <row r="637" spans="1:1">
      <c r="A637" s="19"/>
    </row>
    <row r="638" spans="1:1">
      <c r="A638" s="19"/>
    </row>
    <row r="639" spans="1:1">
      <c r="A639" s="19"/>
    </row>
    <row r="640" spans="1:1">
      <c r="A640" s="19"/>
    </row>
    <row r="641" spans="1:1">
      <c r="A641" s="19"/>
    </row>
    <row r="642" spans="1:1">
      <c r="A642" s="19"/>
    </row>
    <row r="643" spans="1:1">
      <c r="A643" s="19"/>
    </row>
    <row r="644" spans="1:1">
      <c r="A644" s="19"/>
    </row>
    <row r="645" spans="1:1">
      <c r="A645" s="19"/>
    </row>
    <row r="646" spans="1:1">
      <c r="A646" s="19"/>
    </row>
    <row r="647" spans="1:1">
      <c r="A647" s="19"/>
    </row>
    <row r="648" spans="1:1">
      <c r="A648" s="19"/>
    </row>
    <row r="649" spans="1:1">
      <c r="A649" s="19"/>
    </row>
    <row r="650" spans="1:1">
      <c r="A650" s="19"/>
    </row>
    <row r="651" spans="1:1">
      <c r="A651" s="19"/>
    </row>
    <row r="652" spans="1:1">
      <c r="A652" s="19"/>
    </row>
    <row r="653" spans="1:1">
      <c r="A653" s="19"/>
    </row>
    <row r="654" spans="1:1">
      <c r="A654" s="19"/>
    </row>
    <row r="655" spans="1:1">
      <c r="A655" s="19"/>
    </row>
    <row r="656" spans="1:1">
      <c r="A656" s="19"/>
    </row>
    <row r="657" spans="1:1">
      <c r="A657" s="19"/>
    </row>
    <row r="658" spans="1:1">
      <c r="A658" s="19"/>
    </row>
    <row r="659" spans="1:1">
      <c r="A659" s="19"/>
    </row>
    <row r="660" spans="1:1">
      <c r="A660" s="19"/>
    </row>
    <row r="661" spans="1:1">
      <c r="A661" s="19"/>
    </row>
    <row r="662" spans="1:1">
      <c r="A662" s="19"/>
    </row>
    <row r="663" spans="1:1">
      <c r="A663" s="19"/>
    </row>
    <row r="664" spans="1:1">
      <c r="A664" s="19"/>
    </row>
    <row r="665" spans="1:1">
      <c r="A665" s="19"/>
    </row>
    <row r="666" spans="1:1">
      <c r="A666" s="19"/>
    </row>
    <row r="667" spans="1:1">
      <c r="A667" s="19"/>
    </row>
    <row r="668" spans="1:1">
      <c r="A668" s="19"/>
    </row>
    <row r="669" spans="1:1">
      <c r="A669" s="19"/>
    </row>
    <row r="670" spans="1:1">
      <c r="A670" s="19"/>
    </row>
    <row r="671" spans="1:1">
      <c r="A671" s="19"/>
    </row>
    <row r="672" spans="1:1">
      <c r="A672" s="19"/>
    </row>
    <row r="673" spans="1:1">
      <c r="A673" s="19"/>
    </row>
    <row r="674" spans="1:1">
      <c r="A674" s="19"/>
    </row>
    <row r="675" spans="1:1">
      <c r="A675" s="19"/>
    </row>
    <row r="676" spans="1:1">
      <c r="A676" s="19"/>
    </row>
    <row r="677" spans="1:1">
      <c r="A677" s="19"/>
    </row>
    <row r="678" spans="1:1">
      <c r="A678" s="19"/>
    </row>
    <row r="679" spans="1:1">
      <c r="A679" s="19"/>
    </row>
    <row r="680" spans="1:1">
      <c r="A680" s="19"/>
    </row>
    <row r="681" spans="1:1">
      <c r="A681" s="19"/>
    </row>
    <row r="682" spans="1:1">
      <c r="A682" s="19"/>
    </row>
    <row r="683" spans="1:1">
      <c r="A683" s="19"/>
    </row>
    <row r="684" spans="1:1">
      <c r="A684" s="19"/>
    </row>
    <row r="685" spans="1:1">
      <c r="A685" s="19"/>
    </row>
    <row r="686" spans="1:1">
      <c r="A686" s="19"/>
    </row>
    <row r="687" spans="1:1">
      <c r="A687" s="19"/>
    </row>
    <row r="688" spans="1:1">
      <c r="A688" s="19"/>
    </row>
    <row r="689" spans="1:1">
      <c r="A689" s="19"/>
    </row>
    <row r="690" spans="1:1">
      <c r="A690" s="19"/>
    </row>
    <row r="691" spans="1:1">
      <c r="A691" s="19"/>
    </row>
    <row r="692" spans="1:1">
      <c r="A692" s="19"/>
    </row>
    <row r="693" spans="1:1">
      <c r="A693" s="19"/>
    </row>
    <row r="694" spans="1:1">
      <c r="A694" s="19"/>
    </row>
    <row r="695" spans="1:1">
      <c r="A695" s="19"/>
    </row>
    <row r="696" spans="1:1">
      <c r="A696" s="19"/>
    </row>
    <row r="697" spans="1:1">
      <c r="A697" s="19"/>
    </row>
    <row r="698" spans="1:1">
      <c r="A698" s="19"/>
    </row>
    <row r="699" spans="1:1">
      <c r="A699" s="19"/>
    </row>
    <row r="700" spans="1:1">
      <c r="A700" s="19"/>
    </row>
    <row r="701" spans="1:1">
      <c r="A701" s="19"/>
    </row>
    <row r="702" spans="1:1">
      <c r="A702" s="19"/>
    </row>
    <row r="703" spans="1:1">
      <c r="A703" s="19"/>
    </row>
    <row r="704" spans="1:1">
      <c r="A704" s="19"/>
    </row>
    <row r="705" spans="1:1">
      <c r="A705" s="19"/>
    </row>
    <row r="706" spans="1:1">
      <c r="A706" s="19"/>
    </row>
    <row r="707" spans="1:1">
      <c r="A707" s="19"/>
    </row>
    <row r="708" spans="1:1">
      <c r="A708" s="19"/>
    </row>
    <row r="709" spans="1:1">
      <c r="A709" s="19"/>
    </row>
    <row r="710" spans="1:1">
      <c r="A710" s="19"/>
    </row>
    <row r="711" spans="1:1">
      <c r="A711" s="19"/>
    </row>
    <row r="712" spans="1:1">
      <c r="A712" s="19"/>
    </row>
    <row r="713" spans="1:1">
      <c r="A713" s="19"/>
    </row>
    <row r="714" spans="1:1">
      <c r="A714" s="19"/>
    </row>
    <row r="715" spans="1:1">
      <c r="A715" s="19"/>
    </row>
    <row r="716" spans="1:1">
      <c r="A716" s="19"/>
    </row>
    <row r="717" spans="1:1">
      <c r="A717" s="19"/>
    </row>
    <row r="718" spans="1:1">
      <c r="A718" s="19"/>
    </row>
    <row r="719" spans="1:1">
      <c r="A719" s="19"/>
    </row>
    <row r="720" spans="1:1">
      <c r="A720" s="19"/>
    </row>
    <row r="721" spans="1:1">
      <c r="A721" s="19"/>
    </row>
    <row r="722" spans="1:1">
      <c r="A722" s="19"/>
    </row>
    <row r="723" spans="1:1">
      <c r="A723" s="19"/>
    </row>
    <row r="724" spans="1:1">
      <c r="A724" s="19"/>
    </row>
    <row r="725" spans="1:1">
      <c r="A725" s="19"/>
    </row>
    <row r="726" spans="1:1">
      <c r="A726" s="19"/>
    </row>
    <row r="727" spans="1:1">
      <c r="A727" s="19"/>
    </row>
    <row r="728" spans="1:1">
      <c r="A728" s="19"/>
    </row>
    <row r="729" spans="1:1">
      <c r="A729" s="19"/>
    </row>
    <row r="730" spans="1:1">
      <c r="A730" s="19"/>
    </row>
    <row r="731" spans="1:1">
      <c r="A731" s="19"/>
    </row>
    <row r="732" spans="1:1">
      <c r="A732" s="19"/>
    </row>
    <row r="733" spans="1:1">
      <c r="A733" s="19"/>
    </row>
    <row r="734" spans="1:1">
      <c r="A734" s="19"/>
    </row>
    <row r="735" spans="1:1">
      <c r="A735" s="19"/>
    </row>
    <row r="736" spans="1:1">
      <c r="A736" s="19"/>
    </row>
    <row r="737" spans="1:1">
      <c r="A737" s="19"/>
    </row>
    <row r="738" spans="1:1">
      <c r="A738" s="19"/>
    </row>
    <row r="739" spans="1:1">
      <c r="A739" s="19"/>
    </row>
    <row r="740" spans="1:1">
      <c r="A740" s="19"/>
    </row>
    <row r="741" spans="1:1">
      <c r="A741" s="19"/>
    </row>
    <row r="742" spans="1:1">
      <c r="A742" s="19"/>
    </row>
    <row r="743" spans="1:1">
      <c r="A743" s="19"/>
    </row>
    <row r="744" spans="1:1">
      <c r="A744" s="19"/>
    </row>
    <row r="745" spans="1:1">
      <c r="A745" s="19"/>
    </row>
    <row r="746" spans="1:1">
      <c r="A746" s="19"/>
    </row>
    <row r="747" spans="1:1">
      <c r="A747" s="19"/>
    </row>
    <row r="748" spans="1:1">
      <c r="A748" s="19"/>
    </row>
    <row r="749" spans="1:1">
      <c r="A749" s="19"/>
    </row>
    <row r="750" spans="1:1">
      <c r="A750" s="19"/>
    </row>
    <row r="751" spans="1:1">
      <c r="A751" s="19"/>
    </row>
    <row r="752" spans="1:1">
      <c r="A752" s="19"/>
    </row>
    <row r="753" spans="1:1">
      <c r="A753" s="19"/>
    </row>
    <row r="754" spans="1:1">
      <c r="A754" s="19"/>
    </row>
    <row r="755" spans="1:1">
      <c r="A755" s="19"/>
    </row>
    <row r="756" spans="1:1">
      <c r="A756" s="19"/>
    </row>
    <row r="757" spans="1:1">
      <c r="A757" s="19"/>
    </row>
    <row r="758" spans="1:1">
      <c r="A758" s="19"/>
    </row>
    <row r="759" spans="1:1">
      <c r="A759" s="19"/>
    </row>
    <row r="760" spans="1:1">
      <c r="A760" s="19"/>
    </row>
    <row r="761" spans="1:1">
      <c r="A761" s="19"/>
    </row>
    <row r="762" spans="1:1">
      <c r="A762" s="19"/>
    </row>
    <row r="763" spans="1:1">
      <c r="A763" s="19"/>
    </row>
    <row r="764" spans="1:1">
      <c r="A764" s="19"/>
    </row>
    <row r="765" spans="1:1">
      <c r="A765" s="19"/>
    </row>
    <row r="766" spans="1:1">
      <c r="A766" s="19"/>
    </row>
    <row r="767" spans="1:1">
      <c r="A767" s="19"/>
    </row>
    <row r="768" spans="1:1">
      <c r="A768" s="19"/>
    </row>
    <row r="769" spans="1:1">
      <c r="A769" s="19"/>
    </row>
    <row r="770" spans="1:1">
      <c r="A770" s="19"/>
    </row>
    <row r="771" spans="1:1">
      <c r="A771" s="19"/>
    </row>
    <row r="772" spans="1:1">
      <c r="A772" s="19"/>
    </row>
    <row r="773" spans="1:1">
      <c r="A773" s="19"/>
    </row>
    <row r="774" spans="1:1">
      <c r="A774" s="19"/>
    </row>
    <row r="775" spans="1:1">
      <c r="A775" s="19"/>
    </row>
    <row r="776" spans="1:1">
      <c r="A776" s="19"/>
    </row>
    <row r="777" spans="1:1">
      <c r="A777" s="19"/>
    </row>
  </sheetData>
  <phoneticPr fontId="1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J26" sqref="J26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AH431"/>
  <sheetViews>
    <sheetView workbookViewId="0">
      <selection activeCell="B1" sqref="B1"/>
    </sheetView>
  </sheetViews>
  <sheetFormatPr defaultRowHeight="14.25"/>
  <cols>
    <col min="1" max="1" width="9" style="110"/>
    <col min="4" max="4" width="9.875" customWidth="1"/>
    <col min="22" max="22" width="11.25" customWidth="1"/>
  </cols>
  <sheetData>
    <row r="1" spans="1:34">
      <c r="B1" s="114" t="s">
        <v>368</v>
      </c>
      <c r="C1" s="114" t="s">
        <v>59</v>
      </c>
      <c r="D1" s="114" t="s">
        <v>60</v>
      </c>
      <c r="E1" s="114" t="s">
        <v>61</v>
      </c>
      <c r="F1" s="114" t="s">
        <v>62</v>
      </c>
      <c r="G1" s="114" t="s">
        <v>63</v>
      </c>
      <c r="H1" s="114" t="s">
        <v>64</v>
      </c>
      <c r="I1" s="114" t="s">
        <v>65</v>
      </c>
      <c r="J1" s="114" t="s">
        <v>49</v>
      </c>
      <c r="K1" s="114" t="s">
        <v>66</v>
      </c>
      <c r="L1" s="114" t="s">
        <v>67</v>
      </c>
      <c r="M1" s="114" t="s">
        <v>68</v>
      </c>
      <c r="N1" s="114" t="s">
        <v>69</v>
      </c>
      <c r="O1" s="114" t="s">
        <v>70</v>
      </c>
      <c r="P1" s="114" t="s">
        <v>71</v>
      </c>
      <c r="Q1" s="114" t="s">
        <v>72</v>
      </c>
      <c r="R1" s="114" t="s">
        <v>73</v>
      </c>
      <c r="S1" s="114" t="s">
        <v>74</v>
      </c>
      <c r="T1" s="114" t="s">
        <v>101</v>
      </c>
      <c r="U1" s="114" t="s">
        <v>75</v>
      </c>
      <c r="V1" s="114" t="s">
        <v>76</v>
      </c>
      <c r="W1" s="114" t="s">
        <v>77</v>
      </c>
      <c r="X1" s="114" t="s">
        <v>78</v>
      </c>
      <c r="Y1" s="114" t="s">
        <v>79</v>
      </c>
      <c r="Z1" s="114" t="s">
        <v>80</v>
      </c>
      <c r="AA1" s="114" t="s">
        <v>81</v>
      </c>
      <c r="AB1" s="114" t="s">
        <v>82</v>
      </c>
      <c r="AC1" s="114" t="s">
        <v>83</v>
      </c>
      <c r="AD1" s="114" t="s">
        <v>84</v>
      </c>
      <c r="AE1" s="114" t="s">
        <v>85</v>
      </c>
      <c r="AF1" s="114" t="s">
        <v>102</v>
      </c>
      <c r="AG1" s="114" t="s">
        <v>103</v>
      </c>
      <c r="AH1" s="114" t="s">
        <v>104</v>
      </c>
    </row>
    <row r="2" spans="1:34">
      <c r="A2" s="110">
        <v>137</v>
      </c>
      <c r="B2">
        <v>4626</v>
      </c>
      <c r="C2" s="114" t="s">
        <v>1073</v>
      </c>
      <c r="D2" s="114" t="s">
        <v>87</v>
      </c>
      <c r="E2">
        <v>4160</v>
      </c>
      <c r="F2">
        <v>4200</v>
      </c>
      <c r="G2">
        <v>200</v>
      </c>
      <c r="H2" s="114" t="s">
        <v>86</v>
      </c>
      <c r="I2">
        <v>6134</v>
      </c>
      <c r="J2" s="114" t="s">
        <v>1074</v>
      </c>
      <c r="K2" s="114" t="s">
        <v>128</v>
      </c>
      <c r="L2">
        <v>1921</v>
      </c>
      <c r="M2">
        <v>1945</v>
      </c>
      <c r="N2">
        <v>400</v>
      </c>
      <c r="O2" s="114" t="s">
        <v>88</v>
      </c>
      <c r="P2">
        <v>0.94657905963770805</v>
      </c>
      <c r="Q2">
        <v>0.91131310693779</v>
      </c>
      <c r="R2" s="20">
        <v>2.3758753260182199E-2</v>
      </c>
      <c r="S2">
        <v>0.13392786666940901</v>
      </c>
      <c r="T2">
        <v>-1.13182933334528</v>
      </c>
      <c r="U2">
        <v>1.13182933334528</v>
      </c>
      <c r="V2">
        <v>-4.03</v>
      </c>
      <c r="W2">
        <v>7.38</v>
      </c>
      <c r="X2">
        <v>550688</v>
      </c>
      <c r="Y2">
        <v>32393</v>
      </c>
      <c r="Z2">
        <v>1.85</v>
      </c>
      <c r="AA2">
        <v>17</v>
      </c>
      <c r="AB2">
        <v>13</v>
      </c>
      <c r="AC2">
        <v>4</v>
      </c>
      <c r="AD2">
        <v>76.47</v>
      </c>
      <c r="AE2">
        <v>12</v>
      </c>
      <c r="AF2">
        <v>9</v>
      </c>
      <c r="AG2">
        <v>2</v>
      </c>
      <c r="AH2">
        <v>6</v>
      </c>
    </row>
    <row r="3" spans="1:34">
      <c r="A3" s="110">
        <v>17</v>
      </c>
      <c r="B3">
        <v>4202</v>
      </c>
      <c r="C3" s="114" t="s">
        <v>118</v>
      </c>
      <c r="D3" s="114" t="s">
        <v>87</v>
      </c>
      <c r="E3">
        <v>1072</v>
      </c>
      <c r="F3">
        <v>1082</v>
      </c>
      <c r="G3">
        <v>1000</v>
      </c>
      <c r="H3" s="114" t="s">
        <v>86</v>
      </c>
      <c r="I3">
        <v>5991</v>
      </c>
      <c r="J3" s="114" t="s">
        <v>144</v>
      </c>
      <c r="K3" s="114" t="s">
        <v>145</v>
      </c>
      <c r="L3">
        <v>964</v>
      </c>
      <c r="M3">
        <v>978</v>
      </c>
      <c r="N3">
        <v>1100</v>
      </c>
      <c r="O3" s="114" t="s">
        <v>88</v>
      </c>
      <c r="P3">
        <v>0.96359599459450895</v>
      </c>
      <c r="Q3">
        <v>0.94729577252785102</v>
      </c>
      <c r="R3" s="20">
        <v>0.27381678941750498</v>
      </c>
      <c r="S3" s="20">
        <v>3.8745004409613003E-2</v>
      </c>
      <c r="T3">
        <v>-0.209397659835037</v>
      </c>
      <c r="U3">
        <v>0.209397659835037</v>
      </c>
      <c r="V3">
        <v>-0.61</v>
      </c>
      <c r="W3">
        <v>0.56999999999999995</v>
      </c>
      <c r="X3">
        <v>542623</v>
      </c>
      <c r="Y3">
        <v>27131</v>
      </c>
      <c r="Z3">
        <v>1.27</v>
      </c>
      <c r="AA3">
        <v>20</v>
      </c>
      <c r="AB3">
        <v>14</v>
      </c>
      <c r="AC3">
        <v>6</v>
      </c>
      <c r="AD3">
        <v>70</v>
      </c>
      <c r="AE3">
        <v>13</v>
      </c>
      <c r="AF3">
        <v>7</v>
      </c>
      <c r="AG3">
        <v>1</v>
      </c>
      <c r="AH3">
        <v>12</v>
      </c>
    </row>
    <row r="4" spans="1:34">
      <c r="A4" s="110">
        <v>46</v>
      </c>
      <c r="B4">
        <v>3635</v>
      </c>
      <c r="C4" s="114" t="s">
        <v>113</v>
      </c>
      <c r="D4" s="114" t="s">
        <v>107</v>
      </c>
      <c r="E4">
        <v>2648</v>
      </c>
      <c r="F4">
        <v>2637</v>
      </c>
      <c r="G4">
        <v>400</v>
      </c>
      <c r="H4" s="114" t="s">
        <v>88</v>
      </c>
      <c r="I4">
        <v>6845</v>
      </c>
      <c r="J4" s="114" t="s">
        <v>369</v>
      </c>
      <c r="K4" s="114" t="s">
        <v>115</v>
      </c>
      <c r="L4">
        <v>3140</v>
      </c>
      <c r="M4">
        <v>3185</v>
      </c>
      <c r="N4">
        <v>300</v>
      </c>
      <c r="O4" s="114" t="s">
        <v>86</v>
      </c>
      <c r="P4">
        <v>0.92521001766873601</v>
      </c>
      <c r="Q4">
        <v>0.93787115540897203</v>
      </c>
      <c r="R4">
        <v>7.0026584545787293E-2</v>
      </c>
      <c r="S4">
        <v>1.3451258572707901E-2</v>
      </c>
      <c r="T4">
        <v>1.34879157422671</v>
      </c>
      <c r="U4">
        <v>1.34879157422671</v>
      </c>
      <c r="V4">
        <v>2.9</v>
      </c>
      <c r="W4">
        <v>10.39</v>
      </c>
      <c r="X4">
        <v>542091</v>
      </c>
      <c r="Y4">
        <v>31888</v>
      </c>
      <c r="Z4">
        <v>1.61</v>
      </c>
      <c r="AA4">
        <v>17</v>
      </c>
      <c r="AB4">
        <v>14</v>
      </c>
      <c r="AC4">
        <v>3</v>
      </c>
      <c r="AD4">
        <v>82.35</v>
      </c>
      <c r="AE4">
        <v>12</v>
      </c>
      <c r="AF4">
        <v>8</v>
      </c>
      <c r="AG4">
        <v>2</v>
      </c>
      <c r="AH4">
        <v>7</v>
      </c>
    </row>
    <row r="5" spans="1:34">
      <c r="A5" s="110">
        <v>30</v>
      </c>
      <c r="B5">
        <v>2914</v>
      </c>
      <c r="C5" s="114" t="s">
        <v>125</v>
      </c>
      <c r="D5" s="114" t="s">
        <v>126</v>
      </c>
      <c r="E5">
        <v>2501</v>
      </c>
      <c r="F5">
        <v>2502</v>
      </c>
      <c r="G5">
        <v>400</v>
      </c>
      <c r="H5" s="114" t="s">
        <v>86</v>
      </c>
      <c r="I5">
        <v>7189</v>
      </c>
      <c r="J5" s="114" t="s">
        <v>109</v>
      </c>
      <c r="K5" s="114" t="s">
        <v>110</v>
      </c>
      <c r="L5">
        <v>845</v>
      </c>
      <c r="M5">
        <v>849</v>
      </c>
      <c r="N5">
        <v>1200</v>
      </c>
      <c r="O5" s="114" t="s">
        <v>88</v>
      </c>
      <c r="P5">
        <v>0.93902307741469704</v>
      </c>
      <c r="Q5">
        <v>0.94146511979856096</v>
      </c>
      <c r="R5">
        <v>0.231605532157178</v>
      </c>
      <c r="S5">
        <v>0.12541693918092001</v>
      </c>
      <c r="T5">
        <v>-0.91826528869268698</v>
      </c>
      <c r="U5">
        <v>0.91826528869268698</v>
      </c>
      <c r="V5">
        <v>-6.33</v>
      </c>
      <c r="W5">
        <v>1.8</v>
      </c>
      <c r="X5">
        <v>526842</v>
      </c>
      <c r="Y5">
        <v>23947</v>
      </c>
      <c r="Z5">
        <v>1.21</v>
      </c>
      <c r="AA5">
        <v>22</v>
      </c>
      <c r="AB5">
        <v>16</v>
      </c>
      <c r="AC5">
        <v>6</v>
      </c>
      <c r="AD5">
        <v>72.73</v>
      </c>
      <c r="AE5">
        <v>14</v>
      </c>
      <c r="AF5">
        <v>12</v>
      </c>
      <c r="AG5">
        <v>3</v>
      </c>
      <c r="AH5">
        <v>7</v>
      </c>
    </row>
    <row r="6" spans="1:34">
      <c r="A6" s="110">
        <v>2</v>
      </c>
      <c r="B6">
        <v>3635</v>
      </c>
      <c r="C6" s="114" t="s">
        <v>113</v>
      </c>
      <c r="D6" s="114" t="s">
        <v>107</v>
      </c>
      <c r="E6">
        <v>2648</v>
      </c>
      <c r="F6">
        <v>2637</v>
      </c>
      <c r="G6">
        <v>400</v>
      </c>
      <c r="H6" s="114" t="s">
        <v>86</v>
      </c>
      <c r="I6">
        <v>6920</v>
      </c>
      <c r="J6" s="114" t="s">
        <v>114</v>
      </c>
      <c r="K6" s="114" t="s">
        <v>115</v>
      </c>
      <c r="L6">
        <v>9490</v>
      </c>
      <c r="M6">
        <v>9750</v>
      </c>
      <c r="N6">
        <v>100</v>
      </c>
      <c r="O6" s="114" t="s">
        <v>88</v>
      </c>
      <c r="P6">
        <v>0.92870016841963698</v>
      </c>
      <c r="Q6">
        <v>0.96214933588589402</v>
      </c>
      <c r="R6">
        <v>9.8582522003566597E-2</v>
      </c>
      <c r="S6">
        <v>7.6847129110459297E-4</v>
      </c>
      <c r="T6">
        <v>-2.0203730374148101</v>
      </c>
      <c r="U6">
        <v>2.0203730374148101</v>
      </c>
      <c r="V6">
        <v>-20.059999999999999</v>
      </c>
      <c r="W6">
        <v>8.18</v>
      </c>
      <c r="X6">
        <v>518439</v>
      </c>
      <c r="Y6">
        <v>25922</v>
      </c>
      <c r="Z6">
        <v>1.37</v>
      </c>
      <c r="AA6">
        <v>20</v>
      </c>
      <c r="AB6">
        <v>13</v>
      </c>
      <c r="AC6">
        <v>7</v>
      </c>
      <c r="AD6">
        <v>65</v>
      </c>
      <c r="AE6">
        <v>10</v>
      </c>
      <c r="AF6">
        <v>10</v>
      </c>
      <c r="AG6">
        <v>6</v>
      </c>
      <c r="AH6">
        <v>4</v>
      </c>
    </row>
    <row r="7" spans="1:34">
      <c r="A7" s="110">
        <v>20</v>
      </c>
      <c r="B7">
        <v>1928</v>
      </c>
      <c r="C7" s="114" t="s">
        <v>363</v>
      </c>
      <c r="D7" s="114" t="s">
        <v>105</v>
      </c>
      <c r="E7">
        <v>2364.5</v>
      </c>
      <c r="F7">
        <v>2346</v>
      </c>
      <c r="G7">
        <v>400</v>
      </c>
      <c r="H7" s="114" t="s">
        <v>86</v>
      </c>
      <c r="I7">
        <v>4062</v>
      </c>
      <c r="J7" s="114" t="s">
        <v>396</v>
      </c>
      <c r="K7" s="114" t="s">
        <v>115</v>
      </c>
      <c r="L7">
        <v>2546</v>
      </c>
      <c r="M7">
        <v>2574</v>
      </c>
      <c r="N7">
        <v>400</v>
      </c>
      <c r="O7" s="114" t="s">
        <v>88</v>
      </c>
      <c r="P7">
        <v>0.92840935229226096</v>
      </c>
      <c r="Q7">
        <v>0.946876014962451</v>
      </c>
      <c r="R7">
        <v>0.319280460721523</v>
      </c>
      <c r="S7">
        <v>7.5682400024978294E-2</v>
      </c>
      <c r="T7">
        <v>-0.97996431981080501</v>
      </c>
      <c r="U7">
        <v>0.97996431981080501</v>
      </c>
      <c r="V7">
        <v>-3.4</v>
      </c>
      <c r="W7">
        <v>8.86</v>
      </c>
      <c r="X7">
        <v>454397</v>
      </c>
      <c r="Y7">
        <v>28400</v>
      </c>
      <c r="Z7">
        <v>1.52</v>
      </c>
      <c r="AA7">
        <v>16</v>
      </c>
      <c r="AB7">
        <v>13</v>
      </c>
      <c r="AC7">
        <v>3</v>
      </c>
      <c r="AD7">
        <v>81.25</v>
      </c>
      <c r="AE7">
        <v>11</v>
      </c>
      <c r="AF7">
        <v>9</v>
      </c>
      <c r="AG7">
        <v>2</v>
      </c>
      <c r="AH7">
        <v>5</v>
      </c>
    </row>
    <row r="8" spans="1:34">
      <c r="A8" s="110">
        <v>43</v>
      </c>
      <c r="B8">
        <v>6923</v>
      </c>
      <c r="C8" s="114" t="s">
        <v>141</v>
      </c>
      <c r="D8" s="114" t="s">
        <v>115</v>
      </c>
      <c r="E8">
        <v>3060</v>
      </c>
      <c r="F8">
        <v>3085</v>
      </c>
      <c r="G8">
        <v>300</v>
      </c>
      <c r="H8" s="114" t="s">
        <v>86</v>
      </c>
      <c r="I8">
        <v>7272</v>
      </c>
      <c r="J8" s="114" t="s">
        <v>358</v>
      </c>
      <c r="K8" s="114" t="s">
        <v>112</v>
      </c>
      <c r="L8">
        <v>2267</v>
      </c>
      <c r="M8">
        <v>2272</v>
      </c>
      <c r="N8">
        <v>400</v>
      </c>
      <c r="O8" s="114" t="s">
        <v>88</v>
      </c>
      <c r="P8">
        <v>0.91865692055697701</v>
      </c>
      <c r="Q8">
        <v>0.93846803085622799</v>
      </c>
      <c r="R8">
        <v>0.15886783686515399</v>
      </c>
      <c r="S8" s="20">
        <v>0.15758709248719599</v>
      </c>
      <c r="T8">
        <v>-1.07962068542465</v>
      </c>
      <c r="U8">
        <v>1.07962068542465</v>
      </c>
      <c r="V8">
        <v>-5.01</v>
      </c>
      <c r="W8">
        <v>1.8</v>
      </c>
      <c r="X8">
        <v>442542</v>
      </c>
      <c r="Y8">
        <v>44254</v>
      </c>
      <c r="Z8">
        <v>2.38</v>
      </c>
      <c r="AA8">
        <v>10</v>
      </c>
      <c r="AB8">
        <v>8</v>
      </c>
      <c r="AC8">
        <v>2</v>
      </c>
      <c r="AD8">
        <v>80</v>
      </c>
      <c r="AE8">
        <v>14</v>
      </c>
      <c r="AF8">
        <v>6</v>
      </c>
      <c r="AG8">
        <v>0</v>
      </c>
      <c r="AH8">
        <v>4</v>
      </c>
    </row>
    <row r="9" spans="1:34">
      <c r="A9" s="110">
        <v>16</v>
      </c>
      <c r="B9">
        <v>5991</v>
      </c>
      <c r="C9" s="114" t="s">
        <v>144</v>
      </c>
      <c r="D9" s="114" t="s">
        <v>145</v>
      </c>
      <c r="E9">
        <v>964</v>
      </c>
      <c r="F9">
        <v>978</v>
      </c>
      <c r="G9">
        <v>1000</v>
      </c>
      <c r="H9" s="114" t="s">
        <v>88</v>
      </c>
      <c r="I9">
        <v>7278</v>
      </c>
      <c r="J9" s="114" t="s">
        <v>111</v>
      </c>
      <c r="K9" s="114" t="s">
        <v>112</v>
      </c>
      <c r="L9">
        <v>2469</v>
      </c>
      <c r="M9">
        <v>2458</v>
      </c>
      <c r="N9">
        <v>400</v>
      </c>
      <c r="O9" s="114" t="s">
        <v>86</v>
      </c>
      <c r="P9">
        <v>0.93734306719362503</v>
      </c>
      <c r="Q9">
        <v>0.949114176388132</v>
      </c>
      <c r="R9">
        <v>0.185965396436819</v>
      </c>
      <c r="S9">
        <v>4.0669535412747398E-2</v>
      </c>
      <c r="T9">
        <v>1.13769861683642</v>
      </c>
      <c r="U9">
        <v>1.13769861683642</v>
      </c>
      <c r="V9">
        <v>3.03</v>
      </c>
      <c r="W9">
        <v>0.53</v>
      </c>
      <c r="X9">
        <v>437615</v>
      </c>
      <c r="Y9">
        <v>24312</v>
      </c>
      <c r="Z9">
        <v>1.1399999999999999</v>
      </c>
      <c r="AA9">
        <v>18</v>
      </c>
      <c r="AB9">
        <v>13</v>
      </c>
      <c r="AC9">
        <v>5</v>
      </c>
      <c r="AD9">
        <v>72.22</v>
      </c>
      <c r="AE9">
        <v>13</v>
      </c>
      <c r="AF9">
        <v>8</v>
      </c>
      <c r="AG9">
        <v>1</v>
      </c>
      <c r="AH9">
        <v>9</v>
      </c>
    </row>
    <row r="10" spans="1:34">
      <c r="A10" s="110">
        <v>13</v>
      </c>
      <c r="B10">
        <v>6645</v>
      </c>
      <c r="C10" s="114" t="s">
        <v>153</v>
      </c>
      <c r="D10" s="114" t="s">
        <v>115</v>
      </c>
      <c r="E10">
        <v>6400</v>
      </c>
      <c r="F10">
        <v>6500</v>
      </c>
      <c r="G10">
        <v>100</v>
      </c>
      <c r="H10" s="114" t="s">
        <v>86</v>
      </c>
      <c r="I10">
        <v>6967</v>
      </c>
      <c r="J10" s="114" t="s">
        <v>372</v>
      </c>
      <c r="K10" s="114" t="s">
        <v>115</v>
      </c>
      <c r="L10">
        <v>1064</v>
      </c>
      <c r="M10">
        <v>1082</v>
      </c>
      <c r="N10">
        <v>600</v>
      </c>
      <c r="O10" s="114" t="s">
        <v>88</v>
      </c>
      <c r="P10">
        <v>0.94424069537720701</v>
      </c>
      <c r="Q10">
        <v>0.95110570627717494</v>
      </c>
      <c r="R10">
        <v>2.1735264424077201E-2</v>
      </c>
      <c r="S10">
        <v>2.6818027094191602E-3</v>
      </c>
      <c r="T10">
        <v>-0.74653833553416404</v>
      </c>
      <c r="U10">
        <v>0.74653833553416404</v>
      </c>
      <c r="V10">
        <v>-2.11</v>
      </c>
      <c r="W10">
        <v>0.12</v>
      </c>
      <c r="X10">
        <v>423512</v>
      </c>
      <c r="Y10">
        <v>23528</v>
      </c>
      <c r="Z10">
        <v>1.38</v>
      </c>
      <c r="AA10">
        <v>18</v>
      </c>
      <c r="AB10">
        <v>13</v>
      </c>
      <c r="AC10">
        <v>5</v>
      </c>
      <c r="AD10">
        <v>72.22</v>
      </c>
      <c r="AE10">
        <v>11</v>
      </c>
      <c r="AF10">
        <v>11</v>
      </c>
      <c r="AG10">
        <v>2</v>
      </c>
      <c r="AH10">
        <v>5</v>
      </c>
    </row>
    <row r="11" spans="1:34">
      <c r="A11" s="110">
        <v>57</v>
      </c>
      <c r="B11">
        <v>1973</v>
      </c>
      <c r="C11" s="114" t="s">
        <v>373</v>
      </c>
      <c r="D11" s="114" t="s">
        <v>107</v>
      </c>
      <c r="E11">
        <v>3465</v>
      </c>
      <c r="F11">
        <v>3465</v>
      </c>
      <c r="G11">
        <v>300</v>
      </c>
      <c r="H11" s="114" t="s">
        <v>88</v>
      </c>
      <c r="I11">
        <v>3635</v>
      </c>
      <c r="J11" s="114" t="s">
        <v>113</v>
      </c>
      <c r="K11" s="114" t="s">
        <v>107</v>
      </c>
      <c r="L11">
        <v>2648</v>
      </c>
      <c r="M11">
        <v>2637</v>
      </c>
      <c r="N11">
        <v>400</v>
      </c>
      <c r="O11" s="114" t="s">
        <v>86</v>
      </c>
      <c r="P11">
        <v>0.94800826919995096</v>
      </c>
      <c r="Q11">
        <v>0.93203782196549601</v>
      </c>
      <c r="R11">
        <v>7.8358042360340708E-3</v>
      </c>
      <c r="S11">
        <v>2.52655632623115E-2</v>
      </c>
      <c r="T11">
        <v>0.39492619260032402</v>
      </c>
      <c r="U11">
        <v>0.39492619260032402</v>
      </c>
      <c r="V11">
        <v>1.08</v>
      </c>
      <c r="W11">
        <v>1.47</v>
      </c>
      <c r="X11">
        <v>416117</v>
      </c>
      <c r="Y11">
        <v>26007</v>
      </c>
      <c r="Z11">
        <v>1.37</v>
      </c>
      <c r="AA11">
        <v>16</v>
      </c>
      <c r="AB11">
        <v>12</v>
      </c>
      <c r="AC11">
        <v>4</v>
      </c>
      <c r="AD11">
        <v>75</v>
      </c>
      <c r="AE11">
        <v>13</v>
      </c>
      <c r="AF11">
        <v>8</v>
      </c>
      <c r="AG11">
        <v>1</v>
      </c>
      <c r="AH11">
        <v>7</v>
      </c>
    </row>
    <row r="12" spans="1:34">
      <c r="A12" s="110">
        <v>182</v>
      </c>
      <c r="B12">
        <v>6371</v>
      </c>
      <c r="C12" s="114" t="s">
        <v>137</v>
      </c>
      <c r="D12" s="114" t="s">
        <v>128</v>
      </c>
      <c r="E12">
        <v>3765</v>
      </c>
      <c r="F12">
        <v>3790</v>
      </c>
      <c r="G12">
        <v>200</v>
      </c>
      <c r="H12" s="114" t="s">
        <v>86</v>
      </c>
      <c r="I12">
        <v>7278</v>
      </c>
      <c r="J12" s="114" t="s">
        <v>111</v>
      </c>
      <c r="K12" s="114" t="s">
        <v>112</v>
      </c>
      <c r="L12">
        <v>2469</v>
      </c>
      <c r="M12">
        <v>2458</v>
      </c>
      <c r="N12">
        <v>300</v>
      </c>
      <c r="O12" s="114" t="s">
        <v>88</v>
      </c>
      <c r="P12">
        <v>0.95397538874769905</v>
      </c>
      <c r="Q12">
        <v>0.903799572216338</v>
      </c>
      <c r="R12">
        <v>2.0797923760639998E-3</v>
      </c>
      <c r="S12">
        <v>1.9076321932760501E-2</v>
      </c>
      <c r="T12">
        <v>-1.3695213634389301</v>
      </c>
      <c r="U12">
        <v>1.3695213634389301</v>
      </c>
      <c r="V12">
        <v>-3.83</v>
      </c>
      <c r="W12">
        <v>2.72</v>
      </c>
      <c r="X12">
        <v>415459</v>
      </c>
      <c r="Y12">
        <v>41546</v>
      </c>
      <c r="Z12">
        <v>2.39</v>
      </c>
      <c r="AA12">
        <v>10</v>
      </c>
      <c r="AB12">
        <v>8</v>
      </c>
      <c r="AC12">
        <v>2</v>
      </c>
      <c r="AD12">
        <v>80</v>
      </c>
      <c r="AE12">
        <v>10</v>
      </c>
      <c r="AF12">
        <v>6</v>
      </c>
      <c r="AG12">
        <v>0</v>
      </c>
      <c r="AH12">
        <v>4</v>
      </c>
    </row>
    <row r="13" spans="1:34">
      <c r="A13" s="110">
        <v>58</v>
      </c>
      <c r="B13">
        <v>1973</v>
      </c>
      <c r="C13" s="114" t="s">
        <v>373</v>
      </c>
      <c r="D13" s="114" t="s">
        <v>107</v>
      </c>
      <c r="E13">
        <v>3465</v>
      </c>
      <c r="F13">
        <v>3465</v>
      </c>
      <c r="G13">
        <v>300</v>
      </c>
      <c r="H13" s="114" t="s">
        <v>88</v>
      </c>
      <c r="I13">
        <v>6845</v>
      </c>
      <c r="J13" s="114" t="s">
        <v>369</v>
      </c>
      <c r="K13" s="114" t="s">
        <v>115</v>
      </c>
      <c r="L13">
        <v>3140</v>
      </c>
      <c r="M13">
        <v>3185</v>
      </c>
      <c r="N13">
        <v>300</v>
      </c>
      <c r="O13" s="114" t="s">
        <v>86</v>
      </c>
      <c r="P13">
        <v>0.90729031195391197</v>
      </c>
      <c r="Q13">
        <v>0.93158244572148197</v>
      </c>
      <c r="R13">
        <v>8.5287840193524807E-3</v>
      </c>
      <c r="S13">
        <v>6.2474818838759699E-3</v>
      </c>
      <c r="T13">
        <v>1.1198287225714001</v>
      </c>
      <c r="U13">
        <v>1.1198287225714001</v>
      </c>
      <c r="V13">
        <v>3.95</v>
      </c>
      <c r="W13">
        <v>8.08</v>
      </c>
      <c r="X13">
        <v>410608</v>
      </c>
      <c r="Y13">
        <v>31585</v>
      </c>
      <c r="Z13">
        <v>1.58</v>
      </c>
      <c r="AA13">
        <v>13</v>
      </c>
      <c r="AB13">
        <v>10</v>
      </c>
      <c r="AC13">
        <v>3</v>
      </c>
      <c r="AD13">
        <v>76.92</v>
      </c>
      <c r="AE13">
        <v>10</v>
      </c>
      <c r="AF13">
        <v>8</v>
      </c>
      <c r="AG13">
        <v>2</v>
      </c>
      <c r="AH13">
        <v>3</v>
      </c>
    </row>
    <row r="14" spans="1:34">
      <c r="A14" s="110">
        <v>53</v>
      </c>
      <c r="B14">
        <v>4062</v>
      </c>
      <c r="C14" s="114" t="s">
        <v>396</v>
      </c>
      <c r="D14" s="114" t="s">
        <v>115</v>
      </c>
      <c r="E14">
        <v>2546</v>
      </c>
      <c r="F14">
        <v>2574</v>
      </c>
      <c r="G14">
        <v>300</v>
      </c>
      <c r="H14" s="114" t="s">
        <v>86</v>
      </c>
      <c r="I14">
        <v>8036</v>
      </c>
      <c r="J14" s="114" t="s">
        <v>386</v>
      </c>
      <c r="K14" s="114" t="s">
        <v>130</v>
      </c>
      <c r="L14">
        <v>7020</v>
      </c>
      <c r="M14">
        <v>7160</v>
      </c>
      <c r="N14">
        <v>100</v>
      </c>
      <c r="O14" s="114" t="s">
        <v>88</v>
      </c>
      <c r="P14">
        <v>0.94556133138977505</v>
      </c>
      <c r="Q14">
        <v>0.93326545345467005</v>
      </c>
      <c r="R14">
        <v>0.110210743397682</v>
      </c>
      <c r="S14">
        <v>0.156263227727621</v>
      </c>
      <c r="T14">
        <v>-0.110843630075</v>
      </c>
      <c r="U14">
        <v>0.110843630075</v>
      </c>
      <c r="V14">
        <v>-0.28999999999999998</v>
      </c>
      <c r="W14">
        <v>7.85</v>
      </c>
      <c r="X14">
        <v>409387</v>
      </c>
      <c r="Y14">
        <v>29242</v>
      </c>
      <c r="Z14">
        <v>1.62</v>
      </c>
      <c r="AA14">
        <v>14</v>
      </c>
      <c r="AB14">
        <v>10</v>
      </c>
      <c r="AC14">
        <v>4</v>
      </c>
      <c r="AD14">
        <v>71.430000000000007</v>
      </c>
      <c r="AE14">
        <v>11</v>
      </c>
      <c r="AF14">
        <v>7</v>
      </c>
      <c r="AG14">
        <v>2</v>
      </c>
      <c r="AH14">
        <v>5</v>
      </c>
    </row>
    <row r="15" spans="1:34">
      <c r="A15" s="110">
        <v>176</v>
      </c>
      <c r="B15">
        <v>3861</v>
      </c>
      <c r="C15" s="114" t="s">
        <v>90</v>
      </c>
      <c r="D15" s="114" t="s">
        <v>108</v>
      </c>
      <c r="E15">
        <v>616</v>
      </c>
      <c r="F15">
        <v>615</v>
      </c>
      <c r="G15">
        <v>1700</v>
      </c>
      <c r="H15" s="114" t="s">
        <v>88</v>
      </c>
      <c r="I15">
        <v>4183</v>
      </c>
      <c r="J15" s="114" t="s">
        <v>361</v>
      </c>
      <c r="K15" s="114" t="s">
        <v>87</v>
      </c>
      <c r="L15">
        <v>2605</v>
      </c>
      <c r="M15">
        <v>2628</v>
      </c>
      <c r="N15">
        <v>400</v>
      </c>
      <c r="O15" s="114" t="s">
        <v>86</v>
      </c>
      <c r="P15">
        <v>0.90841618949400904</v>
      </c>
      <c r="Q15">
        <v>0.90446264536420895</v>
      </c>
      <c r="R15" s="20">
        <v>0.18684777920145301</v>
      </c>
      <c r="S15">
        <v>0.16163247120125601</v>
      </c>
      <c r="T15">
        <v>1.66873904277494</v>
      </c>
      <c r="U15">
        <v>1.66873904277494</v>
      </c>
      <c r="V15">
        <v>6.56</v>
      </c>
      <c r="W15">
        <v>0.54</v>
      </c>
      <c r="X15">
        <v>408613</v>
      </c>
      <c r="Y15">
        <v>17766</v>
      </c>
      <c r="Z15">
        <v>0.95</v>
      </c>
      <c r="AA15">
        <v>23</v>
      </c>
      <c r="AB15">
        <v>15</v>
      </c>
      <c r="AC15">
        <v>8</v>
      </c>
      <c r="AD15">
        <v>65.22</v>
      </c>
      <c r="AE15">
        <v>13</v>
      </c>
      <c r="AF15">
        <v>10</v>
      </c>
      <c r="AG15">
        <v>4</v>
      </c>
      <c r="AH15">
        <v>9</v>
      </c>
    </row>
    <row r="16" spans="1:34">
      <c r="A16" s="110">
        <v>113</v>
      </c>
      <c r="B16">
        <v>6925</v>
      </c>
      <c r="C16" s="114" t="s">
        <v>376</v>
      </c>
      <c r="D16" s="114" t="s">
        <v>115</v>
      </c>
      <c r="E16">
        <v>1626</v>
      </c>
      <c r="F16">
        <v>1644</v>
      </c>
      <c r="G16">
        <v>600</v>
      </c>
      <c r="H16" s="114" t="s">
        <v>86</v>
      </c>
      <c r="I16">
        <v>6967</v>
      </c>
      <c r="J16" s="114" t="s">
        <v>372</v>
      </c>
      <c r="K16" s="114" t="s">
        <v>115</v>
      </c>
      <c r="L16">
        <v>1064</v>
      </c>
      <c r="M16">
        <v>1082</v>
      </c>
      <c r="N16">
        <v>900</v>
      </c>
      <c r="O16" s="114" t="s">
        <v>88</v>
      </c>
      <c r="P16">
        <v>0.91604706553820203</v>
      </c>
      <c r="Q16">
        <v>0.91625738098277498</v>
      </c>
      <c r="R16">
        <v>5.3565966582777597E-2</v>
      </c>
      <c r="S16">
        <v>4.2644597712875501E-2</v>
      </c>
      <c r="T16">
        <v>-0.82523891452798104</v>
      </c>
      <c r="U16">
        <v>0.82523891452798104</v>
      </c>
      <c r="V16">
        <v>-3.4</v>
      </c>
      <c r="W16">
        <v>1.28</v>
      </c>
      <c r="X16">
        <v>394541</v>
      </c>
      <c r="Y16">
        <v>21919</v>
      </c>
      <c r="Z16">
        <v>1.04</v>
      </c>
      <c r="AA16">
        <v>18</v>
      </c>
      <c r="AB16">
        <v>10</v>
      </c>
      <c r="AC16">
        <v>8</v>
      </c>
      <c r="AD16">
        <v>55.56</v>
      </c>
      <c r="AE16">
        <v>12</v>
      </c>
      <c r="AF16">
        <v>6</v>
      </c>
      <c r="AG16">
        <v>3</v>
      </c>
      <c r="AH16">
        <v>9</v>
      </c>
    </row>
    <row r="17" spans="1:34">
      <c r="A17" s="110">
        <v>158</v>
      </c>
      <c r="B17">
        <v>3105</v>
      </c>
      <c r="C17" s="114" t="s">
        <v>119</v>
      </c>
      <c r="D17" s="114" t="s">
        <v>115</v>
      </c>
      <c r="E17">
        <v>997</v>
      </c>
      <c r="F17">
        <v>1012</v>
      </c>
      <c r="G17">
        <v>1000</v>
      </c>
      <c r="H17" s="114" t="s">
        <v>88</v>
      </c>
      <c r="I17">
        <v>6471</v>
      </c>
      <c r="J17" s="114" t="s">
        <v>172</v>
      </c>
      <c r="K17" s="114" t="s">
        <v>128</v>
      </c>
      <c r="L17">
        <v>1049</v>
      </c>
      <c r="M17">
        <v>1062</v>
      </c>
      <c r="N17">
        <v>1000</v>
      </c>
      <c r="O17" s="114" t="s">
        <v>86</v>
      </c>
      <c r="P17">
        <v>0.93331035397781403</v>
      </c>
      <c r="Q17">
        <v>0.90834119657783197</v>
      </c>
      <c r="R17">
        <v>0.17803877222915501</v>
      </c>
      <c r="S17">
        <v>0.144402491174488</v>
      </c>
      <c r="T17">
        <v>1.47272640187604</v>
      </c>
      <c r="U17">
        <v>1.47272640187604</v>
      </c>
      <c r="V17">
        <v>4.3099999999999996</v>
      </c>
      <c r="W17">
        <v>4.71</v>
      </c>
      <c r="X17">
        <v>378866</v>
      </c>
      <c r="Y17">
        <v>25258</v>
      </c>
      <c r="Z17">
        <v>1.1299999999999999</v>
      </c>
      <c r="AA17">
        <v>15</v>
      </c>
      <c r="AB17">
        <v>8</v>
      </c>
      <c r="AC17">
        <v>7</v>
      </c>
      <c r="AD17">
        <v>53.33</v>
      </c>
      <c r="AE17">
        <v>13</v>
      </c>
      <c r="AF17">
        <v>6</v>
      </c>
      <c r="AG17">
        <v>1</v>
      </c>
      <c r="AH17">
        <v>8</v>
      </c>
    </row>
    <row r="18" spans="1:34">
      <c r="A18" s="110">
        <v>154</v>
      </c>
      <c r="B18">
        <v>8593</v>
      </c>
      <c r="C18" s="114" t="s">
        <v>374</v>
      </c>
      <c r="D18" s="114" t="s">
        <v>356</v>
      </c>
      <c r="E18">
        <v>690</v>
      </c>
      <c r="F18">
        <v>691</v>
      </c>
      <c r="G18">
        <v>1500</v>
      </c>
      <c r="H18" s="114" t="s">
        <v>86</v>
      </c>
      <c r="I18">
        <v>9934</v>
      </c>
      <c r="J18" s="114" t="s">
        <v>1075</v>
      </c>
      <c r="K18" s="114" t="s">
        <v>130</v>
      </c>
      <c r="L18">
        <v>2667</v>
      </c>
      <c r="M18">
        <v>2676</v>
      </c>
      <c r="N18">
        <v>400</v>
      </c>
      <c r="O18" s="114" t="s">
        <v>88</v>
      </c>
      <c r="P18">
        <v>0.90712927068845295</v>
      </c>
      <c r="Q18">
        <v>0.909176741717165</v>
      </c>
      <c r="R18" s="20">
        <v>0.32949677959932699</v>
      </c>
      <c r="S18">
        <v>8.9666281951514201E-3</v>
      </c>
      <c r="T18">
        <v>-0.40477769537580199</v>
      </c>
      <c r="U18">
        <v>0.40477769537580199</v>
      </c>
      <c r="V18">
        <v>-1.51</v>
      </c>
      <c r="W18">
        <v>3.17</v>
      </c>
      <c r="X18">
        <v>371048</v>
      </c>
      <c r="Y18">
        <v>23190</v>
      </c>
      <c r="Z18">
        <v>1.22</v>
      </c>
      <c r="AA18">
        <v>16</v>
      </c>
      <c r="AB18">
        <v>14</v>
      </c>
      <c r="AC18">
        <v>2</v>
      </c>
      <c r="AD18">
        <v>87.5</v>
      </c>
      <c r="AE18">
        <v>14</v>
      </c>
      <c r="AF18">
        <v>7</v>
      </c>
      <c r="AG18">
        <v>1</v>
      </c>
      <c r="AH18">
        <v>8</v>
      </c>
    </row>
    <row r="19" spans="1:34">
      <c r="A19" s="110">
        <v>77</v>
      </c>
      <c r="B19">
        <v>1820</v>
      </c>
      <c r="C19" s="114" t="s">
        <v>151</v>
      </c>
      <c r="D19" s="114" t="s">
        <v>105</v>
      </c>
      <c r="E19">
        <v>2397</v>
      </c>
      <c r="F19">
        <v>2440</v>
      </c>
      <c r="G19">
        <v>400</v>
      </c>
      <c r="H19" s="114" t="s">
        <v>88</v>
      </c>
      <c r="I19">
        <v>7278</v>
      </c>
      <c r="J19" s="114" t="s">
        <v>111</v>
      </c>
      <c r="K19" s="114" t="s">
        <v>112</v>
      </c>
      <c r="L19">
        <v>2469</v>
      </c>
      <c r="M19">
        <v>2458</v>
      </c>
      <c r="N19">
        <v>400</v>
      </c>
      <c r="O19" s="114" t="s">
        <v>86</v>
      </c>
      <c r="P19">
        <v>0.93808637923641003</v>
      </c>
      <c r="Q19">
        <v>0.92490123868327101</v>
      </c>
      <c r="R19">
        <v>0.13055492144841799</v>
      </c>
      <c r="S19">
        <v>5.3908244123261798E-2</v>
      </c>
      <c r="T19">
        <v>1.4691808889829501</v>
      </c>
      <c r="U19">
        <v>1.4691808889829501</v>
      </c>
      <c r="V19">
        <v>3.93</v>
      </c>
      <c r="W19">
        <v>0.73</v>
      </c>
      <c r="X19">
        <v>350930</v>
      </c>
      <c r="Y19">
        <v>25066</v>
      </c>
      <c r="Z19">
        <v>1.22</v>
      </c>
      <c r="AA19">
        <v>14</v>
      </c>
      <c r="AB19">
        <v>9</v>
      </c>
      <c r="AC19">
        <v>5</v>
      </c>
      <c r="AD19">
        <v>64.290000000000006</v>
      </c>
      <c r="AE19">
        <v>12</v>
      </c>
      <c r="AF19">
        <v>8</v>
      </c>
      <c r="AG19">
        <v>2</v>
      </c>
      <c r="AH19">
        <v>4</v>
      </c>
    </row>
    <row r="20" spans="1:34">
      <c r="A20" s="110">
        <v>0</v>
      </c>
      <c r="B20">
        <v>1928</v>
      </c>
      <c r="C20" s="114" t="s">
        <v>363</v>
      </c>
      <c r="D20" s="114" t="s">
        <v>105</v>
      </c>
      <c r="E20">
        <v>2364.5</v>
      </c>
      <c r="F20">
        <v>2346</v>
      </c>
      <c r="G20">
        <v>400</v>
      </c>
      <c r="H20" s="114" t="s">
        <v>86</v>
      </c>
      <c r="I20">
        <v>3635</v>
      </c>
      <c r="J20" s="114" t="s">
        <v>113</v>
      </c>
      <c r="K20" s="114" t="s">
        <v>107</v>
      </c>
      <c r="L20">
        <v>2648</v>
      </c>
      <c r="M20">
        <v>2637</v>
      </c>
      <c r="N20">
        <v>400</v>
      </c>
      <c r="O20" s="114" t="s">
        <v>88</v>
      </c>
      <c r="P20">
        <v>0.92018306524445204</v>
      </c>
      <c r="Q20">
        <v>0.973156368830562</v>
      </c>
      <c r="R20">
        <v>0.29528834900553802</v>
      </c>
      <c r="S20">
        <v>5.7292536558675299E-4</v>
      </c>
      <c r="T20">
        <v>-0.72392086344712203</v>
      </c>
      <c r="U20">
        <v>0.72392086344712203</v>
      </c>
      <c r="V20">
        <v>-2.63</v>
      </c>
      <c r="W20">
        <v>11.04</v>
      </c>
      <c r="X20">
        <v>349500</v>
      </c>
      <c r="Y20">
        <v>29125</v>
      </c>
      <c r="Z20">
        <v>1.45</v>
      </c>
      <c r="AA20">
        <v>12</v>
      </c>
      <c r="AB20">
        <v>10</v>
      </c>
      <c r="AC20">
        <v>2</v>
      </c>
      <c r="AD20">
        <v>83.33</v>
      </c>
      <c r="AE20">
        <v>13</v>
      </c>
      <c r="AF20">
        <v>6</v>
      </c>
      <c r="AG20">
        <v>1</v>
      </c>
      <c r="AH20">
        <v>5</v>
      </c>
    </row>
    <row r="21" spans="1:34">
      <c r="A21" s="110">
        <v>73</v>
      </c>
      <c r="B21">
        <v>1963</v>
      </c>
      <c r="C21" s="114" t="s">
        <v>162</v>
      </c>
      <c r="D21" s="114" t="s">
        <v>105</v>
      </c>
      <c r="E21">
        <v>1600</v>
      </c>
      <c r="F21">
        <v>1636</v>
      </c>
      <c r="G21">
        <v>600</v>
      </c>
      <c r="H21" s="114" t="s">
        <v>86</v>
      </c>
      <c r="I21">
        <v>7272</v>
      </c>
      <c r="J21" s="114" t="s">
        <v>358</v>
      </c>
      <c r="K21" s="114" t="s">
        <v>112</v>
      </c>
      <c r="L21">
        <v>2267</v>
      </c>
      <c r="M21">
        <v>2272</v>
      </c>
      <c r="N21">
        <v>400</v>
      </c>
      <c r="O21" s="114" t="s">
        <v>88</v>
      </c>
      <c r="P21">
        <v>0.95146811443124402</v>
      </c>
      <c r="Q21">
        <v>0.92589392425859696</v>
      </c>
      <c r="R21">
        <v>6.8195474434453202E-2</v>
      </c>
      <c r="S21" s="20">
        <v>3.2970523721787398E-5</v>
      </c>
      <c r="T21">
        <v>-0.16848481850370001</v>
      </c>
      <c r="U21">
        <v>0.16848481850370001</v>
      </c>
      <c r="V21">
        <v>-0.41</v>
      </c>
      <c r="W21">
        <v>8.01</v>
      </c>
      <c r="X21">
        <v>347406</v>
      </c>
      <c r="Y21">
        <v>16543</v>
      </c>
      <c r="Z21">
        <v>0.82</v>
      </c>
      <c r="AA21">
        <v>21</v>
      </c>
      <c r="AB21">
        <v>14</v>
      </c>
      <c r="AC21">
        <v>7</v>
      </c>
      <c r="AD21">
        <v>66.67</v>
      </c>
      <c r="AE21">
        <v>10</v>
      </c>
      <c r="AF21">
        <v>12</v>
      </c>
      <c r="AG21">
        <v>5</v>
      </c>
      <c r="AH21">
        <v>4</v>
      </c>
    </row>
    <row r="22" spans="1:34">
      <c r="A22" s="110">
        <v>49</v>
      </c>
      <c r="B22">
        <v>4182</v>
      </c>
      <c r="C22" s="114" t="s">
        <v>116</v>
      </c>
      <c r="D22" s="114" t="s">
        <v>87</v>
      </c>
      <c r="E22">
        <v>1684</v>
      </c>
      <c r="F22">
        <v>1694</v>
      </c>
      <c r="G22">
        <v>600</v>
      </c>
      <c r="H22" s="114" t="s">
        <v>88</v>
      </c>
      <c r="I22">
        <v>7278</v>
      </c>
      <c r="J22" s="114" t="s">
        <v>111</v>
      </c>
      <c r="K22" s="114" t="s">
        <v>112</v>
      </c>
      <c r="L22">
        <v>2469</v>
      </c>
      <c r="M22">
        <v>2458</v>
      </c>
      <c r="N22">
        <v>400</v>
      </c>
      <c r="O22" s="114" t="s">
        <v>86</v>
      </c>
      <c r="P22">
        <v>0.93149384661438295</v>
      </c>
      <c r="Q22">
        <v>0.93425631529688002</v>
      </c>
      <c r="R22" s="20">
        <v>4.71683877789228E-2</v>
      </c>
      <c r="S22">
        <v>7.8183204916905405E-2</v>
      </c>
      <c r="T22">
        <v>1.0871000309688801</v>
      </c>
      <c r="U22">
        <v>1.0871000309688801</v>
      </c>
      <c r="V22">
        <v>3.6</v>
      </c>
      <c r="W22">
        <v>3.38</v>
      </c>
      <c r="X22">
        <v>344277</v>
      </c>
      <c r="Y22">
        <v>26483</v>
      </c>
      <c r="Z22">
        <v>1.33</v>
      </c>
      <c r="AA22">
        <v>13</v>
      </c>
      <c r="AB22">
        <v>8</v>
      </c>
      <c r="AC22">
        <v>5</v>
      </c>
      <c r="AD22">
        <v>61.54</v>
      </c>
      <c r="AE22">
        <v>10</v>
      </c>
      <c r="AF22">
        <v>7</v>
      </c>
      <c r="AG22">
        <v>3</v>
      </c>
      <c r="AH22">
        <v>3</v>
      </c>
    </row>
    <row r="23" spans="1:34">
      <c r="A23" s="110">
        <v>146</v>
      </c>
      <c r="B23">
        <v>5110</v>
      </c>
      <c r="C23" s="114" t="s">
        <v>160</v>
      </c>
      <c r="D23" s="114" t="s">
        <v>161</v>
      </c>
      <c r="E23">
        <v>1395</v>
      </c>
      <c r="F23">
        <v>1394</v>
      </c>
      <c r="G23">
        <v>700</v>
      </c>
      <c r="H23" s="114" t="s">
        <v>86</v>
      </c>
      <c r="I23">
        <v>6923</v>
      </c>
      <c r="J23" s="114" t="s">
        <v>141</v>
      </c>
      <c r="K23" s="114" t="s">
        <v>115</v>
      </c>
      <c r="L23">
        <v>3060</v>
      </c>
      <c r="M23">
        <v>3085</v>
      </c>
      <c r="N23">
        <v>300</v>
      </c>
      <c r="O23" s="114" t="s">
        <v>88</v>
      </c>
      <c r="P23">
        <v>0.93869980883943505</v>
      </c>
      <c r="Q23">
        <v>0.91023413352253102</v>
      </c>
      <c r="R23" s="20">
        <v>0.14249816767961601</v>
      </c>
      <c r="S23">
        <v>8.9699290020570102E-2</v>
      </c>
      <c r="T23">
        <v>-0.77209238525674295</v>
      </c>
      <c r="U23">
        <v>0.77209238525674295</v>
      </c>
      <c r="V23">
        <v>-1.42</v>
      </c>
      <c r="W23">
        <v>5.43</v>
      </c>
      <c r="X23">
        <v>336458</v>
      </c>
      <c r="Y23">
        <v>16823</v>
      </c>
      <c r="Z23">
        <v>1.01</v>
      </c>
      <c r="AA23">
        <v>20</v>
      </c>
      <c r="AB23">
        <v>12</v>
      </c>
      <c r="AC23">
        <v>8</v>
      </c>
      <c r="AD23">
        <v>60</v>
      </c>
      <c r="AE23">
        <v>14</v>
      </c>
      <c r="AF23">
        <v>8</v>
      </c>
      <c r="AG23">
        <v>0</v>
      </c>
      <c r="AH23">
        <v>12</v>
      </c>
    </row>
    <row r="24" spans="1:34">
      <c r="A24" s="110">
        <v>196</v>
      </c>
      <c r="B24">
        <v>3105</v>
      </c>
      <c r="C24" s="114" t="s">
        <v>119</v>
      </c>
      <c r="D24" s="114" t="s">
        <v>115</v>
      </c>
      <c r="E24">
        <v>997</v>
      </c>
      <c r="F24">
        <v>1012</v>
      </c>
      <c r="G24">
        <v>1000</v>
      </c>
      <c r="H24" s="114" t="s">
        <v>88</v>
      </c>
      <c r="I24">
        <v>3116</v>
      </c>
      <c r="J24" s="114" t="s">
        <v>157</v>
      </c>
      <c r="K24" s="114" t="s">
        <v>112</v>
      </c>
      <c r="L24">
        <v>1714</v>
      </c>
      <c r="M24">
        <v>1709</v>
      </c>
      <c r="N24">
        <v>600</v>
      </c>
      <c r="O24" s="114" t="s">
        <v>86</v>
      </c>
      <c r="P24">
        <v>0.96559134661726198</v>
      </c>
      <c r="Q24">
        <v>0.90072309008593499</v>
      </c>
      <c r="R24" s="20">
        <v>2.7626188167762699E-2</v>
      </c>
      <c r="S24">
        <v>7.3994203544526502E-2</v>
      </c>
      <c r="T24">
        <v>2.3129228466796099</v>
      </c>
      <c r="U24">
        <v>2.3129228466796099</v>
      </c>
      <c r="V24">
        <v>4.32</v>
      </c>
      <c r="W24">
        <v>1.31</v>
      </c>
      <c r="X24">
        <v>331195</v>
      </c>
      <c r="Y24">
        <v>18400</v>
      </c>
      <c r="Z24">
        <v>0.89</v>
      </c>
      <c r="AA24">
        <v>18</v>
      </c>
      <c r="AB24">
        <v>12</v>
      </c>
      <c r="AC24">
        <v>6</v>
      </c>
      <c r="AD24">
        <v>66.67</v>
      </c>
      <c r="AE24">
        <v>12</v>
      </c>
      <c r="AF24">
        <v>6</v>
      </c>
      <c r="AG24">
        <v>3</v>
      </c>
      <c r="AH24">
        <v>9</v>
      </c>
    </row>
    <row r="25" spans="1:34">
      <c r="A25" s="110">
        <v>97</v>
      </c>
      <c r="B25">
        <v>1963</v>
      </c>
      <c r="C25" s="114" t="s">
        <v>162</v>
      </c>
      <c r="D25" s="114" t="s">
        <v>105</v>
      </c>
      <c r="E25">
        <v>1600</v>
      </c>
      <c r="F25">
        <v>1636</v>
      </c>
      <c r="G25">
        <v>600</v>
      </c>
      <c r="H25" s="114" t="s">
        <v>86</v>
      </c>
      <c r="I25">
        <v>5802</v>
      </c>
      <c r="J25" s="114" t="s">
        <v>163</v>
      </c>
      <c r="K25" s="114" t="s">
        <v>164</v>
      </c>
      <c r="L25">
        <v>1650</v>
      </c>
      <c r="M25">
        <v>1664</v>
      </c>
      <c r="N25">
        <v>600</v>
      </c>
      <c r="O25" s="114" t="s">
        <v>88</v>
      </c>
      <c r="P25">
        <v>0.91296601738912997</v>
      </c>
      <c r="Q25">
        <v>0.92009536422704796</v>
      </c>
      <c r="R25">
        <v>0.18446628001597101</v>
      </c>
      <c r="S25" s="20">
        <v>1.01651236778937E-4</v>
      </c>
      <c r="T25">
        <v>-1.55560886630754</v>
      </c>
      <c r="U25">
        <v>1.55560886630754</v>
      </c>
      <c r="V25">
        <v>-5.01</v>
      </c>
      <c r="W25">
        <v>1.68</v>
      </c>
      <c r="X25">
        <v>331151</v>
      </c>
      <c r="Y25">
        <v>13246</v>
      </c>
      <c r="Z25">
        <v>0.66</v>
      </c>
      <c r="AA25">
        <v>25</v>
      </c>
      <c r="AB25">
        <v>15</v>
      </c>
      <c r="AC25">
        <v>10</v>
      </c>
      <c r="AD25">
        <v>60</v>
      </c>
      <c r="AE25">
        <v>13</v>
      </c>
      <c r="AF25">
        <v>12</v>
      </c>
      <c r="AG25">
        <v>6</v>
      </c>
      <c r="AH25">
        <v>7</v>
      </c>
    </row>
    <row r="26" spans="1:34">
      <c r="A26" s="110">
        <v>142</v>
      </c>
      <c r="B26">
        <v>6371</v>
      </c>
      <c r="C26" s="114" t="s">
        <v>137</v>
      </c>
      <c r="D26" s="114" t="s">
        <v>128</v>
      </c>
      <c r="E26">
        <v>3765</v>
      </c>
      <c r="F26">
        <v>3790</v>
      </c>
      <c r="G26">
        <v>200</v>
      </c>
      <c r="H26" s="114" t="s">
        <v>86</v>
      </c>
      <c r="I26">
        <v>7259</v>
      </c>
      <c r="J26" s="114" t="s">
        <v>54</v>
      </c>
      <c r="K26" s="114" t="s">
        <v>112</v>
      </c>
      <c r="L26">
        <v>4210</v>
      </c>
      <c r="M26">
        <v>4235</v>
      </c>
      <c r="N26">
        <v>200</v>
      </c>
      <c r="O26" s="114" t="s">
        <v>88</v>
      </c>
      <c r="P26">
        <v>0.95937842745894397</v>
      </c>
      <c r="Q26">
        <v>0.91054210281482495</v>
      </c>
      <c r="R26">
        <v>5.6316054458001301E-2</v>
      </c>
      <c r="S26">
        <v>7.8620344697551605E-3</v>
      </c>
      <c r="T26">
        <v>-1.3866309836403701</v>
      </c>
      <c r="U26">
        <v>1.3866309836403701</v>
      </c>
      <c r="V26">
        <v>-8.5500000000000007</v>
      </c>
      <c r="W26">
        <v>10.51</v>
      </c>
      <c r="X26">
        <v>326064</v>
      </c>
      <c r="Y26">
        <v>36229</v>
      </c>
      <c r="Z26">
        <v>2.0699999999999998</v>
      </c>
      <c r="AA26">
        <v>9</v>
      </c>
      <c r="AB26">
        <v>7</v>
      </c>
      <c r="AC26">
        <v>2</v>
      </c>
      <c r="AD26">
        <v>77.78</v>
      </c>
      <c r="AE26">
        <v>11</v>
      </c>
      <c r="AF26">
        <v>6</v>
      </c>
      <c r="AG26">
        <v>0</v>
      </c>
      <c r="AH26">
        <v>3</v>
      </c>
    </row>
    <row r="27" spans="1:34">
      <c r="A27" s="110">
        <v>190</v>
      </c>
      <c r="B27">
        <v>5802</v>
      </c>
      <c r="C27" s="114" t="s">
        <v>163</v>
      </c>
      <c r="D27" s="114" t="s">
        <v>164</v>
      </c>
      <c r="E27">
        <v>1650</v>
      </c>
      <c r="F27">
        <v>1664</v>
      </c>
      <c r="G27">
        <v>600</v>
      </c>
      <c r="H27" s="114" t="s">
        <v>88</v>
      </c>
      <c r="I27">
        <v>5991</v>
      </c>
      <c r="J27" s="114" t="s">
        <v>144</v>
      </c>
      <c r="K27" s="114" t="s">
        <v>145</v>
      </c>
      <c r="L27">
        <v>964</v>
      </c>
      <c r="M27">
        <v>978</v>
      </c>
      <c r="N27">
        <v>1000</v>
      </c>
      <c r="O27" s="114" t="s">
        <v>86</v>
      </c>
      <c r="P27">
        <v>0.97636999320737905</v>
      </c>
      <c r="Q27">
        <v>0.90211898392623302</v>
      </c>
      <c r="R27" s="20">
        <v>4.9194860043336897E-2</v>
      </c>
      <c r="S27" s="20">
        <v>1.5595178694656601E-2</v>
      </c>
      <c r="T27">
        <v>1.6120853804677899</v>
      </c>
      <c r="U27">
        <v>1.6120853804677899</v>
      </c>
      <c r="V27">
        <v>2.5099999999999998</v>
      </c>
      <c r="W27">
        <v>2.04</v>
      </c>
      <c r="X27">
        <v>321933</v>
      </c>
      <c r="Y27">
        <v>22995</v>
      </c>
      <c r="Z27">
        <v>1.1299999999999999</v>
      </c>
      <c r="AA27">
        <v>14</v>
      </c>
      <c r="AB27">
        <v>9</v>
      </c>
      <c r="AC27">
        <v>5</v>
      </c>
      <c r="AD27">
        <v>64.290000000000006</v>
      </c>
      <c r="AE27">
        <v>15</v>
      </c>
      <c r="AF27">
        <v>6</v>
      </c>
      <c r="AG27">
        <v>0</v>
      </c>
      <c r="AH27">
        <v>8</v>
      </c>
    </row>
    <row r="28" spans="1:34">
      <c r="A28" s="110">
        <v>133</v>
      </c>
      <c r="B28">
        <v>3635</v>
      </c>
      <c r="C28" s="114" t="s">
        <v>113</v>
      </c>
      <c r="D28" s="114" t="s">
        <v>107</v>
      </c>
      <c r="E28">
        <v>2648</v>
      </c>
      <c r="F28">
        <v>2637</v>
      </c>
      <c r="G28">
        <v>400</v>
      </c>
      <c r="H28" s="114" t="s">
        <v>88</v>
      </c>
      <c r="I28">
        <v>6925</v>
      </c>
      <c r="J28" s="114" t="s">
        <v>376</v>
      </c>
      <c r="K28" s="114" t="s">
        <v>115</v>
      </c>
      <c r="L28">
        <v>1626</v>
      </c>
      <c r="M28">
        <v>1644</v>
      </c>
      <c r="N28">
        <v>600</v>
      </c>
      <c r="O28" s="114" t="s">
        <v>86</v>
      </c>
      <c r="P28">
        <v>0.90175582275730504</v>
      </c>
      <c r="Q28">
        <v>0.91193592234161003</v>
      </c>
      <c r="R28">
        <v>1.5988077619357399E-2</v>
      </c>
      <c r="S28">
        <v>1.33169841313569E-2</v>
      </c>
      <c r="T28">
        <v>1.31174448821034</v>
      </c>
      <c r="U28">
        <v>1.31174448821034</v>
      </c>
      <c r="V28">
        <v>3.62</v>
      </c>
      <c r="W28">
        <v>6.48</v>
      </c>
      <c r="X28">
        <v>311842</v>
      </c>
      <c r="Y28">
        <v>16413</v>
      </c>
      <c r="Z28">
        <v>0.79</v>
      </c>
      <c r="AA28">
        <v>19</v>
      </c>
      <c r="AB28">
        <v>11</v>
      </c>
      <c r="AC28">
        <v>8</v>
      </c>
      <c r="AD28">
        <v>57.89</v>
      </c>
      <c r="AE28">
        <v>11</v>
      </c>
      <c r="AF28">
        <v>10</v>
      </c>
      <c r="AG28">
        <v>4</v>
      </c>
      <c r="AH28">
        <v>5</v>
      </c>
    </row>
    <row r="29" spans="1:34">
      <c r="A29" s="110">
        <v>112</v>
      </c>
      <c r="B29">
        <v>5802</v>
      </c>
      <c r="C29" s="114" t="s">
        <v>163</v>
      </c>
      <c r="D29" s="114" t="s">
        <v>164</v>
      </c>
      <c r="E29">
        <v>1650</v>
      </c>
      <c r="F29">
        <v>1664</v>
      </c>
      <c r="G29">
        <v>600</v>
      </c>
      <c r="H29" s="114" t="s">
        <v>88</v>
      </c>
      <c r="I29">
        <v>6995</v>
      </c>
      <c r="J29" s="114" t="s">
        <v>120</v>
      </c>
      <c r="K29" s="114" t="s">
        <v>112</v>
      </c>
      <c r="L29">
        <v>2127</v>
      </c>
      <c r="M29">
        <v>2125</v>
      </c>
      <c r="N29">
        <v>500</v>
      </c>
      <c r="O29" s="114" t="s">
        <v>86</v>
      </c>
      <c r="P29">
        <v>0.96589047586550403</v>
      </c>
      <c r="Q29">
        <v>0.91694908621860005</v>
      </c>
      <c r="R29">
        <v>3.6879043349494099E-3</v>
      </c>
      <c r="S29">
        <v>0.162788356860435</v>
      </c>
      <c r="T29">
        <v>3.1752966527004598</v>
      </c>
      <c r="U29">
        <v>3.1752966527004598</v>
      </c>
      <c r="V29">
        <v>4.9400000000000004</v>
      </c>
      <c r="W29">
        <v>6.03</v>
      </c>
      <c r="X29">
        <v>306631</v>
      </c>
      <c r="Y29">
        <v>18037</v>
      </c>
      <c r="Z29">
        <v>0.89</v>
      </c>
      <c r="AA29">
        <v>17</v>
      </c>
      <c r="AB29">
        <v>11</v>
      </c>
      <c r="AC29">
        <v>6</v>
      </c>
      <c r="AD29">
        <v>64.709999999999994</v>
      </c>
      <c r="AE29">
        <v>15</v>
      </c>
      <c r="AF29">
        <v>6</v>
      </c>
      <c r="AG29">
        <v>0</v>
      </c>
      <c r="AH29">
        <v>11</v>
      </c>
    </row>
    <row r="30" spans="1:34">
      <c r="A30" s="110">
        <v>96</v>
      </c>
      <c r="B30">
        <v>4208</v>
      </c>
      <c r="C30" s="114" t="s">
        <v>127</v>
      </c>
      <c r="D30" s="114" t="s">
        <v>87</v>
      </c>
      <c r="E30">
        <v>2356</v>
      </c>
      <c r="F30">
        <v>2356</v>
      </c>
      <c r="G30">
        <v>400</v>
      </c>
      <c r="H30" s="114" t="s">
        <v>88</v>
      </c>
      <c r="I30">
        <v>6301</v>
      </c>
      <c r="J30" s="114" t="s">
        <v>138</v>
      </c>
      <c r="K30" s="114" t="s">
        <v>128</v>
      </c>
      <c r="L30">
        <v>2565.5</v>
      </c>
      <c r="M30">
        <v>2592</v>
      </c>
      <c r="N30">
        <v>400</v>
      </c>
      <c r="O30" s="114" t="s">
        <v>86</v>
      </c>
      <c r="P30">
        <v>0.92468498358617601</v>
      </c>
      <c r="Q30">
        <v>0.92029468876183096</v>
      </c>
      <c r="R30">
        <v>1.5795533568870601E-3</v>
      </c>
      <c r="S30" s="20">
        <v>4.63109862079439E-3</v>
      </c>
      <c r="T30">
        <v>0.78975708358564201</v>
      </c>
      <c r="U30">
        <v>0.78975708358564201</v>
      </c>
      <c r="V30">
        <v>1.17</v>
      </c>
      <c r="W30">
        <v>9.1</v>
      </c>
      <c r="X30">
        <v>306571</v>
      </c>
      <c r="Y30">
        <v>30657</v>
      </c>
      <c r="Z30">
        <v>1.56</v>
      </c>
      <c r="AA30">
        <v>10</v>
      </c>
      <c r="AB30">
        <v>7</v>
      </c>
      <c r="AC30">
        <v>3</v>
      </c>
      <c r="AD30">
        <v>70</v>
      </c>
      <c r="AE30">
        <v>12</v>
      </c>
      <c r="AF30">
        <v>6</v>
      </c>
      <c r="AG30">
        <v>0</v>
      </c>
      <c r="AH30">
        <v>4</v>
      </c>
    </row>
    <row r="31" spans="1:34">
      <c r="A31" s="110">
        <v>177</v>
      </c>
      <c r="B31">
        <v>4208</v>
      </c>
      <c r="C31" s="114" t="s">
        <v>127</v>
      </c>
      <c r="D31" s="114" t="s">
        <v>87</v>
      </c>
      <c r="E31">
        <v>2356</v>
      </c>
      <c r="F31">
        <v>2356</v>
      </c>
      <c r="G31">
        <v>400</v>
      </c>
      <c r="H31" s="114" t="s">
        <v>86</v>
      </c>
      <c r="I31">
        <v>7762</v>
      </c>
      <c r="J31" s="114" t="s">
        <v>136</v>
      </c>
      <c r="K31" s="114" t="s">
        <v>122</v>
      </c>
      <c r="L31">
        <v>596</v>
      </c>
      <c r="M31">
        <v>596</v>
      </c>
      <c r="N31">
        <v>1600</v>
      </c>
      <c r="O31" s="114" t="s">
        <v>88</v>
      </c>
      <c r="P31">
        <v>0.93657215683289397</v>
      </c>
      <c r="Q31">
        <v>0.90443946092508498</v>
      </c>
      <c r="R31">
        <v>5.79020937572148E-2</v>
      </c>
      <c r="S31">
        <v>1.9893382545143001E-2</v>
      </c>
      <c r="T31">
        <v>-0.87879086285135499</v>
      </c>
      <c r="U31">
        <v>0.87879086285135499</v>
      </c>
      <c r="V31">
        <v>-2.2200000000000002</v>
      </c>
      <c r="W31">
        <v>1.19</v>
      </c>
      <c r="X31">
        <v>304323</v>
      </c>
      <c r="Y31">
        <v>23409</v>
      </c>
      <c r="Z31">
        <v>1.2</v>
      </c>
      <c r="AA31">
        <v>13</v>
      </c>
      <c r="AB31">
        <v>9</v>
      </c>
      <c r="AC31">
        <v>4</v>
      </c>
      <c r="AD31">
        <v>69.23</v>
      </c>
      <c r="AE31">
        <v>13</v>
      </c>
      <c r="AF31">
        <v>5</v>
      </c>
      <c r="AG31">
        <v>1</v>
      </c>
      <c r="AH31">
        <v>7</v>
      </c>
    </row>
    <row r="32" spans="1:34">
      <c r="A32" s="110">
        <v>33</v>
      </c>
      <c r="B32">
        <v>4182</v>
      </c>
      <c r="C32" s="114" t="s">
        <v>116</v>
      </c>
      <c r="D32" s="114" t="s">
        <v>87</v>
      </c>
      <c r="E32">
        <v>1684</v>
      </c>
      <c r="F32">
        <v>1694</v>
      </c>
      <c r="G32">
        <v>500</v>
      </c>
      <c r="H32" s="114" t="s">
        <v>88</v>
      </c>
      <c r="I32">
        <v>7272</v>
      </c>
      <c r="J32" s="114" t="s">
        <v>358</v>
      </c>
      <c r="K32" s="114" t="s">
        <v>112</v>
      </c>
      <c r="L32">
        <v>2267</v>
      </c>
      <c r="M32">
        <v>2272</v>
      </c>
      <c r="N32">
        <v>400</v>
      </c>
      <c r="O32" s="114" t="s">
        <v>86</v>
      </c>
      <c r="P32">
        <v>0.94094081537116403</v>
      </c>
      <c r="Q32">
        <v>0.94121251774294301</v>
      </c>
      <c r="R32">
        <v>5.6486646893077596E-3</v>
      </c>
      <c r="S32" s="20">
        <v>4.4893067768577597E-3</v>
      </c>
      <c r="T32">
        <v>0.87226904551352602</v>
      </c>
      <c r="U32">
        <v>0.87226904551352602</v>
      </c>
      <c r="V32">
        <v>2.44</v>
      </c>
      <c r="W32">
        <v>6.8</v>
      </c>
      <c r="X32">
        <v>303536</v>
      </c>
      <c r="Y32">
        <v>23349</v>
      </c>
      <c r="Z32">
        <v>1.1599999999999999</v>
      </c>
      <c r="AA32">
        <v>13</v>
      </c>
      <c r="AB32">
        <v>9</v>
      </c>
      <c r="AC32">
        <v>4</v>
      </c>
      <c r="AD32">
        <v>69.23</v>
      </c>
      <c r="AE32">
        <v>12</v>
      </c>
      <c r="AF32">
        <v>6</v>
      </c>
      <c r="AG32">
        <v>1</v>
      </c>
      <c r="AH32">
        <v>6</v>
      </c>
    </row>
    <row r="33" spans="1:34">
      <c r="A33" s="110">
        <v>39</v>
      </c>
      <c r="B33">
        <v>6457</v>
      </c>
      <c r="C33" s="114" t="s">
        <v>377</v>
      </c>
      <c r="D33" s="114" t="s">
        <v>128</v>
      </c>
      <c r="E33">
        <v>3275</v>
      </c>
      <c r="F33">
        <v>3305</v>
      </c>
      <c r="G33">
        <v>300</v>
      </c>
      <c r="H33" s="114" t="s">
        <v>86</v>
      </c>
      <c r="I33">
        <v>8593</v>
      </c>
      <c r="J33" s="114" t="s">
        <v>374</v>
      </c>
      <c r="K33" s="114" t="s">
        <v>356</v>
      </c>
      <c r="L33">
        <v>690</v>
      </c>
      <c r="M33">
        <v>691</v>
      </c>
      <c r="N33">
        <v>1400</v>
      </c>
      <c r="O33" s="114" t="s">
        <v>88</v>
      </c>
      <c r="P33">
        <v>0.93903705059128095</v>
      </c>
      <c r="Q33">
        <v>0.93962256439863201</v>
      </c>
      <c r="R33">
        <v>2.52624086470363E-2</v>
      </c>
      <c r="S33" s="20">
        <v>3.8363703944853601E-3</v>
      </c>
      <c r="T33">
        <v>-0.36483226735934898</v>
      </c>
      <c r="U33">
        <v>0.36483226735934898</v>
      </c>
      <c r="V33">
        <v>-0.82</v>
      </c>
      <c r="W33">
        <v>2.4300000000000002</v>
      </c>
      <c r="X33">
        <v>302420</v>
      </c>
      <c r="Y33">
        <v>15917</v>
      </c>
      <c r="Z33">
        <v>0.96</v>
      </c>
      <c r="AA33">
        <v>19</v>
      </c>
      <c r="AB33">
        <v>12</v>
      </c>
      <c r="AC33">
        <v>7</v>
      </c>
      <c r="AD33">
        <v>63.16</v>
      </c>
      <c r="AE33">
        <v>12</v>
      </c>
      <c r="AF33">
        <v>9</v>
      </c>
      <c r="AG33">
        <v>3</v>
      </c>
      <c r="AH33">
        <v>7</v>
      </c>
    </row>
    <row r="34" spans="1:34">
      <c r="A34" s="110">
        <v>151</v>
      </c>
      <c r="B34">
        <v>4182</v>
      </c>
      <c r="C34" s="114" t="s">
        <v>116</v>
      </c>
      <c r="D34" s="114" t="s">
        <v>87</v>
      </c>
      <c r="E34">
        <v>1684</v>
      </c>
      <c r="F34">
        <v>1694</v>
      </c>
      <c r="G34">
        <v>600</v>
      </c>
      <c r="H34" s="114" t="s">
        <v>88</v>
      </c>
      <c r="I34">
        <v>4208</v>
      </c>
      <c r="J34" s="114" t="s">
        <v>127</v>
      </c>
      <c r="K34" s="114" t="s">
        <v>87</v>
      </c>
      <c r="L34">
        <v>2356</v>
      </c>
      <c r="M34">
        <v>2356</v>
      </c>
      <c r="N34">
        <v>400</v>
      </c>
      <c r="O34" s="114" t="s">
        <v>86</v>
      </c>
      <c r="P34">
        <v>0.93483943629989796</v>
      </c>
      <c r="Q34">
        <v>0.90942454513194904</v>
      </c>
      <c r="R34">
        <v>2.0949913350263302E-2</v>
      </c>
      <c r="S34">
        <v>0.174296116607358</v>
      </c>
      <c r="T34">
        <v>1.6831553796194301</v>
      </c>
      <c r="U34">
        <v>1.6831553796194301</v>
      </c>
      <c r="V34">
        <v>8.08</v>
      </c>
      <c r="W34">
        <v>7.85</v>
      </c>
      <c r="X34">
        <v>299666</v>
      </c>
      <c r="Y34">
        <v>15772</v>
      </c>
      <c r="Z34">
        <v>0.82</v>
      </c>
      <c r="AA34">
        <v>19</v>
      </c>
      <c r="AB34">
        <v>13</v>
      </c>
      <c r="AC34">
        <v>6</v>
      </c>
      <c r="AD34">
        <v>68.42</v>
      </c>
      <c r="AE34">
        <v>13</v>
      </c>
      <c r="AF34">
        <v>8</v>
      </c>
      <c r="AG34">
        <v>2</v>
      </c>
      <c r="AH34">
        <v>9</v>
      </c>
    </row>
    <row r="35" spans="1:34">
      <c r="A35" s="110">
        <v>6</v>
      </c>
      <c r="B35">
        <v>5991</v>
      </c>
      <c r="C35" s="114" t="s">
        <v>144</v>
      </c>
      <c r="D35" s="114" t="s">
        <v>145</v>
      </c>
      <c r="E35">
        <v>964</v>
      </c>
      <c r="F35">
        <v>978</v>
      </c>
      <c r="G35">
        <v>800</v>
      </c>
      <c r="H35" s="114" t="s">
        <v>88</v>
      </c>
      <c r="I35">
        <v>6371</v>
      </c>
      <c r="J35" s="114" t="s">
        <v>137</v>
      </c>
      <c r="K35" s="114" t="s">
        <v>128</v>
      </c>
      <c r="L35">
        <v>3765</v>
      </c>
      <c r="M35">
        <v>3790</v>
      </c>
      <c r="N35">
        <v>200</v>
      </c>
      <c r="O35" s="114" t="s">
        <v>86</v>
      </c>
      <c r="P35">
        <v>0.959021118064731</v>
      </c>
      <c r="Q35">
        <v>0.95610980514038302</v>
      </c>
      <c r="R35" s="20">
        <v>0.23486913914687599</v>
      </c>
      <c r="S35">
        <v>1.52584405007264E-3</v>
      </c>
      <c r="T35">
        <v>1.9114740591497299</v>
      </c>
      <c r="U35">
        <v>1.9114740591497299</v>
      </c>
      <c r="V35">
        <v>6.55</v>
      </c>
      <c r="W35">
        <v>3.22</v>
      </c>
      <c r="X35">
        <v>286657</v>
      </c>
      <c r="Y35">
        <v>16862</v>
      </c>
      <c r="Z35">
        <v>0.8</v>
      </c>
      <c r="AA35">
        <v>17</v>
      </c>
      <c r="AB35">
        <v>10</v>
      </c>
      <c r="AC35">
        <v>7</v>
      </c>
      <c r="AD35">
        <v>58.82</v>
      </c>
      <c r="AE35">
        <v>13</v>
      </c>
      <c r="AF35">
        <v>7</v>
      </c>
      <c r="AG35">
        <v>1</v>
      </c>
      <c r="AH35">
        <v>9</v>
      </c>
    </row>
    <row r="36" spans="1:34">
      <c r="A36" s="110">
        <v>87</v>
      </c>
      <c r="B36">
        <v>5393</v>
      </c>
      <c r="C36" s="114" t="s">
        <v>412</v>
      </c>
      <c r="D36" s="114" t="s">
        <v>135</v>
      </c>
      <c r="E36">
        <v>2561</v>
      </c>
      <c r="F36">
        <v>2572</v>
      </c>
      <c r="G36">
        <v>300</v>
      </c>
      <c r="H36" s="114" t="s">
        <v>88</v>
      </c>
      <c r="I36">
        <v>5947</v>
      </c>
      <c r="J36" s="114" t="s">
        <v>395</v>
      </c>
      <c r="K36" s="114" t="s">
        <v>145</v>
      </c>
      <c r="L36">
        <v>8390</v>
      </c>
      <c r="M36">
        <v>8420</v>
      </c>
      <c r="N36">
        <v>100</v>
      </c>
      <c r="O36" s="114" t="s">
        <v>86</v>
      </c>
      <c r="P36">
        <v>0.96477113135624804</v>
      </c>
      <c r="Q36">
        <v>0.923137937495493</v>
      </c>
      <c r="R36">
        <v>9.5557167327924603E-2</v>
      </c>
      <c r="S36">
        <v>4.8230945334156998E-2</v>
      </c>
      <c r="T36">
        <v>1.72070609114319</v>
      </c>
      <c r="U36">
        <v>1.72070609114319</v>
      </c>
      <c r="V36">
        <v>10.44</v>
      </c>
      <c r="W36">
        <v>8.36</v>
      </c>
      <c r="X36">
        <v>284943</v>
      </c>
      <c r="Y36">
        <v>23745</v>
      </c>
      <c r="Z36">
        <v>1.3</v>
      </c>
      <c r="AA36">
        <v>12</v>
      </c>
      <c r="AB36">
        <v>8</v>
      </c>
      <c r="AC36">
        <v>4</v>
      </c>
      <c r="AD36">
        <v>66.67</v>
      </c>
      <c r="AE36">
        <v>11</v>
      </c>
      <c r="AF36">
        <v>6</v>
      </c>
      <c r="AG36">
        <v>3</v>
      </c>
      <c r="AH36">
        <v>3</v>
      </c>
    </row>
    <row r="37" spans="1:34">
      <c r="A37" s="110">
        <v>10</v>
      </c>
      <c r="B37">
        <v>6752</v>
      </c>
      <c r="C37" s="114" t="s">
        <v>134</v>
      </c>
      <c r="D37" s="114" t="s">
        <v>115</v>
      </c>
      <c r="E37">
        <v>1018.5</v>
      </c>
      <c r="F37">
        <v>1029.5</v>
      </c>
      <c r="G37">
        <v>1000</v>
      </c>
      <c r="H37" s="114" t="s">
        <v>88</v>
      </c>
      <c r="I37">
        <v>7278</v>
      </c>
      <c r="J37" s="114" t="s">
        <v>111</v>
      </c>
      <c r="K37" s="114" t="s">
        <v>112</v>
      </c>
      <c r="L37">
        <v>2469</v>
      </c>
      <c r="M37">
        <v>2458</v>
      </c>
      <c r="N37">
        <v>400</v>
      </c>
      <c r="O37" s="114" t="s">
        <v>86</v>
      </c>
      <c r="P37">
        <v>0.93212774180324798</v>
      </c>
      <c r="Q37">
        <v>0.95220000488136702</v>
      </c>
      <c r="R37">
        <v>3.8627496055012602E-3</v>
      </c>
      <c r="S37">
        <v>2.8816124792532499E-3</v>
      </c>
      <c r="T37">
        <v>0.60499927701296996</v>
      </c>
      <c r="U37">
        <v>0.60499927701296996</v>
      </c>
      <c r="V37">
        <v>1.51</v>
      </c>
      <c r="W37">
        <v>4.71</v>
      </c>
      <c r="X37">
        <v>283523</v>
      </c>
      <c r="Y37">
        <v>14922</v>
      </c>
      <c r="Z37">
        <v>0.75</v>
      </c>
      <c r="AA37">
        <v>19</v>
      </c>
      <c r="AB37">
        <v>11</v>
      </c>
      <c r="AC37">
        <v>8</v>
      </c>
      <c r="AD37">
        <v>57.89</v>
      </c>
      <c r="AE37">
        <v>11</v>
      </c>
      <c r="AF37">
        <v>8</v>
      </c>
      <c r="AG37">
        <v>2</v>
      </c>
      <c r="AH37">
        <v>9</v>
      </c>
    </row>
    <row r="38" spans="1:34">
      <c r="A38" s="110">
        <v>173</v>
      </c>
      <c r="B38">
        <v>6287</v>
      </c>
      <c r="C38" s="114" t="s">
        <v>1076</v>
      </c>
      <c r="D38" s="114" t="s">
        <v>128</v>
      </c>
      <c r="E38">
        <v>3330</v>
      </c>
      <c r="F38">
        <v>3355</v>
      </c>
      <c r="G38">
        <v>300</v>
      </c>
      <c r="H38" s="114" t="s">
        <v>88</v>
      </c>
      <c r="I38">
        <v>6465</v>
      </c>
      <c r="J38" s="114" t="s">
        <v>1077</v>
      </c>
      <c r="K38" s="114" t="s">
        <v>128</v>
      </c>
      <c r="L38">
        <v>9580</v>
      </c>
      <c r="M38">
        <v>9680</v>
      </c>
      <c r="N38">
        <v>100</v>
      </c>
      <c r="O38" s="114" t="s">
        <v>86</v>
      </c>
      <c r="P38">
        <v>0.96513591266172105</v>
      </c>
      <c r="Q38">
        <v>0.90529259601855705</v>
      </c>
      <c r="R38">
        <v>1.90305419663402E-2</v>
      </c>
      <c r="S38">
        <v>5.8910799173869398E-2</v>
      </c>
      <c r="T38">
        <v>0.30471047618945202</v>
      </c>
      <c r="U38">
        <v>0.30471047618945202</v>
      </c>
      <c r="V38">
        <v>0.56999999999999995</v>
      </c>
      <c r="W38">
        <v>3.98</v>
      </c>
      <c r="X38">
        <v>272271</v>
      </c>
      <c r="Y38">
        <v>22689</v>
      </c>
      <c r="Z38">
        <v>1.55</v>
      </c>
      <c r="AA38">
        <v>12</v>
      </c>
      <c r="AB38">
        <v>7</v>
      </c>
      <c r="AC38">
        <v>5</v>
      </c>
      <c r="AD38">
        <v>58.33</v>
      </c>
      <c r="AE38">
        <v>12</v>
      </c>
      <c r="AF38">
        <v>5</v>
      </c>
      <c r="AG38">
        <v>3</v>
      </c>
      <c r="AH38">
        <v>4</v>
      </c>
    </row>
    <row r="39" spans="1:34">
      <c r="A39" s="110">
        <v>12</v>
      </c>
      <c r="B39">
        <v>3635</v>
      </c>
      <c r="C39" s="114" t="s">
        <v>113</v>
      </c>
      <c r="D39" s="114" t="s">
        <v>107</v>
      </c>
      <c r="E39">
        <v>2648</v>
      </c>
      <c r="F39">
        <v>2637</v>
      </c>
      <c r="G39">
        <v>400</v>
      </c>
      <c r="H39" s="114" t="s">
        <v>86</v>
      </c>
      <c r="I39">
        <v>4062</v>
      </c>
      <c r="J39" s="114" t="s">
        <v>396</v>
      </c>
      <c r="K39" s="114" t="s">
        <v>115</v>
      </c>
      <c r="L39">
        <v>2546</v>
      </c>
      <c r="M39">
        <v>2574</v>
      </c>
      <c r="N39">
        <v>400</v>
      </c>
      <c r="O39" s="114" t="s">
        <v>88</v>
      </c>
      <c r="P39">
        <v>0.93682890462421098</v>
      </c>
      <c r="Q39">
        <v>0.951153197806196</v>
      </c>
      <c r="R39">
        <v>1.7501167274426299E-2</v>
      </c>
      <c r="S39">
        <v>4.2501216173404903E-2</v>
      </c>
      <c r="T39">
        <v>-0.26984277555423303</v>
      </c>
      <c r="U39">
        <v>0.26984277555423303</v>
      </c>
      <c r="V39">
        <v>-0.81</v>
      </c>
      <c r="W39">
        <v>2.39</v>
      </c>
      <c r="X39">
        <v>272145</v>
      </c>
      <c r="Y39">
        <v>20934</v>
      </c>
      <c r="Z39">
        <v>1.08</v>
      </c>
      <c r="AA39">
        <v>13</v>
      </c>
      <c r="AB39">
        <v>8</v>
      </c>
      <c r="AC39">
        <v>5</v>
      </c>
      <c r="AD39">
        <v>61.54</v>
      </c>
      <c r="AE39">
        <v>12</v>
      </c>
      <c r="AF39">
        <v>6</v>
      </c>
      <c r="AG39">
        <v>2</v>
      </c>
      <c r="AH39">
        <v>5</v>
      </c>
    </row>
    <row r="40" spans="1:34">
      <c r="A40" s="110">
        <v>106</v>
      </c>
      <c r="B40">
        <v>6474</v>
      </c>
      <c r="C40" s="114" t="s">
        <v>378</v>
      </c>
      <c r="D40" s="114" t="s">
        <v>128</v>
      </c>
      <c r="E40">
        <v>5020</v>
      </c>
      <c r="F40">
        <v>5090</v>
      </c>
      <c r="G40">
        <v>200</v>
      </c>
      <c r="H40" s="114" t="s">
        <v>88</v>
      </c>
      <c r="I40">
        <v>6503</v>
      </c>
      <c r="J40" s="114" t="s">
        <v>379</v>
      </c>
      <c r="K40" s="114" t="s">
        <v>115</v>
      </c>
      <c r="L40">
        <v>1513.5</v>
      </c>
      <c r="M40">
        <v>1532.5</v>
      </c>
      <c r="N40">
        <v>700</v>
      </c>
      <c r="O40" s="114" t="s">
        <v>86</v>
      </c>
      <c r="P40">
        <v>0.94508211106178897</v>
      </c>
      <c r="Q40">
        <v>0.91783140742084401</v>
      </c>
      <c r="R40">
        <v>6.6706498729520003E-2</v>
      </c>
      <c r="S40">
        <v>2.0972691221154902E-2</v>
      </c>
      <c r="T40">
        <v>0.13132797548957201</v>
      </c>
      <c r="U40">
        <v>0.13132797548957201</v>
      </c>
      <c r="V40">
        <v>0.25</v>
      </c>
      <c r="W40">
        <v>5.38</v>
      </c>
      <c r="X40">
        <v>266206</v>
      </c>
      <c r="Y40">
        <v>20477</v>
      </c>
      <c r="Z40">
        <v>1.38</v>
      </c>
      <c r="AA40">
        <v>13</v>
      </c>
      <c r="AB40">
        <v>10</v>
      </c>
      <c r="AC40">
        <v>3</v>
      </c>
      <c r="AD40">
        <v>76.92</v>
      </c>
      <c r="AE40">
        <v>11</v>
      </c>
      <c r="AF40">
        <v>8</v>
      </c>
      <c r="AG40">
        <v>1</v>
      </c>
      <c r="AH40">
        <v>4</v>
      </c>
    </row>
    <row r="41" spans="1:34">
      <c r="A41" s="110">
        <v>104</v>
      </c>
      <c r="B41">
        <v>7259</v>
      </c>
      <c r="C41" s="114" t="s">
        <v>54</v>
      </c>
      <c r="D41" s="114" t="s">
        <v>112</v>
      </c>
      <c r="E41">
        <v>4210</v>
      </c>
      <c r="F41">
        <v>4235</v>
      </c>
      <c r="G41">
        <v>200</v>
      </c>
      <c r="H41" s="114" t="s">
        <v>88</v>
      </c>
      <c r="I41">
        <v>7278</v>
      </c>
      <c r="J41" s="114" t="s">
        <v>111</v>
      </c>
      <c r="K41" s="114" t="s">
        <v>112</v>
      </c>
      <c r="L41">
        <v>2469</v>
      </c>
      <c r="M41">
        <v>2458</v>
      </c>
      <c r="N41">
        <v>300</v>
      </c>
      <c r="O41" s="114" t="s">
        <v>86</v>
      </c>
      <c r="P41">
        <v>0.97987020439901695</v>
      </c>
      <c r="Q41">
        <v>0.91877478941415403</v>
      </c>
      <c r="R41">
        <v>2.4533085571573601E-2</v>
      </c>
      <c r="S41">
        <v>0.20041145220586501</v>
      </c>
      <c r="T41">
        <v>1.1725438554479399</v>
      </c>
      <c r="U41">
        <v>1.1725438554479399</v>
      </c>
      <c r="V41">
        <v>4.16</v>
      </c>
      <c r="W41">
        <v>12.94</v>
      </c>
      <c r="X41">
        <v>265669</v>
      </c>
      <c r="Y41">
        <v>24152</v>
      </c>
      <c r="Z41">
        <v>1.6</v>
      </c>
      <c r="AA41">
        <v>11</v>
      </c>
      <c r="AB41">
        <v>9</v>
      </c>
      <c r="AC41">
        <v>2</v>
      </c>
      <c r="AD41">
        <v>81.819999999999993</v>
      </c>
      <c r="AE41">
        <v>14</v>
      </c>
      <c r="AF41">
        <v>3</v>
      </c>
      <c r="AG41">
        <v>1</v>
      </c>
      <c r="AH41">
        <v>7</v>
      </c>
    </row>
    <row r="42" spans="1:34">
      <c r="A42" s="110">
        <v>107</v>
      </c>
      <c r="B42">
        <v>1963</v>
      </c>
      <c r="C42" s="114" t="s">
        <v>162</v>
      </c>
      <c r="D42" s="114" t="s">
        <v>105</v>
      </c>
      <c r="E42">
        <v>1600</v>
      </c>
      <c r="F42">
        <v>1636</v>
      </c>
      <c r="G42">
        <v>600</v>
      </c>
      <c r="H42" s="114" t="s">
        <v>88</v>
      </c>
      <c r="I42">
        <v>7267</v>
      </c>
      <c r="J42" s="114" t="s">
        <v>147</v>
      </c>
      <c r="K42" s="114" t="s">
        <v>112</v>
      </c>
      <c r="L42">
        <v>3065</v>
      </c>
      <c r="M42">
        <v>3105</v>
      </c>
      <c r="N42">
        <v>300</v>
      </c>
      <c r="O42" s="114" t="s">
        <v>86</v>
      </c>
      <c r="P42">
        <v>0.92585174575504103</v>
      </c>
      <c r="Q42">
        <v>0.91770185719902297</v>
      </c>
      <c r="R42">
        <v>5.8870626773191097E-2</v>
      </c>
      <c r="S42" s="20">
        <v>1.86466627883799E-4</v>
      </c>
      <c r="T42">
        <v>0.89603867994134001</v>
      </c>
      <c r="U42">
        <v>0.89603867994134001</v>
      </c>
      <c r="V42">
        <v>3.18</v>
      </c>
      <c r="W42">
        <v>5.38</v>
      </c>
      <c r="X42">
        <v>259201</v>
      </c>
      <c r="Y42">
        <v>12960</v>
      </c>
      <c r="Z42">
        <v>0.65</v>
      </c>
      <c r="AA42">
        <v>20</v>
      </c>
      <c r="AB42">
        <v>13</v>
      </c>
      <c r="AC42">
        <v>7</v>
      </c>
      <c r="AD42">
        <v>65</v>
      </c>
      <c r="AE42">
        <v>10</v>
      </c>
      <c r="AF42">
        <v>10</v>
      </c>
      <c r="AG42">
        <v>5</v>
      </c>
      <c r="AH42">
        <v>5</v>
      </c>
    </row>
    <row r="43" spans="1:34">
      <c r="A43" s="110">
        <v>110</v>
      </c>
      <c r="B43">
        <v>6457</v>
      </c>
      <c r="C43" s="114" t="s">
        <v>377</v>
      </c>
      <c r="D43" s="114" t="s">
        <v>128</v>
      </c>
      <c r="E43">
        <v>3275</v>
      </c>
      <c r="F43">
        <v>3305</v>
      </c>
      <c r="G43">
        <v>300</v>
      </c>
      <c r="H43" s="114" t="s">
        <v>86</v>
      </c>
      <c r="I43">
        <v>6925</v>
      </c>
      <c r="J43" s="114" t="s">
        <v>376</v>
      </c>
      <c r="K43" s="114" t="s">
        <v>115</v>
      </c>
      <c r="L43">
        <v>1626</v>
      </c>
      <c r="M43">
        <v>1644</v>
      </c>
      <c r="N43">
        <v>600</v>
      </c>
      <c r="O43" s="114" t="s">
        <v>88</v>
      </c>
      <c r="P43">
        <v>0.93609313355829804</v>
      </c>
      <c r="Q43">
        <v>0.91725007881129905</v>
      </c>
      <c r="R43">
        <v>2.9688861374869702E-2</v>
      </c>
      <c r="S43">
        <v>5.4986695528024598E-2</v>
      </c>
      <c r="T43">
        <v>-0.35456339751770499</v>
      </c>
      <c r="U43">
        <v>0.35456339751770499</v>
      </c>
      <c r="V43">
        <v>-0.97</v>
      </c>
      <c r="W43">
        <v>0.51</v>
      </c>
      <c r="X43">
        <v>257915</v>
      </c>
      <c r="Y43">
        <v>17194</v>
      </c>
      <c r="Z43">
        <v>1.01</v>
      </c>
      <c r="AA43">
        <v>15</v>
      </c>
      <c r="AB43">
        <v>10</v>
      </c>
      <c r="AC43">
        <v>5</v>
      </c>
      <c r="AD43">
        <v>66.67</v>
      </c>
      <c r="AE43">
        <v>11</v>
      </c>
      <c r="AF43">
        <v>7</v>
      </c>
      <c r="AG43">
        <v>4</v>
      </c>
      <c r="AH43">
        <v>4</v>
      </c>
    </row>
    <row r="44" spans="1:34">
      <c r="A44" s="110">
        <v>123</v>
      </c>
      <c r="B44">
        <v>6752</v>
      </c>
      <c r="C44" s="114" t="s">
        <v>134</v>
      </c>
      <c r="D44" s="114" t="s">
        <v>115</v>
      </c>
      <c r="E44">
        <v>1018.5</v>
      </c>
      <c r="F44">
        <v>1029.5</v>
      </c>
      <c r="G44">
        <v>1100</v>
      </c>
      <c r="H44" s="114" t="s">
        <v>86</v>
      </c>
      <c r="I44">
        <v>7205</v>
      </c>
      <c r="J44" s="114" t="s">
        <v>146</v>
      </c>
      <c r="K44" s="114" t="s">
        <v>112</v>
      </c>
      <c r="L44">
        <v>1084</v>
      </c>
      <c r="M44">
        <v>1093</v>
      </c>
      <c r="N44">
        <v>1000</v>
      </c>
      <c r="O44" s="114" t="s">
        <v>88</v>
      </c>
      <c r="P44">
        <v>0.942233968842765</v>
      </c>
      <c r="Q44">
        <v>0.91420553598367804</v>
      </c>
      <c r="R44">
        <v>0.17103816649440201</v>
      </c>
      <c r="S44">
        <v>4.1968254794817798E-2</v>
      </c>
      <c r="T44">
        <v>-0.76624355538676103</v>
      </c>
      <c r="U44">
        <v>0.76624355538676103</v>
      </c>
      <c r="V44">
        <v>-2.29</v>
      </c>
      <c r="W44">
        <v>3.61</v>
      </c>
      <c r="X44">
        <v>255537</v>
      </c>
      <c r="Y44">
        <v>17036</v>
      </c>
      <c r="Z44">
        <v>0.81</v>
      </c>
      <c r="AA44">
        <v>15</v>
      </c>
      <c r="AB44">
        <v>10</v>
      </c>
      <c r="AC44">
        <v>5</v>
      </c>
      <c r="AD44">
        <v>66.67</v>
      </c>
      <c r="AE44">
        <v>13</v>
      </c>
      <c r="AF44">
        <v>6</v>
      </c>
      <c r="AG44">
        <v>1</v>
      </c>
      <c r="AH44">
        <v>8</v>
      </c>
    </row>
    <row r="45" spans="1:34">
      <c r="A45" s="110">
        <v>143</v>
      </c>
      <c r="B45">
        <v>6807</v>
      </c>
      <c r="C45" s="114" t="s">
        <v>415</v>
      </c>
      <c r="D45" s="114" t="s">
        <v>115</v>
      </c>
      <c r="E45">
        <v>2076</v>
      </c>
      <c r="F45">
        <v>2115</v>
      </c>
      <c r="G45">
        <v>300</v>
      </c>
      <c r="H45" s="114" t="s">
        <v>88</v>
      </c>
      <c r="I45">
        <v>9706</v>
      </c>
      <c r="J45" s="114" t="s">
        <v>418</v>
      </c>
      <c r="K45" s="114" t="s">
        <v>143</v>
      </c>
      <c r="L45">
        <v>5740</v>
      </c>
      <c r="M45">
        <v>5720</v>
      </c>
      <c r="N45">
        <v>100</v>
      </c>
      <c r="O45" s="114" t="s">
        <v>86</v>
      </c>
      <c r="P45">
        <v>0.90233661386013697</v>
      </c>
      <c r="Q45">
        <v>0.91043877368146697</v>
      </c>
      <c r="R45">
        <v>0.10693097047286</v>
      </c>
      <c r="S45">
        <v>3.0908675222288101E-2</v>
      </c>
      <c r="T45">
        <v>0.804725848894141</v>
      </c>
      <c r="U45">
        <v>0.804725848894141</v>
      </c>
      <c r="V45">
        <v>4.9000000000000004</v>
      </c>
      <c r="W45">
        <v>10.93</v>
      </c>
      <c r="X45">
        <v>252142</v>
      </c>
      <c r="Y45">
        <v>14008</v>
      </c>
      <c r="Z45">
        <v>0.88</v>
      </c>
      <c r="AA45">
        <v>18</v>
      </c>
      <c r="AB45">
        <v>11</v>
      </c>
      <c r="AC45">
        <v>7</v>
      </c>
      <c r="AD45">
        <v>61.11</v>
      </c>
      <c r="AE45">
        <v>10</v>
      </c>
      <c r="AF45">
        <v>9</v>
      </c>
      <c r="AG45">
        <v>5</v>
      </c>
      <c r="AH45">
        <v>4</v>
      </c>
    </row>
    <row r="46" spans="1:34">
      <c r="A46" s="110">
        <v>69</v>
      </c>
      <c r="B46">
        <v>4061</v>
      </c>
      <c r="C46" s="114" t="s">
        <v>152</v>
      </c>
      <c r="D46" s="114" t="s">
        <v>87</v>
      </c>
      <c r="E46">
        <v>3205</v>
      </c>
      <c r="F46">
        <v>3255</v>
      </c>
      <c r="G46">
        <v>300</v>
      </c>
      <c r="H46" s="114" t="s">
        <v>86</v>
      </c>
      <c r="I46">
        <v>4401</v>
      </c>
      <c r="J46" s="114" t="s">
        <v>380</v>
      </c>
      <c r="K46" s="114" t="s">
        <v>87</v>
      </c>
      <c r="L46">
        <v>1635</v>
      </c>
      <c r="M46">
        <v>1645</v>
      </c>
      <c r="N46">
        <v>600</v>
      </c>
      <c r="O46" s="114" t="s">
        <v>88</v>
      </c>
      <c r="P46">
        <v>0.952350323472546</v>
      </c>
      <c r="Q46">
        <v>0.92731377045032104</v>
      </c>
      <c r="R46">
        <v>6.2629742515013798E-3</v>
      </c>
      <c r="S46">
        <v>6.8074529501192403E-4</v>
      </c>
      <c r="T46">
        <v>-1.4668313466278999</v>
      </c>
      <c r="U46">
        <v>1.4668313466278999</v>
      </c>
      <c r="V46">
        <v>-6.39</v>
      </c>
      <c r="W46">
        <v>1.08</v>
      </c>
      <c r="X46">
        <v>248623</v>
      </c>
      <c r="Y46">
        <v>17759</v>
      </c>
      <c r="Z46">
        <v>1.01</v>
      </c>
      <c r="AA46">
        <v>14</v>
      </c>
      <c r="AB46">
        <v>8</v>
      </c>
      <c r="AC46">
        <v>6</v>
      </c>
      <c r="AD46">
        <v>57.14</v>
      </c>
      <c r="AE46">
        <v>12</v>
      </c>
      <c r="AF46">
        <v>7</v>
      </c>
      <c r="AG46">
        <v>1</v>
      </c>
      <c r="AH46">
        <v>6</v>
      </c>
    </row>
    <row r="47" spans="1:34">
      <c r="A47" s="110">
        <v>56</v>
      </c>
      <c r="B47">
        <v>6845</v>
      </c>
      <c r="C47" s="114" t="s">
        <v>369</v>
      </c>
      <c r="D47" s="114" t="s">
        <v>115</v>
      </c>
      <c r="E47">
        <v>3140</v>
      </c>
      <c r="F47">
        <v>3185</v>
      </c>
      <c r="G47">
        <v>300</v>
      </c>
      <c r="H47" s="114" t="s">
        <v>88</v>
      </c>
      <c r="I47">
        <v>8919</v>
      </c>
      <c r="J47" s="114" t="s">
        <v>403</v>
      </c>
      <c r="K47" s="114" t="s">
        <v>143</v>
      </c>
      <c r="L47">
        <v>4815</v>
      </c>
      <c r="M47">
        <v>4850</v>
      </c>
      <c r="N47">
        <v>200</v>
      </c>
      <c r="O47" s="114" t="s">
        <v>86</v>
      </c>
      <c r="P47">
        <v>0.90331025832934697</v>
      </c>
      <c r="Q47">
        <v>0.93216615974804395</v>
      </c>
      <c r="R47">
        <v>3.7360305474397199E-2</v>
      </c>
      <c r="S47">
        <v>9.4515231175180001E-2</v>
      </c>
      <c r="T47">
        <v>3.9546909550963398E-2</v>
      </c>
      <c r="U47">
        <v>3.9546909550963398E-2</v>
      </c>
      <c r="V47">
        <v>0.12</v>
      </c>
      <c r="W47">
        <v>1.49</v>
      </c>
      <c r="X47">
        <v>246214</v>
      </c>
      <c r="Y47">
        <v>22383</v>
      </c>
      <c r="Z47">
        <v>1.22</v>
      </c>
      <c r="AA47">
        <v>11</v>
      </c>
      <c r="AB47">
        <v>7</v>
      </c>
      <c r="AC47">
        <v>4</v>
      </c>
      <c r="AD47">
        <v>63.64</v>
      </c>
      <c r="AE47">
        <v>9</v>
      </c>
      <c r="AF47">
        <v>7</v>
      </c>
      <c r="AG47">
        <v>4</v>
      </c>
      <c r="AH47">
        <v>0</v>
      </c>
    </row>
    <row r="48" spans="1:34">
      <c r="A48" s="110">
        <v>4</v>
      </c>
      <c r="B48">
        <v>6988</v>
      </c>
      <c r="C48" s="114" t="s">
        <v>173</v>
      </c>
      <c r="D48" s="114" t="s">
        <v>87</v>
      </c>
      <c r="E48">
        <v>6060</v>
      </c>
      <c r="F48">
        <v>6150</v>
      </c>
      <c r="G48">
        <v>100</v>
      </c>
      <c r="H48" s="114" t="s">
        <v>86</v>
      </c>
      <c r="I48">
        <v>7282</v>
      </c>
      <c r="J48" s="114" t="s">
        <v>1078</v>
      </c>
      <c r="K48" s="114" t="s">
        <v>112</v>
      </c>
      <c r="L48">
        <v>2571</v>
      </c>
      <c r="M48">
        <v>2611</v>
      </c>
      <c r="N48">
        <v>200</v>
      </c>
      <c r="O48" s="114" t="s">
        <v>88</v>
      </c>
      <c r="P48">
        <v>0.96878177451650005</v>
      </c>
      <c r="Q48">
        <v>0.95878488968734099</v>
      </c>
      <c r="R48">
        <v>4.3203350235342603E-3</v>
      </c>
      <c r="S48">
        <v>1.12441019422716E-4</v>
      </c>
      <c r="T48">
        <v>-1.7868940233024599</v>
      </c>
      <c r="U48">
        <v>1.7868940233024599</v>
      </c>
      <c r="V48">
        <v>-4.45</v>
      </c>
      <c r="W48">
        <v>15.09</v>
      </c>
      <c r="X48">
        <v>241866</v>
      </c>
      <c r="Y48">
        <v>16124</v>
      </c>
      <c r="Z48">
        <v>0.86</v>
      </c>
      <c r="AA48">
        <v>15</v>
      </c>
      <c r="AB48">
        <v>11</v>
      </c>
      <c r="AC48">
        <v>4</v>
      </c>
      <c r="AD48">
        <v>73.33</v>
      </c>
      <c r="AE48">
        <v>11</v>
      </c>
      <c r="AF48">
        <v>9</v>
      </c>
      <c r="AG48">
        <v>3</v>
      </c>
      <c r="AH48">
        <v>3</v>
      </c>
    </row>
    <row r="49" spans="1:34">
      <c r="A49" s="110">
        <v>101</v>
      </c>
      <c r="B49">
        <v>6098</v>
      </c>
      <c r="C49" s="114" t="s">
        <v>420</v>
      </c>
      <c r="D49" s="114" t="s">
        <v>149</v>
      </c>
      <c r="E49">
        <v>3908</v>
      </c>
      <c r="F49">
        <v>3976</v>
      </c>
      <c r="G49">
        <v>200</v>
      </c>
      <c r="H49" s="114" t="s">
        <v>88</v>
      </c>
      <c r="I49">
        <v>9759</v>
      </c>
      <c r="J49" s="114" t="s">
        <v>1079</v>
      </c>
      <c r="K49" s="114" t="s">
        <v>107</v>
      </c>
      <c r="L49">
        <v>3580</v>
      </c>
      <c r="M49">
        <v>3585</v>
      </c>
      <c r="N49">
        <v>200</v>
      </c>
      <c r="O49" s="114" t="s">
        <v>86</v>
      </c>
      <c r="P49">
        <v>0.91584454727985798</v>
      </c>
      <c r="Q49">
        <v>0.91944596846502902</v>
      </c>
      <c r="R49">
        <v>0.303917853111634</v>
      </c>
      <c r="S49">
        <v>1.3269196756588201E-2</v>
      </c>
      <c r="T49">
        <v>0.47462360671133202</v>
      </c>
      <c r="U49">
        <v>0.47462360671133202</v>
      </c>
      <c r="V49">
        <v>1.95</v>
      </c>
      <c r="W49">
        <v>9.83</v>
      </c>
      <c r="X49">
        <v>239165</v>
      </c>
      <c r="Y49">
        <v>18397</v>
      </c>
      <c r="Z49">
        <v>0.85</v>
      </c>
      <c r="AA49">
        <v>13</v>
      </c>
      <c r="AB49">
        <v>8</v>
      </c>
      <c r="AC49">
        <v>5</v>
      </c>
      <c r="AD49">
        <v>61.54</v>
      </c>
      <c r="AE49">
        <v>12</v>
      </c>
      <c r="AF49">
        <v>6</v>
      </c>
      <c r="AG49">
        <v>3</v>
      </c>
      <c r="AH49">
        <v>4</v>
      </c>
    </row>
    <row r="50" spans="1:34">
      <c r="A50" s="110">
        <v>21</v>
      </c>
      <c r="B50">
        <v>5471</v>
      </c>
      <c r="C50" s="114" t="s">
        <v>364</v>
      </c>
      <c r="D50" s="114" t="s">
        <v>121</v>
      </c>
      <c r="E50">
        <v>4895</v>
      </c>
      <c r="F50">
        <v>4925</v>
      </c>
      <c r="G50">
        <v>200</v>
      </c>
      <c r="H50" s="114" t="s">
        <v>86</v>
      </c>
      <c r="I50">
        <v>6995</v>
      </c>
      <c r="J50" s="114" t="s">
        <v>120</v>
      </c>
      <c r="K50" s="114" t="s">
        <v>112</v>
      </c>
      <c r="L50">
        <v>2127</v>
      </c>
      <c r="M50">
        <v>2125</v>
      </c>
      <c r="N50">
        <v>500</v>
      </c>
      <c r="O50" s="114" t="s">
        <v>88</v>
      </c>
      <c r="P50">
        <v>0.93059718602839303</v>
      </c>
      <c r="Q50">
        <v>0.94681756213768398</v>
      </c>
      <c r="R50">
        <v>0.29449414407394098</v>
      </c>
      <c r="S50">
        <v>3.60725878302137E-2</v>
      </c>
      <c r="T50">
        <v>-0.69935496505521499</v>
      </c>
      <c r="U50">
        <v>0.69935496505521499</v>
      </c>
      <c r="V50">
        <v>-1.85</v>
      </c>
      <c r="W50">
        <v>7.87</v>
      </c>
      <c r="X50">
        <v>238619</v>
      </c>
      <c r="Y50">
        <v>15908</v>
      </c>
      <c r="Z50">
        <v>0.93</v>
      </c>
      <c r="AA50">
        <v>15</v>
      </c>
      <c r="AB50">
        <v>8</v>
      </c>
      <c r="AC50">
        <v>7</v>
      </c>
      <c r="AD50">
        <v>53.33</v>
      </c>
      <c r="AE50">
        <v>12</v>
      </c>
      <c r="AF50">
        <v>6</v>
      </c>
      <c r="AG50">
        <v>2</v>
      </c>
      <c r="AH50">
        <v>7</v>
      </c>
    </row>
    <row r="51" spans="1:34">
      <c r="A51" s="110">
        <v>95</v>
      </c>
      <c r="B51">
        <v>4183</v>
      </c>
      <c r="C51" s="114" t="s">
        <v>361</v>
      </c>
      <c r="D51" s="114" t="s">
        <v>87</v>
      </c>
      <c r="E51">
        <v>2605</v>
      </c>
      <c r="F51">
        <v>2628</v>
      </c>
      <c r="G51">
        <v>300</v>
      </c>
      <c r="H51" s="114" t="s">
        <v>86</v>
      </c>
      <c r="I51">
        <v>6305</v>
      </c>
      <c r="J51" s="114" t="s">
        <v>58</v>
      </c>
      <c r="K51" s="114" t="s">
        <v>128</v>
      </c>
      <c r="L51">
        <v>2890</v>
      </c>
      <c r="M51">
        <v>2927</v>
      </c>
      <c r="N51">
        <v>300</v>
      </c>
      <c r="O51" s="114" t="s">
        <v>88</v>
      </c>
      <c r="P51">
        <v>0.90501743406402402</v>
      </c>
      <c r="Q51">
        <v>0.92072938063144305</v>
      </c>
      <c r="R51">
        <v>0.16272627777752199</v>
      </c>
      <c r="S51">
        <v>3.6911084038980801E-3</v>
      </c>
      <c r="T51">
        <v>-2.1320048694449301</v>
      </c>
      <c r="U51">
        <v>2.1320048694449301</v>
      </c>
      <c r="V51">
        <v>-7.44</v>
      </c>
      <c r="W51">
        <v>10.220000000000001</v>
      </c>
      <c r="X51">
        <v>237901</v>
      </c>
      <c r="Y51">
        <v>16993</v>
      </c>
      <c r="Z51">
        <v>0.99</v>
      </c>
      <c r="AA51">
        <v>14</v>
      </c>
      <c r="AB51">
        <v>10</v>
      </c>
      <c r="AC51">
        <v>4</v>
      </c>
      <c r="AD51">
        <v>71.430000000000007</v>
      </c>
      <c r="AE51">
        <v>12</v>
      </c>
      <c r="AF51">
        <v>8</v>
      </c>
      <c r="AG51">
        <v>2</v>
      </c>
      <c r="AH51">
        <v>4</v>
      </c>
    </row>
    <row r="52" spans="1:34">
      <c r="A52" s="110">
        <v>122</v>
      </c>
      <c r="B52">
        <v>4202</v>
      </c>
      <c r="C52" s="114" t="s">
        <v>118</v>
      </c>
      <c r="D52" s="114" t="s">
        <v>87</v>
      </c>
      <c r="E52">
        <v>1072</v>
      </c>
      <c r="F52">
        <v>1082</v>
      </c>
      <c r="G52">
        <v>900</v>
      </c>
      <c r="H52" s="114" t="s">
        <v>88</v>
      </c>
      <c r="I52">
        <v>7278</v>
      </c>
      <c r="J52" s="114" t="s">
        <v>111</v>
      </c>
      <c r="K52" s="114" t="s">
        <v>112</v>
      </c>
      <c r="L52">
        <v>2469</v>
      </c>
      <c r="M52">
        <v>2458</v>
      </c>
      <c r="N52">
        <v>400</v>
      </c>
      <c r="O52" s="114" t="s">
        <v>86</v>
      </c>
      <c r="P52">
        <v>0.93771484187560195</v>
      </c>
      <c r="Q52">
        <v>0.91422055046677098</v>
      </c>
      <c r="R52">
        <v>6.7767356972723194E-2</v>
      </c>
      <c r="S52">
        <v>0.343602893602242</v>
      </c>
      <c r="T52">
        <v>0.70101781398232099</v>
      </c>
      <c r="U52">
        <v>0.70101781398232099</v>
      </c>
      <c r="V52">
        <v>2.46</v>
      </c>
      <c r="W52">
        <v>0.96</v>
      </c>
      <c r="X52">
        <v>234049</v>
      </c>
      <c r="Y52">
        <v>11702</v>
      </c>
      <c r="Z52">
        <v>0.56999999999999995</v>
      </c>
      <c r="AA52">
        <v>20</v>
      </c>
      <c r="AB52">
        <v>12</v>
      </c>
      <c r="AC52">
        <v>8</v>
      </c>
      <c r="AD52">
        <v>60</v>
      </c>
      <c r="AE52">
        <v>12</v>
      </c>
      <c r="AF52">
        <v>7</v>
      </c>
      <c r="AG52">
        <v>5</v>
      </c>
      <c r="AH52">
        <v>8</v>
      </c>
    </row>
    <row r="53" spans="1:34">
      <c r="A53" s="110">
        <v>132</v>
      </c>
      <c r="B53">
        <v>7167</v>
      </c>
      <c r="C53" s="114" t="s">
        <v>129</v>
      </c>
      <c r="D53" s="114" t="s">
        <v>110</v>
      </c>
      <c r="E53">
        <v>281</v>
      </c>
      <c r="F53">
        <v>282</v>
      </c>
      <c r="G53">
        <v>3900</v>
      </c>
      <c r="H53" s="114" t="s">
        <v>88</v>
      </c>
      <c r="I53">
        <v>9505</v>
      </c>
      <c r="J53" s="114" t="s">
        <v>155</v>
      </c>
      <c r="K53" s="114" t="s">
        <v>156</v>
      </c>
      <c r="L53">
        <v>781</v>
      </c>
      <c r="M53">
        <v>780</v>
      </c>
      <c r="N53">
        <v>1400</v>
      </c>
      <c r="O53" s="114" t="s">
        <v>86</v>
      </c>
      <c r="P53">
        <v>0.91814423967829795</v>
      </c>
      <c r="Q53">
        <v>0.91211309873461199</v>
      </c>
      <c r="R53" s="20">
        <v>0.37009063885919402</v>
      </c>
      <c r="S53">
        <v>8.3113179719663199E-2</v>
      </c>
      <c r="T53">
        <v>4.4792010141758501E-2</v>
      </c>
      <c r="U53">
        <v>4.4792010141758501E-2</v>
      </c>
      <c r="V53">
        <v>0.09</v>
      </c>
      <c r="W53">
        <v>0.71</v>
      </c>
      <c r="X53">
        <v>224925</v>
      </c>
      <c r="Y53">
        <v>13231</v>
      </c>
      <c r="Z53">
        <v>0.62</v>
      </c>
      <c r="AA53">
        <v>17</v>
      </c>
      <c r="AB53">
        <v>8</v>
      </c>
      <c r="AC53">
        <v>9</v>
      </c>
      <c r="AD53">
        <v>47.06</v>
      </c>
      <c r="AE53">
        <v>14</v>
      </c>
      <c r="AF53">
        <v>5</v>
      </c>
      <c r="AG53">
        <v>2</v>
      </c>
      <c r="AH53">
        <v>10</v>
      </c>
    </row>
    <row r="54" spans="1:34">
      <c r="A54" s="110">
        <v>79</v>
      </c>
      <c r="B54">
        <v>4519</v>
      </c>
      <c r="C54" s="114" t="s">
        <v>1080</v>
      </c>
      <c r="D54" s="114" t="s">
        <v>170</v>
      </c>
      <c r="E54">
        <v>9675</v>
      </c>
      <c r="F54">
        <v>9732</v>
      </c>
      <c r="G54">
        <v>100</v>
      </c>
      <c r="H54" s="114" t="s">
        <v>86</v>
      </c>
      <c r="I54">
        <v>6588</v>
      </c>
      <c r="J54" s="114" t="s">
        <v>1081</v>
      </c>
      <c r="K54" s="114" t="s">
        <v>115</v>
      </c>
      <c r="L54">
        <v>4430</v>
      </c>
      <c r="M54">
        <v>4445</v>
      </c>
      <c r="N54">
        <v>200</v>
      </c>
      <c r="O54" s="114" t="s">
        <v>88</v>
      </c>
      <c r="P54">
        <v>0.945384311751992</v>
      </c>
      <c r="Q54">
        <v>0.92429839335291897</v>
      </c>
      <c r="R54">
        <v>0.134257405675694</v>
      </c>
      <c r="S54">
        <v>0.10923746123090999</v>
      </c>
      <c r="T54">
        <v>-1.31198473937691</v>
      </c>
      <c r="U54">
        <v>1.31198473937691</v>
      </c>
      <c r="V54">
        <v>-7.34</v>
      </c>
      <c r="W54">
        <v>8.65</v>
      </c>
      <c r="X54">
        <v>222279</v>
      </c>
      <c r="Y54">
        <v>13892</v>
      </c>
      <c r="Z54">
        <v>0.92</v>
      </c>
      <c r="AA54">
        <v>16</v>
      </c>
      <c r="AB54">
        <v>10</v>
      </c>
      <c r="AC54">
        <v>6</v>
      </c>
      <c r="AD54">
        <v>62.5</v>
      </c>
      <c r="AE54">
        <v>11</v>
      </c>
      <c r="AF54">
        <v>7</v>
      </c>
      <c r="AG54">
        <v>4</v>
      </c>
      <c r="AH54">
        <v>5</v>
      </c>
    </row>
    <row r="55" spans="1:34">
      <c r="A55" s="110">
        <v>102</v>
      </c>
      <c r="B55">
        <v>1333</v>
      </c>
      <c r="C55" s="114" t="s">
        <v>401</v>
      </c>
      <c r="D55" s="114" t="s">
        <v>402</v>
      </c>
      <c r="E55">
        <v>2907</v>
      </c>
      <c r="F55">
        <v>2823</v>
      </c>
      <c r="G55">
        <v>300</v>
      </c>
      <c r="H55" s="114" t="s">
        <v>86</v>
      </c>
      <c r="I55">
        <v>5901</v>
      </c>
      <c r="J55" s="114" t="s">
        <v>387</v>
      </c>
      <c r="K55" s="114" t="s">
        <v>145</v>
      </c>
      <c r="L55">
        <v>1912</v>
      </c>
      <c r="M55">
        <v>1913</v>
      </c>
      <c r="N55">
        <v>400</v>
      </c>
      <c r="O55" s="114" t="s">
        <v>88</v>
      </c>
      <c r="P55">
        <v>0.91265639548047595</v>
      </c>
      <c r="Q55">
        <v>0.91926865278173397</v>
      </c>
      <c r="R55" s="20">
        <v>1.6138553389471499E-5</v>
      </c>
      <c r="S55">
        <v>0.124131250445724</v>
      </c>
      <c r="T55">
        <v>-1.5978658238433401</v>
      </c>
      <c r="U55">
        <v>1.5978658238433401</v>
      </c>
      <c r="V55">
        <v>-9.59</v>
      </c>
      <c r="W55">
        <v>9.65</v>
      </c>
      <c r="X55">
        <v>219773</v>
      </c>
      <c r="Y55">
        <v>13736</v>
      </c>
      <c r="Z55">
        <v>0.77</v>
      </c>
      <c r="AA55">
        <v>16</v>
      </c>
      <c r="AB55">
        <v>11</v>
      </c>
      <c r="AC55">
        <v>5</v>
      </c>
      <c r="AD55">
        <v>68.75</v>
      </c>
      <c r="AE55">
        <v>12</v>
      </c>
      <c r="AF55">
        <v>5</v>
      </c>
      <c r="AG55">
        <v>3</v>
      </c>
      <c r="AH55">
        <v>8</v>
      </c>
    </row>
    <row r="56" spans="1:34">
      <c r="A56" s="110">
        <v>109</v>
      </c>
      <c r="B56">
        <v>3635</v>
      </c>
      <c r="C56" s="114" t="s">
        <v>113</v>
      </c>
      <c r="D56" s="114" t="s">
        <v>107</v>
      </c>
      <c r="E56">
        <v>2648</v>
      </c>
      <c r="F56">
        <v>2637</v>
      </c>
      <c r="G56">
        <v>400</v>
      </c>
      <c r="H56" s="114" t="s">
        <v>88</v>
      </c>
      <c r="I56">
        <v>8593</v>
      </c>
      <c r="J56" s="114" t="s">
        <v>374</v>
      </c>
      <c r="K56" s="114" t="s">
        <v>356</v>
      </c>
      <c r="L56">
        <v>690</v>
      </c>
      <c r="M56">
        <v>691</v>
      </c>
      <c r="N56">
        <v>1500</v>
      </c>
      <c r="O56" s="114" t="s">
        <v>86</v>
      </c>
      <c r="P56">
        <v>0.91066574839166203</v>
      </c>
      <c r="Q56">
        <v>0.91732003500269899</v>
      </c>
      <c r="R56">
        <v>4.6182908888215697E-2</v>
      </c>
      <c r="S56">
        <v>7.8214018282459899E-2</v>
      </c>
      <c r="T56">
        <v>1.5289536051985</v>
      </c>
      <c r="U56">
        <v>1.5289536051985</v>
      </c>
      <c r="V56">
        <v>3.76</v>
      </c>
      <c r="W56">
        <v>1.73</v>
      </c>
      <c r="X56">
        <v>218633</v>
      </c>
      <c r="Y56">
        <v>12861</v>
      </c>
      <c r="Z56">
        <v>0.62</v>
      </c>
      <c r="AA56">
        <v>17</v>
      </c>
      <c r="AB56">
        <v>10</v>
      </c>
      <c r="AC56">
        <v>7</v>
      </c>
      <c r="AD56">
        <v>58.82</v>
      </c>
      <c r="AE56">
        <v>12</v>
      </c>
      <c r="AF56">
        <v>7</v>
      </c>
      <c r="AG56">
        <v>4</v>
      </c>
      <c r="AH56">
        <v>6</v>
      </c>
    </row>
    <row r="57" spans="1:34">
      <c r="A57" s="110">
        <v>121</v>
      </c>
      <c r="B57">
        <v>1860</v>
      </c>
      <c r="C57" s="114" t="s">
        <v>140</v>
      </c>
      <c r="D57" s="114" t="s">
        <v>105</v>
      </c>
      <c r="E57">
        <v>672</v>
      </c>
      <c r="F57">
        <v>679</v>
      </c>
      <c r="G57">
        <v>1300</v>
      </c>
      <c r="H57" s="114" t="s">
        <v>86</v>
      </c>
      <c r="I57">
        <v>7272</v>
      </c>
      <c r="J57" s="114" t="s">
        <v>358</v>
      </c>
      <c r="K57" s="114" t="s">
        <v>112</v>
      </c>
      <c r="L57">
        <v>2267</v>
      </c>
      <c r="M57">
        <v>2272</v>
      </c>
      <c r="N57">
        <v>400</v>
      </c>
      <c r="O57" s="114" t="s">
        <v>88</v>
      </c>
      <c r="P57">
        <v>0.92539295346435502</v>
      </c>
      <c r="Q57">
        <v>0.91440562157509198</v>
      </c>
      <c r="R57">
        <v>0.23690554036992501</v>
      </c>
      <c r="S57">
        <v>1.89970556093964E-3</v>
      </c>
      <c r="T57">
        <v>-1.49728470988694</v>
      </c>
      <c r="U57">
        <v>1.49728470988694</v>
      </c>
      <c r="V57">
        <v>-5.9</v>
      </c>
      <c r="W57">
        <v>2.87</v>
      </c>
      <c r="X57">
        <v>215662</v>
      </c>
      <c r="Y57">
        <v>11351</v>
      </c>
      <c r="Z57">
        <v>0.54</v>
      </c>
      <c r="AA57">
        <v>19</v>
      </c>
      <c r="AB57">
        <v>11</v>
      </c>
      <c r="AC57">
        <v>8</v>
      </c>
      <c r="AD57">
        <v>57.89</v>
      </c>
      <c r="AE57">
        <v>11</v>
      </c>
      <c r="AF57">
        <v>10</v>
      </c>
      <c r="AG57">
        <v>5</v>
      </c>
      <c r="AH57">
        <v>4</v>
      </c>
    </row>
    <row r="58" spans="1:34">
      <c r="A58" s="110">
        <v>188</v>
      </c>
      <c r="B58">
        <v>5463</v>
      </c>
      <c r="C58" s="114" t="s">
        <v>176</v>
      </c>
      <c r="D58" s="114" t="s">
        <v>121</v>
      </c>
      <c r="E58">
        <v>3140</v>
      </c>
      <c r="F58">
        <v>3175</v>
      </c>
      <c r="G58">
        <v>300</v>
      </c>
      <c r="H58" s="114" t="s">
        <v>86</v>
      </c>
      <c r="I58">
        <v>5991</v>
      </c>
      <c r="J58" s="114" t="s">
        <v>144</v>
      </c>
      <c r="K58" s="114" t="s">
        <v>145</v>
      </c>
      <c r="L58">
        <v>964</v>
      </c>
      <c r="M58">
        <v>978</v>
      </c>
      <c r="N58">
        <v>1000</v>
      </c>
      <c r="O58" s="114" t="s">
        <v>88</v>
      </c>
      <c r="P58">
        <v>0.94807843399235803</v>
      </c>
      <c r="Q58">
        <v>0.90261083117930097</v>
      </c>
      <c r="R58">
        <v>5.7046802276150997E-3</v>
      </c>
      <c r="S58">
        <v>0.27385922113694999</v>
      </c>
      <c r="T58">
        <v>-0.97563188342847695</v>
      </c>
      <c r="U58">
        <v>0.97563188342847695</v>
      </c>
      <c r="V58">
        <v>-4.46</v>
      </c>
      <c r="W58">
        <v>2.68</v>
      </c>
      <c r="X58">
        <v>212896</v>
      </c>
      <c r="Y58">
        <v>12523</v>
      </c>
      <c r="Z58">
        <v>0.62</v>
      </c>
      <c r="AA58">
        <v>17</v>
      </c>
      <c r="AB58">
        <v>11</v>
      </c>
      <c r="AC58">
        <v>6</v>
      </c>
      <c r="AD58">
        <v>64.709999999999994</v>
      </c>
      <c r="AE58">
        <v>11</v>
      </c>
      <c r="AF58">
        <v>6</v>
      </c>
      <c r="AG58">
        <v>3</v>
      </c>
      <c r="AH58">
        <v>8</v>
      </c>
    </row>
    <row r="59" spans="1:34">
      <c r="A59" s="110">
        <v>156</v>
      </c>
      <c r="B59">
        <v>3105</v>
      </c>
      <c r="C59" s="114" t="s">
        <v>119</v>
      </c>
      <c r="D59" s="114" t="s">
        <v>115</v>
      </c>
      <c r="E59">
        <v>997</v>
      </c>
      <c r="F59">
        <v>1012</v>
      </c>
      <c r="G59">
        <v>1000</v>
      </c>
      <c r="H59" s="114" t="s">
        <v>86</v>
      </c>
      <c r="I59">
        <v>6770</v>
      </c>
      <c r="J59" s="114" t="s">
        <v>50</v>
      </c>
      <c r="K59" s="114" t="s">
        <v>115</v>
      </c>
      <c r="L59">
        <v>2446</v>
      </c>
      <c r="M59">
        <v>2483</v>
      </c>
      <c r="N59">
        <v>400</v>
      </c>
      <c r="O59" s="114" t="s">
        <v>88</v>
      </c>
      <c r="P59">
        <v>0.94715409616060298</v>
      </c>
      <c r="Q59">
        <v>0.90854786347303296</v>
      </c>
      <c r="R59">
        <v>0.16245671723615299</v>
      </c>
      <c r="S59">
        <v>6.49112673995762E-2</v>
      </c>
      <c r="T59">
        <v>-0.54583029882365097</v>
      </c>
      <c r="U59">
        <v>0.54583029882365097</v>
      </c>
      <c r="V59">
        <v>-2.42</v>
      </c>
      <c r="W59">
        <v>1.89</v>
      </c>
      <c r="X59">
        <v>211945</v>
      </c>
      <c r="Y59">
        <v>10093</v>
      </c>
      <c r="Z59">
        <v>0.54</v>
      </c>
      <c r="AA59">
        <v>21</v>
      </c>
      <c r="AB59">
        <v>12</v>
      </c>
      <c r="AC59">
        <v>9</v>
      </c>
      <c r="AD59">
        <v>57.14</v>
      </c>
      <c r="AE59">
        <v>9</v>
      </c>
      <c r="AF59">
        <v>11</v>
      </c>
      <c r="AG59">
        <v>7</v>
      </c>
      <c r="AH59">
        <v>3</v>
      </c>
    </row>
    <row r="60" spans="1:34">
      <c r="A60" s="110">
        <v>139</v>
      </c>
      <c r="B60">
        <v>3105</v>
      </c>
      <c r="C60" s="114" t="s">
        <v>119</v>
      </c>
      <c r="D60" s="114" t="s">
        <v>115</v>
      </c>
      <c r="E60">
        <v>997</v>
      </c>
      <c r="F60">
        <v>1012</v>
      </c>
      <c r="G60">
        <v>1100</v>
      </c>
      <c r="H60" s="114" t="s">
        <v>88</v>
      </c>
      <c r="I60">
        <v>6473</v>
      </c>
      <c r="J60" s="114" t="s">
        <v>166</v>
      </c>
      <c r="K60" s="114" t="s">
        <v>128</v>
      </c>
      <c r="L60">
        <v>1354</v>
      </c>
      <c r="M60">
        <v>1360</v>
      </c>
      <c r="N60">
        <v>800</v>
      </c>
      <c r="O60" s="114" t="s">
        <v>86</v>
      </c>
      <c r="P60">
        <v>0.90255021855933004</v>
      </c>
      <c r="Q60">
        <v>0.91076701362779999</v>
      </c>
      <c r="R60">
        <v>0.17814480680320699</v>
      </c>
      <c r="S60">
        <v>5.7738392678018703E-2</v>
      </c>
      <c r="T60">
        <v>3.1104538759854599</v>
      </c>
      <c r="U60">
        <v>3.1104538759854599</v>
      </c>
      <c r="V60">
        <v>7.96</v>
      </c>
      <c r="W60">
        <v>2.3199999999999998</v>
      </c>
      <c r="X60">
        <v>211040</v>
      </c>
      <c r="Y60">
        <v>10050</v>
      </c>
      <c r="Z60">
        <v>0.44</v>
      </c>
      <c r="AA60">
        <v>21</v>
      </c>
      <c r="AB60">
        <v>11</v>
      </c>
      <c r="AC60">
        <v>10</v>
      </c>
      <c r="AD60">
        <v>52.38</v>
      </c>
      <c r="AE60">
        <v>13</v>
      </c>
      <c r="AF60">
        <v>5</v>
      </c>
      <c r="AG60">
        <v>3</v>
      </c>
      <c r="AH60">
        <v>13</v>
      </c>
    </row>
    <row r="61" spans="1:34">
      <c r="A61" s="110">
        <v>92</v>
      </c>
      <c r="B61">
        <v>6674</v>
      </c>
      <c r="C61" s="114" t="s">
        <v>406</v>
      </c>
      <c r="D61" s="114" t="s">
        <v>115</v>
      </c>
      <c r="E61">
        <v>2273</v>
      </c>
      <c r="F61">
        <v>2291</v>
      </c>
      <c r="G61">
        <v>400</v>
      </c>
      <c r="H61" s="114" t="s">
        <v>88</v>
      </c>
      <c r="I61">
        <v>6752</v>
      </c>
      <c r="J61" s="114" t="s">
        <v>134</v>
      </c>
      <c r="K61" s="114" t="s">
        <v>115</v>
      </c>
      <c r="L61">
        <v>1018.5</v>
      </c>
      <c r="M61">
        <v>1029.5</v>
      </c>
      <c r="N61">
        <v>900</v>
      </c>
      <c r="O61" s="114" t="s">
        <v>86</v>
      </c>
      <c r="P61">
        <v>0.94488475626016899</v>
      </c>
      <c r="Q61">
        <v>0.92151781495841001</v>
      </c>
      <c r="R61">
        <v>4.1753631602739101E-2</v>
      </c>
      <c r="S61">
        <v>0.23158948203236099</v>
      </c>
      <c r="T61">
        <v>0.85937833650011297</v>
      </c>
      <c r="U61">
        <v>0.85937833650011297</v>
      </c>
      <c r="V61">
        <v>2.73</v>
      </c>
      <c r="W61">
        <v>1.1100000000000001</v>
      </c>
      <c r="X61">
        <v>208764</v>
      </c>
      <c r="Y61">
        <v>13048</v>
      </c>
      <c r="Z61">
        <v>0.75</v>
      </c>
      <c r="AA61">
        <v>16</v>
      </c>
      <c r="AB61">
        <v>10</v>
      </c>
      <c r="AC61">
        <v>6</v>
      </c>
      <c r="AD61">
        <v>62.5</v>
      </c>
      <c r="AE61">
        <v>12</v>
      </c>
      <c r="AF61">
        <v>6</v>
      </c>
      <c r="AG61">
        <v>2</v>
      </c>
      <c r="AH61">
        <v>8</v>
      </c>
    </row>
    <row r="62" spans="1:34">
      <c r="A62" s="110">
        <v>140</v>
      </c>
      <c r="B62">
        <v>5333</v>
      </c>
      <c r="C62" s="114" t="s">
        <v>414</v>
      </c>
      <c r="D62" s="114" t="s">
        <v>135</v>
      </c>
      <c r="E62">
        <v>1820</v>
      </c>
      <c r="F62">
        <v>1837</v>
      </c>
      <c r="G62">
        <v>600</v>
      </c>
      <c r="H62" s="114" t="s">
        <v>88</v>
      </c>
      <c r="I62">
        <v>6995</v>
      </c>
      <c r="J62" s="114" t="s">
        <v>120</v>
      </c>
      <c r="K62" s="114" t="s">
        <v>112</v>
      </c>
      <c r="L62">
        <v>2127</v>
      </c>
      <c r="M62">
        <v>2125</v>
      </c>
      <c r="N62">
        <v>500</v>
      </c>
      <c r="O62" s="114" t="s">
        <v>86</v>
      </c>
      <c r="P62">
        <v>0.96966586031516999</v>
      </c>
      <c r="Q62">
        <v>0.91066220182148905</v>
      </c>
      <c r="R62">
        <v>9.2962102676659095E-2</v>
      </c>
      <c r="S62">
        <v>3.4479461439493597E-2</v>
      </c>
      <c r="T62">
        <v>0.57667078929457405</v>
      </c>
      <c r="U62">
        <v>0.57667078929457405</v>
      </c>
      <c r="V62">
        <v>1.66</v>
      </c>
      <c r="W62">
        <v>3.74</v>
      </c>
      <c r="X62">
        <v>207740</v>
      </c>
      <c r="Y62">
        <v>11541</v>
      </c>
      <c r="Z62">
        <v>0.59</v>
      </c>
      <c r="AA62">
        <v>18</v>
      </c>
      <c r="AB62">
        <v>12</v>
      </c>
      <c r="AC62">
        <v>6</v>
      </c>
      <c r="AD62">
        <v>66.67</v>
      </c>
      <c r="AE62">
        <v>15</v>
      </c>
      <c r="AF62">
        <v>4</v>
      </c>
      <c r="AG62">
        <v>2</v>
      </c>
      <c r="AH62">
        <v>12</v>
      </c>
    </row>
    <row r="63" spans="1:34">
      <c r="A63" s="110">
        <v>153</v>
      </c>
      <c r="B63">
        <v>4183</v>
      </c>
      <c r="C63" s="114" t="s">
        <v>361</v>
      </c>
      <c r="D63" s="114" t="s">
        <v>87</v>
      </c>
      <c r="E63">
        <v>2605</v>
      </c>
      <c r="F63">
        <v>2628</v>
      </c>
      <c r="G63">
        <v>400</v>
      </c>
      <c r="H63" s="114" t="s">
        <v>86</v>
      </c>
      <c r="I63">
        <v>4208</v>
      </c>
      <c r="J63" s="114" t="s">
        <v>127</v>
      </c>
      <c r="K63" s="114" t="s">
        <v>87</v>
      </c>
      <c r="L63">
        <v>2356</v>
      </c>
      <c r="M63">
        <v>2356</v>
      </c>
      <c r="N63">
        <v>400</v>
      </c>
      <c r="O63" s="114" t="s">
        <v>88</v>
      </c>
      <c r="P63">
        <v>0.95727415949963102</v>
      </c>
      <c r="Q63">
        <v>0.90927715817483601</v>
      </c>
      <c r="R63">
        <v>2.0591539733904201E-3</v>
      </c>
      <c r="S63">
        <v>4.8373804332503802E-2</v>
      </c>
      <c r="T63">
        <v>-0.67245946952051705</v>
      </c>
      <c r="U63">
        <v>0.67245946952051705</v>
      </c>
      <c r="V63">
        <v>-0.99</v>
      </c>
      <c r="W63">
        <v>10.35</v>
      </c>
      <c r="X63">
        <v>207621</v>
      </c>
      <c r="Y63">
        <v>20762</v>
      </c>
      <c r="Z63">
        <v>1.0900000000000001</v>
      </c>
      <c r="AA63">
        <v>10</v>
      </c>
      <c r="AB63">
        <v>9</v>
      </c>
      <c r="AC63">
        <v>1</v>
      </c>
      <c r="AD63">
        <v>90</v>
      </c>
      <c r="AE63">
        <v>14</v>
      </c>
      <c r="AF63">
        <v>3</v>
      </c>
      <c r="AG63">
        <v>0</v>
      </c>
      <c r="AH63">
        <v>7</v>
      </c>
    </row>
    <row r="64" spans="1:34">
      <c r="A64" s="110">
        <v>198</v>
      </c>
      <c r="B64">
        <v>7167</v>
      </c>
      <c r="C64" s="114" t="s">
        <v>129</v>
      </c>
      <c r="D64" s="114" t="s">
        <v>110</v>
      </c>
      <c r="E64">
        <v>281</v>
      </c>
      <c r="F64">
        <v>282</v>
      </c>
      <c r="G64">
        <v>3800</v>
      </c>
      <c r="H64" s="114" t="s">
        <v>88</v>
      </c>
      <c r="I64">
        <v>9072</v>
      </c>
      <c r="J64" s="114" t="s">
        <v>158</v>
      </c>
      <c r="K64" s="114" t="s">
        <v>148</v>
      </c>
      <c r="L64">
        <v>2687</v>
      </c>
      <c r="M64">
        <v>2685</v>
      </c>
      <c r="N64">
        <v>400</v>
      </c>
      <c r="O64" s="114" t="s">
        <v>86</v>
      </c>
      <c r="P64">
        <v>0.91786105244699501</v>
      </c>
      <c r="Q64">
        <v>0.90038160959197699</v>
      </c>
      <c r="R64">
        <v>0.33119134408526502</v>
      </c>
      <c r="S64" s="20">
        <v>5.4744362154116703E-2</v>
      </c>
      <c r="T64">
        <v>0.29104200966239002</v>
      </c>
      <c r="U64">
        <v>0.29104200966239002</v>
      </c>
      <c r="V64">
        <v>0.83</v>
      </c>
      <c r="W64">
        <v>0.22</v>
      </c>
      <c r="X64">
        <v>206958</v>
      </c>
      <c r="Y64">
        <v>12935</v>
      </c>
      <c r="Z64">
        <v>0.73</v>
      </c>
      <c r="AA64">
        <v>16</v>
      </c>
      <c r="AB64">
        <v>10</v>
      </c>
      <c r="AC64">
        <v>6</v>
      </c>
      <c r="AD64">
        <v>62.5</v>
      </c>
      <c r="AE64">
        <v>14</v>
      </c>
      <c r="AF64">
        <v>6</v>
      </c>
      <c r="AG64">
        <v>2</v>
      </c>
      <c r="AH64">
        <v>8</v>
      </c>
    </row>
    <row r="65" spans="1:34">
      <c r="A65" s="110">
        <v>36</v>
      </c>
      <c r="B65">
        <v>3291</v>
      </c>
      <c r="C65" s="114" t="s">
        <v>142</v>
      </c>
      <c r="D65" s="114" t="s">
        <v>143</v>
      </c>
      <c r="E65">
        <v>1934</v>
      </c>
      <c r="F65">
        <v>1911</v>
      </c>
      <c r="G65">
        <v>500</v>
      </c>
      <c r="H65" s="114" t="s">
        <v>88</v>
      </c>
      <c r="I65">
        <v>8086</v>
      </c>
      <c r="J65" s="114" t="s">
        <v>359</v>
      </c>
      <c r="K65" s="114" t="s">
        <v>122</v>
      </c>
      <c r="L65">
        <v>1310</v>
      </c>
      <c r="M65">
        <v>1305</v>
      </c>
      <c r="N65">
        <v>700</v>
      </c>
      <c r="O65" s="114" t="s">
        <v>86</v>
      </c>
      <c r="P65">
        <v>0.91187312164916401</v>
      </c>
      <c r="Q65">
        <v>0.94060553601630703</v>
      </c>
      <c r="R65">
        <v>2.9353730170975999E-2</v>
      </c>
      <c r="S65">
        <v>6.14752244979437E-4</v>
      </c>
      <c r="T65">
        <v>0.57372730904580804</v>
      </c>
      <c r="U65">
        <v>0.57372730904580804</v>
      </c>
      <c r="V65">
        <v>1.43</v>
      </c>
      <c r="W65">
        <v>4.4000000000000004</v>
      </c>
      <c r="X65">
        <v>204433</v>
      </c>
      <c r="Y65">
        <v>17036</v>
      </c>
      <c r="Z65">
        <v>0.89</v>
      </c>
      <c r="AA65">
        <v>12</v>
      </c>
      <c r="AB65">
        <v>8</v>
      </c>
      <c r="AC65">
        <v>4</v>
      </c>
      <c r="AD65">
        <v>66.67</v>
      </c>
      <c r="AE65">
        <v>10</v>
      </c>
      <c r="AF65">
        <v>6</v>
      </c>
      <c r="AG65">
        <v>3</v>
      </c>
      <c r="AH65">
        <v>3</v>
      </c>
    </row>
    <row r="66" spans="1:34">
      <c r="A66" s="110">
        <v>75</v>
      </c>
      <c r="B66">
        <v>6807</v>
      </c>
      <c r="C66" s="114" t="s">
        <v>415</v>
      </c>
      <c r="D66" s="114" t="s">
        <v>115</v>
      </c>
      <c r="E66">
        <v>2076</v>
      </c>
      <c r="F66">
        <v>2115</v>
      </c>
      <c r="G66">
        <v>400</v>
      </c>
      <c r="H66" s="114" t="s">
        <v>86</v>
      </c>
      <c r="I66">
        <v>7274</v>
      </c>
      <c r="J66" s="114" t="s">
        <v>416</v>
      </c>
      <c r="K66" s="114" t="s">
        <v>112</v>
      </c>
      <c r="L66">
        <v>2278</v>
      </c>
      <c r="M66">
        <v>2278</v>
      </c>
      <c r="N66">
        <v>400</v>
      </c>
      <c r="O66" s="114" t="s">
        <v>88</v>
      </c>
      <c r="P66">
        <v>0.98652009655948303</v>
      </c>
      <c r="Q66">
        <v>0.92539724015133995</v>
      </c>
      <c r="R66">
        <v>2.5012525031676598E-4</v>
      </c>
      <c r="S66">
        <v>0.16498768604403899</v>
      </c>
      <c r="T66">
        <v>-1.15377005415275</v>
      </c>
      <c r="U66">
        <v>1.15377005415275</v>
      </c>
      <c r="V66">
        <v>-7.91</v>
      </c>
      <c r="W66">
        <v>7.16</v>
      </c>
      <c r="X66">
        <v>203868</v>
      </c>
      <c r="Y66">
        <v>11326</v>
      </c>
      <c r="Z66">
        <v>0.46</v>
      </c>
      <c r="AA66">
        <v>18</v>
      </c>
      <c r="AB66">
        <v>11</v>
      </c>
      <c r="AC66">
        <v>7</v>
      </c>
      <c r="AD66">
        <v>61.11</v>
      </c>
      <c r="AE66">
        <v>11</v>
      </c>
      <c r="AF66">
        <v>9</v>
      </c>
      <c r="AG66">
        <v>4</v>
      </c>
      <c r="AH66">
        <v>5</v>
      </c>
    </row>
    <row r="67" spans="1:34">
      <c r="A67" s="110">
        <v>27</v>
      </c>
      <c r="B67">
        <v>4182</v>
      </c>
      <c r="C67" s="114" t="s">
        <v>116</v>
      </c>
      <c r="D67" s="114" t="s">
        <v>87</v>
      </c>
      <c r="E67">
        <v>1684</v>
      </c>
      <c r="F67">
        <v>1694</v>
      </c>
      <c r="G67">
        <v>600</v>
      </c>
      <c r="H67" s="114" t="s">
        <v>86</v>
      </c>
      <c r="I67">
        <v>5802</v>
      </c>
      <c r="J67" s="114" t="s">
        <v>163</v>
      </c>
      <c r="K67" s="114" t="s">
        <v>164</v>
      </c>
      <c r="L67">
        <v>1650</v>
      </c>
      <c r="M67">
        <v>1664</v>
      </c>
      <c r="N67">
        <v>600</v>
      </c>
      <c r="O67" s="114" t="s">
        <v>88</v>
      </c>
      <c r="P67">
        <v>0.97300787801837696</v>
      </c>
      <c r="Q67">
        <v>0.94296026509782704</v>
      </c>
      <c r="R67">
        <v>7.7035210612639002E-2</v>
      </c>
      <c r="S67">
        <v>4.7311719366563898E-3</v>
      </c>
      <c r="T67">
        <v>-0.856156730614271</v>
      </c>
      <c r="U67">
        <v>0.856156730614271</v>
      </c>
      <c r="V67">
        <v>-2</v>
      </c>
      <c r="W67">
        <v>1.77</v>
      </c>
      <c r="X67">
        <v>202282</v>
      </c>
      <c r="Y67">
        <v>11238</v>
      </c>
      <c r="Z67">
        <v>0.67</v>
      </c>
      <c r="AA67">
        <v>18</v>
      </c>
      <c r="AB67">
        <v>11</v>
      </c>
      <c r="AC67">
        <v>7</v>
      </c>
      <c r="AD67">
        <v>61.11</v>
      </c>
      <c r="AE67">
        <v>13</v>
      </c>
      <c r="AF67">
        <v>7</v>
      </c>
      <c r="AG67">
        <v>4</v>
      </c>
      <c r="AH67">
        <v>7</v>
      </c>
    </row>
    <row r="68" spans="1:34">
      <c r="A68" s="110">
        <v>178</v>
      </c>
      <c r="B68">
        <v>1820</v>
      </c>
      <c r="C68" s="114" t="s">
        <v>151</v>
      </c>
      <c r="D68" s="114" t="s">
        <v>105</v>
      </c>
      <c r="E68">
        <v>2397</v>
      </c>
      <c r="F68">
        <v>2440</v>
      </c>
      <c r="G68">
        <v>400</v>
      </c>
      <c r="H68" s="114" t="s">
        <v>88</v>
      </c>
      <c r="I68">
        <v>4202</v>
      </c>
      <c r="J68" s="114" t="s">
        <v>118</v>
      </c>
      <c r="K68" s="114" t="s">
        <v>87</v>
      </c>
      <c r="L68">
        <v>1072</v>
      </c>
      <c r="M68">
        <v>1082</v>
      </c>
      <c r="N68">
        <v>900</v>
      </c>
      <c r="O68" s="114" t="s">
        <v>86</v>
      </c>
      <c r="P68">
        <v>0.95707490138786</v>
      </c>
      <c r="Q68">
        <v>0.90440707416267196</v>
      </c>
      <c r="R68">
        <v>0.15607513313985499</v>
      </c>
      <c r="S68">
        <v>0.10420065789640701</v>
      </c>
      <c r="T68">
        <v>0.44328986144743199</v>
      </c>
      <c r="U68">
        <v>0.44328986144743199</v>
      </c>
      <c r="V68">
        <v>1.44</v>
      </c>
      <c r="W68">
        <v>0.23</v>
      </c>
      <c r="X68">
        <v>201090</v>
      </c>
      <c r="Y68">
        <v>10584</v>
      </c>
      <c r="Z68">
        <v>0.56999999999999995</v>
      </c>
      <c r="AA68">
        <v>19</v>
      </c>
      <c r="AB68">
        <v>12</v>
      </c>
      <c r="AC68">
        <v>7</v>
      </c>
      <c r="AD68">
        <v>63.16</v>
      </c>
      <c r="AE68">
        <v>12</v>
      </c>
      <c r="AF68">
        <v>7</v>
      </c>
      <c r="AG68">
        <v>3</v>
      </c>
      <c r="AH68">
        <v>9</v>
      </c>
    </row>
    <row r="69" spans="1:34">
      <c r="A69" s="110">
        <v>48</v>
      </c>
      <c r="B69">
        <v>7267</v>
      </c>
      <c r="C69" s="114" t="s">
        <v>147</v>
      </c>
      <c r="D69" s="114" t="s">
        <v>112</v>
      </c>
      <c r="E69">
        <v>3065</v>
      </c>
      <c r="F69">
        <v>3105</v>
      </c>
      <c r="G69">
        <v>300</v>
      </c>
      <c r="H69" s="114" t="s">
        <v>86</v>
      </c>
      <c r="I69">
        <v>7272</v>
      </c>
      <c r="J69" s="114" t="s">
        <v>358</v>
      </c>
      <c r="K69" s="114" t="s">
        <v>112</v>
      </c>
      <c r="L69">
        <v>2267</v>
      </c>
      <c r="M69">
        <v>2272</v>
      </c>
      <c r="N69">
        <v>400</v>
      </c>
      <c r="O69" s="114" t="s">
        <v>88</v>
      </c>
      <c r="P69">
        <v>0.90598601565607795</v>
      </c>
      <c r="Q69">
        <v>0.93479515099436605</v>
      </c>
      <c r="R69" s="20">
        <v>0.36297023270707701</v>
      </c>
      <c r="S69" s="20">
        <v>6.3451829357079403E-6</v>
      </c>
      <c r="T69">
        <v>-1.0040134472609801</v>
      </c>
      <c r="U69">
        <v>1.0040134472609801</v>
      </c>
      <c r="V69">
        <v>-3.81</v>
      </c>
      <c r="W69">
        <v>2.44</v>
      </c>
      <c r="X69">
        <v>200324</v>
      </c>
      <c r="Y69">
        <v>16694</v>
      </c>
      <c r="Z69">
        <v>0.8</v>
      </c>
      <c r="AA69">
        <v>12</v>
      </c>
      <c r="AB69">
        <v>8</v>
      </c>
      <c r="AC69">
        <v>4</v>
      </c>
      <c r="AD69">
        <v>66.67</v>
      </c>
      <c r="AE69">
        <v>16</v>
      </c>
      <c r="AF69">
        <v>3</v>
      </c>
      <c r="AG69">
        <v>1</v>
      </c>
      <c r="AH69">
        <v>8</v>
      </c>
    </row>
    <row r="70" spans="1:34">
      <c r="A70" s="110">
        <v>192</v>
      </c>
      <c r="B70">
        <v>6471</v>
      </c>
      <c r="C70" s="114" t="s">
        <v>172</v>
      </c>
      <c r="D70" s="114" t="s">
        <v>128</v>
      </c>
      <c r="E70">
        <v>1049</v>
      </c>
      <c r="F70">
        <v>1062</v>
      </c>
      <c r="G70">
        <v>800</v>
      </c>
      <c r="H70" s="114" t="s">
        <v>86</v>
      </c>
      <c r="I70">
        <v>7259</v>
      </c>
      <c r="J70" s="114" t="s">
        <v>54</v>
      </c>
      <c r="K70" s="114" t="s">
        <v>112</v>
      </c>
      <c r="L70">
        <v>4210</v>
      </c>
      <c r="M70">
        <v>4235</v>
      </c>
      <c r="N70">
        <v>200</v>
      </c>
      <c r="O70" s="114" t="s">
        <v>88</v>
      </c>
      <c r="P70">
        <v>0.93990473596745905</v>
      </c>
      <c r="Q70">
        <v>0.90118130254384599</v>
      </c>
      <c r="R70" s="20">
        <v>3.4289045722204199E-3</v>
      </c>
      <c r="S70">
        <v>2.0767965577153099E-2</v>
      </c>
      <c r="T70">
        <v>-1.35932974089643</v>
      </c>
      <c r="U70">
        <v>1.35932974089643</v>
      </c>
      <c r="V70">
        <v>-5.67</v>
      </c>
      <c r="W70">
        <v>0.31</v>
      </c>
      <c r="X70">
        <v>199833</v>
      </c>
      <c r="Y70">
        <v>9516</v>
      </c>
      <c r="Z70">
        <v>0.62</v>
      </c>
      <c r="AA70">
        <v>21</v>
      </c>
      <c r="AB70">
        <v>14</v>
      </c>
      <c r="AC70">
        <v>7</v>
      </c>
      <c r="AD70">
        <v>66.67</v>
      </c>
      <c r="AE70">
        <v>12</v>
      </c>
      <c r="AF70">
        <v>8</v>
      </c>
      <c r="AG70">
        <v>4</v>
      </c>
      <c r="AH70">
        <v>9</v>
      </c>
    </row>
    <row r="71" spans="1:34">
      <c r="A71" s="110">
        <v>90</v>
      </c>
      <c r="B71">
        <v>8279</v>
      </c>
      <c r="C71" s="114" t="s">
        <v>381</v>
      </c>
      <c r="D71" s="114" t="s">
        <v>124</v>
      </c>
      <c r="E71">
        <v>5110</v>
      </c>
      <c r="F71">
        <v>5140</v>
      </c>
      <c r="G71">
        <v>200</v>
      </c>
      <c r="H71" s="114" t="s">
        <v>86</v>
      </c>
      <c r="I71">
        <v>9505</v>
      </c>
      <c r="J71" s="114" t="s">
        <v>155</v>
      </c>
      <c r="K71" s="114" t="s">
        <v>156</v>
      </c>
      <c r="L71">
        <v>781</v>
      </c>
      <c r="M71">
        <v>780</v>
      </c>
      <c r="N71">
        <v>1300</v>
      </c>
      <c r="O71" s="114" t="s">
        <v>88</v>
      </c>
      <c r="P71">
        <v>0.92296602200142697</v>
      </c>
      <c r="Q71">
        <v>0.922181498097012</v>
      </c>
      <c r="R71">
        <v>6.52136315155461E-2</v>
      </c>
      <c r="S71">
        <v>0.215613510454054</v>
      </c>
      <c r="T71">
        <v>-0.598944252085303</v>
      </c>
      <c r="U71">
        <v>0.598944252085303</v>
      </c>
      <c r="V71">
        <v>-2.76</v>
      </c>
      <c r="W71">
        <v>1.36</v>
      </c>
      <c r="X71">
        <v>199119</v>
      </c>
      <c r="Y71">
        <v>8657</v>
      </c>
      <c r="Z71">
        <v>0.9</v>
      </c>
      <c r="AA71">
        <v>23</v>
      </c>
      <c r="AB71">
        <v>14</v>
      </c>
      <c r="AC71">
        <v>9</v>
      </c>
      <c r="AD71">
        <v>60.87</v>
      </c>
      <c r="AE71">
        <v>12</v>
      </c>
      <c r="AF71">
        <v>13</v>
      </c>
      <c r="AG71">
        <v>4</v>
      </c>
      <c r="AH71">
        <v>6</v>
      </c>
    </row>
    <row r="72" spans="1:34">
      <c r="A72" s="110">
        <v>31</v>
      </c>
      <c r="B72">
        <v>7846</v>
      </c>
      <c r="C72" s="114" t="s">
        <v>154</v>
      </c>
      <c r="D72" s="114" t="s">
        <v>117</v>
      </c>
      <c r="E72">
        <v>4225</v>
      </c>
      <c r="F72">
        <v>4215</v>
      </c>
      <c r="G72">
        <v>200</v>
      </c>
      <c r="H72" s="114" t="s">
        <v>86</v>
      </c>
      <c r="I72">
        <v>9505</v>
      </c>
      <c r="J72" s="114" t="s">
        <v>155</v>
      </c>
      <c r="K72" s="114" t="s">
        <v>156</v>
      </c>
      <c r="L72">
        <v>781</v>
      </c>
      <c r="M72">
        <v>780</v>
      </c>
      <c r="N72">
        <v>1100</v>
      </c>
      <c r="O72" s="114" t="s">
        <v>88</v>
      </c>
      <c r="P72">
        <v>0.93387679009941404</v>
      </c>
      <c r="Q72">
        <v>0.94142826083296904</v>
      </c>
      <c r="R72">
        <v>5.2537563938257599E-2</v>
      </c>
      <c r="S72" s="20">
        <v>4.78339095218034E-2</v>
      </c>
      <c r="T72">
        <v>-0.63574999517326602</v>
      </c>
      <c r="U72">
        <v>0.63574999517326602</v>
      </c>
      <c r="V72">
        <v>-1.22</v>
      </c>
      <c r="W72">
        <v>1.78</v>
      </c>
      <c r="X72">
        <v>198192</v>
      </c>
      <c r="Y72">
        <v>9438</v>
      </c>
      <c r="Z72">
        <v>0.55000000000000004</v>
      </c>
      <c r="AA72">
        <v>21</v>
      </c>
      <c r="AB72">
        <v>11</v>
      </c>
      <c r="AC72">
        <v>10</v>
      </c>
      <c r="AD72">
        <v>52.38</v>
      </c>
      <c r="AE72">
        <v>11</v>
      </c>
      <c r="AF72">
        <v>8</v>
      </c>
      <c r="AG72">
        <v>4</v>
      </c>
      <c r="AH72">
        <v>9</v>
      </c>
    </row>
    <row r="73" spans="1:34">
      <c r="A73" s="110">
        <v>5</v>
      </c>
      <c r="B73">
        <v>4182</v>
      </c>
      <c r="C73" s="114" t="s">
        <v>116</v>
      </c>
      <c r="D73" s="114" t="s">
        <v>87</v>
      </c>
      <c r="E73">
        <v>1684</v>
      </c>
      <c r="F73">
        <v>1694</v>
      </c>
      <c r="G73">
        <v>600</v>
      </c>
      <c r="H73" s="114" t="s">
        <v>88</v>
      </c>
      <c r="I73">
        <v>5991</v>
      </c>
      <c r="J73" s="114" t="s">
        <v>144</v>
      </c>
      <c r="K73" s="114" t="s">
        <v>145</v>
      </c>
      <c r="L73">
        <v>964</v>
      </c>
      <c r="M73">
        <v>978</v>
      </c>
      <c r="N73">
        <v>1000</v>
      </c>
      <c r="O73" s="114" t="s">
        <v>86</v>
      </c>
      <c r="P73">
        <v>0.96835697589919401</v>
      </c>
      <c r="Q73">
        <v>0.958234611412078</v>
      </c>
      <c r="R73">
        <v>0.15270585194663999</v>
      </c>
      <c r="S73">
        <v>3.24863911087824E-3</v>
      </c>
      <c r="T73">
        <v>0.29341673713500599</v>
      </c>
      <c r="U73">
        <v>0.29341673713500599</v>
      </c>
      <c r="V73">
        <v>0.57999999999999996</v>
      </c>
      <c r="W73">
        <v>3.78</v>
      </c>
      <c r="X73">
        <v>196981</v>
      </c>
      <c r="Y73">
        <v>10367</v>
      </c>
      <c r="Z73">
        <v>0.49</v>
      </c>
      <c r="AA73">
        <v>19</v>
      </c>
      <c r="AB73">
        <v>11</v>
      </c>
      <c r="AC73">
        <v>8</v>
      </c>
      <c r="AD73">
        <v>57.89</v>
      </c>
      <c r="AE73">
        <v>12</v>
      </c>
      <c r="AF73">
        <v>7</v>
      </c>
      <c r="AG73">
        <v>3</v>
      </c>
      <c r="AH73">
        <v>9</v>
      </c>
    </row>
    <row r="74" spans="1:34">
      <c r="A74" s="110">
        <v>14</v>
      </c>
      <c r="B74">
        <v>7181</v>
      </c>
      <c r="C74" s="114" t="s">
        <v>171</v>
      </c>
      <c r="D74" s="114" t="s">
        <v>139</v>
      </c>
      <c r="E74">
        <v>1885</v>
      </c>
      <c r="F74">
        <v>1903</v>
      </c>
      <c r="G74">
        <v>500</v>
      </c>
      <c r="H74" s="114" t="s">
        <v>88</v>
      </c>
      <c r="I74">
        <v>9956</v>
      </c>
      <c r="J74" s="114" t="s">
        <v>383</v>
      </c>
      <c r="K74" s="114" t="s">
        <v>124</v>
      </c>
      <c r="L74">
        <v>2041</v>
      </c>
      <c r="M74">
        <v>2030</v>
      </c>
      <c r="N74">
        <v>500</v>
      </c>
      <c r="O74" s="114" t="s">
        <v>86</v>
      </c>
      <c r="P74">
        <v>0.92833371831961697</v>
      </c>
      <c r="Q74">
        <v>0.95005550821547402</v>
      </c>
      <c r="R74">
        <v>0.17401404645763499</v>
      </c>
      <c r="S74">
        <v>0.27533302075104998</v>
      </c>
      <c r="T74">
        <v>1.92039370023163</v>
      </c>
      <c r="U74">
        <v>1.92039370023163</v>
      </c>
      <c r="V74">
        <v>4.5599999999999996</v>
      </c>
      <c r="W74">
        <v>6.26</v>
      </c>
      <c r="X74">
        <v>196402</v>
      </c>
      <c r="Y74">
        <v>15108</v>
      </c>
      <c r="Z74">
        <v>0.7</v>
      </c>
      <c r="AA74">
        <v>13</v>
      </c>
      <c r="AB74">
        <v>9</v>
      </c>
      <c r="AC74">
        <v>4</v>
      </c>
      <c r="AD74">
        <v>69.23</v>
      </c>
      <c r="AE74">
        <v>14</v>
      </c>
      <c r="AF74">
        <v>3</v>
      </c>
      <c r="AG74">
        <v>1</v>
      </c>
      <c r="AH74">
        <v>9</v>
      </c>
    </row>
    <row r="75" spans="1:34">
      <c r="A75" s="110">
        <v>60</v>
      </c>
      <c r="B75">
        <v>2379</v>
      </c>
      <c r="C75" s="114" t="s">
        <v>382</v>
      </c>
      <c r="D75" s="114" t="s">
        <v>149</v>
      </c>
      <c r="E75">
        <v>3110</v>
      </c>
      <c r="F75">
        <v>3175</v>
      </c>
      <c r="G75">
        <v>300</v>
      </c>
      <c r="H75" s="114" t="s">
        <v>88</v>
      </c>
      <c r="I75">
        <v>9437</v>
      </c>
      <c r="J75" s="114" t="s">
        <v>417</v>
      </c>
      <c r="K75" s="114" t="s">
        <v>107</v>
      </c>
      <c r="L75">
        <v>3007</v>
      </c>
      <c r="M75">
        <v>3010</v>
      </c>
      <c r="N75">
        <v>300</v>
      </c>
      <c r="O75" s="114" t="s">
        <v>86</v>
      </c>
      <c r="P75">
        <v>0.90916969651222801</v>
      </c>
      <c r="Q75">
        <v>0.93069867598306499</v>
      </c>
      <c r="R75">
        <v>6.3296148924853898E-2</v>
      </c>
      <c r="S75" s="20">
        <v>6.4290693121195105E-2</v>
      </c>
      <c r="T75">
        <v>1.6641109987301901</v>
      </c>
      <c r="U75">
        <v>1.6641109987301901</v>
      </c>
      <c r="V75">
        <v>9.4499999999999993</v>
      </c>
      <c r="W75">
        <v>5.2</v>
      </c>
      <c r="X75">
        <v>196308</v>
      </c>
      <c r="Y75">
        <v>9348</v>
      </c>
      <c r="Z75">
        <v>0.5</v>
      </c>
      <c r="AA75">
        <v>21</v>
      </c>
      <c r="AB75">
        <v>11</v>
      </c>
      <c r="AC75">
        <v>10</v>
      </c>
      <c r="AD75">
        <v>52.38</v>
      </c>
      <c r="AE75">
        <v>10</v>
      </c>
      <c r="AF75">
        <v>8</v>
      </c>
      <c r="AG75">
        <v>6</v>
      </c>
      <c r="AH75">
        <v>7</v>
      </c>
    </row>
    <row r="76" spans="1:34">
      <c r="A76" s="110">
        <v>68</v>
      </c>
      <c r="B76">
        <v>7846</v>
      </c>
      <c r="C76" s="114" t="s">
        <v>154</v>
      </c>
      <c r="D76" s="114" t="s">
        <v>117</v>
      </c>
      <c r="E76">
        <v>4225</v>
      </c>
      <c r="F76">
        <v>4215</v>
      </c>
      <c r="G76">
        <v>200</v>
      </c>
      <c r="H76" s="114" t="s">
        <v>88</v>
      </c>
      <c r="I76">
        <v>8279</v>
      </c>
      <c r="J76" s="114" t="s">
        <v>381</v>
      </c>
      <c r="K76" s="114" t="s">
        <v>124</v>
      </c>
      <c r="L76">
        <v>5110</v>
      </c>
      <c r="M76">
        <v>5140</v>
      </c>
      <c r="N76">
        <v>200</v>
      </c>
      <c r="O76" s="114" t="s">
        <v>86</v>
      </c>
      <c r="P76">
        <v>0.90008227693787402</v>
      </c>
      <c r="Q76">
        <v>0.92755665205385596</v>
      </c>
      <c r="R76">
        <v>0.115517857134094</v>
      </c>
      <c r="S76">
        <v>9.1748532214237198E-3</v>
      </c>
      <c r="T76">
        <v>0.35773460695807802</v>
      </c>
      <c r="U76">
        <v>0.35773460695807802</v>
      </c>
      <c r="V76">
        <v>1.35</v>
      </c>
      <c r="W76">
        <v>18</v>
      </c>
      <c r="X76">
        <v>194518</v>
      </c>
      <c r="Y76">
        <v>17683</v>
      </c>
      <c r="Z76">
        <v>0.85</v>
      </c>
      <c r="AA76">
        <v>11</v>
      </c>
      <c r="AB76">
        <v>8</v>
      </c>
      <c r="AC76">
        <v>3</v>
      </c>
      <c r="AD76">
        <v>72.73</v>
      </c>
      <c r="AE76">
        <v>14</v>
      </c>
      <c r="AF76">
        <v>4</v>
      </c>
      <c r="AG76">
        <v>1</v>
      </c>
      <c r="AH76">
        <v>6</v>
      </c>
    </row>
    <row r="77" spans="1:34">
      <c r="A77" s="110">
        <v>155</v>
      </c>
      <c r="B77">
        <v>1963</v>
      </c>
      <c r="C77" s="114" t="s">
        <v>162</v>
      </c>
      <c r="D77" s="114" t="s">
        <v>105</v>
      </c>
      <c r="E77">
        <v>1600</v>
      </c>
      <c r="F77">
        <v>1636</v>
      </c>
      <c r="G77">
        <v>600</v>
      </c>
      <c r="H77" s="114" t="s">
        <v>86</v>
      </c>
      <c r="I77">
        <v>4182</v>
      </c>
      <c r="J77" s="114" t="s">
        <v>116</v>
      </c>
      <c r="K77" s="114" t="s">
        <v>87</v>
      </c>
      <c r="L77">
        <v>1684</v>
      </c>
      <c r="M77">
        <v>1694</v>
      </c>
      <c r="N77">
        <v>600</v>
      </c>
      <c r="O77" s="114" t="s">
        <v>88</v>
      </c>
      <c r="P77">
        <v>0.918830276148216</v>
      </c>
      <c r="Q77">
        <v>0.90880438077798398</v>
      </c>
      <c r="R77">
        <v>0.16963512264899799</v>
      </c>
      <c r="S77">
        <v>6.1488702562800704E-4</v>
      </c>
      <c r="T77">
        <v>-1.0221195002318</v>
      </c>
      <c r="U77">
        <v>1.0221195002318</v>
      </c>
      <c r="V77">
        <v>-2.98</v>
      </c>
      <c r="W77">
        <v>3.42</v>
      </c>
      <c r="X77">
        <v>193916</v>
      </c>
      <c r="Y77">
        <v>7757</v>
      </c>
      <c r="Z77">
        <v>0.39</v>
      </c>
      <c r="AA77">
        <v>25</v>
      </c>
      <c r="AB77">
        <v>15</v>
      </c>
      <c r="AC77">
        <v>10</v>
      </c>
      <c r="AD77">
        <v>60</v>
      </c>
      <c r="AE77">
        <v>9</v>
      </c>
      <c r="AF77">
        <v>12</v>
      </c>
      <c r="AG77">
        <v>9</v>
      </c>
      <c r="AH77">
        <v>4</v>
      </c>
    </row>
    <row r="78" spans="1:34">
      <c r="A78" s="110">
        <v>98</v>
      </c>
      <c r="B78">
        <v>6588</v>
      </c>
      <c r="C78" s="114" t="s">
        <v>1081</v>
      </c>
      <c r="D78" s="114" t="s">
        <v>115</v>
      </c>
      <c r="E78">
        <v>4430</v>
      </c>
      <c r="F78">
        <v>4445</v>
      </c>
      <c r="G78">
        <v>200</v>
      </c>
      <c r="H78" s="114" t="s">
        <v>88</v>
      </c>
      <c r="I78">
        <v>6702</v>
      </c>
      <c r="J78" s="114" t="s">
        <v>409</v>
      </c>
      <c r="K78" s="114" t="s">
        <v>115</v>
      </c>
      <c r="L78">
        <v>9923</v>
      </c>
      <c r="M78">
        <v>10130</v>
      </c>
      <c r="N78">
        <v>100</v>
      </c>
      <c r="O78" s="114" t="s">
        <v>86</v>
      </c>
      <c r="P78">
        <v>0.92718213669953298</v>
      </c>
      <c r="Q78">
        <v>0.92000434499424</v>
      </c>
      <c r="R78">
        <v>0.18404567545258599</v>
      </c>
      <c r="S78" s="20">
        <v>0.142668910276324</v>
      </c>
      <c r="T78">
        <v>1.3924117527305799</v>
      </c>
      <c r="U78">
        <v>1.3924117527305799</v>
      </c>
      <c r="V78">
        <v>8.94</v>
      </c>
      <c r="W78">
        <v>12.24</v>
      </c>
      <c r="X78">
        <v>187415</v>
      </c>
      <c r="Y78">
        <v>18742</v>
      </c>
      <c r="Z78">
        <v>1.0900000000000001</v>
      </c>
      <c r="AA78">
        <v>10</v>
      </c>
      <c r="AB78">
        <v>6</v>
      </c>
      <c r="AC78">
        <v>4</v>
      </c>
      <c r="AD78">
        <v>60</v>
      </c>
      <c r="AE78">
        <v>12</v>
      </c>
      <c r="AF78">
        <v>4</v>
      </c>
      <c r="AG78">
        <v>1</v>
      </c>
      <c r="AH78">
        <v>5</v>
      </c>
    </row>
    <row r="79" spans="1:34">
      <c r="A79" s="110">
        <v>91</v>
      </c>
      <c r="B79">
        <v>4208</v>
      </c>
      <c r="C79" s="114" t="s">
        <v>127</v>
      </c>
      <c r="D79" s="114" t="s">
        <v>87</v>
      </c>
      <c r="E79">
        <v>2356</v>
      </c>
      <c r="F79">
        <v>2356</v>
      </c>
      <c r="G79">
        <v>400</v>
      </c>
      <c r="H79" s="114" t="s">
        <v>86</v>
      </c>
      <c r="I79">
        <v>5334</v>
      </c>
      <c r="J79" s="114" t="s">
        <v>362</v>
      </c>
      <c r="K79" s="114" t="s">
        <v>135</v>
      </c>
      <c r="L79">
        <v>2184</v>
      </c>
      <c r="M79">
        <v>2192</v>
      </c>
      <c r="N79">
        <v>400</v>
      </c>
      <c r="O79" s="114" t="s">
        <v>88</v>
      </c>
      <c r="P79">
        <v>0.94276414084793903</v>
      </c>
      <c r="Q79">
        <v>0.92197076459149796</v>
      </c>
      <c r="R79" s="20">
        <v>1.9883016743191501E-2</v>
      </c>
      <c r="S79">
        <v>1.08840994048229E-3</v>
      </c>
      <c r="T79">
        <v>-0.15707164393383699</v>
      </c>
      <c r="U79">
        <v>0.15707164393383699</v>
      </c>
      <c r="V79">
        <v>-0.37</v>
      </c>
      <c r="W79">
        <v>6.96</v>
      </c>
      <c r="X79">
        <v>187255</v>
      </c>
      <c r="Y79">
        <v>9363</v>
      </c>
      <c r="Z79">
        <v>0.48</v>
      </c>
      <c r="AA79">
        <v>20</v>
      </c>
      <c r="AB79">
        <v>13</v>
      </c>
      <c r="AC79">
        <v>7</v>
      </c>
      <c r="AD79">
        <v>65</v>
      </c>
      <c r="AE79">
        <v>12</v>
      </c>
      <c r="AF79">
        <v>7</v>
      </c>
      <c r="AG79">
        <v>5</v>
      </c>
      <c r="AH79">
        <v>8</v>
      </c>
    </row>
    <row r="80" spans="1:34">
      <c r="A80" s="110">
        <v>194</v>
      </c>
      <c r="B80">
        <v>8002</v>
      </c>
      <c r="C80" s="114" t="s">
        <v>56</v>
      </c>
      <c r="D80" s="114" t="s">
        <v>130</v>
      </c>
      <c r="E80">
        <v>814.4</v>
      </c>
      <c r="F80">
        <v>815.2</v>
      </c>
      <c r="G80">
        <v>800</v>
      </c>
      <c r="H80" s="114" t="s">
        <v>86</v>
      </c>
      <c r="I80">
        <v>9062</v>
      </c>
      <c r="J80" s="114" t="s">
        <v>1082</v>
      </c>
      <c r="K80" s="114" t="s">
        <v>148</v>
      </c>
      <c r="L80">
        <v>6910</v>
      </c>
      <c r="M80">
        <v>6880</v>
      </c>
      <c r="N80">
        <v>100</v>
      </c>
      <c r="O80" s="114" t="s">
        <v>88</v>
      </c>
      <c r="P80">
        <v>0.92639403517548902</v>
      </c>
      <c r="Q80">
        <v>0.90100227511770603</v>
      </c>
      <c r="R80">
        <v>8.58710773377842E-3</v>
      </c>
      <c r="S80">
        <v>2.8331304286941701E-3</v>
      </c>
      <c r="T80">
        <v>-1.2409802684029501</v>
      </c>
      <c r="U80">
        <v>1.2409802684029501</v>
      </c>
      <c r="V80">
        <v>-5.51</v>
      </c>
      <c r="W80">
        <v>5.21</v>
      </c>
      <c r="X80">
        <v>187241</v>
      </c>
      <c r="Y80">
        <v>9362</v>
      </c>
      <c r="Z80">
        <v>0.65</v>
      </c>
      <c r="AA80">
        <v>20</v>
      </c>
      <c r="AB80">
        <v>12</v>
      </c>
      <c r="AC80">
        <v>8</v>
      </c>
      <c r="AD80">
        <v>60</v>
      </c>
      <c r="AE80">
        <v>12</v>
      </c>
      <c r="AF80">
        <v>8</v>
      </c>
      <c r="AG80">
        <v>5</v>
      </c>
      <c r="AH80">
        <v>7</v>
      </c>
    </row>
    <row r="81" spans="1:34">
      <c r="A81" s="110">
        <v>184</v>
      </c>
      <c r="B81">
        <v>6473</v>
      </c>
      <c r="C81" s="114" t="s">
        <v>166</v>
      </c>
      <c r="D81" s="114" t="s">
        <v>128</v>
      </c>
      <c r="E81">
        <v>1354</v>
      </c>
      <c r="F81">
        <v>1360</v>
      </c>
      <c r="G81">
        <v>800</v>
      </c>
      <c r="H81" s="114" t="s">
        <v>86</v>
      </c>
      <c r="I81">
        <v>6995</v>
      </c>
      <c r="J81" s="114" t="s">
        <v>120</v>
      </c>
      <c r="K81" s="114" t="s">
        <v>112</v>
      </c>
      <c r="L81">
        <v>2127</v>
      </c>
      <c r="M81">
        <v>2125</v>
      </c>
      <c r="N81">
        <v>500</v>
      </c>
      <c r="O81" s="114" t="s">
        <v>88</v>
      </c>
      <c r="P81">
        <v>0.95311435674008205</v>
      </c>
      <c r="Q81">
        <v>0.90357884036036695</v>
      </c>
      <c r="R81" s="20">
        <v>4.8538565245278198E-3</v>
      </c>
      <c r="S81">
        <v>0.21715322855334199</v>
      </c>
      <c r="T81">
        <v>-2.2708633573510202</v>
      </c>
      <c r="U81">
        <v>2.2708633573510202</v>
      </c>
      <c r="V81">
        <v>-5.78</v>
      </c>
      <c r="W81">
        <v>2.4</v>
      </c>
      <c r="X81">
        <v>185609</v>
      </c>
      <c r="Y81">
        <v>12374</v>
      </c>
      <c r="Z81">
        <v>0.62</v>
      </c>
      <c r="AA81">
        <v>15</v>
      </c>
      <c r="AB81">
        <v>10</v>
      </c>
      <c r="AC81">
        <v>5</v>
      </c>
      <c r="AD81">
        <v>66.67</v>
      </c>
      <c r="AE81">
        <v>12</v>
      </c>
      <c r="AF81">
        <v>5</v>
      </c>
      <c r="AG81">
        <v>3</v>
      </c>
      <c r="AH81">
        <v>7</v>
      </c>
    </row>
    <row r="82" spans="1:34">
      <c r="A82" s="110">
        <v>24</v>
      </c>
      <c r="B82">
        <v>6845</v>
      </c>
      <c r="C82" s="114" t="s">
        <v>369</v>
      </c>
      <c r="D82" s="114" t="s">
        <v>115</v>
      </c>
      <c r="E82">
        <v>3140</v>
      </c>
      <c r="F82">
        <v>3185</v>
      </c>
      <c r="G82">
        <v>300</v>
      </c>
      <c r="H82" s="114" t="s">
        <v>88</v>
      </c>
      <c r="I82">
        <v>6925</v>
      </c>
      <c r="J82" s="114" t="s">
        <v>376</v>
      </c>
      <c r="K82" s="114" t="s">
        <v>115</v>
      </c>
      <c r="L82">
        <v>1626</v>
      </c>
      <c r="M82">
        <v>1644</v>
      </c>
      <c r="N82">
        <v>600</v>
      </c>
      <c r="O82" s="114" t="s">
        <v>86</v>
      </c>
      <c r="P82">
        <v>0.92332369170358797</v>
      </c>
      <c r="Q82">
        <v>0.94455083648666704</v>
      </c>
      <c r="R82">
        <v>0.104722622933686</v>
      </c>
      <c r="S82">
        <v>8.6314186798477095E-3</v>
      </c>
      <c r="T82">
        <v>0.25294695456584099</v>
      </c>
      <c r="U82">
        <v>0.25294695456584099</v>
      </c>
      <c r="V82">
        <v>0.72</v>
      </c>
      <c r="W82">
        <v>3.23</v>
      </c>
      <c r="X82">
        <v>181027</v>
      </c>
      <c r="Y82">
        <v>10057</v>
      </c>
      <c r="Z82">
        <v>0.5</v>
      </c>
      <c r="AA82">
        <v>18</v>
      </c>
      <c r="AB82">
        <v>10</v>
      </c>
      <c r="AC82">
        <v>8</v>
      </c>
      <c r="AD82">
        <v>55.56</v>
      </c>
      <c r="AE82">
        <v>12</v>
      </c>
      <c r="AF82">
        <v>8</v>
      </c>
      <c r="AG82">
        <v>3</v>
      </c>
      <c r="AH82">
        <v>7</v>
      </c>
    </row>
    <row r="83" spans="1:34">
      <c r="A83" s="110">
        <v>172</v>
      </c>
      <c r="B83">
        <v>4208</v>
      </c>
      <c r="C83" s="114" t="s">
        <v>127</v>
      </c>
      <c r="D83" s="114" t="s">
        <v>87</v>
      </c>
      <c r="E83">
        <v>2356</v>
      </c>
      <c r="F83">
        <v>2356</v>
      </c>
      <c r="G83">
        <v>400</v>
      </c>
      <c r="H83" s="114" t="s">
        <v>88</v>
      </c>
      <c r="I83">
        <v>6472</v>
      </c>
      <c r="J83" s="114" t="s">
        <v>168</v>
      </c>
      <c r="K83" s="114" t="s">
        <v>128</v>
      </c>
      <c r="L83">
        <v>336</v>
      </c>
      <c r="M83">
        <v>337</v>
      </c>
      <c r="N83">
        <v>2800</v>
      </c>
      <c r="O83" s="114" t="s">
        <v>86</v>
      </c>
      <c r="P83">
        <v>0.92861915120191596</v>
      </c>
      <c r="Q83">
        <v>0.90566217440665897</v>
      </c>
      <c r="R83">
        <v>1.22424924957182E-3</v>
      </c>
      <c r="S83">
        <v>7.5390893922042998E-2</v>
      </c>
      <c r="T83">
        <v>3.8204591402721699E-2</v>
      </c>
      <c r="U83">
        <v>3.8204591402721699E-2</v>
      </c>
      <c r="V83">
        <v>0.13</v>
      </c>
      <c r="W83">
        <v>0.13</v>
      </c>
      <c r="X83">
        <v>180416</v>
      </c>
      <c r="Y83">
        <v>9021</v>
      </c>
      <c r="Z83">
        <v>0.48</v>
      </c>
      <c r="AA83">
        <v>20</v>
      </c>
      <c r="AB83">
        <v>13</v>
      </c>
      <c r="AC83">
        <v>7</v>
      </c>
      <c r="AD83">
        <v>65</v>
      </c>
      <c r="AE83">
        <v>13</v>
      </c>
      <c r="AF83">
        <v>7</v>
      </c>
      <c r="AG83">
        <v>5</v>
      </c>
      <c r="AH83">
        <v>8</v>
      </c>
    </row>
    <row r="84" spans="1:34">
      <c r="A84" s="110">
        <v>70</v>
      </c>
      <c r="B84">
        <v>7167</v>
      </c>
      <c r="C84" s="114" t="s">
        <v>129</v>
      </c>
      <c r="D84" s="114" t="s">
        <v>110</v>
      </c>
      <c r="E84">
        <v>281</v>
      </c>
      <c r="F84">
        <v>282</v>
      </c>
      <c r="G84">
        <v>3600</v>
      </c>
      <c r="H84" s="114" t="s">
        <v>86</v>
      </c>
      <c r="I84">
        <v>7189</v>
      </c>
      <c r="J84" s="114" t="s">
        <v>109</v>
      </c>
      <c r="K84" s="114" t="s">
        <v>110</v>
      </c>
      <c r="L84">
        <v>845</v>
      </c>
      <c r="M84">
        <v>849</v>
      </c>
      <c r="N84">
        <v>1200</v>
      </c>
      <c r="O84" s="114" t="s">
        <v>88</v>
      </c>
      <c r="P84">
        <v>0.95347564878545699</v>
      </c>
      <c r="Q84">
        <v>0.927156558400686</v>
      </c>
      <c r="R84">
        <v>1.2575754692812E-2</v>
      </c>
      <c r="S84" s="20">
        <v>0.15451736116245701</v>
      </c>
      <c r="T84">
        <v>-1.34107736215291</v>
      </c>
      <c r="U84">
        <v>1.34107736215291</v>
      </c>
      <c r="V84">
        <v>-5.15</v>
      </c>
      <c r="W84">
        <v>0.35</v>
      </c>
      <c r="X84">
        <v>179261</v>
      </c>
      <c r="Y84">
        <v>9435</v>
      </c>
      <c r="Z84">
        <v>0.45</v>
      </c>
      <c r="AA84">
        <v>19</v>
      </c>
      <c r="AB84">
        <v>11</v>
      </c>
      <c r="AC84">
        <v>8</v>
      </c>
      <c r="AD84">
        <v>57.89</v>
      </c>
      <c r="AE84">
        <v>15</v>
      </c>
      <c r="AF84">
        <v>6</v>
      </c>
      <c r="AG84">
        <v>2</v>
      </c>
      <c r="AH84">
        <v>11</v>
      </c>
    </row>
    <row r="85" spans="1:34">
      <c r="A85" s="110">
        <v>80</v>
      </c>
      <c r="B85">
        <v>3635</v>
      </c>
      <c r="C85" s="114" t="s">
        <v>113</v>
      </c>
      <c r="D85" s="114" t="s">
        <v>107</v>
      </c>
      <c r="E85">
        <v>2648</v>
      </c>
      <c r="F85">
        <v>2637</v>
      </c>
      <c r="G85">
        <v>400</v>
      </c>
      <c r="H85" s="114" t="s">
        <v>86</v>
      </c>
      <c r="I85">
        <v>4519</v>
      </c>
      <c r="J85" s="114" t="s">
        <v>1080</v>
      </c>
      <c r="K85" s="114" t="s">
        <v>170</v>
      </c>
      <c r="L85">
        <v>9675</v>
      </c>
      <c r="M85">
        <v>9732</v>
      </c>
      <c r="N85">
        <v>100</v>
      </c>
      <c r="O85" s="114" t="s">
        <v>88</v>
      </c>
      <c r="P85">
        <v>0.95721317406775897</v>
      </c>
      <c r="Q85">
        <v>0.92417162773403805</v>
      </c>
      <c r="R85">
        <v>3.6441965492336401E-2</v>
      </c>
      <c r="S85">
        <v>0.135382841884992</v>
      </c>
      <c r="T85">
        <v>-1.23248898157357</v>
      </c>
      <c r="U85">
        <v>1.23248898157357</v>
      </c>
      <c r="V85">
        <v>-3.97</v>
      </c>
      <c r="W85">
        <v>8.3800000000000008</v>
      </c>
      <c r="X85">
        <v>177510</v>
      </c>
      <c r="Y85">
        <v>12679</v>
      </c>
      <c r="Z85">
        <v>1.08</v>
      </c>
      <c r="AA85">
        <v>14</v>
      </c>
      <c r="AB85">
        <v>8</v>
      </c>
      <c r="AC85">
        <v>6</v>
      </c>
      <c r="AD85">
        <v>57.14</v>
      </c>
      <c r="AE85">
        <v>11</v>
      </c>
      <c r="AF85">
        <v>8</v>
      </c>
      <c r="AG85">
        <v>2</v>
      </c>
      <c r="AH85">
        <v>4</v>
      </c>
    </row>
    <row r="86" spans="1:34">
      <c r="A86" s="110">
        <v>8</v>
      </c>
      <c r="B86">
        <v>8425</v>
      </c>
      <c r="C86" s="114" t="s">
        <v>384</v>
      </c>
      <c r="D86" s="114" t="s">
        <v>356</v>
      </c>
      <c r="E86">
        <v>3225</v>
      </c>
      <c r="F86">
        <v>3230</v>
      </c>
      <c r="G86">
        <v>300</v>
      </c>
      <c r="H86" s="114" t="s">
        <v>88</v>
      </c>
      <c r="I86">
        <v>8593</v>
      </c>
      <c r="J86" s="114" t="s">
        <v>374</v>
      </c>
      <c r="K86" s="114" t="s">
        <v>356</v>
      </c>
      <c r="L86">
        <v>690</v>
      </c>
      <c r="M86">
        <v>691</v>
      </c>
      <c r="N86">
        <v>1400</v>
      </c>
      <c r="O86" s="114" t="s">
        <v>86</v>
      </c>
      <c r="P86">
        <v>0.94655570343492101</v>
      </c>
      <c r="Q86">
        <v>0.95475312522448996</v>
      </c>
      <c r="R86">
        <v>3.7035225811344198E-2</v>
      </c>
      <c r="S86">
        <v>2.3909342682190298E-3</v>
      </c>
      <c r="T86">
        <v>1.0182718107864599</v>
      </c>
      <c r="U86">
        <v>1.0182718107864599</v>
      </c>
      <c r="V86">
        <v>1.61</v>
      </c>
      <c r="W86">
        <v>0.17</v>
      </c>
      <c r="X86">
        <v>175709</v>
      </c>
      <c r="Y86">
        <v>12551</v>
      </c>
      <c r="Z86">
        <v>0.59</v>
      </c>
      <c r="AA86">
        <v>14</v>
      </c>
      <c r="AB86">
        <v>9</v>
      </c>
      <c r="AC86">
        <v>5</v>
      </c>
      <c r="AD86">
        <v>64.290000000000006</v>
      </c>
      <c r="AE86">
        <v>13</v>
      </c>
      <c r="AF86">
        <v>6</v>
      </c>
      <c r="AG86">
        <v>3</v>
      </c>
      <c r="AH86">
        <v>5</v>
      </c>
    </row>
    <row r="87" spans="1:34">
      <c r="A87" s="110">
        <v>67</v>
      </c>
      <c r="B87">
        <v>3635</v>
      </c>
      <c r="C87" s="114" t="s">
        <v>113</v>
      </c>
      <c r="D87" s="114" t="s">
        <v>107</v>
      </c>
      <c r="E87">
        <v>2648</v>
      </c>
      <c r="F87">
        <v>2637</v>
      </c>
      <c r="G87">
        <v>300</v>
      </c>
      <c r="H87" s="114" t="s">
        <v>88</v>
      </c>
      <c r="I87">
        <v>4613</v>
      </c>
      <c r="J87" s="114" t="s">
        <v>385</v>
      </c>
      <c r="K87" s="114" t="s">
        <v>87</v>
      </c>
      <c r="L87">
        <v>2759</v>
      </c>
      <c r="M87">
        <v>2774</v>
      </c>
      <c r="N87">
        <v>300</v>
      </c>
      <c r="O87" s="114" t="s">
        <v>86</v>
      </c>
      <c r="P87">
        <v>0.92125255514598303</v>
      </c>
      <c r="Q87">
        <v>0.92764634600219498</v>
      </c>
      <c r="R87">
        <v>6.0018080385775302E-2</v>
      </c>
      <c r="S87">
        <v>4.5432296028030401E-2</v>
      </c>
      <c r="T87">
        <v>3.4874640864618403E-2</v>
      </c>
      <c r="U87">
        <v>3.4874640864618403E-2</v>
      </c>
      <c r="V87">
        <v>0.12</v>
      </c>
      <c r="W87">
        <v>4.9400000000000004</v>
      </c>
      <c r="X87">
        <v>175233</v>
      </c>
      <c r="Y87">
        <v>13479</v>
      </c>
      <c r="Z87">
        <v>0.8</v>
      </c>
      <c r="AA87">
        <v>13</v>
      </c>
      <c r="AB87">
        <v>9</v>
      </c>
      <c r="AC87">
        <v>4</v>
      </c>
      <c r="AD87">
        <v>69.23</v>
      </c>
      <c r="AE87">
        <v>13</v>
      </c>
      <c r="AF87">
        <v>5</v>
      </c>
      <c r="AG87">
        <v>2</v>
      </c>
      <c r="AH87">
        <v>6</v>
      </c>
    </row>
    <row r="88" spans="1:34">
      <c r="A88" s="110">
        <v>64</v>
      </c>
      <c r="B88">
        <v>5991</v>
      </c>
      <c r="C88" s="114" t="s">
        <v>144</v>
      </c>
      <c r="D88" s="114" t="s">
        <v>145</v>
      </c>
      <c r="E88">
        <v>964</v>
      </c>
      <c r="F88">
        <v>978</v>
      </c>
      <c r="G88">
        <v>900</v>
      </c>
      <c r="H88" s="114" t="s">
        <v>86</v>
      </c>
      <c r="I88">
        <v>7259</v>
      </c>
      <c r="J88" s="114" t="s">
        <v>54</v>
      </c>
      <c r="K88" s="114" t="s">
        <v>112</v>
      </c>
      <c r="L88">
        <v>4210</v>
      </c>
      <c r="M88">
        <v>4235</v>
      </c>
      <c r="N88">
        <v>200</v>
      </c>
      <c r="O88" s="114" t="s">
        <v>88</v>
      </c>
      <c r="P88">
        <v>0.93107464917975102</v>
      </c>
      <c r="Q88">
        <v>0.92948111020126301</v>
      </c>
      <c r="R88">
        <v>0.36612665914303499</v>
      </c>
      <c r="S88" s="20">
        <v>1.05031368336668E-2</v>
      </c>
      <c r="T88">
        <v>-0.360430748371668</v>
      </c>
      <c r="U88">
        <v>0.360430748371668</v>
      </c>
      <c r="V88">
        <v>-1.28</v>
      </c>
      <c r="W88">
        <v>3.92</v>
      </c>
      <c r="X88">
        <v>175024</v>
      </c>
      <c r="Y88">
        <v>11668</v>
      </c>
      <c r="Z88">
        <v>0.81</v>
      </c>
      <c r="AA88">
        <v>15</v>
      </c>
      <c r="AB88">
        <v>9</v>
      </c>
      <c r="AC88">
        <v>6</v>
      </c>
      <c r="AD88">
        <v>60</v>
      </c>
      <c r="AE88">
        <v>10</v>
      </c>
      <c r="AF88">
        <v>8</v>
      </c>
      <c r="AG88">
        <v>3</v>
      </c>
      <c r="AH88">
        <v>4</v>
      </c>
    </row>
    <row r="89" spans="1:34">
      <c r="A89" s="110">
        <v>175</v>
      </c>
      <c r="B89">
        <v>4042</v>
      </c>
      <c r="C89" s="114" t="s">
        <v>405</v>
      </c>
      <c r="D89" s="114" t="s">
        <v>87</v>
      </c>
      <c r="E89">
        <v>1633</v>
      </c>
      <c r="F89">
        <v>1647</v>
      </c>
      <c r="G89">
        <v>600</v>
      </c>
      <c r="H89" s="114" t="s">
        <v>88</v>
      </c>
      <c r="I89">
        <v>7762</v>
      </c>
      <c r="J89" s="114" t="s">
        <v>136</v>
      </c>
      <c r="K89" s="114" t="s">
        <v>122</v>
      </c>
      <c r="L89">
        <v>596</v>
      </c>
      <c r="M89">
        <v>596</v>
      </c>
      <c r="N89">
        <v>1700</v>
      </c>
      <c r="O89" s="114" t="s">
        <v>86</v>
      </c>
      <c r="P89">
        <v>0.97121019606801595</v>
      </c>
      <c r="Q89">
        <v>0.90476737891547498</v>
      </c>
      <c r="R89">
        <v>4.4454994270075399E-3</v>
      </c>
      <c r="S89">
        <v>0.37883937057737199</v>
      </c>
      <c r="T89">
        <v>1.0284823431810399</v>
      </c>
      <c r="U89">
        <v>1.0284823431810399</v>
      </c>
      <c r="V89">
        <v>1.94</v>
      </c>
      <c r="W89">
        <v>2.5299999999999998</v>
      </c>
      <c r="X89">
        <v>173063</v>
      </c>
      <c r="Y89">
        <v>12362</v>
      </c>
      <c r="Z89">
        <v>0.63</v>
      </c>
      <c r="AA89">
        <v>14</v>
      </c>
      <c r="AB89">
        <v>9</v>
      </c>
      <c r="AC89">
        <v>5</v>
      </c>
      <c r="AD89">
        <v>64.290000000000006</v>
      </c>
      <c r="AE89">
        <v>13</v>
      </c>
      <c r="AF89">
        <v>4</v>
      </c>
      <c r="AG89">
        <v>2</v>
      </c>
      <c r="AH89">
        <v>8</v>
      </c>
    </row>
    <row r="90" spans="1:34">
      <c r="A90" s="110">
        <v>45</v>
      </c>
      <c r="B90">
        <v>3099</v>
      </c>
      <c r="C90" s="114" t="s">
        <v>89</v>
      </c>
      <c r="D90" s="114" t="s">
        <v>124</v>
      </c>
      <c r="E90">
        <v>981</v>
      </c>
      <c r="F90">
        <v>987</v>
      </c>
      <c r="G90">
        <v>1000</v>
      </c>
      <c r="H90" s="114" t="s">
        <v>88</v>
      </c>
      <c r="I90">
        <v>5463</v>
      </c>
      <c r="J90" s="114" t="s">
        <v>176</v>
      </c>
      <c r="K90" s="114" t="s">
        <v>121</v>
      </c>
      <c r="L90">
        <v>3140</v>
      </c>
      <c r="M90">
        <v>3175</v>
      </c>
      <c r="N90">
        <v>300</v>
      </c>
      <c r="O90" s="114" t="s">
        <v>86</v>
      </c>
      <c r="P90">
        <v>0.90003812666335503</v>
      </c>
      <c r="Q90">
        <v>0.93823112970408096</v>
      </c>
      <c r="R90">
        <v>5.9088241255694202E-2</v>
      </c>
      <c r="S90" s="20">
        <v>7.3594025191411798E-3</v>
      </c>
      <c r="T90">
        <v>0.429635950123328</v>
      </c>
      <c r="U90">
        <v>0.429635950123328</v>
      </c>
      <c r="V90">
        <v>1.52</v>
      </c>
      <c r="W90">
        <v>3.62</v>
      </c>
      <c r="X90">
        <v>166358</v>
      </c>
      <c r="Y90">
        <v>9786</v>
      </c>
      <c r="Z90">
        <v>0.54</v>
      </c>
      <c r="AA90">
        <v>17</v>
      </c>
      <c r="AB90">
        <v>10</v>
      </c>
      <c r="AC90">
        <v>7</v>
      </c>
      <c r="AD90">
        <v>58.82</v>
      </c>
      <c r="AE90">
        <v>14</v>
      </c>
      <c r="AF90">
        <v>8</v>
      </c>
      <c r="AG90">
        <v>4</v>
      </c>
      <c r="AH90">
        <v>5</v>
      </c>
    </row>
    <row r="91" spans="1:34">
      <c r="A91" s="110">
        <v>28</v>
      </c>
      <c r="B91">
        <v>5901</v>
      </c>
      <c r="C91" s="114" t="s">
        <v>387</v>
      </c>
      <c r="D91" s="114" t="s">
        <v>145</v>
      </c>
      <c r="E91">
        <v>1912</v>
      </c>
      <c r="F91">
        <v>1913</v>
      </c>
      <c r="G91">
        <v>500</v>
      </c>
      <c r="H91" s="114" t="s">
        <v>88</v>
      </c>
      <c r="I91">
        <v>8377</v>
      </c>
      <c r="J91" s="114" t="s">
        <v>123</v>
      </c>
      <c r="K91" s="114" t="s">
        <v>110</v>
      </c>
      <c r="L91">
        <v>1120</v>
      </c>
      <c r="M91">
        <v>1119</v>
      </c>
      <c r="N91">
        <v>900</v>
      </c>
      <c r="O91" s="114" t="s">
        <v>86</v>
      </c>
      <c r="P91">
        <v>0.92754547753494299</v>
      </c>
      <c r="Q91">
        <v>0.942906366025002</v>
      </c>
      <c r="R91">
        <v>0.16696990672232001</v>
      </c>
      <c r="S91">
        <v>7.4221469778192606E-2</v>
      </c>
      <c r="T91">
        <v>1.17472386071873</v>
      </c>
      <c r="U91">
        <v>1.17472386071873</v>
      </c>
      <c r="V91">
        <v>3.36</v>
      </c>
      <c r="W91">
        <v>5.29</v>
      </c>
      <c r="X91">
        <v>160862</v>
      </c>
      <c r="Y91">
        <v>7312</v>
      </c>
      <c r="Z91">
        <v>0.31</v>
      </c>
      <c r="AA91">
        <v>22</v>
      </c>
      <c r="AB91">
        <v>14</v>
      </c>
      <c r="AC91">
        <v>8</v>
      </c>
      <c r="AD91">
        <v>63.64</v>
      </c>
      <c r="AE91">
        <v>14</v>
      </c>
      <c r="AF91">
        <v>9</v>
      </c>
      <c r="AG91">
        <v>6</v>
      </c>
      <c r="AH91">
        <v>7</v>
      </c>
    </row>
    <row r="92" spans="1:34">
      <c r="A92" s="110">
        <v>9</v>
      </c>
      <c r="B92">
        <v>7182</v>
      </c>
      <c r="C92" s="114" t="s">
        <v>167</v>
      </c>
      <c r="D92" s="114" t="s">
        <v>110</v>
      </c>
      <c r="E92">
        <v>1060</v>
      </c>
      <c r="F92">
        <v>1061</v>
      </c>
      <c r="G92">
        <v>1000</v>
      </c>
      <c r="H92" s="114" t="s">
        <v>86</v>
      </c>
      <c r="I92">
        <v>7211</v>
      </c>
      <c r="J92" s="114" t="s">
        <v>55</v>
      </c>
      <c r="K92" s="114" t="s">
        <v>112</v>
      </c>
      <c r="L92">
        <v>490</v>
      </c>
      <c r="M92">
        <v>489</v>
      </c>
      <c r="N92">
        <v>2200</v>
      </c>
      <c r="O92" s="114" t="s">
        <v>88</v>
      </c>
      <c r="P92">
        <v>0.90585950636440904</v>
      </c>
      <c r="Q92">
        <v>0.95287295484029899</v>
      </c>
      <c r="R92">
        <v>7.6914490588404197E-4</v>
      </c>
      <c r="S92">
        <v>2.88280533890859E-3</v>
      </c>
      <c r="T92">
        <v>-0.320076328034267</v>
      </c>
      <c r="U92">
        <v>0.320076328034267</v>
      </c>
      <c r="V92">
        <v>-0.76</v>
      </c>
      <c r="W92">
        <v>1.39</v>
      </c>
      <c r="X92">
        <v>155648</v>
      </c>
      <c r="Y92">
        <v>9728</v>
      </c>
      <c r="Z92">
        <v>0.45</v>
      </c>
      <c r="AA92">
        <v>16</v>
      </c>
      <c r="AB92">
        <v>8</v>
      </c>
      <c r="AC92">
        <v>8</v>
      </c>
      <c r="AD92">
        <v>50</v>
      </c>
      <c r="AE92">
        <v>16</v>
      </c>
      <c r="AF92">
        <v>3</v>
      </c>
      <c r="AG92">
        <v>1</v>
      </c>
      <c r="AH92">
        <v>12</v>
      </c>
    </row>
    <row r="93" spans="1:34">
      <c r="A93" s="110">
        <v>161</v>
      </c>
      <c r="B93">
        <v>1820</v>
      </c>
      <c r="C93" s="114" t="s">
        <v>151</v>
      </c>
      <c r="D93" s="114" t="s">
        <v>105</v>
      </c>
      <c r="E93">
        <v>2397</v>
      </c>
      <c r="F93">
        <v>2440</v>
      </c>
      <c r="G93">
        <v>400</v>
      </c>
      <c r="H93" s="114" t="s">
        <v>88</v>
      </c>
      <c r="I93">
        <v>9072</v>
      </c>
      <c r="J93" s="114" t="s">
        <v>158</v>
      </c>
      <c r="K93" s="114" t="s">
        <v>148</v>
      </c>
      <c r="L93">
        <v>2687</v>
      </c>
      <c r="M93">
        <v>2685</v>
      </c>
      <c r="N93">
        <v>400</v>
      </c>
      <c r="O93" s="114" t="s">
        <v>86</v>
      </c>
      <c r="P93">
        <v>0.96762061966542001</v>
      </c>
      <c r="Q93">
        <v>0.90758071940768603</v>
      </c>
      <c r="R93" s="20">
        <v>2.95994682024161E-4</v>
      </c>
      <c r="S93">
        <v>3.12119641370126E-3</v>
      </c>
      <c r="T93">
        <v>2.17413590709738</v>
      </c>
      <c r="U93">
        <v>2.17413590709738</v>
      </c>
      <c r="V93">
        <v>9.15</v>
      </c>
      <c r="W93">
        <v>9.1199999999999992</v>
      </c>
      <c r="X93">
        <v>153180</v>
      </c>
      <c r="Y93">
        <v>11783</v>
      </c>
      <c r="Z93">
        <v>0.63</v>
      </c>
      <c r="AA93">
        <v>13</v>
      </c>
      <c r="AB93">
        <v>7</v>
      </c>
      <c r="AC93">
        <v>6</v>
      </c>
      <c r="AD93">
        <v>53.85</v>
      </c>
      <c r="AE93">
        <v>16</v>
      </c>
      <c r="AF93">
        <v>5</v>
      </c>
      <c r="AG93">
        <v>1</v>
      </c>
      <c r="AH93">
        <v>7</v>
      </c>
    </row>
    <row r="94" spans="1:34">
      <c r="A94" s="110">
        <v>170</v>
      </c>
      <c r="B94">
        <v>3105</v>
      </c>
      <c r="C94" s="114" t="s">
        <v>119</v>
      </c>
      <c r="D94" s="114" t="s">
        <v>115</v>
      </c>
      <c r="E94">
        <v>997</v>
      </c>
      <c r="F94">
        <v>1012</v>
      </c>
      <c r="G94">
        <v>1000</v>
      </c>
      <c r="H94" s="114" t="s">
        <v>88</v>
      </c>
      <c r="I94">
        <v>7762</v>
      </c>
      <c r="J94" s="114" t="s">
        <v>136</v>
      </c>
      <c r="K94" s="114" t="s">
        <v>122</v>
      </c>
      <c r="L94">
        <v>596</v>
      </c>
      <c r="M94">
        <v>596</v>
      </c>
      <c r="N94">
        <v>1700</v>
      </c>
      <c r="O94" s="114" t="s">
        <v>86</v>
      </c>
      <c r="P94">
        <v>0.94923506228182897</v>
      </c>
      <c r="Q94">
        <v>0.90625214711782698</v>
      </c>
      <c r="R94">
        <v>3.0577024500173199E-2</v>
      </c>
      <c r="S94">
        <v>1.96675091213609E-2</v>
      </c>
      <c r="T94">
        <v>2.6585576344551902</v>
      </c>
      <c r="U94">
        <v>2.6585576344551902</v>
      </c>
      <c r="V94">
        <v>5.8</v>
      </c>
      <c r="W94">
        <v>0.12</v>
      </c>
      <c r="X94">
        <v>153088</v>
      </c>
      <c r="Y94">
        <v>11776</v>
      </c>
      <c r="Z94">
        <v>0.53</v>
      </c>
      <c r="AA94">
        <v>13</v>
      </c>
      <c r="AB94">
        <v>5</v>
      </c>
      <c r="AC94">
        <v>8</v>
      </c>
      <c r="AD94">
        <v>38.46</v>
      </c>
      <c r="AE94">
        <v>12</v>
      </c>
      <c r="AF94">
        <v>5</v>
      </c>
      <c r="AG94">
        <v>3</v>
      </c>
      <c r="AH94">
        <v>5</v>
      </c>
    </row>
    <row r="95" spans="1:34">
      <c r="A95" s="110">
        <v>108</v>
      </c>
      <c r="B95">
        <v>1963</v>
      </c>
      <c r="C95" s="114" t="s">
        <v>162</v>
      </c>
      <c r="D95" s="114" t="s">
        <v>105</v>
      </c>
      <c r="E95">
        <v>1600</v>
      </c>
      <c r="F95">
        <v>1636</v>
      </c>
      <c r="G95">
        <v>500</v>
      </c>
      <c r="H95" s="114" t="s">
        <v>86</v>
      </c>
      <c r="I95">
        <v>7259</v>
      </c>
      <c r="J95" s="114" t="s">
        <v>54</v>
      </c>
      <c r="K95" s="114" t="s">
        <v>112</v>
      </c>
      <c r="L95">
        <v>4210</v>
      </c>
      <c r="M95">
        <v>4235</v>
      </c>
      <c r="N95">
        <v>200</v>
      </c>
      <c r="O95" s="114" t="s">
        <v>88</v>
      </c>
      <c r="P95">
        <v>0.90153617200579095</v>
      </c>
      <c r="Q95">
        <v>0.91742208352891097</v>
      </c>
      <c r="R95">
        <v>0.200323669029074</v>
      </c>
      <c r="S95" s="20">
        <v>3.6590333689151602E-6</v>
      </c>
      <c r="T95">
        <v>-0.90106227951804096</v>
      </c>
      <c r="U95">
        <v>0.90106227951804096</v>
      </c>
      <c r="V95">
        <v>-3.63</v>
      </c>
      <c r="W95">
        <v>3.42</v>
      </c>
      <c r="X95">
        <v>149956</v>
      </c>
      <c r="Y95">
        <v>9997</v>
      </c>
      <c r="Z95">
        <v>0.53</v>
      </c>
      <c r="AA95">
        <v>15</v>
      </c>
      <c r="AB95">
        <v>9</v>
      </c>
      <c r="AC95">
        <v>6</v>
      </c>
      <c r="AD95">
        <v>60</v>
      </c>
      <c r="AE95">
        <v>11</v>
      </c>
      <c r="AF95">
        <v>8</v>
      </c>
      <c r="AG95">
        <v>5</v>
      </c>
      <c r="AH95">
        <v>2</v>
      </c>
    </row>
    <row r="96" spans="1:34">
      <c r="A96" s="110">
        <v>148</v>
      </c>
      <c r="B96">
        <v>4182</v>
      </c>
      <c r="C96" s="114" t="s">
        <v>116</v>
      </c>
      <c r="D96" s="114" t="s">
        <v>87</v>
      </c>
      <c r="E96">
        <v>1684</v>
      </c>
      <c r="F96">
        <v>1694</v>
      </c>
      <c r="G96">
        <v>600</v>
      </c>
      <c r="H96" s="114" t="s">
        <v>88</v>
      </c>
      <c r="I96">
        <v>5334</v>
      </c>
      <c r="J96" s="114" t="s">
        <v>362</v>
      </c>
      <c r="K96" s="114" t="s">
        <v>135</v>
      </c>
      <c r="L96">
        <v>2184</v>
      </c>
      <c r="M96">
        <v>2192</v>
      </c>
      <c r="N96">
        <v>500</v>
      </c>
      <c r="O96" s="114" t="s">
        <v>86</v>
      </c>
      <c r="P96">
        <v>0.90185293958595703</v>
      </c>
      <c r="Q96">
        <v>0.90971997527618098</v>
      </c>
      <c r="R96">
        <v>0.24846426044773801</v>
      </c>
      <c r="S96">
        <v>6.0899680724530801E-2</v>
      </c>
      <c r="T96">
        <v>2.0826551521446799</v>
      </c>
      <c r="U96">
        <v>2.0826551521446799</v>
      </c>
      <c r="V96">
        <v>7.81</v>
      </c>
      <c r="W96">
        <v>7.26</v>
      </c>
      <c r="X96">
        <v>147730</v>
      </c>
      <c r="Y96">
        <v>8690</v>
      </c>
      <c r="Z96">
        <v>0.41</v>
      </c>
      <c r="AA96">
        <v>17</v>
      </c>
      <c r="AB96">
        <v>9</v>
      </c>
      <c r="AC96">
        <v>8</v>
      </c>
      <c r="AD96">
        <v>52.94</v>
      </c>
      <c r="AE96">
        <v>12</v>
      </c>
      <c r="AF96">
        <v>5</v>
      </c>
      <c r="AG96">
        <v>4</v>
      </c>
      <c r="AH96">
        <v>8</v>
      </c>
    </row>
    <row r="97" spans="1:34">
      <c r="A97" s="110">
        <v>52</v>
      </c>
      <c r="B97">
        <v>4182</v>
      </c>
      <c r="C97" s="114" t="s">
        <v>116</v>
      </c>
      <c r="D97" s="114" t="s">
        <v>87</v>
      </c>
      <c r="E97">
        <v>1684</v>
      </c>
      <c r="F97">
        <v>1694</v>
      </c>
      <c r="G97">
        <v>600</v>
      </c>
      <c r="H97" s="114" t="s">
        <v>88</v>
      </c>
      <c r="I97">
        <v>6752</v>
      </c>
      <c r="J97" s="114" t="s">
        <v>134</v>
      </c>
      <c r="K97" s="114" t="s">
        <v>115</v>
      </c>
      <c r="L97">
        <v>1018.5</v>
      </c>
      <c r="M97">
        <v>1029.5</v>
      </c>
      <c r="N97">
        <v>1000</v>
      </c>
      <c r="O97" s="114" t="s">
        <v>86</v>
      </c>
      <c r="P97">
        <v>0.94242263929094405</v>
      </c>
      <c r="Q97">
        <v>0.93330026188956094</v>
      </c>
      <c r="R97">
        <v>0.14664344633302501</v>
      </c>
      <c r="S97">
        <v>0.26181861598374401</v>
      </c>
      <c r="T97">
        <v>0.51758015037469196</v>
      </c>
      <c r="U97">
        <v>0.51758015037469196</v>
      </c>
      <c r="V97">
        <v>2.06</v>
      </c>
      <c r="W97">
        <v>1.29</v>
      </c>
      <c r="X97">
        <v>145761</v>
      </c>
      <c r="Y97">
        <v>8098</v>
      </c>
      <c r="Z97">
        <v>0.37</v>
      </c>
      <c r="AA97">
        <v>18</v>
      </c>
      <c r="AB97">
        <v>12</v>
      </c>
      <c r="AC97">
        <v>6</v>
      </c>
      <c r="AD97">
        <v>66.67</v>
      </c>
      <c r="AE97">
        <v>13</v>
      </c>
      <c r="AF97">
        <v>7</v>
      </c>
      <c r="AG97">
        <v>4</v>
      </c>
      <c r="AH97">
        <v>7</v>
      </c>
    </row>
    <row r="98" spans="1:34">
      <c r="A98" s="110">
        <v>185</v>
      </c>
      <c r="B98">
        <v>1963</v>
      </c>
      <c r="C98" s="114" t="s">
        <v>162</v>
      </c>
      <c r="D98" s="114" t="s">
        <v>105</v>
      </c>
      <c r="E98">
        <v>1600</v>
      </c>
      <c r="F98">
        <v>1636</v>
      </c>
      <c r="G98">
        <v>600</v>
      </c>
      <c r="H98" s="114" t="s">
        <v>88</v>
      </c>
      <c r="I98">
        <v>8002</v>
      </c>
      <c r="J98" s="114" t="s">
        <v>56</v>
      </c>
      <c r="K98" s="114" t="s">
        <v>130</v>
      </c>
      <c r="L98">
        <v>814.4</v>
      </c>
      <c r="M98">
        <v>815.2</v>
      </c>
      <c r="N98">
        <v>1200</v>
      </c>
      <c r="O98" s="114" t="s">
        <v>86</v>
      </c>
      <c r="P98">
        <v>0.90507012971215395</v>
      </c>
      <c r="Q98">
        <v>0.90340326710799101</v>
      </c>
      <c r="R98">
        <v>0.36582717355724098</v>
      </c>
      <c r="S98">
        <v>2.3542317205998801E-3</v>
      </c>
      <c r="T98">
        <v>0.446207629404613</v>
      </c>
      <c r="U98">
        <v>0.446207629404613</v>
      </c>
      <c r="V98">
        <v>2.09</v>
      </c>
      <c r="W98">
        <v>0.34</v>
      </c>
      <c r="X98">
        <v>144680</v>
      </c>
      <c r="Y98">
        <v>6576</v>
      </c>
      <c r="Z98">
        <v>0.32</v>
      </c>
      <c r="AA98">
        <v>22</v>
      </c>
      <c r="AB98">
        <v>14</v>
      </c>
      <c r="AC98">
        <v>8</v>
      </c>
      <c r="AD98">
        <v>63.64</v>
      </c>
      <c r="AE98">
        <v>13</v>
      </c>
      <c r="AF98">
        <v>8</v>
      </c>
      <c r="AG98">
        <v>6</v>
      </c>
      <c r="AH98">
        <v>8</v>
      </c>
    </row>
    <row r="99" spans="1:34">
      <c r="A99" s="110">
        <v>145</v>
      </c>
      <c r="B99">
        <v>3116</v>
      </c>
      <c r="C99" s="114" t="s">
        <v>157</v>
      </c>
      <c r="D99" s="114" t="s">
        <v>112</v>
      </c>
      <c r="E99">
        <v>1714</v>
      </c>
      <c r="F99">
        <v>1709</v>
      </c>
      <c r="G99">
        <v>400</v>
      </c>
      <c r="H99" s="114" t="s">
        <v>86</v>
      </c>
      <c r="I99">
        <v>6988</v>
      </c>
      <c r="J99" s="114" t="s">
        <v>173</v>
      </c>
      <c r="K99" s="114" t="s">
        <v>87</v>
      </c>
      <c r="L99">
        <v>6060</v>
      </c>
      <c r="M99">
        <v>6150</v>
      </c>
      <c r="N99">
        <v>100</v>
      </c>
      <c r="O99" s="114" t="s">
        <v>88</v>
      </c>
      <c r="P99">
        <v>0.94101505362452398</v>
      </c>
      <c r="Q99">
        <v>0.91034575797277895</v>
      </c>
      <c r="R99">
        <v>0.34410703810224702</v>
      </c>
      <c r="S99" s="20">
        <v>0.22685935171000299</v>
      </c>
      <c r="T99">
        <v>-0.282014033870711</v>
      </c>
      <c r="U99">
        <v>0.282014033870711</v>
      </c>
      <c r="V99">
        <v>-0.74</v>
      </c>
      <c r="W99">
        <v>11.15</v>
      </c>
      <c r="X99">
        <v>135364</v>
      </c>
      <c r="Y99">
        <v>13536</v>
      </c>
      <c r="Z99">
        <v>1.01</v>
      </c>
      <c r="AA99">
        <v>10</v>
      </c>
      <c r="AB99">
        <v>8</v>
      </c>
      <c r="AC99">
        <v>2</v>
      </c>
      <c r="AD99">
        <v>80</v>
      </c>
      <c r="AE99">
        <v>12</v>
      </c>
      <c r="AF99">
        <v>6</v>
      </c>
      <c r="AG99">
        <v>1</v>
      </c>
      <c r="AH99">
        <v>3</v>
      </c>
    </row>
    <row r="100" spans="1:34">
      <c r="A100" s="110">
        <v>128</v>
      </c>
      <c r="B100">
        <v>6952</v>
      </c>
      <c r="C100" s="114" t="s">
        <v>1083</v>
      </c>
      <c r="D100" s="114" t="s">
        <v>115</v>
      </c>
      <c r="E100">
        <v>2064</v>
      </c>
      <c r="F100">
        <v>2103</v>
      </c>
      <c r="G100">
        <v>500</v>
      </c>
      <c r="H100" s="114" t="s">
        <v>88</v>
      </c>
      <c r="I100">
        <v>8604</v>
      </c>
      <c r="J100" s="114" t="s">
        <v>1084</v>
      </c>
      <c r="K100" s="114" t="s">
        <v>1085</v>
      </c>
      <c r="L100">
        <v>557.5</v>
      </c>
      <c r="M100">
        <v>560.9</v>
      </c>
      <c r="N100">
        <v>1900</v>
      </c>
      <c r="O100" s="114" t="s">
        <v>86</v>
      </c>
      <c r="P100">
        <v>0.95531764887577997</v>
      </c>
      <c r="Q100">
        <v>0.91267453229469697</v>
      </c>
      <c r="R100">
        <v>2.5218321888792E-2</v>
      </c>
      <c r="S100">
        <v>0.241426018074651</v>
      </c>
      <c r="T100">
        <v>1.2143950796679299</v>
      </c>
      <c r="U100">
        <v>1.2143950796679299</v>
      </c>
      <c r="V100">
        <v>4.4400000000000004</v>
      </c>
      <c r="W100">
        <v>1.35</v>
      </c>
      <c r="X100">
        <v>134282</v>
      </c>
      <c r="Y100">
        <v>7899</v>
      </c>
      <c r="Z100">
        <v>0.39</v>
      </c>
      <c r="AA100">
        <v>17</v>
      </c>
      <c r="AB100">
        <v>10</v>
      </c>
      <c r="AC100">
        <v>7</v>
      </c>
      <c r="AD100">
        <v>58.82</v>
      </c>
      <c r="AE100">
        <v>13</v>
      </c>
      <c r="AF100">
        <v>4</v>
      </c>
      <c r="AG100">
        <v>3</v>
      </c>
      <c r="AH100">
        <v>10</v>
      </c>
    </row>
    <row r="101" spans="1:34">
      <c r="A101" s="110">
        <v>138</v>
      </c>
      <c r="B101">
        <v>4208</v>
      </c>
      <c r="C101" s="114" t="s">
        <v>127</v>
      </c>
      <c r="D101" s="114" t="s">
        <v>87</v>
      </c>
      <c r="E101">
        <v>2356</v>
      </c>
      <c r="F101">
        <v>2356</v>
      </c>
      <c r="G101">
        <v>500</v>
      </c>
      <c r="H101" s="114" t="s">
        <v>88</v>
      </c>
      <c r="I101">
        <v>9072</v>
      </c>
      <c r="J101" s="114" t="s">
        <v>158</v>
      </c>
      <c r="K101" s="114" t="s">
        <v>148</v>
      </c>
      <c r="L101">
        <v>2687</v>
      </c>
      <c r="M101">
        <v>2685</v>
      </c>
      <c r="N101">
        <v>400</v>
      </c>
      <c r="O101" s="114" t="s">
        <v>86</v>
      </c>
      <c r="P101">
        <v>0.92780435137324402</v>
      </c>
      <c r="Q101">
        <v>0.91120219364320898</v>
      </c>
      <c r="R101">
        <v>1.8292882334934799E-2</v>
      </c>
      <c r="S101">
        <v>1.9207804663792599E-2</v>
      </c>
      <c r="T101">
        <v>0.41132877180328398</v>
      </c>
      <c r="U101">
        <v>0.41132877180328398</v>
      </c>
      <c r="V101">
        <v>0.8</v>
      </c>
      <c r="W101">
        <v>9.68</v>
      </c>
      <c r="X101">
        <v>126426</v>
      </c>
      <c r="Y101">
        <v>11493</v>
      </c>
      <c r="Z101">
        <v>0.65</v>
      </c>
      <c r="AA101">
        <v>11</v>
      </c>
      <c r="AB101">
        <v>7</v>
      </c>
      <c r="AC101">
        <v>4</v>
      </c>
      <c r="AD101">
        <v>63.64</v>
      </c>
      <c r="AE101">
        <v>14</v>
      </c>
      <c r="AF101">
        <v>5</v>
      </c>
      <c r="AG101">
        <v>1</v>
      </c>
      <c r="AH101">
        <v>5</v>
      </c>
    </row>
    <row r="102" spans="1:34">
      <c r="A102" s="110">
        <v>180</v>
      </c>
      <c r="B102">
        <v>1860</v>
      </c>
      <c r="C102" s="114" t="s">
        <v>140</v>
      </c>
      <c r="D102" s="114" t="s">
        <v>105</v>
      </c>
      <c r="E102">
        <v>672</v>
      </c>
      <c r="F102">
        <v>679</v>
      </c>
      <c r="G102">
        <v>1400</v>
      </c>
      <c r="H102" s="114" t="s">
        <v>88</v>
      </c>
      <c r="I102">
        <v>5110</v>
      </c>
      <c r="J102" s="114" t="s">
        <v>160</v>
      </c>
      <c r="K102" s="114" t="s">
        <v>161</v>
      </c>
      <c r="L102">
        <v>1395</v>
      </c>
      <c r="M102">
        <v>1394</v>
      </c>
      <c r="N102">
        <v>700</v>
      </c>
      <c r="O102" s="114" t="s">
        <v>86</v>
      </c>
      <c r="P102">
        <v>0.95911203420350899</v>
      </c>
      <c r="Q102">
        <v>0.90398426098829199</v>
      </c>
      <c r="R102">
        <v>2.58033424546684E-2</v>
      </c>
      <c r="S102">
        <v>9.6651588977352508E-3</v>
      </c>
      <c r="T102">
        <v>0.3233605516652</v>
      </c>
      <c r="U102">
        <v>0.3233605516652</v>
      </c>
      <c r="V102">
        <v>0.51</v>
      </c>
      <c r="W102">
        <v>2.58</v>
      </c>
      <c r="X102">
        <v>117025</v>
      </c>
      <c r="Y102">
        <v>7314</v>
      </c>
      <c r="Z102">
        <v>0.32</v>
      </c>
      <c r="AA102">
        <v>16</v>
      </c>
      <c r="AB102">
        <v>9</v>
      </c>
      <c r="AC102">
        <v>7</v>
      </c>
      <c r="AD102">
        <v>56.25</v>
      </c>
      <c r="AE102">
        <v>12</v>
      </c>
      <c r="AF102">
        <v>6</v>
      </c>
      <c r="AG102">
        <v>4</v>
      </c>
      <c r="AH102">
        <v>6</v>
      </c>
    </row>
    <row r="103" spans="1:34">
      <c r="A103" s="110">
        <v>119</v>
      </c>
      <c r="B103">
        <v>3116</v>
      </c>
      <c r="C103" s="114" t="s">
        <v>157</v>
      </c>
      <c r="D103" s="114" t="s">
        <v>112</v>
      </c>
      <c r="E103">
        <v>1714</v>
      </c>
      <c r="F103">
        <v>1709</v>
      </c>
      <c r="G103">
        <v>400</v>
      </c>
      <c r="H103" s="114" t="s">
        <v>88</v>
      </c>
      <c r="I103">
        <v>6371</v>
      </c>
      <c r="J103" s="114" t="s">
        <v>137</v>
      </c>
      <c r="K103" s="114" t="s">
        <v>128</v>
      </c>
      <c r="L103">
        <v>3765</v>
      </c>
      <c r="M103">
        <v>3790</v>
      </c>
      <c r="N103">
        <v>200</v>
      </c>
      <c r="O103" s="114" t="s">
        <v>86</v>
      </c>
      <c r="P103">
        <v>0.93381219215345102</v>
      </c>
      <c r="Q103">
        <v>0.91496860792761503</v>
      </c>
      <c r="R103" s="20">
        <v>0.26712957587548403</v>
      </c>
      <c r="S103">
        <v>1.27960469242947E-2</v>
      </c>
      <c r="T103">
        <v>1.22495481666827</v>
      </c>
      <c r="U103">
        <v>1.22495481666827</v>
      </c>
      <c r="V103">
        <v>2.56</v>
      </c>
      <c r="W103">
        <v>9.82</v>
      </c>
      <c r="X103">
        <v>116971</v>
      </c>
      <c r="Y103">
        <v>7798</v>
      </c>
      <c r="Z103">
        <v>0.42</v>
      </c>
      <c r="AA103">
        <v>15</v>
      </c>
      <c r="AB103">
        <v>8</v>
      </c>
      <c r="AC103">
        <v>7</v>
      </c>
      <c r="AD103">
        <v>53.33</v>
      </c>
      <c r="AE103">
        <v>12</v>
      </c>
      <c r="AF103">
        <v>6</v>
      </c>
      <c r="AG103">
        <v>3</v>
      </c>
      <c r="AH103">
        <v>6</v>
      </c>
    </row>
    <row r="104" spans="1:34">
      <c r="A104" s="110">
        <v>47</v>
      </c>
      <c r="B104">
        <v>1820</v>
      </c>
      <c r="C104" s="114" t="s">
        <v>151</v>
      </c>
      <c r="D104" s="114" t="s">
        <v>105</v>
      </c>
      <c r="E104">
        <v>2397</v>
      </c>
      <c r="F104">
        <v>2440</v>
      </c>
      <c r="G104">
        <v>400</v>
      </c>
      <c r="H104" s="114" t="s">
        <v>88</v>
      </c>
      <c r="I104">
        <v>1860</v>
      </c>
      <c r="J104" s="114" t="s">
        <v>140</v>
      </c>
      <c r="K104" s="114" t="s">
        <v>105</v>
      </c>
      <c r="L104">
        <v>672</v>
      </c>
      <c r="M104">
        <v>679</v>
      </c>
      <c r="N104">
        <v>1400</v>
      </c>
      <c r="O104" s="114" t="s">
        <v>86</v>
      </c>
      <c r="P104">
        <v>0.93223332618157495</v>
      </c>
      <c r="Q104">
        <v>0.93510198791025301</v>
      </c>
      <c r="R104">
        <v>0.37520753991079098</v>
      </c>
      <c r="S104">
        <v>4.0181251733860203E-2</v>
      </c>
      <c r="T104">
        <v>2.4503920236790302</v>
      </c>
      <c r="U104">
        <v>2.4503920236790302</v>
      </c>
      <c r="V104">
        <v>8.09</v>
      </c>
      <c r="W104">
        <v>2.6</v>
      </c>
      <c r="X104">
        <v>115262</v>
      </c>
      <c r="Y104">
        <v>5489</v>
      </c>
      <c r="Z104">
        <v>0.32</v>
      </c>
      <c r="AA104">
        <v>21</v>
      </c>
      <c r="AB104">
        <v>13</v>
      </c>
      <c r="AC104">
        <v>8</v>
      </c>
      <c r="AD104">
        <v>61.9</v>
      </c>
      <c r="AE104">
        <v>14</v>
      </c>
      <c r="AF104">
        <v>5</v>
      </c>
      <c r="AG104">
        <v>4</v>
      </c>
      <c r="AH104">
        <v>12</v>
      </c>
    </row>
    <row r="105" spans="1:34">
      <c r="A105" s="110">
        <v>136</v>
      </c>
      <c r="B105">
        <v>5471</v>
      </c>
      <c r="C105" s="114" t="s">
        <v>364</v>
      </c>
      <c r="D105" s="114" t="s">
        <v>121</v>
      </c>
      <c r="E105">
        <v>4895</v>
      </c>
      <c r="F105">
        <v>4925</v>
      </c>
      <c r="G105">
        <v>100</v>
      </c>
      <c r="H105" s="114" t="s">
        <v>86</v>
      </c>
      <c r="I105">
        <v>6988</v>
      </c>
      <c r="J105" s="114" t="s">
        <v>173</v>
      </c>
      <c r="K105" s="114" t="s">
        <v>87</v>
      </c>
      <c r="L105">
        <v>6060</v>
      </c>
      <c r="M105">
        <v>6150</v>
      </c>
      <c r="N105">
        <v>100</v>
      </c>
      <c r="O105" s="114" t="s">
        <v>88</v>
      </c>
      <c r="P105">
        <v>0.95066174785560298</v>
      </c>
      <c r="Q105">
        <v>0.91139084609807197</v>
      </c>
      <c r="R105" s="20">
        <v>2.90076981886957E-2</v>
      </c>
      <c r="S105" s="20">
        <v>8.8877583731325899E-3</v>
      </c>
      <c r="T105">
        <v>-0.31284515645473598</v>
      </c>
      <c r="U105">
        <v>0.31284515645473598</v>
      </c>
      <c r="V105">
        <v>-0.84</v>
      </c>
      <c r="W105">
        <v>19.920000000000002</v>
      </c>
      <c r="X105">
        <v>114186</v>
      </c>
      <c r="Y105">
        <v>114186</v>
      </c>
      <c r="Z105">
        <v>5.01</v>
      </c>
      <c r="AA105">
        <v>1</v>
      </c>
      <c r="AB105">
        <v>1</v>
      </c>
      <c r="AC105">
        <v>0</v>
      </c>
      <c r="AD105">
        <v>100</v>
      </c>
      <c r="AE105">
        <v>2</v>
      </c>
      <c r="AF105">
        <v>1</v>
      </c>
      <c r="AG105">
        <v>0</v>
      </c>
      <c r="AH105">
        <v>0</v>
      </c>
    </row>
    <row r="106" spans="1:34">
      <c r="A106" s="110">
        <v>11</v>
      </c>
      <c r="B106">
        <v>3387</v>
      </c>
      <c r="C106" s="114" t="s">
        <v>365</v>
      </c>
      <c r="D106" s="114" t="s">
        <v>124</v>
      </c>
      <c r="E106">
        <v>1829</v>
      </c>
      <c r="F106">
        <v>1820</v>
      </c>
      <c r="G106">
        <v>300</v>
      </c>
      <c r="H106" s="114" t="s">
        <v>86</v>
      </c>
      <c r="I106">
        <v>4612</v>
      </c>
      <c r="J106" s="114" t="s">
        <v>165</v>
      </c>
      <c r="K106" s="114" t="s">
        <v>87</v>
      </c>
      <c r="L106">
        <v>5800</v>
      </c>
      <c r="M106">
        <v>5840</v>
      </c>
      <c r="N106">
        <v>100</v>
      </c>
      <c r="O106" s="114" t="s">
        <v>88</v>
      </c>
      <c r="P106">
        <v>0.90456427406994699</v>
      </c>
      <c r="Q106">
        <v>0.951537677916097</v>
      </c>
      <c r="R106">
        <v>3.5535354738530102E-4</v>
      </c>
      <c r="S106" s="20">
        <v>7.8162852796040502E-2</v>
      </c>
      <c r="T106">
        <v>-0.29516873905862001</v>
      </c>
      <c r="U106">
        <v>0.29516873905862001</v>
      </c>
      <c r="V106">
        <v>-1.3</v>
      </c>
      <c r="W106">
        <v>6.51</v>
      </c>
      <c r="X106">
        <v>112239</v>
      </c>
      <c r="Y106">
        <v>6602</v>
      </c>
      <c r="Z106">
        <v>0.34</v>
      </c>
      <c r="AA106">
        <v>17</v>
      </c>
      <c r="AB106">
        <v>10</v>
      </c>
      <c r="AC106">
        <v>7</v>
      </c>
      <c r="AD106">
        <v>58.82</v>
      </c>
      <c r="AE106">
        <v>10</v>
      </c>
      <c r="AF106">
        <v>8</v>
      </c>
      <c r="AG106">
        <v>4</v>
      </c>
      <c r="AH106">
        <v>5</v>
      </c>
    </row>
    <row r="107" spans="1:34">
      <c r="A107" s="110">
        <v>160</v>
      </c>
      <c r="B107">
        <v>5901</v>
      </c>
      <c r="C107" s="114" t="s">
        <v>387</v>
      </c>
      <c r="D107" s="114" t="s">
        <v>145</v>
      </c>
      <c r="E107">
        <v>1912</v>
      </c>
      <c r="F107">
        <v>1913</v>
      </c>
      <c r="G107">
        <v>500</v>
      </c>
      <c r="H107" s="114" t="s">
        <v>88</v>
      </c>
      <c r="I107">
        <v>9956</v>
      </c>
      <c r="J107" s="114" t="s">
        <v>383</v>
      </c>
      <c r="K107" s="114" t="s">
        <v>124</v>
      </c>
      <c r="L107">
        <v>2041</v>
      </c>
      <c r="M107">
        <v>2030</v>
      </c>
      <c r="N107">
        <v>500</v>
      </c>
      <c r="O107" s="114" t="s">
        <v>86</v>
      </c>
      <c r="P107">
        <v>0.90366271741920001</v>
      </c>
      <c r="Q107">
        <v>0.90783702966104096</v>
      </c>
      <c r="R107" s="20">
        <v>0.107609846435138</v>
      </c>
      <c r="S107" s="20">
        <v>0.35241191212818201</v>
      </c>
      <c r="T107">
        <v>0.56508930434335003</v>
      </c>
      <c r="U107">
        <v>0.56508930434335003</v>
      </c>
      <c r="V107">
        <v>2.0099999999999998</v>
      </c>
      <c r="W107">
        <v>5.76</v>
      </c>
      <c r="X107">
        <v>111960</v>
      </c>
      <c r="Y107">
        <v>5893</v>
      </c>
      <c r="Z107">
        <v>0.3</v>
      </c>
      <c r="AA107">
        <v>19</v>
      </c>
      <c r="AB107">
        <v>11</v>
      </c>
      <c r="AC107">
        <v>8</v>
      </c>
      <c r="AD107">
        <v>57.89</v>
      </c>
      <c r="AE107">
        <v>12</v>
      </c>
      <c r="AF107">
        <v>6</v>
      </c>
      <c r="AG107">
        <v>5</v>
      </c>
      <c r="AH107">
        <v>8</v>
      </c>
    </row>
    <row r="108" spans="1:34">
      <c r="A108" s="110">
        <v>85</v>
      </c>
      <c r="B108">
        <v>5802</v>
      </c>
      <c r="C108" s="114" t="s">
        <v>163</v>
      </c>
      <c r="D108" s="114" t="s">
        <v>164</v>
      </c>
      <c r="E108">
        <v>1650</v>
      </c>
      <c r="F108">
        <v>1664</v>
      </c>
      <c r="G108">
        <v>600</v>
      </c>
      <c r="H108" s="114" t="s">
        <v>88</v>
      </c>
      <c r="I108">
        <v>9072</v>
      </c>
      <c r="J108" s="114" t="s">
        <v>158</v>
      </c>
      <c r="K108" s="114" t="s">
        <v>148</v>
      </c>
      <c r="L108">
        <v>2687</v>
      </c>
      <c r="M108">
        <v>2685</v>
      </c>
      <c r="N108">
        <v>400</v>
      </c>
      <c r="O108" s="114" t="s">
        <v>86</v>
      </c>
      <c r="P108">
        <v>0.94496865377235695</v>
      </c>
      <c r="Q108">
        <v>0.92348721594826</v>
      </c>
      <c r="R108">
        <v>4.0166247942887502E-4</v>
      </c>
      <c r="S108" s="20">
        <v>6.2352972833082597E-6</v>
      </c>
      <c r="T108">
        <v>2.7086601646544399</v>
      </c>
      <c r="U108">
        <v>2.7086601646544399</v>
      </c>
      <c r="V108">
        <v>10.63</v>
      </c>
      <c r="W108">
        <v>7.04</v>
      </c>
      <c r="X108">
        <v>111309</v>
      </c>
      <c r="Y108">
        <v>5565</v>
      </c>
      <c r="Z108">
        <v>0.26</v>
      </c>
      <c r="AA108">
        <v>20</v>
      </c>
      <c r="AB108">
        <v>12</v>
      </c>
      <c r="AC108">
        <v>8</v>
      </c>
      <c r="AD108">
        <v>60</v>
      </c>
      <c r="AE108">
        <v>15</v>
      </c>
      <c r="AF108">
        <v>6</v>
      </c>
      <c r="AG108">
        <v>2</v>
      </c>
      <c r="AH108">
        <v>12</v>
      </c>
    </row>
    <row r="109" spans="1:34">
      <c r="A109" s="110">
        <v>1</v>
      </c>
      <c r="B109">
        <v>6702</v>
      </c>
      <c r="C109" s="114" t="s">
        <v>409</v>
      </c>
      <c r="D109" s="114" t="s">
        <v>115</v>
      </c>
      <c r="E109">
        <v>9923</v>
      </c>
      <c r="F109">
        <v>10130</v>
      </c>
      <c r="G109">
        <v>100</v>
      </c>
      <c r="H109" s="114" t="s">
        <v>86</v>
      </c>
      <c r="I109">
        <v>6920</v>
      </c>
      <c r="J109" s="114" t="s">
        <v>114</v>
      </c>
      <c r="K109" s="114" t="s">
        <v>115</v>
      </c>
      <c r="L109">
        <v>9490</v>
      </c>
      <c r="M109">
        <v>9750</v>
      </c>
      <c r="N109">
        <v>100</v>
      </c>
      <c r="O109" s="114" t="s">
        <v>88</v>
      </c>
      <c r="P109">
        <v>0.91125321311572605</v>
      </c>
      <c r="Q109">
        <v>0.96706309400624901</v>
      </c>
      <c r="R109">
        <v>0.17220700389212601</v>
      </c>
      <c r="S109">
        <v>3.5166736883777202E-4</v>
      </c>
      <c r="T109">
        <v>-1.7167245530547299</v>
      </c>
      <c r="U109">
        <v>1.7167245530547299</v>
      </c>
      <c r="V109">
        <v>-18.73</v>
      </c>
      <c r="W109">
        <v>3.75</v>
      </c>
      <c r="X109">
        <v>111057</v>
      </c>
      <c r="Y109">
        <v>11106</v>
      </c>
      <c r="Z109">
        <v>0.64</v>
      </c>
      <c r="AA109">
        <v>10</v>
      </c>
      <c r="AB109">
        <v>5</v>
      </c>
      <c r="AC109">
        <v>5</v>
      </c>
      <c r="AD109">
        <v>50</v>
      </c>
      <c r="AE109">
        <v>7</v>
      </c>
      <c r="AF109">
        <v>5</v>
      </c>
      <c r="AG109">
        <v>4</v>
      </c>
      <c r="AH109">
        <v>1</v>
      </c>
    </row>
    <row r="110" spans="1:34">
      <c r="A110" s="110">
        <v>34</v>
      </c>
      <c r="B110">
        <v>6925</v>
      </c>
      <c r="C110" s="114" t="s">
        <v>376</v>
      </c>
      <c r="D110" s="114" t="s">
        <v>115</v>
      </c>
      <c r="E110">
        <v>1626</v>
      </c>
      <c r="F110">
        <v>1644</v>
      </c>
      <c r="G110">
        <v>600</v>
      </c>
      <c r="H110" s="114" t="s">
        <v>86</v>
      </c>
      <c r="I110">
        <v>6951</v>
      </c>
      <c r="J110" s="114" t="s">
        <v>390</v>
      </c>
      <c r="K110" s="114" t="s">
        <v>115</v>
      </c>
      <c r="L110">
        <v>3055</v>
      </c>
      <c r="M110">
        <v>3140</v>
      </c>
      <c r="N110">
        <v>300</v>
      </c>
      <c r="O110" s="114" t="s">
        <v>88</v>
      </c>
      <c r="P110">
        <v>0.94149840174095401</v>
      </c>
      <c r="Q110">
        <v>0.94116636588381197</v>
      </c>
      <c r="R110">
        <v>1.52508971232441E-2</v>
      </c>
      <c r="S110">
        <v>7.0950379876295903E-3</v>
      </c>
      <c r="T110">
        <v>-2.1770040673012701</v>
      </c>
      <c r="U110">
        <v>2.1770040673012701</v>
      </c>
      <c r="V110">
        <v>-9.44</v>
      </c>
      <c r="W110">
        <v>4.71</v>
      </c>
      <c r="X110">
        <v>110041</v>
      </c>
      <c r="Y110">
        <v>6113</v>
      </c>
      <c r="Z110">
        <v>0.33</v>
      </c>
      <c r="AA110">
        <v>18</v>
      </c>
      <c r="AB110">
        <v>11</v>
      </c>
      <c r="AC110">
        <v>7</v>
      </c>
      <c r="AD110">
        <v>61.11</v>
      </c>
      <c r="AE110">
        <v>10</v>
      </c>
      <c r="AF110">
        <v>7</v>
      </c>
      <c r="AG110">
        <v>6</v>
      </c>
      <c r="AH110">
        <v>5</v>
      </c>
    </row>
    <row r="111" spans="1:34">
      <c r="A111" s="110">
        <v>99</v>
      </c>
      <c r="B111">
        <v>2175</v>
      </c>
      <c r="C111" s="114" t="s">
        <v>399</v>
      </c>
      <c r="D111" s="114" t="s">
        <v>149</v>
      </c>
      <c r="E111">
        <v>2990</v>
      </c>
      <c r="F111">
        <v>3015</v>
      </c>
      <c r="G111">
        <v>200</v>
      </c>
      <c r="H111" s="114" t="s">
        <v>86</v>
      </c>
      <c r="I111">
        <v>8036</v>
      </c>
      <c r="J111" s="114" t="s">
        <v>386</v>
      </c>
      <c r="K111" s="114" t="s">
        <v>130</v>
      </c>
      <c r="L111">
        <v>7020</v>
      </c>
      <c r="M111">
        <v>7160</v>
      </c>
      <c r="N111">
        <v>100</v>
      </c>
      <c r="O111" s="114" t="s">
        <v>88</v>
      </c>
      <c r="P111">
        <v>0.91209570686978203</v>
      </c>
      <c r="Q111">
        <v>0.91992010014617398</v>
      </c>
      <c r="R111" s="20">
        <v>2.6817084115917699E-3</v>
      </c>
      <c r="S111">
        <v>7.9469205055963998E-2</v>
      </c>
      <c r="T111">
        <v>-0.34422626719972199</v>
      </c>
      <c r="U111">
        <v>0.34422626719972199</v>
      </c>
      <c r="V111">
        <v>-0.9</v>
      </c>
      <c r="W111">
        <v>15.78</v>
      </c>
      <c r="X111">
        <v>107085</v>
      </c>
      <c r="Y111">
        <v>6299</v>
      </c>
      <c r="Z111">
        <v>0.39</v>
      </c>
      <c r="AA111">
        <v>17</v>
      </c>
      <c r="AB111">
        <v>9</v>
      </c>
      <c r="AC111">
        <v>8</v>
      </c>
      <c r="AD111">
        <v>52.94</v>
      </c>
      <c r="AE111">
        <v>11</v>
      </c>
      <c r="AF111">
        <v>8</v>
      </c>
      <c r="AG111">
        <v>6</v>
      </c>
      <c r="AH111">
        <v>3</v>
      </c>
    </row>
    <row r="112" spans="1:34">
      <c r="A112" s="110">
        <v>189</v>
      </c>
      <c r="B112">
        <v>6770</v>
      </c>
      <c r="C112" s="114" t="s">
        <v>50</v>
      </c>
      <c r="D112" s="114" t="s">
        <v>115</v>
      </c>
      <c r="E112">
        <v>2446</v>
      </c>
      <c r="F112">
        <v>2483</v>
      </c>
      <c r="G112">
        <v>400</v>
      </c>
      <c r="H112" s="114" t="s">
        <v>88</v>
      </c>
      <c r="I112">
        <v>7272</v>
      </c>
      <c r="J112" s="114" t="s">
        <v>358</v>
      </c>
      <c r="K112" s="114" t="s">
        <v>112</v>
      </c>
      <c r="L112">
        <v>2267</v>
      </c>
      <c r="M112">
        <v>2272</v>
      </c>
      <c r="N112">
        <v>400</v>
      </c>
      <c r="O112" s="114" t="s">
        <v>86</v>
      </c>
      <c r="P112">
        <v>0.93230385397258597</v>
      </c>
      <c r="Q112">
        <v>0.90254123802534103</v>
      </c>
      <c r="R112">
        <v>0.17273369382216699</v>
      </c>
      <c r="S112">
        <v>0.273025038073551</v>
      </c>
      <c r="T112">
        <v>1.3584082673970901</v>
      </c>
      <c r="U112">
        <v>1.3584082673970901</v>
      </c>
      <c r="V112">
        <v>4.2699999999999996</v>
      </c>
      <c r="W112">
        <v>8.5</v>
      </c>
      <c r="X112">
        <v>106683</v>
      </c>
      <c r="Y112">
        <v>8206</v>
      </c>
      <c r="Z112">
        <v>0.37</v>
      </c>
      <c r="AA112">
        <v>13</v>
      </c>
      <c r="AB112">
        <v>7</v>
      </c>
      <c r="AC112">
        <v>6</v>
      </c>
      <c r="AD112">
        <v>53.85</v>
      </c>
      <c r="AE112">
        <v>12</v>
      </c>
      <c r="AF112">
        <v>5</v>
      </c>
      <c r="AG112">
        <v>4</v>
      </c>
      <c r="AH112">
        <v>4</v>
      </c>
    </row>
    <row r="113" spans="1:34">
      <c r="A113" s="110">
        <v>199</v>
      </c>
      <c r="B113">
        <v>7189</v>
      </c>
      <c r="C113" s="114" t="s">
        <v>109</v>
      </c>
      <c r="D113" s="114" t="s">
        <v>110</v>
      </c>
      <c r="E113">
        <v>845</v>
      </c>
      <c r="F113">
        <v>849</v>
      </c>
      <c r="G113">
        <v>1200</v>
      </c>
      <c r="H113" s="114" t="s">
        <v>88</v>
      </c>
      <c r="I113">
        <v>8279</v>
      </c>
      <c r="J113" s="114" t="s">
        <v>381</v>
      </c>
      <c r="K113" s="114" t="s">
        <v>124</v>
      </c>
      <c r="L113">
        <v>5110</v>
      </c>
      <c r="M113">
        <v>5140</v>
      </c>
      <c r="N113">
        <v>200</v>
      </c>
      <c r="O113" s="114" t="s">
        <v>86</v>
      </c>
      <c r="P113">
        <v>0.92439425372684003</v>
      </c>
      <c r="Q113">
        <v>0.90016486926931005</v>
      </c>
      <c r="R113">
        <v>0.102912172499468</v>
      </c>
      <c r="S113">
        <v>9.8197730003897796E-2</v>
      </c>
      <c r="T113">
        <v>1.1395282918307199</v>
      </c>
      <c r="U113">
        <v>1.1395282918307199</v>
      </c>
      <c r="V113">
        <v>7.19</v>
      </c>
      <c r="W113">
        <v>0.89</v>
      </c>
      <c r="X113">
        <v>104117</v>
      </c>
      <c r="Y113">
        <v>5784</v>
      </c>
      <c r="Z113">
        <v>0.19</v>
      </c>
      <c r="AA113">
        <v>18</v>
      </c>
      <c r="AB113">
        <v>9</v>
      </c>
      <c r="AC113">
        <v>9</v>
      </c>
      <c r="AD113">
        <v>50</v>
      </c>
      <c r="AE113">
        <v>13</v>
      </c>
      <c r="AF113">
        <v>7</v>
      </c>
      <c r="AG113">
        <v>4</v>
      </c>
      <c r="AH113">
        <v>7</v>
      </c>
    </row>
    <row r="114" spans="1:34">
      <c r="A114" s="110">
        <v>197</v>
      </c>
      <c r="B114">
        <v>4208</v>
      </c>
      <c r="C114" s="114" t="s">
        <v>127</v>
      </c>
      <c r="D114" s="114" t="s">
        <v>87</v>
      </c>
      <c r="E114">
        <v>2356</v>
      </c>
      <c r="F114">
        <v>2356</v>
      </c>
      <c r="G114">
        <v>400</v>
      </c>
      <c r="H114" s="114" t="s">
        <v>86</v>
      </c>
      <c r="I114">
        <v>7259</v>
      </c>
      <c r="J114" s="114" t="s">
        <v>54</v>
      </c>
      <c r="K114" s="114" t="s">
        <v>112</v>
      </c>
      <c r="L114">
        <v>4210</v>
      </c>
      <c r="M114">
        <v>4235</v>
      </c>
      <c r="N114">
        <v>200</v>
      </c>
      <c r="O114" s="114" t="s">
        <v>88</v>
      </c>
      <c r="P114">
        <v>0.91576117209110897</v>
      </c>
      <c r="Q114">
        <v>0.90053349034521701</v>
      </c>
      <c r="R114">
        <v>0.175679070436876</v>
      </c>
      <c r="S114">
        <v>5.7786052191283396E-3</v>
      </c>
      <c r="T114">
        <v>-1.34166837585795</v>
      </c>
      <c r="U114">
        <v>1.34166837585795</v>
      </c>
      <c r="V114">
        <v>-9.84</v>
      </c>
      <c r="W114">
        <v>11.26</v>
      </c>
      <c r="X114">
        <v>96669</v>
      </c>
      <c r="Y114">
        <v>8056</v>
      </c>
      <c r="Z114">
        <v>0.51</v>
      </c>
      <c r="AA114">
        <v>12</v>
      </c>
      <c r="AB114">
        <v>7</v>
      </c>
      <c r="AC114">
        <v>5</v>
      </c>
      <c r="AD114">
        <v>58.33</v>
      </c>
      <c r="AE114">
        <v>14</v>
      </c>
      <c r="AF114">
        <v>5</v>
      </c>
      <c r="AG114">
        <v>2</v>
      </c>
      <c r="AH114">
        <v>5</v>
      </c>
    </row>
    <row r="115" spans="1:34">
      <c r="A115" s="110">
        <v>86</v>
      </c>
      <c r="B115">
        <v>7167</v>
      </c>
      <c r="C115" s="114" t="s">
        <v>129</v>
      </c>
      <c r="D115" s="114" t="s">
        <v>110</v>
      </c>
      <c r="E115">
        <v>281</v>
      </c>
      <c r="F115">
        <v>282</v>
      </c>
      <c r="G115">
        <v>3600</v>
      </c>
      <c r="H115" s="114" t="s">
        <v>86</v>
      </c>
      <c r="I115">
        <v>8377</v>
      </c>
      <c r="J115" s="114" t="s">
        <v>123</v>
      </c>
      <c r="K115" s="114" t="s">
        <v>110</v>
      </c>
      <c r="L115">
        <v>1120</v>
      </c>
      <c r="M115">
        <v>1119</v>
      </c>
      <c r="N115">
        <v>900</v>
      </c>
      <c r="O115" s="114" t="s">
        <v>88</v>
      </c>
      <c r="P115">
        <v>0.97264309215900302</v>
      </c>
      <c r="Q115">
        <v>0.92340422912401798</v>
      </c>
      <c r="R115">
        <v>2.9071487589660099E-2</v>
      </c>
      <c r="S115">
        <v>0.18516651203682299</v>
      </c>
      <c r="T115">
        <v>-9.7638546138926696E-2</v>
      </c>
      <c r="U115">
        <v>9.7638546138926696E-2</v>
      </c>
      <c r="V115">
        <v>-0.19</v>
      </c>
      <c r="W115">
        <v>0.8</v>
      </c>
      <c r="X115">
        <v>96023</v>
      </c>
      <c r="Y115">
        <v>6001</v>
      </c>
      <c r="Z115">
        <v>0.25</v>
      </c>
      <c r="AA115">
        <v>16</v>
      </c>
      <c r="AB115">
        <v>11</v>
      </c>
      <c r="AC115">
        <v>5</v>
      </c>
      <c r="AD115">
        <v>68.75</v>
      </c>
      <c r="AE115">
        <v>16</v>
      </c>
      <c r="AF115">
        <v>2</v>
      </c>
      <c r="AG115">
        <v>1</v>
      </c>
      <c r="AH115">
        <v>13</v>
      </c>
    </row>
    <row r="116" spans="1:34">
      <c r="A116" s="110">
        <v>29</v>
      </c>
      <c r="B116">
        <v>5802</v>
      </c>
      <c r="C116" s="114" t="s">
        <v>163</v>
      </c>
      <c r="D116" s="114" t="s">
        <v>164</v>
      </c>
      <c r="E116">
        <v>1650</v>
      </c>
      <c r="F116">
        <v>1664</v>
      </c>
      <c r="G116">
        <v>600</v>
      </c>
      <c r="H116" s="114" t="s">
        <v>88</v>
      </c>
      <c r="I116">
        <v>7267</v>
      </c>
      <c r="J116" s="114" t="s">
        <v>147</v>
      </c>
      <c r="K116" s="114" t="s">
        <v>112</v>
      </c>
      <c r="L116">
        <v>3065</v>
      </c>
      <c r="M116">
        <v>3105</v>
      </c>
      <c r="N116">
        <v>300</v>
      </c>
      <c r="O116" s="114" t="s">
        <v>86</v>
      </c>
      <c r="P116">
        <v>0.92626715402731297</v>
      </c>
      <c r="Q116">
        <v>0.94178337039836402</v>
      </c>
      <c r="R116">
        <v>5.5304642639497498E-3</v>
      </c>
      <c r="S116">
        <v>2.7992882688625399E-3</v>
      </c>
      <c r="T116">
        <v>3.1446694965168902</v>
      </c>
      <c r="U116">
        <v>3.1446694965168902</v>
      </c>
      <c r="V116">
        <v>7.78</v>
      </c>
      <c r="W116">
        <v>7.18</v>
      </c>
      <c r="X116">
        <v>86548</v>
      </c>
      <c r="Y116">
        <v>5409</v>
      </c>
      <c r="Z116">
        <v>0.24</v>
      </c>
      <c r="AA116">
        <v>16</v>
      </c>
      <c r="AB116">
        <v>10</v>
      </c>
      <c r="AC116">
        <v>6</v>
      </c>
      <c r="AD116">
        <v>62.5</v>
      </c>
      <c r="AE116">
        <v>16</v>
      </c>
      <c r="AF116">
        <v>1</v>
      </c>
      <c r="AG116">
        <v>1</v>
      </c>
      <c r="AH116">
        <v>14</v>
      </c>
    </row>
    <row r="117" spans="1:34">
      <c r="A117" s="110">
        <v>144</v>
      </c>
      <c r="B117">
        <v>6301</v>
      </c>
      <c r="C117" s="114" t="s">
        <v>138</v>
      </c>
      <c r="D117" s="114" t="s">
        <v>128</v>
      </c>
      <c r="E117">
        <v>2565.5</v>
      </c>
      <c r="F117">
        <v>2592</v>
      </c>
      <c r="G117">
        <v>400</v>
      </c>
      <c r="H117" s="114" t="s">
        <v>86</v>
      </c>
      <c r="I117">
        <v>6472</v>
      </c>
      <c r="J117" s="114" t="s">
        <v>168</v>
      </c>
      <c r="K117" s="114" t="s">
        <v>128</v>
      </c>
      <c r="L117">
        <v>336</v>
      </c>
      <c r="M117">
        <v>337</v>
      </c>
      <c r="N117">
        <v>3100</v>
      </c>
      <c r="O117" s="114" t="s">
        <v>88</v>
      </c>
      <c r="P117">
        <v>0.92836349635833604</v>
      </c>
      <c r="Q117">
        <v>0.91035471131229195</v>
      </c>
      <c r="R117">
        <v>3.1856717897671798E-2</v>
      </c>
      <c r="S117">
        <v>1.1472726789460101E-2</v>
      </c>
      <c r="T117">
        <v>-0.28660187212693</v>
      </c>
      <c r="U117">
        <v>0.28660187212693</v>
      </c>
      <c r="V117">
        <v>-1.08</v>
      </c>
      <c r="W117">
        <v>0.76</v>
      </c>
      <c r="X117">
        <v>85896</v>
      </c>
      <c r="Y117">
        <v>4295</v>
      </c>
      <c r="Z117">
        <v>0.12</v>
      </c>
      <c r="AA117">
        <v>20</v>
      </c>
      <c r="AB117">
        <v>10</v>
      </c>
      <c r="AC117">
        <v>10</v>
      </c>
      <c r="AD117">
        <v>50</v>
      </c>
      <c r="AE117">
        <v>11</v>
      </c>
      <c r="AF117">
        <v>8</v>
      </c>
      <c r="AG117">
        <v>7</v>
      </c>
      <c r="AH117">
        <v>5</v>
      </c>
    </row>
    <row r="118" spans="1:34">
      <c r="A118" s="110">
        <v>55</v>
      </c>
      <c r="B118">
        <v>5802</v>
      </c>
      <c r="C118" s="114" t="s">
        <v>163</v>
      </c>
      <c r="D118" s="114" t="s">
        <v>164</v>
      </c>
      <c r="E118">
        <v>1650</v>
      </c>
      <c r="F118">
        <v>1664</v>
      </c>
      <c r="G118">
        <v>600</v>
      </c>
      <c r="H118" s="114" t="s">
        <v>88</v>
      </c>
      <c r="I118">
        <v>9810</v>
      </c>
      <c r="J118" s="114" t="s">
        <v>159</v>
      </c>
      <c r="K118" s="114" t="s">
        <v>130</v>
      </c>
      <c r="L118">
        <v>5000</v>
      </c>
      <c r="M118">
        <v>5060</v>
      </c>
      <c r="N118">
        <v>200</v>
      </c>
      <c r="O118" s="114" t="s">
        <v>86</v>
      </c>
      <c r="P118">
        <v>0.93788134298873804</v>
      </c>
      <c r="Q118">
        <v>0.93234278125612902</v>
      </c>
      <c r="R118">
        <v>0.102621693626972</v>
      </c>
      <c r="S118">
        <v>2.6228698465206202E-2</v>
      </c>
      <c r="T118">
        <v>1.3104409196537601</v>
      </c>
      <c r="U118">
        <v>1.3104409196537601</v>
      </c>
      <c r="V118">
        <v>3.83</v>
      </c>
      <c r="W118">
        <v>1.34</v>
      </c>
      <c r="X118">
        <v>84914</v>
      </c>
      <c r="Y118">
        <v>5661</v>
      </c>
      <c r="Z118">
        <v>0.45</v>
      </c>
      <c r="AA118">
        <v>15</v>
      </c>
      <c r="AB118">
        <v>10</v>
      </c>
      <c r="AC118">
        <v>5</v>
      </c>
      <c r="AD118">
        <v>66.67</v>
      </c>
      <c r="AE118">
        <v>14</v>
      </c>
      <c r="AF118">
        <v>3</v>
      </c>
      <c r="AG118">
        <v>2</v>
      </c>
      <c r="AH118">
        <v>10</v>
      </c>
    </row>
    <row r="119" spans="1:34">
      <c r="A119" s="110">
        <v>78</v>
      </c>
      <c r="B119">
        <v>6770</v>
      </c>
      <c r="C119" s="114" t="s">
        <v>50</v>
      </c>
      <c r="D119" s="114" t="s">
        <v>115</v>
      </c>
      <c r="E119">
        <v>2446</v>
      </c>
      <c r="F119">
        <v>2483</v>
      </c>
      <c r="G119">
        <v>200</v>
      </c>
      <c r="H119" s="114" t="s">
        <v>88</v>
      </c>
      <c r="I119">
        <v>6988</v>
      </c>
      <c r="J119" s="114" t="s">
        <v>173</v>
      </c>
      <c r="K119" s="114" t="s">
        <v>87</v>
      </c>
      <c r="L119">
        <v>6060</v>
      </c>
      <c r="M119">
        <v>6150</v>
      </c>
      <c r="N119">
        <v>100</v>
      </c>
      <c r="O119" s="114" t="s">
        <v>86</v>
      </c>
      <c r="P119">
        <v>0.94937475793972803</v>
      </c>
      <c r="Q119">
        <v>0.92474807889204402</v>
      </c>
      <c r="R119">
        <v>0.115368410209162</v>
      </c>
      <c r="S119">
        <v>0.26009280588688799</v>
      </c>
      <c r="T119">
        <v>1.69091998253044</v>
      </c>
      <c r="U119">
        <v>1.69091998253044</v>
      </c>
      <c r="V119">
        <v>5.79</v>
      </c>
      <c r="W119">
        <v>19.25</v>
      </c>
      <c r="X119">
        <v>80018</v>
      </c>
      <c r="Y119">
        <v>5716</v>
      </c>
      <c r="Z119">
        <v>0.28999999999999998</v>
      </c>
      <c r="AA119">
        <v>14</v>
      </c>
      <c r="AB119">
        <v>8</v>
      </c>
      <c r="AC119">
        <v>6</v>
      </c>
      <c r="AD119">
        <v>57.14</v>
      </c>
      <c r="AE119">
        <v>12</v>
      </c>
      <c r="AF119">
        <v>7</v>
      </c>
      <c r="AG119">
        <v>3</v>
      </c>
      <c r="AH119">
        <v>4</v>
      </c>
    </row>
    <row r="120" spans="1:34">
      <c r="A120" s="110">
        <v>117</v>
      </c>
      <c r="B120">
        <v>8002</v>
      </c>
      <c r="C120" s="114" t="s">
        <v>56</v>
      </c>
      <c r="D120" s="114" t="s">
        <v>130</v>
      </c>
      <c r="E120">
        <v>814.4</v>
      </c>
      <c r="F120">
        <v>815.2</v>
      </c>
      <c r="G120">
        <v>1300</v>
      </c>
      <c r="H120" s="114" t="s">
        <v>88</v>
      </c>
      <c r="I120">
        <v>9072</v>
      </c>
      <c r="J120" s="114" t="s">
        <v>158</v>
      </c>
      <c r="K120" s="114" t="s">
        <v>148</v>
      </c>
      <c r="L120">
        <v>2687</v>
      </c>
      <c r="M120">
        <v>2685</v>
      </c>
      <c r="N120">
        <v>400</v>
      </c>
      <c r="O120" s="114" t="s">
        <v>86</v>
      </c>
      <c r="P120">
        <v>0.94748001498863599</v>
      </c>
      <c r="Q120">
        <v>0.915186461749535</v>
      </c>
      <c r="R120">
        <v>2.1461910867726499E-2</v>
      </c>
      <c r="S120" s="20">
        <v>1.3210753214614201E-3</v>
      </c>
      <c r="T120">
        <v>2.1067484761344999</v>
      </c>
      <c r="U120">
        <v>2.1067484761344999</v>
      </c>
      <c r="V120">
        <v>4.1500000000000004</v>
      </c>
      <c r="W120">
        <v>1.33</v>
      </c>
      <c r="X120">
        <v>77791</v>
      </c>
      <c r="Y120">
        <v>4862</v>
      </c>
      <c r="Z120">
        <v>0.24</v>
      </c>
      <c r="AA120">
        <v>16</v>
      </c>
      <c r="AB120">
        <v>8</v>
      </c>
      <c r="AC120">
        <v>8</v>
      </c>
      <c r="AD120">
        <v>50</v>
      </c>
      <c r="AE120">
        <v>16</v>
      </c>
      <c r="AF120">
        <v>4</v>
      </c>
      <c r="AG120">
        <v>1</v>
      </c>
      <c r="AH120">
        <v>11</v>
      </c>
    </row>
    <row r="121" spans="1:34">
      <c r="A121" s="110">
        <v>42</v>
      </c>
      <c r="B121">
        <v>1820</v>
      </c>
      <c r="C121" s="114" t="s">
        <v>151</v>
      </c>
      <c r="D121" s="114" t="s">
        <v>105</v>
      </c>
      <c r="E121">
        <v>2397</v>
      </c>
      <c r="F121">
        <v>2440</v>
      </c>
      <c r="G121">
        <v>400</v>
      </c>
      <c r="H121" s="114" t="s">
        <v>88</v>
      </c>
      <c r="I121">
        <v>4182</v>
      </c>
      <c r="J121" s="114" t="s">
        <v>116</v>
      </c>
      <c r="K121" s="114" t="s">
        <v>87</v>
      </c>
      <c r="L121">
        <v>1684</v>
      </c>
      <c r="M121">
        <v>1694</v>
      </c>
      <c r="N121">
        <v>600</v>
      </c>
      <c r="O121" s="114" t="s">
        <v>86</v>
      </c>
      <c r="P121">
        <v>0.964128257960566</v>
      </c>
      <c r="Q121">
        <v>0.93846836071452799</v>
      </c>
      <c r="R121">
        <v>0.26286401845221702</v>
      </c>
      <c r="S121">
        <v>3.3665201276641098E-2</v>
      </c>
      <c r="T121">
        <v>7.7350119431846096E-2</v>
      </c>
      <c r="U121">
        <v>7.7350119431846096E-2</v>
      </c>
      <c r="V121">
        <v>0.27</v>
      </c>
      <c r="W121">
        <v>4.1399999999999997</v>
      </c>
      <c r="X121">
        <v>74834</v>
      </c>
      <c r="Y121">
        <v>6236</v>
      </c>
      <c r="Z121">
        <v>0.26</v>
      </c>
      <c r="AA121">
        <v>12</v>
      </c>
      <c r="AB121">
        <v>8</v>
      </c>
      <c r="AC121">
        <v>4</v>
      </c>
      <c r="AD121">
        <v>66.67</v>
      </c>
      <c r="AE121">
        <v>12</v>
      </c>
      <c r="AF121">
        <v>5</v>
      </c>
      <c r="AG121">
        <v>3</v>
      </c>
      <c r="AH121">
        <v>4</v>
      </c>
    </row>
    <row r="122" spans="1:34">
      <c r="A122" s="110">
        <v>125</v>
      </c>
      <c r="B122">
        <v>3116</v>
      </c>
      <c r="C122" s="114" t="s">
        <v>157</v>
      </c>
      <c r="D122" s="114" t="s">
        <v>112</v>
      </c>
      <c r="E122">
        <v>1714</v>
      </c>
      <c r="F122">
        <v>1709</v>
      </c>
      <c r="G122">
        <v>600</v>
      </c>
      <c r="H122" s="114" t="s">
        <v>88</v>
      </c>
      <c r="I122">
        <v>8002</v>
      </c>
      <c r="J122" s="114" t="s">
        <v>56</v>
      </c>
      <c r="K122" s="114" t="s">
        <v>130</v>
      </c>
      <c r="L122">
        <v>814.4</v>
      </c>
      <c r="M122">
        <v>815.2</v>
      </c>
      <c r="N122">
        <v>1300</v>
      </c>
      <c r="O122" s="114" t="s">
        <v>86</v>
      </c>
      <c r="P122">
        <v>0.94755357472397395</v>
      </c>
      <c r="Q122">
        <v>0.91365602352792497</v>
      </c>
      <c r="R122" s="20">
        <v>6.9360541435910694E-2</v>
      </c>
      <c r="S122">
        <v>7.3760512358070601E-2</v>
      </c>
      <c r="T122">
        <v>0.146287595210882</v>
      </c>
      <c r="U122">
        <v>0.146287595210882</v>
      </c>
      <c r="V122">
        <v>0.28000000000000003</v>
      </c>
      <c r="W122">
        <v>3.35</v>
      </c>
      <c r="X122">
        <v>69702</v>
      </c>
      <c r="Y122">
        <v>5362</v>
      </c>
      <c r="Z122">
        <v>0.33</v>
      </c>
      <c r="AA122">
        <v>13</v>
      </c>
      <c r="AB122">
        <v>5</v>
      </c>
      <c r="AC122">
        <v>8</v>
      </c>
      <c r="AD122">
        <v>38.46</v>
      </c>
      <c r="AE122">
        <v>16</v>
      </c>
      <c r="AF122">
        <v>4</v>
      </c>
      <c r="AG122">
        <v>0</v>
      </c>
      <c r="AH122">
        <v>9</v>
      </c>
    </row>
    <row r="123" spans="1:34">
      <c r="A123" s="110">
        <v>44</v>
      </c>
      <c r="B123">
        <v>7189</v>
      </c>
      <c r="C123" s="114" t="s">
        <v>109</v>
      </c>
      <c r="D123" s="114" t="s">
        <v>110</v>
      </c>
      <c r="E123">
        <v>845</v>
      </c>
      <c r="F123">
        <v>849</v>
      </c>
      <c r="G123">
        <v>1000</v>
      </c>
      <c r="H123" s="114" t="s">
        <v>88</v>
      </c>
      <c r="I123">
        <v>7327</v>
      </c>
      <c r="J123" s="114" t="s">
        <v>175</v>
      </c>
      <c r="K123" s="114" t="s">
        <v>110</v>
      </c>
      <c r="L123">
        <v>3005</v>
      </c>
      <c r="M123">
        <v>2944</v>
      </c>
      <c r="N123">
        <v>300</v>
      </c>
      <c r="O123" s="114" t="s">
        <v>86</v>
      </c>
      <c r="P123">
        <v>0.95179856412932995</v>
      </c>
      <c r="Q123">
        <v>0.93832161017212001</v>
      </c>
      <c r="R123">
        <v>0.14840167550621799</v>
      </c>
      <c r="S123">
        <v>0.120717171468845</v>
      </c>
      <c r="T123">
        <v>0.68341242850500705</v>
      </c>
      <c r="U123">
        <v>0.68341242850500705</v>
      </c>
      <c r="V123">
        <v>2.88</v>
      </c>
      <c r="W123">
        <v>3.87</v>
      </c>
      <c r="X123">
        <v>68567</v>
      </c>
      <c r="Y123">
        <v>13713</v>
      </c>
      <c r="Z123">
        <v>0.79</v>
      </c>
      <c r="AA123">
        <v>5</v>
      </c>
      <c r="AB123">
        <v>3</v>
      </c>
      <c r="AC123">
        <v>2</v>
      </c>
      <c r="AD123">
        <v>60</v>
      </c>
      <c r="AE123">
        <v>11</v>
      </c>
      <c r="AF123">
        <v>2</v>
      </c>
      <c r="AG123">
        <v>1</v>
      </c>
      <c r="AH123">
        <v>2</v>
      </c>
    </row>
    <row r="124" spans="1:34">
      <c r="A124" s="110">
        <v>135</v>
      </c>
      <c r="B124">
        <v>7186</v>
      </c>
      <c r="C124" s="114" t="s">
        <v>51</v>
      </c>
      <c r="D124" s="114" t="s">
        <v>110</v>
      </c>
      <c r="E124">
        <v>439</v>
      </c>
      <c r="F124">
        <v>445</v>
      </c>
      <c r="G124">
        <v>1900</v>
      </c>
      <c r="H124" s="114" t="s">
        <v>86</v>
      </c>
      <c r="I124">
        <v>8309</v>
      </c>
      <c r="J124" s="114" t="s">
        <v>1222</v>
      </c>
      <c r="K124" s="114" t="s">
        <v>110</v>
      </c>
      <c r="L124">
        <v>4160</v>
      </c>
      <c r="M124">
        <v>4246</v>
      </c>
      <c r="N124">
        <v>200</v>
      </c>
      <c r="O124" s="114" t="s">
        <v>88</v>
      </c>
      <c r="P124">
        <v>0.90225384997506197</v>
      </c>
      <c r="Q124">
        <v>0.91187982529029799</v>
      </c>
      <c r="R124">
        <v>0.38121730489116701</v>
      </c>
      <c r="S124">
        <v>0.17611099668045599</v>
      </c>
      <c r="T124">
        <v>-0.80304213755568998</v>
      </c>
      <c r="U124">
        <v>0.80304213755568998</v>
      </c>
      <c r="V124">
        <v>-2.2000000000000002</v>
      </c>
      <c r="W124">
        <v>0.44</v>
      </c>
      <c r="X124">
        <v>64521</v>
      </c>
      <c r="Y124">
        <v>3396</v>
      </c>
      <c r="Z124">
        <v>0.18</v>
      </c>
      <c r="AA124">
        <v>19</v>
      </c>
      <c r="AB124">
        <v>9</v>
      </c>
      <c r="AC124">
        <v>10</v>
      </c>
      <c r="AD124">
        <v>47.37</v>
      </c>
      <c r="AE124">
        <v>13</v>
      </c>
      <c r="AF124">
        <v>5</v>
      </c>
      <c r="AG124">
        <v>4</v>
      </c>
      <c r="AH124">
        <v>10</v>
      </c>
    </row>
    <row r="125" spans="1:34">
      <c r="A125" s="110">
        <v>51</v>
      </c>
      <c r="B125">
        <v>3861</v>
      </c>
      <c r="C125" s="114" t="s">
        <v>90</v>
      </c>
      <c r="D125" s="114" t="s">
        <v>108</v>
      </c>
      <c r="E125">
        <v>616</v>
      </c>
      <c r="F125">
        <v>615</v>
      </c>
      <c r="G125">
        <v>1700</v>
      </c>
      <c r="H125" s="114" t="s">
        <v>88</v>
      </c>
      <c r="I125">
        <v>5703</v>
      </c>
      <c r="J125" s="114" t="s">
        <v>367</v>
      </c>
      <c r="K125" s="114" t="s">
        <v>164</v>
      </c>
      <c r="L125">
        <v>222</v>
      </c>
      <c r="M125">
        <v>223</v>
      </c>
      <c r="N125">
        <v>4700</v>
      </c>
      <c r="O125" s="114" t="s">
        <v>86</v>
      </c>
      <c r="P125">
        <v>0.96971656618847701</v>
      </c>
      <c r="Q125">
        <v>0.93340005777683499</v>
      </c>
      <c r="R125">
        <v>2.98361661847962E-2</v>
      </c>
      <c r="S125">
        <v>0.14672295065483601</v>
      </c>
      <c r="T125">
        <v>1.55372259969154</v>
      </c>
      <c r="U125">
        <v>1.55372259969154</v>
      </c>
      <c r="V125">
        <v>3.39</v>
      </c>
      <c r="W125">
        <v>0.25</v>
      </c>
      <c r="X125">
        <v>62912</v>
      </c>
      <c r="Y125">
        <v>2735</v>
      </c>
      <c r="Z125">
        <v>0.14000000000000001</v>
      </c>
      <c r="AA125">
        <v>23</v>
      </c>
      <c r="AB125">
        <v>12</v>
      </c>
      <c r="AC125">
        <v>11</v>
      </c>
      <c r="AD125">
        <v>52.17</v>
      </c>
      <c r="AE125">
        <v>12</v>
      </c>
      <c r="AF125">
        <v>9</v>
      </c>
      <c r="AG125">
        <v>6</v>
      </c>
      <c r="AH125">
        <v>8</v>
      </c>
    </row>
    <row r="126" spans="1:34">
      <c r="A126" s="110">
        <v>25</v>
      </c>
      <c r="B126">
        <v>3105</v>
      </c>
      <c r="C126" s="114" t="s">
        <v>119</v>
      </c>
      <c r="D126" s="114" t="s">
        <v>115</v>
      </c>
      <c r="E126">
        <v>997</v>
      </c>
      <c r="F126">
        <v>1012</v>
      </c>
      <c r="G126">
        <v>600</v>
      </c>
      <c r="H126" s="114" t="s">
        <v>88</v>
      </c>
      <c r="I126">
        <v>6988</v>
      </c>
      <c r="J126" s="114" t="s">
        <v>173</v>
      </c>
      <c r="K126" s="114" t="s">
        <v>87</v>
      </c>
      <c r="L126">
        <v>6060</v>
      </c>
      <c r="M126">
        <v>6150</v>
      </c>
      <c r="N126">
        <v>100</v>
      </c>
      <c r="O126" s="114" t="s">
        <v>86</v>
      </c>
      <c r="P126">
        <v>0.93377356021138402</v>
      </c>
      <c r="Q126">
        <v>0.94406055987747295</v>
      </c>
      <c r="R126">
        <v>0.21452260184425301</v>
      </c>
      <c r="S126">
        <v>1.9187486437892799E-2</v>
      </c>
      <c r="T126">
        <v>1.4972761287924199</v>
      </c>
      <c r="U126">
        <v>1.4972761287924199</v>
      </c>
      <c r="V126">
        <v>3.63</v>
      </c>
      <c r="W126">
        <v>1.27</v>
      </c>
      <c r="X126">
        <v>59924</v>
      </c>
      <c r="Y126">
        <v>3329</v>
      </c>
      <c r="Z126">
        <v>0.05</v>
      </c>
      <c r="AA126">
        <v>18</v>
      </c>
      <c r="AB126">
        <v>10</v>
      </c>
      <c r="AC126">
        <v>8</v>
      </c>
      <c r="AD126">
        <v>55.56</v>
      </c>
      <c r="AE126">
        <v>12</v>
      </c>
      <c r="AF126">
        <v>6</v>
      </c>
      <c r="AG126">
        <v>5</v>
      </c>
      <c r="AH126">
        <v>7</v>
      </c>
    </row>
    <row r="127" spans="1:34">
      <c r="A127" s="110">
        <v>71</v>
      </c>
      <c r="B127">
        <v>4182</v>
      </c>
      <c r="C127" s="114" t="s">
        <v>116</v>
      </c>
      <c r="D127" s="114" t="s">
        <v>87</v>
      </c>
      <c r="E127">
        <v>1684</v>
      </c>
      <c r="F127">
        <v>1694</v>
      </c>
      <c r="G127">
        <v>400</v>
      </c>
      <c r="H127" s="114" t="s">
        <v>88</v>
      </c>
      <c r="I127">
        <v>6371</v>
      </c>
      <c r="J127" s="114" t="s">
        <v>137</v>
      </c>
      <c r="K127" s="114" t="s">
        <v>128</v>
      </c>
      <c r="L127">
        <v>3765</v>
      </c>
      <c r="M127">
        <v>3790</v>
      </c>
      <c r="N127">
        <v>200</v>
      </c>
      <c r="O127" s="114" t="s">
        <v>86</v>
      </c>
      <c r="P127">
        <v>0.94850477773448305</v>
      </c>
      <c r="Q127">
        <v>0.92685753158902895</v>
      </c>
      <c r="R127">
        <v>4.6480898102197597E-2</v>
      </c>
      <c r="S127" s="20">
        <v>9.7377453361863608E-3</v>
      </c>
      <c r="T127">
        <v>1.7111806062300099</v>
      </c>
      <c r="U127">
        <v>1.7111806062300099</v>
      </c>
      <c r="V127">
        <v>7.08</v>
      </c>
      <c r="W127">
        <v>10.61</v>
      </c>
      <c r="X127">
        <v>55936</v>
      </c>
      <c r="Y127">
        <v>4661</v>
      </c>
      <c r="Z127">
        <v>0.32</v>
      </c>
      <c r="AA127">
        <v>12</v>
      </c>
      <c r="AB127">
        <v>7</v>
      </c>
      <c r="AC127">
        <v>5</v>
      </c>
      <c r="AD127">
        <v>58.33</v>
      </c>
      <c r="AE127">
        <v>13</v>
      </c>
      <c r="AF127">
        <v>3</v>
      </c>
      <c r="AG127">
        <v>2</v>
      </c>
      <c r="AH127">
        <v>7</v>
      </c>
    </row>
    <row r="128" spans="1:34">
      <c r="A128" s="110">
        <v>159</v>
      </c>
      <c r="B128">
        <v>6951</v>
      </c>
      <c r="C128" s="114" t="s">
        <v>390</v>
      </c>
      <c r="D128" s="114" t="s">
        <v>115</v>
      </c>
      <c r="E128">
        <v>3055</v>
      </c>
      <c r="F128">
        <v>3140</v>
      </c>
      <c r="G128">
        <v>300</v>
      </c>
      <c r="H128" s="114" t="s">
        <v>88</v>
      </c>
      <c r="I128">
        <v>6967</v>
      </c>
      <c r="J128" s="114" t="s">
        <v>372</v>
      </c>
      <c r="K128" s="114" t="s">
        <v>115</v>
      </c>
      <c r="L128">
        <v>1064</v>
      </c>
      <c r="M128">
        <v>1082</v>
      </c>
      <c r="N128">
        <v>900</v>
      </c>
      <c r="O128" s="114" t="s">
        <v>86</v>
      </c>
      <c r="P128">
        <v>0.945759643267015</v>
      </c>
      <c r="Q128">
        <v>0.90807954034148597</v>
      </c>
      <c r="R128">
        <v>2.4121866067235698E-2</v>
      </c>
      <c r="S128">
        <v>4.7114904520197301E-2</v>
      </c>
      <c r="T128">
        <v>1.9571622589864599</v>
      </c>
      <c r="U128">
        <v>1.9571622589864599</v>
      </c>
      <c r="V128">
        <v>5.48</v>
      </c>
      <c r="W128">
        <v>3.38</v>
      </c>
      <c r="X128">
        <v>55478</v>
      </c>
      <c r="Y128">
        <v>2920</v>
      </c>
      <c r="Z128">
        <v>0.13</v>
      </c>
      <c r="AA128">
        <v>19</v>
      </c>
      <c r="AB128">
        <v>11</v>
      </c>
      <c r="AC128">
        <v>8</v>
      </c>
      <c r="AD128">
        <v>57.89</v>
      </c>
      <c r="AE128">
        <v>10</v>
      </c>
      <c r="AF128">
        <v>10</v>
      </c>
      <c r="AG128">
        <v>7</v>
      </c>
      <c r="AH128">
        <v>2</v>
      </c>
    </row>
    <row r="129" spans="1:34">
      <c r="A129" s="110">
        <v>105</v>
      </c>
      <c r="B129">
        <v>4516</v>
      </c>
      <c r="C129" s="114" t="s">
        <v>389</v>
      </c>
      <c r="D129" s="114" t="s">
        <v>170</v>
      </c>
      <c r="E129">
        <v>10110</v>
      </c>
      <c r="F129">
        <v>10030</v>
      </c>
      <c r="G129">
        <v>100</v>
      </c>
      <c r="H129" s="114" t="s">
        <v>86</v>
      </c>
      <c r="I129">
        <v>8036</v>
      </c>
      <c r="J129" s="114" t="s">
        <v>386</v>
      </c>
      <c r="K129" s="114" t="s">
        <v>130</v>
      </c>
      <c r="L129">
        <v>7020</v>
      </c>
      <c r="M129">
        <v>7160</v>
      </c>
      <c r="N129">
        <v>100</v>
      </c>
      <c r="O129" s="114" t="s">
        <v>88</v>
      </c>
      <c r="P129">
        <v>0.92512084889813595</v>
      </c>
      <c r="Q129">
        <v>0.91817578919902898</v>
      </c>
      <c r="R129">
        <v>1.8440642669184399E-3</v>
      </c>
      <c r="S129" s="20">
        <v>6.5053633542289602E-2</v>
      </c>
      <c r="T129">
        <v>-1.0094752491187899</v>
      </c>
      <c r="U129">
        <v>1.0094752491187899</v>
      </c>
      <c r="V129">
        <v>-3.8</v>
      </c>
      <c r="W129">
        <v>28.61</v>
      </c>
      <c r="X129">
        <v>55404</v>
      </c>
      <c r="Y129">
        <v>9234</v>
      </c>
      <c r="Z129">
        <v>0.68</v>
      </c>
      <c r="AA129">
        <v>6</v>
      </c>
      <c r="AB129">
        <v>3</v>
      </c>
      <c r="AC129">
        <v>3</v>
      </c>
      <c r="AD129">
        <v>50</v>
      </c>
      <c r="AE129">
        <v>11</v>
      </c>
      <c r="AF129">
        <v>3</v>
      </c>
      <c r="AG129">
        <v>1</v>
      </c>
      <c r="AH129">
        <v>2</v>
      </c>
    </row>
    <row r="130" spans="1:34">
      <c r="A130" s="110">
        <v>18</v>
      </c>
      <c r="B130">
        <v>6457</v>
      </c>
      <c r="C130" s="114" t="s">
        <v>377</v>
      </c>
      <c r="D130" s="114" t="s">
        <v>128</v>
      </c>
      <c r="E130">
        <v>3275</v>
      </c>
      <c r="F130">
        <v>3305</v>
      </c>
      <c r="G130">
        <v>300</v>
      </c>
      <c r="H130" s="114" t="s">
        <v>86</v>
      </c>
      <c r="I130">
        <v>6755</v>
      </c>
      <c r="J130" s="114" t="s">
        <v>408</v>
      </c>
      <c r="K130" s="114" t="s">
        <v>115</v>
      </c>
      <c r="L130">
        <v>2072</v>
      </c>
      <c r="M130">
        <v>2068</v>
      </c>
      <c r="N130">
        <v>500</v>
      </c>
      <c r="O130" s="114" t="s">
        <v>88</v>
      </c>
      <c r="P130">
        <v>0.90780400160281804</v>
      </c>
      <c r="Q130">
        <v>0.94727999202275004</v>
      </c>
      <c r="R130">
        <v>0.17347578420567999</v>
      </c>
      <c r="S130">
        <v>2.8169781966878502E-4</v>
      </c>
      <c r="T130">
        <v>-1.94473411642807</v>
      </c>
      <c r="U130">
        <v>1.94473411642807</v>
      </c>
      <c r="V130">
        <v>-5.64</v>
      </c>
      <c r="W130">
        <v>4.29</v>
      </c>
      <c r="X130">
        <v>54333</v>
      </c>
      <c r="Y130">
        <v>3622</v>
      </c>
      <c r="Z130">
        <v>0.2</v>
      </c>
      <c r="AA130">
        <v>15</v>
      </c>
      <c r="AB130">
        <v>9</v>
      </c>
      <c r="AC130">
        <v>6</v>
      </c>
      <c r="AD130">
        <v>60</v>
      </c>
      <c r="AE130">
        <v>13</v>
      </c>
      <c r="AF130">
        <v>5</v>
      </c>
      <c r="AG130">
        <v>3</v>
      </c>
      <c r="AH130">
        <v>7</v>
      </c>
    </row>
    <row r="131" spans="1:34">
      <c r="A131" s="110">
        <v>103</v>
      </c>
      <c r="B131">
        <v>4182</v>
      </c>
      <c r="C131" s="114" t="s">
        <v>116</v>
      </c>
      <c r="D131" s="114" t="s">
        <v>87</v>
      </c>
      <c r="E131">
        <v>1684</v>
      </c>
      <c r="F131">
        <v>1694</v>
      </c>
      <c r="G131">
        <v>600</v>
      </c>
      <c r="H131" s="114" t="s">
        <v>88</v>
      </c>
      <c r="I131">
        <v>5463</v>
      </c>
      <c r="J131" s="114" t="s">
        <v>176</v>
      </c>
      <c r="K131" s="114" t="s">
        <v>121</v>
      </c>
      <c r="L131">
        <v>3140</v>
      </c>
      <c r="M131">
        <v>3175</v>
      </c>
      <c r="N131">
        <v>300</v>
      </c>
      <c r="O131" s="114" t="s">
        <v>86</v>
      </c>
      <c r="P131">
        <v>0.93432159356801703</v>
      </c>
      <c r="Q131">
        <v>0.91897441502667498</v>
      </c>
      <c r="R131">
        <v>0.209400320894787</v>
      </c>
      <c r="S131" s="20">
        <v>1.20015121385739E-2</v>
      </c>
      <c r="T131">
        <v>0.98033825433468902</v>
      </c>
      <c r="U131">
        <v>0.98033825433468902</v>
      </c>
      <c r="V131">
        <v>4.6399999999999997</v>
      </c>
      <c r="W131">
        <v>6.71</v>
      </c>
      <c r="X131">
        <v>49018</v>
      </c>
      <c r="Y131">
        <v>2723</v>
      </c>
      <c r="Z131">
        <v>0.22</v>
      </c>
      <c r="AA131">
        <v>18</v>
      </c>
      <c r="AB131">
        <v>10</v>
      </c>
      <c r="AC131">
        <v>8</v>
      </c>
      <c r="AD131">
        <v>55.56</v>
      </c>
      <c r="AE131">
        <v>11</v>
      </c>
      <c r="AF131">
        <v>7</v>
      </c>
      <c r="AG131">
        <v>6</v>
      </c>
      <c r="AH131">
        <v>5</v>
      </c>
    </row>
    <row r="132" spans="1:34">
      <c r="A132" s="110">
        <v>100</v>
      </c>
      <c r="B132">
        <v>6135</v>
      </c>
      <c r="C132" s="114" t="s">
        <v>370</v>
      </c>
      <c r="D132" s="114" t="s">
        <v>128</v>
      </c>
      <c r="E132">
        <v>5310</v>
      </c>
      <c r="F132">
        <v>5310</v>
      </c>
      <c r="G132">
        <v>100</v>
      </c>
      <c r="H132" s="114" t="s">
        <v>86</v>
      </c>
      <c r="I132">
        <v>6856</v>
      </c>
      <c r="J132" s="114" t="s">
        <v>407</v>
      </c>
      <c r="K132" s="114" t="s">
        <v>115</v>
      </c>
      <c r="L132">
        <v>7280</v>
      </c>
      <c r="M132">
        <v>7380</v>
      </c>
      <c r="N132">
        <v>100</v>
      </c>
      <c r="O132" s="114" t="s">
        <v>88</v>
      </c>
      <c r="P132">
        <v>0.94668827371563802</v>
      </c>
      <c r="Q132">
        <v>0.91988296513247003</v>
      </c>
      <c r="R132">
        <v>0.28567814186440899</v>
      </c>
      <c r="S132">
        <v>0.31153010116713198</v>
      </c>
      <c r="T132">
        <v>-1.0385111225461801</v>
      </c>
      <c r="U132">
        <v>1.0385111225461801</v>
      </c>
      <c r="V132">
        <v>-3.94</v>
      </c>
      <c r="W132">
        <v>28.05</v>
      </c>
      <c r="X132">
        <v>46787</v>
      </c>
      <c r="Y132">
        <v>46787</v>
      </c>
      <c r="Z132">
        <v>3.43</v>
      </c>
      <c r="AA132">
        <v>1</v>
      </c>
      <c r="AB132">
        <v>1</v>
      </c>
      <c r="AC132">
        <v>0</v>
      </c>
      <c r="AD132">
        <v>100</v>
      </c>
      <c r="AE132">
        <v>6</v>
      </c>
      <c r="AF132">
        <v>1</v>
      </c>
      <c r="AG132">
        <v>0</v>
      </c>
      <c r="AH132">
        <v>0</v>
      </c>
    </row>
    <row r="133" spans="1:34">
      <c r="A133" s="110">
        <v>7</v>
      </c>
      <c r="B133">
        <v>6471</v>
      </c>
      <c r="C133" s="114" t="s">
        <v>172</v>
      </c>
      <c r="D133" s="114" t="s">
        <v>128</v>
      </c>
      <c r="E133">
        <v>1049</v>
      </c>
      <c r="F133">
        <v>1062</v>
      </c>
      <c r="G133">
        <v>1000</v>
      </c>
      <c r="H133" s="114" t="s">
        <v>88</v>
      </c>
      <c r="I133">
        <v>6473</v>
      </c>
      <c r="J133" s="114" t="s">
        <v>166</v>
      </c>
      <c r="K133" s="114" t="s">
        <v>128</v>
      </c>
      <c r="L133">
        <v>1354</v>
      </c>
      <c r="M133">
        <v>1360</v>
      </c>
      <c r="N133">
        <v>800</v>
      </c>
      <c r="O133" s="114" t="s">
        <v>86</v>
      </c>
      <c r="P133">
        <v>0.96951007418497503</v>
      </c>
      <c r="Q133">
        <v>0.95536901798573204</v>
      </c>
      <c r="R133">
        <v>4.6007674507537101E-2</v>
      </c>
      <c r="S133" s="20">
        <v>1.45075632895828E-2</v>
      </c>
      <c r="T133">
        <v>2.0297309623386601</v>
      </c>
      <c r="U133">
        <v>2.0297309623386601</v>
      </c>
      <c r="V133">
        <v>3.79</v>
      </c>
      <c r="W133">
        <v>2.39</v>
      </c>
      <c r="X133">
        <v>46361</v>
      </c>
      <c r="Y133">
        <v>3863</v>
      </c>
      <c r="Z133">
        <v>0.19</v>
      </c>
      <c r="AA133">
        <v>12</v>
      </c>
      <c r="AB133">
        <v>8</v>
      </c>
      <c r="AC133">
        <v>4</v>
      </c>
      <c r="AD133">
        <v>66.67</v>
      </c>
      <c r="AE133">
        <v>16</v>
      </c>
      <c r="AF133">
        <v>1</v>
      </c>
      <c r="AG133">
        <v>1</v>
      </c>
      <c r="AH133">
        <v>10</v>
      </c>
    </row>
    <row r="134" spans="1:34">
      <c r="A134" s="110">
        <v>66</v>
      </c>
      <c r="B134">
        <v>5802</v>
      </c>
      <c r="C134" s="114" t="s">
        <v>163</v>
      </c>
      <c r="D134" s="114" t="s">
        <v>164</v>
      </c>
      <c r="E134">
        <v>1650</v>
      </c>
      <c r="F134">
        <v>1664</v>
      </c>
      <c r="G134">
        <v>500</v>
      </c>
      <c r="H134" s="114" t="s">
        <v>88</v>
      </c>
      <c r="I134">
        <v>7259</v>
      </c>
      <c r="J134" s="114" t="s">
        <v>54</v>
      </c>
      <c r="K134" s="114" t="s">
        <v>112</v>
      </c>
      <c r="L134">
        <v>4210</v>
      </c>
      <c r="M134">
        <v>4235</v>
      </c>
      <c r="N134">
        <v>200</v>
      </c>
      <c r="O134" s="114" t="s">
        <v>86</v>
      </c>
      <c r="P134">
        <v>0.92641566506235695</v>
      </c>
      <c r="Q134">
        <v>0.92834839844196104</v>
      </c>
      <c r="R134">
        <v>1.5712224143576699E-2</v>
      </c>
      <c r="S134">
        <v>7.3451143190265099E-3</v>
      </c>
      <c r="T134">
        <v>0.322373922393354</v>
      </c>
      <c r="U134">
        <v>0.322373922393354</v>
      </c>
      <c r="V134">
        <v>1.26</v>
      </c>
      <c r="W134">
        <v>1.77</v>
      </c>
      <c r="X134">
        <v>42709</v>
      </c>
      <c r="Y134">
        <v>3051</v>
      </c>
      <c r="Z134">
        <v>0.18</v>
      </c>
      <c r="AA134">
        <v>14</v>
      </c>
      <c r="AB134">
        <v>8</v>
      </c>
      <c r="AC134">
        <v>6</v>
      </c>
      <c r="AD134">
        <v>57.14</v>
      </c>
      <c r="AE134">
        <v>16</v>
      </c>
      <c r="AF134">
        <v>4</v>
      </c>
      <c r="AG134">
        <v>1</v>
      </c>
      <c r="AH134">
        <v>9</v>
      </c>
    </row>
    <row r="135" spans="1:34">
      <c r="A135" s="110">
        <v>111</v>
      </c>
      <c r="B135">
        <v>2914</v>
      </c>
      <c r="C135" s="114" t="s">
        <v>125</v>
      </c>
      <c r="D135" s="114" t="s">
        <v>126</v>
      </c>
      <c r="E135">
        <v>2501</v>
      </c>
      <c r="F135">
        <v>2502</v>
      </c>
      <c r="G135">
        <v>400</v>
      </c>
      <c r="H135" s="114" t="s">
        <v>86</v>
      </c>
      <c r="I135">
        <v>7327</v>
      </c>
      <c r="J135" s="114" t="s">
        <v>175</v>
      </c>
      <c r="K135" s="114" t="s">
        <v>110</v>
      </c>
      <c r="L135">
        <v>3005</v>
      </c>
      <c r="M135">
        <v>2944</v>
      </c>
      <c r="N135">
        <v>300</v>
      </c>
      <c r="O135" s="114" t="s">
        <v>88</v>
      </c>
      <c r="P135">
        <v>0.92405277045529199</v>
      </c>
      <c r="Q135">
        <v>0.91724570594849897</v>
      </c>
      <c r="R135">
        <v>0.26247356926136001</v>
      </c>
      <c r="S135">
        <v>6.8374751185868599E-3</v>
      </c>
      <c r="T135">
        <v>-1.03683170906874</v>
      </c>
      <c r="U135">
        <v>1.03683170906874</v>
      </c>
      <c r="V135">
        <v>-3</v>
      </c>
      <c r="W135">
        <v>13.32</v>
      </c>
      <c r="X135">
        <v>37401</v>
      </c>
      <c r="Y135">
        <v>37401</v>
      </c>
      <c r="Z135">
        <v>1.81</v>
      </c>
      <c r="AA135">
        <v>1</v>
      </c>
      <c r="AB135">
        <v>1</v>
      </c>
      <c r="AC135">
        <v>0</v>
      </c>
      <c r="AD135">
        <v>100</v>
      </c>
      <c r="AE135">
        <v>21</v>
      </c>
      <c r="AF135">
        <v>0</v>
      </c>
      <c r="AG135">
        <v>0</v>
      </c>
      <c r="AH135">
        <v>1</v>
      </c>
    </row>
    <row r="136" spans="1:34">
      <c r="A136" s="110">
        <v>147</v>
      </c>
      <c r="B136">
        <v>5471</v>
      </c>
      <c r="C136" s="114" t="s">
        <v>364</v>
      </c>
      <c r="D136" s="114" t="s">
        <v>121</v>
      </c>
      <c r="E136">
        <v>4895</v>
      </c>
      <c r="F136">
        <v>4925</v>
      </c>
      <c r="G136">
        <v>200</v>
      </c>
      <c r="H136" s="114" t="s">
        <v>86</v>
      </c>
      <c r="I136">
        <v>7251</v>
      </c>
      <c r="J136" s="114" t="s">
        <v>1086</v>
      </c>
      <c r="K136" s="114" t="s">
        <v>112</v>
      </c>
      <c r="L136">
        <v>2574</v>
      </c>
      <c r="M136">
        <v>2573</v>
      </c>
      <c r="N136">
        <v>400</v>
      </c>
      <c r="O136" s="114" t="s">
        <v>88</v>
      </c>
      <c r="P136">
        <v>0.92706223371470498</v>
      </c>
      <c r="Q136">
        <v>0.90976117378322596</v>
      </c>
      <c r="R136">
        <v>0.14546673147768599</v>
      </c>
      <c r="S136" s="20">
        <v>1.47339711811115E-3</v>
      </c>
      <c r="T136" s="20">
        <v>-1.5383057453484199</v>
      </c>
      <c r="U136" s="20">
        <v>1.5383057453484199</v>
      </c>
      <c r="V136">
        <v>-28.35</v>
      </c>
      <c r="W136">
        <v>4.49</v>
      </c>
      <c r="X136">
        <v>35729</v>
      </c>
      <c r="Y136">
        <v>2233</v>
      </c>
      <c r="Z136">
        <v>0</v>
      </c>
      <c r="AA136">
        <v>16</v>
      </c>
      <c r="AB136">
        <v>10</v>
      </c>
      <c r="AC136">
        <v>6</v>
      </c>
      <c r="AD136">
        <v>62.5</v>
      </c>
      <c r="AE136">
        <v>14</v>
      </c>
      <c r="AF136">
        <v>4</v>
      </c>
      <c r="AG136">
        <v>3</v>
      </c>
      <c r="AH136">
        <v>9</v>
      </c>
    </row>
    <row r="137" spans="1:34">
      <c r="A137" s="110">
        <v>72</v>
      </c>
      <c r="B137">
        <v>5802</v>
      </c>
      <c r="C137" s="114" t="s">
        <v>163</v>
      </c>
      <c r="D137" s="114" t="s">
        <v>164</v>
      </c>
      <c r="E137">
        <v>1650</v>
      </c>
      <c r="F137">
        <v>1664</v>
      </c>
      <c r="G137">
        <v>500</v>
      </c>
      <c r="H137" s="114" t="s">
        <v>88</v>
      </c>
      <c r="I137">
        <v>7272</v>
      </c>
      <c r="J137" s="114" t="s">
        <v>358</v>
      </c>
      <c r="K137" s="114" t="s">
        <v>112</v>
      </c>
      <c r="L137">
        <v>2267</v>
      </c>
      <c r="M137">
        <v>2272</v>
      </c>
      <c r="N137">
        <v>400</v>
      </c>
      <c r="O137" s="114" t="s">
        <v>86</v>
      </c>
      <c r="P137">
        <v>0.936680081666044</v>
      </c>
      <c r="Q137">
        <v>0.92669540121373895</v>
      </c>
      <c r="R137">
        <v>0.13363131708258599</v>
      </c>
      <c r="S137" s="20">
        <v>1.65364691236661E-2</v>
      </c>
      <c r="T137">
        <v>1.7120101376977701</v>
      </c>
      <c r="U137">
        <v>1.7120101376977701</v>
      </c>
      <c r="V137">
        <v>4.33</v>
      </c>
      <c r="W137">
        <v>8.4499999999999993</v>
      </c>
      <c r="X137">
        <v>32314</v>
      </c>
      <c r="Y137">
        <v>1795</v>
      </c>
      <c r="Z137">
        <v>0.03</v>
      </c>
      <c r="AA137">
        <v>18</v>
      </c>
      <c r="AB137">
        <v>9</v>
      </c>
      <c r="AC137">
        <v>9</v>
      </c>
      <c r="AD137">
        <v>50</v>
      </c>
      <c r="AE137">
        <v>15</v>
      </c>
      <c r="AF137">
        <v>4</v>
      </c>
      <c r="AG137">
        <v>2</v>
      </c>
      <c r="AH137">
        <v>12</v>
      </c>
    </row>
    <row r="138" spans="1:34">
      <c r="A138" s="110">
        <v>37</v>
      </c>
      <c r="B138">
        <v>7453</v>
      </c>
      <c r="C138" s="114" t="s">
        <v>133</v>
      </c>
      <c r="D138" s="114" t="s">
        <v>124</v>
      </c>
      <c r="E138">
        <v>2496</v>
      </c>
      <c r="F138">
        <v>2506</v>
      </c>
      <c r="G138">
        <v>400</v>
      </c>
      <c r="H138" s="114" t="s">
        <v>88</v>
      </c>
      <c r="I138">
        <v>8267</v>
      </c>
      <c r="J138" s="114" t="s">
        <v>366</v>
      </c>
      <c r="K138" s="114" t="s">
        <v>124</v>
      </c>
      <c r="L138">
        <v>2231</v>
      </c>
      <c r="M138">
        <v>2216.5</v>
      </c>
      <c r="N138">
        <v>500</v>
      </c>
      <c r="O138" s="114" t="s">
        <v>86</v>
      </c>
      <c r="P138">
        <v>0.94692913375268895</v>
      </c>
      <c r="Q138">
        <v>0.94051489540671895</v>
      </c>
      <c r="R138">
        <v>1.6940462298824999E-2</v>
      </c>
      <c r="S138">
        <v>1.12938308981693E-3</v>
      </c>
      <c r="T138">
        <v>1.6286779971736101</v>
      </c>
      <c r="U138">
        <v>1.6286779971736101</v>
      </c>
      <c r="V138">
        <v>8.3000000000000007</v>
      </c>
      <c r="W138">
        <v>10.56</v>
      </c>
      <c r="X138">
        <v>32083</v>
      </c>
      <c r="Y138">
        <v>1689</v>
      </c>
      <c r="Z138">
        <v>0.15</v>
      </c>
      <c r="AA138">
        <v>19</v>
      </c>
      <c r="AB138">
        <v>9</v>
      </c>
      <c r="AC138">
        <v>10</v>
      </c>
      <c r="AD138">
        <v>47.37</v>
      </c>
      <c r="AE138">
        <v>12</v>
      </c>
      <c r="AF138">
        <v>6</v>
      </c>
      <c r="AG138">
        <v>3</v>
      </c>
      <c r="AH138">
        <v>10</v>
      </c>
    </row>
    <row r="139" spans="1:34">
      <c r="A139" s="110">
        <v>15</v>
      </c>
      <c r="B139">
        <v>3635</v>
      </c>
      <c r="C139" s="114" t="s">
        <v>113</v>
      </c>
      <c r="D139" s="114" t="s">
        <v>107</v>
      </c>
      <c r="E139">
        <v>2648</v>
      </c>
      <c r="F139">
        <v>2637</v>
      </c>
      <c r="G139">
        <v>400</v>
      </c>
      <c r="H139" s="114" t="s">
        <v>86</v>
      </c>
      <c r="I139">
        <v>6702</v>
      </c>
      <c r="J139" s="114" t="s">
        <v>409</v>
      </c>
      <c r="K139" s="114" t="s">
        <v>115</v>
      </c>
      <c r="L139">
        <v>9923</v>
      </c>
      <c r="M139">
        <v>10130</v>
      </c>
      <c r="N139">
        <v>100</v>
      </c>
      <c r="O139" s="114" t="s">
        <v>88</v>
      </c>
      <c r="P139">
        <v>0.94649181028107698</v>
      </c>
      <c r="Q139">
        <v>0.94932354843408695</v>
      </c>
      <c r="R139">
        <v>1.4838305044058401E-2</v>
      </c>
      <c r="S139">
        <v>5.23854299003653E-2</v>
      </c>
      <c r="T139">
        <v>-0.44572016902601103</v>
      </c>
      <c r="U139">
        <v>0.44572016902601103</v>
      </c>
      <c r="V139">
        <v>-1.23</v>
      </c>
      <c r="W139">
        <v>4.13</v>
      </c>
      <c r="X139">
        <v>31031</v>
      </c>
      <c r="Y139">
        <v>2586</v>
      </c>
      <c r="Z139">
        <v>0.16</v>
      </c>
      <c r="AA139">
        <v>12</v>
      </c>
      <c r="AB139">
        <v>7</v>
      </c>
      <c r="AC139">
        <v>5</v>
      </c>
      <c r="AD139">
        <v>58.33</v>
      </c>
      <c r="AE139">
        <v>13</v>
      </c>
      <c r="AF139">
        <v>6</v>
      </c>
      <c r="AG139">
        <v>1</v>
      </c>
      <c r="AH139">
        <v>5</v>
      </c>
    </row>
    <row r="140" spans="1:34">
      <c r="A140" s="110">
        <v>114</v>
      </c>
      <c r="B140">
        <v>6588</v>
      </c>
      <c r="C140" s="114" t="s">
        <v>1081</v>
      </c>
      <c r="D140" s="114" t="s">
        <v>115</v>
      </c>
      <c r="E140">
        <v>4430</v>
      </c>
      <c r="F140">
        <v>4445</v>
      </c>
      <c r="G140">
        <v>100</v>
      </c>
      <c r="H140" s="114" t="s">
        <v>88</v>
      </c>
      <c r="I140">
        <v>9706</v>
      </c>
      <c r="J140" s="114" t="s">
        <v>418</v>
      </c>
      <c r="K140" s="114" t="s">
        <v>143</v>
      </c>
      <c r="L140">
        <v>5740</v>
      </c>
      <c r="M140">
        <v>5720</v>
      </c>
      <c r="N140">
        <v>100</v>
      </c>
      <c r="O140" s="114" t="s">
        <v>86</v>
      </c>
      <c r="P140">
        <v>0.96752975880099701</v>
      </c>
      <c r="Q140">
        <v>0.91624769630801595</v>
      </c>
      <c r="R140">
        <v>0.14326564671936401</v>
      </c>
      <c r="S140">
        <v>4.8532534409951499E-2</v>
      </c>
      <c r="T140">
        <v>1.4664665298899899</v>
      </c>
      <c r="U140">
        <v>1.4664665298899899</v>
      </c>
      <c r="V140">
        <v>5.53</v>
      </c>
      <c r="W140">
        <v>22.29</v>
      </c>
      <c r="X140">
        <v>26767</v>
      </c>
      <c r="Y140">
        <v>2059</v>
      </c>
      <c r="Z140">
        <v>0.15</v>
      </c>
      <c r="AA140">
        <v>13</v>
      </c>
      <c r="AB140">
        <v>8</v>
      </c>
      <c r="AC140">
        <v>5</v>
      </c>
      <c r="AD140">
        <v>61.54</v>
      </c>
      <c r="AE140">
        <v>11</v>
      </c>
      <c r="AF140">
        <v>5</v>
      </c>
      <c r="AG140">
        <v>4</v>
      </c>
      <c r="AH140">
        <v>4</v>
      </c>
    </row>
    <row r="141" spans="1:34">
      <c r="A141" s="110">
        <v>186</v>
      </c>
      <c r="B141">
        <v>3148</v>
      </c>
      <c r="C141" s="114" t="s">
        <v>357</v>
      </c>
      <c r="D141" s="114" t="s">
        <v>124</v>
      </c>
      <c r="E141">
        <v>2634</v>
      </c>
      <c r="F141">
        <v>2637</v>
      </c>
      <c r="G141">
        <v>400</v>
      </c>
      <c r="H141" s="114" t="s">
        <v>86</v>
      </c>
      <c r="I141">
        <v>8267</v>
      </c>
      <c r="J141" s="114" t="s">
        <v>366</v>
      </c>
      <c r="K141" s="114" t="s">
        <v>124</v>
      </c>
      <c r="L141">
        <v>2231</v>
      </c>
      <c r="M141">
        <v>2216.5</v>
      </c>
      <c r="N141">
        <v>500</v>
      </c>
      <c r="O141" s="114" t="s">
        <v>88</v>
      </c>
      <c r="P141">
        <v>0.94728365469249198</v>
      </c>
      <c r="Q141">
        <v>0.90285511458602896</v>
      </c>
      <c r="R141">
        <v>9.8492639378656793E-2</v>
      </c>
      <c r="S141">
        <v>8.9793270153500901E-2</v>
      </c>
      <c r="T141">
        <v>-1.63952775553953</v>
      </c>
      <c r="U141">
        <v>1.63952775553953</v>
      </c>
      <c r="V141">
        <v>-3.51</v>
      </c>
      <c r="W141">
        <v>5.07</v>
      </c>
      <c r="X141">
        <v>23411</v>
      </c>
      <c r="Y141">
        <v>1561</v>
      </c>
      <c r="Z141">
        <v>0.02</v>
      </c>
      <c r="AA141">
        <v>15</v>
      </c>
      <c r="AB141">
        <v>7</v>
      </c>
      <c r="AC141">
        <v>8</v>
      </c>
      <c r="AD141">
        <v>46.67</v>
      </c>
      <c r="AE141">
        <v>14</v>
      </c>
      <c r="AF141">
        <v>3</v>
      </c>
      <c r="AG141">
        <v>2</v>
      </c>
      <c r="AH141">
        <v>10</v>
      </c>
    </row>
    <row r="142" spans="1:34">
      <c r="A142" s="110">
        <v>54</v>
      </c>
      <c r="B142">
        <v>6988</v>
      </c>
      <c r="C142" s="114" t="s">
        <v>173</v>
      </c>
      <c r="D142" s="114" t="s">
        <v>87</v>
      </c>
      <c r="E142">
        <v>6060</v>
      </c>
      <c r="F142">
        <v>6150</v>
      </c>
      <c r="G142">
        <v>100</v>
      </c>
      <c r="H142" s="114" t="s">
        <v>86</v>
      </c>
      <c r="I142">
        <v>6995</v>
      </c>
      <c r="J142" s="114" t="s">
        <v>120</v>
      </c>
      <c r="K142" s="114" t="s">
        <v>112</v>
      </c>
      <c r="L142">
        <v>2127</v>
      </c>
      <c r="M142">
        <v>2125</v>
      </c>
      <c r="N142">
        <v>300</v>
      </c>
      <c r="O142" s="114" t="s">
        <v>88</v>
      </c>
      <c r="P142">
        <v>0.95297339884389998</v>
      </c>
      <c r="Q142">
        <v>0.93290272849196199</v>
      </c>
      <c r="R142">
        <v>0.147109152573695</v>
      </c>
      <c r="S142">
        <v>4.2639650025303897E-3</v>
      </c>
      <c r="T142">
        <v>-0.40858128937142102</v>
      </c>
      <c r="U142">
        <v>0.40858128937142102</v>
      </c>
      <c r="V142">
        <v>-1.03</v>
      </c>
      <c r="W142">
        <v>3.66</v>
      </c>
      <c r="X142">
        <v>22867</v>
      </c>
      <c r="Y142">
        <v>2287</v>
      </c>
      <c r="Z142">
        <v>0.11</v>
      </c>
      <c r="AA142">
        <v>10</v>
      </c>
      <c r="AB142">
        <v>7</v>
      </c>
      <c r="AC142">
        <v>3</v>
      </c>
      <c r="AD142">
        <v>70</v>
      </c>
      <c r="AE142">
        <v>13</v>
      </c>
      <c r="AF142">
        <v>2</v>
      </c>
      <c r="AG142">
        <v>2</v>
      </c>
      <c r="AH142">
        <v>6</v>
      </c>
    </row>
    <row r="143" spans="1:34">
      <c r="A143" s="110">
        <v>38</v>
      </c>
      <c r="B143">
        <v>6481</v>
      </c>
      <c r="C143" s="114" t="s">
        <v>410</v>
      </c>
      <c r="D143" s="114" t="s">
        <v>128</v>
      </c>
      <c r="E143">
        <v>3050</v>
      </c>
      <c r="F143">
        <v>3065</v>
      </c>
      <c r="G143">
        <v>200</v>
      </c>
      <c r="H143" s="114" t="s">
        <v>86</v>
      </c>
      <c r="I143">
        <v>6856</v>
      </c>
      <c r="J143" s="114" t="s">
        <v>407</v>
      </c>
      <c r="K143" s="114" t="s">
        <v>115</v>
      </c>
      <c r="L143">
        <v>7280</v>
      </c>
      <c r="M143">
        <v>7380</v>
      </c>
      <c r="N143">
        <v>100</v>
      </c>
      <c r="O143" s="114" t="s">
        <v>88</v>
      </c>
      <c r="P143">
        <v>0.91331278052689802</v>
      </c>
      <c r="Q143">
        <v>0.94004419505091397</v>
      </c>
      <c r="R143">
        <v>0.118190634205461</v>
      </c>
      <c r="S143">
        <v>9.9668248306258207E-3</v>
      </c>
      <c r="T143">
        <v>-1.2822702554812899</v>
      </c>
      <c r="U143">
        <v>1.2822702554812899</v>
      </c>
      <c r="V143">
        <v>-5.25</v>
      </c>
      <c r="W143">
        <v>16.940000000000001</v>
      </c>
      <c r="X143">
        <v>19908</v>
      </c>
      <c r="Y143">
        <v>1810</v>
      </c>
      <c r="Z143">
        <v>-0.11</v>
      </c>
      <c r="AA143">
        <v>11</v>
      </c>
      <c r="AB143">
        <v>6</v>
      </c>
      <c r="AC143">
        <v>5</v>
      </c>
      <c r="AD143">
        <v>54.55</v>
      </c>
      <c r="AE143">
        <v>12</v>
      </c>
      <c r="AF143">
        <v>5</v>
      </c>
      <c r="AG143">
        <v>3</v>
      </c>
      <c r="AH143">
        <v>3</v>
      </c>
    </row>
    <row r="144" spans="1:34">
      <c r="A144" s="110">
        <v>94</v>
      </c>
      <c r="B144">
        <v>6371</v>
      </c>
      <c r="C144" s="114" t="s">
        <v>137</v>
      </c>
      <c r="D144" s="114" t="s">
        <v>128</v>
      </c>
      <c r="E144">
        <v>3765</v>
      </c>
      <c r="F144">
        <v>3790</v>
      </c>
      <c r="G144">
        <v>200</v>
      </c>
      <c r="H144" s="114" t="s">
        <v>88</v>
      </c>
      <c r="I144">
        <v>6472</v>
      </c>
      <c r="J144" s="114" t="s">
        <v>168</v>
      </c>
      <c r="K144" s="114" t="s">
        <v>128</v>
      </c>
      <c r="L144">
        <v>336</v>
      </c>
      <c r="M144">
        <v>337</v>
      </c>
      <c r="N144">
        <v>2200</v>
      </c>
      <c r="O144" s="114" t="s">
        <v>86</v>
      </c>
      <c r="P144">
        <v>0.90624654141922201</v>
      </c>
      <c r="Q144">
        <v>0.92079987231579996</v>
      </c>
      <c r="R144">
        <v>3.4080164393840998E-2</v>
      </c>
      <c r="S144">
        <v>0.123235292814702</v>
      </c>
      <c r="T144">
        <v>0.35470270788728397</v>
      </c>
      <c r="U144">
        <v>0.35470270788728397</v>
      </c>
      <c r="V144">
        <v>1.23</v>
      </c>
      <c r="W144">
        <v>2.19</v>
      </c>
      <c r="X144">
        <v>15705</v>
      </c>
      <c r="Y144">
        <v>982</v>
      </c>
      <c r="Z144">
        <v>0.1</v>
      </c>
      <c r="AA144">
        <v>16</v>
      </c>
      <c r="AB144">
        <v>10</v>
      </c>
      <c r="AC144">
        <v>6</v>
      </c>
      <c r="AD144">
        <v>62.5</v>
      </c>
      <c r="AE144">
        <v>16</v>
      </c>
      <c r="AF144">
        <v>3</v>
      </c>
      <c r="AG144">
        <v>3</v>
      </c>
      <c r="AH144">
        <v>10</v>
      </c>
    </row>
    <row r="145" spans="1:34">
      <c r="A145" s="110">
        <v>126</v>
      </c>
      <c r="B145">
        <v>5706</v>
      </c>
      <c r="C145" s="114" t="s">
        <v>391</v>
      </c>
      <c r="D145" s="114" t="s">
        <v>164</v>
      </c>
      <c r="E145">
        <v>2717</v>
      </c>
      <c r="F145">
        <v>2729</v>
      </c>
      <c r="G145">
        <v>200</v>
      </c>
      <c r="H145" s="114" t="s">
        <v>88</v>
      </c>
      <c r="I145">
        <v>6103</v>
      </c>
      <c r="J145" s="114" t="s">
        <v>392</v>
      </c>
      <c r="K145" s="114" t="s">
        <v>128</v>
      </c>
      <c r="L145">
        <v>6000</v>
      </c>
      <c r="M145">
        <v>6010</v>
      </c>
      <c r="N145">
        <v>100</v>
      </c>
      <c r="O145" s="114" t="s">
        <v>86</v>
      </c>
      <c r="P145">
        <v>0.902752008766459</v>
      </c>
      <c r="Q145">
        <v>0.91278830209209405</v>
      </c>
      <c r="R145" s="20">
        <v>0.11532614497877899</v>
      </c>
      <c r="S145">
        <v>2.3568244691978598E-3</v>
      </c>
      <c r="T145">
        <v>0.494247306599992</v>
      </c>
      <c r="U145">
        <v>0.494247306599992</v>
      </c>
      <c r="V145">
        <v>2.1800000000000002</v>
      </c>
      <c r="W145">
        <v>9.18</v>
      </c>
      <c r="X145">
        <v>13268</v>
      </c>
      <c r="Y145">
        <v>1895</v>
      </c>
      <c r="Z145">
        <v>-0.05</v>
      </c>
      <c r="AA145">
        <v>7</v>
      </c>
      <c r="AB145">
        <v>3</v>
      </c>
      <c r="AC145">
        <v>4</v>
      </c>
      <c r="AD145">
        <v>42.86</v>
      </c>
      <c r="AE145">
        <v>10</v>
      </c>
      <c r="AF145">
        <v>2</v>
      </c>
      <c r="AG145">
        <v>3</v>
      </c>
      <c r="AH145">
        <v>2</v>
      </c>
    </row>
    <row r="146" spans="1:34">
      <c r="A146" s="110">
        <v>130</v>
      </c>
      <c r="B146">
        <v>3291</v>
      </c>
      <c r="C146" s="114" t="s">
        <v>142</v>
      </c>
      <c r="D146" s="114" t="s">
        <v>143</v>
      </c>
      <c r="E146">
        <v>1934</v>
      </c>
      <c r="F146">
        <v>1911</v>
      </c>
      <c r="G146">
        <v>500</v>
      </c>
      <c r="H146" s="114" t="s">
        <v>86</v>
      </c>
      <c r="I146">
        <v>8601</v>
      </c>
      <c r="J146" s="114" t="s">
        <v>52</v>
      </c>
      <c r="K146" s="114" t="s">
        <v>1085</v>
      </c>
      <c r="L146">
        <v>550.20000000000005</v>
      </c>
      <c r="M146">
        <v>545.4</v>
      </c>
      <c r="N146">
        <v>1800</v>
      </c>
      <c r="O146" s="114" t="s">
        <v>88</v>
      </c>
      <c r="P146">
        <v>0.94261903267855196</v>
      </c>
      <c r="Q146">
        <v>0.91231765968851297</v>
      </c>
      <c r="R146">
        <v>0.17478659319353201</v>
      </c>
      <c r="S146">
        <v>0.182990084339097</v>
      </c>
      <c r="T146">
        <v>-1.2352418491774699</v>
      </c>
      <c r="U146">
        <v>1.2352418491774699</v>
      </c>
      <c r="V146">
        <v>-1.78</v>
      </c>
      <c r="W146">
        <v>2.74</v>
      </c>
      <c r="X146">
        <v>12422</v>
      </c>
      <c r="Y146">
        <v>731</v>
      </c>
      <c r="Z146">
        <v>0.05</v>
      </c>
      <c r="AA146">
        <v>17</v>
      </c>
      <c r="AB146">
        <v>10</v>
      </c>
      <c r="AC146">
        <v>7</v>
      </c>
      <c r="AD146">
        <v>58.82</v>
      </c>
      <c r="AE146">
        <v>15</v>
      </c>
      <c r="AF146">
        <v>3</v>
      </c>
      <c r="AG146">
        <v>1</v>
      </c>
      <c r="AH146">
        <v>13</v>
      </c>
    </row>
    <row r="147" spans="1:34">
      <c r="A147" s="110">
        <v>63</v>
      </c>
      <c r="B147">
        <v>5991</v>
      </c>
      <c r="C147" s="114" t="s">
        <v>144</v>
      </c>
      <c r="D147" s="114" t="s">
        <v>145</v>
      </c>
      <c r="E147">
        <v>964</v>
      </c>
      <c r="F147">
        <v>978</v>
      </c>
      <c r="G147">
        <v>1100</v>
      </c>
      <c r="H147" s="114" t="s">
        <v>88</v>
      </c>
      <c r="I147">
        <v>8002</v>
      </c>
      <c r="J147" s="114" t="s">
        <v>56</v>
      </c>
      <c r="K147" s="114" t="s">
        <v>130</v>
      </c>
      <c r="L147">
        <v>814.4</v>
      </c>
      <c r="M147">
        <v>815.2</v>
      </c>
      <c r="N147">
        <v>1300</v>
      </c>
      <c r="O147" s="114" t="s">
        <v>86</v>
      </c>
      <c r="P147">
        <v>0.96402291307237598</v>
      </c>
      <c r="Q147">
        <v>0.92982473755846295</v>
      </c>
      <c r="R147">
        <v>5.6041913039967403E-2</v>
      </c>
      <c r="S147">
        <v>1.64567194782664E-2</v>
      </c>
      <c r="T147">
        <v>1.19494080009996</v>
      </c>
      <c r="U147">
        <v>1.19494080009996</v>
      </c>
      <c r="V147">
        <v>4.34</v>
      </c>
      <c r="W147">
        <v>1.49</v>
      </c>
      <c r="X147">
        <v>10934</v>
      </c>
      <c r="Y147">
        <v>643</v>
      </c>
      <c r="Z147">
        <v>0.05</v>
      </c>
      <c r="AA147">
        <v>17</v>
      </c>
      <c r="AB147">
        <v>8</v>
      </c>
      <c r="AC147">
        <v>9</v>
      </c>
      <c r="AD147">
        <v>47.06</v>
      </c>
      <c r="AE147">
        <v>14</v>
      </c>
      <c r="AF147">
        <v>5</v>
      </c>
      <c r="AG147">
        <v>3</v>
      </c>
      <c r="AH147">
        <v>9</v>
      </c>
    </row>
    <row r="148" spans="1:34">
      <c r="A148" s="110">
        <v>141</v>
      </c>
      <c r="B148">
        <v>7205</v>
      </c>
      <c r="C148" s="114" t="s">
        <v>146</v>
      </c>
      <c r="D148" s="114" t="s">
        <v>112</v>
      </c>
      <c r="E148">
        <v>1084</v>
      </c>
      <c r="F148">
        <v>1093</v>
      </c>
      <c r="G148">
        <v>1000</v>
      </c>
      <c r="H148" s="114" t="s">
        <v>88</v>
      </c>
      <c r="I148">
        <v>8002</v>
      </c>
      <c r="J148" s="114" t="s">
        <v>56</v>
      </c>
      <c r="K148" s="114" t="s">
        <v>130</v>
      </c>
      <c r="L148">
        <v>814.4</v>
      </c>
      <c r="M148">
        <v>815.2</v>
      </c>
      <c r="N148">
        <v>1300</v>
      </c>
      <c r="O148" s="114" t="s">
        <v>86</v>
      </c>
      <c r="P148">
        <v>0.95041399628734102</v>
      </c>
      <c r="Q148">
        <v>0.91058519860957299</v>
      </c>
      <c r="R148">
        <v>0.14925343541800001</v>
      </c>
      <c r="S148">
        <v>7.5848597426147399E-2</v>
      </c>
      <c r="T148">
        <v>1.4792044165966001</v>
      </c>
      <c r="U148">
        <v>1.4792044165966001</v>
      </c>
      <c r="V148">
        <v>4.99</v>
      </c>
      <c r="W148">
        <v>3.04</v>
      </c>
      <c r="X148">
        <v>5271</v>
      </c>
      <c r="Y148">
        <v>310</v>
      </c>
      <c r="Z148">
        <v>0.03</v>
      </c>
      <c r="AA148">
        <v>17</v>
      </c>
      <c r="AB148">
        <v>8</v>
      </c>
      <c r="AC148">
        <v>9</v>
      </c>
      <c r="AD148">
        <v>47.06</v>
      </c>
      <c r="AE148">
        <v>15</v>
      </c>
      <c r="AF148">
        <v>3</v>
      </c>
      <c r="AG148">
        <v>2</v>
      </c>
      <c r="AH148">
        <v>12</v>
      </c>
    </row>
    <row r="149" spans="1:34">
      <c r="A149" s="110">
        <v>193</v>
      </c>
      <c r="B149">
        <v>4183</v>
      </c>
      <c r="C149" s="114" t="s">
        <v>361</v>
      </c>
      <c r="D149" s="114" t="s">
        <v>87</v>
      </c>
      <c r="E149">
        <v>2605</v>
      </c>
      <c r="F149">
        <v>2628</v>
      </c>
      <c r="G149">
        <v>200</v>
      </c>
      <c r="H149" s="114" t="s">
        <v>88</v>
      </c>
      <c r="I149">
        <v>7276</v>
      </c>
      <c r="J149" s="114" t="s">
        <v>1087</v>
      </c>
      <c r="K149" s="114" t="s">
        <v>115</v>
      </c>
      <c r="L149">
        <v>5600</v>
      </c>
      <c r="M149">
        <v>5610</v>
      </c>
      <c r="N149">
        <v>100</v>
      </c>
      <c r="O149" s="114" t="s">
        <v>86</v>
      </c>
      <c r="P149">
        <v>0.95856542955726998</v>
      </c>
      <c r="Q149">
        <v>0.90104299658231202</v>
      </c>
      <c r="R149">
        <v>2.8783103149426E-2</v>
      </c>
      <c r="S149">
        <v>0.211144197135927</v>
      </c>
      <c r="T149">
        <v>0.88409207871735096</v>
      </c>
      <c r="U149">
        <v>0.88409207871735096</v>
      </c>
      <c r="V149">
        <v>1.18</v>
      </c>
      <c r="W149">
        <v>6.31</v>
      </c>
      <c r="X149">
        <v>4903</v>
      </c>
      <c r="Y149">
        <v>700</v>
      </c>
      <c r="Z149">
        <v>0.13</v>
      </c>
      <c r="AA149">
        <v>7</v>
      </c>
      <c r="AB149">
        <v>2</v>
      </c>
      <c r="AC149">
        <v>5</v>
      </c>
      <c r="AD149">
        <v>28.57</v>
      </c>
      <c r="AE149">
        <v>11</v>
      </c>
      <c r="AF149">
        <v>2</v>
      </c>
      <c r="AG149">
        <v>2</v>
      </c>
      <c r="AH149">
        <v>3</v>
      </c>
    </row>
    <row r="150" spans="1:34">
      <c r="A150" s="110">
        <v>84</v>
      </c>
      <c r="B150">
        <v>5233</v>
      </c>
      <c r="C150" s="114" t="s">
        <v>177</v>
      </c>
      <c r="D150" s="114" t="s">
        <v>135</v>
      </c>
      <c r="E150">
        <v>3210</v>
      </c>
      <c r="F150">
        <v>3250</v>
      </c>
      <c r="G150">
        <v>300</v>
      </c>
      <c r="H150" s="114" t="s">
        <v>88</v>
      </c>
      <c r="I150">
        <v>7327</v>
      </c>
      <c r="J150" s="114" t="s">
        <v>175</v>
      </c>
      <c r="K150" s="114" t="s">
        <v>110</v>
      </c>
      <c r="L150">
        <v>3005</v>
      </c>
      <c r="M150">
        <v>2944</v>
      </c>
      <c r="N150">
        <v>300</v>
      </c>
      <c r="O150" s="114" t="s">
        <v>86</v>
      </c>
      <c r="P150">
        <v>0.90919503352168296</v>
      </c>
      <c r="Q150">
        <v>0.92350288517785795</v>
      </c>
      <c r="R150">
        <v>7.8404616722513198E-2</v>
      </c>
      <c r="S150">
        <v>0.162063844956706</v>
      </c>
      <c r="T150">
        <v>0.47576695789101398</v>
      </c>
      <c r="U150">
        <v>0.47576695789101398</v>
      </c>
      <c r="V150">
        <v>1.23</v>
      </c>
      <c r="W150">
        <v>9.42</v>
      </c>
      <c r="X150">
        <v>4195</v>
      </c>
      <c r="Y150">
        <v>2098</v>
      </c>
      <c r="Z150">
        <v>-0.01</v>
      </c>
      <c r="AA150">
        <v>2</v>
      </c>
      <c r="AB150">
        <v>1</v>
      </c>
      <c r="AC150">
        <v>1</v>
      </c>
      <c r="AD150">
        <v>50</v>
      </c>
      <c r="AE150">
        <v>10</v>
      </c>
      <c r="AF150">
        <v>1</v>
      </c>
      <c r="AG150">
        <v>1</v>
      </c>
      <c r="AH150">
        <v>0</v>
      </c>
    </row>
    <row r="151" spans="1:34">
      <c r="A151" s="110">
        <v>174</v>
      </c>
      <c r="B151">
        <v>6448</v>
      </c>
      <c r="C151" s="114" t="s">
        <v>1088</v>
      </c>
      <c r="D151" s="114" t="s">
        <v>115</v>
      </c>
      <c r="E151">
        <v>2160</v>
      </c>
      <c r="F151">
        <v>2195</v>
      </c>
      <c r="G151">
        <v>400</v>
      </c>
      <c r="H151" s="114" t="s">
        <v>86</v>
      </c>
      <c r="I151">
        <v>6965</v>
      </c>
      <c r="J151" s="114" t="s">
        <v>1089</v>
      </c>
      <c r="K151" s="114" t="s">
        <v>115</v>
      </c>
      <c r="L151">
        <v>4405</v>
      </c>
      <c r="M151">
        <v>4530</v>
      </c>
      <c r="N151">
        <v>200</v>
      </c>
      <c r="O151" s="114" t="s">
        <v>88</v>
      </c>
      <c r="P151">
        <v>0.93809586170313597</v>
      </c>
      <c r="Q151">
        <v>0.90477877755506897</v>
      </c>
      <c r="R151">
        <v>0.14476834278098999</v>
      </c>
      <c r="S151">
        <v>7.5411285726874305E-2</v>
      </c>
      <c r="T151">
        <v>-0.81187481642802795</v>
      </c>
      <c r="U151">
        <v>0.81187481642802795</v>
      </c>
      <c r="V151">
        <v>-1.95</v>
      </c>
      <c r="W151">
        <v>3.09</v>
      </c>
      <c r="X151">
        <v>4153</v>
      </c>
      <c r="Y151">
        <v>260</v>
      </c>
      <c r="Z151">
        <v>0.04</v>
      </c>
      <c r="AA151">
        <v>16</v>
      </c>
      <c r="AB151">
        <v>9</v>
      </c>
      <c r="AC151">
        <v>7</v>
      </c>
      <c r="AD151">
        <v>56.25</v>
      </c>
      <c r="AE151">
        <v>13</v>
      </c>
      <c r="AF151">
        <v>4</v>
      </c>
      <c r="AG151">
        <v>4</v>
      </c>
      <c r="AH151">
        <v>8</v>
      </c>
    </row>
    <row r="152" spans="1:34">
      <c r="A152" s="110">
        <v>169</v>
      </c>
      <c r="B152">
        <v>6371</v>
      </c>
      <c r="C152" s="114" t="s">
        <v>137</v>
      </c>
      <c r="D152" s="114" t="s">
        <v>128</v>
      </c>
      <c r="E152">
        <v>3765</v>
      </c>
      <c r="F152">
        <v>3790</v>
      </c>
      <c r="G152">
        <v>200</v>
      </c>
      <c r="H152" s="114" t="s">
        <v>86</v>
      </c>
      <c r="I152">
        <v>6752</v>
      </c>
      <c r="J152" s="114" t="s">
        <v>134</v>
      </c>
      <c r="K152" s="114" t="s">
        <v>115</v>
      </c>
      <c r="L152">
        <v>1018.5</v>
      </c>
      <c r="M152">
        <v>1029.5</v>
      </c>
      <c r="N152">
        <v>700</v>
      </c>
      <c r="O152" s="114" t="s">
        <v>88</v>
      </c>
      <c r="P152">
        <v>0.92916691212420099</v>
      </c>
      <c r="Q152">
        <v>0.90628425735961304</v>
      </c>
      <c r="R152">
        <v>8.2409490542433794E-2</v>
      </c>
      <c r="S152">
        <v>0.124451164134651</v>
      </c>
      <c r="T152">
        <v>-2.2961067258274999</v>
      </c>
      <c r="U152">
        <v>2.2961067258274999</v>
      </c>
      <c r="V152">
        <v>-5.45</v>
      </c>
      <c r="W152">
        <v>4.93</v>
      </c>
      <c r="X152">
        <v>-1507</v>
      </c>
      <c r="Y152">
        <v>-72</v>
      </c>
      <c r="Z152">
        <v>0.03</v>
      </c>
      <c r="AA152">
        <v>21</v>
      </c>
      <c r="AB152">
        <v>9</v>
      </c>
      <c r="AC152">
        <v>12</v>
      </c>
      <c r="AD152">
        <v>42.86</v>
      </c>
      <c r="AE152">
        <v>14</v>
      </c>
      <c r="AF152">
        <v>4</v>
      </c>
      <c r="AG152">
        <v>3</v>
      </c>
      <c r="AH152">
        <v>14</v>
      </c>
    </row>
    <row r="153" spans="1:34">
      <c r="A153" s="110">
        <v>157</v>
      </c>
      <c r="B153">
        <v>2175</v>
      </c>
      <c r="C153" s="114" t="s">
        <v>399</v>
      </c>
      <c r="D153" s="114" t="s">
        <v>149</v>
      </c>
      <c r="E153">
        <v>2990</v>
      </c>
      <c r="F153">
        <v>3015</v>
      </c>
      <c r="G153">
        <v>300</v>
      </c>
      <c r="H153" s="114" t="s">
        <v>86</v>
      </c>
      <c r="I153">
        <v>6098</v>
      </c>
      <c r="J153" s="114" t="s">
        <v>420</v>
      </c>
      <c r="K153" s="114" t="s">
        <v>149</v>
      </c>
      <c r="L153">
        <v>3908</v>
      </c>
      <c r="M153">
        <v>3976</v>
      </c>
      <c r="N153">
        <v>200</v>
      </c>
      <c r="O153" s="114" t="s">
        <v>88</v>
      </c>
      <c r="P153">
        <v>0.947323397311995</v>
      </c>
      <c r="Q153">
        <v>0.90840688680132997</v>
      </c>
      <c r="R153" s="20">
        <v>8.2540677016184699E-7</v>
      </c>
      <c r="S153">
        <v>6.5683080926169202E-2</v>
      </c>
      <c r="T153">
        <v>-0.32151036212128598</v>
      </c>
      <c r="U153">
        <v>0.32151036212128598</v>
      </c>
      <c r="V153">
        <v>-1.1599999999999999</v>
      </c>
      <c r="W153">
        <v>13.74</v>
      </c>
      <c r="X153">
        <v>-1755</v>
      </c>
      <c r="Y153">
        <v>-103</v>
      </c>
      <c r="Z153">
        <v>0.05</v>
      </c>
      <c r="AA153">
        <v>17</v>
      </c>
      <c r="AB153">
        <v>9</v>
      </c>
      <c r="AC153">
        <v>8</v>
      </c>
      <c r="AD153">
        <v>52.94</v>
      </c>
      <c r="AE153">
        <v>10</v>
      </c>
      <c r="AF153">
        <v>8</v>
      </c>
      <c r="AG153">
        <v>5</v>
      </c>
      <c r="AH153">
        <v>4</v>
      </c>
    </row>
    <row r="154" spans="1:34">
      <c r="A154" s="110">
        <v>82</v>
      </c>
      <c r="B154">
        <v>8306</v>
      </c>
      <c r="C154" s="114" t="s">
        <v>178</v>
      </c>
      <c r="D154" s="114" t="s">
        <v>110</v>
      </c>
      <c r="E154">
        <v>576.4</v>
      </c>
      <c r="F154">
        <v>581</v>
      </c>
      <c r="G154">
        <v>1800</v>
      </c>
      <c r="H154" s="114" t="s">
        <v>88</v>
      </c>
      <c r="I154">
        <v>8411</v>
      </c>
      <c r="J154" s="114" t="s">
        <v>150</v>
      </c>
      <c r="K154" s="114" t="s">
        <v>110</v>
      </c>
      <c r="L154">
        <v>168.4</v>
      </c>
      <c r="M154">
        <v>168.8</v>
      </c>
      <c r="N154">
        <v>6200</v>
      </c>
      <c r="O154" s="114" t="s">
        <v>86</v>
      </c>
      <c r="P154">
        <v>0.96649992177996702</v>
      </c>
      <c r="Q154">
        <v>0.92372233700371997</v>
      </c>
      <c r="R154">
        <v>0.17064161432619099</v>
      </c>
      <c r="S154">
        <v>0.18376197624641799</v>
      </c>
      <c r="T154">
        <v>1.7124164025931501</v>
      </c>
      <c r="U154">
        <v>1.7124164025931501</v>
      </c>
      <c r="V154">
        <v>2.95</v>
      </c>
      <c r="W154">
        <v>7.0000000000000007E-2</v>
      </c>
      <c r="X154">
        <v>-2779</v>
      </c>
      <c r="Y154">
        <v>-154</v>
      </c>
      <c r="Z154">
        <v>0</v>
      </c>
      <c r="AA154">
        <v>18</v>
      </c>
      <c r="AB154">
        <v>8</v>
      </c>
      <c r="AC154">
        <v>10</v>
      </c>
      <c r="AD154">
        <v>44.44</v>
      </c>
      <c r="AE154">
        <v>17</v>
      </c>
      <c r="AF154">
        <v>2</v>
      </c>
      <c r="AG154">
        <v>0</v>
      </c>
      <c r="AH154">
        <v>16</v>
      </c>
    </row>
    <row r="155" spans="1:34">
      <c r="A155" s="110">
        <v>120</v>
      </c>
      <c r="B155">
        <v>5991</v>
      </c>
      <c r="C155" s="114" t="s">
        <v>144</v>
      </c>
      <c r="D155" s="114" t="s">
        <v>145</v>
      </c>
      <c r="E155">
        <v>964</v>
      </c>
      <c r="F155">
        <v>978</v>
      </c>
      <c r="G155">
        <v>1000</v>
      </c>
      <c r="H155" s="114" t="s">
        <v>88</v>
      </c>
      <c r="I155">
        <v>7267</v>
      </c>
      <c r="J155" s="114" t="s">
        <v>147</v>
      </c>
      <c r="K155" s="114" t="s">
        <v>112</v>
      </c>
      <c r="L155">
        <v>3065</v>
      </c>
      <c r="M155">
        <v>3105</v>
      </c>
      <c r="N155">
        <v>300</v>
      </c>
      <c r="O155" s="114" t="s">
        <v>86</v>
      </c>
      <c r="P155">
        <v>0.96992228141319903</v>
      </c>
      <c r="Q155">
        <v>0.91491786221924898</v>
      </c>
      <c r="R155">
        <v>5.8329997478538703E-2</v>
      </c>
      <c r="S155">
        <v>6.0323526024856702E-2</v>
      </c>
      <c r="T155">
        <v>2.0925009432769399</v>
      </c>
      <c r="U155">
        <v>2.0925009432769399</v>
      </c>
      <c r="V155">
        <v>5.39</v>
      </c>
      <c r="W155">
        <v>4.99</v>
      </c>
      <c r="X155">
        <v>-2961</v>
      </c>
      <c r="Y155">
        <v>-212</v>
      </c>
      <c r="Z155">
        <v>0.02</v>
      </c>
      <c r="AA155">
        <v>14</v>
      </c>
      <c r="AB155">
        <v>9</v>
      </c>
      <c r="AC155">
        <v>5</v>
      </c>
      <c r="AD155">
        <v>64.290000000000006</v>
      </c>
      <c r="AE155">
        <v>16</v>
      </c>
      <c r="AF155">
        <v>1</v>
      </c>
      <c r="AG155">
        <v>1</v>
      </c>
      <c r="AH155">
        <v>12</v>
      </c>
    </row>
    <row r="156" spans="1:34">
      <c r="A156" s="110">
        <v>74</v>
      </c>
      <c r="B156">
        <v>4183</v>
      </c>
      <c r="C156" s="114" t="s">
        <v>361</v>
      </c>
      <c r="D156" s="114" t="s">
        <v>87</v>
      </c>
      <c r="E156">
        <v>2605</v>
      </c>
      <c r="F156">
        <v>2628</v>
      </c>
      <c r="G156">
        <v>400</v>
      </c>
      <c r="H156" s="114" t="s">
        <v>88</v>
      </c>
      <c r="I156">
        <v>6301</v>
      </c>
      <c r="J156" s="114" t="s">
        <v>138</v>
      </c>
      <c r="K156" s="114" t="s">
        <v>128</v>
      </c>
      <c r="L156">
        <v>2565.5</v>
      </c>
      <c r="M156">
        <v>2592</v>
      </c>
      <c r="N156">
        <v>400</v>
      </c>
      <c r="O156" s="114" t="s">
        <v>86</v>
      </c>
      <c r="P156">
        <v>0.94920781901704598</v>
      </c>
      <c r="Q156">
        <v>0.92588704508090502</v>
      </c>
      <c r="R156">
        <v>3.5690276529969998E-2</v>
      </c>
      <c r="S156">
        <v>1.54983395586108E-3</v>
      </c>
      <c r="T156">
        <v>0.121717889827204</v>
      </c>
      <c r="U156">
        <v>0.121717889827204</v>
      </c>
      <c r="V156">
        <v>0.2</v>
      </c>
      <c r="W156">
        <v>1.37</v>
      </c>
      <c r="X156">
        <v>-3844</v>
      </c>
      <c r="Y156">
        <v>-384</v>
      </c>
      <c r="Z156">
        <v>0.04</v>
      </c>
      <c r="AA156">
        <v>10</v>
      </c>
      <c r="AB156">
        <v>6</v>
      </c>
      <c r="AC156">
        <v>4</v>
      </c>
      <c r="AD156">
        <v>60</v>
      </c>
      <c r="AE156">
        <v>15</v>
      </c>
      <c r="AF156">
        <v>1</v>
      </c>
      <c r="AG156">
        <v>1</v>
      </c>
      <c r="AH156">
        <v>8</v>
      </c>
    </row>
    <row r="157" spans="1:34">
      <c r="A157" s="110">
        <v>19</v>
      </c>
      <c r="B157">
        <v>4062</v>
      </c>
      <c r="C157" s="114" t="s">
        <v>396</v>
      </c>
      <c r="D157" s="114" t="s">
        <v>115</v>
      </c>
      <c r="E157">
        <v>2546</v>
      </c>
      <c r="F157">
        <v>2574</v>
      </c>
      <c r="G157">
        <v>400</v>
      </c>
      <c r="H157" s="114" t="s">
        <v>86</v>
      </c>
      <c r="I157">
        <v>6920</v>
      </c>
      <c r="J157" s="114" t="s">
        <v>114</v>
      </c>
      <c r="K157" s="114" t="s">
        <v>115</v>
      </c>
      <c r="L157">
        <v>9490</v>
      </c>
      <c r="M157">
        <v>9750</v>
      </c>
      <c r="N157">
        <v>100</v>
      </c>
      <c r="O157" s="114" t="s">
        <v>88</v>
      </c>
      <c r="P157">
        <v>0.93090952744973299</v>
      </c>
      <c r="Q157">
        <v>0.94709459104552796</v>
      </c>
      <c r="R157" s="20">
        <v>0.26810536900592202</v>
      </c>
      <c r="S157">
        <v>5.6576748214105903E-2</v>
      </c>
      <c r="T157">
        <v>-2.2678150707937301</v>
      </c>
      <c r="U157">
        <v>2.2678150707937301</v>
      </c>
      <c r="V157">
        <v>-19.04</v>
      </c>
      <c r="W157">
        <v>5.6</v>
      </c>
      <c r="X157">
        <v>-4708</v>
      </c>
      <c r="Y157">
        <v>-262</v>
      </c>
      <c r="Z157">
        <v>-0.02</v>
      </c>
      <c r="AA157">
        <v>18</v>
      </c>
      <c r="AB157">
        <v>9</v>
      </c>
      <c r="AC157">
        <v>9</v>
      </c>
      <c r="AD157">
        <v>50</v>
      </c>
      <c r="AE157">
        <v>10</v>
      </c>
      <c r="AF157">
        <v>8</v>
      </c>
      <c r="AG157">
        <v>7</v>
      </c>
      <c r="AH157">
        <v>3</v>
      </c>
    </row>
    <row r="158" spans="1:34">
      <c r="A158" s="110">
        <v>61</v>
      </c>
      <c r="B158">
        <v>6752</v>
      </c>
      <c r="C158" s="114" t="s">
        <v>134</v>
      </c>
      <c r="D158" s="114" t="s">
        <v>115</v>
      </c>
      <c r="E158">
        <v>1018.5</v>
      </c>
      <c r="F158">
        <v>1029.5</v>
      </c>
      <c r="G158">
        <v>1000</v>
      </c>
      <c r="H158" s="114" t="s">
        <v>88</v>
      </c>
      <c r="I158">
        <v>8002</v>
      </c>
      <c r="J158" s="114" t="s">
        <v>56</v>
      </c>
      <c r="K158" s="114" t="s">
        <v>130</v>
      </c>
      <c r="L158">
        <v>814.4</v>
      </c>
      <c r="M158">
        <v>815.2</v>
      </c>
      <c r="N158">
        <v>1300</v>
      </c>
      <c r="O158" s="114" t="s">
        <v>86</v>
      </c>
      <c r="P158">
        <v>0.91543482099691997</v>
      </c>
      <c r="Q158">
        <v>0.93021684491704404</v>
      </c>
      <c r="R158">
        <v>9.6908435846603996E-2</v>
      </c>
      <c r="S158">
        <v>1.06664768268764E-2</v>
      </c>
      <c r="T158">
        <v>1.2055385162090799</v>
      </c>
      <c r="U158">
        <v>1.2055385162090799</v>
      </c>
      <c r="V158">
        <v>2.88</v>
      </c>
      <c r="W158">
        <v>2.94</v>
      </c>
      <c r="X158">
        <v>-4844</v>
      </c>
      <c r="Y158">
        <v>-231</v>
      </c>
      <c r="Z158">
        <v>-0.02</v>
      </c>
      <c r="AA158">
        <v>21</v>
      </c>
      <c r="AB158">
        <v>11</v>
      </c>
      <c r="AC158">
        <v>10</v>
      </c>
      <c r="AD158">
        <v>52.38</v>
      </c>
      <c r="AE158">
        <v>15</v>
      </c>
      <c r="AF158">
        <v>5</v>
      </c>
      <c r="AG158">
        <v>4</v>
      </c>
      <c r="AH158">
        <v>12</v>
      </c>
    </row>
    <row r="159" spans="1:34">
      <c r="A159" s="110">
        <v>32</v>
      </c>
      <c r="B159">
        <v>1860</v>
      </c>
      <c r="C159" s="114" t="s">
        <v>140</v>
      </c>
      <c r="D159" s="114" t="s">
        <v>105</v>
      </c>
      <c r="E159">
        <v>672</v>
      </c>
      <c r="F159">
        <v>679</v>
      </c>
      <c r="G159">
        <v>1500</v>
      </c>
      <c r="H159" s="114" t="s">
        <v>86</v>
      </c>
      <c r="I159">
        <v>4182</v>
      </c>
      <c r="J159" s="114" t="s">
        <v>116</v>
      </c>
      <c r="K159" s="114" t="s">
        <v>87</v>
      </c>
      <c r="L159">
        <v>1684</v>
      </c>
      <c r="M159">
        <v>1694</v>
      </c>
      <c r="N159">
        <v>600</v>
      </c>
      <c r="O159" s="114" t="s">
        <v>88</v>
      </c>
      <c r="P159">
        <v>0.91520420978804295</v>
      </c>
      <c r="Q159">
        <v>0.94134361793306998</v>
      </c>
      <c r="R159">
        <v>0.38045609069338698</v>
      </c>
      <c r="S159">
        <v>5.1577120483152603E-4</v>
      </c>
      <c r="T159">
        <v>-1.7671722411947</v>
      </c>
      <c r="U159">
        <v>1.7671722411947</v>
      </c>
      <c r="V159">
        <v>-8.6300000000000008</v>
      </c>
      <c r="W159">
        <v>0.21</v>
      </c>
      <c r="X159">
        <v>-6671</v>
      </c>
      <c r="Y159">
        <v>-445</v>
      </c>
      <c r="Z159">
        <v>0.03</v>
      </c>
      <c r="AA159">
        <v>15</v>
      </c>
      <c r="AB159">
        <v>7</v>
      </c>
      <c r="AC159">
        <v>8</v>
      </c>
      <c r="AD159">
        <v>46.67</v>
      </c>
      <c r="AE159">
        <v>10</v>
      </c>
      <c r="AF159">
        <v>5</v>
      </c>
      <c r="AG159">
        <v>5</v>
      </c>
      <c r="AH159">
        <v>5</v>
      </c>
    </row>
    <row r="160" spans="1:34">
      <c r="A160" s="110">
        <v>83</v>
      </c>
      <c r="B160">
        <v>2222</v>
      </c>
      <c r="C160" s="114" t="s">
        <v>388</v>
      </c>
      <c r="D160" s="114" t="s">
        <v>126</v>
      </c>
      <c r="E160">
        <v>7700</v>
      </c>
      <c r="F160">
        <v>7680</v>
      </c>
      <c r="G160">
        <v>100</v>
      </c>
      <c r="H160" s="114" t="s">
        <v>86</v>
      </c>
      <c r="I160">
        <v>4516</v>
      </c>
      <c r="J160" s="114" t="s">
        <v>389</v>
      </c>
      <c r="K160" s="114" t="s">
        <v>170</v>
      </c>
      <c r="L160">
        <v>10110</v>
      </c>
      <c r="M160">
        <v>10030</v>
      </c>
      <c r="N160">
        <v>100</v>
      </c>
      <c r="O160" s="114" t="s">
        <v>88</v>
      </c>
      <c r="P160">
        <v>0.91202704454003702</v>
      </c>
      <c r="Q160">
        <v>0.92372008251942495</v>
      </c>
      <c r="R160">
        <v>3.1094839198711802E-4</v>
      </c>
      <c r="S160">
        <v>5.42829033663665E-2</v>
      </c>
      <c r="T160">
        <v>-0.87021841090059704</v>
      </c>
      <c r="U160">
        <v>0.87021841090059704</v>
      </c>
      <c r="V160">
        <v>-1.89</v>
      </c>
      <c r="W160">
        <v>23.43</v>
      </c>
      <c r="X160">
        <v>-6765</v>
      </c>
      <c r="Y160">
        <v>-966</v>
      </c>
      <c r="Z160">
        <v>-0.1</v>
      </c>
      <c r="AA160">
        <v>7</v>
      </c>
      <c r="AB160">
        <v>4</v>
      </c>
      <c r="AC160">
        <v>3</v>
      </c>
      <c r="AD160">
        <v>57.14</v>
      </c>
      <c r="AE160">
        <v>7</v>
      </c>
      <c r="AF160">
        <v>3</v>
      </c>
      <c r="AG160">
        <v>3</v>
      </c>
      <c r="AH160">
        <v>1</v>
      </c>
    </row>
    <row r="161" spans="1:34">
      <c r="A161" s="110">
        <v>181</v>
      </c>
      <c r="B161">
        <v>6473</v>
      </c>
      <c r="C161" s="114" t="s">
        <v>166</v>
      </c>
      <c r="D161" s="114" t="s">
        <v>128</v>
      </c>
      <c r="E161">
        <v>1354</v>
      </c>
      <c r="F161">
        <v>1360</v>
      </c>
      <c r="G161">
        <v>500</v>
      </c>
      <c r="H161" s="114" t="s">
        <v>86</v>
      </c>
      <c r="I161">
        <v>6988</v>
      </c>
      <c r="J161" s="114" t="s">
        <v>173</v>
      </c>
      <c r="K161" s="114" t="s">
        <v>87</v>
      </c>
      <c r="L161">
        <v>6060</v>
      </c>
      <c r="M161">
        <v>6150</v>
      </c>
      <c r="N161">
        <v>100</v>
      </c>
      <c r="O161" s="114" t="s">
        <v>88</v>
      </c>
      <c r="P161">
        <v>0.94230607527542798</v>
      </c>
      <c r="Q161">
        <v>0.90381421052115696</v>
      </c>
      <c r="R161">
        <v>8.3003981690778599E-3</v>
      </c>
      <c r="S161">
        <v>2.2286634911725601E-2</v>
      </c>
      <c r="T161">
        <v>-1.8869805498552299</v>
      </c>
      <c r="U161">
        <v>1.8869805498552299</v>
      </c>
      <c r="V161">
        <v>-4.7300000000000004</v>
      </c>
      <c r="W161">
        <v>10.57</v>
      </c>
      <c r="X161">
        <v>-8814</v>
      </c>
      <c r="Y161">
        <v>-630</v>
      </c>
      <c r="Z161">
        <v>-0.16</v>
      </c>
      <c r="AA161">
        <v>14</v>
      </c>
      <c r="AB161">
        <v>6</v>
      </c>
      <c r="AC161">
        <v>8</v>
      </c>
      <c r="AD161">
        <v>42.86</v>
      </c>
      <c r="AE161">
        <v>14</v>
      </c>
      <c r="AF161">
        <v>4</v>
      </c>
      <c r="AG161">
        <v>1</v>
      </c>
      <c r="AH161">
        <v>9</v>
      </c>
    </row>
    <row r="162" spans="1:34">
      <c r="A162" s="110">
        <v>129</v>
      </c>
      <c r="B162">
        <v>5333</v>
      </c>
      <c r="C162" s="114" t="s">
        <v>414</v>
      </c>
      <c r="D162" s="114" t="s">
        <v>135</v>
      </c>
      <c r="E162">
        <v>1820</v>
      </c>
      <c r="F162">
        <v>1837</v>
      </c>
      <c r="G162">
        <v>600</v>
      </c>
      <c r="H162" s="114" t="s">
        <v>86</v>
      </c>
      <c r="I162">
        <v>5393</v>
      </c>
      <c r="J162" s="114" t="s">
        <v>412</v>
      </c>
      <c r="K162" s="114" t="s">
        <v>135</v>
      </c>
      <c r="L162">
        <v>2561</v>
      </c>
      <c r="M162">
        <v>2572</v>
      </c>
      <c r="N162">
        <v>400</v>
      </c>
      <c r="O162" s="114" t="s">
        <v>88</v>
      </c>
      <c r="P162">
        <v>0.95435000334456899</v>
      </c>
      <c r="Q162">
        <v>0.91236541413414596</v>
      </c>
      <c r="R162">
        <v>3.2521443231268897E-2</v>
      </c>
      <c r="S162">
        <v>8.6153846994420195E-4</v>
      </c>
      <c r="T162">
        <v>-1.2897102868047301</v>
      </c>
      <c r="U162">
        <v>1.2897102868047301</v>
      </c>
      <c r="V162">
        <v>-9.44</v>
      </c>
      <c r="W162">
        <v>7.13</v>
      </c>
      <c r="X162">
        <v>-11690</v>
      </c>
      <c r="Y162">
        <v>-584</v>
      </c>
      <c r="Z162">
        <v>-0.01</v>
      </c>
      <c r="AA162">
        <v>20</v>
      </c>
      <c r="AB162">
        <v>12</v>
      </c>
      <c r="AC162">
        <v>8</v>
      </c>
      <c r="AD162">
        <v>60</v>
      </c>
      <c r="AE162">
        <v>11</v>
      </c>
      <c r="AF162">
        <v>7</v>
      </c>
      <c r="AG162">
        <v>8</v>
      </c>
      <c r="AH162">
        <v>5</v>
      </c>
    </row>
    <row r="163" spans="1:34">
      <c r="A163" s="110">
        <v>179</v>
      </c>
      <c r="B163">
        <v>6988</v>
      </c>
      <c r="C163" s="114" t="s">
        <v>173</v>
      </c>
      <c r="D163" s="114" t="s">
        <v>87</v>
      </c>
      <c r="E163">
        <v>6060</v>
      </c>
      <c r="F163">
        <v>6150</v>
      </c>
      <c r="G163">
        <v>100</v>
      </c>
      <c r="H163" s="114" t="s">
        <v>88</v>
      </c>
      <c r="I163">
        <v>8002</v>
      </c>
      <c r="J163" s="114" t="s">
        <v>56</v>
      </c>
      <c r="K163" s="114" t="s">
        <v>130</v>
      </c>
      <c r="L163">
        <v>814.4</v>
      </c>
      <c r="M163">
        <v>815.2</v>
      </c>
      <c r="N163">
        <v>800</v>
      </c>
      <c r="O163" s="114" t="s">
        <v>86</v>
      </c>
      <c r="P163">
        <v>0.91618641923708599</v>
      </c>
      <c r="Q163">
        <v>0.90402020559823104</v>
      </c>
      <c r="R163">
        <v>0.36783481146936198</v>
      </c>
      <c r="S163" s="20">
        <v>0.170630382457192</v>
      </c>
      <c r="T163">
        <v>0.28639415958518599</v>
      </c>
      <c r="U163">
        <v>0.28639415958518599</v>
      </c>
      <c r="V163">
        <v>0.94</v>
      </c>
      <c r="W163">
        <v>6.04</v>
      </c>
      <c r="X163">
        <v>-13492</v>
      </c>
      <c r="Y163">
        <v>-750</v>
      </c>
      <c r="Z163">
        <v>-0.19</v>
      </c>
      <c r="AA163">
        <v>18</v>
      </c>
      <c r="AB163">
        <v>8</v>
      </c>
      <c r="AC163">
        <v>10</v>
      </c>
      <c r="AD163">
        <v>44.44</v>
      </c>
      <c r="AE163">
        <v>13</v>
      </c>
      <c r="AF163">
        <v>6</v>
      </c>
      <c r="AG163">
        <v>4</v>
      </c>
      <c r="AH163">
        <v>8</v>
      </c>
    </row>
    <row r="164" spans="1:34">
      <c r="A164" s="110">
        <v>167</v>
      </c>
      <c r="B164">
        <v>4183</v>
      </c>
      <c r="C164" s="114" t="s">
        <v>361</v>
      </c>
      <c r="D164" s="114" t="s">
        <v>87</v>
      </c>
      <c r="E164">
        <v>2605</v>
      </c>
      <c r="F164">
        <v>2628</v>
      </c>
      <c r="G164">
        <v>400</v>
      </c>
      <c r="H164" s="114" t="s">
        <v>86</v>
      </c>
      <c r="I164">
        <v>7762</v>
      </c>
      <c r="J164" s="114" t="s">
        <v>136</v>
      </c>
      <c r="K164" s="114" t="s">
        <v>122</v>
      </c>
      <c r="L164">
        <v>596</v>
      </c>
      <c r="M164">
        <v>596</v>
      </c>
      <c r="N164">
        <v>1800</v>
      </c>
      <c r="O164" s="114" t="s">
        <v>88</v>
      </c>
      <c r="P164">
        <v>0.92800681289717601</v>
      </c>
      <c r="Q164">
        <v>0.90650514240506697</v>
      </c>
      <c r="R164">
        <v>0.189334729681958</v>
      </c>
      <c r="S164">
        <v>4.3304625308908202E-3</v>
      </c>
      <c r="T164">
        <v>-1.31809988793346</v>
      </c>
      <c r="U164">
        <v>1.31809988793346</v>
      </c>
      <c r="V164">
        <v>-3.22</v>
      </c>
      <c r="W164">
        <v>2.0499999999999998</v>
      </c>
      <c r="X164">
        <v>-15256</v>
      </c>
      <c r="Y164">
        <v>-1174</v>
      </c>
      <c r="Z164">
        <v>-0.12</v>
      </c>
      <c r="AA164">
        <v>13</v>
      </c>
      <c r="AB164">
        <v>7</v>
      </c>
      <c r="AC164">
        <v>6</v>
      </c>
      <c r="AD164">
        <v>53.85</v>
      </c>
      <c r="AE164">
        <v>15</v>
      </c>
      <c r="AF164">
        <v>3</v>
      </c>
      <c r="AG164">
        <v>4</v>
      </c>
      <c r="AH164">
        <v>6</v>
      </c>
    </row>
    <row r="165" spans="1:34">
      <c r="A165" s="110">
        <v>41</v>
      </c>
      <c r="B165">
        <v>1928</v>
      </c>
      <c r="C165" s="114" t="s">
        <v>363</v>
      </c>
      <c r="D165" s="114" t="s">
        <v>105</v>
      </c>
      <c r="E165">
        <v>2364.5</v>
      </c>
      <c r="F165">
        <v>2346</v>
      </c>
      <c r="G165">
        <v>400</v>
      </c>
      <c r="H165" s="114" t="s">
        <v>86</v>
      </c>
      <c r="I165">
        <v>4613</v>
      </c>
      <c r="J165" s="114" t="s">
        <v>385</v>
      </c>
      <c r="K165" s="114" t="s">
        <v>87</v>
      </c>
      <c r="L165">
        <v>2759</v>
      </c>
      <c r="M165">
        <v>2774</v>
      </c>
      <c r="N165">
        <v>300</v>
      </c>
      <c r="O165" s="114" t="s">
        <v>88</v>
      </c>
      <c r="P165">
        <v>0.95894674509296796</v>
      </c>
      <c r="Q165">
        <v>0.93884926352999398</v>
      </c>
      <c r="R165">
        <v>2.31577810295172E-2</v>
      </c>
      <c r="S165">
        <v>0.101473187067428</v>
      </c>
      <c r="T165">
        <v>-1.30630356359383</v>
      </c>
      <c r="U165">
        <v>1.30630356359383</v>
      </c>
      <c r="V165">
        <v>-2.4</v>
      </c>
      <c r="W165">
        <v>12.76</v>
      </c>
      <c r="X165">
        <v>-16022</v>
      </c>
      <c r="Y165">
        <v>-1232</v>
      </c>
      <c r="Z165">
        <v>-0.04</v>
      </c>
      <c r="AA165">
        <v>13</v>
      </c>
      <c r="AB165">
        <v>7</v>
      </c>
      <c r="AC165">
        <v>6</v>
      </c>
      <c r="AD165">
        <v>53.85</v>
      </c>
      <c r="AE165">
        <v>13</v>
      </c>
      <c r="AF165">
        <v>5</v>
      </c>
      <c r="AG165">
        <v>3</v>
      </c>
      <c r="AH165">
        <v>5</v>
      </c>
    </row>
    <row r="166" spans="1:34">
      <c r="A166" s="110">
        <v>115</v>
      </c>
      <c r="B166">
        <v>6457</v>
      </c>
      <c r="C166" s="114" t="s">
        <v>377</v>
      </c>
      <c r="D166" s="114" t="s">
        <v>128</v>
      </c>
      <c r="E166">
        <v>3275</v>
      </c>
      <c r="F166">
        <v>3305</v>
      </c>
      <c r="G166">
        <v>300</v>
      </c>
      <c r="H166" s="114" t="s">
        <v>86</v>
      </c>
      <c r="I166">
        <v>6845</v>
      </c>
      <c r="J166" s="114" t="s">
        <v>369</v>
      </c>
      <c r="K166" s="114" t="s">
        <v>115</v>
      </c>
      <c r="L166">
        <v>3140</v>
      </c>
      <c r="M166">
        <v>3185</v>
      </c>
      <c r="N166">
        <v>300</v>
      </c>
      <c r="O166" s="114" t="s">
        <v>88</v>
      </c>
      <c r="P166">
        <v>0.94663627814009099</v>
      </c>
      <c r="Q166">
        <v>0.91581185518086305</v>
      </c>
      <c r="R166">
        <v>6.9202841561926201E-3</v>
      </c>
      <c r="S166">
        <v>7.5654591867359497E-2</v>
      </c>
      <c r="T166">
        <v>-1.1368278510694401</v>
      </c>
      <c r="U166">
        <v>1.1368278510694401</v>
      </c>
      <c r="V166">
        <v>-1.72</v>
      </c>
      <c r="W166">
        <v>3.63</v>
      </c>
      <c r="X166">
        <v>-22683</v>
      </c>
      <c r="Y166">
        <v>-2062</v>
      </c>
      <c r="Z166">
        <v>-0.06</v>
      </c>
      <c r="AA166">
        <v>11</v>
      </c>
      <c r="AB166">
        <v>6</v>
      </c>
      <c r="AC166">
        <v>5</v>
      </c>
      <c r="AD166">
        <v>54.55</v>
      </c>
      <c r="AE166">
        <v>15</v>
      </c>
      <c r="AF166">
        <v>2</v>
      </c>
      <c r="AG166">
        <v>1</v>
      </c>
      <c r="AH166">
        <v>8</v>
      </c>
    </row>
    <row r="167" spans="1:34">
      <c r="A167" s="110">
        <v>62</v>
      </c>
      <c r="B167">
        <v>1928</v>
      </c>
      <c r="C167" s="114" t="s">
        <v>363</v>
      </c>
      <c r="D167" s="114" t="s">
        <v>105</v>
      </c>
      <c r="E167">
        <v>2364.5</v>
      </c>
      <c r="F167">
        <v>2346</v>
      </c>
      <c r="G167">
        <v>300</v>
      </c>
      <c r="H167" s="114" t="s">
        <v>88</v>
      </c>
      <c r="I167">
        <v>7649</v>
      </c>
      <c r="J167" s="114" t="s">
        <v>413</v>
      </c>
      <c r="K167" s="114" t="s">
        <v>124</v>
      </c>
      <c r="L167">
        <v>6090</v>
      </c>
      <c r="M167">
        <v>6170</v>
      </c>
      <c r="N167">
        <v>100</v>
      </c>
      <c r="O167" s="114" t="s">
        <v>86</v>
      </c>
      <c r="P167">
        <v>0.926064730225166</v>
      </c>
      <c r="Q167">
        <v>0.93020970317376805</v>
      </c>
      <c r="R167">
        <v>0.222405566925858</v>
      </c>
      <c r="S167">
        <v>6.0869517397546501E-2</v>
      </c>
      <c r="T167">
        <v>0.92152619924382595</v>
      </c>
      <c r="U167">
        <v>0.92152619924382595</v>
      </c>
      <c r="V167">
        <v>4.2300000000000004</v>
      </c>
      <c r="W167">
        <v>14.07</v>
      </c>
      <c r="X167">
        <v>-23765</v>
      </c>
      <c r="Y167">
        <v>-1828</v>
      </c>
      <c r="Z167">
        <v>7.0000000000000007E-2</v>
      </c>
      <c r="AA167">
        <v>13</v>
      </c>
      <c r="AB167">
        <v>7</v>
      </c>
      <c r="AC167">
        <v>6</v>
      </c>
      <c r="AD167">
        <v>53.85</v>
      </c>
      <c r="AE167">
        <v>13</v>
      </c>
      <c r="AF167">
        <v>4</v>
      </c>
      <c r="AG167">
        <v>3</v>
      </c>
      <c r="AH167">
        <v>6</v>
      </c>
    </row>
    <row r="168" spans="1:34">
      <c r="A168" s="110">
        <v>88</v>
      </c>
      <c r="B168">
        <v>3861</v>
      </c>
      <c r="C168" s="114" t="s">
        <v>90</v>
      </c>
      <c r="D168" s="114" t="s">
        <v>108</v>
      </c>
      <c r="E168">
        <v>616</v>
      </c>
      <c r="F168">
        <v>615</v>
      </c>
      <c r="G168">
        <v>1600</v>
      </c>
      <c r="H168" s="114" t="s">
        <v>88</v>
      </c>
      <c r="I168">
        <v>5233</v>
      </c>
      <c r="J168" s="114" t="s">
        <v>177</v>
      </c>
      <c r="K168" s="114" t="s">
        <v>135</v>
      </c>
      <c r="L168">
        <v>3210</v>
      </c>
      <c r="M168">
        <v>3250</v>
      </c>
      <c r="N168">
        <v>300</v>
      </c>
      <c r="O168" s="114" t="s">
        <v>86</v>
      </c>
      <c r="P168">
        <v>0.92537891318559995</v>
      </c>
      <c r="Q168">
        <v>0.92261843506984198</v>
      </c>
      <c r="R168">
        <v>7.34804816342252E-2</v>
      </c>
      <c r="S168">
        <v>5.04052720020991E-2</v>
      </c>
      <c r="T168">
        <v>0.745451709454102</v>
      </c>
      <c r="U168">
        <v>0.745451709454102</v>
      </c>
      <c r="V168">
        <v>2.5499999999999998</v>
      </c>
      <c r="W168">
        <v>0.92</v>
      </c>
      <c r="X168">
        <v>-25497</v>
      </c>
      <c r="Y168">
        <v>-1109</v>
      </c>
      <c r="Z168">
        <v>0.02</v>
      </c>
      <c r="AA168">
        <v>23</v>
      </c>
      <c r="AB168">
        <v>11</v>
      </c>
      <c r="AC168">
        <v>12</v>
      </c>
      <c r="AD168">
        <v>47.83</v>
      </c>
      <c r="AE168">
        <v>13</v>
      </c>
      <c r="AF168">
        <v>5</v>
      </c>
      <c r="AG168">
        <v>8</v>
      </c>
      <c r="AH168">
        <v>10</v>
      </c>
    </row>
    <row r="169" spans="1:34">
      <c r="A169" s="110">
        <v>164</v>
      </c>
      <c r="B169">
        <v>6371</v>
      </c>
      <c r="C169" s="114" t="s">
        <v>137</v>
      </c>
      <c r="D169" s="114" t="s">
        <v>128</v>
      </c>
      <c r="E169">
        <v>3765</v>
      </c>
      <c r="F169">
        <v>3790</v>
      </c>
      <c r="G169">
        <v>200</v>
      </c>
      <c r="H169" s="114" t="s">
        <v>86</v>
      </c>
      <c r="I169">
        <v>7272</v>
      </c>
      <c r="J169" s="114" t="s">
        <v>358</v>
      </c>
      <c r="K169" s="114" t="s">
        <v>112</v>
      </c>
      <c r="L169">
        <v>2267</v>
      </c>
      <c r="M169">
        <v>2272</v>
      </c>
      <c r="N169">
        <v>300</v>
      </c>
      <c r="O169" s="114" t="s">
        <v>88</v>
      </c>
      <c r="P169">
        <v>0.91817933358427195</v>
      </c>
      <c r="Q169">
        <v>0.90754141103172803</v>
      </c>
      <c r="R169">
        <v>0.21714415920889199</v>
      </c>
      <c r="S169">
        <v>1.11399268172153E-2</v>
      </c>
      <c r="T169">
        <v>-1.23355181103766</v>
      </c>
      <c r="U169">
        <v>1.23355181103766</v>
      </c>
      <c r="V169">
        <v>-5.14</v>
      </c>
      <c r="W169">
        <v>10.08</v>
      </c>
      <c r="X169">
        <v>-28954</v>
      </c>
      <c r="Y169">
        <v>-2632</v>
      </c>
      <c r="Z169">
        <v>-0.13</v>
      </c>
      <c r="AA169">
        <v>11</v>
      </c>
      <c r="AB169">
        <v>6</v>
      </c>
      <c r="AC169">
        <v>5</v>
      </c>
      <c r="AD169">
        <v>54.55</v>
      </c>
      <c r="AE169">
        <v>13</v>
      </c>
      <c r="AF169">
        <v>3</v>
      </c>
      <c r="AG169">
        <v>3</v>
      </c>
      <c r="AH169">
        <v>5</v>
      </c>
    </row>
    <row r="170" spans="1:34">
      <c r="A170" s="110">
        <v>150</v>
      </c>
      <c r="B170">
        <v>2222</v>
      </c>
      <c r="C170" s="114" t="s">
        <v>388</v>
      </c>
      <c r="D170" s="114" t="s">
        <v>126</v>
      </c>
      <c r="E170">
        <v>7700</v>
      </c>
      <c r="F170">
        <v>7680</v>
      </c>
      <c r="G170">
        <v>100</v>
      </c>
      <c r="H170" s="114" t="s">
        <v>86</v>
      </c>
      <c r="I170">
        <v>8036</v>
      </c>
      <c r="J170" s="114" t="s">
        <v>386</v>
      </c>
      <c r="K170" s="114" t="s">
        <v>130</v>
      </c>
      <c r="L170">
        <v>7020</v>
      </c>
      <c r="M170">
        <v>7160</v>
      </c>
      <c r="N170">
        <v>100</v>
      </c>
      <c r="O170" s="114" t="s">
        <v>88</v>
      </c>
      <c r="P170">
        <v>0.90804631414961001</v>
      </c>
      <c r="Q170">
        <v>0.90942467478261502</v>
      </c>
      <c r="R170" s="20">
        <v>2.3469491818426402E-2</v>
      </c>
      <c r="S170">
        <v>0.28104252681296199</v>
      </c>
      <c r="T170">
        <v>-1.5155454731678399</v>
      </c>
      <c r="U170">
        <v>1.5155454731678399</v>
      </c>
      <c r="V170">
        <v>-5.74</v>
      </c>
      <c r="W170">
        <v>6.77</v>
      </c>
      <c r="X170">
        <v>-36544</v>
      </c>
      <c r="Y170">
        <v>-3322</v>
      </c>
      <c r="Z170">
        <v>-0.08</v>
      </c>
      <c r="AA170">
        <v>11</v>
      </c>
      <c r="AB170">
        <v>6</v>
      </c>
      <c r="AC170">
        <v>5</v>
      </c>
      <c r="AD170">
        <v>54.55</v>
      </c>
      <c r="AE170">
        <v>9</v>
      </c>
      <c r="AF170">
        <v>5</v>
      </c>
      <c r="AG170">
        <v>4</v>
      </c>
      <c r="AH170">
        <v>2</v>
      </c>
    </row>
    <row r="171" spans="1:34">
      <c r="A171" s="110">
        <v>134</v>
      </c>
      <c r="B171">
        <v>5463</v>
      </c>
      <c r="C171" s="114" t="s">
        <v>176</v>
      </c>
      <c r="D171" s="114" t="s">
        <v>121</v>
      </c>
      <c r="E171">
        <v>3140</v>
      </c>
      <c r="F171">
        <v>3175</v>
      </c>
      <c r="G171">
        <v>300</v>
      </c>
      <c r="H171" s="114" t="s">
        <v>88</v>
      </c>
      <c r="I171">
        <v>7167</v>
      </c>
      <c r="J171" s="114" t="s">
        <v>129</v>
      </c>
      <c r="K171" s="114" t="s">
        <v>110</v>
      </c>
      <c r="L171">
        <v>281</v>
      </c>
      <c r="M171">
        <v>282</v>
      </c>
      <c r="N171">
        <v>3400</v>
      </c>
      <c r="O171" s="114" t="s">
        <v>86</v>
      </c>
      <c r="P171">
        <v>0.92052153767437905</v>
      </c>
      <c r="Q171">
        <v>0.91188484577391604</v>
      </c>
      <c r="R171">
        <v>0.12756694229477</v>
      </c>
      <c r="S171">
        <v>5.4996741445055002E-2</v>
      </c>
      <c r="T171">
        <v>1.3207011282682799</v>
      </c>
      <c r="U171">
        <v>1.3207011282682799</v>
      </c>
      <c r="V171">
        <v>3.53</v>
      </c>
      <c r="W171">
        <v>0.66</v>
      </c>
      <c r="X171">
        <v>-41684</v>
      </c>
      <c r="Y171">
        <v>-2605</v>
      </c>
      <c r="Z171">
        <v>-0.15</v>
      </c>
      <c r="AA171">
        <v>16</v>
      </c>
      <c r="AB171">
        <v>8</v>
      </c>
      <c r="AC171">
        <v>8</v>
      </c>
      <c r="AD171">
        <v>50</v>
      </c>
      <c r="AE171">
        <v>14</v>
      </c>
      <c r="AF171">
        <v>3</v>
      </c>
      <c r="AG171">
        <v>3</v>
      </c>
      <c r="AH171">
        <v>10</v>
      </c>
    </row>
    <row r="172" spans="1:34">
      <c r="A172" s="110">
        <v>116</v>
      </c>
      <c r="B172">
        <v>2492</v>
      </c>
      <c r="C172" s="114" t="s">
        <v>1223</v>
      </c>
      <c r="D172" s="114" t="s">
        <v>149</v>
      </c>
      <c r="E172">
        <v>1919</v>
      </c>
      <c r="F172">
        <v>1957</v>
      </c>
      <c r="G172">
        <v>500</v>
      </c>
      <c r="H172" s="114" t="s">
        <v>88</v>
      </c>
      <c r="I172">
        <v>9746</v>
      </c>
      <c r="J172" s="114" t="s">
        <v>1224</v>
      </c>
      <c r="K172" s="114" t="s">
        <v>107</v>
      </c>
      <c r="L172">
        <v>5060</v>
      </c>
      <c r="M172">
        <v>5070</v>
      </c>
      <c r="N172">
        <v>200</v>
      </c>
      <c r="O172" s="114" t="s">
        <v>86</v>
      </c>
      <c r="P172">
        <v>0.91720511347342004</v>
      </c>
      <c r="Q172">
        <v>0.91551333752696096</v>
      </c>
      <c r="R172">
        <v>0.37442754639280001</v>
      </c>
      <c r="S172">
        <v>0.286885411435084</v>
      </c>
      <c r="T172">
        <v>1.40482694347308</v>
      </c>
      <c r="U172">
        <v>1.40482694347308</v>
      </c>
      <c r="V172">
        <v>6.33</v>
      </c>
      <c r="W172">
        <v>3.5</v>
      </c>
      <c r="X172">
        <v>-48312</v>
      </c>
      <c r="Y172">
        <v>-2101</v>
      </c>
      <c r="Z172">
        <v>-0.08</v>
      </c>
      <c r="AA172">
        <v>23</v>
      </c>
      <c r="AB172">
        <v>11</v>
      </c>
      <c r="AC172">
        <v>12</v>
      </c>
      <c r="AD172">
        <v>47.83</v>
      </c>
      <c r="AE172">
        <v>9</v>
      </c>
      <c r="AF172">
        <v>9</v>
      </c>
      <c r="AG172">
        <v>9</v>
      </c>
      <c r="AH172">
        <v>5</v>
      </c>
    </row>
    <row r="173" spans="1:34">
      <c r="A173" s="110">
        <v>165</v>
      </c>
      <c r="B173">
        <v>1911</v>
      </c>
      <c r="C173" s="114" t="s">
        <v>132</v>
      </c>
      <c r="D173" s="114" t="s">
        <v>105</v>
      </c>
      <c r="E173">
        <v>1579</v>
      </c>
      <c r="F173">
        <v>1587</v>
      </c>
      <c r="G173">
        <v>700</v>
      </c>
      <c r="H173" s="114" t="s">
        <v>88</v>
      </c>
      <c r="I173">
        <v>4634</v>
      </c>
      <c r="J173" s="114" t="s">
        <v>174</v>
      </c>
      <c r="K173" s="114" t="s">
        <v>87</v>
      </c>
      <c r="L173">
        <v>2649</v>
      </c>
      <c r="M173">
        <v>2656</v>
      </c>
      <c r="N173">
        <v>400</v>
      </c>
      <c r="O173" s="114" t="s">
        <v>86</v>
      </c>
      <c r="P173">
        <v>0.97133073870209197</v>
      </c>
      <c r="Q173">
        <v>0.90701602751885901</v>
      </c>
      <c r="R173">
        <v>4.8268236121928702E-2</v>
      </c>
      <c r="S173">
        <v>0.27044432042830702</v>
      </c>
      <c r="T173">
        <v>0.95644891785978403</v>
      </c>
      <c r="U173">
        <v>0.95644891785978403</v>
      </c>
      <c r="V173">
        <v>1.49</v>
      </c>
      <c r="W173">
        <v>4.57</v>
      </c>
      <c r="X173">
        <v>-53382</v>
      </c>
      <c r="Y173">
        <v>-3336</v>
      </c>
      <c r="Z173">
        <v>-0.19</v>
      </c>
      <c r="AA173">
        <v>16</v>
      </c>
      <c r="AB173">
        <v>7</v>
      </c>
      <c r="AC173">
        <v>9</v>
      </c>
      <c r="AD173">
        <v>43.75</v>
      </c>
      <c r="AE173">
        <v>14</v>
      </c>
      <c r="AF173">
        <v>3</v>
      </c>
      <c r="AG173">
        <v>2</v>
      </c>
      <c r="AH173">
        <v>11</v>
      </c>
    </row>
    <row r="174" spans="1:34">
      <c r="A174" s="110">
        <v>187</v>
      </c>
      <c r="B174">
        <v>1808</v>
      </c>
      <c r="C174" s="114" t="s">
        <v>1225</v>
      </c>
      <c r="D174" s="114" t="s">
        <v>105</v>
      </c>
      <c r="E174">
        <v>1407</v>
      </c>
      <c r="F174">
        <v>1413</v>
      </c>
      <c r="G174">
        <v>700</v>
      </c>
      <c r="H174" s="114" t="s">
        <v>86</v>
      </c>
      <c r="I174">
        <v>4204</v>
      </c>
      <c r="J174" s="114" t="s">
        <v>394</v>
      </c>
      <c r="K174" s="114" t="s">
        <v>87</v>
      </c>
      <c r="L174">
        <v>1896</v>
      </c>
      <c r="M174">
        <v>1912</v>
      </c>
      <c r="N174">
        <v>500</v>
      </c>
      <c r="O174" s="114" t="s">
        <v>88</v>
      </c>
      <c r="P174">
        <v>0.93794389070377504</v>
      </c>
      <c r="Q174">
        <v>0.90274863945936101</v>
      </c>
      <c r="R174">
        <v>0.38087385812944802</v>
      </c>
      <c r="S174" s="20">
        <v>5.5086370563159702E-2</v>
      </c>
      <c r="T174">
        <v>-0.184415932764564</v>
      </c>
      <c r="U174">
        <v>0.184415932764564</v>
      </c>
      <c r="V174">
        <v>-0.44</v>
      </c>
      <c r="W174">
        <v>3.46</v>
      </c>
      <c r="X174">
        <v>-60953</v>
      </c>
      <c r="Y174">
        <v>-4354</v>
      </c>
      <c r="Z174">
        <v>-0.26</v>
      </c>
      <c r="AA174">
        <v>14</v>
      </c>
      <c r="AB174">
        <v>6</v>
      </c>
      <c r="AC174">
        <v>8</v>
      </c>
      <c r="AD174">
        <v>42.86</v>
      </c>
      <c r="AE174">
        <v>15</v>
      </c>
      <c r="AF174">
        <v>2</v>
      </c>
      <c r="AG174">
        <v>2</v>
      </c>
      <c r="AH174">
        <v>10</v>
      </c>
    </row>
    <row r="175" spans="1:34">
      <c r="A175" s="110">
        <v>40</v>
      </c>
      <c r="B175">
        <v>6457</v>
      </c>
      <c r="C175" s="114" t="s">
        <v>377</v>
      </c>
      <c r="D175" s="114" t="s">
        <v>128</v>
      </c>
      <c r="E175">
        <v>3275</v>
      </c>
      <c r="F175">
        <v>3305</v>
      </c>
      <c r="G175">
        <v>200</v>
      </c>
      <c r="H175" s="114" t="s">
        <v>88</v>
      </c>
      <c r="I175">
        <v>7203</v>
      </c>
      <c r="J175" s="114" t="s">
        <v>404</v>
      </c>
      <c r="K175" s="114" t="s">
        <v>112</v>
      </c>
      <c r="L175">
        <v>7663</v>
      </c>
      <c r="M175">
        <v>7718</v>
      </c>
      <c r="N175">
        <v>100</v>
      </c>
      <c r="O175" s="114" t="s">
        <v>86</v>
      </c>
      <c r="P175">
        <v>0.94949520638148999</v>
      </c>
      <c r="Q175">
        <v>0.93941455389947504</v>
      </c>
      <c r="R175">
        <v>3.2761156672454703E-2</v>
      </c>
      <c r="S175">
        <v>3.4971983900977797E-2</v>
      </c>
      <c r="T175">
        <v>0.91902166267317997</v>
      </c>
      <c r="U175">
        <v>0.91902166267317997</v>
      </c>
      <c r="V175">
        <v>1.68</v>
      </c>
      <c r="W175">
        <v>14.36</v>
      </c>
      <c r="X175">
        <v>-61118</v>
      </c>
      <c r="Y175">
        <v>-12224</v>
      </c>
      <c r="Z175">
        <v>-0.8</v>
      </c>
      <c r="AA175">
        <v>5</v>
      </c>
      <c r="AB175">
        <v>2</v>
      </c>
      <c r="AC175">
        <v>3</v>
      </c>
      <c r="AD175">
        <v>40</v>
      </c>
      <c r="AE175">
        <v>14</v>
      </c>
      <c r="AF175">
        <v>2</v>
      </c>
      <c r="AG175">
        <v>3</v>
      </c>
      <c r="AH175">
        <v>0</v>
      </c>
    </row>
    <row r="176" spans="1:34">
      <c r="A176" s="110">
        <v>118</v>
      </c>
      <c r="B176">
        <v>2206</v>
      </c>
      <c r="C176" s="114" t="s">
        <v>1090</v>
      </c>
      <c r="D176" s="114" t="s">
        <v>126</v>
      </c>
      <c r="E176">
        <v>5050</v>
      </c>
      <c r="F176">
        <v>5040</v>
      </c>
      <c r="G176">
        <v>200</v>
      </c>
      <c r="H176" s="114" t="s">
        <v>86</v>
      </c>
      <c r="I176">
        <v>5233</v>
      </c>
      <c r="J176" s="114" t="s">
        <v>177</v>
      </c>
      <c r="K176" s="114" t="s">
        <v>135</v>
      </c>
      <c r="L176">
        <v>3210</v>
      </c>
      <c r="M176">
        <v>3250</v>
      </c>
      <c r="N176">
        <v>300</v>
      </c>
      <c r="O176" s="114" t="s">
        <v>88</v>
      </c>
      <c r="P176">
        <v>0.91850532217619096</v>
      </c>
      <c r="Q176">
        <v>0.91500633122916097</v>
      </c>
      <c r="R176">
        <v>6.5270134121656095E-2</v>
      </c>
      <c r="S176">
        <v>7.8151629039258305E-2</v>
      </c>
      <c r="T176">
        <v>-1.08944331710297</v>
      </c>
      <c r="U176">
        <v>1.08944331710297</v>
      </c>
      <c r="V176">
        <v>-4.67</v>
      </c>
      <c r="W176">
        <v>3.27</v>
      </c>
      <c r="X176">
        <v>-64856</v>
      </c>
      <c r="Y176">
        <v>-12971</v>
      </c>
      <c r="Z176">
        <v>-0.45</v>
      </c>
      <c r="AA176">
        <v>5</v>
      </c>
      <c r="AB176">
        <v>3</v>
      </c>
      <c r="AC176">
        <v>2</v>
      </c>
      <c r="AD176">
        <v>60</v>
      </c>
      <c r="AE176">
        <v>12</v>
      </c>
      <c r="AF176">
        <v>2</v>
      </c>
      <c r="AG176">
        <v>2</v>
      </c>
      <c r="AH176">
        <v>1</v>
      </c>
    </row>
    <row r="177" spans="1:34">
      <c r="A177" s="110">
        <v>23</v>
      </c>
      <c r="B177">
        <v>5802</v>
      </c>
      <c r="C177" s="114" t="s">
        <v>163</v>
      </c>
      <c r="D177" s="114" t="s">
        <v>164</v>
      </c>
      <c r="E177">
        <v>1650</v>
      </c>
      <c r="F177">
        <v>1664</v>
      </c>
      <c r="G177">
        <v>600</v>
      </c>
      <c r="H177" s="114" t="s">
        <v>88</v>
      </c>
      <c r="I177">
        <v>8002</v>
      </c>
      <c r="J177" s="114" t="s">
        <v>56</v>
      </c>
      <c r="K177" s="114" t="s">
        <v>130</v>
      </c>
      <c r="L177">
        <v>814.4</v>
      </c>
      <c r="M177">
        <v>815.2</v>
      </c>
      <c r="N177">
        <v>1200</v>
      </c>
      <c r="O177" s="114" t="s">
        <v>86</v>
      </c>
      <c r="P177">
        <v>0.95050776682007698</v>
      </c>
      <c r="Q177">
        <v>0.94475059057777699</v>
      </c>
      <c r="R177">
        <v>0.144838533155174</v>
      </c>
      <c r="S177">
        <v>1.27085819855723E-3</v>
      </c>
      <c r="T177">
        <v>2.2741818678573198</v>
      </c>
      <c r="U177">
        <v>2.2741818678573198</v>
      </c>
      <c r="V177">
        <v>6.78</v>
      </c>
      <c r="W177">
        <v>2.02</v>
      </c>
      <c r="X177">
        <v>-65152</v>
      </c>
      <c r="Y177">
        <v>-4072</v>
      </c>
      <c r="Z177">
        <v>-0.19</v>
      </c>
      <c r="AA177">
        <v>16</v>
      </c>
      <c r="AB177">
        <v>7</v>
      </c>
      <c r="AC177">
        <v>9</v>
      </c>
      <c r="AD177">
        <v>43.75</v>
      </c>
      <c r="AE177">
        <v>15</v>
      </c>
      <c r="AF177">
        <v>3</v>
      </c>
      <c r="AG177">
        <v>2</v>
      </c>
      <c r="AH177">
        <v>11</v>
      </c>
    </row>
    <row r="178" spans="1:34">
      <c r="A178" s="110">
        <v>76</v>
      </c>
      <c r="B178">
        <v>4182</v>
      </c>
      <c r="C178" s="114" t="s">
        <v>116</v>
      </c>
      <c r="D178" s="114" t="s">
        <v>87</v>
      </c>
      <c r="E178">
        <v>1684</v>
      </c>
      <c r="F178">
        <v>1694</v>
      </c>
      <c r="G178">
        <v>500</v>
      </c>
      <c r="H178" s="114" t="s">
        <v>88</v>
      </c>
      <c r="I178">
        <v>7267</v>
      </c>
      <c r="J178" s="114" t="s">
        <v>147</v>
      </c>
      <c r="K178" s="114" t="s">
        <v>112</v>
      </c>
      <c r="L178">
        <v>3065</v>
      </c>
      <c r="M178">
        <v>3105</v>
      </c>
      <c r="N178">
        <v>300</v>
      </c>
      <c r="O178" s="114" t="s">
        <v>86</v>
      </c>
      <c r="P178">
        <v>0.92331726212624499</v>
      </c>
      <c r="Q178">
        <v>0.92504848311529897</v>
      </c>
      <c r="R178">
        <v>0.23856021239601</v>
      </c>
      <c r="S178">
        <v>3.4321034150110098E-2</v>
      </c>
      <c r="T178">
        <v>1.6825802688556399</v>
      </c>
      <c r="U178">
        <v>1.6825802688556399</v>
      </c>
      <c r="V178">
        <v>5.93</v>
      </c>
      <c r="W178">
        <v>9.07</v>
      </c>
      <c r="X178">
        <v>-68114</v>
      </c>
      <c r="Y178">
        <v>-4257</v>
      </c>
      <c r="Z178">
        <v>-0.3</v>
      </c>
      <c r="AA178">
        <v>16</v>
      </c>
      <c r="AB178">
        <v>10</v>
      </c>
      <c r="AC178">
        <v>6</v>
      </c>
      <c r="AD178">
        <v>62.5</v>
      </c>
      <c r="AE178">
        <v>14</v>
      </c>
      <c r="AF178">
        <v>4</v>
      </c>
      <c r="AG178">
        <v>4</v>
      </c>
      <c r="AH178">
        <v>8</v>
      </c>
    </row>
    <row r="179" spans="1:34">
      <c r="A179" s="110">
        <v>26</v>
      </c>
      <c r="B179">
        <v>6471</v>
      </c>
      <c r="C179" s="114" t="s">
        <v>172</v>
      </c>
      <c r="D179" s="114" t="s">
        <v>128</v>
      </c>
      <c r="E179">
        <v>1049</v>
      </c>
      <c r="F179">
        <v>1062</v>
      </c>
      <c r="G179">
        <v>1000</v>
      </c>
      <c r="H179" s="114" t="s">
        <v>88</v>
      </c>
      <c r="I179">
        <v>6472</v>
      </c>
      <c r="J179" s="114" t="s">
        <v>168</v>
      </c>
      <c r="K179" s="114" t="s">
        <v>128</v>
      </c>
      <c r="L179">
        <v>336</v>
      </c>
      <c r="M179">
        <v>337</v>
      </c>
      <c r="N179">
        <v>3200</v>
      </c>
      <c r="O179" s="114" t="s">
        <v>86</v>
      </c>
      <c r="P179">
        <v>0.93973894668978597</v>
      </c>
      <c r="Q179">
        <v>0.943122902639838</v>
      </c>
      <c r="R179">
        <v>0.22556307050024399</v>
      </c>
      <c r="S179">
        <v>0.26747208905405401</v>
      </c>
      <c r="T179">
        <v>1.7752568058415199</v>
      </c>
      <c r="U179">
        <v>1.7752568058415199</v>
      </c>
      <c r="V179">
        <v>3.81</v>
      </c>
      <c r="W179">
        <v>1.54</v>
      </c>
      <c r="X179">
        <v>-68265</v>
      </c>
      <c r="Y179">
        <v>-4016</v>
      </c>
      <c r="Z179">
        <v>-0.21</v>
      </c>
      <c r="AA179">
        <v>17</v>
      </c>
      <c r="AB179">
        <v>8</v>
      </c>
      <c r="AC179">
        <v>9</v>
      </c>
      <c r="AD179">
        <v>47.06</v>
      </c>
      <c r="AE179">
        <v>17</v>
      </c>
      <c r="AF179">
        <v>2</v>
      </c>
      <c r="AG179">
        <v>3</v>
      </c>
      <c r="AH179">
        <v>12</v>
      </c>
    </row>
    <row r="180" spans="1:34">
      <c r="A180" s="110">
        <v>171</v>
      </c>
      <c r="B180">
        <v>3231</v>
      </c>
      <c r="C180" s="114" t="s">
        <v>1091</v>
      </c>
      <c r="D180" s="114" t="s">
        <v>143</v>
      </c>
      <c r="E180">
        <v>2636</v>
      </c>
      <c r="F180">
        <v>2665</v>
      </c>
      <c r="G180">
        <v>400</v>
      </c>
      <c r="H180" s="114" t="s">
        <v>86</v>
      </c>
      <c r="I180">
        <v>6951</v>
      </c>
      <c r="J180" s="114" t="s">
        <v>390</v>
      </c>
      <c r="K180" s="114" t="s">
        <v>115</v>
      </c>
      <c r="L180">
        <v>3055</v>
      </c>
      <c r="M180">
        <v>3140</v>
      </c>
      <c r="N180">
        <v>300</v>
      </c>
      <c r="O180" s="114" t="s">
        <v>88</v>
      </c>
      <c r="P180">
        <v>0.943076436866642</v>
      </c>
      <c r="Q180">
        <v>0.90576997326058595</v>
      </c>
      <c r="R180">
        <v>8.9891915820701093E-2</v>
      </c>
      <c r="S180">
        <v>6.5486023556916004E-2</v>
      </c>
      <c r="T180">
        <v>-1.5040251931512401</v>
      </c>
      <c r="U180">
        <v>1.5040251931512401</v>
      </c>
      <c r="V180">
        <v>-7.04</v>
      </c>
      <c r="W180">
        <v>13.16</v>
      </c>
      <c r="X180">
        <v>-82032</v>
      </c>
      <c r="Y180">
        <v>-5127</v>
      </c>
      <c r="Z180">
        <v>-0.21</v>
      </c>
      <c r="AA180">
        <v>16</v>
      </c>
      <c r="AB180">
        <v>9</v>
      </c>
      <c r="AC180">
        <v>7</v>
      </c>
      <c r="AD180">
        <v>56.25</v>
      </c>
      <c r="AE180">
        <v>8</v>
      </c>
      <c r="AF180">
        <v>7</v>
      </c>
      <c r="AG180">
        <v>6</v>
      </c>
      <c r="AH180">
        <v>3</v>
      </c>
    </row>
    <row r="181" spans="1:34">
      <c r="A181" s="110">
        <v>93</v>
      </c>
      <c r="B181">
        <v>6752</v>
      </c>
      <c r="C181" s="114" t="s">
        <v>134</v>
      </c>
      <c r="D181" s="114" t="s">
        <v>115</v>
      </c>
      <c r="E181">
        <v>1018.5</v>
      </c>
      <c r="F181">
        <v>1029.5</v>
      </c>
      <c r="G181">
        <v>1000</v>
      </c>
      <c r="H181" s="114" t="s">
        <v>88</v>
      </c>
      <c r="I181">
        <v>8795</v>
      </c>
      <c r="J181" s="114" t="s">
        <v>169</v>
      </c>
      <c r="K181" s="114" t="s">
        <v>139</v>
      </c>
      <c r="L181">
        <v>1276</v>
      </c>
      <c r="M181">
        <v>1302</v>
      </c>
      <c r="N181">
        <v>800</v>
      </c>
      <c r="O181" s="114" t="s">
        <v>86</v>
      </c>
      <c r="P181">
        <v>0.923616823422997</v>
      </c>
      <c r="Q181">
        <v>0.92146017545916703</v>
      </c>
      <c r="R181">
        <v>3.7724969176828903E-2</v>
      </c>
      <c r="S181" s="20">
        <v>2.06602841429104E-2</v>
      </c>
      <c r="T181">
        <v>0.70067912156791901</v>
      </c>
      <c r="U181">
        <v>0.70067912156791901</v>
      </c>
      <c r="V181">
        <v>1.96</v>
      </c>
      <c r="W181">
        <v>1.1599999999999999</v>
      </c>
      <c r="X181">
        <v>-86216</v>
      </c>
      <c r="Y181">
        <v>-5388</v>
      </c>
      <c r="Z181">
        <v>-0.22</v>
      </c>
      <c r="AA181">
        <v>16</v>
      </c>
      <c r="AB181">
        <v>6</v>
      </c>
      <c r="AC181">
        <v>10</v>
      </c>
      <c r="AD181">
        <v>37.5</v>
      </c>
      <c r="AE181">
        <v>14</v>
      </c>
      <c r="AF181">
        <v>4</v>
      </c>
      <c r="AG181">
        <v>5</v>
      </c>
      <c r="AH181">
        <v>7</v>
      </c>
    </row>
    <row r="182" spans="1:34">
      <c r="A182" s="110">
        <v>166</v>
      </c>
      <c r="B182">
        <v>8410</v>
      </c>
      <c r="C182" s="114" t="s">
        <v>360</v>
      </c>
      <c r="D182" s="114" t="s">
        <v>110</v>
      </c>
      <c r="E182">
        <v>339</v>
      </c>
      <c r="F182">
        <v>340</v>
      </c>
      <c r="G182">
        <v>3100</v>
      </c>
      <c r="H182" s="114" t="s">
        <v>88</v>
      </c>
      <c r="I182">
        <v>9412</v>
      </c>
      <c r="J182" s="114" t="s">
        <v>106</v>
      </c>
      <c r="K182" s="114" t="s">
        <v>107</v>
      </c>
      <c r="L182">
        <v>458</v>
      </c>
      <c r="M182">
        <v>462</v>
      </c>
      <c r="N182">
        <v>2300</v>
      </c>
      <c r="O182" s="114" t="s">
        <v>86</v>
      </c>
      <c r="P182">
        <v>0.92668925599087704</v>
      </c>
      <c r="Q182">
        <v>0.90671141197293204</v>
      </c>
      <c r="R182" s="20">
        <v>9.4399698824976903E-4</v>
      </c>
      <c r="S182">
        <v>7.5711807808670397E-3</v>
      </c>
      <c r="T182">
        <v>2.1420983920543399</v>
      </c>
      <c r="U182">
        <v>2.1420983920543399</v>
      </c>
      <c r="V182">
        <v>6.78</v>
      </c>
      <c r="W182">
        <v>0.81</v>
      </c>
      <c r="X182">
        <v>-93985</v>
      </c>
      <c r="Y182">
        <v>-4947</v>
      </c>
      <c r="Z182">
        <v>-0.23</v>
      </c>
      <c r="AA182">
        <v>19</v>
      </c>
      <c r="AB182">
        <v>8</v>
      </c>
      <c r="AC182">
        <v>11</v>
      </c>
      <c r="AD182">
        <v>42.11</v>
      </c>
      <c r="AE182">
        <v>14</v>
      </c>
      <c r="AF182">
        <v>5</v>
      </c>
      <c r="AG182">
        <v>3</v>
      </c>
      <c r="AH182">
        <v>11</v>
      </c>
    </row>
    <row r="183" spans="1:34">
      <c r="A183" s="110">
        <v>163</v>
      </c>
      <c r="B183">
        <v>5334</v>
      </c>
      <c r="C183" s="114" t="s">
        <v>362</v>
      </c>
      <c r="D183" s="114" t="s">
        <v>135</v>
      </c>
      <c r="E183">
        <v>2184</v>
      </c>
      <c r="F183">
        <v>2192</v>
      </c>
      <c r="G183">
        <v>400</v>
      </c>
      <c r="H183" s="114" t="s">
        <v>86</v>
      </c>
      <c r="I183">
        <v>6923</v>
      </c>
      <c r="J183" s="114" t="s">
        <v>141</v>
      </c>
      <c r="K183" s="114" t="s">
        <v>115</v>
      </c>
      <c r="L183">
        <v>3060</v>
      </c>
      <c r="M183">
        <v>3085</v>
      </c>
      <c r="N183">
        <v>300</v>
      </c>
      <c r="O183" s="114" t="s">
        <v>88</v>
      </c>
      <c r="P183">
        <v>0.93263887174355797</v>
      </c>
      <c r="Q183">
        <v>0.90757381522192904</v>
      </c>
      <c r="R183">
        <v>8.9553741976424905E-2</v>
      </c>
      <c r="S183">
        <v>0.10733426508494601</v>
      </c>
      <c r="T183">
        <v>-0.39631425912478002</v>
      </c>
      <c r="U183">
        <v>0.39631425912478002</v>
      </c>
      <c r="V183">
        <v>-0.94</v>
      </c>
      <c r="W183">
        <v>5.26</v>
      </c>
      <c r="X183">
        <v>-100321</v>
      </c>
      <c r="Y183">
        <v>-7717</v>
      </c>
      <c r="Z183">
        <v>-0.36</v>
      </c>
      <c r="AA183">
        <v>13</v>
      </c>
      <c r="AB183">
        <v>7</v>
      </c>
      <c r="AC183">
        <v>6</v>
      </c>
      <c r="AD183">
        <v>53.85</v>
      </c>
      <c r="AE183">
        <v>13</v>
      </c>
      <c r="AF183">
        <v>3</v>
      </c>
      <c r="AG183">
        <v>3</v>
      </c>
      <c r="AH183">
        <v>7</v>
      </c>
    </row>
    <row r="184" spans="1:34">
      <c r="A184" s="110">
        <v>152</v>
      </c>
      <c r="B184">
        <v>4202</v>
      </c>
      <c r="C184" s="114" t="s">
        <v>118</v>
      </c>
      <c r="D184" s="114" t="s">
        <v>87</v>
      </c>
      <c r="E184">
        <v>1072</v>
      </c>
      <c r="F184">
        <v>1082</v>
      </c>
      <c r="G184">
        <v>700</v>
      </c>
      <c r="H184" s="114" t="s">
        <v>88</v>
      </c>
      <c r="I184">
        <v>6371</v>
      </c>
      <c r="J184" s="114" t="s">
        <v>137</v>
      </c>
      <c r="K184" s="114" t="s">
        <v>128</v>
      </c>
      <c r="L184">
        <v>3765</v>
      </c>
      <c r="M184">
        <v>3790</v>
      </c>
      <c r="N184">
        <v>200</v>
      </c>
      <c r="O184" s="114" t="s">
        <v>86</v>
      </c>
      <c r="P184">
        <v>0.947484063025266</v>
      </c>
      <c r="Q184">
        <v>0.90935515042919501</v>
      </c>
      <c r="R184" s="20">
        <v>0.32230741014701703</v>
      </c>
      <c r="S184">
        <v>0.20908923525282899</v>
      </c>
      <c r="T184">
        <v>1.25228069180974</v>
      </c>
      <c r="U184">
        <v>1.25228069180974</v>
      </c>
      <c r="V184">
        <v>5.96</v>
      </c>
      <c r="W184">
        <v>0.08</v>
      </c>
      <c r="X184">
        <v>-110166</v>
      </c>
      <c r="Y184">
        <v>-6885</v>
      </c>
      <c r="Z184">
        <v>-0.47</v>
      </c>
      <c r="AA184">
        <v>16</v>
      </c>
      <c r="AB184">
        <v>5</v>
      </c>
      <c r="AC184">
        <v>11</v>
      </c>
      <c r="AD184">
        <v>31.25</v>
      </c>
      <c r="AE184">
        <v>14</v>
      </c>
      <c r="AF184">
        <v>3</v>
      </c>
      <c r="AG184">
        <v>5</v>
      </c>
      <c r="AH184">
        <v>8</v>
      </c>
    </row>
    <row r="185" spans="1:34">
      <c r="A185" s="110">
        <v>149</v>
      </c>
      <c r="B185">
        <v>4204</v>
      </c>
      <c r="C185" s="114" t="s">
        <v>394</v>
      </c>
      <c r="D185" s="114" t="s">
        <v>87</v>
      </c>
      <c r="E185">
        <v>1896</v>
      </c>
      <c r="F185">
        <v>1912</v>
      </c>
      <c r="G185">
        <v>400</v>
      </c>
      <c r="H185" s="114" t="s">
        <v>86</v>
      </c>
      <c r="I185">
        <v>5947</v>
      </c>
      <c r="J185" s="114" t="s">
        <v>395</v>
      </c>
      <c r="K185" s="114" t="s">
        <v>145</v>
      </c>
      <c r="L185">
        <v>8390</v>
      </c>
      <c r="M185">
        <v>8420</v>
      </c>
      <c r="N185">
        <v>100</v>
      </c>
      <c r="O185" s="114" t="s">
        <v>88</v>
      </c>
      <c r="P185">
        <v>0.93969197283940897</v>
      </c>
      <c r="Q185">
        <v>0.909523466705905</v>
      </c>
      <c r="R185">
        <v>0.22336948616579799</v>
      </c>
      <c r="S185">
        <v>2.7269980683611202E-3</v>
      </c>
      <c r="T185">
        <v>-0.47797990440507698</v>
      </c>
      <c r="U185">
        <v>0.47797990440507698</v>
      </c>
      <c r="V185">
        <v>-1.1499999999999999</v>
      </c>
      <c r="W185">
        <v>9.17</v>
      </c>
      <c r="X185">
        <v>-110401</v>
      </c>
      <c r="Y185">
        <v>-7886</v>
      </c>
      <c r="Z185">
        <v>-0.25</v>
      </c>
      <c r="AA185">
        <v>14</v>
      </c>
      <c r="AB185">
        <v>7</v>
      </c>
      <c r="AC185">
        <v>7</v>
      </c>
      <c r="AD185">
        <v>50</v>
      </c>
      <c r="AE185">
        <v>16</v>
      </c>
      <c r="AF185">
        <v>4</v>
      </c>
      <c r="AG185">
        <v>2</v>
      </c>
      <c r="AH185">
        <v>8</v>
      </c>
    </row>
    <row r="186" spans="1:34">
      <c r="A186" s="110">
        <v>81</v>
      </c>
      <c r="B186">
        <v>6702</v>
      </c>
      <c r="C186" s="114" t="s">
        <v>409</v>
      </c>
      <c r="D186" s="114" t="s">
        <v>115</v>
      </c>
      <c r="E186">
        <v>9923</v>
      </c>
      <c r="F186">
        <v>10130</v>
      </c>
      <c r="G186">
        <v>100</v>
      </c>
      <c r="H186" s="114" t="s">
        <v>88</v>
      </c>
      <c r="I186">
        <v>6845</v>
      </c>
      <c r="J186" s="114" t="s">
        <v>369</v>
      </c>
      <c r="K186" s="114" t="s">
        <v>115</v>
      </c>
      <c r="L186">
        <v>3140</v>
      </c>
      <c r="M186">
        <v>3185</v>
      </c>
      <c r="N186">
        <v>300</v>
      </c>
      <c r="O186" s="114" t="s">
        <v>86</v>
      </c>
      <c r="P186">
        <v>0.91515249598789306</v>
      </c>
      <c r="Q186">
        <v>0.92390140554967404</v>
      </c>
      <c r="R186">
        <v>2.3988407613363599E-2</v>
      </c>
      <c r="S186">
        <v>2.2234559977233101E-2</v>
      </c>
      <c r="T186">
        <v>1.64765047309437</v>
      </c>
      <c r="U186">
        <v>1.64765047309437</v>
      </c>
      <c r="V186">
        <v>4.03</v>
      </c>
      <c r="W186">
        <v>5.68</v>
      </c>
      <c r="X186">
        <v>-115725</v>
      </c>
      <c r="Y186">
        <v>-9644</v>
      </c>
      <c r="Z186">
        <v>-0.71</v>
      </c>
      <c r="AA186">
        <v>12</v>
      </c>
      <c r="AB186">
        <v>5</v>
      </c>
      <c r="AC186">
        <v>7</v>
      </c>
      <c r="AD186">
        <v>41.67</v>
      </c>
      <c r="AE186">
        <v>13</v>
      </c>
      <c r="AF186">
        <v>4</v>
      </c>
      <c r="AG186">
        <v>3</v>
      </c>
      <c r="AH186">
        <v>5</v>
      </c>
    </row>
    <row r="187" spans="1:34">
      <c r="A187" s="110">
        <v>50</v>
      </c>
      <c r="B187">
        <v>4062</v>
      </c>
      <c r="C187" s="114" t="s">
        <v>396</v>
      </c>
      <c r="D187" s="114" t="s">
        <v>115</v>
      </c>
      <c r="E187">
        <v>2546</v>
      </c>
      <c r="F187">
        <v>2574</v>
      </c>
      <c r="G187">
        <v>400</v>
      </c>
      <c r="H187" s="114" t="s">
        <v>86</v>
      </c>
      <c r="I187">
        <v>6951</v>
      </c>
      <c r="J187" s="114" t="s">
        <v>390</v>
      </c>
      <c r="K187" s="114" t="s">
        <v>115</v>
      </c>
      <c r="L187">
        <v>3055</v>
      </c>
      <c r="M187">
        <v>3140</v>
      </c>
      <c r="N187">
        <v>300</v>
      </c>
      <c r="O187" s="114" t="s">
        <v>88</v>
      </c>
      <c r="P187">
        <v>0.94875940086551502</v>
      </c>
      <c r="Q187">
        <v>0.93362195360325395</v>
      </c>
      <c r="R187">
        <v>9.0996260106792501E-2</v>
      </c>
      <c r="S187">
        <v>7.9965226749706797E-2</v>
      </c>
      <c r="T187">
        <v>-1.5390965845854001</v>
      </c>
      <c r="U187">
        <v>1.5390965845854001</v>
      </c>
      <c r="V187">
        <v>-4.59</v>
      </c>
      <c r="W187">
        <v>9.3000000000000007</v>
      </c>
      <c r="X187">
        <v>-118052</v>
      </c>
      <c r="Y187">
        <v>-7870</v>
      </c>
      <c r="Z187">
        <v>-0.41</v>
      </c>
      <c r="AA187">
        <v>15</v>
      </c>
      <c r="AB187">
        <v>7</v>
      </c>
      <c r="AC187">
        <v>8</v>
      </c>
      <c r="AD187">
        <v>46.67</v>
      </c>
      <c r="AE187">
        <v>12</v>
      </c>
      <c r="AF187">
        <v>5</v>
      </c>
      <c r="AG187">
        <v>6</v>
      </c>
      <c r="AH187">
        <v>4</v>
      </c>
    </row>
    <row r="188" spans="1:34">
      <c r="A188" s="110">
        <v>127</v>
      </c>
      <c r="B188">
        <v>6457</v>
      </c>
      <c r="C188" s="114" t="s">
        <v>377</v>
      </c>
      <c r="D188" s="114" t="s">
        <v>128</v>
      </c>
      <c r="E188">
        <v>3275</v>
      </c>
      <c r="F188">
        <v>3305</v>
      </c>
      <c r="G188">
        <v>300</v>
      </c>
      <c r="H188" s="114" t="s">
        <v>86</v>
      </c>
      <c r="I188">
        <v>8425</v>
      </c>
      <c r="J188" s="114" t="s">
        <v>384</v>
      </c>
      <c r="K188" s="114" t="s">
        <v>356</v>
      </c>
      <c r="L188">
        <v>3225</v>
      </c>
      <c r="M188">
        <v>3230</v>
      </c>
      <c r="N188">
        <v>300</v>
      </c>
      <c r="O188" s="114" t="s">
        <v>88</v>
      </c>
      <c r="P188">
        <v>0.91324666009066502</v>
      </c>
      <c r="Q188">
        <v>0.91268982473307703</v>
      </c>
      <c r="R188">
        <v>8.05755885036092E-2</v>
      </c>
      <c r="S188">
        <v>3.1792276015545497E-2</v>
      </c>
      <c r="T188">
        <v>-0.99113740601854505</v>
      </c>
      <c r="U188">
        <v>0.99113740601854505</v>
      </c>
      <c r="V188">
        <v>-2.4900000000000002</v>
      </c>
      <c r="W188">
        <v>2.27</v>
      </c>
      <c r="X188">
        <v>-123764</v>
      </c>
      <c r="Y188">
        <v>-9520</v>
      </c>
      <c r="Z188">
        <v>-0.56999999999999995</v>
      </c>
      <c r="AA188">
        <v>13</v>
      </c>
      <c r="AB188">
        <v>5</v>
      </c>
      <c r="AC188">
        <v>8</v>
      </c>
      <c r="AD188">
        <v>38.46</v>
      </c>
      <c r="AE188">
        <v>15</v>
      </c>
      <c r="AF188">
        <v>1</v>
      </c>
      <c r="AG188">
        <v>4</v>
      </c>
      <c r="AH188">
        <v>8</v>
      </c>
    </row>
    <row r="189" spans="1:34">
      <c r="A189" s="110">
        <v>65</v>
      </c>
      <c r="B189">
        <v>7189</v>
      </c>
      <c r="C189" s="114" t="s">
        <v>109</v>
      </c>
      <c r="D189" s="114" t="s">
        <v>110</v>
      </c>
      <c r="E189">
        <v>845</v>
      </c>
      <c r="F189">
        <v>849</v>
      </c>
      <c r="G189">
        <v>1200</v>
      </c>
      <c r="H189" s="114" t="s">
        <v>88</v>
      </c>
      <c r="I189">
        <v>8377</v>
      </c>
      <c r="J189" s="114" t="s">
        <v>123</v>
      </c>
      <c r="K189" s="114" t="s">
        <v>110</v>
      </c>
      <c r="L189">
        <v>1120</v>
      </c>
      <c r="M189">
        <v>1119</v>
      </c>
      <c r="N189">
        <v>900</v>
      </c>
      <c r="O189" s="114" t="s">
        <v>86</v>
      </c>
      <c r="P189">
        <v>0.96665175411679105</v>
      </c>
      <c r="Q189">
        <v>0.92846909762262597</v>
      </c>
      <c r="R189">
        <v>0.134368674236471</v>
      </c>
      <c r="S189">
        <v>0.28641791576273801</v>
      </c>
      <c r="T189">
        <v>1.0754657628650299</v>
      </c>
      <c r="U189">
        <v>1.0754657628650299</v>
      </c>
      <c r="V189">
        <v>4.58</v>
      </c>
      <c r="W189">
        <v>1.1599999999999999</v>
      </c>
      <c r="X189">
        <v>-129434</v>
      </c>
      <c r="Y189">
        <v>-6812</v>
      </c>
      <c r="Z189">
        <v>-0.3</v>
      </c>
      <c r="AA189">
        <v>19</v>
      </c>
      <c r="AB189">
        <v>9</v>
      </c>
      <c r="AC189">
        <v>10</v>
      </c>
      <c r="AD189">
        <v>47.37</v>
      </c>
      <c r="AE189">
        <v>15</v>
      </c>
      <c r="AF189">
        <v>3</v>
      </c>
      <c r="AG189">
        <v>4</v>
      </c>
      <c r="AH189">
        <v>12</v>
      </c>
    </row>
    <row r="190" spans="1:34">
      <c r="A190" s="110">
        <v>162</v>
      </c>
      <c r="B190">
        <v>3635</v>
      </c>
      <c r="C190" s="114" t="s">
        <v>113</v>
      </c>
      <c r="D190" s="114" t="s">
        <v>107</v>
      </c>
      <c r="E190">
        <v>2648</v>
      </c>
      <c r="F190">
        <v>2637</v>
      </c>
      <c r="G190">
        <v>300</v>
      </c>
      <c r="H190" s="114" t="s">
        <v>86</v>
      </c>
      <c r="I190">
        <v>6588</v>
      </c>
      <c r="J190" s="114" t="s">
        <v>1081</v>
      </c>
      <c r="K190" s="114" t="s">
        <v>115</v>
      </c>
      <c r="L190">
        <v>4430</v>
      </c>
      <c r="M190">
        <v>4445</v>
      </c>
      <c r="N190">
        <v>200</v>
      </c>
      <c r="O190" s="114" t="s">
        <v>88</v>
      </c>
      <c r="P190">
        <v>0.956073617485525</v>
      </c>
      <c r="Q190">
        <v>0.90757520508571898</v>
      </c>
      <c r="R190">
        <v>2.7992475346524E-2</v>
      </c>
      <c r="S190" s="20">
        <v>0.24054384049872801</v>
      </c>
      <c r="T190">
        <v>-1.51790550134167</v>
      </c>
      <c r="U190">
        <v>1.51790550134167</v>
      </c>
      <c r="V190">
        <v>-11.67</v>
      </c>
      <c r="W190">
        <v>11.01</v>
      </c>
      <c r="X190">
        <v>-149155</v>
      </c>
      <c r="Y190">
        <v>-16573</v>
      </c>
      <c r="Z190">
        <v>-0.94</v>
      </c>
      <c r="AA190">
        <v>9</v>
      </c>
      <c r="AB190">
        <v>4</v>
      </c>
      <c r="AC190">
        <v>5</v>
      </c>
      <c r="AD190">
        <v>44.44</v>
      </c>
      <c r="AE190">
        <v>12</v>
      </c>
      <c r="AF190">
        <v>1</v>
      </c>
      <c r="AG190">
        <v>3</v>
      </c>
      <c r="AH190">
        <v>5</v>
      </c>
    </row>
    <row r="191" spans="1:34">
      <c r="A191" s="110">
        <v>59</v>
      </c>
      <c r="B191">
        <v>4182</v>
      </c>
      <c r="C191" s="114" t="s">
        <v>116</v>
      </c>
      <c r="D191" s="114" t="s">
        <v>87</v>
      </c>
      <c r="E191">
        <v>1684</v>
      </c>
      <c r="F191">
        <v>1694</v>
      </c>
      <c r="G191">
        <v>600</v>
      </c>
      <c r="H191" s="114" t="s">
        <v>88</v>
      </c>
      <c r="I191">
        <v>9072</v>
      </c>
      <c r="J191" s="114" t="s">
        <v>158</v>
      </c>
      <c r="K191" s="114" t="s">
        <v>148</v>
      </c>
      <c r="L191">
        <v>2687</v>
      </c>
      <c r="M191">
        <v>2685</v>
      </c>
      <c r="N191">
        <v>400</v>
      </c>
      <c r="O191" s="114" t="s">
        <v>86</v>
      </c>
      <c r="P191">
        <v>0.95540118716216405</v>
      </c>
      <c r="Q191">
        <v>0.93115272580425701</v>
      </c>
      <c r="R191">
        <v>6.4740208106568303E-3</v>
      </c>
      <c r="S191" s="20">
        <v>4.54975344521497E-5</v>
      </c>
      <c r="T191">
        <v>1.65379314622878</v>
      </c>
      <c r="U191">
        <v>1.65379314622878</v>
      </c>
      <c r="V191">
        <v>8.7899999999999991</v>
      </c>
      <c r="W191">
        <v>5.36</v>
      </c>
      <c r="X191">
        <v>-153106</v>
      </c>
      <c r="Y191">
        <v>-9006</v>
      </c>
      <c r="Z191">
        <v>-0.41</v>
      </c>
      <c r="AA191">
        <v>17</v>
      </c>
      <c r="AB191">
        <v>6</v>
      </c>
      <c r="AC191">
        <v>11</v>
      </c>
      <c r="AD191">
        <v>35.29</v>
      </c>
      <c r="AE191">
        <v>13</v>
      </c>
      <c r="AF191">
        <v>6</v>
      </c>
      <c r="AG191">
        <v>5</v>
      </c>
      <c r="AH191">
        <v>6</v>
      </c>
    </row>
    <row r="192" spans="1:34">
      <c r="A192" s="110">
        <v>35</v>
      </c>
      <c r="B192">
        <v>7267</v>
      </c>
      <c r="C192" s="114" t="s">
        <v>147</v>
      </c>
      <c r="D192" s="114" t="s">
        <v>112</v>
      </c>
      <c r="E192">
        <v>3065</v>
      </c>
      <c r="F192">
        <v>3105</v>
      </c>
      <c r="G192">
        <v>300</v>
      </c>
      <c r="H192" s="114" t="s">
        <v>86</v>
      </c>
      <c r="I192">
        <v>8002</v>
      </c>
      <c r="J192" s="114" t="s">
        <v>56</v>
      </c>
      <c r="K192" s="114" t="s">
        <v>130</v>
      </c>
      <c r="L192">
        <v>814.4</v>
      </c>
      <c r="M192">
        <v>815.2</v>
      </c>
      <c r="N192">
        <v>1100</v>
      </c>
      <c r="O192" s="114" t="s">
        <v>88</v>
      </c>
      <c r="P192">
        <v>0.96255596232076301</v>
      </c>
      <c r="Q192">
        <v>0.94091562435865395</v>
      </c>
      <c r="R192">
        <v>1.2439753955477801E-2</v>
      </c>
      <c r="S192">
        <v>5.1439566702033302E-4</v>
      </c>
      <c r="T192">
        <v>-0.48870170165584198</v>
      </c>
      <c r="U192">
        <v>0.48870170165584198</v>
      </c>
      <c r="V192">
        <v>-1.1000000000000001</v>
      </c>
      <c r="W192">
        <v>3.73</v>
      </c>
      <c r="X192">
        <v>-183458</v>
      </c>
      <c r="Y192">
        <v>-12231</v>
      </c>
      <c r="Z192">
        <v>-0.72</v>
      </c>
      <c r="AA192">
        <v>15</v>
      </c>
      <c r="AB192">
        <v>6</v>
      </c>
      <c r="AC192">
        <v>9</v>
      </c>
      <c r="AD192">
        <v>40</v>
      </c>
      <c r="AE192">
        <v>16</v>
      </c>
      <c r="AF192">
        <v>0</v>
      </c>
      <c r="AG192">
        <v>3</v>
      </c>
      <c r="AH192">
        <v>12</v>
      </c>
    </row>
    <row r="193" spans="1:34">
      <c r="A193" s="110">
        <v>89</v>
      </c>
      <c r="B193">
        <v>3038</v>
      </c>
      <c r="C193" s="114" t="s">
        <v>419</v>
      </c>
      <c r="D193" s="114" t="s">
        <v>130</v>
      </c>
      <c r="E193">
        <v>3345</v>
      </c>
      <c r="F193">
        <v>3360</v>
      </c>
      <c r="G193">
        <v>200</v>
      </c>
      <c r="H193" s="114" t="s">
        <v>88</v>
      </c>
      <c r="I193">
        <v>6098</v>
      </c>
      <c r="J193" s="114" t="s">
        <v>420</v>
      </c>
      <c r="K193" s="114" t="s">
        <v>149</v>
      </c>
      <c r="L193">
        <v>3908</v>
      </c>
      <c r="M193">
        <v>3976</v>
      </c>
      <c r="N193">
        <v>200</v>
      </c>
      <c r="O193" s="114" t="s">
        <v>86</v>
      </c>
      <c r="P193">
        <v>0.927208726517186</v>
      </c>
      <c r="Q193">
        <v>0.92250712825506198</v>
      </c>
      <c r="R193">
        <v>0.257459648251333</v>
      </c>
      <c r="S193">
        <v>6.6155777148382902E-2</v>
      </c>
      <c r="T193">
        <v>0.49299380361406903</v>
      </c>
      <c r="U193">
        <v>0.49299380361406903</v>
      </c>
      <c r="V193">
        <v>2.2400000000000002</v>
      </c>
      <c r="W193">
        <v>15.49</v>
      </c>
      <c r="X193">
        <v>-187710</v>
      </c>
      <c r="Y193">
        <v>-8161</v>
      </c>
      <c r="Z193">
        <v>-0.37</v>
      </c>
      <c r="AA193">
        <v>23</v>
      </c>
      <c r="AB193">
        <v>11</v>
      </c>
      <c r="AC193">
        <v>12</v>
      </c>
      <c r="AD193">
        <v>47.83</v>
      </c>
      <c r="AE193">
        <v>10</v>
      </c>
      <c r="AF193">
        <v>10</v>
      </c>
      <c r="AG193">
        <v>12</v>
      </c>
      <c r="AH193">
        <v>1</v>
      </c>
    </row>
    <row r="194" spans="1:34">
      <c r="A194" s="110">
        <v>168</v>
      </c>
      <c r="B194">
        <v>4183</v>
      </c>
      <c r="C194" s="114" t="s">
        <v>361</v>
      </c>
      <c r="D194" s="114" t="s">
        <v>87</v>
      </c>
      <c r="E194">
        <v>2605</v>
      </c>
      <c r="F194">
        <v>2628</v>
      </c>
      <c r="G194">
        <v>400</v>
      </c>
      <c r="H194" s="114" t="s">
        <v>86</v>
      </c>
      <c r="I194">
        <v>6473</v>
      </c>
      <c r="J194" s="114" t="s">
        <v>166</v>
      </c>
      <c r="K194" s="114" t="s">
        <v>128</v>
      </c>
      <c r="L194">
        <v>1354</v>
      </c>
      <c r="M194">
        <v>1360</v>
      </c>
      <c r="N194">
        <v>800</v>
      </c>
      <c r="O194" s="114" t="s">
        <v>88</v>
      </c>
      <c r="P194">
        <v>0.96464893732230805</v>
      </c>
      <c r="Q194">
        <v>0.90629847173670397</v>
      </c>
      <c r="R194">
        <v>3.5944413626599399E-2</v>
      </c>
      <c r="S194">
        <v>9.6147248317507206E-2</v>
      </c>
      <c r="T194">
        <v>-0.38202131137496298</v>
      </c>
      <c r="U194">
        <v>0.38202131137496298</v>
      </c>
      <c r="V194">
        <v>-0.85</v>
      </c>
      <c r="W194">
        <v>3.5</v>
      </c>
      <c r="X194">
        <v>-198152</v>
      </c>
      <c r="Y194">
        <v>-11656</v>
      </c>
      <c r="Z194">
        <v>-0.65</v>
      </c>
      <c r="AA194">
        <v>17</v>
      </c>
      <c r="AB194">
        <v>5</v>
      </c>
      <c r="AC194">
        <v>12</v>
      </c>
      <c r="AD194">
        <v>29.41</v>
      </c>
      <c r="AE194">
        <v>15</v>
      </c>
      <c r="AF194">
        <v>4</v>
      </c>
      <c r="AG194">
        <v>5</v>
      </c>
      <c r="AH194">
        <v>8</v>
      </c>
    </row>
    <row r="195" spans="1:34">
      <c r="A195" s="110">
        <v>195</v>
      </c>
      <c r="B195">
        <v>4634</v>
      </c>
      <c r="C195" s="114" t="s">
        <v>174</v>
      </c>
      <c r="D195" s="114" t="s">
        <v>87</v>
      </c>
      <c r="E195">
        <v>2649</v>
      </c>
      <c r="F195">
        <v>2656</v>
      </c>
      <c r="G195">
        <v>400</v>
      </c>
      <c r="H195" s="114" t="s">
        <v>86</v>
      </c>
      <c r="I195">
        <v>5803</v>
      </c>
      <c r="J195" s="114" t="s">
        <v>53</v>
      </c>
      <c r="K195" s="114" t="s">
        <v>164</v>
      </c>
      <c r="L195">
        <v>453</v>
      </c>
      <c r="M195">
        <v>458</v>
      </c>
      <c r="N195">
        <v>2300</v>
      </c>
      <c r="O195" s="114" t="s">
        <v>88</v>
      </c>
      <c r="P195">
        <v>0.95240264924499096</v>
      </c>
      <c r="Q195">
        <v>0.90095960117349205</v>
      </c>
      <c r="R195">
        <v>0.120201085078083</v>
      </c>
      <c r="S195">
        <v>1.6401762207896398E-2</v>
      </c>
      <c r="T195">
        <v>-0.496135178774468</v>
      </c>
      <c r="U195">
        <v>0.496135178774468</v>
      </c>
      <c r="V195">
        <v>-2.91</v>
      </c>
      <c r="W195">
        <v>0.85</v>
      </c>
      <c r="X195">
        <v>-201900</v>
      </c>
      <c r="Y195">
        <v>-11876</v>
      </c>
      <c r="Z195">
        <v>-0.71</v>
      </c>
      <c r="AA195">
        <v>17</v>
      </c>
      <c r="AB195">
        <v>8</v>
      </c>
      <c r="AC195">
        <v>9</v>
      </c>
      <c r="AD195">
        <v>47.06</v>
      </c>
      <c r="AE195">
        <v>12</v>
      </c>
      <c r="AF195">
        <v>4</v>
      </c>
      <c r="AG195">
        <v>6</v>
      </c>
      <c r="AH195">
        <v>7</v>
      </c>
    </row>
    <row r="196" spans="1:34">
      <c r="A196" s="110">
        <v>3</v>
      </c>
      <c r="B196">
        <v>6951</v>
      </c>
      <c r="C196" s="114" t="s">
        <v>390</v>
      </c>
      <c r="D196" s="114" t="s">
        <v>115</v>
      </c>
      <c r="E196">
        <v>3055</v>
      </c>
      <c r="F196">
        <v>3140</v>
      </c>
      <c r="G196">
        <v>200</v>
      </c>
      <c r="H196" s="114" t="s">
        <v>88</v>
      </c>
      <c r="I196">
        <v>8036</v>
      </c>
      <c r="J196" s="114" t="s">
        <v>386</v>
      </c>
      <c r="K196" s="114" t="s">
        <v>130</v>
      </c>
      <c r="L196">
        <v>7020</v>
      </c>
      <c r="M196">
        <v>7160</v>
      </c>
      <c r="N196">
        <v>100</v>
      </c>
      <c r="O196" s="114" t="s">
        <v>86</v>
      </c>
      <c r="P196">
        <v>0.93566825683976795</v>
      </c>
      <c r="Q196">
        <v>0.95908358945781602</v>
      </c>
      <c r="R196">
        <v>0.26079117387108403</v>
      </c>
      <c r="S196">
        <v>0.11900705757574</v>
      </c>
      <c r="T196">
        <v>1.15591465714872</v>
      </c>
      <c r="U196">
        <v>1.15591465714872</v>
      </c>
      <c r="V196">
        <v>4.04</v>
      </c>
      <c r="W196">
        <v>12.29</v>
      </c>
      <c r="X196">
        <v>-225555</v>
      </c>
      <c r="Y196">
        <v>-11278</v>
      </c>
      <c r="Z196">
        <v>-0.48</v>
      </c>
      <c r="AA196">
        <v>20</v>
      </c>
      <c r="AB196">
        <v>9</v>
      </c>
      <c r="AC196">
        <v>11</v>
      </c>
      <c r="AD196">
        <v>45</v>
      </c>
      <c r="AE196">
        <v>10</v>
      </c>
      <c r="AF196">
        <v>8</v>
      </c>
      <c r="AG196">
        <v>8</v>
      </c>
      <c r="AH196">
        <v>4</v>
      </c>
    </row>
    <row r="197" spans="1:34">
      <c r="A197" s="110">
        <v>191</v>
      </c>
      <c r="B197">
        <v>6471</v>
      </c>
      <c r="C197" s="114" t="s">
        <v>172</v>
      </c>
      <c r="D197" s="114" t="s">
        <v>128</v>
      </c>
      <c r="E197">
        <v>1049</v>
      </c>
      <c r="F197">
        <v>1062</v>
      </c>
      <c r="G197">
        <v>600</v>
      </c>
      <c r="H197" s="114" t="s">
        <v>86</v>
      </c>
      <c r="I197">
        <v>6988</v>
      </c>
      <c r="J197" s="114" t="s">
        <v>173</v>
      </c>
      <c r="K197" s="114" t="s">
        <v>87</v>
      </c>
      <c r="L197">
        <v>6060</v>
      </c>
      <c r="M197">
        <v>6150</v>
      </c>
      <c r="N197">
        <v>100</v>
      </c>
      <c r="O197" s="114" t="s">
        <v>88</v>
      </c>
      <c r="P197">
        <v>0.96831774229847101</v>
      </c>
      <c r="Q197">
        <v>0.90184716702135004</v>
      </c>
      <c r="R197" s="20">
        <v>2.6425332991368601E-2</v>
      </c>
      <c r="S197" s="20">
        <v>0.16904144756007999</v>
      </c>
      <c r="T197">
        <v>-0.33343340405705302</v>
      </c>
      <c r="U197">
        <v>0.33343340405705302</v>
      </c>
      <c r="V197">
        <v>-0.74</v>
      </c>
      <c r="W197">
        <v>3.61</v>
      </c>
      <c r="X197">
        <v>-260430</v>
      </c>
      <c r="Y197">
        <v>-14468</v>
      </c>
      <c r="Z197">
        <v>-0.98</v>
      </c>
      <c r="AA197">
        <v>18</v>
      </c>
      <c r="AB197">
        <v>5</v>
      </c>
      <c r="AC197">
        <v>13</v>
      </c>
      <c r="AD197">
        <v>27.78</v>
      </c>
      <c r="AE197">
        <v>14</v>
      </c>
      <c r="AF197">
        <v>3</v>
      </c>
      <c r="AG197">
        <v>4</v>
      </c>
      <c r="AH197">
        <v>11</v>
      </c>
    </row>
    <row r="198" spans="1:34">
      <c r="A198" s="110">
        <v>124</v>
      </c>
      <c r="B198">
        <v>1928</v>
      </c>
      <c r="C198" s="114" t="s">
        <v>363</v>
      </c>
      <c r="D198" s="114" t="s">
        <v>105</v>
      </c>
      <c r="E198">
        <v>2364.5</v>
      </c>
      <c r="F198">
        <v>2346</v>
      </c>
      <c r="G198">
        <v>400</v>
      </c>
      <c r="H198" s="114" t="s">
        <v>86</v>
      </c>
      <c r="I198">
        <v>6951</v>
      </c>
      <c r="J198" s="114" t="s">
        <v>390</v>
      </c>
      <c r="K198" s="114" t="s">
        <v>115</v>
      </c>
      <c r="L198">
        <v>3055</v>
      </c>
      <c r="M198">
        <v>3140</v>
      </c>
      <c r="N198">
        <v>300</v>
      </c>
      <c r="O198" s="114" t="s">
        <v>88</v>
      </c>
      <c r="P198">
        <v>0.93422354631951399</v>
      </c>
      <c r="Q198">
        <v>0.91415543407102096</v>
      </c>
      <c r="R198">
        <v>9.0818691187973297E-2</v>
      </c>
      <c r="S198">
        <v>0.38556934549426503</v>
      </c>
      <c r="T198">
        <v>-2.5041792695104199</v>
      </c>
      <c r="U198">
        <v>2.5041792695104199</v>
      </c>
      <c r="V198">
        <v>-8.09</v>
      </c>
      <c r="W198">
        <v>0.38</v>
      </c>
      <c r="X198">
        <v>-286170</v>
      </c>
      <c r="Y198">
        <v>-14308</v>
      </c>
      <c r="Z198">
        <v>-0.82</v>
      </c>
      <c r="AA198">
        <v>20</v>
      </c>
      <c r="AB198">
        <v>8</v>
      </c>
      <c r="AC198">
        <v>12</v>
      </c>
      <c r="AD198">
        <v>40</v>
      </c>
      <c r="AE198">
        <v>12</v>
      </c>
      <c r="AF198">
        <v>6</v>
      </c>
      <c r="AG198">
        <v>7</v>
      </c>
      <c r="AH198">
        <v>7</v>
      </c>
    </row>
    <row r="199" spans="1:34">
      <c r="A199" s="110">
        <v>131</v>
      </c>
      <c r="B199">
        <v>5110</v>
      </c>
      <c r="C199" s="114" t="s">
        <v>160</v>
      </c>
      <c r="D199" s="114" t="s">
        <v>161</v>
      </c>
      <c r="E199">
        <v>1395</v>
      </c>
      <c r="F199">
        <v>1394</v>
      </c>
      <c r="G199">
        <v>700</v>
      </c>
      <c r="H199" s="114" t="s">
        <v>86</v>
      </c>
      <c r="I199">
        <v>5803</v>
      </c>
      <c r="J199" s="114" t="s">
        <v>53</v>
      </c>
      <c r="K199" s="114" t="s">
        <v>164</v>
      </c>
      <c r="L199">
        <v>453</v>
      </c>
      <c r="M199">
        <v>458</v>
      </c>
      <c r="N199">
        <v>2100</v>
      </c>
      <c r="O199" s="114" t="s">
        <v>88</v>
      </c>
      <c r="P199">
        <v>0.95169042399556303</v>
      </c>
      <c r="Q199">
        <v>0.91223474428273099</v>
      </c>
      <c r="R199">
        <v>4.08810497632821E-2</v>
      </c>
      <c r="S199">
        <v>4.6086931920658603E-2</v>
      </c>
      <c r="T199">
        <v>-0.50799767821276598</v>
      </c>
      <c r="U199">
        <v>0.50799767821276598</v>
      </c>
      <c r="V199">
        <v>-3.83</v>
      </c>
      <c r="W199">
        <v>1.43</v>
      </c>
      <c r="X199">
        <v>-308037</v>
      </c>
      <c r="Y199">
        <v>-17113</v>
      </c>
      <c r="Z199">
        <v>-0.84</v>
      </c>
      <c r="AA199">
        <v>18</v>
      </c>
      <c r="AB199">
        <v>6</v>
      </c>
      <c r="AC199">
        <v>12</v>
      </c>
      <c r="AD199">
        <v>33.33</v>
      </c>
      <c r="AE199">
        <v>12</v>
      </c>
      <c r="AF199">
        <v>5</v>
      </c>
      <c r="AG199">
        <v>6</v>
      </c>
      <c r="AH199">
        <v>7</v>
      </c>
    </row>
    <row r="200" spans="1:34">
      <c r="A200" s="110">
        <v>22</v>
      </c>
      <c r="B200">
        <v>4062</v>
      </c>
      <c r="C200" s="114" t="s">
        <v>396</v>
      </c>
      <c r="D200" s="114" t="s">
        <v>115</v>
      </c>
      <c r="E200">
        <v>2546</v>
      </c>
      <c r="F200">
        <v>2574</v>
      </c>
      <c r="G200">
        <v>400</v>
      </c>
      <c r="H200" s="114" t="s">
        <v>88</v>
      </c>
      <c r="I200">
        <v>4996</v>
      </c>
      <c r="J200" s="114" t="s">
        <v>400</v>
      </c>
      <c r="K200" s="114" t="s">
        <v>87</v>
      </c>
      <c r="L200">
        <v>1017</v>
      </c>
      <c r="M200">
        <v>1015</v>
      </c>
      <c r="N200">
        <v>1000</v>
      </c>
      <c r="O200" s="114" t="s">
        <v>86</v>
      </c>
      <c r="P200">
        <v>0.91816358878460202</v>
      </c>
      <c r="Q200">
        <v>0.94606158479949298</v>
      </c>
      <c r="R200">
        <v>2.19170328441568E-3</v>
      </c>
      <c r="S200">
        <v>1.4271971569128001E-3</v>
      </c>
      <c r="T200">
        <v>1.9247434390142799</v>
      </c>
      <c r="U200">
        <v>1.9247434390142799</v>
      </c>
      <c r="V200">
        <v>6.84</v>
      </c>
      <c r="W200">
        <v>1.42</v>
      </c>
      <c r="X200">
        <v>-325553</v>
      </c>
      <c r="Y200">
        <v>-16278</v>
      </c>
      <c r="Z200">
        <v>-0.75</v>
      </c>
      <c r="AA200">
        <v>20</v>
      </c>
      <c r="AB200">
        <v>9</v>
      </c>
      <c r="AC200">
        <v>11</v>
      </c>
      <c r="AD200">
        <v>45</v>
      </c>
      <c r="AE200">
        <v>11</v>
      </c>
      <c r="AF200">
        <v>6</v>
      </c>
      <c r="AG200">
        <v>9</v>
      </c>
      <c r="AH200">
        <v>5</v>
      </c>
    </row>
    <row r="201" spans="1:34">
      <c r="A201" s="110">
        <v>183</v>
      </c>
      <c r="B201">
        <v>9003</v>
      </c>
      <c r="C201" s="114" t="s">
        <v>393</v>
      </c>
      <c r="D201" s="114" t="s">
        <v>148</v>
      </c>
      <c r="E201">
        <v>3030</v>
      </c>
      <c r="F201">
        <v>3015</v>
      </c>
      <c r="G201">
        <v>300</v>
      </c>
      <c r="H201" s="114" t="s">
        <v>86</v>
      </c>
      <c r="I201">
        <v>9956</v>
      </c>
      <c r="J201" s="114" t="s">
        <v>383</v>
      </c>
      <c r="K201" s="114" t="s">
        <v>124</v>
      </c>
      <c r="L201">
        <v>2041</v>
      </c>
      <c r="M201">
        <v>2030</v>
      </c>
      <c r="N201">
        <v>400</v>
      </c>
      <c r="O201" s="114" t="s">
        <v>88</v>
      </c>
      <c r="P201">
        <v>0.93556923429261596</v>
      </c>
      <c r="Q201">
        <v>0.90367560845450701</v>
      </c>
      <c r="R201">
        <v>2.8089998585896E-2</v>
      </c>
      <c r="S201">
        <v>6.5886516655634803E-2</v>
      </c>
      <c r="T201">
        <v>-1.80816570840643</v>
      </c>
      <c r="U201">
        <v>1.80816570840643</v>
      </c>
      <c r="V201">
        <v>-4.33</v>
      </c>
      <c r="W201">
        <v>10.23</v>
      </c>
      <c r="X201">
        <v>-374023</v>
      </c>
      <c r="Y201">
        <v>-20779</v>
      </c>
      <c r="Z201">
        <v>-1.01</v>
      </c>
      <c r="AA201">
        <v>18</v>
      </c>
      <c r="AB201">
        <v>5</v>
      </c>
      <c r="AC201">
        <v>13</v>
      </c>
      <c r="AD201">
        <v>27.78</v>
      </c>
      <c r="AE201">
        <v>12</v>
      </c>
      <c r="AF201">
        <v>3</v>
      </c>
      <c r="AG201">
        <v>6</v>
      </c>
      <c r="AH201">
        <v>9</v>
      </c>
    </row>
    <row r="202" spans="1:34">
      <c r="C202" s="114"/>
      <c r="D202" s="114"/>
      <c r="H202" s="114"/>
      <c r="J202" s="114"/>
      <c r="K202" s="114"/>
      <c r="O202" s="114"/>
    </row>
    <row r="203" spans="1:34">
      <c r="C203" s="114"/>
      <c r="D203" s="114"/>
      <c r="H203" s="114"/>
      <c r="J203" s="114"/>
      <c r="K203" s="114"/>
      <c r="O203" s="114"/>
    </row>
    <row r="204" spans="1:34">
      <c r="C204" s="114"/>
      <c r="D204" s="114"/>
      <c r="H204" s="114"/>
      <c r="J204" s="114"/>
      <c r="K204" s="114"/>
      <c r="O204" s="114"/>
    </row>
    <row r="205" spans="1:34">
      <c r="C205" s="114"/>
      <c r="D205" s="114"/>
      <c r="H205" s="114"/>
      <c r="J205" s="114"/>
      <c r="K205" s="114"/>
      <c r="O205" s="114"/>
    </row>
    <row r="206" spans="1:34">
      <c r="C206" s="114"/>
      <c r="D206" s="114"/>
      <c r="H206" s="114"/>
      <c r="J206" s="114"/>
      <c r="K206" s="114"/>
      <c r="O206" s="114"/>
      <c r="R206" s="20"/>
    </row>
    <row r="207" spans="1:34">
      <c r="C207" s="114"/>
      <c r="D207" s="114"/>
      <c r="H207" s="114"/>
      <c r="J207" s="114"/>
      <c r="K207" s="114"/>
      <c r="O207" s="114"/>
    </row>
    <row r="208" spans="1:34">
      <c r="C208" s="114"/>
      <c r="D208" s="114"/>
      <c r="H208" s="114"/>
      <c r="J208" s="114"/>
      <c r="K208" s="114"/>
      <c r="O208" s="114"/>
    </row>
    <row r="209" spans="3:19">
      <c r="C209" s="114"/>
      <c r="D209" s="114"/>
      <c r="H209" s="114"/>
      <c r="J209" s="114"/>
      <c r="K209" s="114"/>
      <c r="O209" s="114"/>
    </row>
    <row r="210" spans="3:19">
      <c r="C210" s="114"/>
      <c r="D210" s="114"/>
      <c r="H210" s="114"/>
      <c r="J210" s="114"/>
      <c r="K210" s="114"/>
      <c r="O210" s="114"/>
    </row>
    <row r="211" spans="3:19">
      <c r="C211" s="114"/>
      <c r="D211" s="114"/>
      <c r="H211" s="114"/>
      <c r="J211" s="114"/>
      <c r="K211" s="114"/>
      <c r="O211" s="114"/>
    </row>
    <row r="212" spans="3:19">
      <c r="C212" s="114"/>
      <c r="D212" s="114"/>
      <c r="H212" s="114"/>
      <c r="J212" s="114"/>
      <c r="K212" s="114"/>
      <c r="O212" s="114"/>
    </row>
    <row r="213" spans="3:19">
      <c r="C213" s="114"/>
      <c r="D213" s="114"/>
      <c r="H213" s="114"/>
      <c r="J213" s="114"/>
      <c r="K213" s="114"/>
      <c r="O213" s="114"/>
      <c r="S213" s="20"/>
    </row>
    <row r="214" spans="3:19">
      <c r="C214" s="114"/>
      <c r="D214" s="114"/>
      <c r="H214" s="114"/>
      <c r="J214" s="114"/>
      <c r="K214" s="114"/>
      <c r="O214" s="114"/>
    </row>
    <row r="215" spans="3:19">
      <c r="C215" s="114"/>
      <c r="D215" s="114"/>
      <c r="H215" s="114"/>
      <c r="J215" s="114"/>
      <c r="K215" s="114"/>
      <c r="O215" s="114"/>
      <c r="R215" s="20"/>
    </row>
    <row r="216" spans="3:19">
      <c r="C216" s="114"/>
      <c r="D216" s="114"/>
      <c r="H216" s="114"/>
      <c r="J216" s="114"/>
      <c r="K216" s="114"/>
      <c r="O216" s="114"/>
    </row>
    <row r="217" spans="3:19">
      <c r="C217" s="114"/>
      <c r="D217" s="114"/>
      <c r="H217" s="114"/>
      <c r="J217" s="114"/>
      <c r="K217" s="114"/>
      <c r="O217" s="114"/>
    </row>
    <row r="218" spans="3:19">
      <c r="C218" s="114"/>
      <c r="D218" s="114"/>
      <c r="H218" s="114"/>
      <c r="J218" s="114"/>
      <c r="K218" s="114"/>
      <c r="O218" s="114"/>
    </row>
    <row r="219" spans="3:19">
      <c r="C219" s="114"/>
      <c r="D219" s="114"/>
      <c r="H219" s="114"/>
      <c r="J219" s="114"/>
      <c r="K219" s="114"/>
      <c r="O219" s="114"/>
    </row>
    <row r="220" spans="3:19">
      <c r="C220" s="114"/>
      <c r="D220" s="114"/>
      <c r="H220" s="114"/>
      <c r="J220" s="114"/>
      <c r="K220" s="114"/>
      <c r="O220" s="114"/>
    </row>
    <row r="221" spans="3:19">
      <c r="C221" s="114"/>
      <c r="D221" s="114"/>
      <c r="H221" s="114"/>
      <c r="J221" s="114"/>
      <c r="K221" s="114"/>
      <c r="O221" s="114"/>
      <c r="R221" s="20"/>
    </row>
    <row r="222" spans="3:19">
      <c r="C222" s="114"/>
      <c r="D222" s="114"/>
      <c r="H222" s="114"/>
      <c r="J222" s="114"/>
      <c r="K222" s="114"/>
      <c r="O222" s="114"/>
      <c r="R222" s="20"/>
    </row>
    <row r="223" spans="3:19">
      <c r="C223" s="114"/>
      <c r="D223" s="114"/>
      <c r="H223" s="114"/>
      <c r="J223" s="114"/>
      <c r="K223" s="114"/>
      <c r="O223" s="114"/>
    </row>
    <row r="224" spans="3:19">
      <c r="C224" s="114"/>
      <c r="D224" s="114"/>
      <c r="H224" s="114"/>
      <c r="J224" s="114"/>
      <c r="K224" s="114"/>
      <c r="O224" s="114"/>
    </row>
    <row r="225" spans="3:19">
      <c r="C225" s="114"/>
      <c r="D225" s="114"/>
      <c r="H225" s="114"/>
      <c r="J225" s="114"/>
      <c r="K225" s="114"/>
      <c r="O225" s="114"/>
      <c r="R225" s="20"/>
    </row>
    <row r="226" spans="3:19">
      <c r="C226" s="114"/>
      <c r="D226" s="114"/>
      <c r="H226" s="114"/>
      <c r="J226" s="114"/>
      <c r="K226" s="114"/>
      <c r="O226" s="114"/>
    </row>
    <row r="227" spans="3:19">
      <c r="C227" s="114"/>
      <c r="D227" s="114"/>
      <c r="H227" s="114"/>
      <c r="J227" s="114"/>
      <c r="K227" s="114"/>
      <c r="O227" s="114"/>
    </row>
    <row r="228" spans="3:19">
      <c r="C228" s="114"/>
      <c r="D228" s="114"/>
      <c r="H228" s="114"/>
      <c r="J228" s="114"/>
      <c r="K228" s="114"/>
      <c r="O228" s="114"/>
    </row>
    <row r="229" spans="3:19">
      <c r="C229" s="114"/>
      <c r="D229" s="114"/>
      <c r="H229" s="114"/>
      <c r="J229" s="114"/>
      <c r="K229" s="114"/>
      <c r="O229" s="114"/>
    </row>
    <row r="230" spans="3:19">
      <c r="C230" s="114"/>
      <c r="D230" s="114"/>
      <c r="H230" s="114"/>
      <c r="J230" s="114"/>
      <c r="K230" s="114"/>
      <c r="O230" s="114"/>
    </row>
    <row r="231" spans="3:19">
      <c r="C231" s="114"/>
      <c r="D231" s="114"/>
      <c r="H231" s="114"/>
      <c r="J231" s="114"/>
      <c r="K231" s="114"/>
      <c r="O231" s="114"/>
    </row>
    <row r="232" spans="3:19">
      <c r="C232" s="114"/>
      <c r="D232" s="114"/>
      <c r="H232" s="114"/>
      <c r="J232" s="114"/>
      <c r="K232" s="114"/>
      <c r="O232" s="114"/>
    </row>
    <row r="233" spans="3:19">
      <c r="C233" s="114"/>
      <c r="D233" s="114"/>
      <c r="H233" s="114"/>
      <c r="J233" s="114"/>
      <c r="K233" s="114"/>
      <c r="O233" s="114"/>
      <c r="R233" s="20"/>
    </row>
    <row r="234" spans="3:19">
      <c r="C234" s="114"/>
      <c r="D234" s="114"/>
      <c r="H234" s="114"/>
      <c r="J234" s="114"/>
      <c r="K234" s="114"/>
      <c r="O234" s="114"/>
    </row>
    <row r="235" spans="3:19">
      <c r="C235" s="114"/>
      <c r="D235" s="114"/>
      <c r="H235" s="114"/>
      <c r="J235" s="114"/>
      <c r="K235" s="114"/>
      <c r="O235" s="114"/>
    </row>
    <row r="236" spans="3:19">
      <c r="C236" s="114"/>
      <c r="D236" s="114"/>
      <c r="H236" s="114"/>
      <c r="J236" s="114"/>
      <c r="K236" s="114"/>
      <c r="O236" s="114"/>
    </row>
    <row r="237" spans="3:19">
      <c r="C237" s="114"/>
      <c r="D237" s="114"/>
      <c r="H237" s="114"/>
      <c r="J237" s="114"/>
      <c r="K237" s="114"/>
      <c r="O237" s="114"/>
      <c r="R237" s="20"/>
      <c r="S237" s="20"/>
    </row>
    <row r="238" spans="3:19">
      <c r="C238" s="114"/>
      <c r="D238" s="114"/>
      <c r="H238" s="114"/>
      <c r="J238" s="114"/>
      <c r="K238" s="114"/>
      <c r="O238" s="114"/>
    </row>
    <row r="239" spans="3:19">
      <c r="C239" s="114"/>
      <c r="D239" s="114"/>
      <c r="H239" s="114"/>
      <c r="J239" s="114"/>
      <c r="K239" s="114"/>
      <c r="O239" s="114"/>
    </row>
    <row r="240" spans="3:19">
      <c r="C240" s="114"/>
      <c r="D240" s="114"/>
      <c r="H240" s="114"/>
      <c r="J240" s="114"/>
      <c r="K240" s="114"/>
      <c r="O240" s="114"/>
      <c r="R240" s="20"/>
    </row>
    <row r="241" spans="3:19">
      <c r="C241" s="114"/>
      <c r="D241" s="114"/>
      <c r="H241" s="114"/>
      <c r="J241" s="114"/>
      <c r="K241" s="114"/>
      <c r="O241" s="114"/>
    </row>
    <row r="242" spans="3:19">
      <c r="C242" s="114"/>
      <c r="D242" s="114"/>
      <c r="H242" s="114"/>
      <c r="J242" s="114"/>
      <c r="K242" s="114"/>
      <c r="O242" s="114"/>
    </row>
    <row r="243" spans="3:19">
      <c r="C243" s="114"/>
      <c r="D243" s="114"/>
      <c r="H243" s="114"/>
      <c r="J243" s="114"/>
      <c r="K243" s="114"/>
      <c r="O243" s="114"/>
      <c r="R243" s="20"/>
    </row>
    <row r="244" spans="3:19">
      <c r="C244" s="114"/>
      <c r="D244" s="114"/>
      <c r="H244" s="114"/>
      <c r="J244" s="114"/>
      <c r="K244" s="114"/>
      <c r="O244" s="114"/>
      <c r="R244" s="20"/>
      <c r="S244" s="20"/>
    </row>
    <row r="245" spans="3:19">
      <c r="C245" s="114"/>
      <c r="D245" s="114"/>
      <c r="H245" s="114"/>
      <c r="J245" s="114"/>
      <c r="K245" s="114"/>
      <c r="O245" s="114"/>
    </row>
    <row r="246" spans="3:19">
      <c r="C246" s="114"/>
      <c r="D246" s="114"/>
      <c r="H246" s="114"/>
      <c r="J246" s="114"/>
      <c r="K246" s="114"/>
      <c r="O246" s="114"/>
    </row>
    <row r="247" spans="3:19">
      <c r="C247" s="114"/>
      <c r="D247" s="114"/>
      <c r="H247" s="114"/>
      <c r="J247" s="114"/>
      <c r="K247" s="114"/>
      <c r="O247" s="114"/>
    </row>
    <row r="248" spans="3:19">
      <c r="C248" s="114"/>
      <c r="D248" s="114"/>
      <c r="H248" s="114"/>
      <c r="J248" s="114"/>
      <c r="K248" s="114"/>
      <c r="O248" s="114"/>
    </row>
    <row r="249" spans="3:19">
      <c r="C249" s="114"/>
      <c r="D249" s="114"/>
      <c r="H249" s="114"/>
      <c r="J249" s="114"/>
      <c r="K249" s="114"/>
      <c r="O249" s="114"/>
    </row>
    <row r="250" spans="3:19">
      <c r="C250" s="114"/>
      <c r="D250" s="114"/>
      <c r="H250" s="114"/>
      <c r="J250" s="114"/>
      <c r="K250" s="114"/>
      <c r="O250" s="114"/>
    </row>
    <row r="251" spans="3:19">
      <c r="C251" s="114"/>
      <c r="D251" s="114"/>
      <c r="H251" s="114"/>
      <c r="J251" s="114"/>
      <c r="K251" s="114"/>
      <c r="O251" s="114"/>
    </row>
    <row r="252" spans="3:19">
      <c r="C252" s="114"/>
      <c r="D252" s="114"/>
      <c r="H252" s="114"/>
      <c r="J252" s="114"/>
      <c r="K252" s="114"/>
      <c r="O252" s="114"/>
    </row>
    <row r="253" spans="3:19">
      <c r="C253" s="114"/>
      <c r="D253" s="114"/>
      <c r="H253" s="114"/>
      <c r="J253" s="114"/>
      <c r="K253" s="114"/>
      <c r="O253" s="114"/>
    </row>
    <row r="254" spans="3:19">
      <c r="C254" s="114"/>
      <c r="D254" s="114"/>
      <c r="H254" s="114"/>
      <c r="J254" s="114"/>
      <c r="K254" s="114"/>
      <c r="O254" s="114"/>
    </row>
    <row r="255" spans="3:19">
      <c r="C255" s="114"/>
      <c r="D255" s="114"/>
      <c r="H255" s="114"/>
      <c r="J255" s="114"/>
      <c r="K255" s="114"/>
      <c r="O255" s="114"/>
    </row>
    <row r="256" spans="3:19">
      <c r="C256" s="114"/>
      <c r="D256" s="114"/>
      <c r="H256" s="114"/>
      <c r="J256" s="114"/>
      <c r="K256" s="114"/>
      <c r="O256" s="114"/>
    </row>
    <row r="257" spans="3:18">
      <c r="C257" s="114"/>
      <c r="D257" s="114"/>
      <c r="H257" s="114"/>
      <c r="J257" s="114"/>
      <c r="K257" s="114"/>
      <c r="O257" s="114"/>
      <c r="R257" s="20"/>
    </row>
    <row r="258" spans="3:18">
      <c r="C258" s="114"/>
      <c r="D258" s="114"/>
      <c r="H258" s="114"/>
      <c r="J258" s="114"/>
      <c r="K258" s="114"/>
      <c r="O258" s="114"/>
    </row>
    <row r="259" spans="3:18">
      <c r="C259" s="114"/>
      <c r="D259" s="114"/>
      <c r="H259" s="114"/>
      <c r="J259" s="114"/>
      <c r="K259" s="114"/>
      <c r="O259" s="114"/>
      <c r="R259" s="20"/>
    </row>
    <row r="260" spans="3:18">
      <c r="C260" s="114"/>
      <c r="D260" s="114"/>
      <c r="H260" s="114"/>
      <c r="J260" s="114"/>
      <c r="K260" s="114"/>
      <c r="O260" s="114"/>
    </row>
    <row r="261" spans="3:18">
      <c r="C261" s="114"/>
      <c r="D261" s="114"/>
      <c r="H261" s="114"/>
      <c r="J261" s="114"/>
      <c r="K261" s="114"/>
      <c r="O261" s="114"/>
    </row>
    <row r="262" spans="3:18">
      <c r="C262" s="114"/>
      <c r="D262" s="114"/>
      <c r="H262" s="114"/>
      <c r="J262" s="114"/>
      <c r="K262" s="114"/>
      <c r="O262" s="114"/>
      <c r="R262" s="20"/>
    </row>
    <row r="263" spans="3:18">
      <c r="C263" s="114"/>
      <c r="D263" s="114"/>
      <c r="H263" s="114"/>
      <c r="J263" s="114"/>
      <c r="K263" s="114"/>
      <c r="O263" s="114"/>
    </row>
    <row r="264" spans="3:18">
      <c r="C264" s="114"/>
      <c r="D264" s="114"/>
      <c r="H264" s="114"/>
      <c r="J264" s="114"/>
      <c r="K264" s="114"/>
      <c r="O264" s="114"/>
    </row>
    <row r="265" spans="3:18">
      <c r="C265" s="114"/>
      <c r="D265" s="114"/>
      <c r="H265" s="114"/>
      <c r="J265" s="114"/>
      <c r="K265" s="114"/>
      <c r="O265" s="114"/>
    </row>
    <row r="266" spans="3:18">
      <c r="C266" s="114"/>
      <c r="D266" s="114"/>
      <c r="H266" s="114"/>
      <c r="J266" s="114"/>
      <c r="K266" s="114"/>
      <c r="O266" s="114"/>
    </row>
    <row r="267" spans="3:18">
      <c r="C267" s="114"/>
      <c r="D267" s="114"/>
      <c r="H267" s="114"/>
      <c r="J267" s="114"/>
      <c r="K267" s="114"/>
      <c r="O267" s="114"/>
    </row>
    <row r="268" spans="3:18">
      <c r="C268" s="114"/>
      <c r="D268" s="114"/>
      <c r="H268" s="114"/>
      <c r="J268" s="114"/>
      <c r="K268" s="114"/>
      <c r="O268" s="114"/>
    </row>
    <row r="269" spans="3:18">
      <c r="C269" s="114"/>
      <c r="D269" s="114"/>
      <c r="H269" s="114"/>
      <c r="J269" s="114"/>
      <c r="K269" s="114"/>
      <c r="O269" s="114"/>
    </row>
    <row r="270" spans="3:18">
      <c r="C270" s="114"/>
      <c r="D270" s="114"/>
      <c r="H270" s="114"/>
      <c r="J270" s="114"/>
      <c r="K270" s="114"/>
      <c r="O270" s="114"/>
    </row>
    <row r="271" spans="3:18">
      <c r="C271" s="114"/>
      <c r="D271" s="114"/>
      <c r="H271" s="114"/>
      <c r="J271" s="114"/>
      <c r="K271" s="114"/>
      <c r="O271" s="114"/>
    </row>
    <row r="272" spans="3:18">
      <c r="C272" s="114"/>
      <c r="D272" s="114"/>
      <c r="H272" s="114"/>
      <c r="J272" s="114"/>
      <c r="K272" s="114"/>
      <c r="O272" s="114"/>
    </row>
    <row r="273" spans="3:18">
      <c r="C273" s="114"/>
      <c r="D273" s="114"/>
      <c r="H273" s="114"/>
      <c r="J273" s="114"/>
      <c r="K273" s="114"/>
      <c r="O273" s="114"/>
    </row>
    <row r="274" spans="3:18">
      <c r="C274" s="114"/>
      <c r="D274" s="114"/>
      <c r="H274" s="114"/>
      <c r="J274" s="114"/>
      <c r="K274" s="114"/>
      <c r="O274" s="114"/>
    </row>
    <row r="275" spans="3:18">
      <c r="C275" s="114"/>
      <c r="D275" s="114"/>
      <c r="H275" s="114"/>
      <c r="J275" s="114"/>
      <c r="K275" s="114"/>
      <c r="O275" s="114"/>
    </row>
    <row r="276" spans="3:18">
      <c r="C276" s="114"/>
      <c r="D276" s="114"/>
      <c r="H276" s="114"/>
      <c r="J276" s="114"/>
      <c r="K276" s="114"/>
      <c r="O276" s="114"/>
    </row>
    <row r="277" spans="3:18">
      <c r="C277" s="114"/>
      <c r="D277" s="114"/>
      <c r="H277" s="114"/>
      <c r="J277" s="114"/>
      <c r="K277" s="114"/>
      <c r="O277" s="114"/>
    </row>
    <row r="278" spans="3:18">
      <c r="C278" s="114"/>
      <c r="D278" s="114"/>
      <c r="H278" s="114"/>
      <c r="J278" s="114"/>
      <c r="K278" s="114"/>
      <c r="O278" s="114"/>
    </row>
    <row r="279" spans="3:18">
      <c r="C279" s="114"/>
      <c r="D279" s="114"/>
      <c r="H279" s="114"/>
      <c r="J279" s="114"/>
      <c r="K279" s="114"/>
      <c r="O279" s="114"/>
    </row>
    <row r="280" spans="3:18">
      <c r="C280" s="114"/>
      <c r="D280" s="114"/>
      <c r="H280" s="114"/>
      <c r="J280" s="114"/>
      <c r="K280" s="114"/>
      <c r="O280" s="114"/>
    </row>
    <row r="281" spans="3:18">
      <c r="C281" s="114"/>
      <c r="D281" s="114"/>
      <c r="H281" s="114"/>
      <c r="J281" s="114"/>
      <c r="K281" s="114"/>
      <c r="O281" s="114"/>
      <c r="R281" s="20"/>
    </row>
    <row r="282" spans="3:18">
      <c r="C282" s="114"/>
      <c r="D282" s="114"/>
      <c r="H282" s="114"/>
      <c r="J282" s="114"/>
      <c r="K282" s="114"/>
      <c r="O282" s="114"/>
    </row>
    <row r="283" spans="3:18">
      <c r="C283" s="114"/>
      <c r="D283" s="114"/>
      <c r="H283" s="114"/>
      <c r="J283" s="114"/>
      <c r="K283" s="114"/>
      <c r="O283" s="114"/>
    </row>
    <row r="284" spans="3:18">
      <c r="C284" s="114"/>
      <c r="D284" s="114"/>
      <c r="H284" s="114"/>
      <c r="J284" s="114"/>
      <c r="K284" s="114"/>
      <c r="O284" s="114"/>
    </row>
    <row r="285" spans="3:18">
      <c r="C285" s="114"/>
      <c r="D285" s="114"/>
      <c r="H285" s="114"/>
      <c r="J285" s="114"/>
      <c r="K285" s="114"/>
      <c r="O285" s="114"/>
    </row>
    <row r="286" spans="3:18">
      <c r="C286" s="114"/>
      <c r="D286" s="114"/>
      <c r="H286" s="114"/>
      <c r="J286" s="114"/>
      <c r="K286" s="114"/>
      <c r="O286" s="114"/>
    </row>
    <row r="287" spans="3:18">
      <c r="C287" s="114"/>
      <c r="D287" s="114"/>
      <c r="H287" s="114"/>
      <c r="J287" s="114"/>
      <c r="K287" s="114"/>
      <c r="O287" s="114"/>
    </row>
    <row r="288" spans="3:18">
      <c r="C288" s="114"/>
      <c r="D288" s="114"/>
      <c r="H288" s="114"/>
      <c r="J288" s="114"/>
      <c r="K288" s="114"/>
      <c r="O288" s="114"/>
    </row>
    <row r="289" spans="3:19">
      <c r="C289" s="114"/>
      <c r="D289" s="114"/>
      <c r="H289" s="114"/>
      <c r="J289" s="114"/>
      <c r="K289" s="114"/>
      <c r="O289" s="114"/>
    </row>
    <row r="290" spans="3:19">
      <c r="C290" s="114"/>
      <c r="D290" s="114"/>
      <c r="H290" s="114"/>
      <c r="J290" s="114"/>
      <c r="K290" s="114"/>
      <c r="O290" s="114"/>
    </row>
    <row r="291" spans="3:19">
      <c r="C291" s="114"/>
      <c r="D291" s="114"/>
      <c r="H291" s="114"/>
      <c r="J291" s="114"/>
      <c r="K291" s="114"/>
      <c r="O291" s="114"/>
    </row>
    <row r="292" spans="3:19">
      <c r="C292" s="114"/>
      <c r="D292" s="114"/>
      <c r="H292" s="114"/>
      <c r="J292" s="114"/>
      <c r="K292" s="114"/>
      <c r="O292" s="114"/>
    </row>
    <row r="293" spans="3:19">
      <c r="C293" s="114"/>
      <c r="D293" s="114"/>
      <c r="H293" s="114"/>
      <c r="J293" s="114"/>
      <c r="K293" s="114"/>
      <c r="O293" s="114"/>
    </row>
    <row r="294" spans="3:19">
      <c r="C294" s="114"/>
      <c r="D294" s="114"/>
      <c r="H294" s="114"/>
      <c r="J294" s="114"/>
      <c r="K294" s="114"/>
      <c r="O294" s="114"/>
    </row>
    <row r="295" spans="3:19">
      <c r="C295" s="114"/>
      <c r="D295" s="114"/>
      <c r="H295" s="114"/>
      <c r="J295" s="114"/>
      <c r="K295" s="114"/>
      <c r="O295" s="114"/>
    </row>
    <row r="296" spans="3:19">
      <c r="C296" s="114"/>
      <c r="D296" s="114"/>
      <c r="H296" s="114"/>
      <c r="J296" s="114"/>
      <c r="K296" s="114"/>
      <c r="O296" s="114"/>
      <c r="R296" s="20"/>
    </row>
    <row r="297" spans="3:19">
      <c r="C297" s="114"/>
      <c r="D297" s="114"/>
      <c r="H297" s="114"/>
      <c r="J297" s="114"/>
      <c r="K297" s="114"/>
      <c r="O297" s="114"/>
      <c r="R297" s="20"/>
    </row>
    <row r="298" spans="3:19">
      <c r="C298" s="114"/>
      <c r="D298" s="114"/>
      <c r="H298" s="114"/>
      <c r="J298" s="114"/>
      <c r="K298" s="114"/>
      <c r="O298" s="114"/>
    </row>
    <row r="299" spans="3:19">
      <c r="C299" s="114"/>
      <c r="D299" s="114"/>
      <c r="H299" s="114"/>
      <c r="J299" s="114"/>
      <c r="K299" s="114"/>
      <c r="O299" s="114"/>
    </row>
    <row r="300" spans="3:19">
      <c r="C300" s="114"/>
      <c r="D300" s="114"/>
      <c r="H300" s="114"/>
      <c r="J300" s="114"/>
      <c r="K300" s="114"/>
      <c r="O300" s="114"/>
    </row>
    <row r="301" spans="3:19">
      <c r="C301" s="114"/>
      <c r="D301" s="114"/>
      <c r="H301" s="114"/>
      <c r="J301" s="114"/>
      <c r="K301" s="114"/>
      <c r="O301" s="114"/>
      <c r="S301" s="20"/>
    </row>
    <row r="302" spans="3:19">
      <c r="C302" s="114"/>
      <c r="D302" s="114"/>
      <c r="H302" s="114"/>
      <c r="J302" s="114"/>
      <c r="K302" s="114"/>
      <c r="O302" s="114"/>
    </row>
    <row r="303" spans="3:19">
      <c r="C303" s="114"/>
      <c r="D303" s="114"/>
      <c r="H303" s="114"/>
      <c r="J303" s="114"/>
      <c r="K303" s="114"/>
      <c r="O303" s="114"/>
    </row>
    <row r="304" spans="3:19">
      <c r="C304" s="114"/>
      <c r="D304" s="114"/>
      <c r="H304" s="114"/>
      <c r="J304" s="114"/>
      <c r="K304" s="114"/>
      <c r="O304" s="114"/>
    </row>
    <row r="305" spans="3:19">
      <c r="C305" s="114"/>
      <c r="D305" s="114"/>
      <c r="H305" s="114"/>
      <c r="J305" s="114"/>
      <c r="K305" s="114"/>
      <c r="O305" s="114"/>
    </row>
    <row r="306" spans="3:19">
      <c r="C306" s="114"/>
      <c r="D306" s="114"/>
      <c r="H306" s="114"/>
      <c r="J306" s="114"/>
      <c r="K306" s="114"/>
      <c r="O306" s="114"/>
      <c r="S306" s="20"/>
    </row>
    <row r="307" spans="3:19">
      <c r="C307" s="114"/>
      <c r="D307" s="114"/>
      <c r="H307" s="114"/>
      <c r="J307" s="114"/>
      <c r="K307" s="114"/>
      <c r="O307" s="114"/>
    </row>
    <row r="308" spans="3:19">
      <c r="C308" s="114"/>
      <c r="D308" s="114"/>
      <c r="H308" s="114"/>
      <c r="J308" s="114"/>
      <c r="K308" s="114"/>
      <c r="O308" s="114"/>
    </row>
    <row r="309" spans="3:19">
      <c r="C309" s="114"/>
      <c r="D309" s="114"/>
      <c r="H309" s="114"/>
      <c r="J309" s="114"/>
      <c r="K309" s="114"/>
      <c r="O309" s="114"/>
    </row>
    <row r="310" spans="3:19">
      <c r="C310" s="114"/>
      <c r="D310" s="114"/>
      <c r="H310" s="114"/>
      <c r="J310" s="114"/>
      <c r="K310" s="114"/>
      <c r="O310" s="114"/>
    </row>
    <row r="311" spans="3:19">
      <c r="C311" s="114"/>
      <c r="D311" s="114"/>
      <c r="H311" s="114"/>
      <c r="J311" s="114"/>
      <c r="K311" s="114"/>
      <c r="O311" s="114"/>
    </row>
    <row r="312" spans="3:19">
      <c r="C312" s="114"/>
      <c r="D312" s="114"/>
      <c r="H312" s="114"/>
      <c r="J312" s="114"/>
      <c r="K312" s="114"/>
      <c r="O312" s="114"/>
    </row>
    <row r="313" spans="3:19">
      <c r="C313" s="114"/>
      <c r="D313" s="114"/>
      <c r="H313" s="114"/>
      <c r="J313" s="114"/>
      <c r="K313" s="114"/>
      <c r="O313" s="114"/>
    </row>
    <row r="314" spans="3:19">
      <c r="C314" s="114"/>
      <c r="D314" s="114"/>
      <c r="H314" s="114"/>
      <c r="J314" s="114"/>
      <c r="K314" s="114"/>
      <c r="O314" s="114"/>
    </row>
    <row r="315" spans="3:19">
      <c r="C315" s="114"/>
      <c r="D315" s="114"/>
      <c r="H315" s="114"/>
      <c r="J315" s="114"/>
      <c r="K315" s="114"/>
      <c r="O315" s="114"/>
    </row>
    <row r="316" spans="3:19">
      <c r="C316" s="114"/>
      <c r="D316" s="114"/>
      <c r="H316" s="114"/>
      <c r="J316" s="114"/>
      <c r="K316" s="114"/>
      <c r="O316" s="114"/>
    </row>
    <row r="317" spans="3:19">
      <c r="C317" s="114"/>
      <c r="D317" s="114"/>
      <c r="H317" s="114"/>
      <c r="J317" s="114"/>
      <c r="K317" s="114"/>
      <c r="O317" s="114"/>
    </row>
    <row r="318" spans="3:19">
      <c r="C318" s="114"/>
      <c r="D318" s="114"/>
      <c r="H318" s="114"/>
      <c r="J318" s="114"/>
      <c r="K318" s="114"/>
      <c r="O318" s="114"/>
    </row>
    <row r="319" spans="3:19">
      <c r="C319" s="114"/>
      <c r="D319" s="114"/>
      <c r="H319" s="114"/>
      <c r="J319" s="114"/>
      <c r="K319" s="114"/>
      <c r="O319" s="114"/>
    </row>
    <row r="320" spans="3:19">
      <c r="C320" s="114"/>
      <c r="D320" s="114"/>
      <c r="H320" s="114"/>
      <c r="J320" s="114"/>
      <c r="K320" s="114"/>
      <c r="O320" s="114"/>
    </row>
    <row r="321" spans="3:18">
      <c r="C321" s="114"/>
      <c r="D321" s="114"/>
      <c r="H321" s="114"/>
      <c r="J321" s="114"/>
      <c r="K321" s="114"/>
      <c r="O321" s="114"/>
      <c r="R321" s="20"/>
    </row>
    <row r="322" spans="3:18">
      <c r="C322" s="114"/>
      <c r="D322" s="114"/>
      <c r="H322" s="114"/>
      <c r="J322" s="114"/>
      <c r="K322" s="114"/>
      <c r="O322" s="114"/>
    </row>
    <row r="323" spans="3:18">
      <c r="C323" s="114"/>
      <c r="D323" s="114"/>
      <c r="H323" s="114"/>
      <c r="J323" s="114"/>
      <c r="K323" s="114"/>
      <c r="O323" s="114"/>
    </row>
    <row r="324" spans="3:18">
      <c r="C324" s="114"/>
      <c r="D324" s="114"/>
      <c r="H324" s="114"/>
      <c r="J324" s="114"/>
      <c r="K324" s="114"/>
      <c r="O324" s="114"/>
    </row>
    <row r="325" spans="3:18">
      <c r="C325" s="114"/>
      <c r="D325" s="114"/>
      <c r="H325" s="114"/>
      <c r="J325" s="114"/>
      <c r="K325" s="114"/>
      <c r="O325" s="114"/>
    </row>
    <row r="326" spans="3:18">
      <c r="C326" s="114"/>
      <c r="D326" s="114"/>
      <c r="H326" s="114"/>
      <c r="J326" s="114"/>
      <c r="K326" s="114"/>
      <c r="O326" s="114"/>
    </row>
    <row r="327" spans="3:18">
      <c r="C327" s="114"/>
      <c r="D327" s="114"/>
      <c r="H327" s="114"/>
      <c r="J327" s="114"/>
      <c r="K327" s="114"/>
      <c r="O327" s="114"/>
    </row>
    <row r="328" spans="3:18">
      <c r="C328" s="114"/>
      <c r="D328" s="114"/>
      <c r="H328" s="114"/>
      <c r="J328" s="114"/>
      <c r="K328" s="114"/>
      <c r="O328" s="114"/>
    </row>
    <row r="329" spans="3:18">
      <c r="C329" s="114"/>
      <c r="D329" s="114"/>
      <c r="H329" s="114"/>
      <c r="J329" s="114"/>
      <c r="K329" s="114"/>
      <c r="O329" s="114"/>
    </row>
    <row r="330" spans="3:18">
      <c r="C330" s="114"/>
      <c r="D330" s="114"/>
      <c r="H330" s="114"/>
      <c r="J330" s="114"/>
      <c r="K330" s="114"/>
      <c r="O330" s="114"/>
    </row>
    <row r="331" spans="3:18">
      <c r="C331" s="114"/>
      <c r="D331" s="114"/>
      <c r="H331" s="114"/>
      <c r="J331" s="114"/>
      <c r="K331" s="114"/>
      <c r="O331" s="114"/>
    </row>
    <row r="332" spans="3:18">
      <c r="C332" s="114"/>
      <c r="D332" s="114"/>
      <c r="H332" s="114"/>
      <c r="J332" s="114"/>
      <c r="K332" s="114"/>
      <c r="O332" s="114"/>
    </row>
    <row r="333" spans="3:18">
      <c r="C333" s="114"/>
      <c r="D333" s="114"/>
      <c r="H333" s="114"/>
      <c r="J333" s="114"/>
      <c r="K333" s="114"/>
      <c r="O333" s="114"/>
    </row>
    <row r="334" spans="3:18">
      <c r="C334" s="114"/>
      <c r="D334" s="114"/>
      <c r="H334" s="114"/>
      <c r="J334" s="114"/>
      <c r="K334" s="114"/>
      <c r="O334" s="114"/>
    </row>
    <row r="335" spans="3:18">
      <c r="C335" s="114"/>
      <c r="D335" s="114"/>
      <c r="H335" s="114"/>
      <c r="J335" s="114"/>
      <c r="K335" s="114"/>
      <c r="O335" s="114"/>
    </row>
    <row r="336" spans="3:18">
      <c r="C336" s="114"/>
      <c r="D336" s="114"/>
      <c r="H336" s="114"/>
      <c r="J336" s="114"/>
      <c r="K336" s="114"/>
      <c r="O336" s="114"/>
      <c r="R336" s="20"/>
    </row>
    <row r="337" spans="3:18">
      <c r="C337" s="114"/>
      <c r="D337" s="114"/>
      <c r="H337" s="114"/>
      <c r="J337" s="114"/>
      <c r="K337" s="114"/>
      <c r="O337" s="114"/>
    </row>
    <row r="338" spans="3:18">
      <c r="C338" s="114"/>
      <c r="D338" s="114"/>
      <c r="H338" s="114"/>
      <c r="J338" s="114"/>
      <c r="K338" s="114"/>
      <c r="O338" s="114"/>
    </row>
    <row r="339" spans="3:18">
      <c r="C339" s="114"/>
      <c r="D339" s="114"/>
      <c r="H339" s="114"/>
      <c r="J339" s="114"/>
      <c r="K339" s="114"/>
      <c r="O339" s="114"/>
    </row>
    <row r="340" spans="3:18">
      <c r="C340" s="114"/>
      <c r="D340" s="114"/>
      <c r="H340" s="114"/>
      <c r="J340" s="114"/>
      <c r="K340" s="114"/>
      <c r="O340" s="114"/>
    </row>
    <row r="341" spans="3:18">
      <c r="C341" s="114"/>
      <c r="D341" s="114"/>
      <c r="H341" s="114"/>
      <c r="J341" s="114"/>
      <c r="K341" s="114"/>
      <c r="O341" s="114"/>
      <c r="R341" s="20"/>
    </row>
    <row r="342" spans="3:18">
      <c r="C342" s="114"/>
      <c r="D342" s="114"/>
      <c r="H342" s="114"/>
      <c r="J342" s="114"/>
      <c r="K342" s="114"/>
      <c r="O342" s="114"/>
    </row>
    <row r="343" spans="3:18">
      <c r="C343" s="114"/>
      <c r="D343" s="114"/>
      <c r="H343" s="114"/>
      <c r="J343" s="114"/>
      <c r="K343" s="114"/>
      <c r="O343" s="114"/>
    </row>
    <row r="344" spans="3:18">
      <c r="C344" s="114"/>
      <c r="D344" s="114"/>
      <c r="H344" s="114"/>
      <c r="J344" s="114"/>
      <c r="K344" s="114"/>
      <c r="O344" s="114"/>
    </row>
    <row r="345" spans="3:18">
      <c r="C345" s="114"/>
      <c r="D345" s="114"/>
      <c r="H345" s="114"/>
      <c r="J345" s="114"/>
      <c r="K345" s="114"/>
      <c r="O345" s="114"/>
    </row>
    <row r="346" spans="3:18">
      <c r="C346" s="114"/>
      <c r="D346" s="114"/>
      <c r="H346" s="114"/>
      <c r="J346" s="114"/>
      <c r="K346" s="114"/>
      <c r="O346" s="114"/>
    </row>
    <row r="347" spans="3:18">
      <c r="C347" s="114"/>
      <c r="D347" s="114"/>
      <c r="H347" s="114"/>
      <c r="J347" s="114"/>
      <c r="K347" s="114"/>
      <c r="O347" s="114"/>
    </row>
    <row r="348" spans="3:18">
      <c r="C348" s="114"/>
      <c r="D348" s="114"/>
      <c r="H348" s="114"/>
      <c r="J348" s="114"/>
      <c r="K348" s="114"/>
      <c r="O348" s="114"/>
    </row>
    <row r="349" spans="3:18">
      <c r="C349" s="114"/>
      <c r="D349" s="114"/>
      <c r="H349" s="114"/>
      <c r="J349" s="114"/>
      <c r="K349" s="114"/>
      <c r="O349" s="114"/>
    </row>
    <row r="350" spans="3:18">
      <c r="C350" s="114"/>
      <c r="D350" s="114"/>
      <c r="H350" s="114"/>
      <c r="J350" s="114"/>
      <c r="K350" s="114"/>
      <c r="O350" s="114"/>
    </row>
    <row r="351" spans="3:18">
      <c r="C351" s="114"/>
      <c r="D351" s="114"/>
      <c r="H351" s="114"/>
      <c r="J351" s="114"/>
      <c r="K351" s="114"/>
      <c r="O351" s="114"/>
    </row>
    <row r="352" spans="3:18">
      <c r="C352" s="114"/>
      <c r="D352" s="114"/>
      <c r="H352" s="114"/>
      <c r="J352" s="114"/>
      <c r="K352" s="114"/>
      <c r="O352" s="114"/>
    </row>
    <row r="353" spans="3:15">
      <c r="C353" s="114"/>
      <c r="D353" s="114"/>
      <c r="H353" s="114"/>
      <c r="J353" s="114"/>
      <c r="K353" s="114"/>
      <c r="O353" s="114"/>
    </row>
    <row r="354" spans="3:15">
      <c r="C354" s="114"/>
      <c r="D354" s="114"/>
      <c r="H354" s="114"/>
      <c r="J354" s="114"/>
      <c r="K354" s="114"/>
      <c r="O354" s="114"/>
    </row>
    <row r="355" spans="3:15">
      <c r="C355" s="114"/>
      <c r="D355" s="114"/>
      <c r="H355" s="114"/>
      <c r="J355" s="114"/>
      <c r="K355" s="114"/>
      <c r="O355" s="114"/>
    </row>
    <row r="356" spans="3:15">
      <c r="C356" s="114"/>
      <c r="D356" s="114"/>
      <c r="H356" s="114"/>
      <c r="J356" s="114"/>
      <c r="K356" s="114"/>
      <c r="O356" s="114"/>
    </row>
    <row r="357" spans="3:15">
      <c r="C357" s="114"/>
      <c r="D357" s="114"/>
      <c r="H357" s="114"/>
      <c r="J357" s="114"/>
      <c r="K357" s="114"/>
      <c r="O357" s="114"/>
    </row>
    <row r="358" spans="3:15">
      <c r="C358" s="114"/>
      <c r="D358" s="114"/>
      <c r="H358" s="114"/>
      <c r="J358" s="114"/>
      <c r="K358" s="114"/>
      <c r="O358" s="114"/>
    </row>
    <row r="359" spans="3:15">
      <c r="C359" s="114"/>
      <c r="D359" s="114"/>
      <c r="H359" s="114"/>
      <c r="J359" s="114"/>
      <c r="K359" s="114"/>
      <c r="O359" s="114"/>
    </row>
    <row r="360" spans="3:15">
      <c r="C360" s="114"/>
      <c r="D360" s="114"/>
      <c r="H360" s="114"/>
      <c r="J360" s="114"/>
      <c r="K360" s="114"/>
      <c r="O360" s="114"/>
    </row>
    <row r="361" spans="3:15">
      <c r="C361" s="114"/>
      <c r="D361" s="114"/>
      <c r="H361" s="114"/>
      <c r="J361" s="114"/>
      <c r="K361" s="114"/>
      <c r="O361" s="114"/>
    </row>
    <row r="362" spans="3:15">
      <c r="C362" s="114"/>
      <c r="D362" s="114"/>
      <c r="H362" s="114"/>
      <c r="J362" s="114"/>
      <c r="K362" s="114"/>
      <c r="O362" s="114"/>
    </row>
    <row r="363" spans="3:15">
      <c r="C363" s="114"/>
      <c r="D363" s="114"/>
      <c r="H363" s="114"/>
      <c r="J363" s="114"/>
      <c r="K363" s="114"/>
      <c r="O363" s="114"/>
    </row>
    <row r="364" spans="3:15">
      <c r="C364" s="114"/>
      <c r="D364" s="114"/>
      <c r="H364" s="114"/>
      <c r="J364" s="114"/>
      <c r="K364" s="114"/>
      <c r="O364" s="114"/>
    </row>
    <row r="365" spans="3:15">
      <c r="C365" s="114"/>
      <c r="D365" s="114"/>
      <c r="H365" s="114"/>
      <c r="J365" s="114"/>
      <c r="K365" s="114"/>
      <c r="O365" s="114"/>
    </row>
    <row r="366" spans="3:15">
      <c r="C366" s="114"/>
      <c r="D366" s="114"/>
      <c r="H366" s="114"/>
      <c r="J366" s="114"/>
      <c r="K366" s="114"/>
      <c r="O366" s="114"/>
    </row>
    <row r="367" spans="3:15">
      <c r="C367" s="114"/>
      <c r="D367" s="114"/>
      <c r="H367" s="114"/>
      <c r="J367" s="114"/>
      <c r="K367" s="114"/>
      <c r="O367" s="114"/>
    </row>
    <row r="368" spans="3:15">
      <c r="C368" s="114"/>
      <c r="D368" s="114"/>
      <c r="H368" s="114"/>
      <c r="J368" s="114"/>
      <c r="K368" s="114"/>
      <c r="O368" s="114"/>
    </row>
    <row r="369" spans="3:19">
      <c r="C369" s="114"/>
      <c r="D369" s="114"/>
      <c r="H369" s="114"/>
      <c r="J369" s="114"/>
      <c r="K369" s="114"/>
      <c r="O369" s="114"/>
    </row>
    <row r="370" spans="3:19">
      <c r="C370" s="114"/>
      <c r="D370" s="114"/>
      <c r="H370" s="114"/>
      <c r="J370" s="114"/>
      <c r="K370" s="114"/>
      <c r="O370" s="114"/>
    </row>
    <row r="371" spans="3:19">
      <c r="C371" s="114"/>
      <c r="D371" s="114"/>
      <c r="H371" s="114"/>
      <c r="J371" s="114"/>
      <c r="K371" s="114"/>
      <c r="O371" s="114"/>
    </row>
    <row r="372" spans="3:19">
      <c r="C372" s="114"/>
      <c r="D372" s="114"/>
      <c r="H372" s="114"/>
      <c r="J372" s="114"/>
      <c r="K372" s="114"/>
      <c r="O372" s="114"/>
    </row>
    <row r="373" spans="3:19">
      <c r="C373" s="114"/>
      <c r="D373" s="114"/>
      <c r="H373" s="114"/>
      <c r="J373" s="114"/>
      <c r="K373" s="114"/>
      <c r="O373" s="114"/>
    </row>
    <row r="374" spans="3:19">
      <c r="C374" s="114"/>
      <c r="D374" s="114"/>
      <c r="H374" s="114"/>
      <c r="J374" s="114"/>
      <c r="K374" s="114"/>
      <c r="O374" s="114"/>
    </row>
    <row r="375" spans="3:19">
      <c r="C375" s="114"/>
      <c r="D375" s="114"/>
      <c r="H375" s="114"/>
      <c r="J375" s="114"/>
      <c r="K375" s="114"/>
      <c r="O375" s="114"/>
    </row>
    <row r="376" spans="3:19">
      <c r="C376" s="114"/>
      <c r="D376" s="114"/>
      <c r="H376" s="114"/>
      <c r="J376" s="114"/>
      <c r="K376" s="114"/>
      <c r="O376" s="114"/>
    </row>
    <row r="377" spans="3:19">
      <c r="C377" s="114"/>
      <c r="D377" s="114"/>
      <c r="H377" s="114"/>
      <c r="J377" s="114"/>
      <c r="K377" s="114"/>
      <c r="O377" s="114"/>
      <c r="S377" s="20"/>
    </row>
    <row r="378" spans="3:19">
      <c r="C378" s="114"/>
      <c r="D378" s="114"/>
      <c r="H378" s="114"/>
      <c r="J378" s="114"/>
      <c r="K378" s="114"/>
      <c r="O378" s="114"/>
    </row>
    <row r="379" spans="3:19">
      <c r="C379" s="114"/>
      <c r="D379" s="114"/>
      <c r="H379" s="114"/>
      <c r="J379" s="114"/>
      <c r="K379" s="114"/>
      <c r="O379" s="114"/>
      <c r="R379" s="20"/>
    </row>
    <row r="380" spans="3:19">
      <c r="C380" s="114"/>
      <c r="D380" s="114"/>
      <c r="H380" s="114"/>
      <c r="J380" s="114"/>
      <c r="K380" s="114"/>
      <c r="O380" s="114"/>
    </row>
    <row r="381" spans="3:19">
      <c r="C381" s="114"/>
      <c r="D381" s="114"/>
      <c r="H381" s="114"/>
      <c r="J381" s="114"/>
      <c r="K381" s="114"/>
      <c r="O381" s="114"/>
    </row>
    <row r="382" spans="3:19">
      <c r="C382" s="114"/>
      <c r="D382" s="114"/>
      <c r="H382" s="114"/>
      <c r="J382" s="114"/>
      <c r="K382" s="114"/>
      <c r="O382" s="114"/>
    </row>
    <row r="383" spans="3:19">
      <c r="C383" s="114"/>
      <c r="D383" s="114"/>
      <c r="H383" s="114"/>
      <c r="J383" s="114"/>
      <c r="K383" s="114"/>
      <c r="O383" s="114"/>
    </row>
    <row r="384" spans="3:19">
      <c r="C384" s="114"/>
      <c r="D384" s="114"/>
      <c r="H384" s="114"/>
      <c r="J384" s="114"/>
      <c r="K384" s="114"/>
      <c r="O384" s="114"/>
    </row>
    <row r="385" spans="3:19">
      <c r="C385" s="114"/>
      <c r="D385" s="114"/>
      <c r="H385" s="114"/>
      <c r="J385" s="114"/>
      <c r="K385" s="114"/>
      <c r="O385" s="114"/>
    </row>
    <row r="386" spans="3:19">
      <c r="C386" s="114"/>
      <c r="D386" s="114"/>
      <c r="H386" s="114"/>
      <c r="J386" s="114"/>
      <c r="K386" s="114"/>
      <c r="O386" s="114"/>
    </row>
    <row r="387" spans="3:19">
      <c r="C387" s="114"/>
      <c r="D387" s="114"/>
      <c r="H387" s="114"/>
      <c r="J387" s="114"/>
      <c r="K387" s="114"/>
      <c r="O387" s="114"/>
    </row>
    <row r="388" spans="3:19">
      <c r="C388" s="114"/>
      <c r="D388" s="114"/>
      <c r="H388" s="114"/>
      <c r="J388" s="114"/>
      <c r="K388" s="114"/>
      <c r="O388" s="114"/>
    </row>
    <row r="389" spans="3:19">
      <c r="C389" s="114"/>
      <c r="D389" s="114"/>
      <c r="H389" s="114"/>
      <c r="J389" s="114"/>
      <c r="K389" s="114"/>
      <c r="O389" s="114"/>
    </row>
    <row r="390" spans="3:19">
      <c r="C390" s="114"/>
      <c r="D390" s="114"/>
      <c r="H390" s="114"/>
      <c r="J390" s="114"/>
      <c r="K390" s="114"/>
      <c r="O390" s="114"/>
      <c r="R390" s="20"/>
    </row>
    <row r="391" spans="3:19">
      <c r="C391" s="114"/>
      <c r="D391" s="114"/>
      <c r="H391" s="114"/>
      <c r="J391" s="114"/>
      <c r="K391" s="114"/>
      <c r="O391" s="114"/>
    </row>
    <row r="392" spans="3:19">
      <c r="C392" s="114"/>
      <c r="D392" s="114"/>
      <c r="H392" s="114"/>
      <c r="J392" s="114"/>
      <c r="K392" s="114"/>
      <c r="O392" s="114"/>
    </row>
    <row r="393" spans="3:19">
      <c r="C393" s="114"/>
      <c r="D393" s="114"/>
      <c r="H393" s="114"/>
      <c r="J393" s="114"/>
      <c r="K393" s="114"/>
      <c r="O393" s="114"/>
    </row>
    <row r="394" spans="3:19">
      <c r="C394" s="114"/>
      <c r="D394" s="114"/>
      <c r="H394" s="114"/>
      <c r="J394" s="114"/>
      <c r="K394" s="114"/>
      <c r="O394" s="114"/>
    </row>
    <row r="395" spans="3:19">
      <c r="C395" s="114"/>
      <c r="D395" s="114"/>
      <c r="H395" s="114"/>
      <c r="J395" s="114"/>
      <c r="K395" s="114"/>
      <c r="O395" s="114"/>
    </row>
    <row r="396" spans="3:19">
      <c r="C396" s="114"/>
      <c r="D396" s="114"/>
      <c r="H396" s="114"/>
      <c r="J396" s="114"/>
      <c r="K396" s="114"/>
      <c r="O396" s="114"/>
    </row>
    <row r="397" spans="3:19">
      <c r="C397" s="114"/>
      <c r="D397" s="114"/>
      <c r="H397" s="114"/>
      <c r="J397" s="114"/>
      <c r="K397" s="114"/>
      <c r="O397" s="114"/>
    </row>
    <row r="398" spans="3:19">
      <c r="C398" s="114"/>
      <c r="D398" s="114"/>
      <c r="H398" s="114"/>
      <c r="J398" s="114"/>
      <c r="K398" s="114"/>
      <c r="O398" s="114"/>
      <c r="S398" s="20"/>
    </row>
    <row r="399" spans="3:19">
      <c r="C399" s="114"/>
      <c r="D399" s="114"/>
      <c r="H399" s="114"/>
      <c r="J399" s="114"/>
      <c r="K399" s="114"/>
      <c r="O399" s="114"/>
    </row>
    <row r="400" spans="3:19">
      <c r="C400" s="114"/>
      <c r="D400" s="114"/>
      <c r="H400" s="114"/>
      <c r="J400" s="114"/>
      <c r="K400" s="114"/>
      <c r="O400" s="114"/>
    </row>
    <row r="401" spans="3:15">
      <c r="C401" s="114"/>
      <c r="D401" s="114"/>
      <c r="H401" s="114"/>
      <c r="J401" s="114"/>
      <c r="K401" s="114"/>
      <c r="O401" s="114"/>
    </row>
    <row r="402" spans="3:15">
      <c r="C402" s="114"/>
      <c r="D402" s="114"/>
      <c r="H402" s="114"/>
      <c r="J402" s="114"/>
      <c r="K402" s="114"/>
      <c r="O402" s="114"/>
    </row>
    <row r="403" spans="3:15">
      <c r="C403" s="114"/>
      <c r="D403" s="114"/>
      <c r="H403" s="114"/>
      <c r="J403" s="114"/>
      <c r="K403" s="114"/>
      <c r="O403" s="114"/>
    </row>
    <row r="404" spans="3:15">
      <c r="C404" s="114"/>
      <c r="D404" s="114"/>
      <c r="H404" s="114"/>
      <c r="J404" s="114"/>
      <c r="K404" s="114"/>
      <c r="O404" s="114"/>
    </row>
    <row r="405" spans="3:15">
      <c r="C405" s="114"/>
      <c r="D405" s="114"/>
      <c r="H405" s="114"/>
      <c r="J405" s="114"/>
      <c r="K405" s="114"/>
      <c r="O405" s="114"/>
    </row>
    <row r="406" spans="3:15">
      <c r="C406" s="114"/>
      <c r="D406" s="114"/>
      <c r="H406" s="114"/>
      <c r="J406" s="114"/>
      <c r="K406" s="114"/>
      <c r="O406" s="114"/>
    </row>
    <row r="407" spans="3:15">
      <c r="C407" s="114"/>
      <c r="D407" s="114"/>
      <c r="H407" s="114"/>
      <c r="J407" s="114"/>
      <c r="K407" s="114"/>
      <c r="O407" s="114"/>
    </row>
    <row r="408" spans="3:15">
      <c r="C408" s="114"/>
      <c r="D408" s="114"/>
      <c r="H408" s="114"/>
      <c r="J408" s="114"/>
      <c r="K408" s="114"/>
      <c r="O408" s="114"/>
    </row>
    <row r="409" spans="3:15">
      <c r="C409" s="114"/>
      <c r="D409" s="114"/>
      <c r="H409" s="114"/>
      <c r="J409" s="114"/>
      <c r="K409" s="114"/>
      <c r="O409" s="114"/>
    </row>
    <row r="410" spans="3:15">
      <c r="C410" s="114"/>
      <c r="D410" s="114"/>
      <c r="H410" s="114"/>
      <c r="J410" s="114"/>
      <c r="K410" s="114"/>
      <c r="O410" s="114"/>
    </row>
    <row r="411" spans="3:15">
      <c r="C411" s="114"/>
      <c r="D411" s="114"/>
      <c r="H411" s="114"/>
      <c r="J411" s="114"/>
      <c r="K411" s="114"/>
      <c r="O411" s="114"/>
    </row>
    <row r="412" spans="3:15">
      <c r="C412" s="114"/>
      <c r="D412" s="114"/>
      <c r="H412" s="114"/>
      <c r="J412" s="114"/>
      <c r="K412" s="114"/>
      <c r="O412" s="114"/>
    </row>
    <row r="413" spans="3:15">
      <c r="C413" s="114"/>
      <c r="D413" s="114"/>
      <c r="H413" s="114"/>
      <c r="J413" s="114"/>
      <c r="K413" s="114"/>
      <c r="O413" s="114"/>
    </row>
    <row r="414" spans="3:15">
      <c r="C414" s="114"/>
      <c r="D414" s="114"/>
      <c r="H414" s="114"/>
      <c r="J414" s="114"/>
      <c r="K414" s="114"/>
      <c r="O414" s="114"/>
    </row>
    <row r="415" spans="3:15">
      <c r="C415" s="114"/>
      <c r="D415" s="114"/>
      <c r="H415" s="114"/>
      <c r="J415" s="114"/>
      <c r="K415" s="114"/>
      <c r="O415" s="114"/>
    </row>
    <row r="416" spans="3:15">
      <c r="C416" s="114"/>
      <c r="D416" s="114"/>
      <c r="H416" s="114"/>
      <c r="J416" s="114"/>
      <c r="K416" s="114"/>
      <c r="O416" s="114"/>
    </row>
    <row r="417" spans="3:15">
      <c r="C417" s="114"/>
      <c r="D417" s="114"/>
      <c r="H417" s="114"/>
      <c r="J417" s="114"/>
      <c r="K417" s="114"/>
      <c r="O417" s="114"/>
    </row>
    <row r="418" spans="3:15">
      <c r="C418" s="114"/>
      <c r="D418" s="114"/>
      <c r="H418" s="114"/>
      <c r="J418" s="114"/>
      <c r="K418" s="114"/>
      <c r="O418" s="114"/>
    </row>
    <row r="419" spans="3:15">
      <c r="C419" s="114"/>
      <c r="D419" s="114"/>
      <c r="H419" s="114"/>
      <c r="J419" s="114"/>
      <c r="K419" s="114"/>
      <c r="O419" s="114"/>
    </row>
    <row r="420" spans="3:15">
      <c r="C420" s="114"/>
      <c r="D420" s="114"/>
      <c r="H420" s="114"/>
      <c r="J420" s="114"/>
      <c r="K420" s="114"/>
      <c r="O420" s="114"/>
    </row>
    <row r="421" spans="3:15">
      <c r="C421" s="114"/>
      <c r="D421" s="114"/>
      <c r="H421" s="114"/>
      <c r="J421" s="114"/>
      <c r="K421" s="114"/>
      <c r="O421" s="114"/>
    </row>
    <row r="422" spans="3:15">
      <c r="C422" s="114"/>
      <c r="D422" s="114"/>
      <c r="H422" s="114"/>
      <c r="J422" s="114"/>
      <c r="K422" s="114"/>
      <c r="O422" s="114"/>
    </row>
    <row r="423" spans="3:15">
      <c r="C423" s="114"/>
      <c r="D423" s="114"/>
      <c r="H423" s="114"/>
      <c r="J423" s="114"/>
      <c r="K423" s="114"/>
      <c r="O423" s="114"/>
    </row>
    <row r="424" spans="3:15">
      <c r="C424" s="114"/>
      <c r="D424" s="114"/>
      <c r="H424" s="114"/>
      <c r="J424" s="114"/>
      <c r="K424" s="114"/>
      <c r="O424" s="114"/>
    </row>
    <row r="425" spans="3:15">
      <c r="C425" s="114"/>
      <c r="D425" s="114"/>
      <c r="H425" s="114"/>
      <c r="J425" s="114"/>
      <c r="K425" s="114"/>
      <c r="O425" s="114"/>
    </row>
    <row r="426" spans="3:15">
      <c r="C426" s="114"/>
      <c r="D426" s="114"/>
      <c r="H426" s="114"/>
      <c r="J426" s="114"/>
      <c r="K426" s="114"/>
      <c r="O426" s="114"/>
    </row>
    <row r="427" spans="3:15">
      <c r="C427" s="114"/>
      <c r="D427" s="114"/>
      <c r="H427" s="114"/>
      <c r="J427" s="114"/>
      <c r="K427" s="114"/>
      <c r="O427" s="114"/>
    </row>
    <row r="428" spans="3:15">
      <c r="C428" s="114"/>
      <c r="D428" s="114"/>
      <c r="H428" s="114"/>
      <c r="J428" s="114"/>
      <c r="K428" s="114"/>
      <c r="O428" s="114"/>
    </row>
    <row r="429" spans="3:15">
      <c r="C429" s="114"/>
      <c r="D429" s="114"/>
      <c r="H429" s="114"/>
      <c r="J429" s="114"/>
      <c r="K429" s="114"/>
      <c r="O429" s="114"/>
    </row>
    <row r="430" spans="3:15">
      <c r="C430" s="114"/>
      <c r="D430" s="114"/>
      <c r="H430" s="114"/>
      <c r="J430" s="114"/>
      <c r="K430" s="114"/>
      <c r="O430" s="114"/>
    </row>
    <row r="431" spans="3:15">
      <c r="C431" s="114"/>
      <c r="D431" s="114"/>
      <c r="H431" s="114"/>
      <c r="J431" s="114"/>
      <c r="K431" s="114"/>
      <c r="O431" s="114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K42" sqref="K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6"/>
  <dimension ref="A3:H59"/>
  <sheetViews>
    <sheetView workbookViewId="0">
      <selection activeCell="G11" sqref="G11"/>
    </sheetView>
  </sheetViews>
  <sheetFormatPr defaultRowHeight="14.25"/>
  <cols>
    <col min="1" max="1" width="27.125" customWidth="1"/>
    <col min="2" max="2" width="34.625" customWidth="1"/>
  </cols>
  <sheetData>
    <row r="3" spans="1:2" ht="15">
      <c r="A3" s="84" t="s">
        <v>210</v>
      </c>
    </row>
    <row r="4" spans="1:2">
      <c r="B4" s="1"/>
    </row>
    <row r="5" spans="1:2" ht="15.75" thickBot="1">
      <c r="A5" s="75" t="s">
        <v>211</v>
      </c>
    </row>
    <row r="6" spans="1:2" ht="15.75" thickBot="1">
      <c r="A6" s="77" t="s">
        <v>212</v>
      </c>
      <c r="B6" s="78" t="s">
        <v>213</v>
      </c>
    </row>
    <row r="7" spans="1:2" ht="15.75" thickBot="1">
      <c r="A7" s="79" t="s">
        <v>214</v>
      </c>
      <c r="B7" s="76" t="s">
        <v>215</v>
      </c>
    </row>
    <row r="8" spans="1:2" ht="15.75" thickBot="1">
      <c r="A8" s="79" t="s">
        <v>216</v>
      </c>
      <c r="B8" s="76" t="s">
        <v>217</v>
      </c>
    </row>
    <row r="9" spans="1:2" ht="15.75" thickBot="1">
      <c r="A9" s="79" t="s">
        <v>218</v>
      </c>
      <c r="B9" s="76" t="s">
        <v>219</v>
      </c>
    </row>
    <row r="10" spans="1:2" ht="15.75" thickBot="1">
      <c r="A10" s="79" t="s">
        <v>220</v>
      </c>
      <c r="B10" s="76" t="s">
        <v>221</v>
      </c>
    </row>
    <row r="11" spans="1:2" ht="15.75" thickBot="1">
      <c r="A11" s="80" t="s">
        <v>222</v>
      </c>
      <c r="B11" s="81" t="s">
        <v>223</v>
      </c>
    </row>
    <row r="12" spans="1:2" ht="15.75" thickBot="1">
      <c r="A12" s="82" t="s">
        <v>224</v>
      </c>
      <c r="B12" s="83" t="s">
        <v>225</v>
      </c>
    </row>
    <row r="13" spans="1:2" ht="15.75" thickBot="1">
      <c r="A13" s="79" t="s">
        <v>226</v>
      </c>
      <c r="B13" s="76" t="s">
        <v>227</v>
      </c>
    </row>
    <row r="14" spans="1:2" ht="15.75" thickBot="1">
      <c r="A14" s="79" t="s">
        <v>228</v>
      </c>
      <c r="B14" s="76" t="s">
        <v>229</v>
      </c>
    </row>
    <row r="15" spans="1:2" ht="15.75" thickBot="1">
      <c r="A15" s="75" t="s">
        <v>230</v>
      </c>
    </row>
    <row r="16" spans="1:2" ht="15.75" thickBot="1">
      <c r="A16" s="77" t="s">
        <v>212</v>
      </c>
      <c r="B16" s="78" t="s">
        <v>213</v>
      </c>
    </row>
    <row r="17" spans="1:2" ht="15.75" thickBot="1">
      <c r="A17" s="79" t="s">
        <v>216</v>
      </c>
      <c r="B17" s="76" t="s">
        <v>217</v>
      </c>
    </row>
    <row r="18" spans="1:2" ht="15.75" thickBot="1">
      <c r="A18" s="79" t="s">
        <v>218</v>
      </c>
      <c r="B18" s="76" t="s">
        <v>231</v>
      </c>
    </row>
    <row r="19" spans="1:2" ht="15.75" thickBot="1">
      <c r="A19" s="79" t="s">
        <v>220</v>
      </c>
      <c r="B19" s="76" t="s">
        <v>232</v>
      </c>
    </row>
    <row r="20" spans="1:2" ht="15.75" thickBot="1">
      <c r="A20" s="80" t="s">
        <v>233</v>
      </c>
      <c r="B20" s="81" t="s">
        <v>234</v>
      </c>
    </row>
    <row r="23" spans="1:2" ht="15">
      <c r="A23" s="84" t="s">
        <v>235</v>
      </c>
    </row>
    <row r="24" spans="1:2" ht="15" thickBot="1"/>
    <row r="25" spans="1:2" ht="15.75" thickBot="1">
      <c r="A25" s="77" t="s">
        <v>236</v>
      </c>
      <c r="B25" s="78" t="s">
        <v>202</v>
      </c>
    </row>
    <row r="26" spans="1:2" ht="15.75" thickBot="1">
      <c r="A26" s="79" t="s">
        <v>216</v>
      </c>
      <c r="B26" s="76" t="s">
        <v>237</v>
      </c>
    </row>
    <row r="27" spans="1:2" ht="15.75" thickBot="1">
      <c r="A27" s="79" t="s">
        <v>218</v>
      </c>
      <c r="B27" s="76" t="s">
        <v>238</v>
      </c>
    </row>
    <row r="28" spans="1:2" ht="15.75" thickBot="1">
      <c r="A28" s="79" t="s">
        <v>239</v>
      </c>
      <c r="B28" s="76" t="s">
        <v>240</v>
      </c>
    </row>
    <row r="29" spans="1:2" ht="15.75" thickBot="1">
      <c r="A29" s="79" t="s">
        <v>220</v>
      </c>
      <c r="B29" s="76" t="s">
        <v>241</v>
      </c>
    </row>
    <row r="30" spans="1:2" ht="15.75" thickBot="1">
      <c r="A30" s="79" t="s">
        <v>222</v>
      </c>
      <c r="B30" s="76" t="s">
        <v>242</v>
      </c>
    </row>
    <row r="31" spans="1:2" ht="15.75" thickBot="1">
      <c r="A31" s="79" t="s">
        <v>243</v>
      </c>
      <c r="B31" s="76" t="s">
        <v>244</v>
      </c>
    </row>
    <row r="32" spans="1:2" ht="15">
      <c r="A32" s="86" t="s">
        <v>245</v>
      </c>
      <c r="B32" s="213" t="s">
        <v>247</v>
      </c>
    </row>
    <row r="33" spans="1:8" ht="30.75" thickBot="1">
      <c r="A33" s="79" t="s">
        <v>246</v>
      </c>
      <c r="B33" s="214"/>
    </row>
    <row r="35" spans="1:8" ht="15" thickBot="1"/>
    <row r="36" spans="1:8" ht="15" thickBot="1">
      <c r="A36" s="227" t="s">
        <v>196</v>
      </c>
      <c r="B36" s="228"/>
      <c r="C36" s="231" t="s">
        <v>248</v>
      </c>
      <c r="D36" s="232"/>
      <c r="E36" s="232"/>
      <c r="F36" s="232"/>
      <c r="G36" s="233"/>
      <c r="H36" s="92"/>
    </row>
    <row r="37" spans="1:8" ht="15" thickBot="1">
      <c r="A37" s="229"/>
      <c r="B37" s="230"/>
      <c r="C37" s="234" t="s">
        <v>249</v>
      </c>
      <c r="D37" s="235"/>
      <c r="E37" s="87" t="s">
        <v>250</v>
      </c>
      <c r="F37" s="236" t="s">
        <v>251</v>
      </c>
      <c r="G37" s="237"/>
    </row>
    <row r="38" spans="1:8" ht="15" thickBot="1">
      <c r="A38" s="93" t="s">
        <v>252</v>
      </c>
      <c r="B38" s="88" t="s">
        <v>253</v>
      </c>
      <c r="C38" s="88" t="s">
        <v>254</v>
      </c>
      <c r="D38" s="89" t="s">
        <v>253</v>
      </c>
      <c r="E38" s="89" t="s">
        <v>254</v>
      </c>
      <c r="F38" s="87" t="s">
        <v>254</v>
      </c>
      <c r="G38" s="90" t="s">
        <v>253</v>
      </c>
      <c r="H38" s="90" t="s">
        <v>254</v>
      </c>
    </row>
    <row r="39" spans="1:8" ht="28.5" customHeight="1" thickBot="1">
      <c r="A39" s="94" t="s">
        <v>255</v>
      </c>
      <c r="B39" s="217" t="s">
        <v>256</v>
      </c>
      <c r="C39" s="219"/>
      <c r="D39" s="217" t="s">
        <v>257</v>
      </c>
      <c r="E39" s="218"/>
      <c r="F39" s="218"/>
      <c r="G39" s="218"/>
      <c r="H39" s="219"/>
    </row>
    <row r="40" spans="1:8" ht="43.5" thickBot="1">
      <c r="A40" s="94" t="s">
        <v>258</v>
      </c>
      <c r="B40" s="217" t="s">
        <v>259</v>
      </c>
      <c r="C40" s="219"/>
      <c r="D40" s="91" t="s">
        <v>260</v>
      </c>
      <c r="E40" s="91" t="s">
        <v>261</v>
      </c>
      <c r="F40" s="91" t="s">
        <v>261</v>
      </c>
      <c r="G40" s="91" t="s">
        <v>260</v>
      </c>
      <c r="H40" s="91" t="s">
        <v>261</v>
      </c>
    </row>
    <row r="41" spans="1:8" ht="15" thickBot="1">
      <c r="A41" s="94" t="s">
        <v>262</v>
      </c>
      <c r="B41" s="217" t="s">
        <v>263</v>
      </c>
      <c r="C41" s="219"/>
      <c r="D41" s="217" t="s">
        <v>249</v>
      </c>
      <c r="E41" s="219"/>
      <c r="F41" s="91" t="s">
        <v>264</v>
      </c>
      <c r="G41" s="217" t="s">
        <v>265</v>
      </c>
      <c r="H41" s="219"/>
    </row>
    <row r="42" spans="1:8" ht="15" thickBot="1">
      <c r="A42" s="94" t="s">
        <v>202</v>
      </c>
      <c r="B42" s="217" t="s">
        <v>266</v>
      </c>
      <c r="C42" s="218"/>
      <c r="D42" s="218"/>
      <c r="E42" s="218"/>
      <c r="F42" s="219"/>
      <c r="G42" s="217" t="s">
        <v>267</v>
      </c>
      <c r="H42" s="219"/>
    </row>
    <row r="43" spans="1:8" ht="42.75">
      <c r="A43" s="95" t="s">
        <v>268</v>
      </c>
      <c r="B43" s="85" t="s">
        <v>270</v>
      </c>
      <c r="C43" s="213" t="s">
        <v>274</v>
      </c>
      <c r="D43" s="85" t="s">
        <v>270</v>
      </c>
      <c r="E43" s="213" t="s">
        <v>274</v>
      </c>
      <c r="F43" s="213" t="s">
        <v>274</v>
      </c>
      <c r="G43" s="85" t="s">
        <v>277</v>
      </c>
      <c r="H43" s="213" t="s">
        <v>274</v>
      </c>
    </row>
    <row r="44" spans="1:8" ht="42.75">
      <c r="A44" s="95" t="s">
        <v>269</v>
      </c>
      <c r="B44" s="96" t="s">
        <v>271</v>
      </c>
      <c r="C44" s="220"/>
      <c r="D44" s="85" t="s">
        <v>275</v>
      </c>
      <c r="E44" s="220"/>
      <c r="F44" s="220"/>
      <c r="G44" s="85" t="s">
        <v>278</v>
      </c>
      <c r="H44" s="220"/>
    </row>
    <row r="45" spans="1:8" ht="42.75">
      <c r="A45" s="95"/>
      <c r="B45" s="85" t="s">
        <v>272</v>
      </c>
      <c r="C45" s="220"/>
      <c r="D45" s="85" t="s">
        <v>272</v>
      </c>
      <c r="E45" s="220"/>
      <c r="F45" s="220"/>
      <c r="G45" s="85" t="s">
        <v>279</v>
      </c>
      <c r="H45" s="220"/>
    </row>
    <row r="46" spans="1:8" ht="15" thickBot="1">
      <c r="A46" s="94"/>
      <c r="B46" s="91" t="s">
        <v>273</v>
      </c>
      <c r="C46" s="214"/>
      <c r="D46" s="91" t="s">
        <v>276</v>
      </c>
      <c r="E46" s="214"/>
      <c r="F46" s="214"/>
      <c r="G46" s="91"/>
      <c r="H46" s="214"/>
    </row>
    <row r="47" spans="1:8" ht="42.75">
      <c r="A47" s="95" t="s">
        <v>280</v>
      </c>
      <c r="B47" s="213" t="s">
        <v>274</v>
      </c>
      <c r="C47" s="221">
        <v>1.0999999999999999E-2</v>
      </c>
      <c r="D47" s="213" t="s">
        <v>274</v>
      </c>
      <c r="E47" s="224">
        <v>1.0999999999999999E-2</v>
      </c>
      <c r="F47" s="224">
        <v>3.9E-2</v>
      </c>
      <c r="G47" s="213" t="s">
        <v>274</v>
      </c>
      <c r="H47" s="85" t="s">
        <v>277</v>
      </c>
    </row>
    <row r="48" spans="1:8" ht="42.75">
      <c r="A48" s="95" t="s">
        <v>269</v>
      </c>
      <c r="B48" s="220"/>
      <c r="C48" s="222"/>
      <c r="D48" s="220"/>
      <c r="E48" s="225"/>
      <c r="F48" s="225"/>
      <c r="G48" s="220"/>
      <c r="H48" s="85" t="s">
        <v>278</v>
      </c>
    </row>
    <row r="49" spans="1:8" ht="43.5" thickBot="1">
      <c r="A49" s="94"/>
      <c r="B49" s="214"/>
      <c r="C49" s="223"/>
      <c r="D49" s="214"/>
      <c r="E49" s="226"/>
      <c r="F49" s="226"/>
      <c r="G49" s="214"/>
      <c r="H49" s="91" t="s">
        <v>279</v>
      </c>
    </row>
    <row r="50" spans="1:8" ht="127.5" customHeight="1">
      <c r="A50" s="95" t="s">
        <v>281</v>
      </c>
      <c r="B50" s="213" t="s">
        <v>274</v>
      </c>
      <c r="C50" s="215" t="s">
        <v>283</v>
      </c>
      <c r="D50" s="213" t="s">
        <v>274</v>
      </c>
      <c r="E50" s="213" t="s">
        <v>274</v>
      </c>
      <c r="F50" s="213" t="s">
        <v>274</v>
      </c>
      <c r="G50" s="213" t="s">
        <v>274</v>
      </c>
      <c r="H50" s="213" t="s">
        <v>284</v>
      </c>
    </row>
    <row r="51" spans="1:8" ht="15" thickBot="1">
      <c r="A51" s="94" t="s">
        <v>282</v>
      </c>
      <c r="B51" s="214"/>
      <c r="C51" s="216"/>
      <c r="D51" s="214"/>
      <c r="E51" s="214"/>
      <c r="F51" s="214"/>
      <c r="G51" s="214"/>
      <c r="H51" s="214"/>
    </row>
    <row r="52" spans="1:8" ht="15" thickBot="1">
      <c r="A52" s="94" t="s">
        <v>285</v>
      </c>
      <c r="B52" s="217" t="s">
        <v>286</v>
      </c>
      <c r="C52" s="218"/>
      <c r="D52" s="218"/>
      <c r="E52" s="218"/>
      <c r="F52" s="218"/>
      <c r="G52" s="218"/>
      <c r="H52" s="219"/>
    </row>
    <row r="53" spans="1:8" ht="14.25" customHeight="1">
      <c r="A53" s="201" t="s">
        <v>287</v>
      </c>
      <c r="B53" s="204" t="s">
        <v>288</v>
      </c>
      <c r="C53" s="205"/>
      <c r="D53" s="205"/>
      <c r="E53" s="205"/>
      <c r="F53" s="205"/>
      <c r="G53" s="205"/>
      <c r="H53" s="206"/>
    </row>
    <row r="54" spans="1:8" ht="15" thickBot="1">
      <c r="A54" s="203"/>
      <c r="B54" s="210" t="s">
        <v>289</v>
      </c>
      <c r="C54" s="211"/>
      <c r="D54" s="211"/>
      <c r="E54" s="211"/>
      <c r="F54" s="211"/>
      <c r="G54" s="211"/>
      <c r="H54" s="212"/>
    </row>
    <row r="55" spans="1:8" ht="14.25" customHeight="1">
      <c r="A55" s="201" t="s">
        <v>290</v>
      </c>
      <c r="B55" s="204" t="s">
        <v>291</v>
      </c>
      <c r="C55" s="205"/>
      <c r="D55" s="205"/>
      <c r="E55" s="205"/>
      <c r="F55" s="205"/>
      <c r="G55" s="205"/>
      <c r="H55" s="206"/>
    </row>
    <row r="56" spans="1:8" ht="15" thickBot="1">
      <c r="A56" s="203"/>
      <c r="B56" s="210" t="s">
        <v>292</v>
      </c>
      <c r="C56" s="211"/>
      <c r="D56" s="211"/>
      <c r="E56" s="211"/>
      <c r="F56" s="211"/>
      <c r="G56" s="211"/>
      <c r="H56" s="212"/>
    </row>
    <row r="57" spans="1:8" ht="28.5" customHeight="1">
      <c r="A57" s="201" t="s">
        <v>293</v>
      </c>
      <c r="B57" s="204" t="s">
        <v>294</v>
      </c>
      <c r="C57" s="205"/>
      <c r="D57" s="206"/>
      <c r="E57" s="204" t="s">
        <v>295</v>
      </c>
      <c r="F57" s="205"/>
      <c r="G57" s="205"/>
      <c r="H57" s="206"/>
    </row>
    <row r="58" spans="1:8" ht="28.5" customHeight="1">
      <c r="A58" s="202"/>
      <c r="B58" s="207"/>
      <c r="C58" s="208"/>
      <c r="D58" s="209"/>
      <c r="E58" s="207" t="s">
        <v>296</v>
      </c>
      <c r="F58" s="208"/>
      <c r="G58" s="208"/>
      <c r="H58" s="209"/>
    </row>
    <row r="59" spans="1:8" ht="28.5" customHeight="1" thickBot="1">
      <c r="A59" s="203"/>
      <c r="B59" s="210"/>
      <c r="C59" s="211"/>
      <c r="D59" s="212"/>
      <c r="E59" s="210" t="s">
        <v>297</v>
      </c>
      <c r="F59" s="211"/>
      <c r="G59" s="211"/>
      <c r="H59" s="212"/>
    </row>
  </sheetData>
  <mergeCells count="42">
    <mergeCell ref="B39:C39"/>
    <mergeCell ref="D39:H39"/>
    <mergeCell ref="B32:B33"/>
    <mergeCell ref="A36:B37"/>
    <mergeCell ref="C36:G36"/>
    <mergeCell ref="C37:D37"/>
    <mergeCell ref="F37:G37"/>
    <mergeCell ref="B40:C40"/>
    <mergeCell ref="B41:C41"/>
    <mergeCell ref="D41:E41"/>
    <mergeCell ref="G41:H41"/>
    <mergeCell ref="B42:F42"/>
    <mergeCell ref="G42:H42"/>
    <mergeCell ref="C43:C46"/>
    <mergeCell ref="E43:E46"/>
    <mergeCell ref="F43:F46"/>
    <mergeCell ref="H43:H46"/>
    <mergeCell ref="B47:B49"/>
    <mergeCell ref="C47:C49"/>
    <mergeCell ref="D47:D49"/>
    <mergeCell ref="E47:E49"/>
    <mergeCell ref="F47:F49"/>
    <mergeCell ref="G47:G49"/>
    <mergeCell ref="A55:A56"/>
    <mergeCell ref="B55:H55"/>
    <mergeCell ref="B56:H56"/>
    <mergeCell ref="B50:B51"/>
    <mergeCell ref="C50:C51"/>
    <mergeCell ref="D50:D51"/>
    <mergeCell ref="E50:E51"/>
    <mergeCell ref="F50:F51"/>
    <mergeCell ref="G50:G51"/>
    <mergeCell ref="H50:H51"/>
    <mergeCell ref="B52:H52"/>
    <mergeCell ref="A53:A54"/>
    <mergeCell ref="B53:H53"/>
    <mergeCell ref="B54:H54"/>
    <mergeCell ref="A57:A59"/>
    <mergeCell ref="B57:D59"/>
    <mergeCell ref="E57:H57"/>
    <mergeCell ref="E58:H58"/>
    <mergeCell ref="E59:H59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>
      <selection activeCell="T42" sqref="T42"/>
    </sheetView>
  </sheetViews>
  <sheetFormatPr defaultRowHeight="14.25"/>
  <sheetData/>
  <phoneticPr fontId="1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5"/>
  <dimension ref="A1:J532"/>
  <sheetViews>
    <sheetView showGridLines="0" zoomScaleNormal="100" workbookViewId="0">
      <selection activeCell="V15" sqref="V15"/>
    </sheetView>
  </sheetViews>
  <sheetFormatPr defaultRowHeight="14.25"/>
  <cols>
    <col min="5" max="5" width="7" customWidth="1"/>
    <col min="8" max="8" width="26.5" customWidth="1"/>
  </cols>
  <sheetData>
    <row r="1" spans="1:10">
      <c r="A1" s="114" t="s">
        <v>427</v>
      </c>
      <c r="B1" s="114" t="s">
        <v>428</v>
      </c>
      <c r="C1" s="114" t="s">
        <v>429</v>
      </c>
      <c r="D1" s="114" t="s">
        <v>430</v>
      </c>
      <c r="E1" s="114" t="s">
        <v>431</v>
      </c>
      <c r="F1" s="114" t="s">
        <v>432</v>
      </c>
      <c r="G1" s="114" t="s">
        <v>433</v>
      </c>
      <c r="H1" s="114" t="s">
        <v>434</v>
      </c>
      <c r="I1" s="114" t="s">
        <v>435</v>
      </c>
    </row>
    <row r="2" spans="1:10">
      <c r="A2" s="114" t="s">
        <v>441</v>
      </c>
      <c r="B2" s="114" t="s">
        <v>436</v>
      </c>
      <c r="C2" s="114" t="s">
        <v>442</v>
      </c>
      <c r="D2" s="114" t="s">
        <v>443</v>
      </c>
      <c r="E2">
        <v>2391</v>
      </c>
      <c r="F2" s="114" t="s">
        <v>444</v>
      </c>
      <c r="G2" s="114" t="s">
        <v>445</v>
      </c>
      <c r="H2" s="114" t="s">
        <v>446</v>
      </c>
      <c r="I2">
        <v>105</v>
      </c>
    </row>
    <row r="3" spans="1:10">
      <c r="A3" s="114" t="s">
        <v>441</v>
      </c>
      <c r="B3" s="114" t="s">
        <v>436</v>
      </c>
      <c r="C3" s="114" t="s">
        <v>437</v>
      </c>
      <c r="D3" s="114" t="s">
        <v>438</v>
      </c>
      <c r="E3">
        <v>7590</v>
      </c>
      <c r="F3" s="114" t="s">
        <v>447</v>
      </c>
      <c r="G3" s="114" t="s">
        <v>439</v>
      </c>
      <c r="H3" s="114" t="s">
        <v>448</v>
      </c>
      <c r="I3">
        <v>71</v>
      </c>
    </row>
    <row r="4" spans="1:10">
      <c r="A4" s="114" t="s">
        <v>449</v>
      </c>
      <c r="B4" s="114" t="s">
        <v>436</v>
      </c>
      <c r="C4" s="114" t="s">
        <v>450</v>
      </c>
      <c r="D4" s="114" t="s">
        <v>438</v>
      </c>
      <c r="E4">
        <v>2375</v>
      </c>
      <c r="F4" s="114" t="s">
        <v>451</v>
      </c>
      <c r="G4" s="114" t="s">
        <v>452</v>
      </c>
      <c r="H4" s="114" t="s">
        <v>446</v>
      </c>
      <c r="I4">
        <v>119</v>
      </c>
    </row>
    <row r="5" spans="1:10">
      <c r="A5" s="114" t="s">
        <v>449</v>
      </c>
      <c r="B5" s="114" t="s">
        <v>436</v>
      </c>
      <c r="C5" s="114" t="s">
        <v>437</v>
      </c>
      <c r="D5" s="114" t="s">
        <v>438</v>
      </c>
      <c r="E5">
        <v>8068</v>
      </c>
      <c r="F5" s="114" t="s">
        <v>453</v>
      </c>
      <c r="G5" s="114" t="s">
        <v>439</v>
      </c>
      <c r="H5" s="114" t="s">
        <v>448</v>
      </c>
      <c r="I5">
        <v>516</v>
      </c>
    </row>
    <row r="6" spans="1:10">
      <c r="A6" s="114" t="s">
        <v>454</v>
      </c>
      <c r="B6" s="114" t="s">
        <v>436</v>
      </c>
      <c r="C6" s="114" t="s">
        <v>455</v>
      </c>
      <c r="D6" s="114" t="s">
        <v>443</v>
      </c>
      <c r="E6">
        <v>3329</v>
      </c>
      <c r="F6" s="114" t="s">
        <v>456</v>
      </c>
      <c r="G6" s="114" t="s">
        <v>445</v>
      </c>
      <c r="H6" s="114" t="s">
        <v>457</v>
      </c>
      <c r="I6">
        <v>132</v>
      </c>
    </row>
    <row r="7" spans="1:10">
      <c r="A7" s="114" t="s">
        <v>454</v>
      </c>
      <c r="B7" s="114" t="s">
        <v>436</v>
      </c>
      <c r="C7" s="114" t="s">
        <v>442</v>
      </c>
      <c r="D7" s="114" t="s">
        <v>438</v>
      </c>
      <c r="E7">
        <v>3816</v>
      </c>
      <c r="F7" s="114" t="s">
        <v>458</v>
      </c>
      <c r="G7" s="114" t="s">
        <v>445</v>
      </c>
      <c r="H7" s="114" t="s">
        <v>459</v>
      </c>
      <c r="I7">
        <v>39</v>
      </c>
    </row>
    <row r="8" spans="1:10">
      <c r="A8" s="114" t="s">
        <v>454</v>
      </c>
      <c r="B8" s="114" t="s">
        <v>436</v>
      </c>
      <c r="C8" s="114" t="s">
        <v>442</v>
      </c>
      <c r="D8" s="114" t="s">
        <v>443</v>
      </c>
      <c r="E8">
        <v>3930</v>
      </c>
      <c r="F8" s="114" t="s">
        <v>460</v>
      </c>
      <c r="G8" s="114" t="s">
        <v>461</v>
      </c>
      <c r="H8" s="114" t="s">
        <v>459</v>
      </c>
      <c r="I8">
        <v>70</v>
      </c>
    </row>
    <row r="9" spans="1:10">
      <c r="A9" s="114" t="s">
        <v>454</v>
      </c>
      <c r="B9" s="114" t="s">
        <v>436</v>
      </c>
      <c r="C9" s="114" t="s">
        <v>437</v>
      </c>
      <c r="D9" s="114" t="s">
        <v>438</v>
      </c>
      <c r="E9">
        <v>4369</v>
      </c>
      <c r="F9" s="114" t="s">
        <v>462</v>
      </c>
      <c r="G9" s="114" t="s">
        <v>439</v>
      </c>
      <c r="H9" s="114" t="s">
        <v>463</v>
      </c>
      <c r="I9">
        <v>636</v>
      </c>
    </row>
    <row r="10" spans="1:10">
      <c r="A10" s="114" t="s">
        <v>454</v>
      </c>
      <c r="B10" s="114" t="s">
        <v>436</v>
      </c>
      <c r="C10" s="114" t="s">
        <v>442</v>
      </c>
      <c r="D10" s="114" t="s">
        <v>438</v>
      </c>
      <c r="E10">
        <v>4699</v>
      </c>
      <c r="F10" s="114" t="s">
        <v>464</v>
      </c>
      <c r="G10" s="114" t="s">
        <v>445</v>
      </c>
      <c r="H10" s="114" t="s">
        <v>446</v>
      </c>
      <c r="I10">
        <v>111</v>
      </c>
    </row>
    <row r="11" spans="1:10">
      <c r="A11" s="114" t="s">
        <v>454</v>
      </c>
      <c r="B11" s="114" t="s">
        <v>436</v>
      </c>
      <c r="C11" s="114" t="s">
        <v>450</v>
      </c>
      <c r="D11" s="114" t="s">
        <v>443</v>
      </c>
      <c r="E11">
        <v>4707</v>
      </c>
      <c r="F11" s="114" t="s">
        <v>465</v>
      </c>
      <c r="G11" s="114" t="s">
        <v>445</v>
      </c>
      <c r="H11" s="114" t="s">
        <v>446</v>
      </c>
      <c r="I11">
        <v>24</v>
      </c>
    </row>
    <row r="12" spans="1:10">
      <c r="A12" s="114" t="s">
        <v>454</v>
      </c>
      <c r="B12" s="114" t="s">
        <v>436</v>
      </c>
      <c r="C12" s="114" t="s">
        <v>455</v>
      </c>
      <c r="D12" s="114" t="s">
        <v>438</v>
      </c>
      <c r="E12">
        <v>4750</v>
      </c>
      <c r="F12" s="114" t="s">
        <v>466</v>
      </c>
      <c r="G12" s="114" t="s">
        <v>452</v>
      </c>
      <c r="H12" s="114" t="s">
        <v>446</v>
      </c>
      <c r="I12">
        <v>51</v>
      </c>
    </row>
    <row r="13" spans="1:10">
      <c r="A13" s="114" t="s">
        <v>454</v>
      </c>
      <c r="B13" s="114" t="s">
        <v>436</v>
      </c>
      <c r="C13" s="114" t="s">
        <v>437</v>
      </c>
      <c r="D13" s="114" t="s">
        <v>438</v>
      </c>
      <c r="E13">
        <v>4813</v>
      </c>
      <c r="F13" s="114" t="s">
        <v>467</v>
      </c>
      <c r="G13" s="114" t="s">
        <v>461</v>
      </c>
      <c r="H13" s="114" t="s">
        <v>459</v>
      </c>
      <c r="I13">
        <v>417</v>
      </c>
    </row>
    <row r="14" spans="1:10">
      <c r="A14" s="114" t="s">
        <v>454</v>
      </c>
      <c r="B14" s="114" t="s">
        <v>436</v>
      </c>
      <c r="C14" s="114" t="s">
        <v>455</v>
      </c>
      <c r="D14" s="114" t="s">
        <v>438</v>
      </c>
      <c r="E14">
        <v>5971</v>
      </c>
      <c r="F14" s="114" t="s">
        <v>468</v>
      </c>
      <c r="G14" s="114" t="s">
        <v>445</v>
      </c>
      <c r="H14" s="114" t="s">
        <v>469</v>
      </c>
      <c r="I14">
        <v>56</v>
      </c>
    </row>
    <row r="15" spans="1:10">
      <c r="A15" s="114" t="s">
        <v>454</v>
      </c>
      <c r="B15" s="114" t="s">
        <v>436</v>
      </c>
      <c r="C15" s="114" t="s">
        <v>442</v>
      </c>
      <c r="D15" s="114" t="s">
        <v>438</v>
      </c>
      <c r="E15">
        <v>8057</v>
      </c>
      <c r="F15" s="114" t="s">
        <v>470</v>
      </c>
      <c r="G15" s="114" t="s">
        <v>439</v>
      </c>
      <c r="H15" s="114" t="s">
        <v>448</v>
      </c>
      <c r="I15">
        <v>467</v>
      </c>
    </row>
    <row r="16" spans="1:10">
      <c r="A16" s="114" t="s">
        <v>471</v>
      </c>
      <c r="B16" s="114" t="s">
        <v>436</v>
      </c>
      <c r="C16" s="114" t="s">
        <v>455</v>
      </c>
      <c r="D16" s="114" t="s">
        <v>438</v>
      </c>
      <c r="E16">
        <v>2593</v>
      </c>
      <c r="F16" s="114" t="s">
        <v>472</v>
      </c>
      <c r="G16" s="114" t="s">
        <v>439</v>
      </c>
      <c r="H16" s="114" t="s">
        <v>440</v>
      </c>
      <c r="I16" s="114" t="s">
        <v>619</v>
      </c>
      <c r="J16" s="114" t="s">
        <v>1094</v>
      </c>
    </row>
    <row r="17" spans="1:10">
      <c r="A17" s="114" t="s">
        <v>471</v>
      </c>
      <c r="B17" s="114" t="s">
        <v>436</v>
      </c>
      <c r="C17" s="114" t="s">
        <v>455</v>
      </c>
      <c r="D17" s="114" t="s">
        <v>438</v>
      </c>
      <c r="E17">
        <v>2910</v>
      </c>
      <c r="F17" s="114" t="s">
        <v>474</v>
      </c>
      <c r="G17" s="114" t="s">
        <v>439</v>
      </c>
      <c r="H17" s="114" t="s">
        <v>440</v>
      </c>
      <c r="I17" s="114">
        <v>406</v>
      </c>
      <c r="J17" s="114"/>
    </row>
    <row r="18" spans="1:10">
      <c r="A18" s="114" t="s">
        <v>471</v>
      </c>
      <c r="B18" s="114" t="s">
        <v>436</v>
      </c>
      <c r="C18" s="114" t="s">
        <v>455</v>
      </c>
      <c r="D18" s="114" t="s">
        <v>438</v>
      </c>
      <c r="E18">
        <v>3770</v>
      </c>
      <c r="F18" s="114" t="s">
        <v>475</v>
      </c>
      <c r="G18" s="114" t="s">
        <v>439</v>
      </c>
      <c r="H18" s="114" t="s">
        <v>459</v>
      </c>
      <c r="I18">
        <v>53</v>
      </c>
    </row>
    <row r="19" spans="1:10">
      <c r="A19" s="114" t="s">
        <v>471</v>
      </c>
      <c r="B19" s="114" t="s">
        <v>436</v>
      </c>
      <c r="C19" s="114" t="s">
        <v>442</v>
      </c>
      <c r="D19" s="114" t="s">
        <v>438</v>
      </c>
      <c r="E19">
        <v>6267</v>
      </c>
      <c r="F19" s="114" t="s">
        <v>476</v>
      </c>
      <c r="G19" s="114" t="s">
        <v>445</v>
      </c>
      <c r="H19" s="114" t="s">
        <v>477</v>
      </c>
      <c r="I19">
        <v>36</v>
      </c>
    </row>
    <row r="20" spans="1:10">
      <c r="A20" s="114" t="s">
        <v>471</v>
      </c>
      <c r="B20" s="114" t="s">
        <v>436</v>
      </c>
      <c r="C20" s="114" t="s">
        <v>437</v>
      </c>
      <c r="D20" s="114" t="s">
        <v>438</v>
      </c>
      <c r="E20">
        <v>7865</v>
      </c>
      <c r="F20" s="114" t="s">
        <v>478</v>
      </c>
      <c r="G20" s="114" t="s">
        <v>445</v>
      </c>
      <c r="H20" s="114" t="s">
        <v>479</v>
      </c>
      <c r="I20">
        <v>61</v>
      </c>
    </row>
    <row r="21" spans="1:10">
      <c r="A21" s="114" t="s">
        <v>480</v>
      </c>
      <c r="B21" s="114" t="s">
        <v>436</v>
      </c>
      <c r="C21" s="114" t="s">
        <v>455</v>
      </c>
      <c r="D21" s="114" t="s">
        <v>438</v>
      </c>
      <c r="E21">
        <v>9627</v>
      </c>
      <c r="F21" s="114" t="s">
        <v>481</v>
      </c>
      <c r="G21" s="114" t="s">
        <v>439</v>
      </c>
      <c r="H21" s="114" t="s">
        <v>457</v>
      </c>
      <c r="I21" s="114" t="s">
        <v>482</v>
      </c>
      <c r="J21" s="114" t="s">
        <v>1095</v>
      </c>
    </row>
    <row r="22" spans="1:10">
      <c r="A22" s="114" t="s">
        <v>483</v>
      </c>
      <c r="B22" s="114" t="s">
        <v>484</v>
      </c>
      <c r="C22" s="114" t="s">
        <v>450</v>
      </c>
      <c r="D22" s="114" t="s">
        <v>438</v>
      </c>
      <c r="E22">
        <v>7959</v>
      </c>
      <c r="F22" s="114" t="s">
        <v>485</v>
      </c>
      <c r="G22" s="114" t="s">
        <v>439</v>
      </c>
      <c r="H22" s="114" t="s">
        <v>479</v>
      </c>
      <c r="I22" s="114">
        <v>516</v>
      </c>
      <c r="J22" s="114"/>
    </row>
    <row r="23" spans="1:10">
      <c r="A23" s="114" t="s">
        <v>483</v>
      </c>
      <c r="B23" s="114" t="s">
        <v>436</v>
      </c>
      <c r="C23" s="114" t="s">
        <v>437</v>
      </c>
      <c r="D23" s="114" t="s">
        <v>443</v>
      </c>
      <c r="E23">
        <v>2217</v>
      </c>
      <c r="F23" s="114" t="s">
        <v>486</v>
      </c>
      <c r="G23" s="114" t="s">
        <v>439</v>
      </c>
      <c r="H23" s="114" t="s">
        <v>440</v>
      </c>
      <c r="I23">
        <v>180</v>
      </c>
    </row>
    <row r="24" spans="1:10">
      <c r="A24" s="114" t="s">
        <v>483</v>
      </c>
      <c r="B24" s="114" t="s">
        <v>436</v>
      </c>
      <c r="C24" s="114" t="s">
        <v>442</v>
      </c>
      <c r="D24" s="114" t="s">
        <v>438</v>
      </c>
      <c r="E24">
        <v>3172</v>
      </c>
      <c r="F24" s="114" t="s">
        <v>487</v>
      </c>
      <c r="G24" s="114" t="s">
        <v>439</v>
      </c>
      <c r="H24" s="114" t="s">
        <v>457</v>
      </c>
      <c r="I24">
        <v>36</v>
      </c>
    </row>
    <row r="25" spans="1:10">
      <c r="A25" s="114" t="s">
        <v>483</v>
      </c>
      <c r="B25" s="114" t="s">
        <v>436</v>
      </c>
      <c r="C25" s="114" t="s">
        <v>442</v>
      </c>
      <c r="D25" s="114" t="s">
        <v>443</v>
      </c>
      <c r="E25">
        <v>4446</v>
      </c>
      <c r="F25" s="114" t="s">
        <v>488</v>
      </c>
      <c r="G25" s="114" t="s">
        <v>461</v>
      </c>
      <c r="H25" s="114" t="s">
        <v>459</v>
      </c>
      <c r="I25">
        <v>196</v>
      </c>
    </row>
    <row r="26" spans="1:10">
      <c r="A26" s="114" t="s">
        <v>483</v>
      </c>
      <c r="B26" s="114" t="s">
        <v>436</v>
      </c>
      <c r="C26" s="114" t="s">
        <v>437</v>
      </c>
      <c r="D26" s="114" t="s">
        <v>443</v>
      </c>
      <c r="E26">
        <v>6654</v>
      </c>
      <c r="F26" s="114" t="s">
        <v>489</v>
      </c>
      <c r="G26" s="114" t="s">
        <v>439</v>
      </c>
      <c r="H26" s="114" t="s">
        <v>490</v>
      </c>
      <c r="I26">
        <v>84</v>
      </c>
    </row>
    <row r="27" spans="1:10">
      <c r="A27" s="114" t="s">
        <v>483</v>
      </c>
      <c r="B27" s="114" t="s">
        <v>436</v>
      </c>
      <c r="C27" s="114" t="s">
        <v>437</v>
      </c>
      <c r="D27" s="114" t="s">
        <v>438</v>
      </c>
      <c r="E27">
        <v>8842</v>
      </c>
      <c r="F27" s="114" t="s">
        <v>491</v>
      </c>
      <c r="G27" s="114" t="s">
        <v>439</v>
      </c>
      <c r="H27" s="114" t="s">
        <v>492</v>
      </c>
      <c r="I27">
        <v>400</v>
      </c>
    </row>
    <row r="28" spans="1:10">
      <c r="A28" s="114" t="s">
        <v>493</v>
      </c>
      <c r="B28" s="114" t="s">
        <v>436</v>
      </c>
      <c r="C28" s="114" t="s">
        <v>442</v>
      </c>
      <c r="D28" s="114" t="s">
        <v>438</v>
      </c>
      <c r="E28">
        <v>2929</v>
      </c>
      <c r="F28" s="114" t="s">
        <v>494</v>
      </c>
      <c r="G28" s="114" t="s">
        <v>452</v>
      </c>
      <c r="H28" s="114" t="s">
        <v>440</v>
      </c>
      <c r="I28">
        <v>142</v>
      </c>
    </row>
    <row r="29" spans="1:10">
      <c r="A29" s="114" t="s">
        <v>493</v>
      </c>
      <c r="B29" s="114" t="s">
        <v>436</v>
      </c>
      <c r="C29" s="114" t="s">
        <v>455</v>
      </c>
      <c r="D29" s="114" t="s">
        <v>438</v>
      </c>
      <c r="E29">
        <v>3031</v>
      </c>
      <c r="F29" s="114" t="s">
        <v>495</v>
      </c>
      <c r="G29" s="114" t="s">
        <v>439</v>
      </c>
      <c r="H29" s="114" t="s">
        <v>448</v>
      </c>
      <c r="I29">
        <v>133</v>
      </c>
    </row>
    <row r="30" spans="1:10">
      <c r="A30" s="114" t="s">
        <v>493</v>
      </c>
      <c r="B30" s="114" t="s">
        <v>436</v>
      </c>
      <c r="C30" s="114" t="s">
        <v>442</v>
      </c>
      <c r="D30" s="114" t="s">
        <v>438</v>
      </c>
      <c r="E30">
        <v>6778</v>
      </c>
      <c r="F30" s="114" t="s">
        <v>496</v>
      </c>
      <c r="G30" s="114" t="s">
        <v>452</v>
      </c>
      <c r="H30" s="114" t="s">
        <v>490</v>
      </c>
      <c r="I30">
        <v>154</v>
      </c>
    </row>
    <row r="31" spans="1:10">
      <c r="A31" s="114" t="s">
        <v>493</v>
      </c>
      <c r="B31" s="114" t="s">
        <v>436</v>
      </c>
      <c r="C31" s="114" t="s">
        <v>437</v>
      </c>
      <c r="D31" s="114" t="s">
        <v>438</v>
      </c>
      <c r="E31">
        <v>9632</v>
      </c>
      <c r="F31" s="114" t="s">
        <v>497</v>
      </c>
      <c r="G31" s="114" t="s">
        <v>439</v>
      </c>
      <c r="H31" s="114" t="s">
        <v>446</v>
      </c>
      <c r="I31">
        <v>205</v>
      </c>
    </row>
    <row r="32" spans="1:10">
      <c r="A32" s="114" t="s">
        <v>498</v>
      </c>
      <c r="B32" s="114" t="s">
        <v>689</v>
      </c>
      <c r="C32" s="114" t="s">
        <v>442</v>
      </c>
      <c r="D32" s="114" t="s">
        <v>438</v>
      </c>
      <c r="E32">
        <v>3662</v>
      </c>
      <c r="F32" s="114" t="s">
        <v>507</v>
      </c>
      <c r="G32" s="114" t="s">
        <v>439</v>
      </c>
      <c r="H32" s="114" t="s">
        <v>459</v>
      </c>
      <c r="I32">
        <v>223</v>
      </c>
    </row>
    <row r="33" spans="1:10">
      <c r="A33" s="114" t="s">
        <v>498</v>
      </c>
      <c r="B33" s="114" t="s">
        <v>436</v>
      </c>
      <c r="C33" s="114" t="s">
        <v>437</v>
      </c>
      <c r="D33" s="114" t="s">
        <v>438</v>
      </c>
      <c r="E33">
        <v>1928</v>
      </c>
      <c r="F33" s="114" t="s">
        <v>499</v>
      </c>
      <c r="G33" s="114" t="s">
        <v>439</v>
      </c>
      <c r="H33" s="114" t="s">
        <v>500</v>
      </c>
      <c r="I33" s="114" t="s">
        <v>501</v>
      </c>
      <c r="J33" s="114" t="s">
        <v>1096</v>
      </c>
    </row>
    <row r="34" spans="1:10">
      <c r="A34" s="114" t="s">
        <v>498</v>
      </c>
      <c r="B34" s="114" t="s">
        <v>436</v>
      </c>
      <c r="C34" s="114" t="s">
        <v>442</v>
      </c>
      <c r="D34" s="114" t="s">
        <v>438</v>
      </c>
      <c r="E34">
        <v>2353</v>
      </c>
      <c r="F34" s="114" t="s">
        <v>503</v>
      </c>
      <c r="G34" s="114" t="s">
        <v>439</v>
      </c>
      <c r="H34" s="114" t="s">
        <v>492</v>
      </c>
      <c r="I34">
        <v>585</v>
      </c>
    </row>
    <row r="35" spans="1:10">
      <c r="A35" s="114" t="s">
        <v>498</v>
      </c>
      <c r="B35" s="114" t="s">
        <v>436</v>
      </c>
      <c r="C35" s="114" t="s">
        <v>450</v>
      </c>
      <c r="D35" s="114" t="s">
        <v>438</v>
      </c>
      <c r="E35">
        <v>2373</v>
      </c>
      <c r="F35" s="114" t="s">
        <v>504</v>
      </c>
      <c r="G35" s="114" t="s">
        <v>445</v>
      </c>
      <c r="H35" s="114" t="s">
        <v>446</v>
      </c>
      <c r="I35">
        <v>85</v>
      </c>
    </row>
    <row r="36" spans="1:10">
      <c r="A36" s="114" t="s">
        <v>498</v>
      </c>
      <c r="B36" s="114" t="s">
        <v>436</v>
      </c>
      <c r="C36" s="114" t="s">
        <v>442</v>
      </c>
      <c r="D36" s="114" t="s">
        <v>443</v>
      </c>
      <c r="E36">
        <v>3193</v>
      </c>
      <c r="F36" s="114" t="s">
        <v>505</v>
      </c>
      <c r="G36" s="114" t="s">
        <v>439</v>
      </c>
      <c r="H36" s="114" t="s">
        <v>457</v>
      </c>
      <c r="I36">
        <v>226</v>
      </c>
    </row>
    <row r="37" spans="1:10">
      <c r="A37" s="114" t="s">
        <v>498</v>
      </c>
      <c r="B37" s="114" t="s">
        <v>436</v>
      </c>
      <c r="C37" s="114" t="s">
        <v>437</v>
      </c>
      <c r="D37" s="114" t="s">
        <v>438</v>
      </c>
      <c r="E37">
        <v>3657</v>
      </c>
      <c r="F37" s="114" t="s">
        <v>506</v>
      </c>
      <c r="G37" s="114" t="s">
        <v>439</v>
      </c>
      <c r="H37" s="114" t="s">
        <v>459</v>
      </c>
      <c r="I37">
        <v>405</v>
      </c>
    </row>
    <row r="38" spans="1:10">
      <c r="A38" s="114" t="s">
        <v>498</v>
      </c>
      <c r="B38" s="114" t="s">
        <v>436</v>
      </c>
      <c r="C38" s="114" t="s">
        <v>450</v>
      </c>
      <c r="D38" s="114" t="s">
        <v>443</v>
      </c>
      <c r="E38">
        <v>3733</v>
      </c>
      <c r="F38" s="114" t="s">
        <v>508</v>
      </c>
      <c r="G38" s="114" t="s">
        <v>445</v>
      </c>
      <c r="H38" s="114" t="s">
        <v>459</v>
      </c>
      <c r="I38">
        <v>639</v>
      </c>
    </row>
    <row r="39" spans="1:10">
      <c r="A39" s="114" t="s">
        <v>498</v>
      </c>
      <c r="B39" s="114" t="s">
        <v>436</v>
      </c>
      <c r="C39" s="114" t="s">
        <v>442</v>
      </c>
      <c r="D39" s="114" t="s">
        <v>438</v>
      </c>
      <c r="E39">
        <v>3854</v>
      </c>
      <c r="F39" s="114" t="s">
        <v>509</v>
      </c>
      <c r="G39" s="114" t="s">
        <v>439</v>
      </c>
      <c r="H39" s="114" t="s">
        <v>459</v>
      </c>
      <c r="I39">
        <v>386</v>
      </c>
    </row>
    <row r="40" spans="1:10">
      <c r="A40" s="114" t="s">
        <v>498</v>
      </c>
      <c r="B40" s="114" t="s">
        <v>436</v>
      </c>
      <c r="C40" s="114" t="s">
        <v>455</v>
      </c>
      <c r="D40" s="114" t="s">
        <v>438</v>
      </c>
      <c r="E40">
        <v>3903</v>
      </c>
      <c r="F40" s="114" t="s">
        <v>510</v>
      </c>
      <c r="G40" s="114" t="s">
        <v>439</v>
      </c>
      <c r="H40" s="114" t="s">
        <v>459</v>
      </c>
      <c r="I40">
        <v>227</v>
      </c>
    </row>
    <row r="41" spans="1:10">
      <c r="A41" s="114" t="s">
        <v>498</v>
      </c>
      <c r="B41" s="114" t="s">
        <v>436</v>
      </c>
      <c r="C41" s="114" t="s">
        <v>437</v>
      </c>
      <c r="D41" s="114" t="s">
        <v>438</v>
      </c>
      <c r="E41">
        <v>4334</v>
      </c>
      <c r="F41" s="114" t="s">
        <v>511</v>
      </c>
      <c r="G41" s="114" t="s">
        <v>445</v>
      </c>
      <c r="H41" s="114" t="s">
        <v>459</v>
      </c>
      <c r="I41">
        <v>59</v>
      </c>
    </row>
    <row r="42" spans="1:10">
      <c r="A42" s="114" t="s">
        <v>498</v>
      </c>
      <c r="B42" s="114" t="s">
        <v>436</v>
      </c>
      <c r="C42" s="114" t="s">
        <v>455</v>
      </c>
      <c r="D42" s="114" t="s">
        <v>443</v>
      </c>
      <c r="E42">
        <v>4382</v>
      </c>
      <c r="F42" s="114" t="s">
        <v>512</v>
      </c>
      <c r="G42" s="114" t="s">
        <v>461</v>
      </c>
      <c r="H42" s="114" t="s">
        <v>459</v>
      </c>
      <c r="I42">
        <v>848</v>
      </c>
    </row>
    <row r="43" spans="1:10">
      <c r="A43" s="114" t="s">
        <v>498</v>
      </c>
      <c r="B43" s="114" t="s">
        <v>436</v>
      </c>
      <c r="C43" s="114" t="s">
        <v>442</v>
      </c>
      <c r="D43" s="114" t="s">
        <v>438</v>
      </c>
      <c r="E43">
        <v>6040</v>
      </c>
      <c r="F43" s="114" t="s">
        <v>513</v>
      </c>
      <c r="G43" s="114" t="s">
        <v>461</v>
      </c>
      <c r="H43" s="114" t="s">
        <v>446</v>
      </c>
      <c r="I43">
        <v>138</v>
      </c>
    </row>
    <row r="44" spans="1:10">
      <c r="A44" s="114" t="s">
        <v>498</v>
      </c>
      <c r="B44" s="114" t="s">
        <v>436</v>
      </c>
      <c r="C44" s="114" t="s">
        <v>450</v>
      </c>
      <c r="D44" s="114" t="s">
        <v>438</v>
      </c>
      <c r="E44">
        <v>6309</v>
      </c>
      <c r="F44" s="114" t="s">
        <v>514</v>
      </c>
      <c r="G44" s="114" t="s">
        <v>439</v>
      </c>
      <c r="H44" s="114" t="s">
        <v>477</v>
      </c>
      <c r="I44">
        <v>240</v>
      </c>
    </row>
    <row r="45" spans="1:10">
      <c r="A45" s="114" t="s">
        <v>498</v>
      </c>
      <c r="B45" s="114" t="s">
        <v>436</v>
      </c>
      <c r="C45" s="114" t="s">
        <v>455</v>
      </c>
      <c r="D45" s="114" t="s">
        <v>438</v>
      </c>
      <c r="E45">
        <v>6656</v>
      </c>
      <c r="F45" s="114" t="s">
        <v>515</v>
      </c>
      <c r="G45" s="114" t="s">
        <v>452</v>
      </c>
      <c r="H45" s="114" t="s">
        <v>490</v>
      </c>
      <c r="I45">
        <v>42</v>
      </c>
    </row>
    <row r="46" spans="1:10">
      <c r="A46" s="114" t="s">
        <v>498</v>
      </c>
      <c r="B46" s="114" t="s">
        <v>436</v>
      </c>
      <c r="C46" s="114" t="s">
        <v>437</v>
      </c>
      <c r="D46" s="114" t="s">
        <v>438</v>
      </c>
      <c r="E46">
        <v>6898</v>
      </c>
      <c r="F46" s="114" t="s">
        <v>516</v>
      </c>
      <c r="G46" s="114" t="s">
        <v>445</v>
      </c>
      <c r="H46" s="114" t="s">
        <v>490</v>
      </c>
      <c r="I46">
        <v>11</v>
      </c>
    </row>
    <row r="47" spans="1:10">
      <c r="A47" s="114" t="s">
        <v>498</v>
      </c>
      <c r="B47" s="114" t="s">
        <v>436</v>
      </c>
      <c r="C47" s="114" t="s">
        <v>450</v>
      </c>
      <c r="D47" s="114" t="s">
        <v>443</v>
      </c>
      <c r="E47">
        <v>7265</v>
      </c>
      <c r="F47" s="114" t="s">
        <v>517</v>
      </c>
      <c r="G47" s="114" t="s">
        <v>445</v>
      </c>
      <c r="H47" s="114" t="s">
        <v>518</v>
      </c>
      <c r="I47">
        <v>31</v>
      </c>
    </row>
    <row r="48" spans="1:10">
      <c r="A48" s="114" t="s">
        <v>498</v>
      </c>
      <c r="B48" s="114" t="s">
        <v>436</v>
      </c>
      <c r="C48" s="114" t="s">
        <v>450</v>
      </c>
      <c r="D48" s="114" t="s">
        <v>438</v>
      </c>
      <c r="E48">
        <v>7640</v>
      </c>
      <c r="F48" s="114" t="s">
        <v>519</v>
      </c>
      <c r="G48" s="114" t="s">
        <v>439</v>
      </c>
      <c r="H48" s="114" t="s">
        <v>457</v>
      </c>
      <c r="I48">
        <v>44</v>
      </c>
    </row>
    <row r="49" spans="1:10">
      <c r="A49" s="114" t="s">
        <v>498</v>
      </c>
      <c r="B49" s="114" t="s">
        <v>436</v>
      </c>
      <c r="C49" s="114" t="s">
        <v>437</v>
      </c>
      <c r="D49" s="114" t="s">
        <v>443</v>
      </c>
      <c r="E49">
        <v>7878</v>
      </c>
      <c r="F49" s="114" t="s">
        <v>520</v>
      </c>
      <c r="G49" s="114" t="s">
        <v>445</v>
      </c>
      <c r="H49" s="114" t="s">
        <v>479</v>
      </c>
      <c r="I49">
        <v>10</v>
      </c>
    </row>
    <row r="50" spans="1:10">
      <c r="A50" s="114" t="s">
        <v>498</v>
      </c>
      <c r="B50" s="114" t="s">
        <v>436</v>
      </c>
      <c r="C50" s="114" t="s">
        <v>450</v>
      </c>
      <c r="D50" s="114" t="s">
        <v>438</v>
      </c>
      <c r="E50">
        <v>9678</v>
      </c>
      <c r="F50" s="114" t="s">
        <v>521</v>
      </c>
      <c r="G50" s="114" t="s">
        <v>439</v>
      </c>
      <c r="H50" s="114" t="s">
        <v>446</v>
      </c>
      <c r="I50" s="114" t="s">
        <v>522</v>
      </c>
      <c r="J50" s="114" t="s">
        <v>1060</v>
      </c>
    </row>
    <row r="51" spans="1:10">
      <c r="A51" s="114" t="s">
        <v>498</v>
      </c>
      <c r="B51" s="114" t="s">
        <v>436</v>
      </c>
      <c r="C51" s="114" t="s">
        <v>437</v>
      </c>
      <c r="D51" s="114" t="s">
        <v>443</v>
      </c>
      <c r="E51">
        <v>9734</v>
      </c>
      <c r="F51" s="114" t="s">
        <v>523</v>
      </c>
      <c r="G51" s="114" t="s">
        <v>445</v>
      </c>
      <c r="H51" s="114" t="s">
        <v>446</v>
      </c>
      <c r="I51" s="114">
        <v>28</v>
      </c>
      <c r="J51" s="114"/>
    </row>
    <row r="52" spans="1:10">
      <c r="A52" s="114" t="s">
        <v>498</v>
      </c>
      <c r="B52" s="114" t="s">
        <v>436</v>
      </c>
      <c r="C52" s="114" t="s">
        <v>437</v>
      </c>
      <c r="D52" s="114" t="s">
        <v>438</v>
      </c>
      <c r="E52">
        <v>9743</v>
      </c>
      <c r="F52" s="114" t="s">
        <v>524</v>
      </c>
      <c r="G52" s="114" t="s">
        <v>439</v>
      </c>
      <c r="H52" s="114" t="s">
        <v>446</v>
      </c>
      <c r="I52">
        <v>578</v>
      </c>
    </row>
    <row r="53" spans="1:10">
      <c r="A53" s="114" t="s">
        <v>525</v>
      </c>
      <c r="B53" s="114" t="s">
        <v>526</v>
      </c>
      <c r="C53" s="114" t="s">
        <v>437</v>
      </c>
      <c r="D53" s="114" t="s">
        <v>443</v>
      </c>
      <c r="E53">
        <v>2163</v>
      </c>
      <c r="F53" s="114" t="s">
        <v>527</v>
      </c>
      <c r="G53" s="114" t="s">
        <v>439</v>
      </c>
      <c r="H53" s="114" t="s">
        <v>446</v>
      </c>
      <c r="I53">
        <v>78</v>
      </c>
    </row>
    <row r="54" spans="1:10">
      <c r="A54" s="114" t="s">
        <v>525</v>
      </c>
      <c r="B54" s="114" t="s">
        <v>436</v>
      </c>
      <c r="C54" s="114" t="s">
        <v>450</v>
      </c>
      <c r="D54" s="114" t="s">
        <v>443</v>
      </c>
      <c r="E54">
        <v>2301</v>
      </c>
      <c r="F54" s="114" t="s">
        <v>528</v>
      </c>
      <c r="G54" s="114" t="s">
        <v>439</v>
      </c>
      <c r="H54" s="114" t="s">
        <v>446</v>
      </c>
      <c r="I54">
        <v>257</v>
      </c>
    </row>
    <row r="55" spans="1:10">
      <c r="A55" s="114" t="s">
        <v>525</v>
      </c>
      <c r="B55" s="114" t="s">
        <v>436</v>
      </c>
      <c r="C55" s="114" t="s">
        <v>437</v>
      </c>
      <c r="D55" s="114" t="s">
        <v>438</v>
      </c>
      <c r="E55">
        <v>3071</v>
      </c>
      <c r="F55" s="114" t="s">
        <v>529</v>
      </c>
      <c r="G55" s="114" t="s">
        <v>452</v>
      </c>
      <c r="H55" s="114" t="s">
        <v>457</v>
      </c>
      <c r="I55">
        <v>24</v>
      </c>
    </row>
    <row r="56" spans="1:10">
      <c r="A56" s="114" t="s">
        <v>525</v>
      </c>
      <c r="B56" s="114" t="s">
        <v>436</v>
      </c>
      <c r="C56" s="114" t="s">
        <v>455</v>
      </c>
      <c r="D56" s="114" t="s">
        <v>438</v>
      </c>
      <c r="E56">
        <v>3180</v>
      </c>
      <c r="F56" s="114" t="s">
        <v>530</v>
      </c>
      <c r="G56" s="114" t="s">
        <v>439</v>
      </c>
      <c r="H56" s="114" t="s">
        <v>448</v>
      </c>
      <c r="I56">
        <v>131</v>
      </c>
    </row>
    <row r="57" spans="1:10">
      <c r="A57" s="114" t="s">
        <v>525</v>
      </c>
      <c r="B57" s="114" t="s">
        <v>436</v>
      </c>
      <c r="C57" s="114" t="s">
        <v>450</v>
      </c>
      <c r="D57" s="114" t="s">
        <v>438</v>
      </c>
      <c r="E57">
        <v>3491</v>
      </c>
      <c r="F57" s="114" t="s">
        <v>531</v>
      </c>
      <c r="G57" s="114" t="s">
        <v>461</v>
      </c>
      <c r="H57" s="114" t="s">
        <v>492</v>
      </c>
      <c r="I57">
        <v>371</v>
      </c>
    </row>
    <row r="58" spans="1:10">
      <c r="A58" s="114" t="s">
        <v>525</v>
      </c>
      <c r="B58" s="114" t="s">
        <v>436</v>
      </c>
      <c r="C58" s="114" t="s">
        <v>455</v>
      </c>
      <c r="D58" s="114" t="s">
        <v>438</v>
      </c>
      <c r="E58">
        <v>3524</v>
      </c>
      <c r="F58" s="114" t="s">
        <v>532</v>
      </c>
      <c r="G58" s="114" t="s">
        <v>439</v>
      </c>
      <c r="H58" s="114" t="s">
        <v>533</v>
      </c>
      <c r="I58">
        <v>42</v>
      </c>
    </row>
    <row r="59" spans="1:10">
      <c r="A59" s="114" t="s">
        <v>525</v>
      </c>
      <c r="B59" s="114" t="s">
        <v>436</v>
      </c>
      <c r="C59" s="114" t="s">
        <v>437</v>
      </c>
      <c r="D59" s="114" t="s">
        <v>438</v>
      </c>
      <c r="E59">
        <v>3955</v>
      </c>
      <c r="F59" s="114" t="s">
        <v>534</v>
      </c>
      <c r="G59" s="114" t="s">
        <v>452</v>
      </c>
      <c r="H59" s="114" t="s">
        <v>535</v>
      </c>
      <c r="I59">
        <v>61</v>
      </c>
    </row>
    <row r="60" spans="1:10">
      <c r="A60" s="114" t="s">
        <v>525</v>
      </c>
      <c r="B60" s="114" t="s">
        <v>436</v>
      </c>
      <c r="C60" s="114" t="s">
        <v>437</v>
      </c>
      <c r="D60" s="114" t="s">
        <v>438</v>
      </c>
      <c r="E60">
        <v>4238</v>
      </c>
      <c r="F60" s="114" t="s">
        <v>536</v>
      </c>
      <c r="G60" s="114" t="s">
        <v>439</v>
      </c>
      <c r="H60" s="114" t="s">
        <v>463</v>
      </c>
      <c r="I60">
        <v>135</v>
      </c>
    </row>
    <row r="61" spans="1:10">
      <c r="A61" s="114" t="s">
        <v>525</v>
      </c>
      <c r="B61" s="114" t="s">
        <v>436</v>
      </c>
      <c r="C61" s="114" t="s">
        <v>455</v>
      </c>
      <c r="D61" s="114" t="s">
        <v>438</v>
      </c>
      <c r="E61">
        <v>6065</v>
      </c>
      <c r="F61" s="114" t="s">
        <v>537</v>
      </c>
      <c r="G61" s="114" t="s">
        <v>439</v>
      </c>
      <c r="H61" s="114" t="s">
        <v>446</v>
      </c>
      <c r="I61">
        <v>90</v>
      </c>
    </row>
    <row r="62" spans="1:10">
      <c r="A62" s="114" t="s">
        <v>525</v>
      </c>
      <c r="B62" s="114" t="s">
        <v>436</v>
      </c>
      <c r="C62" s="114" t="s">
        <v>437</v>
      </c>
      <c r="D62" s="114" t="s">
        <v>438</v>
      </c>
      <c r="E62">
        <v>7196</v>
      </c>
      <c r="F62" s="114" t="s">
        <v>538</v>
      </c>
      <c r="G62" s="114" t="s">
        <v>439</v>
      </c>
      <c r="H62" s="114" t="s">
        <v>539</v>
      </c>
      <c r="I62">
        <v>138</v>
      </c>
    </row>
    <row r="63" spans="1:10">
      <c r="A63" s="114" t="s">
        <v>525</v>
      </c>
      <c r="B63" s="114" t="s">
        <v>436</v>
      </c>
      <c r="C63" s="114" t="s">
        <v>450</v>
      </c>
      <c r="D63" s="114" t="s">
        <v>443</v>
      </c>
      <c r="E63">
        <v>7804</v>
      </c>
      <c r="F63" s="114" t="s">
        <v>540</v>
      </c>
      <c r="G63" s="114" t="s">
        <v>461</v>
      </c>
      <c r="H63" s="114" t="s">
        <v>479</v>
      </c>
      <c r="I63">
        <v>42</v>
      </c>
    </row>
    <row r="64" spans="1:10">
      <c r="A64" s="114" t="s">
        <v>525</v>
      </c>
      <c r="B64" s="114" t="s">
        <v>436</v>
      </c>
      <c r="C64" s="114" t="s">
        <v>450</v>
      </c>
      <c r="D64" s="114" t="s">
        <v>438</v>
      </c>
      <c r="E64">
        <v>7856</v>
      </c>
      <c r="F64" s="114" t="s">
        <v>541</v>
      </c>
      <c r="G64" s="114" t="s">
        <v>439</v>
      </c>
      <c r="H64" s="114" t="s">
        <v>479</v>
      </c>
      <c r="I64">
        <v>242</v>
      </c>
    </row>
    <row r="65" spans="1:9">
      <c r="A65" s="114" t="s">
        <v>525</v>
      </c>
      <c r="B65" s="114" t="s">
        <v>436</v>
      </c>
      <c r="C65" s="114" t="s">
        <v>450</v>
      </c>
      <c r="D65" s="114" t="s">
        <v>438</v>
      </c>
      <c r="E65">
        <v>9824</v>
      </c>
      <c r="F65" s="114" t="s">
        <v>542</v>
      </c>
      <c r="G65" s="114" t="s">
        <v>439</v>
      </c>
      <c r="H65" s="114" t="s">
        <v>448</v>
      </c>
      <c r="I65">
        <v>313</v>
      </c>
    </row>
    <row r="66" spans="1:9">
      <c r="A66" s="114" t="s">
        <v>543</v>
      </c>
      <c r="B66" s="114" t="s">
        <v>436</v>
      </c>
      <c r="C66" s="114" t="s">
        <v>437</v>
      </c>
      <c r="D66" s="114" t="s">
        <v>438</v>
      </c>
      <c r="E66">
        <v>1433</v>
      </c>
      <c r="F66" s="114" t="s">
        <v>544</v>
      </c>
      <c r="G66" s="114" t="s">
        <v>439</v>
      </c>
      <c r="H66" s="114" t="s">
        <v>500</v>
      </c>
      <c r="I66">
        <v>106</v>
      </c>
    </row>
    <row r="67" spans="1:9">
      <c r="A67" s="114" t="s">
        <v>543</v>
      </c>
      <c r="B67" s="114" t="s">
        <v>436</v>
      </c>
      <c r="C67" s="114" t="s">
        <v>442</v>
      </c>
      <c r="D67" s="114" t="s">
        <v>438</v>
      </c>
      <c r="E67">
        <v>1844</v>
      </c>
      <c r="F67" s="114" t="s">
        <v>545</v>
      </c>
      <c r="G67" s="114" t="s">
        <v>452</v>
      </c>
      <c r="H67" s="114" t="s">
        <v>500</v>
      </c>
      <c r="I67">
        <v>32</v>
      </c>
    </row>
    <row r="68" spans="1:9">
      <c r="A68" s="114" t="s">
        <v>543</v>
      </c>
      <c r="B68" s="114" t="s">
        <v>436</v>
      </c>
      <c r="C68" s="114" t="s">
        <v>455</v>
      </c>
      <c r="D68" s="114" t="s">
        <v>443</v>
      </c>
      <c r="E68">
        <v>2438</v>
      </c>
      <c r="F68" s="114" t="s">
        <v>546</v>
      </c>
      <c r="G68" s="114" t="s">
        <v>461</v>
      </c>
      <c r="H68" s="114" t="s">
        <v>446</v>
      </c>
      <c r="I68">
        <v>252</v>
      </c>
    </row>
    <row r="69" spans="1:9">
      <c r="A69" s="114" t="s">
        <v>543</v>
      </c>
      <c r="B69" s="114" t="s">
        <v>436</v>
      </c>
      <c r="C69" s="114" t="s">
        <v>455</v>
      </c>
      <c r="D69" s="114" t="s">
        <v>438</v>
      </c>
      <c r="E69">
        <v>2751</v>
      </c>
      <c r="F69" s="114" t="s">
        <v>547</v>
      </c>
      <c r="G69" s="114" t="s">
        <v>445</v>
      </c>
      <c r="H69" s="114" t="s">
        <v>448</v>
      </c>
      <c r="I69">
        <v>316</v>
      </c>
    </row>
    <row r="70" spans="1:9">
      <c r="A70" s="114" t="s">
        <v>543</v>
      </c>
      <c r="B70" s="114" t="s">
        <v>436</v>
      </c>
      <c r="C70" s="114" t="s">
        <v>455</v>
      </c>
      <c r="D70" s="114" t="s">
        <v>438</v>
      </c>
      <c r="E70">
        <v>2923</v>
      </c>
      <c r="F70" s="114" t="s">
        <v>548</v>
      </c>
      <c r="G70" s="114" t="s">
        <v>452</v>
      </c>
      <c r="H70" s="114" t="s">
        <v>440</v>
      </c>
      <c r="I70">
        <v>183</v>
      </c>
    </row>
    <row r="71" spans="1:9">
      <c r="A71" s="114" t="s">
        <v>543</v>
      </c>
      <c r="B71" s="114" t="s">
        <v>436</v>
      </c>
      <c r="C71" s="114" t="s">
        <v>437</v>
      </c>
      <c r="D71" s="114" t="s">
        <v>438</v>
      </c>
      <c r="E71">
        <v>3070</v>
      </c>
      <c r="F71" s="114" t="s">
        <v>549</v>
      </c>
      <c r="G71" s="114" t="s">
        <v>445</v>
      </c>
      <c r="H71" s="114" t="s">
        <v>448</v>
      </c>
      <c r="I71">
        <v>7</v>
      </c>
    </row>
    <row r="72" spans="1:9">
      <c r="A72" s="114" t="s">
        <v>543</v>
      </c>
      <c r="B72" s="114" t="s">
        <v>436</v>
      </c>
      <c r="C72" s="114" t="s">
        <v>450</v>
      </c>
      <c r="D72" s="114" t="s">
        <v>438</v>
      </c>
      <c r="E72">
        <v>3248</v>
      </c>
      <c r="F72" s="114" t="s">
        <v>550</v>
      </c>
      <c r="G72" s="114" t="s">
        <v>452</v>
      </c>
      <c r="H72" s="114" t="s">
        <v>492</v>
      </c>
      <c r="I72">
        <v>21</v>
      </c>
    </row>
    <row r="73" spans="1:9">
      <c r="A73" s="114" t="s">
        <v>543</v>
      </c>
      <c r="B73" s="114" t="s">
        <v>436</v>
      </c>
      <c r="C73" s="114" t="s">
        <v>437</v>
      </c>
      <c r="D73" s="114" t="s">
        <v>443</v>
      </c>
      <c r="E73">
        <v>3399</v>
      </c>
      <c r="F73" s="114" t="s">
        <v>551</v>
      </c>
      <c r="G73" s="114" t="s">
        <v>445</v>
      </c>
      <c r="H73" s="114" t="s">
        <v>457</v>
      </c>
      <c r="I73">
        <v>51</v>
      </c>
    </row>
    <row r="74" spans="1:9">
      <c r="A74" s="114" t="s">
        <v>543</v>
      </c>
      <c r="B74" s="114" t="s">
        <v>436</v>
      </c>
      <c r="C74" s="114" t="s">
        <v>450</v>
      </c>
      <c r="D74" s="114" t="s">
        <v>438</v>
      </c>
      <c r="E74">
        <v>3475</v>
      </c>
      <c r="F74" s="114" t="s">
        <v>552</v>
      </c>
      <c r="G74" s="114" t="s">
        <v>439</v>
      </c>
      <c r="H74" s="114" t="s">
        <v>492</v>
      </c>
      <c r="I74">
        <v>136</v>
      </c>
    </row>
    <row r="75" spans="1:9">
      <c r="A75" s="114" t="s">
        <v>543</v>
      </c>
      <c r="B75" s="114" t="s">
        <v>436</v>
      </c>
      <c r="C75" s="114" t="s">
        <v>450</v>
      </c>
      <c r="D75" s="114" t="s">
        <v>443</v>
      </c>
      <c r="E75">
        <v>3476</v>
      </c>
      <c r="F75" s="114" t="s">
        <v>553</v>
      </c>
      <c r="G75" s="114" t="s">
        <v>554</v>
      </c>
      <c r="H75" s="114" t="s">
        <v>555</v>
      </c>
      <c r="I75">
        <v>966</v>
      </c>
    </row>
    <row r="76" spans="1:9">
      <c r="A76" s="114" t="s">
        <v>543</v>
      </c>
      <c r="B76" s="114" t="s">
        <v>436</v>
      </c>
      <c r="C76" s="114" t="s">
        <v>442</v>
      </c>
      <c r="D76" s="114" t="s">
        <v>438</v>
      </c>
      <c r="E76">
        <v>3988</v>
      </c>
      <c r="F76" s="114" t="s">
        <v>556</v>
      </c>
      <c r="G76" s="114" t="s">
        <v>445</v>
      </c>
      <c r="H76" s="114" t="s">
        <v>459</v>
      </c>
      <c r="I76">
        <v>31</v>
      </c>
    </row>
    <row r="77" spans="1:9">
      <c r="A77" s="114" t="s">
        <v>543</v>
      </c>
      <c r="B77" s="114" t="s">
        <v>436</v>
      </c>
      <c r="C77" s="114" t="s">
        <v>450</v>
      </c>
      <c r="D77" s="114" t="s">
        <v>443</v>
      </c>
      <c r="E77">
        <v>4441</v>
      </c>
      <c r="F77" s="114" t="s">
        <v>557</v>
      </c>
      <c r="G77" s="114" t="s">
        <v>461</v>
      </c>
      <c r="H77" s="114" t="s">
        <v>459</v>
      </c>
      <c r="I77">
        <v>203</v>
      </c>
    </row>
    <row r="78" spans="1:9">
      <c r="A78" s="114" t="s">
        <v>543</v>
      </c>
      <c r="B78" s="114" t="s">
        <v>436</v>
      </c>
      <c r="C78" s="114" t="s">
        <v>442</v>
      </c>
      <c r="D78" s="114" t="s">
        <v>443</v>
      </c>
      <c r="E78">
        <v>6387</v>
      </c>
      <c r="F78" s="114" t="s">
        <v>558</v>
      </c>
      <c r="G78" s="114" t="s">
        <v>439</v>
      </c>
      <c r="H78" s="114" t="s">
        <v>477</v>
      </c>
      <c r="I78">
        <v>92</v>
      </c>
    </row>
    <row r="79" spans="1:9">
      <c r="A79" s="114" t="s">
        <v>543</v>
      </c>
      <c r="B79" s="114" t="s">
        <v>436</v>
      </c>
      <c r="C79" s="114" t="s">
        <v>437</v>
      </c>
      <c r="D79" s="114" t="s">
        <v>438</v>
      </c>
      <c r="E79">
        <v>6696</v>
      </c>
      <c r="F79" s="114" t="s">
        <v>559</v>
      </c>
      <c r="G79" s="114" t="s">
        <v>461</v>
      </c>
      <c r="H79" s="114" t="s">
        <v>490</v>
      </c>
      <c r="I79">
        <v>40</v>
      </c>
    </row>
    <row r="80" spans="1:9">
      <c r="A80" s="114" t="s">
        <v>543</v>
      </c>
      <c r="B80" s="114" t="s">
        <v>436</v>
      </c>
      <c r="C80" s="114" t="s">
        <v>455</v>
      </c>
      <c r="D80" s="114" t="s">
        <v>443</v>
      </c>
      <c r="E80">
        <v>7901</v>
      </c>
      <c r="F80" s="114" t="s">
        <v>560</v>
      </c>
      <c r="G80" s="114" t="s">
        <v>445</v>
      </c>
      <c r="H80" s="114" t="s">
        <v>479</v>
      </c>
      <c r="I80">
        <v>9</v>
      </c>
    </row>
    <row r="81" spans="1:10">
      <c r="A81" s="114" t="s">
        <v>543</v>
      </c>
      <c r="B81" s="114" t="s">
        <v>436</v>
      </c>
      <c r="C81" s="114" t="s">
        <v>437</v>
      </c>
      <c r="D81" s="114" t="s">
        <v>438</v>
      </c>
      <c r="E81">
        <v>8142</v>
      </c>
      <c r="F81" s="114" t="s">
        <v>561</v>
      </c>
      <c r="G81" s="114" t="s">
        <v>439</v>
      </c>
      <c r="H81" s="114" t="s">
        <v>448</v>
      </c>
      <c r="I81">
        <v>201</v>
      </c>
    </row>
    <row r="82" spans="1:10">
      <c r="A82" s="114" t="s">
        <v>543</v>
      </c>
      <c r="B82" s="114" t="s">
        <v>436</v>
      </c>
      <c r="C82" s="114" t="s">
        <v>442</v>
      </c>
      <c r="D82" s="114" t="s">
        <v>443</v>
      </c>
      <c r="E82">
        <v>9262</v>
      </c>
      <c r="F82" s="114" t="s">
        <v>562</v>
      </c>
      <c r="G82" s="114" t="s">
        <v>461</v>
      </c>
      <c r="H82" s="114" t="s">
        <v>457</v>
      </c>
      <c r="I82">
        <v>333</v>
      </c>
    </row>
    <row r="83" spans="1:10">
      <c r="A83" s="114" t="s">
        <v>543</v>
      </c>
      <c r="B83" s="114" t="s">
        <v>436</v>
      </c>
      <c r="C83" s="114" t="s">
        <v>437</v>
      </c>
      <c r="D83" s="114" t="s">
        <v>443</v>
      </c>
      <c r="E83">
        <v>9636</v>
      </c>
      <c r="F83" s="114" t="s">
        <v>563</v>
      </c>
      <c r="G83" s="114" t="s">
        <v>452</v>
      </c>
      <c r="H83" s="114" t="s">
        <v>446</v>
      </c>
      <c r="I83">
        <v>97</v>
      </c>
    </row>
    <row r="84" spans="1:10">
      <c r="A84" s="114" t="s">
        <v>543</v>
      </c>
      <c r="B84" s="114" t="s">
        <v>436</v>
      </c>
      <c r="C84" s="114" t="s">
        <v>437</v>
      </c>
      <c r="D84" s="114" t="s">
        <v>438</v>
      </c>
      <c r="E84">
        <v>9692</v>
      </c>
      <c r="F84" s="114" t="s">
        <v>564</v>
      </c>
      <c r="G84" s="114" t="s">
        <v>439</v>
      </c>
      <c r="H84" s="114" t="s">
        <v>459</v>
      </c>
      <c r="I84">
        <v>824</v>
      </c>
    </row>
    <row r="85" spans="1:10">
      <c r="A85" s="114" t="s">
        <v>565</v>
      </c>
      <c r="B85" s="114" t="s">
        <v>436</v>
      </c>
      <c r="C85" s="114" t="s">
        <v>437</v>
      </c>
      <c r="D85" s="114" t="s">
        <v>443</v>
      </c>
      <c r="E85">
        <v>1758</v>
      </c>
      <c r="F85" s="114" t="s">
        <v>566</v>
      </c>
      <c r="G85" s="114" t="s">
        <v>445</v>
      </c>
      <c r="H85" s="114" t="s">
        <v>500</v>
      </c>
      <c r="I85">
        <v>45</v>
      </c>
    </row>
    <row r="86" spans="1:10">
      <c r="A86" s="114" t="s">
        <v>565</v>
      </c>
      <c r="B86" s="114" t="s">
        <v>436</v>
      </c>
      <c r="C86" s="114" t="s">
        <v>455</v>
      </c>
      <c r="D86" s="114" t="s">
        <v>438</v>
      </c>
      <c r="E86">
        <v>3134</v>
      </c>
      <c r="F86" s="114" t="s">
        <v>567</v>
      </c>
      <c r="G86" s="114" t="s">
        <v>439</v>
      </c>
      <c r="H86" s="114" t="s">
        <v>457</v>
      </c>
      <c r="I86">
        <v>211</v>
      </c>
    </row>
    <row r="87" spans="1:10">
      <c r="A87" s="114" t="s">
        <v>565</v>
      </c>
      <c r="B87" s="114" t="s">
        <v>436</v>
      </c>
      <c r="C87" s="114" t="s">
        <v>455</v>
      </c>
      <c r="D87" s="114" t="s">
        <v>438</v>
      </c>
      <c r="E87">
        <v>3161</v>
      </c>
      <c r="F87" s="114" t="s">
        <v>568</v>
      </c>
      <c r="G87" s="114" t="s">
        <v>452</v>
      </c>
      <c r="H87" s="114" t="s">
        <v>448</v>
      </c>
      <c r="I87">
        <v>37</v>
      </c>
    </row>
    <row r="88" spans="1:10">
      <c r="A88" s="114" t="s">
        <v>565</v>
      </c>
      <c r="B88" s="114" t="s">
        <v>436</v>
      </c>
      <c r="C88" s="114" t="s">
        <v>437</v>
      </c>
      <c r="D88" s="114" t="s">
        <v>438</v>
      </c>
      <c r="E88">
        <v>3320</v>
      </c>
      <c r="F88" s="114" t="s">
        <v>569</v>
      </c>
      <c r="G88" s="114" t="s">
        <v>452</v>
      </c>
      <c r="H88" s="114" t="s">
        <v>448</v>
      </c>
      <c r="I88">
        <v>55</v>
      </c>
    </row>
    <row r="89" spans="1:10">
      <c r="A89" s="114" t="s">
        <v>565</v>
      </c>
      <c r="B89" s="114" t="s">
        <v>436</v>
      </c>
      <c r="C89" s="114" t="s">
        <v>455</v>
      </c>
      <c r="D89" s="114" t="s">
        <v>438</v>
      </c>
      <c r="E89">
        <v>3444</v>
      </c>
      <c r="F89" s="114" t="s">
        <v>570</v>
      </c>
      <c r="G89" s="114" t="s">
        <v>445</v>
      </c>
      <c r="H89" s="114" t="s">
        <v>469</v>
      </c>
      <c r="I89">
        <v>92</v>
      </c>
    </row>
    <row r="90" spans="1:10">
      <c r="A90" s="114" t="s">
        <v>565</v>
      </c>
      <c r="B90" s="114" t="s">
        <v>436</v>
      </c>
      <c r="C90" s="114" t="s">
        <v>442</v>
      </c>
      <c r="D90" s="114" t="s">
        <v>438</v>
      </c>
      <c r="E90">
        <v>3458</v>
      </c>
      <c r="F90" s="114" t="s">
        <v>571</v>
      </c>
      <c r="G90" s="114" t="s">
        <v>439</v>
      </c>
      <c r="H90" s="114" t="s">
        <v>492</v>
      </c>
      <c r="I90">
        <v>277</v>
      </c>
    </row>
    <row r="91" spans="1:10">
      <c r="A91" s="114" t="s">
        <v>565</v>
      </c>
      <c r="B91" s="114" t="s">
        <v>436</v>
      </c>
      <c r="C91" s="114" t="s">
        <v>442</v>
      </c>
      <c r="D91" s="114" t="s">
        <v>438</v>
      </c>
      <c r="E91">
        <v>3539</v>
      </c>
      <c r="F91" s="114" t="s">
        <v>572</v>
      </c>
      <c r="G91" s="114" t="s">
        <v>439</v>
      </c>
      <c r="H91" s="114" t="s">
        <v>457</v>
      </c>
      <c r="I91">
        <v>561</v>
      </c>
    </row>
    <row r="92" spans="1:10">
      <c r="A92" s="114" t="s">
        <v>565</v>
      </c>
      <c r="B92" s="114" t="s">
        <v>436</v>
      </c>
      <c r="C92" s="114" t="s">
        <v>437</v>
      </c>
      <c r="D92" s="114" t="s">
        <v>443</v>
      </c>
      <c r="E92">
        <v>3565</v>
      </c>
      <c r="F92" s="114" t="s">
        <v>573</v>
      </c>
      <c r="G92" s="114" t="s">
        <v>439</v>
      </c>
      <c r="H92" s="114" t="s">
        <v>448</v>
      </c>
      <c r="I92">
        <v>128</v>
      </c>
    </row>
    <row r="93" spans="1:10">
      <c r="A93" s="114" t="s">
        <v>565</v>
      </c>
      <c r="B93" s="114" t="s">
        <v>436</v>
      </c>
      <c r="C93" s="114" t="s">
        <v>455</v>
      </c>
      <c r="D93" s="114" t="s">
        <v>443</v>
      </c>
      <c r="E93">
        <v>4026</v>
      </c>
      <c r="F93" s="114" t="s">
        <v>574</v>
      </c>
      <c r="G93" s="114" t="s">
        <v>452</v>
      </c>
      <c r="H93" s="114" t="s">
        <v>575</v>
      </c>
      <c r="I93">
        <v>78</v>
      </c>
    </row>
    <row r="94" spans="1:10">
      <c r="A94" s="114" t="s">
        <v>565</v>
      </c>
      <c r="B94" s="114" t="s">
        <v>436</v>
      </c>
      <c r="C94" s="114" t="s">
        <v>437</v>
      </c>
      <c r="D94" s="114" t="s">
        <v>443</v>
      </c>
      <c r="E94">
        <v>7064</v>
      </c>
      <c r="F94" s="114" t="s">
        <v>576</v>
      </c>
      <c r="G94" s="114" t="s">
        <v>461</v>
      </c>
      <c r="H94" s="114" t="s">
        <v>446</v>
      </c>
      <c r="I94">
        <v>39</v>
      </c>
    </row>
    <row r="95" spans="1:10">
      <c r="A95" s="114" t="s">
        <v>577</v>
      </c>
      <c r="B95" s="114" t="s">
        <v>436</v>
      </c>
      <c r="C95" s="114" t="s">
        <v>450</v>
      </c>
      <c r="D95" s="114" t="s">
        <v>438</v>
      </c>
      <c r="E95">
        <v>2695</v>
      </c>
      <c r="F95" s="114" t="s">
        <v>578</v>
      </c>
      <c r="G95" s="114" t="s">
        <v>439</v>
      </c>
      <c r="H95" s="114" t="s">
        <v>457</v>
      </c>
      <c r="I95" s="114" t="s">
        <v>522</v>
      </c>
      <c r="J95" s="114" t="s">
        <v>1097</v>
      </c>
    </row>
    <row r="96" spans="1:10">
      <c r="A96" s="114" t="s">
        <v>577</v>
      </c>
      <c r="B96" s="114" t="s">
        <v>436</v>
      </c>
      <c r="C96" s="114" t="s">
        <v>455</v>
      </c>
      <c r="D96" s="114" t="s">
        <v>443</v>
      </c>
      <c r="E96">
        <v>3075</v>
      </c>
      <c r="F96" s="114" t="s">
        <v>579</v>
      </c>
      <c r="G96" s="114" t="s">
        <v>445</v>
      </c>
      <c r="H96" s="114" t="s">
        <v>457</v>
      </c>
      <c r="I96">
        <v>186</v>
      </c>
    </row>
    <row r="97" spans="1:10">
      <c r="A97" s="114" t="s">
        <v>577</v>
      </c>
      <c r="B97" s="114" t="s">
        <v>436</v>
      </c>
      <c r="C97" s="114" t="s">
        <v>437</v>
      </c>
      <c r="D97" s="114" t="s">
        <v>438</v>
      </c>
      <c r="E97">
        <v>3169</v>
      </c>
      <c r="F97" s="114" t="s">
        <v>580</v>
      </c>
      <c r="G97" s="114" t="s">
        <v>439</v>
      </c>
      <c r="H97" s="114" t="s">
        <v>457</v>
      </c>
      <c r="I97">
        <v>59</v>
      </c>
    </row>
    <row r="98" spans="1:10">
      <c r="A98" s="114" t="s">
        <v>577</v>
      </c>
      <c r="B98" s="114" t="s">
        <v>436</v>
      </c>
      <c r="C98" s="114" t="s">
        <v>455</v>
      </c>
      <c r="D98" s="114" t="s">
        <v>438</v>
      </c>
      <c r="E98">
        <v>3361</v>
      </c>
      <c r="F98" s="114" t="s">
        <v>581</v>
      </c>
      <c r="G98" s="114" t="s">
        <v>439</v>
      </c>
      <c r="H98" s="114" t="s">
        <v>457</v>
      </c>
      <c r="I98">
        <v>161</v>
      </c>
    </row>
    <row r="99" spans="1:10">
      <c r="A99" s="114" t="s">
        <v>577</v>
      </c>
      <c r="B99" s="114" t="s">
        <v>436</v>
      </c>
      <c r="C99" s="114" t="s">
        <v>442</v>
      </c>
      <c r="D99" s="114" t="s">
        <v>438</v>
      </c>
      <c r="E99">
        <v>3418</v>
      </c>
      <c r="F99" s="114" t="s">
        <v>582</v>
      </c>
      <c r="G99" s="114" t="s">
        <v>461</v>
      </c>
      <c r="H99" s="114" t="s">
        <v>457</v>
      </c>
      <c r="I99">
        <v>102</v>
      </c>
    </row>
    <row r="100" spans="1:10">
      <c r="A100" s="114" t="s">
        <v>577</v>
      </c>
      <c r="B100" s="114" t="s">
        <v>436</v>
      </c>
      <c r="C100" s="114" t="s">
        <v>455</v>
      </c>
      <c r="D100" s="114" t="s">
        <v>438</v>
      </c>
      <c r="E100">
        <v>3549</v>
      </c>
      <c r="F100" s="114" t="s">
        <v>583</v>
      </c>
      <c r="G100" s="114" t="s">
        <v>439</v>
      </c>
      <c r="H100" s="114" t="s">
        <v>457</v>
      </c>
      <c r="I100" s="114" t="s">
        <v>482</v>
      </c>
      <c r="J100" s="114" t="s">
        <v>1098</v>
      </c>
    </row>
    <row r="101" spans="1:10">
      <c r="A101" s="114" t="s">
        <v>577</v>
      </c>
      <c r="B101" s="114" t="s">
        <v>436</v>
      </c>
      <c r="C101" s="114" t="s">
        <v>450</v>
      </c>
      <c r="D101" s="114" t="s">
        <v>438</v>
      </c>
      <c r="E101">
        <v>3974</v>
      </c>
      <c r="F101" s="114" t="s">
        <v>584</v>
      </c>
      <c r="G101" s="114" t="s">
        <v>445</v>
      </c>
      <c r="H101" s="114" t="s">
        <v>459</v>
      </c>
      <c r="I101" s="114">
        <v>23</v>
      </c>
      <c r="J101" s="114"/>
    </row>
    <row r="102" spans="1:10">
      <c r="A102" s="114" t="s">
        <v>577</v>
      </c>
      <c r="B102" s="114" t="s">
        <v>436</v>
      </c>
      <c r="C102" s="114" t="s">
        <v>450</v>
      </c>
      <c r="D102" s="114" t="s">
        <v>438</v>
      </c>
      <c r="E102">
        <v>3976</v>
      </c>
      <c r="F102" s="114" t="s">
        <v>585</v>
      </c>
      <c r="G102" s="114" t="s">
        <v>461</v>
      </c>
      <c r="H102" s="114" t="s">
        <v>459</v>
      </c>
      <c r="I102">
        <v>19</v>
      </c>
    </row>
    <row r="103" spans="1:10">
      <c r="A103" s="114" t="s">
        <v>577</v>
      </c>
      <c r="B103" s="114" t="s">
        <v>436</v>
      </c>
      <c r="C103" s="114" t="s">
        <v>442</v>
      </c>
      <c r="D103" s="114" t="s">
        <v>443</v>
      </c>
      <c r="E103">
        <v>4384</v>
      </c>
      <c r="F103" s="114" t="s">
        <v>586</v>
      </c>
      <c r="G103" s="114" t="s">
        <v>439</v>
      </c>
      <c r="H103" s="114" t="s">
        <v>459</v>
      </c>
      <c r="I103" s="114" t="s">
        <v>522</v>
      </c>
      <c r="J103" s="114" t="s">
        <v>1099</v>
      </c>
    </row>
    <row r="104" spans="1:10">
      <c r="A104" s="114" t="s">
        <v>577</v>
      </c>
      <c r="B104" s="114" t="s">
        <v>436</v>
      </c>
      <c r="C104" s="114" t="s">
        <v>442</v>
      </c>
      <c r="D104" s="114" t="s">
        <v>438</v>
      </c>
      <c r="E104">
        <v>4422</v>
      </c>
      <c r="F104" s="114" t="s">
        <v>587</v>
      </c>
      <c r="G104" s="114" t="s">
        <v>461</v>
      </c>
      <c r="H104" s="114" t="s">
        <v>459</v>
      </c>
      <c r="I104" s="114">
        <v>66</v>
      </c>
      <c r="J104" s="114"/>
    </row>
    <row r="105" spans="1:10">
      <c r="A105" s="114" t="s">
        <v>577</v>
      </c>
      <c r="B105" s="114" t="s">
        <v>436</v>
      </c>
      <c r="C105" s="114" t="s">
        <v>450</v>
      </c>
      <c r="D105" s="114" t="s">
        <v>443</v>
      </c>
      <c r="E105">
        <v>4880</v>
      </c>
      <c r="F105" s="114" t="s">
        <v>588</v>
      </c>
      <c r="G105" s="114" t="s">
        <v>461</v>
      </c>
      <c r="H105" s="114" t="s">
        <v>589</v>
      </c>
      <c r="I105">
        <v>166</v>
      </c>
    </row>
    <row r="106" spans="1:10">
      <c r="A106" s="114" t="s">
        <v>577</v>
      </c>
      <c r="B106" s="114" t="s">
        <v>436</v>
      </c>
      <c r="C106" s="114" t="s">
        <v>450</v>
      </c>
      <c r="D106" s="114" t="s">
        <v>438</v>
      </c>
      <c r="E106">
        <v>5218</v>
      </c>
      <c r="F106" s="114" t="s">
        <v>590</v>
      </c>
      <c r="G106" s="114" t="s">
        <v>439</v>
      </c>
      <c r="H106" s="114" t="s">
        <v>575</v>
      </c>
      <c r="I106">
        <v>373</v>
      </c>
    </row>
    <row r="107" spans="1:10">
      <c r="A107" s="114" t="s">
        <v>577</v>
      </c>
      <c r="B107" s="114" t="s">
        <v>436</v>
      </c>
      <c r="C107" s="114" t="s">
        <v>442</v>
      </c>
      <c r="D107" s="114" t="s">
        <v>443</v>
      </c>
      <c r="E107">
        <v>6037</v>
      </c>
      <c r="F107" s="114" t="s">
        <v>591</v>
      </c>
      <c r="G107" s="114" t="s">
        <v>439</v>
      </c>
      <c r="H107" s="114" t="s">
        <v>446</v>
      </c>
      <c r="I107">
        <v>77</v>
      </c>
    </row>
    <row r="108" spans="1:10">
      <c r="A108" s="114" t="s">
        <v>577</v>
      </c>
      <c r="B108" s="114" t="s">
        <v>436</v>
      </c>
      <c r="C108" s="114" t="s">
        <v>437</v>
      </c>
      <c r="D108" s="114" t="s">
        <v>438</v>
      </c>
      <c r="E108">
        <v>6184</v>
      </c>
      <c r="F108" s="114" t="s">
        <v>592</v>
      </c>
      <c r="G108" s="114" t="s">
        <v>439</v>
      </c>
      <c r="H108" s="114" t="s">
        <v>446</v>
      </c>
      <c r="I108">
        <v>672</v>
      </c>
    </row>
    <row r="109" spans="1:10">
      <c r="A109" s="114" t="s">
        <v>577</v>
      </c>
      <c r="B109" s="114" t="s">
        <v>436</v>
      </c>
      <c r="C109" s="114" t="s">
        <v>437</v>
      </c>
      <c r="D109" s="114" t="s">
        <v>438</v>
      </c>
      <c r="E109">
        <v>6336</v>
      </c>
      <c r="F109" s="114" t="s">
        <v>593</v>
      </c>
      <c r="G109" s="114" t="s">
        <v>452</v>
      </c>
      <c r="H109" s="114" t="s">
        <v>477</v>
      </c>
      <c r="I109">
        <v>61</v>
      </c>
    </row>
    <row r="110" spans="1:10">
      <c r="A110" s="114" t="s">
        <v>577</v>
      </c>
      <c r="B110" s="114" t="s">
        <v>436</v>
      </c>
      <c r="C110" s="114" t="s">
        <v>442</v>
      </c>
      <c r="D110" s="114" t="s">
        <v>438</v>
      </c>
      <c r="E110">
        <v>6535</v>
      </c>
      <c r="F110" s="114" t="s">
        <v>594</v>
      </c>
      <c r="G110" s="114" t="s">
        <v>439</v>
      </c>
      <c r="H110" s="114" t="s">
        <v>446</v>
      </c>
      <c r="I110">
        <v>174</v>
      </c>
    </row>
    <row r="111" spans="1:10">
      <c r="A111" s="114" t="s">
        <v>577</v>
      </c>
      <c r="B111" s="114" t="s">
        <v>436</v>
      </c>
      <c r="C111" s="114" t="s">
        <v>437</v>
      </c>
      <c r="D111" s="114" t="s">
        <v>438</v>
      </c>
      <c r="E111">
        <v>6966</v>
      </c>
      <c r="F111" s="114" t="s">
        <v>595</v>
      </c>
      <c r="G111" s="114" t="s">
        <v>439</v>
      </c>
      <c r="H111" s="114" t="s">
        <v>490</v>
      </c>
      <c r="I111">
        <v>801</v>
      </c>
    </row>
    <row r="112" spans="1:10">
      <c r="A112" s="114" t="s">
        <v>577</v>
      </c>
      <c r="B112" s="114" t="s">
        <v>436</v>
      </c>
      <c r="C112" s="114" t="s">
        <v>455</v>
      </c>
      <c r="D112" s="114" t="s">
        <v>438</v>
      </c>
      <c r="E112">
        <v>7050</v>
      </c>
      <c r="F112" s="114" t="s">
        <v>596</v>
      </c>
      <c r="G112" s="114" t="s">
        <v>461</v>
      </c>
      <c r="H112" s="114" t="s">
        <v>446</v>
      </c>
      <c r="I112">
        <v>103</v>
      </c>
    </row>
    <row r="113" spans="1:10">
      <c r="A113" s="114" t="s">
        <v>577</v>
      </c>
      <c r="B113" s="114" t="s">
        <v>436</v>
      </c>
      <c r="C113" s="114" t="s">
        <v>437</v>
      </c>
      <c r="D113" s="114" t="s">
        <v>438</v>
      </c>
      <c r="E113">
        <v>7614</v>
      </c>
      <c r="F113" s="114" t="s">
        <v>597</v>
      </c>
      <c r="G113" s="114" t="s">
        <v>445</v>
      </c>
      <c r="H113" s="114" t="s">
        <v>457</v>
      </c>
      <c r="I113">
        <v>85</v>
      </c>
    </row>
    <row r="114" spans="1:10">
      <c r="A114" s="114" t="s">
        <v>577</v>
      </c>
      <c r="B114" s="114" t="s">
        <v>436</v>
      </c>
      <c r="C114" s="114" t="s">
        <v>455</v>
      </c>
      <c r="D114" s="114" t="s">
        <v>438</v>
      </c>
      <c r="E114">
        <v>7623</v>
      </c>
      <c r="F114" s="114" t="s">
        <v>598</v>
      </c>
      <c r="G114" s="114" t="s">
        <v>445</v>
      </c>
      <c r="H114" s="114" t="s">
        <v>457</v>
      </c>
      <c r="I114">
        <v>11</v>
      </c>
    </row>
    <row r="115" spans="1:10">
      <c r="A115" s="114" t="s">
        <v>577</v>
      </c>
      <c r="B115" s="114" t="s">
        <v>436</v>
      </c>
      <c r="C115" s="114" t="s">
        <v>450</v>
      </c>
      <c r="D115" s="114" t="s">
        <v>438</v>
      </c>
      <c r="E115">
        <v>8077</v>
      </c>
      <c r="F115" s="114" t="s">
        <v>599</v>
      </c>
      <c r="G115" s="114" t="s">
        <v>439</v>
      </c>
      <c r="H115" s="114" t="s">
        <v>448</v>
      </c>
      <c r="I115">
        <v>88</v>
      </c>
    </row>
    <row r="116" spans="1:10">
      <c r="A116" s="114" t="s">
        <v>577</v>
      </c>
      <c r="B116" s="114" t="s">
        <v>436</v>
      </c>
      <c r="C116" s="114" t="s">
        <v>450</v>
      </c>
      <c r="D116" s="114" t="s">
        <v>443</v>
      </c>
      <c r="E116">
        <v>8894</v>
      </c>
      <c r="F116" s="114" t="s">
        <v>600</v>
      </c>
      <c r="G116" s="114" t="s">
        <v>452</v>
      </c>
      <c r="H116" s="114" t="s">
        <v>492</v>
      </c>
      <c r="I116">
        <v>95</v>
      </c>
    </row>
    <row r="117" spans="1:10">
      <c r="A117" s="114" t="s">
        <v>577</v>
      </c>
      <c r="B117" s="114" t="s">
        <v>436</v>
      </c>
      <c r="C117" s="114" t="s">
        <v>455</v>
      </c>
      <c r="D117" s="114" t="s">
        <v>443</v>
      </c>
      <c r="E117">
        <v>9425</v>
      </c>
      <c r="F117" s="114" t="s">
        <v>601</v>
      </c>
      <c r="G117" s="114" t="s">
        <v>445</v>
      </c>
      <c r="H117" s="114" t="s">
        <v>459</v>
      </c>
      <c r="I117">
        <v>18</v>
      </c>
    </row>
    <row r="118" spans="1:10">
      <c r="A118" s="114" t="s">
        <v>577</v>
      </c>
      <c r="B118" s="114" t="s">
        <v>436</v>
      </c>
      <c r="C118" s="114" t="s">
        <v>450</v>
      </c>
      <c r="D118" s="114" t="s">
        <v>438</v>
      </c>
      <c r="E118">
        <v>9603</v>
      </c>
      <c r="F118" s="114" t="s">
        <v>602</v>
      </c>
      <c r="G118" s="114" t="s">
        <v>439</v>
      </c>
      <c r="H118" s="114" t="s">
        <v>446</v>
      </c>
      <c r="I118" s="114" t="s">
        <v>482</v>
      </c>
      <c r="J118" s="114" t="s">
        <v>674</v>
      </c>
    </row>
    <row r="119" spans="1:10">
      <c r="A119" s="114" t="s">
        <v>577</v>
      </c>
      <c r="B119" s="114" t="s">
        <v>436</v>
      </c>
      <c r="C119" s="114" t="s">
        <v>437</v>
      </c>
      <c r="D119" s="114" t="s">
        <v>438</v>
      </c>
      <c r="E119">
        <v>9681</v>
      </c>
      <c r="F119" s="114" t="s">
        <v>604</v>
      </c>
      <c r="G119" s="114" t="s">
        <v>439</v>
      </c>
      <c r="H119" s="114" t="s">
        <v>446</v>
      </c>
      <c r="I119" s="114">
        <v>966</v>
      </c>
      <c r="J119" s="114"/>
    </row>
    <row r="120" spans="1:10">
      <c r="A120" s="114" t="s">
        <v>605</v>
      </c>
      <c r="B120" s="114" t="s">
        <v>484</v>
      </c>
      <c r="C120" s="114" t="s">
        <v>437</v>
      </c>
      <c r="D120" s="114" t="s">
        <v>443</v>
      </c>
      <c r="E120">
        <v>4380</v>
      </c>
      <c r="F120" s="114" t="s">
        <v>606</v>
      </c>
      <c r="G120" s="114" t="s">
        <v>461</v>
      </c>
      <c r="H120" s="114" t="s">
        <v>459</v>
      </c>
      <c r="I120">
        <v>41</v>
      </c>
    </row>
    <row r="121" spans="1:10">
      <c r="A121" s="114" t="s">
        <v>605</v>
      </c>
      <c r="B121" s="114" t="s">
        <v>436</v>
      </c>
      <c r="C121" s="114" t="s">
        <v>450</v>
      </c>
      <c r="D121" s="114" t="s">
        <v>438</v>
      </c>
      <c r="E121">
        <v>1383</v>
      </c>
      <c r="F121" s="114" t="s">
        <v>607</v>
      </c>
      <c r="G121" s="114" t="s">
        <v>445</v>
      </c>
      <c r="H121" s="114" t="s">
        <v>608</v>
      </c>
      <c r="I121">
        <v>30</v>
      </c>
    </row>
    <row r="122" spans="1:10">
      <c r="A122" s="114" t="s">
        <v>605</v>
      </c>
      <c r="B122" s="114" t="s">
        <v>436</v>
      </c>
      <c r="C122" s="114" t="s">
        <v>455</v>
      </c>
      <c r="D122" s="114" t="s">
        <v>443</v>
      </c>
      <c r="E122">
        <v>1436</v>
      </c>
      <c r="F122" s="114" t="s">
        <v>609</v>
      </c>
      <c r="G122" s="114" t="s">
        <v>461</v>
      </c>
      <c r="H122" s="114" t="s">
        <v>500</v>
      </c>
      <c r="I122">
        <v>27</v>
      </c>
    </row>
    <row r="123" spans="1:10">
      <c r="A123" s="114" t="s">
        <v>605</v>
      </c>
      <c r="B123" s="114" t="s">
        <v>436</v>
      </c>
      <c r="C123" s="114" t="s">
        <v>450</v>
      </c>
      <c r="D123" s="114" t="s">
        <v>438</v>
      </c>
      <c r="E123">
        <v>1840</v>
      </c>
      <c r="F123" s="114" t="s">
        <v>610</v>
      </c>
      <c r="G123" s="114" t="s">
        <v>452</v>
      </c>
      <c r="H123" s="114" t="s">
        <v>500</v>
      </c>
      <c r="I123">
        <v>41</v>
      </c>
    </row>
    <row r="124" spans="1:10">
      <c r="A124" s="114" t="s">
        <v>605</v>
      </c>
      <c r="B124" s="114" t="s">
        <v>436</v>
      </c>
      <c r="C124" s="114" t="s">
        <v>450</v>
      </c>
      <c r="D124" s="114" t="s">
        <v>438</v>
      </c>
      <c r="E124">
        <v>1873</v>
      </c>
      <c r="F124" s="114" t="s">
        <v>611</v>
      </c>
      <c r="G124" s="114" t="s">
        <v>439</v>
      </c>
      <c r="H124" s="114" t="s">
        <v>500</v>
      </c>
      <c r="I124">
        <v>228</v>
      </c>
    </row>
    <row r="125" spans="1:10">
      <c r="A125" s="114" t="s">
        <v>605</v>
      </c>
      <c r="B125" s="114" t="s">
        <v>436</v>
      </c>
      <c r="C125" s="114" t="s">
        <v>455</v>
      </c>
      <c r="D125" s="114" t="s">
        <v>438</v>
      </c>
      <c r="E125">
        <v>2159</v>
      </c>
      <c r="F125" s="114" t="s">
        <v>612</v>
      </c>
      <c r="G125" s="114" t="s">
        <v>452</v>
      </c>
      <c r="H125" s="114" t="s">
        <v>446</v>
      </c>
      <c r="I125">
        <v>86</v>
      </c>
    </row>
    <row r="126" spans="1:10">
      <c r="A126" s="114" t="s">
        <v>605</v>
      </c>
      <c r="B126" s="114" t="s">
        <v>436</v>
      </c>
      <c r="C126" s="114" t="s">
        <v>450</v>
      </c>
      <c r="D126" s="114" t="s">
        <v>438</v>
      </c>
      <c r="E126">
        <v>2198</v>
      </c>
      <c r="F126" s="114" t="s">
        <v>613</v>
      </c>
      <c r="G126" s="114" t="s">
        <v>439</v>
      </c>
      <c r="H126" s="114" t="s">
        <v>446</v>
      </c>
      <c r="I126">
        <v>214</v>
      </c>
    </row>
    <row r="127" spans="1:10">
      <c r="A127" s="114" t="s">
        <v>605</v>
      </c>
      <c r="B127" s="114" t="s">
        <v>436</v>
      </c>
      <c r="C127" s="114" t="s">
        <v>450</v>
      </c>
      <c r="D127" s="114" t="s">
        <v>443</v>
      </c>
      <c r="E127">
        <v>2345</v>
      </c>
      <c r="F127" s="114" t="s">
        <v>614</v>
      </c>
      <c r="G127" s="114" t="s">
        <v>452</v>
      </c>
      <c r="H127" s="114" t="s">
        <v>459</v>
      </c>
      <c r="I127">
        <v>33</v>
      </c>
    </row>
    <row r="128" spans="1:10">
      <c r="A128" s="114" t="s">
        <v>605</v>
      </c>
      <c r="B128" s="114" t="s">
        <v>436</v>
      </c>
      <c r="C128" s="114" t="s">
        <v>442</v>
      </c>
      <c r="D128" s="114" t="s">
        <v>443</v>
      </c>
      <c r="E128">
        <v>2424</v>
      </c>
      <c r="F128" s="114" t="s">
        <v>615</v>
      </c>
      <c r="G128" s="114" t="s">
        <v>439</v>
      </c>
      <c r="H128" s="114" t="s">
        <v>446</v>
      </c>
      <c r="I128">
        <v>38</v>
      </c>
    </row>
    <row r="129" spans="1:10">
      <c r="A129" s="114" t="s">
        <v>605</v>
      </c>
      <c r="B129" s="114" t="s">
        <v>436</v>
      </c>
      <c r="C129" s="114" t="s">
        <v>437</v>
      </c>
      <c r="D129" s="114" t="s">
        <v>438</v>
      </c>
      <c r="E129">
        <v>2776</v>
      </c>
      <c r="F129" s="114" t="s">
        <v>616</v>
      </c>
      <c r="G129" s="114" t="s">
        <v>445</v>
      </c>
      <c r="H129" s="114" t="s">
        <v>448</v>
      </c>
      <c r="I129">
        <v>22</v>
      </c>
    </row>
    <row r="130" spans="1:10">
      <c r="A130" s="114" t="s">
        <v>605</v>
      </c>
      <c r="B130" s="114" t="s">
        <v>436</v>
      </c>
      <c r="C130" s="114" t="s">
        <v>442</v>
      </c>
      <c r="D130" s="114" t="s">
        <v>443</v>
      </c>
      <c r="E130">
        <v>2978</v>
      </c>
      <c r="F130" s="114" t="s">
        <v>617</v>
      </c>
      <c r="G130" s="114" t="s">
        <v>461</v>
      </c>
      <c r="H130" s="114" t="s">
        <v>492</v>
      </c>
      <c r="I130">
        <v>137</v>
      </c>
    </row>
    <row r="131" spans="1:10">
      <c r="A131" s="114" t="s">
        <v>605</v>
      </c>
      <c r="B131" s="114" t="s">
        <v>436</v>
      </c>
      <c r="C131" s="114" t="s">
        <v>450</v>
      </c>
      <c r="D131" s="114" t="s">
        <v>438</v>
      </c>
      <c r="E131">
        <v>3038</v>
      </c>
      <c r="F131" s="114" t="s">
        <v>618</v>
      </c>
      <c r="G131" s="114" t="s">
        <v>439</v>
      </c>
      <c r="H131" s="114" t="s">
        <v>448</v>
      </c>
      <c r="I131" s="114" t="s">
        <v>619</v>
      </c>
      <c r="J131" s="114" t="s">
        <v>1100</v>
      </c>
    </row>
    <row r="132" spans="1:10">
      <c r="A132" s="114" t="s">
        <v>605</v>
      </c>
      <c r="B132" s="114" t="s">
        <v>436</v>
      </c>
      <c r="C132" s="114" t="s">
        <v>437</v>
      </c>
      <c r="D132" s="114" t="s">
        <v>438</v>
      </c>
      <c r="E132">
        <v>3159</v>
      </c>
      <c r="F132" s="114" t="s">
        <v>620</v>
      </c>
      <c r="G132" s="114" t="s">
        <v>439</v>
      </c>
      <c r="H132" s="114" t="s">
        <v>457</v>
      </c>
      <c r="I132" s="114">
        <v>348</v>
      </c>
      <c r="J132" s="114"/>
    </row>
    <row r="133" spans="1:10">
      <c r="A133" s="114" t="s">
        <v>605</v>
      </c>
      <c r="B133" s="114" t="s">
        <v>436</v>
      </c>
      <c r="C133" s="114" t="s">
        <v>450</v>
      </c>
      <c r="D133" s="114" t="s">
        <v>438</v>
      </c>
      <c r="E133">
        <v>3195</v>
      </c>
      <c r="F133" s="114" t="s">
        <v>621</v>
      </c>
      <c r="G133" s="114" t="s">
        <v>461</v>
      </c>
      <c r="H133" s="114" t="s">
        <v>457</v>
      </c>
      <c r="I133">
        <v>49</v>
      </c>
    </row>
    <row r="134" spans="1:10">
      <c r="A134" s="114" t="s">
        <v>605</v>
      </c>
      <c r="B134" s="114" t="s">
        <v>436</v>
      </c>
      <c r="C134" s="114" t="s">
        <v>450</v>
      </c>
      <c r="D134" s="114" t="s">
        <v>443</v>
      </c>
      <c r="E134">
        <v>3309</v>
      </c>
      <c r="F134" s="114" t="s">
        <v>622</v>
      </c>
      <c r="G134" s="114" t="s">
        <v>554</v>
      </c>
      <c r="H134" s="114" t="s">
        <v>555</v>
      </c>
      <c r="I134" s="114" t="s">
        <v>619</v>
      </c>
      <c r="J134" s="114" t="s">
        <v>1101</v>
      </c>
    </row>
    <row r="135" spans="1:10">
      <c r="A135" s="114" t="s">
        <v>605</v>
      </c>
      <c r="B135" s="114" t="s">
        <v>436</v>
      </c>
      <c r="C135" s="114" t="s">
        <v>442</v>
      </c>
      <c r="D135" s="114" t="s">
        <v>438</v>
      </c>
      <c r="E135">
        <v>3421</v>
      </c>
      <c r="F135" s="114" t="s">
        <v>623</v>
      </c>
      <c r="G135" s="114" t="s">
        <v>439</v>
      </c>
      <c r="H135" s="114" t="s">
        <v>469</v>
      </c>
      <c r="I135" s="114">
        <v>259</v>
      </c>
      <c r="J135" s="114"/>
    </row>
    <row r="136" spans="1:10">
      <c r="A136" s="114" t="s">
        <v>605</v>
      </c>
      <c r="B136" s="114" t="s">
        <v>436</v>
      </c>
      <c r="C136" s="114" t="s">
        <v>450</v>
      </c>
      <c r="D136" s="114" t="s">
        <v>438</v>
      </c>
      <c r="E136">
        <v>3480</v>
      </c>
      <c r="F136" s="114" t="s">
        <v>624</v>
      </c>
      <c r="G136" s="114" t="s">
        <v>439</v>
      </c>
      <c r="H136" s="114" t="s">
        <v>492</v>
      </c>
      <c r="I136">
        <v>221</v>
      </c>
    </row>
    <row r="137" spans="1:10">
      <c r="A137" s="114" t="s">
        <v>605</v>
      </c>
      <c r="B137" s="114" t="s">
        <v>436</v>
      </c>
      <c r="C137" s="114" t="s">
        <v>442</v>
      </c>
      <c r="D137" s="114" t="s">
        <v>443</v>
      </c>
      <c r="E137">
        <v>3497</v>
      </c>
      <c r="F137" s="114" t="s">
        <v>625</v>
      </c>
      <c r="G137" s="114" t="s">
        <v>461</v>
      </c>
      <c r="H137" s="114" t="s">
        <v>492</v>
      </c>
      <c r="I137">
        <v>35</v>
      </c>
    </row>
    <row r="138" spans="1:10">
      <c r="A138" s="114" t="s">
        <v>605</v>
      </c>
      <c r="B138" s="114" t="s">
        <v>436</v>
      </c>
      <c r="C138" s="114" t="s">
        <v>450</v>
      </c>
      <c r="D138" s="114" t="s">
        <v>438</v>
      </c>
      <c r="E138">
        <v>3653</v>
      </c>
      <c r="F138" s="114" t="s">
        <v>626</v>
      </c>
      <c r="G138" s="114" t="s">
        <v>461</v>
      </c>
      <c r="H138" s="114" t="s">
        <v>459</v>
      </c>
      <c r="I138">
        <v>165</v>
      </c>
    </row>
    <row r="139" spans="1:10">
      <c r="A139" s="114" t="s">
        <v>605</v>
      </c>
      <c r="B139" s="114" t="s">
        <v>436</v>
      </c>
      <c r="C139" s="114" t="s">
        <v>437</v>
      </c>
      <c r="D139" s="114" t="s">
        <v>443</v>
      </c>
      <c r="E139">
        <v>3665</v>
      </c>
      <c r="F139" s="114" t="s">
        <v>627</v>
      </c>
      <c r="G139" s="114" t="s">
        <v>439</v>
      </c>
      <c r="H139" s="114" t="s">
        <v>459</v>
      </c>
      <c r="I139">
        <v>444</v>
      </c>
    </row>
    <row r="140" spans="1:10">
      <c r="A140" s="114" t="s">
        <v>605</v>
      </c>
      <c r="B140" s="114" t="s">
        <v>436</v>
      </c>
      <c r="C140" s="114" t="s">
        <v>455</v>
      </c>
      <c r="D140" s="114" t="s">
        <v>438</v>
      </c>
      <c r="E140">
        <v>3843</v>
      </c>
      <c r="F140" s="114" t="s">
        <v>628</v>
      </c>
      <c r="G140" s="114" t="s">
        <v>439</v>
      </c>
      <c r="H140" s="114" t="s">
        <v>459</v>
      </c>
      <c r="I140">
        <v>211</v>
      </c>
    </row>
    <row r="141" spans="1:10">
      <c r="A141" s="114" t="s">
        <v>605</v>
      </c>
      <c r="B141" s="114" t="s">
        <v>436</v>
      </c>
      <c r="C141" s="114" t="s">
        <v>437</v>
      </c>
      <c r="D141" s="114" t="s">
        <v>443</v>
      </c>
      <c r="E141">
        <v>3921</v>
      </c>
      <c r="F141" s="114" t="s">
        <v>629</v>
      </c>
      <c r="G141" s="114" t="s">
        <v>439</v>
      </c>
      <c r="H141" s="114" t="s">
        <v>459</v>
      </c>
      <c r="I141">
        <v>149</v>
      </c>
    </row>
    <row r="142" spans="1:10">
      <c r="A142" s="114" t="s">
        <v>605</v>
      </c>
      <c r="B142" s="114" t="s">
        <v>436</v>
      </c>
      <c r="C142" s="114" t="s">
        <v>437</v>
      </c>
      <c r="D142" s="114" t="s">
        <v>438</v>
      </c>
      <c r="E142">
        <v>3931</v>
      </c>
      <c r="F142" s="114" t="s">
        <v>630</v>
      </c>
      <c r="G142" s="114" t="s">
        <v>461</v>
      </c>
      <c r="H142" s="114" t="s">
        <v>459</v>
      </c>
      <c r="I142">
        <v>23</v>
      </c>
    </row>
    <row r="143" spans="1:10">
      <c r="A143" s="114" t="s">
        <v>605</v>
      </c>
      <c r="B143" s="114" t="s">
        <v>436</v>
      </c>
      <c r="C143" s="114" t="s">
        <v>437</v>
      </c>
      <c r="D143" s="114" t="s">
        <v>438</v>
      </c>
      <c r="E143">
        <v>3995</v>
      </c>
      <c r="F143" s="114" t="s">
        <v>631</v>
      </c>
      <c r="G143" s="114" t="s">
        <v>461</v>
      </c>
      <c r="H143" s="114" t="s">
        <v>459</v>
      </c>
      <c r="I143">
        <v>72</v>
      </c>
    </row>
    <row r="144" spans="1:10">
      <c r="A144" s="114" t="s">
        <v>605</v>
      </c>
      <c r="B144" s="114" t="s">
        <v>436</v>
      </c>
      <c r="C144" s="114" t="s">
        <v>437</v>
      </c>
      <c r="D144" s="114" t="s">
        <v>438</v>
      </c>
      <c r="E144">
        <v>4287</v>
      </c>
      <c r="F144" s="114" t="s">
        <v>632</v>
      </c>
      <c r="G144" s="114" t="s">
        <v>445</v>
      </c>
      <c r="H144" s="114" t="s">
        <v>459</v>
      </c>
      <c r="I144">
        <v>66</v>
      </c>
    </row>
    <row r="145" spans="1:10">
      <c r="A145" s="114" t="s">
        <v>605</v>
      </c>
      <c r="B145" s="114" t="s">
        <v>436</v>
      </c>
      <c r="C145" s="114" t="s">
        <v>455</v>
      </c>
      <c r="D145" s="114" t="s">
        <v>443</v>
      </c>
      <c r="E145">
        <v>4431</v>
      </c>
      <c r="F145" s="114" t="s">
        <v>633</v>
      </c>
      <c r="G145" s="114" t="s">
        <v>461</v>
      </c>
      <c r="H145" s="114" t="s">
        <v>459</v>
      </c>
      <c r="I145">
        <v>242</v>
      </c>
    </row>
    <row r="146" spans="1:10">
      <c r="A146" s="114" t="s">
        <v>605</v>
      </c>
      <c r="B146" s="114" t="s">
        <v>436</v>
      </c>
      <c r="C146" s="114" t="s">
        <v>437</v>
      </c>
      <c r="D146" s="114" t="s">
        <v>438</v>
      </c>
      <c r="E146">
        <v>4592</v>
      </c>
      <c r="F146" s="114" t="s">
        <v>634</v>
      </c>
      <c r="G146" s="114" t="s">
        <v>461</v>
      </c>
      <c r="H146" s="114" t="s">
        <v>589</v>
      </c>
      <c r="I146" s="114" t="s">
        <v>482</v>
      </c>
      <c r="J146" s="114" t="s">
        <v>1102</v>
      </c>
    </row>
    <row r="147" spans="1:10">
      <c r="A147" s="114" t="s">
        <v>605</v>
      </c>
      <c r="B147" s="114" t="s">
        <v>436</v>
      </c>
      <c r="C147" s="114" t="s">
        <v>442</v>
      </c>
      <c r="D147" s="114" t="s">
        <v>443</v>
      </c>
      <c r="E147">
        <v>4599</v>
      </c>
      <c r="F147" s="114" t="s">
        <v>635</v>
      </c>
      <c r="G147" s="114" t="s">
        <v>461</v>
      </c>
      <c r="H147" s="114" t="s">
        <v>589</v>
      </c>
      <c r="I147" s="114">
        <v>508</v>
      </c>
      <c r="J147" s="114"/>
    </row>
    <row r="148" spans="1:10">
      <c r="A148" s="114" t="s">
        <v>605</v>
      </c>
      <c r="B148" s="114" t="s">
        <v>436</v>
      </c>
      <c r="C148" s="114" t="s">
        <v>450</v>
      </c>
      <c r="D148" s="114" t="s">
        <v>438</v>
      </c>
      <c r="E148">
        <v>4627</v>
      </c>
      <c r="F148" s="114" t="s">
        <v>636</v>
      </c>
      <c r="G148" s="114" t="s">
        <v>445</v>
      </c>
      <c r="H148" s="114" t="s">
        <v>463</v>
      </c>
      <c r="I148">
        <v>101</v>
      </c>
    </row>
    <row r="149" spans="1:10">
      <c r="A149" s="114" t="s">
        <v>605</v>
      </c>
      <c r="B149" s="114" t="s">
        <v>436</v>
      </c>
      <c r="C149" s="114" t="s">
        <v>450</v>
      </c>
      <c r="D149" s="114" t="s">
        <v>438</v>
      </c>
      <c r="E149">
        <v>4996</v>
      </c>
      <c r="F149" s="114" t="s">
        <v>637</v>
      </c>
      <c r="G149" s="114" t="s">
        <v>439</v>
      </c>
      <c r="H149" s="114" t="s">
        <v>463</v>
      </c>
      <c r="I149" s="114" t="s">
        <v>522</v>
      </c>
      <c r="J149" s="114" t="s">
        <v>1103</v>
      </c>
    </row>
    <row r="150" spans="1:10">
      <c r="A150" s="114" t="s">
        <v>605</v>
      </c>
      <c r="B150" s="114" t="s">
        <v>436</v>
      </c>
      <c r="C150" s="114" t="s">
        <v>450</v>
      </c>
      <c r="D150" s="114" t="s">
        <v>443</v>
      </c>
      <c r="E150">
        <v>6049</v>
      </c>
      <c r="F150" s="114" t="s">
        <v>638</v>
      </c>
      <c r="G150" s="114" t="s">
        <v>461</v>
      </c>
      <c r="H150" s="114" t="s">
        <v>446</v>
      </c>
      <c r="I150" s="114">
        <v>413</v>
      </c>
      <c r="J150" s="114"/>
    </row>
    <row r="151" spans="1:10">
      <c r="A151" s="114" t="s">
        <v>605</v>
      </c>
      <c r="B151" s="114" t="s">
        <v>436</v>
      </c>
      <c r="C151" s="114" t="s">
        <v>442</v>
      </c>
      <c r="D151" s="114" t="s">
        <v>438</v>
      </c>
      <c r="E151">
        <v>6091</v>
      </c>
      <c r="F151" s="114" t="s">
        <v>639</v>
      </c>
      <c r="G151" s="114" t="s">
        <v>452</v>
      </c>
      <c r="H151" s="114" t="s">
        <v>446</v>
      </c>
      <c r="I151">
        <v>70</v>
      </c>
    </row>
    <row r="152" spans="1:10">
      <c r="A152" s="114" t="s">
        <v>605</v>
      </c>
      <c r="B152" s="114" t="s">
        <v>436</v>
      </c>
      <c r="C152" s="114" t="s">
        <v>455</v>
      </c>
      <c r="D152" s="114" t="s">
        <v>438</v>
      </c>
      <c r="E152">
        <v>6192</v>
      </c>
      <c r="F152" s="114" t="s">
        <v>640</v>
      </c>
      <c r="G152" s="114" t="s">
        <v>461</v>
      </c>
      <c r="H152" s="114" t="s">
        <v>446</v>
      </c>
      <c r="I152">
        <v>80</v>
      </c>
    </row>
    <row r="153" spans="1:10">
      <c r="A153" s="114" t="s">
        <v>605</v>
      </c>
      <c r="B153" s="114" t="s">
        <v>436</v>
      </c>
      <c r="C153" s="114" t="s">
        <v>442</v>
      </c>
      <c r="D153" s="114" t="s">
        <v>438</v>
      </c>
      <c r="E153">
        <v>6577</v>
      </c>
      <c r="F153" s="114" t="s">
        <v>641</v>
      </c>
      <c r="G153" s="114" t="s">
        <v>461</v>
      </c>
      <c r="H153" s="114" t="s">
        <v>446</v>
      </c>
      <c r="I153">
        <v>41</v>
      </c>
    </row>
    <row r="154" spans="1:10">
      <c r="A154" s="114" t="s">
        <v>605</v>
      </c>
      <c r="B154" s="114" t="s">
        <v>436</v>
      </c>
      <c r="C154" s="114" t="s">
        <v>455</v>
      </c>
      <c r="D154" s="114" t="s">
        <v>438</v>
      </c>
      <c r="E154">
        <v>6630</v>
      </c>
      <c r="F154" s="114" t="s">
        <v>642</v>
      </c>
      <c r="G154" s="114" t="s">
        <v>439</v>
      </c>
      <c r="H154" s="114" t="s">
        <v>490</v>
      </c>
      <c r="I154">
        <v>414</v>
      </c>
    </row>
    <row r="155" spans="1:10">
      <c r="A155" s="114" t="s">
        <v>605</v>
      </c>
      <c r="B155" s="114" t="s">
        <v>436</v>
      </c>
      <c r="C155" s="114" t="s">
        <v>442</v>
      </c>
      <c r="D155" s="114" t="s">
        <v>438</v>
      </c>
      <c r="E155">
        <v>6721</v>
      </c>
      <c r="F155" s="114" t="s">
        <v>643</v>
      </c>
      <c r="G155" s="114" t="s">
        <v>452</v>
      </c>
      <c r="H155" s="114" t="s">
        <v>490</v>
      </c>
      <c r="I155">
        <v>84</v>
      </c>
    </row>
    <row r="156" spans="1:10">
      <c r="A156" s="114" t="s">
        <v>605</v>
      </c>
      <c r="B156" s="114" t="s">
        <v>436</v>
      </c>
      <c r="C156" s="114" t="s">
        <v>450</v>
      </c>
      <c r="D156" s="114" t="s">
        <v>438</v>
      </c>
      <c r="E156">
        <v>7033</v>
      </c>
      <c r="F156" s="114" t="s">
        <v>644</v>
      </c>
      <c r="G156" s="114" t="s">
        <v>439</v>
      </c>
      <c r="H156" s="114" t="s">
        <v>446</v>
      </c>
      <c r="I156">
        <v>123</v>
      </c>
    </row>
    <row r="157" spans="1:10">
      <c r="A157" s="114" t="s">
        <v>605</v>
      </c>
      <c r="B157" s="114" t="s">
        <v>436</v>
      </c>
      <c r="C157" s="114" t="s">
        <v>437</v>
      </c>
      <c r="D157" s="114" t="s">
        <v>438</v>
      </c>
      <c r="E157">
        <v>7073</v>
      </c>
      <c r="F157" s="114" t="s">
        <v>645</v>
      </c>
      <c r="G157" s="114" t="s">
        <v>461</v>
      </c>
      <c r="H157" s="114" t="s">
        <v>446</v>
      </c>
      <c r="I157">
        <v>70</v>
      </c>
    </row>
    <row r="158" spans="1:10">
      <c r="A158" s="114" t="s">
        <v>605</v>
      </c>
      <c r="B158" s="114" t="s">
        <v>436</v>
      </c>
      <c r="C158" s="114" t="s">
        <v>450</v>
      </c>
      <c r="D158" s="114" t="s">
        <v>438</v>
      </c>
      <c r="E158">
        <v>7279</v>
      </c>
      <c r="F158" s="114" t="s">
        <v>646</v>
      </c>
      <c r="G158" s="114" t="s">
        <v>452</v>
      </c>
      <c r="H158" s="114" t="s">
        <v>518</v>
      </c>
      <c r="I158">
        <v>701</v>
      </c>
    </row>
    <row r="159" spans="1:10">
      <c r="A159" s="114" t="s">
        <v>605</v>
      </c>
      <c r="B159" s="114" t="s">
        <v>436</v>
      </c>
      <c r="C159" s="114" t="s">
        <v>455</v>
      </c>
      <c r="D159" s="114" t="s">
        <v>438</v>
      </c>
      <c r="E159">
        <v>7604</v>
      </c>
      <c r="F159" s="114" t="s">
        <v>647</v>
      </c>
      <c r="G159" s="114" t="s">
        <v>452</v>
      </c>
      <c r="H159" s="114" t="s">
        <v>457</v>
      </c>
      <c r="I159">
        <v>206</v>
      </c>
    </row>
    <row r="160" spans="1:10">
      <c r="A160" s="114" t="s">
        <v>605</v>
      </c>
      <c r="B160" s="114" t="s">
        <v>436</v>
      </c>
      <c r="C160" s="114" t="s">
        <v>450</v>
      </c>
      <c r="D160" s="114" t="s">
        <v>443</v>
      </c>
      <c r="E160">
        <v>7605</v>
      </c>
      <c r="F160" s="114" t="s">
        <v>648</v>
      </c>
      <c r="G160" s="114" t="s">
        <v>439</v>
      </c>
      <c r="H160" s="114" t="s">
        <v>457</v>
      </c>
      <c r="I160">
        <v>232</v>
      </c>
    </row>
    <row r="161" spans="1:10">
      <c r="A161" s="114" t="s">
        <v>605</v>
      </c>
      <c r="B161" s="114" t="s">
        <v>436</v>
      </c>
      <c r="C161" s="114" t="s">
        <v>442</v>
      </c>
      <c r="D161" s="114" t="s">
        <v>443</v>
      </c>
      <c r="E161">
        <v>7682</v>
      </c>
      <c r="F161" s="114" t="s">
        <v>649</v>
      </c>
      <c r="G161" s="114" t="s">
        <v>445</v>
      </c>
      <c r="H161" s="114" t="s">
        <v>457</v>
      </c>
      <c r="I161">
        <v>27</v>
      </c>
    </row>
    <row r="162" spans="1:10">
      <c r="A162" s="114" t="s">
        <v>605</v>
      </c>
      <c r="B162" s="114" t="s">
        <v>436</v>
      </c>
      <c r="C162" s="114" t="s">
        <v>437</v>
      </c>
      <c r="D162" s="114" t="s">
        <v>438</v>
      </c>
      <c r="E162">
        <v>7683</v>
      </c>
      <c r="F162" s="114" t="s">
        <v>650</v>
      </c>
      <c r="G162" s="114" t="s">
        <v>461</v>
      </c>
      <c r="H162" s="114" t="s">
        <v>457</v>
      </c>
      <c r="I162">
        <v>203</v>
      </c>
    </row>
    <row r="163" spans="1:10">
      <c r="A163" s="114" t="s">
        <v>605</v>
      </c>
      <c r="B163" s="114" t="s">
        <v>436</v>
      </c>
      <c r="C163" s="114" t="s">
        <v>442</v>
      </c>
      <c r="D163" s="114" t="s">
        <v>438</v>
      </c>
      <c r="E163">
        <v>7803</v>
      </c>
      <c r="F163" s="114" t="s">
        <v>651</v>
      </c>
      <c r="G163" s="114" t="s">
        <v>461</v>
      </c>
      <c r="H163" s="114" t="s">
        <v>479</v>
      </c>
      <c r="I163">
        <v>651</v>
      </c>
    </row>
    <row r="164" spans="1:10">
      <c r="A164" s="114" t="s">
        <v>605</v>
      </c>
      <c r="B164" s="114" t="s">
        <v>436</v>
      </c>
      <c r="C164" s="114" t="s">
        <v>450</v>
      </c>
      <c r="D164" s="114" t="s">
        <v>443</v>
      </c>
      <c r="E164">
        <v>7805</v>
      </c>
      <c r="F164" s="114" t="s">
        <v>652</v>
      </c>
      <c r="G164" s="114" t="s">
        <v>445</v>
      </c>
      <c r="H164" s="114" t="s">
        <v>479</v>
      </c>
      <c r="I164">
        <v>28</v>
      </c>
    </row>
    <row r="165" spans="1:10">
      <c r="A165" s="114" t="s">
        <v>605</v>
      </c>
      <c r="B165" s="114" t="s">
        <v>436</v>
      </c>
      <c r="C165" s="114" t="s">
        <v>442</v>
      </c>
      <c r="D165" s="114" t="s">
        <v>438</v>
      </c>
      <c r="E165">
        <v>7810</v>
      </c>
      <c r="F165" s="114" t="s">
        <v>653</v>
      </c>
      <c r="G165" s="114" t="s">
        <v>445</v>
      </c>
      <c r="H165" s="114" t="s">
        <v>479</v>
      </c>
      <c r="I165">
        <v>60</v>
      </c>
    </row>
    <row r="166" spans="1:10">
      <c r="A166" s="114" t="s">
        <v>605</v>
      </c>
      <c r="B166" s="114" t="s">
        <v>436</v>
      </c>
      <c r="C166" s="114" t="s">
        <v>450</v>
      </c>
      <c r="D166" s="114" t="s">
        <v>443</v>
      </c>
      <c r="E166">
        <v>7827</v>
      </c>
      <c r="F166" s="114" t="s">
        <v>654</v>
      </c>
      <c r="G166" s="114" t="s">
        <v>445</v>
      </c>
      <c r="H166" s="114" t="s">
        <v>479</v>
      </c>
      <c r="I166">
        <v>14</v>
      </c>
    </row>
    <row r="167" spans="1:10">
      <c r="A167" s="114" t="s">
        <v>605</v>
      </c>
      <c r="B167" s="114" t="s">
        <v>436</v>
      </c>
      <c r="C167" s="114" t="s">
        <v>442</v>
      </c>
      <c r="D167" s="114" t="s">
        <v>438</v>
      </c>
      <c r="E167">
        <v>7850</v>
      </c>
      <c r="F167" s="114" t="s">
        <v>655</v>
      </c>
      <c r="G167" s="114" t="s">
        <v>445</v>
      </c>
      <c r="H167" s="114" t="s">
        <v>479</v>
      </c>
      <c r="I167">
        <v>22</v>
      </c>
    </row>
    <row r="168" spans="1:10">
      <c r="A168" s="114" t="s">
        <v>605</v>
      </c>
      <c r="B168" s="114" t="s">
        <v>436</v>
      </c>
      <c r="C168" s="114" t="s">
        <v>455</v>
      </c>
      <c r="D168" s="114" t="s">
        <v>438</v>
      </c>
      <c r="E168">
        <v>7899</v>
      </c>
      <c r="F168" s="114" t="s">
        <v>656</v>
      </c>
      <c r="G168" s="114" t="s">
        <v>445</v>
      </c>
      <c r="H168" s="114" t="s">
        <v>463</v>
      </c>
      <c r="I168">
        <v>19</v>
      </c>
    </row>
    <row r="169" spans="1:10">
      <c r="A169" s="114" t="s">
        <v>605</v>
      </c>
      <c r="B169" s="114" t="s">
        <v>436</v>
      </c>
      <c r="C169" s="114" t="s">
        <v>450</v>
      </c>
      <c r="D169" s="114" t="s">
        <v>438</v>
      </c>
      <c r="E169">
        <v>7983</v>
      </c>
      <c r="F169" s="114" t="s">
        <v>657</v>
      </c>
      <c r="G169" s="114" t="s">
        <v>452</v>
      </c>
      <c r="H169" s="114" t="s">
        <v>479</v>
      </c>
      <c r="I169">
        <v>61</v>
      </c>
    </row>
    <row r="170" spans="1:10">
      <c r="A170" s="114" t="s">
        <v>605</v>
      </c>
      <c r="B170" s="114" t="s">
        <v>436</v>
      </c>
      <c r="C170" s="114" t="s">
        <v>437</v>
      </c>
      <c r="D170" s="114" t="s">
        <v>438</v>
      </c>
      <c r="E170">
        <v>8013</v>
      </c>
      <c r="F170" s="114" t="s">
        <v>658</v>
      </c>
      <c r="G170" s="114" t="s">
        <v>439</v>
      </c>
      <c r="H170" s="114" t="s">
        <v>533</v>
      </c>
      <c r="I170">
        <v>36</v>
      </c>
    </row>
    <row r="171" spans="1:10">
      <c r="A171" s="114" t="s">
        <v>605</v>
      </c>
      <c r="B171" s="114" t="s">
        <v>436</v>
      </c>
      <c r="C171" s="114" t="s">
        <v>450</v>
      </c>
      <c r="D171" s="114" t="s">
        <v>438</v>
      </c>
      <c r="E171">
        <v>8079</v>
      </c>
      <c r="F171" s="114" t="s">
        <v>659</v>
      </c>
      <c r="G171" s="114" t="s">
        <v>439</v>
      </c>
      <c r="H171" s="114" t="s">
        <v>448</v>
      </c>
      <c r="I171">
        <v>571</v>
      </c>
    </row>
    <row r="172" spans="1:10">
      <c r="A172" s="114" t="s">
        <v>605</v>
      </c>
      <c r="B172" s="114" t="s">
        <v>436</v>
      </c>
      <c r="C172" s="114" t="s">
        <v>450</v>
      </c>
      <c r="D172" s="114" t="s">
        <v>438</v>
      </c>
      <c r="E172">
        <v>8917</v>
      </c>
      <c r="F172" s="114" t="s">
        <v>660</v>
      </c>
      <c r="G172" s="114" t="s">
        <v>439</v>
      </c>
      <c r="H172" s="114" t="s">
        <v>492</v>
      </c>
      <c r="I172">
        <v>221</v>
      </c>
    </row>
    <row r="173" spans="1:10">
      <c r="A173" s="114" t="s">
        <v>605</v>
      </c>
      <c r="B173" s="114" t="s">
        <v>436</v>
      </c>
      <c r="C173" s="114" t="s">
        <v>442</v>
      </c>
      <c r="D173" s="114" t="s">
        <v>438</v>
      </c>
      <c r="E173">
        <v>8925</v>
      </c>
      <c r="F173" s="114" t="s">
        <v>661</v>
      </c>
      <c r="G173" s="114" t="s">
        <v>452</v>
      </c>
      <c r="H173" s="114" t="s">
        <v>492</v>
      </c>
      <c r="I173">
        <v>206</v>
      </c>
    </row>
    <row r="174" spans="1:10">
      <c r="A174" s="114" t="s">
        <v>605</v>
      </c>
      <c r="B174" s="114" t="s">
        <v>436</v>
      </c>
      <c r="C174" s="114" t="s">
        <v>442</v>
      </c>
      <c r="D174" s="114" t="s">
        <v>438</v>
      </c>
      <c r="E174">
        <v>8927</v>
      </c>
      <c r="F174" s="114" t="s">
        <v>662</v>
      </c>
      <c r="G174" s="114" t="s">
        <v>445</v>
      </c>
      <c r="H174" s="114" t="s">
        <v>492</v>
      </c>
      <c r="I174">
        <v>66</v>
      </c>
    </row>
    <row r="175" spans="1:10">
      <c r="A175" s="114" t="s">
        <v>605</v>
      </c>
      <c r="B175" s="114" t="s">
        <v>436</v>
      </c>
      <c r="C175" s="114" t="s">
        <v>450</v>
      </c>
      <c r="D175" s="114" t="s">
        <v>443</v>
      </c>
      <c r="E175">
        <v>8975</v>
      </c>
      <c r="F175" s="114" t="s">
        <v>663</v>
      </c>
      <c r="G175" s="114" t="s">
        <v>554</v>
      </c>
      <c r="H175" s="114" t="s">
        <v>555</v>
      </c>
      <c r="I175" s="114" t="s">
        <v>522</v>
      </c>
      <c r="J175" s="114" t="s">
        <v>1104</v>
      </c>
    </row>
    <row r="176" spans="1:10">
      <c r="A176" s="114" t="s">
        <v>605</v>
      </c>
      <c r="B176" s="114" t="s">
        <v>436</v>
      </c>
      <c r="C176" s="114" t="s">
        <v>450</v>
      </c>
      <c r="D176" s="114" t="s">
        <v>443</v>
      </c>
      <c r="E176">
        <v>8979</v>
      </c>
      <c r="F176" s="114" t="s">
        <v>664</v>
      </c>
      <c r="G176" s="114" t="s">
        <v>554</v>
      </c>
      <c r="H176" s="114" t="s">
        <v>555</v>
      </c>
      <c r="I176" s="114">
        <v>512</v>
      </c>
      <c r="J176" s="114"/>
    </row>
    <row r="177" spans="1:10">
      <c r="A177" s="114" t="s">
        <v>605</v>
      </c>
      <c r="B177" s="114" t="s">
        <v>436</v>
      </c>
      <c r="C177" s="114" t="s">
        <v>450</v>
      </c>
      <c r="D177" s="114" t="s">
        <v>438</v>
      </c>
      <c r="E177">
        <v>9279</v>
      </c>
      <c r="F177" s="114" t="s">
        <v>665</v>
      </c>
      <c r="G177" s="114" t="s">
        <v>461</v>
      </c>
      <c r="H177" s="114" t="s">
        <v>457</v>
      </c>
      <c r="I177">
        <v>225</v>
      </c>
    </row>
    <row r="178" spans="1:10">
      <c r="A178" s="114" t="s">
        <v>605</v>
      </c>
      <c r="B178" s="114" t="s">
        <v>436</v>
      </c>
      <c r="C178" s="114" t="s">
        <v>437</v>
      </c>
      <c r="D178" s="114" t="s">
        <v>438</v>
      </c>
      <c r="E178">
        <v>9637</v>
      </c>
      <c r="F178" s="114" t="s">
        <v>666</v>
      </c>
      <c r="G178" s="114" t="s">
        <v>452</v>
      </c>
      <c r="H178" s="114" t="s">
        <v>446</v>
      </c>
      <c r="I178">
        <v>113</v>
      </c>
    </row>
    <row r="179" spans="1:10">
      <c r="A179" s="114" t="s">
        <v>667</v>
      </c>
      <c r="B179" s="114" t="s">
        <v>526</v>
      </c>
      <c r="C179" s="114" t="s">
        <v>450</v>
      </c>
      <c r="D179" s="114" t="s">
        <v>443</v>
      </c>
      <c r="E179">
        <v>7034</v>
      </c>
      <c r="F179" s="114" t="s">
        <v>668</v>
      </c>
      <c r="G179" s="114" t="s">
        <v>461</v>
      </c>
      <c r="H179" s="114" t="s">
        <v>446</v>
      </c>
      <c r="I179">
        <v>488</v>
      </c>
    </row>
    <row r="180" spans="1:10">
      <c r="A180" s="114" t="s">
        <v>667</v>
      </c>
      <c r="B180" s="114" t="s">
        <v>436</v>
      </c>
      <c r="C180" s="114" t="s">
        <v>450</v>
      </c>
      <c r="D180" s="114" t="s">
        <v>443</v>
      </c>
      <c r="E180">
        <v>3287</v>
      </c>
      <c r="F180" s="114" t="s">
        <v>669</v>
      </c>
      <c r="G180" s="114" t="s">
        <v>554</v>
      </c>
      <c r="H180" s="114" t="s">
        <v>555</v>
      </c>
      <c r="I180" s="114" t="s">
        <v>522</v>
      </c>
      <c r="J180" s="114" t="s">
        <v>1105</v>
      </c>
    </row>
    <row r="181" spans="1:10">
      <c r="A181" s="114" t="s">
        <v>667</v>
      </c>
      <c r="B181" s="114" t="s">
        <v>436</v>
      </c>
      <c r="C181" s="114" t="s">
        <v>450</v>
      </c>
      <c r="D181" s="114" t="s">
        <v>443</v>
      </c>
      <c r="E181">
        <v>3298</v>
      </c>
      <c r="F181" s="114" t="s">
        <v>670</v>
      </c>
      <c r="G181" s="114" t="s">
        <v>554</v>
      </c>
      <c r="H181" s="114" t="s">
        <v>555</v>
      </c>
      <c r="I181" s="114" t="s">
        <v>522</v>
      </c>
      <c r="J181" s="114" t="s">
        <v>1106</v>
      </c>
    </row>
    <row r="182" spans="1:10">
      <c r="A182" s="114" t="s">
        <v>667</v>
      </c>
      <c r="B182" s="114" t="s">
        <v>436</v>
      </c>
      <c r="C182" s="114" t="s">
        <v>450</v>
      </c>
      <c r="D182" s="114" t="s">
        <v>443</v>
      </c>
      <c r="E182">
        <v>3451</v>
      </c>
      <c r="F182" s="114" t="s">
        <v>671</v>
      </c>
      <c r="G182" s="114" t="s">
        <v>554</v>
      </c>
      <c r="H182" s="114" t="s">
        <v>555</v>
      </c>
      <c r="I182" s="114">
        <v>447</v>
      </c>
      <c r="J182" s="114"/>
    </row>
    <row r="183" spans="1:10">
      <c r="A183" s="114" t="s">
        <v>667</v>
      </c>
      <c r="B183" s="114" t="s">
        <v>436</v>
      </c>
      <c r="C183" s="114" t="s">
        <v>450</v>
      </c>
      <c r="D183" s="114" t="s">
        <v>438</v>
      </c>
      <c r="E183">
        <v>3804</v>
      </c>
      <c r="F183" s="114" t="s">
        <v>672</v>
      </c>
      <c r="G183" s="114" t="s">
        <v>445</v>
      </c>
      <c r="H183" s="114" t="s">
        <v>459</v>
      </c>
      <c r="I183">
        <v>50</v>
      </c>
    </row>
    <row r="184" spans="1:10">
      <c r="A184" s="114" t="s">
        <v>667</v>
      </c>
      <c r="B184" s="114" t="s">
        <v>436</v>
      </c>
      <c r="C184" s="114" t="s">
        <v>450</v>
      </c>
      <c r="D184" s="114" t="s">
        <v>438</v>
      </c>
      <c r="E184">
        <v>4666</v>
      </c>
      <c r="F184" s="114" t="s">
        <v>673</v>
      </c>
      <c r="G184" s="114" t="s">
        <v>439</v>
      </c>
      <c r="H184" s="114" t="s">
        <v>492</v>
      </c>
      <c r="I184" s="114" t="s">
        <v>619</v>
      </c>
      <c r="J184" s="114" t="s">
        <v>603</v>
      </c>
    </row>
    <row r="185" spans="1:10">
      <c r="A185" s="114" t="s">
        <v>667</v>
      </c>
      <c r="B185" s="114" t="s">
        <v>436</v>
      </c>
      <c r="C185" s="114" t="s">
        <v>450</v>
      </c>
      <c r="D185" s="114" t="s">
        <v>438</v>
      </c>
      <c r="E185">
        <v>7831</v>
      </c>
      <c r="F185" s="114" t="s">
        <v>675</v>
      </c>
      <c r="G185" s="114" t="s">
        <v>452</v>
      </c>
      <c r="H185" s="114" t="s">
        <v>479</v>
      </c>
      <c r="I185" s="114">
        <v>37</v>
      </c>
      <c r="J185" s="114"/>
    </row>
    <row r="186" spans="1:10">
      <c r="A186" s="114" t="s">
        <v>676</v>
      </c>
      <c r="B186" s="114" t="s">
        <v>436</v>
      </c>
      <c r="C186" s="114" t="s">
        <v>455</v>
      </c>
      <c r="D186" s="114" t="s">
        <v>438</v>
      </c>
      <c r="E186">
        <v>2678</v>
      </c>
      <c r="F186" s="114" t="s">
        <v>677</v>
      </c>
      <c r="G186" s="114" t="s">
        <v>439</v>
      </c>
      <c r="H186" s="114" t="s">
        <v>457</v>
      </c>
      <c r="I186" s="114" t="s">
        <v>522</v>
      </c>
      <c r="J186" s="114" t="s">
        <v>1107</v>
      </c>
    </row>
    <row r="187" spans="1:10">
      <c r="A187" s="114" t="s">
        <v>676</v>
      </c>
      <c r="B187" s="114" t="s">
        <v>436</v>
      </c>
      <c r="C187" s="114" t="s">
        <v>455</v>
      </c>
      <c r="D187" s="114" t="s">
        <v>438</v>
      </c>
      <c r="E187">
        <v>3391</v>
      </c>
      <c r="F187" s="114" t="s">
        <v>678</v>
      </c>
      <c r="G187" s="114" t="s">
        <v>439</v>
      </c>
      <c r="H187" s="114" t="s">
        <v>457</v>
      </c>
      <c r="I187" s="114" t="s">
        <v>679</v>
      </c>
      <c r="J187" s="114" t="s">
        <v>1108</v>
      </c>
    </row>
    <row r="188" spans="1:10">
      <c r="A188" s="114" t="s">
        <v>676</v>
      </c>
      <c r="B188" s="114" t="s">
        <v>436</v>
      </c>
      <c r="C188" s="114" t="s">
        <v>450</v>
      </c>
      <c r="D188" s="114" t="s">
        <v>443</v>
      </c>
      <c r="E188">
        <v>8956</v>
      </c>
      <c r="F188" s="114" t="s">
        <v>680</v>
      </c>
      <c r="G188" s="114" t="s">
        <v>554</v>
      </c>
      <c r="H188" s="114" t="s">
        <v>555</v>
      </c>
      <c r="I188" s="114" t="s">
        <v>482</v>
      </c>
      <c r="J188" s="114" t="s">
        <v>1109</v>
      </c>
    </row>
    <row r="189" spans="1:10">
      <c r="A189" s="114" t="s">
        <v>681</v>
      </c>
      <c r="B189" s="114" t="s">
        <v>436</v>
      </c>
      <c r="C189" s="114" t="s">
        <v>450</v>
      </c>
      <c r="D189" s="114" t="s">
        <v>438</v>
      </c>
      <c r="E189">
        <v>2315</v>
      </c>
      <c r="F189" s="114" t="s">
        <v>682</v>
      </c>
      <c r="G189" s="114" t="s">
        <v>445</v>
      </c>
      <c r="H189" s="114" t="s">
        <v>459</v>
      </c>
      <c r="I189" s="114">
        <v>101</v>
      </c>
      <c r="J189" s="114"/>
    </row>
    <row r="190" spans="1:10">
      <c r="A190" s="114" t="s">
        <v>683</v>
      </c>
      <c r="B190" s="114" t="s">
        <v>436</v>
      </c>
      <c r="C190" s="114" t="s">
        <v>450</v>
      </c>
      <c r="D190" s="114" t="s">
        <v>443</v>
      </c>
      <c r="E190">
        <v>3308</v>
      </c>
      <c r="F190" s="114" t="s">
        <v>684</v>
      </c>
      <c r="G190" s="114" t="s">
        <v>554</v>
      </c>
      <c r="H190" s="114" t="s">
        <v>555</v>
      </c>
      <c r="I190">
        <v>164</v>
      </c>
    </row>
    <row r="191" spans="1:10">
      <c r="A191" s="114" t="s">
        <v>685</v>
      </c>
      <c r="B191" s="114" t="s">
        <v>484</v>
      </c>
      <c r="C191" s="114" t="s">
        <v>450</v>
      </c>
      <c r="D191" s="114" t="s">
        <v>438</v>
      </c>
      <c r="E191">
        <v>7965</v>
      </c>
      <c r="F191" s="114" t="s">
        <v>1110</v>
      </c>
      <c r="G191" s="114" t="s">
        <v>439</v>
      </c>
      <c r="H191" s="114" t="s">
        <v>490</v>
      </c>
      <c r="I191" s="114" t="s">
        <v>522</v>
      </c>
      <c r="J191" s="114" t="s">
        <v>1111</v>
      </c>
    </row>
    <row r="192" spans="1:10">
      <c r="A192" s="114" t="s">
        <v>685</v>
      </c>
      <c r="B192" s="114" t="s">
        <v>436</v>
      </c>
      <c r="C192" s="114" t="s">
        <v>442</v>
      </c>
      <c r="D192" s="114" t="s">
        <v>438</v>
      </c>
      <c r="E192">
        <v>3035</v>
      </c>
      <c r="F192" s="114" t="s">
        <v>686</v>
      </c>
      <c r="G192" s="114" t="s">
        <v>445</v>
      </c>
      <c r="H192" s="114" t="s">
        <v>448</v>
      </c>
      <c r="I192">
        <v>21</v>
      </c>
    </row>
    <row r="193" spans="1:10">
      <c r="A193" s="114" t="s">
        <v>685</v>
      </c>
      <c r="B193" s="114" t="s">
        <v>436</v>
      </c>
      <c r="C193" s="114" t="s">
        <v>437</v>
      </c>
      <c r="D193" s="114" t="s">
        <v>438</v>
      </c>
      <c r="E193">
        <v>7624</v>
      </c>
      <c r="F193" s="114" t="s">
        <v>687</v>
      </c>
      <c r="G193" s="114" t="s">
        <v>445</v>
      </c>
      <c r="H193" s="114" t="s">
        <v>448</v>
      </c>
      <c r="I193">
        <v>118</v>
      </c>
    </row>
    <row r="194" spans="1:10">
      <c r="A194" s="114" t="s">
        <v>688</v>
      </c>
      <c r="B194" s="114" t="s">
        <v>689</v>
      </c>
      <c r="C194" s="114" t="s">
        <v>450</v>
      </c>
      <c r="D194" s="114" t="s">
        <v>438</v>
      </c>
      <c r="E194">
        <v>6664</v>
      </c>
      <c r="F194" s="114" t="s">
        <v>690</v>
      </c>
      <c r="G194" s="114" t="s">
        <v>445</v>
      </c>
      <c r="H194" s="114" t="s">
        <v>490</v>
      </c>
      <c r="I194">
        <v>43</v>
      </c>
    </row>
    <row r="195" spans="1:10">
      <c r="A195" s="114" t="s">
        <v>688</v>
      </c>
      <c r="B195" s="114" t="s">
        <v>689</v>
      </c>
      <c r="C195" s="114" t="s">
        <v>437</v>
      </c>
      <c r="D195" s="114" t="s">
        <v>443</v>
      </c>
      <c r="E195">
        <v>7611</v>
      </c>
      <c r="F195" s="114" t="s">
        <v>691</v>
      </c>
      <c r="G195" s="114" t="s">
        <v>439</v>
      </c>
      <c r="H195" s="114" t="s">
        <v>457</v>
      </c>
      <c r="I195">
        <v>833</v>
      </c>
    </row>
    <row r="196" spans="1:10">
      <c r="A196" s="114" t="s">
        <v>688</v>
      </c>
      <c r="B196" s="114" t="s">
        <v>436</v>
      </c>
      <c r="C196" s="114" t="s">
        <v>437</v>
      </c>
      <c r="D196" s="114" t="s">
        <v>438</v>
      </c>
      <c r="E196">
        <v>6279</v>
      </c>
      <c r="F196" s="114" t="s">
        <v>692</v>
      </c>
      <c r="G196" s="114" t="s">
        <v>452</v>
      </c>
      <c r="H196" s="114" t="s">
        <v>477</v>
      </c>
      <c r="I196">
        <v>279</v>
      </c>
    </row>
    <row r="197" spans="1:10">
      <c r="A197" s="114" t="s">
        <v>688</v>
      </c>
      <c r="B197" s="114" t="s">
        <v>436</v>
      </c>
      <c r="C197" s="114" t="s">
        <v>455</v>
      </c>
      <c r="D197" s="114" t="s">
        <v>443</v>
      </c>
      <c r="E197">
        <v>7068</v>
      </c>
      <c r="F197" s="114" t="s">
        <v>693</v>
      </c>
      <c r="G197" s="114" t="s">
        <v>461</v>
      </c>
      <c r="H197" s="114" t="s">
        <v>446</v>
      </c>
      <c r="I197">
        <v>106</v>
      </c>
    </row>
    <row r="198" spans="1:10">
      <c r="A198" s="114" t="s">
        <v>688</v>
      </c>
      <c r="B198" s="114" t="s">
        <v>436</v>
      </c>
      <c r="C198" s="114" t="s">
        <v>455</v>
      </c>
      <c r="D198" s="114" t="s">
        <v>438</v>
      </c>
      <c r="E198">
        <v>7921</v>
      </c>
      <c r="F198" s="114" t="s">
        <v>694</v>
      </c>
      <c r="G198" s="114" t="s">
        <v>439</v>
      </c>
      <c r="H198" s="114" t="s">
        <v>479</v>
      </c>
      <c r="I198">
        <v>223</v>
      </c>
    </row>
    <row r="199" spans="1:10">
      <c r="A199" s="114" t="s">
        <v>688</v>
      </c>
      <c r="B199" s="114" t="s">
        <v>436</v>
      </c>
      <c r="C199" s="114" t="s">
        <v>437</v>
      </c>
      <c r="D199" s="114" t="s">
        <v>438</v>
      </c>
      <c r="E199">
        <v>9982</v>
      </c>
      <c r="F199" s="114" t="s">
        <v>695</v>
      </c>
      <c r="G199" s="114" t="s">
        <v>439</v>
      </c>
      <c r="H199" s="114" t="s">
        <v>448</v>
      </c>
      <c r="I199">
        <v>185</v>
      </c>
    </row>
    <row r="200" spans="1:10">
      <c r="A200" s="114" t="s">
        <v>696</v>
      </c>
      <c r="B200" s="114" t="s">
        <v>436</v>
      </c>
      <c r="C200" s="114" t="s">
        <v>437</v>
      </c>
      <c r="D200" s="114" t="s">
        <v>438</v>
      </c>
      <c r="E200">
        <v>2186</v>
      </c>
      <c r="F200" s="114" t="s">
        <v>697</v>
      </c>
      <c r="G200" s="114" t="s">
        <v>445</v>
      </c>
      <c r="H200" s="114" t="s">
        <v>446</v>
      </c>
      <c r="I200">
        <v>95</v>
      </c>
    </row>
    <row r="201" spans="1:10">
      <c r="A201" s="114" t="s">
        <v>696</v>
      </c>
      <c r="B201" s="114" t="s">
        <v>436</v>
      </c>
      <c r="C201" s="114" t="s">
        <v>437</v>
      </c>
      <c r="D201" s="114" t="s">
        <v>438</v>
      </c>
      <c r="E201">
        <v>2685</v>
      </c>
      <c r="F201" s="114" t="s">
        <v>698</v>
      </c>
      <c r="G201" s="114" t="s">
        <v>439</v>
      </c>
      <c r="H201" s="114" t="s">
        <v>457</v>
      </c>
      <c r="I201" s="114" t="s">
        <v>522</v>
      </c>
      <c r="J201" s="114" t="s">
        <v>1112</v>
      </c>
    </row>
    <row r="202" spans="1:10">
      <c r="A202" s="114" t="s">
        <v>696</v>
      </c>
      <c r="B202" s="114" t="s">
        <v>436</v>
      </c>
      <c r="C202" s="114" t="s">
        <v>437</v>
      </c>
      <c r="D202" s="114" t="s">
        <v>438</v>
      </c>
      <c r="E202">
        <v>3919</v>
      </c>
      <c r="F202" s="114" t="s">
        <v>699</v>
      </c>
      <c r="G202" s="114" t="s">
        <v>439</v>
      </c>
      <c r="H202" s="114" t="s">
        <v>459</v>
      </c>
      <c r="I202">
        <v>158</v>
      </c>
    </row>
    <row r="203" spans="1:10">
      <c r="A203" s="114" t="s">
        <v>696</v>
      </c>
      <c r="B203" s="114" t="s">
        <v>436</v>
      </c>
      <c r="C203" s="114" t="s">
        <v>442</v>
      </c>
      <c r="D203" s="114" t="s">
        <v>438</v>
      </c>
      <c r="E203">
        <v>7514</v>
      </c>
      <c r="F203" s="114" t="s">
        <v>1113</v>
      </c>
      <c r="G203" s="114" t="s">
        <v>439</v>
      </c>
      <c r="H203" s="114" t="s">
        <v>457</v>
      </c>
      <c r="I203">
        <v>103</v>
      </c>
    </row>
    <row r="204" spans="1:10">
      <c r="A204" s="114" t="s">
        <v>696</v>
      </c>
      <c r="B204" s="114" t="s">
        <v>436</v>
      </c>
      <c r="C204" s="114" t="s">
        <v>455</v>
      </c>
      <c r="D204" s="114" t="s">
        <v>438</v>
      </c>
      <c r="E204">
        <v>9651</v>
      </c>
      <c r="F204" s="114" t="s">
        <v>700</v>
      </c>
      <c r="G204" s="114" t="s">
        <v>445</v>
      </c>
      <c r="H204" s="114" t="s">
        <v>459</v>
      </c>
      <c r="I204">
        <v>90</v>
      </c>
    </row>
    <row r="205" spans="1:10">
      <c r="A205" s="114" t="s">
        <v>701</v>
      </c>
      <c r="B205" s="114" t="s">
        <v>436</v>
      </c>
      <c r="C205" s="114" t="s">
        <v>437</v>
      </c>
      <c r="D205" s="114" t="s">
        <v>438</v>
      </c>
      <c r="E205">
        <v>1712</v>
      </c>
      <c r="F205" s="114" t="s">
        <v>702</v>
      </c>
      <c r="G205" s="114" t="s">
        <v>439</v>
      </c>
      <c r="H205" s="114" t="s">
        <v>500</v>
      </c>
      <c r="I205" s="114">
        <v>174</v>
      </c>
      <c r="J205" s="114"/>
    </row>
    <row r="206" spans="1:10">
      <c r="A206" s="114" t="s">
        <v>701</v>
      </c>
      <c r="B206" s="114" t="s">
        <v>436</v>
      </c>
      <c r="C206" s="114" t="s">
        <v>437</v>
      </c>
      <c r="D206" s="114" t="s">
        <v>438</v>
      </c>
      <c r="E206">
        <v>9793</v>
      </c>
      <c r="F206" s="114" t="s">
        <v>703</v>
      </c>
      <c r="G206" s="114" t="s">
        <v>439</v>
      </c>
      <c r="H206" s="114" t="s">
        <v>446</v>
      </c>
      <c r="I206" s="114" t="s">
        <v>522</v>
      </c>
      <c r="J206" s="114" t="s">
        <v>1114</v>
      </c>
    </row>
    <row r="207" spans="1:10">
      <c r="A207" s="114" t="s">
        <v>704</v>
      </c>
      <c r="B207" s="114" t="s">
        <v>436</v>
      </c>
      <c r="C207" s="114" t="s">
        <v>455</v>
      </c>
      <c r="D207" s="114" t="s">
        <v>438</v>
      </c>
      <c r="E207">
        <v>2792</v>
      </c>
      <c r="F207" s="114" t="s">
        <v>705</v>
      </c>
      <c r="G207" s="114" t="s">
        <v>439</v>
      </c>
      <c r="H207" s="114" t="s">
        <v>457</v>
      </c>
      <c r="I207">
        <v>390</v>
      </c>
    </row>
    <row r="208" spans="1:10">
      <c r="A208" s="114" t="s">
        <v>706</v>
      </c>
      <c r="B208" s="114" t="s">
        <v>436</v>
      </c>
      <c r="C208" s="114" t="s">
        <v>437</v>
      </c>
      <c r="D208" s="114" t="s">
        <v>438</v>
      </c>
      <c r="E208">
        <v>4714</v>
      </c>
      <c r="F208" s="114" t="s">
        <v>707</v>
      </c>
      <c r="G208" s="114" t="s">
        <v>439</v>
      </c>
      <c r="H208" s="114" t="s">
        <v>446</v>
      </c>
      <c r="I208" s="114">
        <v>645</v>
      </c>
      <c r="J208" s="114"/>
    </row>
    <row r="209" spans="1:10">
      <c r="A209" s="114" t="s">
        <v>708</v>
      </c>
      <c r="B209" s="114" t="s">
        <v>436</v>
      </c>
      <c r="C209" s="114" t="s">
        <v>450</v>
      </c>
      <c r="D209" s="114" t="s">
        <v>438</v>
      </c>
      <c r="E209">
        <v>2809</v>
      </c>
      <c r="F209" s="114" t="s">
        <v>709</v>
      </c>
      <c r="G209" s="114" t="s">
        <v>439</v>
      </c>
      <c r="H209" s="114" t="s">
        <v>440</v>
      </c>
      <c r="I209" s="114" t="s">
        <v>710</v>
      </c>
      <c r="J209" s="114" t="s">
        <v>1115</v>
      </c>
    </row>
    <row r="210" spans="1:10">
      <c r="A210" s="114" t="s">
        <v>708</v>
      </c>
      <c r="B210" s="114" t="s">
        <v>436</v>
      </c>
      <c r="C210" s="114" t="s">
        <v>442</v>
      </c>
      <c r="D210" s="114" t="s">
        <v>438</v>
      </c>
      <c r="E210">
        <v>2927</v>
      </c>
      <c r="F210" s="114" t="s">
        <v>711</v>
      </c>
      <c r="G210" s="114" t="s">
        <v>445</v>
      </c>
      <c r="H210" s="114" t="s">
        <v>440</v>
      </c>
      <c r="I210">
        <v>94</v>
      </c>
    </row>
    <row r="211" spans="1:10">
      <c r="A211" s="114" t="s">
        <v>708</v>
      </c>
      <c r="B211" s="114" t="s">
        <v>436</v>
      </c>
      <c r="C211" s="114" t="s">
        <v>437</v>
      </c>
      <c r="D211" s="114" t="s">
        <v>438</v>
      </c>
      <c r="E211">
        <v>3396</v>
      </c>
      <c r="F211" s="114" t="s">
        <v>712</v>
      </c>
      <c r="G211" s="114" t="s">
        <v>439</v>
      </c>
      <c r="H211" s="114" t="s">
        <v>457</v>
      </c>
      <c r="I211">
        <v>105</v>
      </c>
    </row>
    <row r="212" spans="1:10">
      <c r="A212" s="114" t="s">
        <v>708</v>
      </c>
      <c r="B212" s="114" t="s">
        <v>436</v>
      </c>
      <c r="C212" s="114" t="s">
        <v>455</v>
      </c>
      <c r="D212" s="114" t="s">
        <v>438</v>
      </c>
      <c r="E212">
        <v>8908</v>
      </c>
      <c r="F212" s="114" t="s">
        <v>713</v>
      </c>
      <c r="G212" s="114" t="s">
        <v>439</v>
      </c>
      <c r="H212" s="114" t="s">
        <v>492</v>
      </c>
      <c r="I212" s="114">
        <v>148</v>
      </c>
      <c r="J212" s="114"/>
    </row>
    <row r="213" spans="1:10">
      <c r="A213" s="114" t="s">
        <v>708</v>
      </c>
      <c r="B213" s="114" t="s">
        <v>436</v>
      </c>
      <c r="C213" s="114" t="s">
        <v>442</v>
      </c>
      <c r="D213" s="114" t="s">
        <v>438</v>
      </c>
      <c r="E213">
        <v>9983</v>
      </c>
      <c r="F213" s="114" t="s">
        <v>714</v>
      </c>
      <c r="G213" s="114" t="s">
        <v>439</v>
      </c>
      <c r="H213" s="114" t="s">
        <v>457</v>
      </c>
      <c r="I213" s="114" t="s">
        <v>715</v>
      </c>
      <c r="J213" s="114" t="s">
        <v>1116</v>
      </c>
    </row>
    <row r="214" spans="1:10">
      <c r="A214" s="114" t="s">
        <v>716</v>
      </c>
      <c r="B214" s="114" t="s">
        <v>689</v>
      </c>
      <c r="C214" s="114" t="s">
        <v>455</v>
      </c>
      <c r="D214" s="114" t="s">
        <v>438</v>
      </c>
      <c r="E214">
        <v>6567</v>
      </c>
      <c r="F214" s="114" t="s">
        <v>717</v>
      </c>
      <c r="G214" s="114" t="s">
        <v>461</v>
      </c>
      <c r="H214" s="114" t="s">
        <v>446</v>
      </c>
      <c r="I214">
        <v>22</v>
      </c>
    </row>
    <row r="215" spans="1:10">
      <c r="A215" s="114" t="s">
        <v>716</v>
      </c>
      <c r="B215" s="114" t="s">
        <v>436</v>
      </c>
      <c r="C215" s="114" t="s">
        <v>437</v>
      </c>
      <c r="D215" s="114" t="s">
        <v>438</v>
      </c>
      <c r="E215">
        <v>2338</v>
      </c>
      <c r="F215" s="114" t="s">
        <v>718</v>
      </c>
      <c r="G215" s="114" t="s">
        <v>452</v>
      </c>
      <c r="H215" s="114" t="s">
        <v>459</v>
      </c>
      <c r="I215" s="114">
        <v>26</v>
      </c>
      <c r="J215" s="114"/>
    </row>
    <row r="216" spans="1:10">
      <c r="A216" s="114" t="s">
        <v>716</v>
      </c>
      <c r="B216" s="114" t="s">
        <v>436</v>
      </c>
      <c r="C216" s="114" t="s">
        <v>437</v>
      </c>
      <c r="D216" s="114" t="s">
        <v>438</v>
      </c>
      <c r="E216">
        <v>2651</v>
      </c>
      <c r="F216" s="114" t="s">
        <v>719</v>
      </c>
      <c r="G216" s="114" t="s">
        <v>439</v>
      </c>
      <c r="H216" s="114" t="s">
        <v>457</v>
      </c>
      <c r="I216" s="114" t="s">
        <v>679</v>
      </c>
      <c r="J216" s="114" t="s">
        <v>1117</v>
      </c>
    </row>
    <row r="217" spans="1:10">
      <c r="A217" s="114" t="s">
        <v>716</v>
      </c>
      <c r="B217" s="114" t="s">
        <v>436</v>
      </c>
      <c r="C217" s="114" t="s">
        <v>437</v>
      </c>
      <c r="D217" s="114" t="s">
        <v>443</v>
      </c>
      <c r="E217">
        <v>2706</v>
      </c>
      <c r="F217" s="114" t="s">
        <v>720</v>
      </c>
      <c r="G217" s="114" t="s">
        <v>445</v>
      </c>
      <c r="H217" s="114" t="s">
        <v>479</v>
      </c>
      <c r="I217">
        <v>118</v>
      </c>
    </row>
    <row r="218" spans="1:10">
      <c r="A218" s="114" t="s">
        <v>716</v>
      </c>
      <c r="B218" s="114" t="s">
        <v>436</v>
      </c>
      <c r="C218" s="114" t="s">
        <v>437</v>
      </c>
      <c r="D218" s="114" t="s">
        <v>438</v>
      </c>
      <c r="E218">
        <v>3546</v>
      </c>
      <c r="F218" s="114" t="s">
        <v>721</v>
      </c>
      <c r="G218" s="114" t="s">
        <v>439</v>
      </c>
      <c r="H218" s="114" t="s">
        <v>457</v>
      </c>
      <c r="I218">
        <v>259</v>
      </c>
    </row>
    <row r="219" spans="1:10">
      <c r="A219" s="114" t="s">
        <v>716</v>
      </c>
      <c r="B219" s="114" t="s">
        <v>436</v>
      </c>
      <c r="C219" s="114" t="s">
        <v>437</v>
      </c>
      <c r="D219" s="114" t="s">
        <v>438</v>
      </c>
      <c r="E219">
        <v>3922</v>
      </c>
      <c r="F219" s="114" t="s">
        <v>722</v>
      </c>
      <c r="G219" s="114" t="s">
        <v>439</v>
      </c>
      <c r="H219" s="114" t="s">
        <v>459</v>
      </c>
      <c r="I219">
        <v>167</v>
      </c>
    </row>
    <row r="220" spans="1:10">
      <c r="A220" s="114" t="s">
        <v>716</v>
      </c>
      <c r="B220" s="114" t="s">
        <v>436</v>
      </c>
      <c r="C220" s="114" t="s">
        <v>455</v>
      </c>
      <c r="D220" s="114" t="s">
        <v>438</v>
      </c>
      <c r="E220">
        <v>4829</v>
      </c>
      <c r="F220" s="114" t="s">
        <v>723</v>
      </c>
      <c r="G220" s="114" t="s">
        <v>439</v>
      </c>
      <c r="H220" s="114" t="s">
        <v>459</v>
      </c>
      <c r="I220">
        <v>93</v>
      </c>
    </row>
    <row r="221" spans="1:10">
      <c r="A221" s="114" t="s">
        <v>716</v>
      </c>
      <c r="B221" s="114" t="s">
        <v>436</v>
      </c>
      <c r="C221" s="114" t="s">
        <v>437</v>
      </c>
      <c r="D221" s="114" t="s">
        <v>438</v>
      </c>
      <c r="E221">
        <v>6058</v>
      </c>
      <c r="F221" s="114" t="s">
        <v>724</v>
      </c>
      <c r="G221" s="114" t="s">
        <v>439</v>
      </c>
      <c r="H221" s="114" t="s">
        <v>446</v>
      </c>
      <c r="I221">
        <v>493</v>
      </c>
    </row>
    <row r="222" spans="1:10">
      <c r="A222" s="114" t="s">
        <v>716</v>
      </c>
      <c r="B222" s="114" t="s">
        <v>436</v>
      </c>
      <c r="C222" s="114" t="s">
        <v>450</v>
      </c>
      <c r="D222" s="114" t="s">
        <v>438</v>
      </c>
      <c r="E222">
        <v>6492</v>
      </c>
      <c r="F222" s="114" t="s">
        <v>725</v>
      </c>
      <c r="G222" s="114" t="s">
        <v>452</v>
      </c>
      <c r="H222" s="114" t="s">
        <v>477</v>
      </c>
      <c r="I222">
        <v>35</v>
      </c>
    </row>
    <row r="223" spans="1:10">
      <c r="A223" s="114" t="s">
        <v>716</v>
      </c>
      <c r="B223" s="114" t="s">
        <v>436</v>
      </c>
      <c r="C223" s="114" t="s">
        <v>437</v>
      </c>
      <c r="D223" s="114" t="s">
        <v>443</v>
      </c>
      <c r="E223">
        <v>6532</v>
      </c>
      <c r="F223" s="114" t="s">
        <v>726</v>
      </c>
      <c r="G223" s="114" t="s">
        <v>439</v>
      </c>
      <c r="H223" s="114" t="s">
        <v>446</v>
      </c>
      <c r="I223">
        <v>923</v>
      </c>
    </row>
    <row r="224" spans="1:10">
      <c r="A224" s="114" t="s">
        <v>716</v>
      </c>
      <c r="B224" s="114" t="s">
        <v>436</v>
      </c>
      <c r="C224" s="114" t="s">
        <v>450</v>
      </c>
      <c r="D224" s="114" t="s">
        <v>438</v>
      </c>
      <c r="E224">
        <v>8923</v>
      </c>
      <c r="F224" s="114" t="s">
        <v>727</v>
      </c>
      <c r="G224" s="114" t="s">
        <v>439</v>
      </c>
      <c r="H224" s="114" t="s">
        <v>492</v>
      </c>
      <c r="I224">
        <v>684</v>
      </c>
    </row>
    <row r="225" spans="1:10">
      <c r="A225" s="114" t="s">
        <v>728</v>
      </c>
      <c r="B225" s="114" t="s">
        <v>436</v>
      </c>
      <c r="C225" s="114" t="s">
        <v>450</v>
      </c>
      <c r="D225" s="114" t="s">
        <v>438</v>
      </c>
      <c r="E225">
        <v>2471</v>
      </c>
      <c r="F225" s="114" t="s">
        <v>729</v>
      </c>
      <c r="G225" s="114" t="s">
        <v>439</v>
      </c>
      <c r="H225" s="114" t="s">
        <v>446</v>
      </c>
      <c r="I225">
        <v>524</v>
      </c>
    </row>
    <row r="226" spans="1:10">
      <c r="A226" s="114" t="s">
        <v>728</v>
      </c>
      <c r="B226" s="114" t="s">
        <v>436</v>
      </c>
      <c r="C226" s="114" t="s">
        <v>437</v>
      </c>
      <c r="D226" s="114" t="s">
        <v>443</v>
      </c>
      <c r="E226">
        <v>2930</v>
      </c>
      <c r="F226" s="114" t="s">
        <v>730</v>
      </c>
      <c r="G226" s="114" t="s">
        <v>439</v>
      </c>
      <c r="H226" s="114" t="s">
        <v>440</v>
      </c>
      <c r="I226">
        <v>958</v>
      </c>
    </row>
    <row r="227" spans="1:10">
      <c r="A227" s="114" t="s">
        <v>728</v>
      </c>
      <c r="B227" s="114" t="s">
        <v>436</v>
      </c>
      <c r="C227" s="114" t="s">
        <v>437</v>
      </c>
      <c r="D227" s="114" t="s">
        <v>443</v>
      </c>
      <c r="E227">
        <v>3030</v>
      </c>
      <c r="F227" s="114" t="s">
        <v>731</v>
      </c>
      <c r="G227" s="114" t="s">
        <v>439</v>
      </c>
      <c r="H227" s="114" t="s">
        <v>457</v>
      </c>
      <c r="I227" s="114">
        <v>114</v>
      </c>
      <c r="J227" s="114"/>
    </row>
    <row r="228" spans="1:10">
      <c r="A228" s="114" t="s">
        <v>728</v>
      </c>
      <c r="B228" s="114" t="s">
        <v>436</v>
      </c>
      <c r="C228" s="114" t="s">
        <v>437</v>
      </c>
      <c r="D228" s="114" t="s">
        <v>438</v>
      </c>
      <c r="E228">
        <v>3479</v>
      </c>
      <c r="F228" s="114" t="s">
        <v>732</v>
      </c>
      <c r="G228" s="114" t="s">
        <v>461</v>
      </c>
      <c r="H228" s="114" t="s">
        <v>492</v>
      </c>
      <c r="I228" s="114" t="s">
        <v>522</v>
      </c>
      <c r="J228" s="114" t="s">
        <v>1118</v>
      </c>
    </row>
    <row r="229" spans="1:10">
      <c r="A229" s="114" t="s">
        <v>728</v>
      </c>
      <c r="B229" s="114" t="s">
        <v>436</v>
      </c>
      <c r="C229" s="114" t="s">
        <v>437</v>
      </c>
      <c r="D229" s="114" t="s">
        <v>438</v>
      </c>
      <c r="E229">
        <v>3562</v>
      </c>
      <c r="F229" s="114" t="s">
        <v>733</v>
      </c>
      <c r="G229" s="114" t="s">
        <v>445</v>
      </c>
      <c r="H229" s="114" t="s">
        <v>448</v>
      </c>
      <c r="I229">
        <v>34</v>
      </c>
    </row>
    <row r="230" spans="1:10">
      <c r="A230" s="114" t="s">
        <v>728</v>
      </c>
      <c r="B230" s="114" t="s">
        <v>436</v>
      </c>
      <c r="C230" s="114" t="s">
        <v>437</v>
      </c>
      <c r="D230" s="114" t="s">
        <v>438</v>
      </c>
      <c r="E230">
        <v>3678</v>
      </c>
      <c r="F230" s="114" t="s">
        <v>734</v>
      </c>
      <c r="G230" s="114" t="s">
        <v>439</v>
      </c>
      <c r="H230" s="114" t="s">
        <v>459</v>
      </c>
      <c r="I230">
        <v>489</v>
      </c>
    </row>
    <row r="231" spans="1:10">
      <c r="A231" s="114" t="s">
        <v>728</v>
      </c>
      <c r="B231" s="114" t="s">
        <v>436</v>
      </c>
      <c r="C231" s="114" t="s">
        <v>442</v>
      </c>
      <c r="D231" s="114" t="s">
        <v>438</v>
      </c>
      <c r="E231">
        <v>4668</v>
      </c>
      <c r="F231" s="114" t="s">
        <v>735</v>
      </c>
      <c r="G231" s="114" t="s">
        <v>439</v>
      </c>
      <c r="H231" s="114" t="s">
        <v>446</v>
      </c>
      <c r="I231">
        <v>289</v>
      </c>
    </row>
    <row r="232" spans="1:10">
      <c r="A232" s="114" t="s">
        <v>728</v>
      </c>
      <c r="B232" s="114" t="s">
        <v>436</v>
      </c>
      <c r="C232" s="114" t="s">
        <v>437</v>
      </c>
      <c r="D232" s="114" t="s">
        <v>438</v>
      </c>
      <c r="E232">
        <v>6814</v>
      </c>
      <c r="F232" s="114" t="s">
        <v>736</v>
      </c>
      <c r="G232" s="114" t="s">
        <v>439</v>
      </c>
      <c r="H232" s="114" t="s">
        <v>490</v>
      </c>
      <c r="I232">
        <v>427</v>
      </c>
    </row>
    <row r="233" spans="1:10">
      <c r="A233" s="114" t="s">
        <v>728</v>
      </c>
      <c r="B233" s="114" t="s">
        <v>436</v>
      </c>
      <c r="C233" s="114" t="s">
        <v>437</v>
      </c>
      <c r="D233" s="114" t="s">
        <v>438</v>
      </c>
      <c r="E233">
        <v>7719</v>
      </c>
      <c r="F233" s="114" t="s">
        <v>737</v>
      </c>
      <c r="G233" s="114" t="s">
        <v>452</v>
      </c>
      <c r="H233" s="114" t="s">
        <v>738</v>
      </c>
      <c r="I233" s="114">
        <v>18</v>
      </c>
      <c r="J233" s="114"/>
    </row>
    <row r="234" spans="1:10">
      <c r="A234" s="114" t="s">
        <v>728</v>
      </c>
      <c r="B234" s="114" t="s">
        <v>436</v>
      </c>
      <c r="C234" s="114" t="s">
        <v>437</v>
      </c>
      <c r="D234" s="114" t="s">
        <v>438</v>
      </c>
      <c r="E234">
        <v>9602</v>
      </c>
      <c r="F234" s="114" t="s">
        <v>739</v>
      </c>
      <c r="G234" s="114" t="s">
        <v>439</v>
      </c>
      <c r="H234" s="114" t="s">
        <v>459</v>
      </c>
      <c r="I234" s="114" t="s">
        <v>740</v>
      </c>
      <c r="J234" s="114" t="s">
        <v>1119</v>
      </c>
    </row>
    <row r="235" spans="1:10">
      <c r="A235" s="114" t="s">
        <v>741</v>
      </c>
      <c r="B235" s="114" t="s">
        <v>436</v>
      </c>
      <c r="C235" s="114" t="s">
        <v>450</v>
      </c>
      <c r="D235" s="114" t="s">
        <v>438</v>
      </c>
      <c r="E235">
        <v>3907</v>
      </c>
      <c r="F235" s="114" t="s">
        <v>742</v>
      </c>
      <c r="G235" s="114" t="s">
        <v>461</v>
      </c>
      <c r="H235" s="114" t="s">
        <v>459</v>
      </c>
      <c r="I235">
        <v>54</v>
      </c>
    </row>
    <row r="236" spans="1:10">
      <c r="A236" s="114" t="s">
        <v>741</v>
      </c>
      <c r="B236" s="114" t="s">
        <v>436</v>
      </c>
      <c r="C236" s="114" t="s">
        <v>437</v>
      </c>
      <c r="D236" s="114" t="s">
        <v>438</v>
      </c>
      <c r="E236">
        <v>6578</v>
      </c>
      <c r="F236" s="114" t="s">
        <v>743</v>
      </c>
      <c r="G236" s="114" t="s">
        <v>452</v>
      </c>
      <c r="H236" s="114" t="s">
        <v>446</v>
      </c>
      <c r="I236">
        <v>29</v>
      </c>
    </row>
    <row r="237" spans="1:10">
      <c r="A237" s="114" t="s">
        <v>741</v>
      </c>
      <c r="B237" s="114" t="s">
        <v>436</v>
      </c>
      <c r="C237" s="114" t="s">
        <v>437</v>
      </c>
      <c r="D237" s="114" t="s">
        <v>443</v>
      </c>
      <c r="E237">
        <v>7610</v>
      </c>
      <c r="F237" s="114" t="s">
        <v>744</v>
      </c>
      <c r="G237" s="114" t="s">
        <v>445</v>
      </c>
      <c r="H237" s="114" t="s">
        <v>457</v>
      </c>
      <c r="I237" s="114">
        <v>24</v>
      </c>
      <c r="J237" s="114"/>
    </row>
    <row r="238" spans="1:10">
      <c r="A238" s="114" t="s">
        <v>745</v>
      </c>
      <c r="B238" s="114" t="s">
        <v>436</v>
      </c>
      <c r="C238" s="114" t="s">
        <v>450</v>
      </c>
      <c r="D238" s="114" t="s">
        <v>443</v>
      </c>
      <c r="E238">
        <v>3279</v>
      </c>
      <c r="F238" s="114" t="s">
        <v>746</v>
      </c>
      <c r="G238" s="114" t="s">
        <v>554</v>
      </c>
      <c r="H238" s="114" t="s">
        <v>555</v>
      </c>
      <c r="I238" s="114" t="s">
        <v>619</v>
      </c>
      <c r="J238" s="114" t="s">
        <v>1120</v>
      </c>
    </row>
    <row r="239" spans="1:10">
      <c r="A239" s="114" t="s">
        <v>745</v>
      </c>
      <c r="B239" s="114" t="s">
        <v>436</v>
      </c>
      <c r="C239" s="114" t="s">
        <v>450</v>
      </c>
      <c r="D239" s="114" t="s">
        <v>438</v>
      </c>
      <c r="E239">
        <v>6634</v>
      </c>
      <c r="F239" s="114" t="s">
        <v>747</v>
      </c>
      <c r="G239" s="114" t="s">
        <v>445</v>
      </c>
      <c r="H239" s="114" t="s">
        <v>490</v>
      </c>
      <c r="I239">
        <v>31</v>
      </c>
    </row>
    <row r="240" spans="1:10">
      <c r="A240" s="114" t="s">
        <v>745</v>
      </c>
      <c r="B240" s="114" t="s">
        <v>436</v>
      </c>
      <c r="C240" s="114" t="s">
        <v>450</v>
      </c>
      <c r="D240" s="114" t="s">
        <v>443</v>
      </c>
      <c r="E240">
        <v>7501</v>
      </c>
      <c r="F240" s="114" t="s">
        <v>748</v>
      </c>
      <c r="G240" s="114" t="s">
        <v>445</v>
      </c>
      <c r="H240" s="114" t="s">
        <v>448</v>
      </c>
      <c r="I240" s="114">
        <v>19</v>
      </c>
      <c r="J240" s="114"/>
    </row>
    <row r="241" spans="1:10">
      <c r="A241" s="114" t="s">
        <v>749</v>
      </c>
      <c r="B241" s="114" t="s">
        <v>436</v>
      </c>
      <c r="C241" s="114" t="s">
        <v>437</v>
      </c>
      <c r="D241" s="114" t="s">
        <v>438</v>
      </c>
      <c r="E241">
        <v>6146</v>
      </c>
      <c r="F241" s="114" t="s">
        <v>750</v>
      </c>
      <c r="G241" s="114" t="s">
        <v>439</v>
      </c>
      <c r="H241" s="114" t="s">
        <v>477</v>
      </c>
      <c r="I241" s="114" t="s">
        <v>740</v>
      </c>
      <c r="J241" s="114" t="s">
        <v>1121</v>
      </c>
    </row>
    <row r="242" spans="1:10">
      <c r="A242" s="114" t="s">
        <v>751</v>
      </c>
      <c r="B242" s="114" t="s">
        <v>436</v>
      </c>
      <c r="C242" s="114" t="s">
        <v>437</v>
      </c>
      <c r="D242" s="114" t="s">
        <v>438</v>
      </c>
      <c r="E242">
        <v>9433</v>
      </c>
      <c r="F242" s="114" t="s">
        <v>752</v>
      </c>
      <c r="G242" s="114" t="s">
        <v>439</v>
      </c>
      <c r="H242" s="114" t="s">
        <v>459</v>
      </c>
      <c r="I242" s="114" t="s">
        <v>753</v>
      </c>
      <c r="J242" s="114" t="s">
        <v>1122</v>
      </c>
    </row>
    <row r="243" spans="1:10">
      <c r="A243" s="114" t="s">
        <v>754</v>
      </c>
      <c r="B243" s="114" t="s">
        <v>689</v>
      </c>
      <c r="C243" s="114" t="s">
        <v>437</v>
      </c>
      <c r="D243" s="114" t="s">
        <v>443</v>
      </c>
      <c r="E243">
        <v>4973</v>
      </c>
      <c r="F243" s="114" t="s">
        <v>755</v>
      </c>
      <c r="G243" s="114" t="s">
        <v>439</v>
      </c>
      <c r="H243" s="114" t="s">
        <v>463</v>
      </c>
      <c r="I243">
        <v>168</v>
      </c>
    </row>
    <row r="244" spans="1:10">
      <c r="A244" s="114" t="s">
        <v>756</v>
      </c>
      <c r="B244" s="114" t="s">
        <v>436</v>
      </c>
      <c r="C244" s="114" t="s">
        <v>437</v>
      </c>
      <c r="D244" s="114" t="s">
        <v>438</v>
      </c>
      <c r="E244">
        <v>4462</v>
      </c>
      <c r="F244" s="114" t="s">
        <v>757</v>
      </c>
      <c r="G244" s="114" t="s">
        <v>439</v>
      </c>
      <c r="H244" s="114" t="s">
        <v>463</v>
      </c>
      <c r="I244" s="114">
        <v>149</v>
      </c>
      <c r="J244" s="114"/>
    </row>
    <row r="245" spans="1:10">
      <c r="A245" s="114" t="s">
        <v>758</v>
      </c>
      <c r="B245" s="114" t="s">
        <v>436</v>
      </c>
      <c r="C245" s="114" t="s">
        <v>437</v>
      </c>
      <c r="D245" s="114" t="s">
        <v>438</v>
      </c>
      <c r="E245">
        <v>9039</v>
      </c>
      <c r="F245" s="114" t="s">
        <v>759</v>
      </c>
      <c r="G245" s="114" t="s">
        <v>439</v>
      </c>
      <c r="H245" s="114" t="s">
        <v>760</v>
      </c>
      <c r="I245" s="114" t="s">
        <v>522</v>
      </c>
      <c r="J245" s="114" t="s">
        <v>1123</v>
      </c>
    </row>
    <row r="246" spans="1:10">
      <c r="A246" s="114" t="s">
        <v>761</v>
      </c>
      <c r="B246" s="114" t="s">
        <v>436</v>
      </c>
      <c r="C246" s="114" t="s">
        <v>437</v>
      </c>
      <c r="D246" s="114" t="s">
        <v>438</v>
      </c>
      <c r="E246">
        <v>1878</v>
      </c>
      <c r="F246" s="114" t="s">
        <v>762</v>
      </c>
      <c r="G246" s="114" t="s">
        <v>439</v>
      </c>
      <c r="H246" s="114" t="s">
        <v>500</v>
      </c>
      <c r="I246" s="114" t="s">
        <v>763</v>
      </c>
      <c r="J246" s="114" t="s">
        <v>1124</v>
      </c>
    </row>
    <row r="247" spans="1:10">
      <c r="A247" s="114" t="s">
        <v>761</v>
      </c>
      <c r="B247" s="114" t="s">
        <v>436</v>
      </c>
      <c r="C247" s="114" t="s">
        <v>437</v>
      </c>
      <c r="D247" s="114" t="s">
        <v>438</v>
      </c>
      <c r="E247">
        <v>2127</v>
      </c>
      <c r="F247" s="114" t="s">
        <v>1125</v>
      </c>
      <c r="G247" s="114" t="s">
        <v>439</v>
      </c>
      <c r="H247" s="114" t="s">
        <v>446</v>
      </c>
      <c r="I247" s="114" t="s">
        <v>473</v>
      </c>
      <c r="J247" s="114" t="s">
        <v>1126</v>
      </c>
    </row>
    <row r="248" spans="1:10">
      <c r="A248" s="114" t="s">
        <v>761</v>
      </c>
      <c r="B248" s="114" t="s">
        <v>436</v>
      </c>
      <c r="C248" s="114" t="s">
        <v>437</v>
      </c>
      <c r="D248" s="114" t="s">
        <v>438</v>
      </c>
      <c r="E248">
        <v>2412</v>
      </c>
      <c r="F248" s="114" t="s">
        <v>1127</v>
      </c>
      <c r="G248" s="114" t="s">
        <v>439</v>
      </c>
      <c r="H248" s="114" t="s">
        <v>446</v>
      </c>
      <c r="I248" s="114" t="s">
        <v>710</v>
      </c>
      <c r="J248" s="114" t="s">
        <v>1128</v>
      </c>
    </row>
    <row r="249" spans="1:10">
      <c r="A249" s="114" t="s">
        <v>761</v>
      </c>
      <c r="B249" s="114" t="s">
        <v>436</v>
      </c>
      <c r="C249" s="114" t="s">
        <v>437</v>
      </c>
      <c r="D249" s="114" t="s">
        <v>438</v>
      </c>
      <c r="E249">
        <v>2737</v>
      </c>
      <c r="F249" s="114" t="s">
        <v>764</v>
      </c>
      <c r="G249" s="114" t="s">
        <v>439</v>
      </c>
      <c r="H249" s="114" t="s">
        <v>448</v>
      </c>
      <c r="I249">
        <v>189</v>
      </c>
    </row>
    <row r="250" spans="1:10">
      <c r="A250" s="114" t="s">
        <v>761</v>
      </c>
      <c r="B250" s="114" t="s">
        <v>436</v>
      </c>
      <c r="C250" s="114" t="s">
        <v>437</v>
      </c>
      <c r="D250" s="114" t="s">
        <v>438</v>
      </c>
      <c r="E250">
        <v>8771</v>
      </c>
      <c r="F250" s="114" t="s">
        <v>765</v>
      </c>
      <c r="G250" s="114" t="s">
        <v>439</v>
      </c>
      <c r="H250" s="114" t="s">
        <v>539</v>
      </c>
      <c r="I250">
        <v>644</v>
      </c>
    </row>
    <row r="251" spans="1:10">
      <c r="A251" s="114" t="s">
        <v>761</v>
      </c>
      <c r="B251" s="114" t="s">
        <v>436</v>
      </c>
      <c r="C251" s="114" t="s">
        <v>437</v>
      </c>
      <c r="D251" s="114" t="s">
        <v>438</v>
      </c>
      <c r="E251">
        <v>9037</v>
      </c>
      <c r="F251" s="114" t="s">
        <v>766</v>
      </c>
      <c r="G251" s="114" t="s">
        <v>439</v>
      </c>
      <c r="H251" s="114" t="s">
        <v>760</v>
      </c>
      <c r="I251">
        <v>712</v>
      </c>
    </row>
    <row r="252" spans="1:10">
      <c r="A252" s="114" t="s">
        <v>761</v>
      </c>
      <c r="B252" s="114" t="s">
        <v>436</v>
      </c>
      <c r="C252" s="114" t="s">
        <v>437</v>
      </c>
      <c r="D252" s="114" t="s">
        <v>438</v>
      </c>
      <c r="E252">
        <v>9995</v>
      </c>
      <c r="F252" s="114" t="s">
        <v>767</v>
      </c>
      <c r="G252" s="114" t="s">
        <v>439</v>
      </c>
      <c r="H252" s="114" t="s">
        <v>448</v>
      </c>
      <c r="I252">
        <v>120</v>
      </c>
    </row>
    <row r="253" spans="1:10">
      <c r="A253" s="114" t="s">
        <v>768</v>
      </c>
      <c r="B253" s="114" t="s">
        <v>436</v>
      </c>
      <c r="C253" s="114" t="s">
        <v>437</v>
      </c>
      <c r="D253" s="114" t="s">
        <v>438</v>
      </c>
      <c r="E253">
        <v>2175</v>
      </c>
      <c r="F253" s="114" t="s">
        <v>1129</v>
      </c>
      <c r="G253" s="114" t="s">
        <v>439</v>
      </c>
      <c r="H253" s="114" t="s">
        <v>446</v>
      </c>
      <c r="I253" s="114" t="s">
        <v>482</v>
      </c>
      <c r="J253" s="114" t="s">
        <v>904</v>
      </c>
    </row>
    <row r="254" spans="1:10">
      <c r="A254" s="114" t="s">
        <v>768</v>
      </c>
      <c r="B254" s="114" t="s">
        <v>436</v>
      </c>
      <c r="C254" s="114" t="s">
        <v>437</v>
      </c>
      <c r="D254" s="114" t="s">
        <v>438</v>
      </c>
      <c r="E254">
        <v>2220</v>
      </c>
      <c r="F254" s="114" t="s">
        <v>1130</v>
      </c>
      <c r="G254" s="114" t="s">
        <v>439</v>
      </c>
      <c r="H254" s="114" t="s">
        <v>440</v>
      </c>
      <c r="I254" s="114" t="s">
        <v>522</v>
      </c>
      <c r="J254" s="114" t="s">
        <v>1131</v>
      </c>
    </row>
    <row r="255" spans="1:10">
      <c r="A255" s="114" t="s">
        <v>768</v>
      </c>
      <c r="B255" s="114" t="s">
        <v>436</v>
      </c>
      <c r="C255" s="114" t="s">
        <v>437</v>
      </c>
      <c r="D255" s="114" t="s">
        <v>438</v>
      </c>
      <c r="E255">
        <v>2331</v>
      </c>
      <c r="F255" s="114" t="s">
        <v>1132</v>
      </c>
      <c r="G255" s="114" t="s">
        <v>439</v>
      </c>
      <c r="H255" s="114" t="s">
        <v>446</v>
      </c>
      <c r="I255" s="114" t="s">
        <v>473</v>
      </c>
      <c r="J255" s="114" t="s">
        <v>1133</v>
      </c>
    </row>
    <row r="256" spans="1:10">
      <c r="A256" s="114" t="s">
        <v>768</v>
      </c>
      <c r="B256" s="114" t="s">
        <v>436</v>
      </c>
      <c r="C256" s="114" t="s">
        <v>437</v>
      </c>
      <c r="D256" s="114" t="s">
        <v>438</v>
      </c>
      <c r="E256">
        <v>2715</v>
      </c>
      <c r="F256" s="114" t="s">
        <v>769</v>
      </c>
      <c r="G256" s="114" t="s">
        <v>439</v>
      </c>
      <c r="H256" s="114" t="s">
        <v>448</v>
      </c>
      <c r="I256" s="114">
        <v>437</v>
      </c>
      <c r="J256" s="114"/>
    </row>
    <row r="257" spans="1:10">
      <c r="A257" s="114" t="s">
        <v>768</v>
      </c>
      <c r="B257" s="114" t="s">
        <v>436</v>
      </c>
      <c r="C257" s="114" t="s">
        <v>437</v>
      </c>
      <c r="D257" s="114" t="s">
        <v>443</v>
      </c>
      <c r="E257">
        <v>2892</v>
      </c>
      <c r="F257" s="114" t="s">
        <v>770</v>
      </c>
      <c r="G257" s="114" t="s">
        <v>452</v>
      </c>
      <c r="H257" s="114" t="s">
        <v>440</v>
      </c>
      <c r="I257">
        <v>85</v>
      </c>
    </row>
    <row r="258" spans="1:10">
      <c r="A258" s="114" t="s">
        <v>768</v>
      </c>
      <c r="B258" s="114" t="s">
        <v>436</v>
      </c>
      <c r="C258" s="114" t="s">
        <v>437</v>
      </c>
      <c r="D258" s="114" t="s">
        <v>438</v>
      </c>
      <c r="E258">
        <v>3023</v>
      </c>
      <c r="F258" s="114" t="s">
        <v>771</v>
      </c>
      <c r="G258" s="114" t="s">
        <v>439</v>
      </c>
      <c r="H258" s="114" t="s">
        <v>448</v>
      </c>
      <c r="I258">
        <v>115</v>
      </c>
    </row>
    <row r="259" spans="1:10">
      <c r="A259" s="114" t="s">
        <v>768</v>
      </c>
      <c r="B259" s="114" t="s">
        <v>436</v>
      </c>
      <c r="C259" s="114" t="s">
        <v>437</v>
      </c>
      <c r="D259" s="114" t="s">
        <v>438</v>
      </c>
      <c r="E259">
        <v>3762</v>
      </c>
      <c r="F259" s="114" t="s">
        <v>772</v>
      </c>
      <c r="G259" s="114" t="s">
        <v>439</v>
      </c>
      <c r="H259" s="114" t="s">
        <v>459</v>
      </c>
      <c r="I259">
        <v>488</v>
      </c>
    </row>
    <row r="260" spans="1:10">
      <c r="A260" s="114" t="s">
        <v>768</v>
      </c>
      <c r="B260" s="114" t="s">
        <v>436</v>
      </c>
      <c r="C260" s="114" t="s">
        <v>437</v>
      </c>
      <c r="D260" s="114" t="s">
        <v>443</v>
      </c>
      <c r="E260">
        <v>3841</v>
      </c>
      <c r="F260" s="114" t="s">
        <v>773</v>
      </c>
      <c r="G260" s="114" t="s">
        <v>445</v>
      </c>
      <c r="H260" s="114" t="s">
        <v>459</v>
      </c>
      <c r="I260" s="114">
        <v>22</v>
      </c>
      <c r="J260" s="114"/>
    </row>
    <row r="261" spans="1:10">
      <c r="A261" s="114" t="s">
        <v>768</v>
      </c>
      <c r="B261" s="114" t="s">
        <v>436</v>
      </c>
      <c r="C261" s="114" t="s">
        <v>437</v>
      </c>
      <c r="D261" s="114" t="s">
        <v>438</v>
      </c>
      <c r="E261">
        <v>4310</v>
      </c>
      <c r="F261" s="114" t="s">
        <v>774</v>
      </c>
      <c r="G261" s="114" t="s">
        <v>439</v>
      </c>
      <c r="H261" s="114" t="s">
        <v>446</v>
      </c>
      <c r="I261" s="114">
        <v>173</v>
      </c>
      <c r="J261" s="114"/>
    </row>
    <row r="262" spans="1:10">
      <c r="A262" s="114" t="s">
        <v>768</v>
      </c>
      <c r="B262" s="114" t="s">
        <v>436</v>
      </c>
      <c r="C262" s="114" t="s">
        <v>437</v>
      </c>
      <c r="D262" s="114" t="s">
        <v>438</v>
      </c>
      <c r="E262">
        <v>4368</v>
      </c>
      <c r="F262" s="114" t="s">
        <v>775</v>
      </c>
      <c r="G262" s="114" t="s">
        <v>439</v>
      </c>
      <c r="H262" s="114" t="s">
        <v>463</v>
      </c>
      <c r="I262" s="114" t="s">
        <v>522</v>
      </c>
      <c r="J262" s="114" t="s">
        <v>1134</v>
      </c>
    </row>
    <row r="263" spans="1:10">
      <c r="A263" s="114" t="s">
        <v>768</v>
      </c>
      <c r="B263" s="114" t="s">
        <v>436</v>
      </c>
      <c r="C263" s="114" t="s">
        <v>437</v>
      </c>
      <c r="D263" s="114" t="s">
        <v>438</v>
      </c>
      <c r="E263">
        <v>5727</v>
      </c>
      <c r="F263" s="114" t="s">
        <v>776</v>
      </c>
      <c r="G263" s="114" t="s">
        <v>439</v>
      </c>
      <c r="H263" s="114" t="s">
        <v>777</v>
      </c>
      <c r="I263">
        <v>686</v>
      </c>
    </row>
    <row r="264" spans="1:10">
      <c r="A264" s="114" t="s">
        <v>768</v>
      </c>
      <c r="B264" s="114" t="s">
        <v>436</v>
      </c>
      <c r="C264" s="114" t="s">
        <v>455</v>
      </c>
      <c r="D264" s="114" t="s">
        <v>438</v>
      </c>
      <c r="E264">
        <v>6028</v>
      </c>
      <c r="F264" s="114" t="s">
        <v>1135</v>
      </c>
      <c r="G264" s="114" t="s">
        <v>439</v>
      </c>
      <c r="H264" s="114" t="s">
        <v>446</v>
      </c>
      <c r="I264" s="114" t="s">
        <v>482</v>
      </c>
      <c r="J264" s="114" t="s">
        <v>1136</v>
      </c>
    </row>
    <row r="265" spans="1:10">
      <c r="A265" s="114" t="s">
        <v>768</v>
      </c>
      <c r="B265" s="114" t="s">
        <v>436</v>
      </c>
      <c r="C265" s="114" t="s">
        <v>437</v>
      </c>
      <c r="D265" s="114" t="s">
        <v>438</v>
      </c>
      <c r="E265">
        <v>6322</v>
      </c>
      <c r="F265" s="114" t="s">
        <v>778</v>
      </c>
      <c r="G265" s="114" t="s">
        <v>452</v>
      </c>
      <c r="H265" s="114" t="s">
        <v>477</v>
      </c>
      <c r="I265">
        <v>124</v>
      </c>
    </row>
    <row r="266" spans="1:10">
      <c r="A266" s="114" t="s">
        <v>768</v>
      </c>
      <c r="B266" s="114" t="s">
        <v>436</v>
      </c>
      <c r="C266" s="114" t="s">
        <v>437</v>
      </c>
      <c r="D266" s="114" t="s">
        <v>438</v>
      </c>
      <c r="E266">
        <v>6659</v>
      </c>
      <c r="F266" s="114" t="s">
        <v>779</v>
      </c>
      <c r="G266" s="114" t="s">
        <v>445</v>
      </c>
      <c r="H266" s="114" t="s">
        <v>490</v>
      </c>
      <c r="I266" s="114">
        <v>19</v>
      </c>
      <c r="J266" s="114"/>
    </row>
    <row r="267" spans="1:10">
      <c r="A267" s="114" t="s">
        <v>768</v>
      </c>
      <c r="B267" s="114" t="s">
        <v>436</v>
      </c>
      <c r="C267" s="114" t="s">
        <v>437</v>
      </c>
      <c r="D267" s="114" t="s">
        <v>438</v>
      </c>
      <c r="E267">
        <v>6925</v>
      </c>
      <c r="F267" s="114" t="s">
        <v>780</v>
      </c>
      <c r="G267" s="114" t="s">
        <v>439</v>
      </c>
      <c r="H267" s="114" t="s">
        <v>490</v>
      </c>
      <c r="I267" s="114" t="s">
        <v>482</v>
      </c>
      <c r="J267" s="114" t="s">
        <v>1137</v>
      </c>
    </row>
    <row r="268" spans="1:10">
      <c r="A268" s="114" t="s">
        <v>768</v>
      </c>
      <c r="B268" s="114" t="s">
        <v>436</v>
      </c>
      <c r="C268" s="114" t="s">
        <v>437</v>
      </c>
      <c r="D268" s="114" t="s">
        <v>438</v>
      </c>
      <c r="E268">
        <v>7282</v>
      </c>
      <c r="F268" s="114" t="s">
        <v>781</v>
      </c>
      <c r="G268" s="114" t="s">
        <v>439</v>
      </c>
      <c r="H268" s="114" t="s">
        <v>518</v>
      </c>
      <c r="I268" s="114" t="s">
        <v>710</v>
      </c>
      <c r="J268" s="114" t="s">
        <v>896</v>
      </c>
    </row>
    <row r="269" spans="1:10">
      <c r="A269" s="114" t="s">
        <v>768</v>
      </c>
      <c r="B269" s="114" t="s">
        <v>436</v>
      </c>
      <c r="C269" s="114" t="s">
        <v>437</v>
      </c>
      <c r="D269" s="114" t="s">
        <v>438</v>
      </c>
      <c r="E269">
        <v>7510</v>
      </c>
      <c r="F269" s="114" t="s">
        <v>782</v>
      </c>
      <c r="G269" s="114" t="s">
        <v>439</v>
      </c>
      <c r="H269" s="114" t="s">
        <v>448</v>
      </c>
      <c r="I269">
        <v>217</v>
      </c>
    </row>
    <row r="270" spans="1:10">
      <c r="A270" s="114" t="s">
        <v>768</v>
      </c>
      <c r="B270" s="114" t="s">
        <v>436</v>
      </c>
      <c r="C270" s="114" t="s">
        <v>437</v>
      </c>
      <c r="D270" s="114" t="s">
        <v>438</v>
      </c>
      <c r="E270">
        <v>7600</v>
      </c>
      <c r="F270" s="114" t="s">
        <v>783</v>
      </c>
      <c r="G270" s="114" t="s">
        <v>439</v>
      </c>
      <c r="H270" s="114" t="s">
        <v>738</v>
      </c>
      <c r="I270">
        <v>586</v>
      </c>
    </row>
    <row r="271" spans="1:10">
      <c r="A271" s="114" t="s">
        <v>768</v>
      </c>
      <c r="B271" s="114" t="s">
        <v>436</v>
      </c>
      <c r="C271" s="114" t="s">
        <v>437</v>
      </c>
      <c r="D271" s="114" t="s">
        <v>438</v>
      </c>
      <c r="E271">
        <v>7838</v>
      </c>
      <c r="F271" s="114" t="s">
        <v>784</v>
      </c>
      <c r="G271" s="114" t="s">
        <v>439</v>
      </c>
      <c r="H271" s="114" t="s">
        <v>479</v>
      </c>
      <c r="I271">
        <v>80</v>
      </c>
    </row>
    <row r="272" spans="1:10">
      <c r="A272" s="114" t="s">
        <v>768</v>
      </c>
      <c r="B272" s="114" t="s">
        <v>436</v>
      </c>
      <c r="C272" s="114" t="s">
        <v>437</v>
      </c>
      <c r="D272" s="114" t="s">
        <v>438</v>
      </c>
      <c r="E272">
        <v>7925</v>
      </c>
      <c r="F272" s="114" t="s">
        <v>785</v>
      </c>
      <c r="G272" s="114" t="s">
        <v>439</v>
      </c>
      <c r="H272" s="114" t="s">
        <v>463</v>
      </c>
      <c r="I272" s="114">
        <v>191</v>
      </c>
      <c r="J272" s="114"/>
    </row>
    <row r="273" spans="1:10">
      <c r="A273" s="114" t="s">
        <v>768</v>
      </c>
      <c r="B273" s="114" t="s">
        <v>436</v>
      </c>
      <c r="C273" s="114" t="s">
        <v>437</v>
      </c>
      <c r="D273" s="114" t="s">
        <v>438</v>
      </c>
      <c r="E273">
        <v>8806</v>
      </c>
      <c r="F273" s="114" t="s">
        <v>786</v>
      </c>
      <c r="G273" s="114" t="s">
        <v>439</v>
      </c>
      <c r="H273" s="114" t="s">
        <v>492</v>
      </c>
      <c r="I273" s="114" t="s">
        <v>522</v>
      </c>
      <c r="J273" s="114" t="s">
        <v>1138</v>
      </c>
    </row>
    <row r="274" spans="1:10">
      <c r="A274" s="114" t="s">
        <v>787</v>
      </c>
      <c r="B274" s="114" t="s">
        <v>436</v>
      </c>
      <c r="C274" s="114" t="s">
        <v>437</v>
      </c>
      <c r="D274" s="114" t="s">
        <v>443</v>
      </c>
      <c r="E274">
        <v>1379</v>
      </c>
      <c r="F274" s="114" t="s">
        <v>788</v>
      </c>
      <c r="G274" s="114" t="s">
        <v>439</v>
      </c>
      <c r="H274" s="114" t="s">
        <v>608</v>
      </c>
      <c r="I274">
        <v>655</v>
      </c>
    </row>
    <row r="275" spans="1:10">
      <c r="A275" s="114" t="s">
        <v>787</v>
      </c>
      <c r="B275" s="114" t="s">
        <v>436</v>
      </c>
      <c r="C275" s="114" t="s">
        <v>437</v>
      </c>
      <c r="D275" s="114" t="s">
        <v>438</v>
      </c>
      <c r="E275">
        <v>2907</v>
      </c>
      <c r="F275" s="114" t="s">
        <v>789</v>
      </c>
      <c r="G275" s="114" t="s">
        <v>452</v>
      </c>
      <c r="H275" s="114" t="s">
        <v>440</v>
      </c>
      <c r="I275" s="114">
        <v>62</v>
      </c>
      <c r="J275" s="114"/>
    </row>
    <row r="276" spans="1:10">
      <c r="A276" s="114" t="s">
        <v>787</v>
      </c>
      <c r="B276" s="114" t="s">
        <v>436</v>
      </c>
      <c r="C276" s="114" t="s">
        <v>437</v>
      </c>
      <c r="D276" s="114" t="s">
        <v>438</v>
      </c>
      <c r="E276">
        <v>3612</v>
      </c>
      <c r="F276" s="114" t="s">
        <v>790</v>
      </c>
      <c r="G276" s="114" t="s">
        <v>439</v>
      </c>
      <c r="H276" s="114" t="s">
        <v>533</v>
      </c>
      <c r="I276">
        <v>986</v>
      </c>
    </row>
    <row r="277" spans="1:10">
      <c r="A277" s="114" t="s">
        <v>787</v>
      </c>
      <c r="B277" s="114" t="s">
        <v>436</v>
      </c>
      <c r="C277" s="114" t="s">
        <v>455</v>
      </c>
      <c r="D277" s="114" t="s">
        <v>438</v>
      </c>
      <c r="E277">
        <v>6920</v>
      </c>
      <c r="F277" s="114" t="s">
        <v>1139</v>
      </c>
      <c r="G277" s="114" t="s">
        <v>439</v>
      </c>
      <c r="H277" s="114" t="s">
        <v>490</v>
      </c>
      <c r="I277" s="114" t="s">
        <v>619</v>
      </c>
      <c r="J277" s="114" t="s">
        <v>1140</v>
      </c>
    </row>
    <row r="278" spans="1:10">
      <c r="A278" s="114" t="s">
        <v>787</v>
      </c>
      <c r="B278" s="114" t="s">
        <v>436</v>
      </c>
      <c r="C278" s="114" t="s">
        <v>437</v>
      </c>
      <c r="D278" s="114" t="s">
        <v>443</v>
      </c>
      <c r="E278">
        <v>7506</v>
      </c>
      <c r="F278" s="114" t="s">
        <v>791</v>
      </c>
      <c r="G278" s="114" t="s">
        <v>439</v>
      </c>
      <c r="H278" s="114" t="s">
        <v>457</v>
      </c>
      <c r="I278">
        <v>78</v>
      </c>
    </row>
    <row r="279" spans="1:10">
      <c r="A279" s="114" t="s">
        <v>787</v>
      </c>
      <c r="B279" s="114" t="s">
        <v>436</v>
      </c>
      <c r="C279" s="114" t="s">
        <v>437</v>
      </c>
      <c r="D279" s="114" t="s">
        <v>438</v>
      </c>
      <c r="E279">
        <v>7859</v>
      </c>
      <c r="F279" s="114" t="s">
        <v>792</v>
      </c>
      <c r="G279" s="114" t="s">
        <v>452</v>
      </c>
      <c r="H279" s="114" t="s">
        <v>479</v>
      </c>
      <c r="I279">
        <v>26</v>
      </c>
    </row>
    <row r="280" spans="1:10">
      <c r="A280" s="114" t="s">
        <v>793</v>
      </c>
      <c r="B280" s="114" t="s">
        <v>689</v>
      </c>
      <c r="C280" s="114" t="s">
        <v>437</v>
      </c>
      <c r="D280" s="114" t="s">
        <v>438</v>
      </c>
      <c r="E280">
        <v>4502</v>
      </c>
      <c r="F280" s="114" t="s">
        <v>794</v>
      </c>
      <c r="G280" s="114" t="s">
        <v>439</v>
      </c>
      <c r="H280" s="114" t="s">
        <v>589</v>
      </c>
      <c r="I280" s="114" t="s">
        <v>715</v>
      </c>
      <c r="J280" s="114" t="s">
        <v>909</v>
      </c>
    </row>
    <row r="281" spans="1:10">
      <c r="A281" s="114" t="s">
        <v>793</v>
      </c>
      <c r="B281" s="114" t="s">
        <v>436</v>
      </c>
      <c r="C281" s="114" t="s">
        <v>437</v>
      </c>
      <c r="D281" s="114" t="s">
        <v>438</v>
      </c>
      <c r="E281">
        <v>2117</v>
      </c>
      <c r="F281" s="114" t="s">
        <v>1141</v>
      </c>
      <c r="G281" s="114" t="s">
        <v>439</v>
      </c>
      <c r="H281" s="114" t="s">
        <v>440</v>
      </c>
      <c r="I281" s="114">
        <v>453</v>
      </c>
      <c r="J281" s="114"/>
    </row>
    <row r="282" spans="1:10">
      <c r="A282" s="114" t="s">
        <v>793</v>
      </c>
      <c r="B282" s="114" t="s">
        <v>436</v>
      </c>
      <c r="C282" s="114" t="s">
        <v>450</v>
      </c>
      <c r="D282" s="114" t="s">
        <v>443</v>
      </c>
      <c r="E282">
        <v>2268</v>
      </c>
      <c r="F282" s="114" t="s">
        <v>795</v>
      </c>
      <c r="G282" s="114" t="s">
        <v>445</v>
      </c>
      <c r="H282" s="114" t="s">
        <v>440</v>
      </c>
      <c r="I282">
        <v>387</v>
      </c>
    </row>
    <row r="283" spans="1:10">
      <c r="A283" s="114" t="s">
        <v>793</v>
      </c>
      <c r="B283" s="114" t="s">
        <v>436</v>
      </c>
      <c r="C283" s="114" t="s">
        <v>437</v>
      </c>
      <c r="D283" s="114" t="s">
        <v>438</v>
      </c>
      <c r="E283">
        <v>6151</v>
      </c>
      <c r="F283" s="114" t="s">
        <v>796</v>
      </c>
      <c r="G283" s="114" t="s">
        <v>439</v>
      </c>
      <c r="H283" s="114" t="s">
        <v>477</v>
      </c>
      <c r="I283">
        <v>493</v>
      </c>
    </row>
    <row r="284" spans="1:10">
      <c r="A284" s="114" t="s">
        <v>793</v>
      </c>
      <c r="B284" s="114" t="s">
        <v>436</v>
      </c>
      <c r="C284" s="114" t="s">
        <v>437</v>
      </c>
      <c r="D284" s="114" t="s">
        <v>438</v>
      </c>
      <c r="E284">
        <v>7419</v>
      </c>
      <c r="F284" s="114" t="s">
        <v>797</v>
      </c>
      <c r="G284" s="114" t="s">
        <v>439</v>
      </c>
      <c r="H284" s="114" t="s">
        <v>457</v>
      </c>
      <c r="I284" s="114" t="s">
        <v>522</v>
      </c>
      <c r="J284" s="114" t="s">
        <v>1142</v>
      </c>
    </row>
    <row r="285" spans="1:10">
      <c r="A285" s="114" t="s">
        <v>793</v>
      </c>
      <c r="B285" s="114" t="s">
        <v>436</v>
      </c>
      <c r="C285" s="114" t="s">
        <v>455</v>
      </c>
      <c r="D285" s="114" t="s">
        <v>438</v>
      </c>
      <c r="E285">
        <v>8945</v>
      </c>
      <c r="F285" s="114" t="s">
        <v>1143</v>
      </c>
      <c r="G285" s="114" t="s">
        <v>439</v>
      </c>
      <c r="H285" s="114" t="s">
        <v>492</v>
      </c>
      <c r="I285" s="114">
        <v>116</v>
      </c>
      <c r="J285" s="114"/>
    </row>
    <row r="286" spans="1:10">
      <c r="A286" s="114" t="s">
        <v>798</v>
      </c>
      <c r="B286" s="114" t="s">
        <v>436</v>
      </c>
      <c r="C286" s="114" t="s">
        <v>437</v>
      </c>
      <c r="D286" s="114" t="s">
        <v>438</v>
      </c>
      <c r="E286">
        <v>2130</v>
      </c>
      <c r="F286" s="114" t="s">
        <v>799</v>
      </c>
      <c r="G286" s="114" t="s">
        <v>439</v>
      </c>
      <c r="H286" s="114" t="s">
        <v>446</v>
      </c>
      <c r="I286">
        <v>325</v>
      </c>
    </row>
    <row r="287" spans="1:10">
      <c r="A287" s="114" t="s">
        <v>798</v>
      </c>
      <c r="B287" s="114" t="s">
        <v>436</v>
      </c>
      <c r="C287" s="114" t="s">
        <v>437</v>
      </c>
      <c r="D287" s="114" t="s">
        <v>443</v>
      </c>
      <c r="E287">
        <v>6678</v>
      </c>
      <c r="F287" s="114" t="s">
        <v>800</v>
      </c>
      <c r="G287" s="114" t="s">
        <v>439</v>
      </c>
      <c r="H287" s="114" t="s">
        <v>490</v>
      </c>
      <c r="I287" s="114">
        <v>182</v>
      </c>
      <c r="J287" s="114"/>
    </row>
    <row r="288" spans="1:10">
      <c r="A288" s="114" t="s">
        <v>798</v>
      </c>
      <c r="B288" s="114" t="s">
        <v>436</v>
      </c>
      <c r="C288" s="114" t="s">
        <v>437</v>
      </c>
      <c r="D288" s="114" t="s">
        <v>438</v>
      </c>
      <c r="E288">
        <v>6875</v>
      </c>
      <c r="F288" s="114" t="s">
        <v>801</v>
      </c>
      <c r="G288" s="114" t="s">
        <v>439</v>
      </c>
      <c r="H288" s="114" t="s">
        <v>490</v>
      </c>
      <c r="I288">
        <v>570</v>
      </c>
    </row>
    <row r="289" spans="1:10">
      <c r="A289" s="114" t="s">
        <v>798</v>
      </c>
      <c r="B289" s="114" t="s">
        <v>436</v>
      </c>
      <c r="C289" s="114" t="s">
        <v>455</v>
      </c>
      <c r="D289" s="114" t="s">
        <v>438</v>
      </c>
      <c r="E289">
        <v>7532</v>
      </c>
      <c r="F289" s="114" t="s">
        <v>1144</v>
      </c>
      <c r="G289" s="114" t="s">
        <v>439</v>
      </c>
      <c r="H289" s="114" t="s">
        <v>457</v>
      </c>
      <c r="I289" s="114" t="s">
        <v>903</v>
      </c>
      <c r="J289" s="114" t="s">
        <v>1145</v>
      </c>
    </row>
    <row r="290" spans="1:10">
      <c r="A290" s="114" t="s">
        <v>802</v>
      </c>
      <c r="B290" s="114" t="s">
        <v>689</v>
      </c>
      <c r="C290" s="114" t="s">
        <v>450</v>
      </c>
      <c r="D290" s="114" t="s">
        <v>438</v>
      </c>
      <c r="E290">
        <v>2914</v>
      </c>
      <c r="F290" s="114" t="s">
        <v>1146</v>
      </c>
      <c r="G290" s="114" t="s">
        <v>439</v>
      </c>
      <c r="H290" s="114" t="s">
        <v>440</v>
      </c>
      <c r="I290" s="114" t="s">
        <v>1147</v>
      </c>
      <c r="J290" s="114" t="s">
        <v>1148</v>
      </c>
    </row>
    <row r="291" spans="1:10">
      <c r="A291" s="114" t="s">
        <v>802</v>
      </c>
      <c r="B291" s="114" t="s">
        <v>436</v>
      </c>
      <c r="C291" s="114" t="s">
        <v>437</v>
      </c>
      <c r="D291" s="114" t="s">
        <v>438</v>
      </c>
      <c r="E291">
        <v>2372</v>
      </c>
      <c r="F291" s="114" t="s">
        <v>803</v>
      </c>
      <c r="G291" s="114" t="s">
        <v>439</v>
      </c>
      <c r="H291" s="114" t="s">
        <v>446</v>
      </c>
      <c r="I291" s="114">
        <v>178</v>
      </c>
      <c r="J291" s="114"/>
    </row>
    <row r="292" spans="1:10">
      <c r="A292" s="114" t="s">
        <v>802</v>
      </c>
      <c r="B292" s="114" t="s">
        <v>436</v>
      </c>
      <c r="C292" s="114" t="s">
        <v>455</v>
      </c>
      <c r="D292" s="114" t="s">
        <v>438</v>
      </c>
      <c r="E292">
        <v>3242</v>
      </c>
      <c r="F292" s="114" t="s">
        <v>804</v>
      </c>
      <c r="G292" s="114" t="s">
        <v>445</v>
      </c>
      <c r="H292" s="114" t="s">
        <v>492</v>
      </c>
      <c r="I292" s="114">
        <v>92</v>
      </c>
      <c r="J292" s="114"/>
    </row>
    <row r="293" spans="1:10">
      <c r="A293" s="114" t="s">
        <v>802</v>
      </c>
      <c r="B293" s="114" t="s">
        <v>436</v>
      </c>
      <c r="C293" s="114" t="s">
        <v>437</v>
      </c>
      <c r="D293" s="114" t="s">
        <v>438</v>
      </c>
      <c r="E293">
        <v>4626</v>
      </c>
      <c r="F293" s="114" t="s">
        <v>805</v>
      </c>
      <c r="G293" s="114" t="s">
        <v>439</v>
      </c>
      <c r="H293" s="114" t="s">
        <v>463</v>
      </c>
      <c r="I293" s="114" t="s">
        <v>522</v>
      </c>
      <c r="J293" s="114" t="s">
        <v>1149</v>
      </c>
    </row>
    <row r="294" spans="1:10">
      <c r="A294" s="114" t="s">
        <v>802</v>
      </c>
      <c r="B294" s="114" t="s">
        <v>436</v>
      </c>
      <c r="C294" s="114" t="s">
        <v>437</v>
      </c>
      <c r="D294" s="114" t="s">
        <v>438</v>
      </c>
      <c r="E294">
        <v>6569</v>
      </c>
      <c r="F294" s="114" t="s">
        <v>806</v>
      </c>
      <c r="G294" s="114" t="s">
        <v>439</v>
      </c>
      <c r="H294" s="114" t="s">
        <v>446</v>
      </c>
      <c r="I294">
        <v>384</v>
      </c>
    </row>
    <row r="295" spans="1:10">
      <c r="A295" s="114" t="s">
        <v>802</v>
      </c>
      <c r="B295" s="114" t="s">
        <v>436</v>
      </c>
      <c r="C295" s="114" t="s">
        <v>437</v>
      </c>
      <c r="D295" s="114" t="s">
        <v>438</v>
      </c>
      <c r="E295">
        <v>7703</v>
      </c>
      <c r="F295" s="114" t="s">
        <v>807</v>
      </c>
      <c r="G295" s="114" t="s">
        <v>452</v>
      </c>
      <c r="H295" s="114" t="s">
        <v>738</v>
      </c>
      <c r="I295" s="114">
        <v>199</v>
      </c>
      <c r="J295" s="114"/>
    </row>
    <row r="296" spans="1:10">
      <c r="A296" s="114" t="s">
        <v>802</v>
      </c>
      <c r="B296" s="114" t="s">
        <v>436</v>
      </c>
      <c r="C296" s="114" t="s">
        <v>437</v>
      </c>
      <c r="D296" s="114" t="s">
        <v>438</v>
      </c>
      <c r="E296">
        <v>7952</v>
      </c>
      <c r="F296" s="114" t="s">
        <v>808</v>
      </c>
      <c r="G296" s="114" t="s">
        <v>439</v>
      </c>
      <c r="H296" s="114" t="s">
        <v>479</v>
      </c>
      <c r="I296">
        <v>335</v>
      </c>
    </row>
    <row r="297" spans="1:10">
      <c r="A297" s="114" t="s">
        <v>809</v>
      </c>
      <c r="B297" s="114" t="s">
        <v>436</v>
      </c>
      <c r="C297" s="114" t="s">
        <v>437</v>
      </c>
      <c r="D297" s="114" t="s">
        <v>438</v>
      </c>
      <c r="E297">
        <v>1801</v>
      </c>
      <c r="F297" s="114" t="s">
        <v>810</v>
      </c>
      <c r="G297" s="114" t="s">
        <v>439</v>
      </c>
      <c r="H297" s="114" t="s">
        <v>500</v>
      </c>
      <c r="I297" s="114" t="s">
        <v>811</v>
      </c>
      <c r="J297" s="114" t="s">
        <v>1150</v>
      </c>
    </row>
    <row r="298" spans="1:10">
      <c r="A298" s="114" t="s">
        <v>809</v>
      </c>
      <c r="B298" s="114" t="s">
        <v>436</v>
      </c>
      <c r="C298" s="114" t="s">
        <v>437</v>
      </c>
      <c r="D298" s="114" t="s">
        <v>438</v>
      </c>
      <c r="E298">
        <v>1813</v>
      </c>
      <c r="F298" s="114" t="s">
        <v>812</v>
      </c>
      <c r="G298" s="114" t="s">
        <v>439</v>
      </c>
      <c r="H298" s="114" t="s">
        <v>500</v>
      </c>
      <c r="I298" s="114">
        <v>250</v>
      </c>
      <c r="J298" s="114"/>
    </row>
    <row r="299" spans="1:10">
      <c r="A299" s="114" t="s">
        <v>809</v>
      </c>
      <c r="B299" s="114" t="s">
        <v>436</v>
      </c>
      <c r="C299" s="114" t="s">
        <v>437</v>
      </c>
      <c r="D299" s="114" t="s">
        <v>438</v>
      </c>
      <c r="E299">
        <v>1835</v>
      </c>
      <c r="F299" s="114" t="s">
        <v>813</v>
      </c>
      <c r="G299" s="114" t="s">
        <v>439</v>
      </c>
      <c r="H299" s="114" t="s">
        <v>500</v>
      </c>
      <c r="I299" s="114" t="s">
        <v>522</v>
      </c>
      <c r="J299" s="114" t="s">
        <v>1151</v>
      </c>
    </row>
    <row r="300" spans="1:10">
      <c r="A300" s="114" t="s">
        <v>809</v>
      </c>
      <c r="B300" s="114" t="s">
        <v>436</v>
      </c>
      <c r="C300" s="114" t="s">
        <v>437</v>
      </c>
      <c r="D300" s="114" t="s">
        <v>443</v>
      </c>
      <c r="E300">
        <v>1853</v>
      </c>
      <c r="F300" s="114" t="s">
        <v>814</v>
      </c>
      <c r="G300" s="114" t="s">
        <v>452</v>
      </c>
      <c r="H300" s="114" t="s">
        <v>500</v>
      </c>
      <c r="I300">
        <v>101</v>
      </c>
    </row>
    <row r="301" spans="1:10">
      <c r="A301" s="114" t="s">
        <v>809</v>
      </c>
      <c r="B301" s="114" t="s">
        <v>436</v>
      </c>
      <c r="C301" s="114" t="s">
        <v>437</v>
      </c>
      <c r="D301" s="114" t="s">
        <v>438</v>
      </c>
      <c r="E301">
        <v>1909</v>
      </c>
      <c r="F301" s="114" t="s">
        <v>815</v>
      </c>
      <c r="G301" s="114" t="s">
        <v>439</v>
      </c>
      <c r="H301" s="114" t="s">
        <v>477</v>
      </c>
      <c r="I301">
        <v>101</v>
      </c>
    </row>
    <row r="302" spans="1:10">
      <c r="A302" s="114" t="s">
        <v>809</v>
      </c>
      <c r="B302" s="114" t="s">
        <v>436</v>
      </c>
      <c r="C302" s="114" t="s">
        <v>437</v>
      </c>
      <c r="D302" s="114" t="s">
        <v>438</v>
      </c>
      <c r="E302">
        <v>1961</v>
      </c>
      <c r="F302" s="114" t="s">
        <v>816</v>
      </c>
      <c r="G302" s="114" t="s">
        <v>439</v>
      </c>
      <c r="H302" s="114" t="s">
        <v>500</v>
      </c>
      <c r="I302">
        <v>869</v>
      </c>
    </row>
    <row r="303" spans="1:10">
      <c r="A303" s="114" t="s">
        <v>809</v>
      </c>
      <c r="B303" s="114" t="s">
        <v>436</v>
      </c>
      <c r="C303" s="114" t="s">
        <v>437</v>
      </c>
      <c r="D303" s="114" t="s">
        <v>438</v>
      </c>
      <c r="E303">
        <v>1969</v>
      </c>
      <c r="F303" s="114" t="s">
        <v>817</v>
      </c>
      <c r="G303" s="114" t="s">
        <v>439</v>
      </c>
      <c r="H303" s="114" t="s">
        <v>500</v>
      </c>
      <c r="I303" s="114" t="s">
        <v>522</v>
      </c>
      <c r="J303" s="114" t="s">
        <v>1152</v>
      </c>
    </row>
    <row r="304" spans="1:10">
      <c r="A304" s="114" t="s">
        <v>809</v>
      </c>
      <c r="B304" s="114" t="s">
        <v>436</v>
      </c>
      <c r="C304" s="114" t="s">
        <v>437</v>
      </c>
      <c r="D304" s="114" t="s">
        <v>438</v>
      </c>
      <c r="E304">
        <v>2815</v>
      </c>
      <c r="F304" s="114" t="s">
        <v>819</v>
      </c>
      <c r="G304" s="114" t="s">
        <v>439</v>
      </c>
      <c r="H304" s="114" t="s">
        <v>440</v>
      </c>
      <c r="I304" s="114" t="s">
        <v>482</v>
      </c>
      <c r="J304" s="114" t="s">
        <v>1153</v>
      </c>
    </row>
    <row r="305" spans="1:10">
      <c r="A305" s="114" t="s">
        <v>809</v>
      </c>
      <c r="B305" s="114" t="s">
        <v>436</v>
      </c>
      <c r="C305" s="114" t="s">
        <v>437</v>
      </c>
      <c r="D305" s="114" t="s">
        <v>438</v>
      </c>
      <c r="E305">
        <v>3109</v>
      </c>
      <c r="F305" s="114" t="s">
        <v>820</v>
      </c>
      <c r="G305" s="114" t="s">
        <v>439</v>
      </c>
      <c r="H305" s="114" t="s">
        <v>533</v>
      </c>
      <c r="I305">
        <v>111</v>
      </c>
    </row>
    <row r="306" spans="1:10">
      <c r="A306" s="114" t="s">
        <v>809</v>
      </c>
      <c r="B306" s="114" t="s">
        <v>436</v>
      </c>
      <c r="C306" s="114" t="s">
        <v>437</v>
      </c>
      <c r="D306" s="114" t="s">
        <v>438</v>
      </c>
      <c r="E306">
        <v>3766</v>
      </c>
      <c r="F306" s="114" t="s">
        <v>821</v>
      </c>
      <c r="G306" s="114" t="s">
        <v>445</v>
      </c>
      <c r="H306" s="114" t="s">
        <v>459</v>
      </c>
      <c r="I306" s="114">
        <v>24</v>
      </c>
      <c r="J306" s="114"/>
    </row>
    <row r="307" spans="1:10">
      <c r="A307" s="114" t="s">
        <v>809</v>
      </c>
      <c r="B307" s="114" t="s">
        <v>436</v>
      </c>
      <c r="C307" s="114" t="s">
        <v>437</v>
      </c>
      <c r="D307" s="114" t="s">
        <v>438</v>
      </c>
      <c r="E307">
        <v>4540</v>
      </c>
      <c r="F307" s="114" t="s">
        <v>822</v>
      </c>
      <c r="G307" s="114" t="s">
        <v>439</v>
      </c>
      <c r="H307" s="114" t="s">
        <v>589</v>
      </c>
      <c r="I307" s="114" t="s">
        <v>482</v>
      </c>
      <c r="J307" s="114" t="s">
        <v>1154</v>
      </c>
    </row>
    <row r="308" spans="1:10">
      <c r="A308" s="114" t="s">
        <v>809</v>
      </c>
      <c r="B308" s="114" t="s">
        <v>436</v>
      </c>
      <c r="C308" s="114" t="s">
        <v>450</v>
      </c>
      <c r="D308" s="114" t="s">
        <v>443</v>
      </c>
      <c r="E308">
        <v>4588</v>
      </c>
      <c r="F308" s="114" t="s">
        <v>823</v>
      </c>
      <c r="G308" s="114" t="s">
        <v>461</v>
      </c>
      <c r="H308" s="114" t="s">
        <v>589</v>
      </c>
      <c r="I308">
        <v>280</v>
      </c>
    </row>
    <row r="309" spans="1:10">
      <c r="A309" s="114" t="s">
        <v>809</v>
      </c>
      <c r="B309" s="114" t="s">
        <v>436</v>
      </c>
      <c r="C309" s="114" t="s">
        <v>437</v>
      </c>
      <c r="D309" s="114" t="s">
        <v>438</v>
      </c>
      <c r="E309">
        <v>4777</v>
      </c>
      <c r="F309" s="114" t="s">
        <v>824</v>
      </c>
      <c r="G309" s="114" t="s">
        <v>445</v>
      </c>
      <c r="H309" s="114" t="s">
        <v>459</v>
      </c>
      <c r="I309" s="114">
        <v>53</v>
      </c>
      <c r="J309" s="114"/>
    </row>
    <row r="310" spans="1:10">
      <c r="A310" s="114" t="s">
        <v>809</v>
      </c>
      <c r="B310" s="114" t="s">
        <v>436</v>
      </c>
      <c r="C310" s="114" t="s">
        <v>437</v>
      </c>
      <c r="D310" s="114" t="s">
        <v>438</v>
      </c>
      <c r="E310">
        <v>5713</v>
      </c>
      <c r="F310" s="114" t="s">
        <v>825</v>
      </c>
      <c r="G310" s="114" t="s">
        <v>439</v>
      </c>
      <c r="H310" s="114" t="s">
        <v>777</v>
      </c>
      <c r="I310" s="114" t="s">
        <v>811</v>
      </c>
      <c r="J310" s="114" t="s">
        <v>1155</v>
      </c>
    </row>
    <row r="311" spans="1:10">
      <c r="A311" s="114" t="s">
        <v>809</v>
      </c>
      <c r="B311" s="114" t="s">
        <v>436</v>
      </c>
      <c r="C311" s="114" t="s">
        <v>437</v>
      </c>
      <c r="D311" s="114" t="s">
        <v>438</v>
      </c>
      <c r="E311">
        <v>6485</v>
      </c>
      <c r="F311" s="114" t="s">
        <v>826</v>
      </c>
      <c r="G311" s="114" t="s">
        <v>439</v>
      </c>
      <c r="H311" s="114" t="s">
        <v>477</v>
      </c>
      <c r="I311">
        <v>257</v>
      </c>
    </row>
    <row r="312" spans="1:10">
      <c r="A312" s="114" t="s">
        <v>809</v>
      </c>
      <c r="B312" s="114" t="s">
        <v>436</v>
      </c>
      <c r="C312" s="114" t="s">
        <v>450</v>
      </c>
      <c r="D312" s="114" t="s">
        <v>438</v>
      </c>
      <c r="E312">
        <v>6929</v>
      </c>
      <c r="F312" s="114" t="s">
        <v>827</v>
      </c>
      <c r="G312" s="114" t="s">
        <v>439</v>
      </c>
      <c r="H312" s="114" t="s">
        <v>490</v>
      </c>
      <c r="I312">
        <v>754</v>
      </c>
    </row>
    <row r="313" spans="1:10">
      <c r="A313" s="114" t="s">
        <v>809</v>
      </c>
      <c r="B313" s="114" t="s">
        <v>436</v>
      </c>
      <c r="C313" s="114" t="s">
        <v>437</v>
      </c>
      <c r="D313" s="114" t="s">
        <v>438</v>
      </c>
      <c r="E313">
        <v>7480</v>
      </c>
      <c r="F313" s="114" t="s">
        <v>828</v>
      </c>
      <c r="G313" s="114" t="s">
        <v>439</v>
      </c>
      <c r="H313" s="114" t="s">
        <v>448</v>
      </c>
      <c r="I313">
        <v>212</v>
      </c>
    </row>
    <row r="314" spans="1:10">
      <c r="A314" s="114" t="s">
        <v>809</v>
      </c>
      <c r="B314" s="114" t="s">
        <v>436</v>
      </c>
      <c r="C314" s="114" t="s">
        <v>437</v>
      </c>
      <c r="D314" s="114" t="s">
        <v>438</v>
      </c>
      <c r="E314">
        <v>9880</v>
      </c>
      <c r="F314" s="114" t="s">
        <v>829</v>
      </c>
      <c r="G314" s="114" t="s">
        <v>439</v>
      </c>
      <c r="H314" s="114" t="s">
        <v>448</v>
      </c>
      <c r="I314">
        <v>165</v>
      </c>
    </row>
    <row r="315" spans="1:10">
      <c r="A315" s="114" t="s">
        <v>809</v>
      </c>
      <c r="B315" s="114" t="s">
        <v>436</v>
      </c>
      <c r="C315" s="114" t="s">
        <v>437</v>
      </c>
      <c r="D315" s="114" t="s">
        <v>438</v>
      </c>
      <c r="E315">
        <v>9994</v>
      </c>
      <c r="F315" s="114" t="s">
        <v>830</v>
      </c>
      <c r="G315" s="114" t="s">
        <v>439</v>
      </c>
      <c r="H315" s="114" t="s">
        <v>457</v>
      </c>
      <c r="I315">
        <v>242</v>
      </c>
    </row>
    <row r="316" spans="1:10">
      <c r="A316" s="114" t="s">
        <v>831</v>
      </c>
      <c r="B316" s="114" t="s">
        <v>436</v>
      </c>
      <c r="C316" s="114" t="s">
        <v>437</v>
      </c>
      <c r="D316" s="114" t="s">
        <v>438</v>
      </c>
      <c r="E316">
        <v>1979</v>
      </c>
      <c r="F316" s="114" t="s">
        <v>832</v>
      </c>
      <c r="G316" s="114" t="s">
        <v>439</v>
      </c>
      <c r="H316" s="114" t="s">
        <v>500</v>
      </c>
      <c r="I316" s="114" t="s">
        <v>522</v>
      </c>
      <c r="J316" s="114" t="s">
        <v>1156</v>
      </c>
    </row>
    <row r="317" spans="1:10">
      <c r="A317" s="114" t="s">
        <v>831</v>
      </c>
      <c r="B317" s="114" t="s">
        <v>436</v>
      </c>
      <c r="C317" s="114" t="s">
        <v>437</v>
      </c>
      <c r="D317" s="114" t="s">
        <v>438</v>
      </c>
      <c r="E317">
        <v>2201</v>
      </c>
      <c r="F317" s="114" t="s">
        <v>1157</v>
      </c>
      <c r="G317" s="114" t="s">
        <v>439</v>
      </c>
      <c r="H317" s="114" t="s">
        <v>440</v>
      </c>
      <c r="I317" s="114" t="s">
        <v>710</v>
      </c>
      <c r="J317" s="114" t="s">
        <v>899</v>
      </c>
    </row>
    <row r="318" spans="1:10">
      <c r="A318" s="114" t="s">
        <v>831</v>
      </c>
      <c r="B318" s="114" t="s">
        <v>436</v>
      </c>
      <c r="C318" s="114" t="s">
        <v>450</v>
      </c>
      <c r="D318" s="114" t="s">
        <v>438</v>
      </c>
      <c r="E318">
        <v>2384</v>
      </c>
      <c r="F318" s="114" t="s">
        <v>1158</v>
      </c>
      <c r="G318" s="114" t="s">
        <v>439</v>
      </c>
      <c r="H318" s="114" t="s">
        <v>760</v>
      </c>
      <c r="I318">
        <v>784</v>
      </c>
    </row>
    <row r="319" spans="1:10">
      <c r="A319" s="114" t="s">
        <v>831</v>
      </c>
      <c r="B319" s="114" t="s">
        <v>436</v>
      </c>
      <c r="C319" s="114" t="s">
        <v>437</v>
      </c>
      <c r="D319" s="114" t="s">
        <v>438</v>
      </c>
      <c r="E319">
        <v>2398</v>
      </c>
      <c r="F319" s="114" t="s">
        <v>1159</v>
      </c>
      <c r="G319" s="114" t="s">
        <v>439</v>
      </c>
      <c r="H319" s="114" t="s">
        <v>446</v>
      </c>
      <c r="I319" s="114">
        <v>414</v>
      </c>
      <c r="J319" s="114"/>
    </row>
    <row r="320" spans="1:10">
      <c r="A320" s="114" t="s">
        <v>831</v>
      </c>
      <c r="B320" s="114" t="s">
        <v>436</v>
      </c>
      <c r="C320" s="114" t="s">
        <v>455</v>
      </c>
      <c r="D320" s="114" t="s">
        <v>438</v>
      </c>
      <c r="E320">
        <v>7320</v>
      </c>
      <c r="F320" s="114" t="s">
        <v>1160</v>
      </c>
      <c r="G320" s="114" t="s">
        <v>461</v>
      </c>
      <c r="H320" s="114" t="s">
        <v>539</v>
      </c>
      <c r="I320">
        <v>61</v>
      </c>
    </row>
    <row r="321" spans="1:10">
      <c r="A321" s="114" t="s">
        <v>831</v>
      </c>
      <c r="B321" s="114" t="s">
        <v>436</v>
      </c>
      <c r="C321" s="114" t="s">
        <v>437</v>
      </c>
      <c r="D321" s="114" t="s">
        <v>438</v>
      </c>
      <c r="E321">
        <v>8108</v>
      </c>
      <c r="F321" s="114" t="s">
        <v>833</v>
      </c>
      <c r="G321" s="114" t="s">
        <v>834</v>
      </c>
      <c r="H321" s="114" t="s">
        <v>448</v>
      </c>
      <c r="I321">
        <v>271</v>
      </c>
    </row>
    <row r="322" spans="1:10">
      <c r="A322" s="114" t="s">
        <v>835</v>
      </c>
      <c r="B322" s="114" t="s">
        <v>436</v>
      </c>
      <c r="C322" s="114" t="s">
        <v>437</v>
      </c>
      <c r="D322" s="114" t="s">
        <v>438</v>
      </c>
      <c r="E322">
        <v>1762</v>
      </c>
      <c r="F322" s="114" t="s">
        <v>836</v>
      </c>
      <c r="G322" s="114" t="s">
        <v>439</v>
      </c>
      <c r="H322" s="114" t="s">
        <v>500</v>
      </c>
      <c r="I322" s="114" t="s">
        <v>522</v>
      </c>
      <c r="J322" s="114" t="s">
        <v>1161</v>
      </c>
    </row>
    <row r="323" spans="1:10">
      <c r="A323" s="114" t="s">
        <v>835</v>
      </c>
      <c r="B323" s="114" t="s">
        <v>436</v>
      </c>
      <c r="C323" s="114" t="s">
        <v>437</v>
      </c>
      <c r="D323" s="114" t="s">
        <v>438</v>
      </c>
      <c r="E323">
        <v>1821</v>
      </c>
      <c r="F323" s="114" t="s">
        <v>838</v>
      </c>
      <c r="G323" s="114" t="s">
        <v>439</v>
      </c>
      <c r="H323" s="114" t="s">
        <v>500</v>
      </c>
      <c r="I323" s="114">
        <v>994</v>
      </c>
      <c r="J323" s="114"/>
    </row>
    <row r="324" spans="1:10">
      <c r="A324" s="114" t="s">
        <v>835</v>
      </c>
      <c r="B324" s="114" t="s">
        <v>436</v>
      </c>
      <c r="C324" s="114" t="s">
        <v>437</v>
      </c>
      <c r="D324" s="114" t="s">
        <v>438</v>
      </c>
      <c r="E324">
        <v>2196</v>
      </c>
      <c r="F324" s="114" t="s">
        <v>1162</v>
      </c>
      <c r="G324" s="114" t="s">
        <v>439</v>
      </c>
      <c r="H324" s="114" t="s">
        <v>446</v>
      </c>
      <c r="I324">
        <v>100</v>
      </c>
    </row>
    <row r="325" spans="1:10">
      <c r="A325" s="114" t="s">
        <v>835</v>
      </c>
      <c r="B325" s="114" t="s">
        <v>436</v>
      </c>
      <c r="C325" s="114" t="s">
        <v>450</v>
      </c>
      <c r="D325" s="114" t="s">
        <v>438</v>
      </c>
      <c r="E325">
        <v>2436</v>
      </c>
      <c r="F325" s="114" t="s">
        <v>1163</v>
      </c>
      <c r="G325" s="114" t="s">
        <v>445</v>
      </c>
      <c r="H325" s="114" t="s">
        <v>446</v>
      </c>
      <c r="I325">
        <v>54</v>
      </c>
    </row>
    <row r="326" spans="1:10">
      <c r="A326" s="114" t="s">
        <v>835</v>
      </c>
      <c r="B326" s="114" t="s">
        <v>436</v>
      </c>
      <c r="C326" s="114" t="s">
        <v>437</v>
      </c>
      <c r="D326" s="114" t="s">
        <v>438</v>
      </c>
      <c r="E326">
        <v>2705</v>
      </c>
      <c r="F326" s="114" t="s">
        <v>839</v>
      </c>
      <c r="G326" s="114" t="s">
        <v>445</v>
      </c>
      <c r="H326" s="114" t="s">
        <v>457</v>
      </c>
      <c r="I326">
        <v>176</v>
      </c>
    </row>
    <row r="327" spans="1:10">
      <c r="A327" s="114" t="s">
        <v>835</v>
      </c>
      <c r="B327" s="114" t="s">
        <v>436</v>
      </c>
      <c r="C327" s="114" t="s">
        <v>437</v>
      </c>
      <c r="D327" s="114" t="s">
        <v>438</v>
      </c>
      <c r="E327">
        <v>5714</v>
      </c>
      <c r="F327" s="114" t="s">
        <v>840</v>
      </c>
      <c r="G327" s="114" t="s">
        <v>439</v>
      </c>
      <c r="H327" s="114" t="s">
        <v>777</v>
      </c>
      <c r="I327" s="114" t="s">
        <v>482</v>
      </c>
      <c r="J327" s="114" t="s">
        <v>922</v>
      </c>
    </row>
    <row r="328" spans="1:10">
      <c r="A328" s="114" t="s">
        <v>835</v>
      </c>
      <c r="B328" s="114" t="s">
        <v>436</v>
      </c>
      <c r="C328" s="114" t="s">
        <v>437</v>
      </c>
      <c r="D328" s="114" t="s">
        <v>438</v>
      </c>
      <c r="E328">
        <v>7294</v>
      </c>
      <c r="F328" s="114" t="s">
        <v>841</v>
      </c>
      <c r="G328" s="114" t="s">
        <v>439</v>
      </c>
      <c r="H328" s="114" t="s">
        <v>518</v>
      </c>
      <c r="I328">
        <v>357</v>
      </c>
    </row>
    <row r="329" spans="1:10">
      <c r="A329" s="114" t="s">
        <v>835</v>
      </c>
      <c r="B329" s="114" t="s">
        <v>436</v>
      </c>
      <c r="C329" s="114" t="s">
        <v>437</v>
      </c>
      <c r="D329" s="114" t="s">
        <v>438</v>
      </c>
      <c r="E329">
        <v>9964</v>
      </c>
      <c r="F329" s="114" t="s">
        <v>842</v>
      </c>
      <c r="G329" s="114" t="s">
        <v>445</v>
      </c>
      <c r="H329" s="114" t="s">
        <v>448</v>
      </c>
      <c r="I329">
        <v>223</v>
      </c>
    </row>
    <row r="330" spans="1:10">
      <c r="A330" s="114" t="s">
        <v>843</v>
      </c>
      <c r="B330" s="114" t="s">
        <v>436</v>
      </c>
      <c r="C330" s="114" t="s">
        <v>437</v>
      </c>
      <c r="D330" s="114" t="s">
        <v>438</v>
      </c>
      <c r="E330">
        <v>1384</v>
      </c>
      <c r="F330" s="114" t="s">
        <v>844</v>
      </c>
      <c r="G330" s="114" t="s">
        <v>439</v>
      </c>
      <c r="H330" s="114" t="s">
        <v>608</v>
      </c>
      <c r="I330" s="114">
        <v>59</v>
      </c>
      <c r="J330" s="114"/>
    </row>
    <row r="331" spans="1:10">
      <c r="A331" s="114" t="s">
        <v>843</v>
      </c>
      <c r="B331" s="114" t="s">
        <v>436</v>
      </c>
      <c r="C331" s="114" t="s">
        <v>450</v>
      </c>
      <c r="D331" s="114" t="s">
        <v>438</v>
      </c>
      <c r="E331">
        <v>2150</v>
      </c>
      <c r="F331" s="114" t="s">
        <v>845</v>
      </c>
      <c r="G331" s="114" t="s">
        <v>461</v>
      </c>
      <c r="H331" s="114" t="s">
        <v>446</v>
      </c>
      <c r="I331">
        <v>87</v>
      </c>
    </row>
    <row r="332" spans="1:10">
      <c r="A332" s="114" t="s">
        <v>843</v>
      </c>
      <c r="B332" s="114" t="s">
        <v>436</v>
      </c>
      <c r="C332" s="114" t="s">
        <v>450</v>
      </c>
      <c r="D332" s="114" t="s">
        <v>438</v>
      </c>
      <c r="E332">
        <v>2170</v>
      </c>
      <c r="F332" s="114" t="s">
        <v>846</v>
      </c>
      <c r="G332" s="114" t="s">
        <v>439</v>
      </c>
      <c r="H332" s="114" t="s">
        <v>446</v>
      </c>
      <c r="I332" s="114">
        <v>834</v>
      </c>
      <c r="J332" s="114"/>
    </row>
    <row r="333" spans="1:10">
      <c r="A333" s="114" t="s">
        <v>843</v>
      </c>
      <c r="B333" s="114" t="s">
        <v>436</v>
      </c>
      <c r="C333" s="114" t="s">
        <v>442</v>
      </c>
      <c r="D333" s="114" t="s">
        <v>438</v>
      </c>
      <c r="E333">
        <v>2185</v>
      </c>
      <c r="F333" s="114" t="s">
        <v>1164</v>
      </c>
      <c r="G333" s="114" t="s">
        <v>445</v>
      </c>
      <c r="H333" s="114" t="s">
        <v>446</v>
      </c>
      <c r="I333">
        <v>175</v>
      </c>
    </row>
    <row r="334" spans="1:10">
      <c r="A334" s="114" t="s">
        <v>843</v>
      </c>
      <c r="B334" s="114" t="s">
        <v>436</v>
      </c>
      <c r="C334" s="114" t="s">
        <v>437</v>
      </c>
      <c r="D334" s="114" t="s">
        <v>438</v>
      </c>
      <c r="E334">
        <v>2323</v>
      </c>
      <c r="F334" s="114" t="s">
        <v>1165</v>
      </c>
      <c r="G334" s="114" t="s">
        <v>445</v>
      </c>
      <c r="H334" s="114" t="s">
        <v>459</v>
      </c>
      <c r="I334" s="114">
        <v>15</v>
      </c>
      <c r="J334" s="114"/>
    </row>
    <row r="335" spans="1:10">
      <c r="A335" s="114" t="s">
        <v>843</v>
      </c>
      <c r="B335" s="114" t="s">
        <v>436</v>
      </c>
      <c r="C335" s="114" t="s">
        <v>437</v>
      </c>
      <c r="D335" s="114" t="s">
        <v>438</v>
      </c>
      <c r="E335">
        <v>2654</v>
      </c>
      <c r="F335" s="114" t="s">
        <v>847</v>
      </c>
      <c r="G335" s="114" t="s">
        <v>452</v>
      </c>
      <c r="H335" s="114" t="s">
        <v>457</v>
      </c>
      <c r="I335">
        <v>82</v>
      </c>
    </row>
    <row r="336" spans="1:10">
      <c r="A336" s="114" t="s">
        <v>843</v>
      </c>
      <c r="B336" s="114" t="s">
        <v>436</v>
      </c>
      <c r="C336" s="114" t="s">
        <v>437</v>
      </c>
      <c r="D336" s="114" t="s">
        <v>438</v>
      </c>
      <c r="E336">
        <v>3182</v>
      </c>
      <c r="F336" s="114" t="s">
        <v>848</v>
      </c>
      <c r="G336" s="114" t="s">
        <v>461</v>
      </c>
      <c r="H336" s="114" t="s">
        <v>457</v>
      </c>
      <c r="I336">
        <v>466</v>
      </c>
    </row>
    <row r="337" spans="1:10">
      <c r="A337" s="114" t="s">
        <v>843</v>
      </c>
      <c r="B337" s="114" t="s">
        <v>436</v>
      </c>
      <c r="C337" s="114" t="s">
        <v>437</v>
      </c>
      <c r="D337" s="114" t="s">
        <v>438</v>
      </c>
      <c r="E337">
        <v>3934</v>
      </c>
      <c r="F337" s="114" t="s">
        <v>849</v>
      </c>
      <c r="G337" s="114" t="s">
        <v>439</v>
      </c>
      <c r="H337" s="114" t="s">
        <v>459</v>
      </c>
      <c r="I337" s="114">
        <v>89</v>
      </c>
      <c r="J337" s="114"/>
    </row>
    <row r="338" spans="1:10">
      <c r="A338" s="114" t="s">
        <v>843</v>
      </c>
      <c r="B338" s="114" t="s">
        <v>436</v>
      </c>
      <c r="C338" s="114" t="s">
        <v>455</v>
      </c>
      <c r="D338" s="114" t="s">
        <v>438</v>
      </c>
      <c r="E338">
        <v>3960</v>
      </c>
      <c r="F338" s="114" t="s">
        <v>850</v>
      </c>
      <c r="G338" s="114" t="s">
        <v>461</v>
      </c>
      <c r="H338" s="114" t="s">
        <v>459</v>
      </c>
      <c r="I338">
        <v>26</v>
      </c>
    </row>
    <row r="339" spans="1:10">
      <c r="A339" s="114" t="s">
        <v>843</v>
      </c>
      <c r="B339" s="114" t="s">
        <v>436</v>
      </c>
      <c r="C339" s="114" t="s">
        <v>450</v>
      </c>
      <c r="D339" s="114" t="s">
        <v>438</v>
      </c>
      <c r="E339">
        <v>4755</v>
      </c>
      <c r="F339" s="114" t="s">
        <v>851</v>
      </c>
      <c r="G339" s="114" t="s">
        <v>439</v>
      </c>
      <c r="H339" s="114" t="s">
        <v>446</v>
      </c>
      <c r="I339" s="114" t="s">
        <v>852</v>
      </c>
      <c r="J339" s="114" t="s">
        <v>1166</v>
      </c>
    </row>
    <row r="340" spans="1:10">
      <c r="A340" s="114" t="s">
        <v>843</v>
      </c>
      <c r="B340" s="114" t="s">
        <v>436</v>
      </c>
      <c r="C340" s="114" t="s">
        <v>437</v>
      </c>
      <c r="D340" s="114" t="s">
        <v>438</v>
      </c>
      <c r="E340">
        <v>5304</v>
      </c>
      <c r="F340" s="114" t="s">
        <v>853</v>
      </c>
      <c r="G340" s="114" t="s">
        <v>452</v>
      </c>
      <c r="H340" s="114" t="s">
        <v>575</v>
      </c>
      <c r="I340">
        <v>372</v>
      </c>
    </row>
    <row r="341" spans="1:10">
      <c r="A341" s="114" t="s">
        <v>843</v>
      </c>
      <c r="B341" s="114" t="s">
        <v>436</v>
      </c>
      <c r="C341" s="114" t="s">
        <v>437</v>
      </c>
      <c r="D341" s="114" t="s">
        <v>438</v>
      </c>
      <c r="E341">
        <v>6033</v>
      </c>
      <c r="F341" s="114" t="s">
        <v>854</v>
      </c>
      <c r="G341" s="114" t="s">
        <v>461</v>
      </c>
      <c r="H341" s="114" t="s">
        <v>446</v>
      </c>
      <c r="I341" s="114">
        <v>109</v>
      </c>
      <c r="J341" s="114"/>
    </row>
    <row r="342" spans="1:10">
      <c r="A342" s="114" t="s">
        <v>843</v>
      </c>
      <c r="B342" s="114" t="s">
        <v>436</v>
      </c>
      <c r="C342" s="114" t="s">
        <v>437</v>
      </c>
      <c r="D342" s="114" t="s">
        <v>438</v>
      </c>
      <c r="E342">
        <v>6125</v>
      </c>
      <c r="F342" s="114" t="s">
        <v>1167</v>
      </c>
      <c r="G342" s="114" t="s">
        <v>452</v>
      </c>
      <c r="H342" s="114" t="s">
        <v>477</v>
      </c>
      <c r="I342" s="114">
        <v>134</v>
      </c>
      <c r="J342" s="114"/>
    </row>
    <row r="343" spans="1:10">
      <c r="A343" s="114" t="s">
        <v>843</v>
      </c>
      <c r="B343" s="114" t="s">
        <v>436</v>
      </c>
      <c r="C343" s="114" t="s">
        <v>437</v>
      </c>
      <c r="D343" s="114" t="s">
        <v>438</v>
      </c>
      <c r="E343">
        <v>7070</v>
      </c>
      <c r="F343" s="114" t="s">
        <v>855</v>
      </c>
      <c r="G343" s="114" t="s">
        <v>445</v>
      </c>
      <c r="H343" s="114" t="s">
        <v>446</v>
      </c>
      <c r="I343">
        <v>44</v>
      </c>
    </row>
    <row r="344" spans="1:10">
      <c r="A344" s="114" t="s">
        <v>843</v>
      </c>
      <c r="B344" s="114" t="s">
        <v>436</v>
      </c>
      <c r="C344" s="114" t="s">
        <v>437</v>
      </c>
      <c r="D344" s="114" t="s">
        <v>438</v>
      </c>
      <c r="E344">
        <v>7780</v>
      </c>
      <c r="F344" s="114" t="s">
        <v>856</v>
      </c>
      <c r="G344" s="114" t="s">
        <v>439</v>
      </c>
      <c r="H344" s="114" t="s">
        <v>738</v>
      </c>
      <c r="I344" s="114" t="s">
        <v>522</v>
      </c>
      <c r="J344" s="114" t="s">
        <v>1168</v>
      </c>
    </row>
    <row r="345" spans="1:10">
      <c r="A345" s="114" t="s">
        <v>843</v>
      </c>
      <c r="B345" s="114" t="s">
        <v>436</v>
      </c>
      <c r="C345" s="114" t="s">
        <v>437</v>
      </c>
      <c r="D345" s="114" t="s">
        <v>438</v>
      </c>
      <c r="E345">
        <v>9707</v>
      </c>
      <c r="F345" s="114" t="s">
        <v>857</v>
      </c>
      <c r="G345" s="114" t="s">
        <v>445</v>
      </c>
      <c r="H345" s="114" t="s">
        <v>446</v>
      </c>
      <c r="I345" s="114">
        <v>132</v>
      </c>
      <c r="J345" s="114"/>
    </row>
    <row r="346" spans="1:10">
      <c r="A346" s="114" t="s">
        <v>858</v>
      </c>
      <c r="B346" s="114" t="s">
        <v>436</v>
      </c>
      <c r="C346" s="114" t="s">
        <v>437</v>
      </c>
      <c r="D346" s="114" t="s">
        <v>438</v>
      </c>
      <c r="E346">
        <v>2181</v>
      </c>
      <c r="F346" s="114" t="s">
        <v>1169</v>
      </c>
      <c r="G346" s="114" t="s">
        <v>439</v>
      </c>
      <c r="H346" s="114" t="s">
        <v>446</v>
      </c>
      <c r="I346" s="114" t="s">
        <v>619</v>
      </c>
      <c r="J346" s="114" t="s">
        <v>1096</v>
      </c>
    </row>
    <row r="347" spans="1:10">
      <c r="A347" s="114" t="s">
        <v>858</v>
      </c>
      <c r="B347" s="114" t="s">
        <v>436</v>
      </c>
      <c r="C347" s="114" t="s">
        <v>437</v>
      </c>
      <c r="D347" s="114" t="s">
        <v>443</v>
      </c>
      <c r="E347">
        <v>2334</v>
      </c>
      <c r="F347" s="114" t="s">
        <v>1170</v>
      </c>
      <c r="G347" s="114" t="s">
        <v>461</v>
      </c>
      <c r="H347" s="114" t="s">
        <v>446</v>
      </c>
      <c r="I347" s="114">
        <v>55</v>
      </c>
      <c r="J347" s="114"/>
    </row>
    <row r="348" spans="1:10">
      <c r="A348" s="114" t="s">
        <v>858</v>
      </c>
      <c r="B348" s="114" t="s">
        <v>436</v>
      </c>
      <c r="C348" s="114" t="s">
        <v>455</v>
      </c>
      <c r="D348" s="114" t="s">
        <v>438</v>
      </c>
      <c r="E348">
        <v>3135</v>
      </c>
      <c r="F348" s="114" t="s">
        <v>859</v>
      </c>
      <c r="G348" s="114" t="s">
        <v>461</v>
      </c>
      <c r="H348" s="114" t="s">
        <v>457</v>
      </c>
      <c r="I348">
        <v>156</v>
      </c>
    </row>
    <row r="349" spans="1:10">
      <c r="A349" s="114" t="s">
        <v>858</v>
      </c>
      <c r="B349" s="114" t="s">
        <v>436</v>
      </c>
      <c r="C349" s="114" t="s">
        <v>437</v>
      </c>
      <c r="D349" s="114" t="s">
        <v>438</v>
      </c>
      <c r="E349">
        <v>4620</v>
      </c>
      <c r="F349" s="114" t="s">
        <v>860</v>
      </c>
      <c r="G349" s="114" t="s">
        <v>439</v>
      </c>
      <c r="H349" s="114" t="s">
        <v>463</v>
      </c>
      <c r="I349" s="114">
        <v>186</v>
      </c>
      <c r="J349" s="114"/>
    </row>
    <row r="350" spans="1:10">
      <c r="A350" s="114" t="s">
        <v>858</v>
      </c>
      <c r="B350" s="114" t="s">
        <v>436</v>
      </c>
      <c r="C350" s="114" t="s">
        <v>450</v>
      </c>
      <c r="D350" s="114" t="s">
        <v>438</v>
      </c>
      <c r="E350">
        <v>6141</v>
      </c>
      <c r="F350" s="114" t="s">
        <v>861</v>
      </c>
      <c r="G350" s="114" t="s">
        <v>439</v>
      </c>
      <c r="H350" s="114" t="s">
        <v>477</v>
      </c>
      <c r="I350" s="114" t="s">
        <v>482</v>
      </c>
      <c r="J350" s="114" t="s">
        <v>1171</v>
      </c>
    </row>
    <row r="351" spans="1:10">
      <c r="A351" s="114" t="s">
        <v>858</v>
      </c>
      <c r="B351" s="114" t="s">
        <v>436</v>
      </c>
      <c r="C351" s="114" t="s">
        <v>437</v>
      </c>
      <c r="D351" s="114" t="s">
        <v>438</v>
      </c>
      <c r="E351">
        <v>6247</v>
      </c>
      <c r="F351" s="114" t="s">
        <v>862</v>
      </c>
      <c r="G351" s="114" t="s">
        <v>439</v>
      </c>
      <c r="H351" s="114" t="s">
        <v>477</v>
      </c>
      <c r="I351" s="114">
        <v>326</v>
      </c>
      <c r="J351" s="114"/>
    </row>
    <row r="352" spans="1:10">
      <c r="A352" s="114" t="s">
        <v>858</v>
      </c>
      <c r="B352" s="114" t="s">
        <v>436</v>
      </c>
      <c r="C352" s="114" t="s">
        <v>437</v>
      </c>
      <c r="D352" s="114" t="s">
        <v>438</v>
      </c>
      <c r="E352">
        <v>7199</v>
      </c>
      <c r="F352" s="114" t="s">
        <v>863</v>
      </c>
      <c r="G352" s="114" t="s">
        <v>439</v>
      </c>
      <c r="H352" s="114" t="s">
        <v>539</v>
      </c>
      <c r="I352" s="114">
        <v>321</v>
      </c>
      <c r="J352" s="114"/>
    </row>
    <row r="353" spans="1:10">
      <c r="A353" s="114" t="s">
        <v>864</v>
      </c>
      <c r="B353" s="114" t="s">
        <v>436</v>
      </c>
      <c r="C353" s="114" t="s">
        <v>450</v>
      </c>
      <c r="D353" s="114" t="s">
        <v>443</v>
      </c>
      <c r="E353">
        <v>8985</v>
      </c>
      <c r="F353" s="114" t="s">
        <v>865</v>
      </c>
      <c r="G353" s="114" t="s">
        <v>554</v>
      </c>
      <c r="H353" s="114" t="s">
        <v>555</v>
      </c>
      <c r="I353" s="114" t="s">
        <v>710</v>
      </c>
      <c r="J353" s="114" t="s">
        <v>1172</v>
      </c>
    </row>
    <row r="354" spans="1:10">
      <c r="A354" s="114" t="s">
        <v>866</v>
      </c>
      <c r="B354" s="114" t="s">
        <v>436</v>
      </c>
      <c r="C354" s="114" t="s">
        <v>437</v>
      </c>
      <c r="D354" s="114" t="s">
        <v>443</v>
      </c>
      <c r="E354">
        <v>1723</v>
      </c>
      <c r="F354" s="114" t="s">
        <v>867</v>
      </c>
      <c r="G354" s="114" t="s">
        <v>445</v>
      </c>
      <c r="H354" s="114" t="s">
        <v>500</v>
      </c>
      <c r="I354" s="114">
        <v>249</v>
      </c>
      <c r="J354" s="114"/>
    </row>
    <row r="355" spans="1:10">
      <c r="A355" s="114" t="s">
        <v>866</v>
      </c>
      <c r="B355" s="114" t="s">
        <v>436</v>
      </c>
      <c r="C355" s="114" t="s">
        <v>437</v>
      </c>
      <c r="D355" s="114" t="s">
        <v>438</v>
      </c>
      <c r="E355">
        <v>1941</v>
      </c>
      <c r="F355" s="114" t="s">
        <v>868</v>
      </c>
      <c r="G355" s="114" t="s">
        <v>439</v>
      </c>
      <c r="H355" s="114" t="s">
        <v>500</v>
      </c>
      <c r="I355" s="114" t="s">
        <v>522</v>
      </c>
      <c r="J355" s="114" t="s">
        <v>502</v>
      </c>
    </row>
    <row r="356" spans="1:10">
      <c r="A356" s="114" t="s">
        <v>866</v>
      </c>
      <c r="B356" s="114" t="s">
        <v>436</v>
      </c>
      <c r="C356" s="114" t="s">
        <v>437</v>
      </c>
      <c r="D356" s="114" t="s">
        <v>438</v>
      </c>
      <c r="E356">
        <v>1946</v>
      </c>
      <c r="F356" s="114" t="s">
        <v>869</v>
      </c>
      <c r="G356" s="114" t="s">
        <v>439</v>
      </c>
      <c r="H356" s="114" t="s">
        <v>500</v>
      </c>
      <c r="I356" s="114">
        <v>707</v>
      </c>
      <c r="J356" s="114"/>
    </row>
    <row r="357" spans="1:10">
      <c r="A357" s="114" t="s">
        <v>866</v>
      </c>
      <c r="B357" s="114" t="s">
        <v>436</v>
      </c>
      <c r="C357" s="114" t="s">
        <v>437</v>
      </c>
      <c r="D357" s="114" t="s">
        <v>438</v>
      </c>
      <c r="E357">
        <v>1959</v>
      </c>
      <c r="F357" s="114" t="s">
        <v>870</v>
      </c>
      <c r="G357" s="114" t="s">
        <v>439</v>
      </c>
      <c r="H357" s="114" t="s">
        <v>500</v>
      </c>
      <c r="I357" s="114" t="s">
        <v>482</v>
      </c>
      <c r="J357" s="114" t="s">
        <v>1173</v>
      </c>
    </row>
    <row r="358" spans="1:10">
      <c r="A358" s="114" t="s">
        <v>866</v>
      </c>
      <c r="B358" s="114" t="s">
        <v>436</v>
      </c>
      <c r="C358" s="114" t="s">
        <v>437</v>
      </c>
      <c r="D358" s="114" t="s">
        <v>438</v>
      </c>
      <c r="E358">
        <v>2148</v>
      </c>
      <c r="F358" s="114" t="s">
        <v>1174</v>
      </c>
      <c r="G358" s="114" t="s">
        <v>439</v>
      </c>
      <c r="H358" s="114" t="s">
        <v>446</v>
      </c>
      <c r="I358" s="114">
        <v>164</v>
      </c>
      <c r="J358" s="114"/>
    </row>
    <row r="359" spans="1:10">
      <c r="A359" s="114" t="s">
        <v>866</v>
      </c>
      <c r="B359" s="114" t="s">
        <v>436</v>
      </c>
      <c r="C359" s="114" t="s">
        <v>437</v>
      </c>
      <c r="D359" s="114" t="s">
        <v>438</v>
      </c>
      <c r="E359">
        <v>2326</v>
      </c>
      <c r="F359" s="114" t="s">
        <v>1175</v>
      </c>
      <c r="G359" s="114" t="s">
        <v>439</v>
      </c>
      <c r="H359" s="114" t="s">
        <v>459</v>
      </c>
      <c r="I359" s="114">
        <v>858</v>
      </c>
      <c r="J359" s="114"/>
    </row>
    <row r="360" spans="1:10">
      <c r="A360" s="114" t="s">
        <v>866</v>
      </c>
      <c r="B360" s="114" t="s">
        <v>436</v>
      </c>
      <c r="C360" s="114" t="s">
        <v>437</v>
      </c>
      <c r="D360" s="114" t="s">
        <v>443</v>
      </c>
      <c r="E360">
        <v>2332</v>
      </c>
      <c r="F360" s="114" t="s">
        <v>871</v>
      </c>
      <c r="G360" s="114" t="s">
        <v>445</v>
      </c>
      <c r="H360" s="114" t="s">
        <v>459</v>
      </c>
      <c r="I360">
        <v>62</v>
      </c>
    </row>
    <row r="361" spans="1:10">
      <c r="A361" s="114" t="s">
        <v>866</v>
      </c>
      <c r="B361" s="114" t="s">
        <v>436</v>
      </c>
      <c r="C361" s="114" t="s">
        <v>437</v>
      </c>
      <c r="D361" s="114" t="s">
        <v>443</v>
      </c>
      <c r="E361">
        <v>3177</v>
      </c>
      <c r="F361" s="114" t="s">
        <v>872</v>
      </c>
      <c r="G361" s="114" t="s">
        <v>445</v>
      </c>
      <c r="H361" s="114" t="s">
        <v>457</v>
      </c>
      <c r="I361">
        <v>22</v>
      </c>
    </row>
    <row r="362" spans="1:10">
      <c r="A362" s="114" t="s">
        <v>866</v>
      </c>
      <c r="B362" s="114" t="s">
        <v>436</v>
      </c>
      <c r="C362" s="114" t="s">
        <v>437</v>
      </c>
      <c r="D362" s="114" t="s">
        <v>438</v>
      </c>
      <c r="E362">
        <v>3231</v>
      </c>
      <c r="F362" s="114" t="s">
        <v>873</v>
      </c>
      <c r="G362" s="114" t="s">
        <v>439</v>
      </c>
      <c r="H362" s="114" t="s">
        <v>492</v>
      </c>
      <c r="I362" s="114" t="s">
        <v>473</v>
      </c>
      <c r="J362" s="114" t="s">
        <v>1176</v>
      </c>
    </row>
    <row r="363" spans="1:10">
      <c r="A363" s="114" t="s">
        <v>866</v>
      </c>
      <c r="B363" s="114" t="s">
        <v>436</v>
      </c>
      <c r="C363" s="114" t="s">
        <v>437</v>
      </c>
      <c r="D363" s="114" t="s">
        <v>443</v>
      </c>
      <c r="E363">
        <v>4333</v>
      </c>
      <c r="F363" s="114" t="s">
        <v>874</v>
      </c>
      <c r="G363" s="114" t="s">
        <v>439</v>
      </c>
      <c r="H363" s="114" t="s">
        <v>459</v>
      </c>
      <c r="I363">
        <v>129</v>
      </c>
    </row>
    <row r="364" spans="1:10">
      <c r="A364" s="114" t="s">
        <v>866</v>
      </c>
      <c r="B364" s="114" t="s">
        <v>436</v>
      </c>
      <c r="C364" s="114" t="s">
        <v>442</v>
      </c>
      <c r="D364" s="114" t="s">
        <v>443</v>
      </c>
      <c r="E364">
        <v>4393</v>
      </c>
      <c r="F364" s="114" t="s">
        <v>875</v>
      </c>
      <c r="G364" s="114" t="s">
        <v>461</v>
      </c>
      <c r="H364" s="114" t="s">
        <v>459</v>
      </c>
      <c r="I364">
        <v>116</v>
      </c>
    </row>
    <row r="365" spans="1:10">
      <c r="A365" s="114" t="s">
        <v>866</v>
      </c>
      <c r="B365" s="114" t="s">
        <v>436</v>
      </c>
      <c r="C365" s="114" t="s">
        <v>437</v>
      </c>
      <c r="D365" s="114" t="s">
        <v>438</v>
      </c>
      <c r="E365">
        <v>4557</v>
      </c>
      <c r="F365" s="114" t="s">
        <v>876</v>
      </c>
      <c r="G365" s="114" t="s">
        <v>445</v>
      </c>
      <c r="H365" s="114" t="s">
        <v>589</v>
      </c>
      <c r="I365" s="114">
        <v>205</v>
      </c>
      <c r="J365" s="114"/>
    </row>
    <row r="366" spans="1:10">
      <c r="A366" s="114" t="s">
        <v>866</v>
      </c>
      <c r="B366" s="114" t="s">
        <v>436</v>
      </c>
      <c r="C366" s="114" t="s">
        <v>437</v>
      </c>
      <c r="D366" s="114" t="s">
        <v>438</v>
      </c>
      <c r="E366">
        <v>4684</v>
      </c>
      <c r="F366" s="114" t="s">
        <v>877</v>
      </c>
      <c r="G366" s="114" t="s">
        <v>439</v>
      </c>
      <c r="H366" s="114" t="s">
        <v>459</v>
      </c>
      <c r="I366" s="114" t="s">
        <v>878</v>
      </c>
      <c r="J366" s="114" t="s">
        <v>818</v>
      </c>
    </row>
    <row r="367" spans="1:10">
      <c r="A367" s="114" t="s">
        <v>866</v>
      </c>
      <c r="B367" s="114" t="s">
        <v>436</v>
      </c>
      <c r="C367" s="114" t="s">
        <v>437</v>
      </c>
      <c r="D367" s="114" t="s">
        <v>438</v>
      </c>
      <c r="E367">
        <v>4689</v>
      </c>
      <c r="F367" s="114" t="s">
        <v>879</v>
      </c>
      <c r="G367" s="114" t="s">
        <v>439</v>
      </c>
      <c r="H367" s="114" t="s">
        <v>459</v>
      </c>
      <c r="I367" s="114" t="s">
        <v>880</v>
      </c>
      <c r="J367" s="114" t="s">
        <v>1177</v>
      </c>
    </row>
    <row r="368" spans="1:10">
      <c r="A368" s="114" t="s">
        <v>866</v>
      </c>
      <c r="B368" s="114" t="s">
        <v>436</v>
      </c>
      <c r="C368" s="114" t="s">
        <v>437</v>
      </c>
      <c r="D368" s="114" t="s">
        <v>443</v>
      </c>
      <c r="E368">
        <v>6022</v>
      </c>
      <c r="F368" s="114" t="s">
        <v>881</v>
      </c>
      <c r="G368" s="114" t="s">
        <v>452</v>
      </c>
      <c r="H368" s="114" t="s">
        <v>477</v>
      </c>
      <c r="I368">
        <v>27</v>
      </c>
    </row>
    <row r="369" spans="1:10">
      <c r="A369" s="114" t="s">
        <v>866</v>
      </c>
      <c r="B369" s="114" t="s">
        <v>436</v>
      </c>
      <c r="C369" s="114" t="s">
        <v>437</v>
      </c>
      <c r="D369" s="114" t="s">
        <v>438</v>
      </c>
      <c r="E369">
        <v>6201</v>
      </c>
      <c r="F369" s="114" t="s">
        <v>882</v>
      </c>
      <c r="G369" s="114" t="s">
        <v>439</v>
      </c>
      <c r="H369" s="114" t="s">
        <v>518</v>
      </c>
      <c r="I369" s="114" t="s">
        <v>883</v>
      </c>
      <c r="J369" s="114" t="s">
        <v>886</v>
      </c>
    </row>
    <row r="370" spans="1:10">
      <c r="A370" s="114" t="s">
        <v>866</v>
      </c>
      <c r="B370" s="114" t="s">
        <v>436</v>
      </c>
      <c r="C370" s="114" t="s">
        <v>437</v>
      </c>
      <c r="D370" s="114" t="s">
        <v>438</v>
      </c>
      <c r="E370">
        <v>6301</v>
      </c>
      <c r="F370" s="114" t="s">
        <v>884</v>
      </c>
      <c r="G370" s="114" t="s">
        <v>439</v>
      </c>
      <c r="H370" s="114" t="s">
        <v>477</v>
      </c>
      <c r="I370" s="114" t="s">
        <v>885</v>
      </c>
      <c r="J370" s="114" t="s">
        <v>1178</v>
      </c>
    </row>
    <row r="371" spans="1:10">
      <c r="A371" s="114" t="s">
        <v>866</v>
      </c>
      <c r="B371" s="114" t="s">
        <v>436</v>
      </c>
      <c r="C371" s="114" t="s">
        <v>437</v>
      </c>
      <c r="D371" s="114" t="s">
        <v>438</v>
      </c>
      <c r="E371">
        <v>6395</v>
      </c>
      <c r="F371" s="114" t="s">
        <v>887</v>
      </c>
      <c r="G371" s="114" t="s">
        <v>439</v>
      </c>
      <c r="H371" s="114" t="s">
        <v>477</v>
      </c>
      <c r="I371" s="114" t="s">
        <v>522</v>
      </c>
      <c r="J371" s="114" t="s">
        <v>1179</v>
      </c>
    </row>
    <row r="372" spans="1:10">
      <c r="A372" s="114" t="s">
        <v>866</v>
      </c>
      <c r="B372" s="114" t="s">
        <v>436</v>
      </c>
      <c r="C372" s="114" t="s">
        <v>437</v>
      </c>
      <c r="D372" s="114" t="s">
        <v>438</v>
      </c>
      <c r="E372">
        <v>6645</v>
      </c>
      <c r="F372" s="114" t="s">
        <v>889</v>
      </c>
      <c r="G372" s="114" t="s">
        <v>439</v>
      </c>
      <c r="H372" s="114" t="s">
        <v>490</v>
      </c>
      <c r="I372" s="114" t="s">
        <v>852</v>
      </c>
      <c r="J372" s="114" t="s">
        <v>1180</v>
      </c>
    </row>
    <row r="373" spans="1:10">
      <c r="A373" s="114" t="s">
        <v>866</v>
      </c>
      <c r="B373" s="114" t="s">
        <v>436</v>
      </c>
      <c r="C373" s="114" t="s">
        <v>437</v>
      </c>
      <c r="D373" s="114" t="s">
        <v>438</v>
      </c>
      <c r="E373">
        <v>6788</v>
      </c>
      <c r="F373" s="114" t="s">
        <v>890</v>
      </c>
      <c r="G373" s="114" t="s">
        <v>439</v>
      </c>
      <c r="H373" s="114" t="s">
        <v>490</v>
      </c>
      <c r="I373">
        <v>435</v>
      </c>
    </row>
    <row r="374" spans="1:10">
      <c r="A374" s="114" t="s">
        <v>866</v>
      </c>
      <c r="B374" s="114" t="s">
        <v>436</v>
      </c>
      <c r="C374" s="114" t="s">
        <v>437</v>
      </c>
      <c r="D374" s="114" t="s">
        <v>438</v>
      </c>
      <c r="E374">
        <v>7278</v>
      </c>
      <c r="F374" s="114" t="s">
        <v>891</v>
      </c>
      <c r="G374" s="114" t="s">
        <v>439</v>
      </c>
      <c r="H374" s="114" t="s">
        <v>518</v>
      </c>
      <c r="I374" s="114" t="s">
        <v>522</v>
      </c>
      <c r="J374" s="114" t="s">
        <v>1181</v>
      </c>
    </row>
    <row r="375" spans="1:10">
      <c r="A375" s="114" t="s">
        <v>866</v>
      </c>
      <c r="B375" s="114" t="s">
        <v>436</v>
      </c>
      <c r="C375" s="114" t="s">
        <v>437</v>
      </c>
      <c r="D375" s="114" t="s">
        <v>438</v>
      </c>
      <c r="E375">
        <v>7995</v>
      </c>
      <c r="F375" s="114" t="s">
        <v>892</v>
      </c>
      <c r="G375" s="114" t="s">
        <v>439</v>
      </c>
      <c r="H375" s="114" t="s">
        <v>463</v>
      </c>
      <c r="I375">
        <v>490</v>
      </c>
    </row>
    <row r="376" spans="1:10">
      <c r="A376" s="114" t="s">
        <v>866</v>
      </c>
      <c r="B376" s="114" t="s">
        <v>436</v>
      </c>
      <c r="C376" s="114" t="s">
        <v>437</v>
      </c>
      <c r="D376" s="114" t="s">
        <v>438</v>
      </c>
      <c r="E376">
        <v>8242</v>
      </c>
      <c r="F376" s="114" t="s">
        <v>893</v>
      </c>
      <c r="G376" s="114" t="s">
        <v>439</v>
      </c>
      <c r="H376" s="114" t="s">
        <v>457</v>
      </c>
      <c r="I376" s="114" t="s">
        <v>522</v>
      </c>
      <c r="J376" s="114" t="s">
        <v>818</v>
      </c>
    </row>
    <row r="377" spans="1:10">
      <c r="A377" s="114" t="s">
        <v>866</v>
      </c>
      <c r="B377" s="114" t="s">
        <v>436</v>
      </c>
      <c r="C377" s="114" t="s">
        <v>437</v>
      </c>
      <c r="D377" s="114" t="s">
        <v>438</v>
      </c>
      <c r="E377">
        <v>8304</v>
      </c>
      <c r="F377" s="114" t="s">
        <v>894</v>
      </c>
      <c r="G377" s="114" t="s">
        <v>439</v>
      </c>
      <c r="H377" s="114" t="s">
        <v>895</v>
      </c>
      <c r="I377" s="114" t="s">
        <v>710</v>
      </c>
      <c r="J377" s="114" t="s">
        <v>1182</v>
      </c>
    </row>
    <row r="378" spans="1:10">
      <c r="A378" s="114" t="s">
        <v>866</v>
      </c>
      <c r="B378" s="114" t="s">
        <v>436</v>
      </c>
      <c r="C378" s="114" t="s">
        <v>437</v>
      </c>
      <c r="D378" s="114" t="s">
        <v>438</v>
      </c>
      <c r="E378">
        <v>9202</v>
      </c>
      <c r="F378" s="114" t="s">
        <v>897</v>
      </c>
      <c r="G378" s="114" t="s">
        <v>439</v>
      </c>
      <c r="H378" s="114" t="s">
        <v>898</v>
      </c>
      <c r="I378" s="114" t="s">
        <v>983</v>
      </c>
      <c r="J378" s="114" t="s">
        <v>1183</v>
      </c>
    </row>
    <row r="379" spans="1:10">
      <c r="A379" s="114" t="s">
        <v>866</v>
      </c>
      <c r="B379" s="114" t="s">
        <v>436</v>
      </c>
      <c r="C379" s="114" t="s">
        <v>437</v>
      </c>
      <c r="D379" s="114" t="s">
        <v>438</v>
      </c>
      <c r="E379">
        <v>9474</v>
      </c>
      <c r="F379" s="114" t="s">
        <v>900</v>
      </c>
      <c r="G379" s="114" t="s">
        <v>439</v>
      </c>
      <c r="H379" s="114" t="s">
        <v>459</v>
      </c>
      <c r="I379" s="114" t="s">
        <v>522</v>
      </c>
      <c r="J379" s="114" t="s">
        <v>837</v>
      </c>
    </row>
    <row r="380" spans="1:10">
      <c r="A380" s="114" t="s">
        <v>866</v>
      </c>
      <c r="B380" s="114" t="s">
        <v>436</v>
      </c>
      <c r="C380" s="114" t="s">
        <v>437</v>
      </c>
      <c r="D380" s="114" t="s">
        <v>438</v>
      </c>
      <c r="E380">
        <v>9502</v>
      </c>
      <c r="F380" s="114" t="s">
        <v>901</v>
      </c>
      <c r="G380" s="114" t="s">
        <v>439</v>
      </c>
      <c r="H380" s="114" t="s">
        <v>902</v>
      </c>
      <c r="I380" s="114" t="s">
        <v>903</v>
      </c>
      <c r="J380" s="114" t="s">
        <v>1184</v>
      </c>
    </row>
    <row r="381" spans="1:10">
      <c r="A381" s="114" t="s">
        <v>866</v>
      </c>
      <c r="B381" s="114" t="s">
        <v>436</v>
      </c>
      <c r="C381" s="114" t="s">
        <v>437</v>
      </c>
      <c r="D381" s="114" t="s">
        <v>438</v>
      </c>
      <c r="E381">
        <v>9504</v>
      </c>
      <c r="F381" s="114" t="s">
        <v>905</v>
      </c>
      <c r="G381" s="114" t="s">
        <v>439</v>
      </c>
      <c r="H381" s="114" t="s">
        <v>902</v>
      </c>
      <c r="I381" s="114" t="s">
        <v>473</v>
      </c>
      <c r="J381" s="114" t="s">
        <v>888</v>
      </c>
    </row>
    <row r="382" spans="1:10">
      <c r="A382" s="114" t="s">
        <v>866</v>
      </c>
      <c r="B382" s="114" t="s">
        <v>436</v>
      </c>
      <c r="C382" s="114" t="s">
        <v>437</v>
      </c>
      <c r="D382" s="114" t="s">
        <v>438</v>
      </c>
      <c r="E382">
        <v>9531</v>
      </c>
      <c r="F382" s="114" t="s">
        <v>906</v>
      </c>
      <c r="G382" s="114" t="s">
        <v>439</v>
      </c>
      <c r="H382" s="114" t="s">
        <v>902</v>
      </c>
      <c r="I382" s="114" t="s">
        <v>903</v>
      </c>
      <c r="J382" s="114" t="s">
        <v>1185</v>
      </c>
    </row>
    <row r="383" spans="1:10">
      <c r="A383" s="114" t="s">
        <v>866</v>
      </c>
      <c r="B383" s="114" t="s">
        <v>436</v>
      </c>
      <c r="C383" s="114" t="s">
        <v>437</v>
      </c>
      <c r="D383" s="114" t="s">
        <v>438</v>
      </c>
      <c r="E383">
        <v>9719</v>
      </c>
      <c r="F383" s="114" t="s">
        <v>907</v>
      </c>
      <c r="G383" s="114" t="s">
        <v>439</v>
      </c>
      <c r="H383" s="114" t="s">
        <v>459</v>
      </c>
      <c r="I383" s="114" t="s">
        <v>473</v>
      </c>
      <c r="J383" s="114" t="s">
        <v>1186</v>
      </c>
    </row>
    <row r="384" spans="1:10">
      <c r="A384" s="114" t="s">
        <v>866</v>
      </c>
      <c r="B384" s="114" t="s">
        <v>436</v>
      </c>
      <c r="C384" s="114" t="s">
        <v>437</v>
      </c>
      <c r="D384" s="114" t="s">
        <v>438</v>
      </c>
      <c r="E384">
        <v>9936</v>
      </c>
      <c r="F384" s="114" t="s">
        <v>908</v>
      </c>
      <c r="G384" s="114" t="s">
        <v>439</v>
      </c>
      <c r="H384" s="114" t="s">
        <v>457</v>
      </c>
      <c r="I384" s="114" t="s">
        <v>522</v>
      </c>
      <c r="J384" s="114" t="s">
        <v>909</v>
      </c>
    </row>
    <row r="385" spans="1:10">
      <c r="A385" s="114" t="s">
        <v>910</v>
      </c>
      <c r="B385" s="114" t="s">
        <v>436</v>
      </c>
      <c r="C385" s="114" t="s">
        <v>455</v>
      </c>
      <c r="D385" s="114" t="s">
        <v>443</v>
      </c>
      <c r="E385">
        <v>1430</v>
      </c>
      <c r="F385" s="114" t="s">
        <v>911</v>
      </c>
      <c r="G385" s="114" t="s">
        <v>439</v>
      </c>
      <c r="H385" s="114" t="s">
        <v>500</v>
      </c>
      <c r="I385">
        <v>94</v>
      </c>
    </row>
    <row r="386" spans="1:10">
      <c r="A386" s="114" t="s">
        <v>910</v>
      </c>
      <c r="B386" s="114" t="s">
        <v>436</v>
      </c>
      <c r="C386" s="114" t="s">
        <v>450</v>
      </c>
      <c r="D386" s="114" t="s">
        <v>438</v>
      </c>
      <c r="E386">
        <v>2734</v>
      </c>
      <c r="F386" s="114" t="s">
        <v>912</v>
      </c>
      <c r="G386" s="114" t="s">
        <v>439</v>
      </c>
      <c r="H386" s="114" t="s">
        <v>457</v>
      </c>
      <c r="I386">
        <v>423</v>
      </c>
    </row>
    <row r="387" spans="1:10">
      <c r="A387" s="114" t="s">
        <v>910</v>
      </c>
      <c r="B387" s="114" t="s">
        <v>436</v>
      </c>
      <c r="C387" s="114" t="s">
        <v>442</v>
      </c>
      <c r="D387" s="114" t="s">
        <v>438</v>
      </c>
      <c r="E387">
        <v>3168</v>
      </c>
      <c r="F387" s="114" t="s">
        <v>913</v>
      </c>
      <c r="G387" s="114" t="s">
        <v>439</v>
      </c>
      <c r="H387" s="114" t="s">
        <v>448</v>
      </c>
      <c r="I387">
        <v>65</v>
      </c>
    </row>
    <row r="388" spans="1:10">
      <c r="A388" s="114" t="s">
        <v>910</v>
      </c>
      <c r="B388" s="114" t="s">
        <v>436</v>
      </c>
      <c r="C388" s="114" t="s">
        <v>450</v>
      </c>
      <c r="D388" s="114" t="s">
        <v>438</v>
      </c>
      <c r="E388">
        <v>3186</v>
      </c>
      <c r="F388" s="114" t="s">
        <v>914</v>
      </c>
      <c r="G388" s="114" t="s">
        <v>439</v>
      </c>
      <c r="H388" s="114" t="s">
        <v>457</v>
      </c>
      <c r="I388">
        <v>879</v>
      </c>
    </row>
    <row r="389" spans="1:10">
      <c r="A389" s="114" t="s">
        <v>910</v>
      </c>
      <c r="B389" s="114" t="s">
        <v>436</v>
      </c>
      <c r="C389" s="114" t="s">
        <v>437</v>
      </c>
      <c r="D389" s="114" t="s">
        <v>438</v>
      </c>
      <c r="E389">
        <v>3353</v>
      </c>
      <c r="F389" s="114" t="s">
        <v>915</v>
      </c>
      <c r="G389" s="114" t="s">
        <v>445</v>
      </c>
      <c r="H389" s="114" t="s">
        <v>457</v>
      </c>
      <c r="I389">
        <v>176</v>
      </c>
    </row>
    <row r="390" spans="1:10">
      <c r="A390" s="114" t="s">
        <v>910</v>
      </c>
      <c r="B390" s="114" t="s">
        <v>436</v>
      </c>
      <c r="C390" s="114" t="s">
        <v>437</v>
      </c>
      <c r="D390" s="114" t="s">
        <v>438</v>
      </c>
      <c r="E390">
        <v>3382</v>
      </c>
      <c r="F390" s="114" t="s">
        <v>916</v>
      </c>
      <c r="G390" s="114" t="s">
        <v>439</v>
      </c>
      <c r="H390" s="114" t="s">
        <v>457</v>
      </c>
      <c r="I390" s="114" t="s">
        <v>917</v>
      </c>
      <c r="J390" s="114" t="s">
        <v>1187</v>
      </c>
    </row>
    <row r="391" spans="1:10">
      <c r="A391" s="114" t="s">
        <v>910</v>
      </c>
      <c r="B391" s="114" t="s">
        <v>436</v>
      </c>
      <c r="C391" s="114" t="s">
        <v>450</v>
      </c>
      <c r="D391" s="114" t="s">
        <v>438</v>
      </c>
      <c r="E391">
        <v>3454</v>
      </c>
      <c r="F391" s="114" t="s">
        <v>918</v>
      </c>
      <c r="G391" s="114" t="s">
        <v>439</v>
      </c>
      <c r="H391" s="114" t="s">
        <v>492</v>
      </c>
      <c r="I391">
        <v>186</v>
      </c>
    </row>
    <row r="392" spans="1:10">
      <c r="A392" s="114" t="s">
        <v>910</v>
      </c>
      <c r="B392" s="114" t="s">
        <v>436</v>
      </c>
      <c r="C392" s="114" t="s">
        <v>437</v>
      </c>
      <c r="D392" s="114" t="s">
        <v>438</v>
      </c>
      <c r="E392">
        <v>4429</v>
      </c>
      <c r="F392" s="114" t="s">
        <v>919</v>
      </c>
      <c r="G392" s="114" t="s">
        <v>461</v>
      </c>
      <c r="H392" s="114" t="s">
        <v>459</v>
      </c>
      <c r="I392">
        <v>233</v>
      </c>
    </row>
    <row r="393" spans="1:10">
      <c r="A393" s="114" t="s">
        <v>910</v>
      </c>
      <c r="B393" s="114" t="s">
        <v>436</v>
      </c>
      <c r="C393" s="114" t="s">
        <v>455</v>
      </c>
      <c r="D393" s="114" t="s">
        <v>443</v>
      </c>
      <c r="E393">
        <v>4430</v>
      </c>
      <c r="F393" s="114" t="s">
        <v>920</v>
      </c>
      <c r="G393" s="114" t="s">
        <v>452</v>
      </c>
      <c r="H393" s="114" t="s">
        <v>459</v>
      </c>
      <c r="I393">
        <v>49</v>
      </c>
    </row>
    <row r="394" spans="1:10">
      <c r="A394" s="114" t="s">
        <v>910</v>
      </c>
      <c r="B394" s="114" t="s">
        <v>436</v>
      </c>
      <c r="C394" s="114" t="s">
        <v>455</v>
      </c>
      <c r="D394" s="114" t="s">
        <v>438</v>
      </c>
      <c r="E394">
        <v>4443</v>
      </c>
      <c r="F394" s="114" t="s">
        <v>921</v>
      </c>
      <c r="G394" s="114" t="s">
        <v>461</v>
      </c>
      <c r="H394" s="114" t="s">
        <v>459</v>
      </c>
      <c r="I394" s="114" t="s">
        <v>522</v>
      </c>
      <c r="J394" s="114" t="s">
        <v>1188</v>
      </c>
    </row>
    <row r="395" spans="1:10">
      <c r="A395" s="114" t="s">
        <v>910</v>
      </c>
      <c r="B395" s="114" t="s">
        <v>436</v>
      </c>
      <c r="C395" s="114" t="s">
        <v>442</v>
      </c>
      <c r="D395" s="114" t="s">
        <v>443</v>
      </c>
      <c r="E395">
        <v>6264</v>
      </c>
      <c r="F395" s="114" t="s">
        <v>923</v>
      </c>
      <c r="G395" s="114" t="s">
        <v>439</v>
      </c>
      <c r="H395" s="114" t="s">
        <v>477</v>
      </c>
      <c r="I395">
        <v>138</v>
      </c>
    </row>
    <row r="396" spans="1:10">
      <c r="A396" s="114" t="s">
        <v>910</v>
      </c>
      <c r="B396" s="114" t="s">
        <v>436</v>
      </c>
      <c r="C396" s="114" t="s">
        <v>455</v>
      </c>
      <c r="D396" s="114" t="s">
        <v>443</v>
      </c>
      <c r="E396">
        <v>6496</v>
      </c>
      <c r="F396" s="114" t="s">
        <v>924</v>
      </c>
      <c r="G396" s="114" t="s">
        <v>452</v>
      </c>
      <c r="H396" s="114" t="s">
        <v>477</v>
      </c>
      <c r="I396">
        <v>108</v>
      </c>
    </row>
    <row r="397" spans="1:10">
      <c r="A397" s="114" t="s">
        <v>910</v>
      </c>
      <c r="B397" s="114" t="s">
        <v>436</v>
      </c>
      <c r="C397" s="114" t="s">
        <v>437</v>
      </c>
      <c r="D397" s="114" t="s">
        <v>438</v>
      </c>
      <c r="E397">
        <v>8008</v>
      </c>
      <c r="F397" s="114" t="s">
        <v>925</v>
      </c>
      <c r="G397" s="114" t="s">
        <v>439</v>
      </c>
      <c r="H397" s="114" t="s">
        <v>457</v>
      </c>
      <c r="I397">
        <v>628</v>
      </c>
    </row>
    <row r="398" spans="1:10">
      <c r="A398" s="114" t="s">
        <v>910</v>
      </c>
      <c r="B398" s="114" t="s">
        <v>436</v>
      </c>
      <c r="C398" s="114" t="s">
        <v>437</v>
      </c>
      <c r="D398" s="114" t="s">
        <v>438</v>
      </c>
      <c r="E398">
        <v>8125</v>
      </c>
      <c r="F398" s="114" t="s">
        <v>926</v>
      </c>
      <c r="G398" s="114" t="s">
        <v>439</v>
      </c>
      <c r="H398" s="114" t="s">
        <v>448</v>
      </c>
      <c r="I398" s="114">
        <v>569</v>
      </c>
      <c r="J398" s="114"/>
    </row>
    <row r="399" spans="1:10">
      <c r="A399" s="114" t="s">
        <v>927</v>
      </c>
      <c r="B399" s="114" t="s">
        <v>436</v>
      </c>
      <c r="C399" s="114" t="s">
        <v>455</v>
      </c>
      <c r="D399" s="114" t="s">
        <v>438</v>
      </c>
      <c r="E399">
        <v>1377</v>
      </c>
      <c r="F399" s="114" t="s">
        <v>928</v>
      </c>
      <c r="G399" s="114" t="s">
        <v>439</v>
      </c>
      <c r="H399" s="114" t="s">
        <v>608</v>
      </c>
      <c r="I399" s="114" t="s">
        <v>522</v>
      </c>
      <c r="J399" s="114" t="s">
        <v>1104</v>
      </c>
    </row>
    <row r="400" spans="1:10">
      <c r="A400" s="114" t="s">
        <v>927</v>
      </c>
      <c r="B400" s="114" t="s">
        <v>436</v>
      </c>
      <c r="C400" s="114" t="s">
        <v>455</v>
      </c>
      <c r="D400" s="114" t="s">
        <v>438</v>
      </c>
      <c r="E400">
        <v>1887</v>
      </c>
      <c r="F400" s="114" t="s">
        <v>929</v>
      </c>
      <c r="G400" s="114" t="s">
        <v>439</v>
      </c>
      <c r="H400" s="114" t="s">
        <v>500</v>
      </c>
      <c r="I400" s="114">
        <v>622</v>
      </c>
      <c r="J400" s="114"/>
    </row>
    <row r="401" spans="1:10">
      <c r="A401" s="114" t="s">
        <v>927</v>
      </c>
      <c r="B401" s="114" t="s">
        <v>436</v>
      </c>
      <c r="C401" s="114" t="s">
        <v>437</v>
      </c>
      <c r="D401" s="114" t="s">
        <v>443</v>
      </c>
      <c r="E401">
        <v>2294</v>
      </c>
      <c r="F401" s="114" t="s">
        <v>930</v>
      </c>
      <c r="G401" s="114" t="s">
        <v>445</v>
      </c>
      <c r="H401" s="114" t="s">
        <v>440</v>
      </c>
      <c r="I401" s="114">
        <v>316</v>
      </c>
      <c r="J401" s="114"/>
    </row>
    <row r="402" spans="1:10">
      <c r="A402" s="114" t="s">
        <v>927</v>
      </c>
      <c r="B402" s="114" t="s">
        <v>436</v>
      </c>
      <c r="C402" s="114" t="s">
        <v>455</v>
      </c>
      <c r="D402" s="114" t="s">
        <v>443</v>
      </c>
      <c r="E402">
        <v>2303</v>
      </c>
      <c r="F402" s="114" t="s">
        <v>931</v>
      </c>
      <c r="G402" s="114" t="s">
        <v>445</v>
      </c>
      <c r="H402" s="114" t="s">
        <v>459</v>
      </c>
      <c r="I402">
        <v>49</v>
      </c>
    </row>
    <row r="403" spans="1:10">
      <c r="A403" s="114" t="s">
        <v>927</v>
      </c>
      <c r="B403" s="114" t="s">
        <v>436</v>
      </c>
      <c r="C403" s="114" t="s">
        <v>455</v>
      </c>
      <c r="D403" s="114" t="s">
        <v>438</v>
      </c>
      <c r="E403">
        <v>2462</v>
      </c>
      <c r="F403" s="114" t="s">
        <v>932</v>
      </c>
      <c r="G403" s="114" t="s">
        <v>439</v>
      </c>
      <c r="H403" s="114" t="s">
        <v>446</v>
      </c>
      <c r="I403">
        <v>354</v>
      </c>
    </row>
    <row r="404" spans="1:10">
      <c r="A404" s="114" t="s">
        <v>927</v>
      </c>
      <c r="B404" s="114" t="s">
        <v>436</v>
      </c>
      <c r="C404" s="114" t="s">
        <v>450</v>
      </c>
      <c r="D404" s="114" t="s">
        <v>438</v>
      </c>
      <c r="E404">
        <v>2698</v>
      </c>
      <c r="F404" s="114" t="s">
        <v>933</v>
      </c>
      <c r="G404" s="114" t="s">
        <v>439</v>
      </c>
      <c r="H404" s="114" t="s">
        <v>457</v>
      </c>
      <c r="I404">
        <v>276</v>
      </c>
    </row>
    <row r="405" spans="1:10">
      <c r="A405" s="114" t="s">
        <v>927</v>
      </c>
      <c r="B405" s="114" t="s">
        <v>436</v>
      </c>
      <c r="C405" s="114" t="s">
        <v>455</v>
      </c>
      <c r="D405" s="114" t="s">
        <v>443</v>
      </c>
      <c r="E405">
        <v>3297</v>
      </c>
      <c r="F405" s="114" t="s">
        <v>934</v>
      </c>
      <c r="G405" s="114" t="s">
        <v>445</v>
      </c>
      <c r="H405" s="114" t="s">
        <v>492</v>
      </c>
      <c r="I405">
        <v>29</v>
      </c>
    </row>
    <row r="406" spans="1:10">
      <c r="A406" s="114" t="s">
        <v>927</v>
      </c>
      <c r="B406" s="114" t="s">
        <v>436</v>
      </c>
      <c r="C406" s="114" t="s">
        <v>450</v>
      </c>
      <c r="D406" s="114" t="s">
        <v>443</v>
      </c>
      <c r="E406">
        <v>3377</v>
      </c>
      <c r="F406" s="114" t="s">
        <v>935</v>
      </c>
      <c r="G406" s="114" t="s">
        <v>452</v>
      </c>
      <c r="H406" s="114" t="s">
        <v>448</v>
      </c>
      <c r="I406">
        <v>29</v>
      </c>
    </row>
    <row r="407" spans="1:10">
      <c r="A407" s="114" t="s">
        <v>927</v>
      </c>
      <c r="B407" s="114" t="s">
        <v>436</v>
      </c>
      <c r="C407" s="114" t="s">
        <v>437</v>
      </c>
      <c r="D407" s="114" t="s">
        <v>438</v>
      </c>
      <c r="E407">
        <v>3387</v>
      </c>
      <c r="F407" s="114" t="s">
        <v>936</v>
      </c>
      <c r="G407" s="114" t="s">
        <v>439</v>
      </c>
      <c r="H407" s="114" t="s">
        <v>457</v>
      </c>
      <c r="I407" s="114" t="s">
        <v>522</v>
      </c>
      <c r="J407" s="114" t="s">
        <v>1189</v>
      </c>
    </row>
    <row r="408" spans="1:10">
      <c r="A408" s="114" t="s">
        <v>927</v>
      </c>
      <c r="B408" s="114" t="s">
        <v>436</v>
      </c>
      <c r="C408" s="114" t="s">
        <v>437</v>
      </c>
      <c r="D408" s="114" t="s">
        <v>438</v>
      </c>
      <c r="E408">
        <v>3548</v>
      </c>
      <c r="F408" s="114" t="s">
        <v>937</v>
      </c>
      <c r="G408" s="114" t="s">
        <v>439</v>
      </c>
      <c r="H408" s="114" t="s">
        <v>457</v>
      </c>
      <c r="I408">
        <v>339</v>
      </c>
    </row>
    <row r="409" spans="1:10">
      <c r="A409" s="114" t="s">
        <v>927</v>
      </c>
      <c r="B409" s="114" t="s">
        <v>436</v>
      </c>
      <c r="C409" s="114" t="s">
        <v>437</v>
      </c>
      <c r="D409" s="114" t="s">
        <v>443</v>
      </c>
      <c r="E409">
        <v>3557</v>
      </c>
      <c r="F409" s="114" t="s">
        <v>938</v>
      </c>
      <c r="G409" s="114" t="s">
        <v>461</v>
      </c>
      <c r="H409" s="114" t="s">
        <v>457</v>
      </c>
      <c r="I409">
        <v>46</v>
      </c>
    </row>
    <row r="410" spans="1:10">
      <c r="A410" s="114" t="s">
        <v>927</v>
      </c>
      <c r="B410" s="114" t="s">
        <v>436</v>
      </c>
      <c r="C410" s="114" t="s">
        <v>437</v>
      </c>
      <c r="D410" s="114" t="s">
        <v>443</v>
      </c>
      <c r="E410">
        <v>3996</v>
      </c>
      <c r="F410" s="114" t="s">
        <v>939</v>
      </c>
      <c r="G410" s="114" t="s">
        <v>439</v>
      </c>
      <c r="H410" s="114" t="s">
        <v>459</v>
      </c>
      <c r="I410">
        <v>196</v>
      </c>
    </row>
    <row r="411" spans="1:10">
      <c r="A411" s="114" t="s">
        <v>927</v>
      </c>
      <c r="B411" s="114" t="s">
        <v>436</v>
      </c>
      <c r="C411" s="114" t="s">
        <v>442</v>
      </c>
      <c r="D411" s="114" t="s">
        <v>438</v>
      </c>
      <c r="E411">
        <v>4433</v>
      </c>
      <c r="F411" s="114" t="s">
        <v>940</v>
      </c>
      <c r="G411" s="114" t="s">
        <v>439</v>
      </c>
      <c r="H411" s="114" t="s">
        <v>459</v>
      </c>
      <c r="I411">
        <v>286</v>
      </c>
    </row>
    <row r="412" spans="1:10">
      <c r="A412" s="114" t="s">
        <v>927</v>
      </c>
      <c r="B412" s="114" t="s">
        <v>436</v>
      </c>
      <c r="C412" s="114" t="s">
        <v>437</v>
      </c>
      <c r="D412" s="114" t="s">
        <v>443</v>
      </c>
      <c r="E412">
        <v>4434</v>
      </c>
      <c r="F412" s="114" t="s">
        <v>941</v>
      </c>
      <c r="G412" s="114" t="s">
        <v>461</v>
      </c>
      <c r="H412" s="114" t="s">
        <v>459</v>
      </c>
      <c r="I412">
        <v>271</v>
      </c>
    </row>
    <row r="413" spans="1:10">
      <c r="A413" s="114" t="s">
        <v>927</v>
      </c>
      <c r="B413" s="114" t="s">
        <v>436</v>
      </c>
      <c r="C413" s="114" t="s">
        <v>442</v>
      </c>
      <c r="D413" s="114" t="s">
        <v>438</v>
      </c>
      <c r="E413">
        <v>4440</v>
      </c>
      <c r="F413" s="114" t="s">
        <v>942</v>
      </c>
      <c r="G413" s="114" t="s">
        <v>461</v>
      </c>
      <c r="H413" s="114" t="s">
        <v>459</v>
      </c>
      <c r="I413">
        <v>78</v>
      </c>
    </row>
    <row r="414" spans="1:10">
      <c r="A414" s="114" t="s">
        <v>927</v>
      </c>
      <c r="B414" s="114" t="s">
        <v>436</v>
      </c>
      <c r="C414" s="114" t="s">
        <v>455</v>
      </c>
      <c r="D414" s="114" t="s">
        <v>438</v>
      </c>
      <c r="E414">
        <v>5967</v>
      </c>
      <c r="F414" s="114" t="s">
        <v>943</v>
      </c>
      <c r="G414" s="114" t="s">
        <v>452</v>
      </c>
      <c r="H414" s="114" t="s">
        <v>469</v>
      </c>
      <c r="I414">
        <v>63</v>
      </c>
    </row>
    <row r="415" spans="1:10">
      <c r="A415" s="114" t="s">
        <v>927</v>
      </c>
      <c r="B415" s="114" t="s">
        <v>436</v>
      </c>
      <c r="C415" s="114" t="s">
        <v>437</v>
      </c>
      <c r="D415" s="114" t="s">
        <v>438</v>
      </c>
      <c r="E415">
        <v>6173</v>
      </c>
      <c r="F415" s="114" t="s">
        <v>944</v>
      </c>
      <c r="G415" s="114" t="s">
        <v>461</v>
      </c>
      <c r="H415" s="114" t="s">
        <v>446</v>
      </c>
      <c r="I415">
        <v>25</v>
      </c>
    </row>
    <row r="416" spans="1:10">
      <c r="A416" s="114" t="s">
        <v>927</v>
      </c>
      <c r="B416" s="114" t="s">
        <v>436</v>
      </c>
      <c r="C416" s="114" t="s">
        <v>455</v>
      </c>
      <c r="D416" s="114" t="s">
        <v>438</v>
      </c>
      <c r="E416">
        <v>6489</v>
      </c>
      <c r="F416" s="114" t="s">
        <v>945</v>
      </c>
      <c r="G416" s="114" t="s">
        <v>439</v>
      </c>
      <c r="H416" s="114" t="s">
        <v>477</v>
      </c>
      <c r="I416">
        <v>84</v>
      </c>
    </row>
    <row r="417" spans="1:10">
      <c r="A417" s="114" t="s">
        <v>927</v>
      </c>
      <c r="B417" s="114" t="s">
        <v>436</v>
      </c>
      <c r="C417" s="114" t="s">
        <v>437</v>
      </c>
      <c r="D417" s="114" t="s">
        <v>438</v>
      </c>
      <c r="E417">
        <v>6543</v>
      </c>
      <c r="F417" s="114" t="s">
        <v>946</v>
      </c>
      <c r="G417" s="114" t="s">
        <v>445</v>
      </c>
      <c r="H417" s="114" t="s">
        <v>446</v>
      </c>
      <c r="I417">
        <v>26</v>
      </c>
    </row>
    <row r="418" spans="1:10">
      <c r="A418" s="114" t="s">
        <v>927</v>
      </c>
      <c r="B418" s="114" t="s">
        <v>436</v>
      </c>
      <c r="C418" s="114" t="s">
        <v>437</v>
      </c>
      <c r="D418" s="114" t="s">
        <v>438</v>
      </c>
      <c r="E418">
        <v>7049</v>
      </c>
      <c r="F418" s="114" t="s">
        <v>947</v>
      </c>
      <c r="G418" s="114" t="s">
        <v>461</v>
      </c>
      <c r="H418" s="114" t="s">
        <v>446</v>
      </c>
      <c r="I418">
        <v>137</v>
      </c>
    </row>
    <row r="419" spans="1:10">
      <c r="A419" s="114" t="s">
        <v>927</v>
      </c>
      <c r="B419" s="114" t="s">
        <v>436</v>
      </c>
      <c r="C419" s="114" t="s">
        <v>437</v>
      </c>
      <c r="D419" s="114" t="s">
        <v>438</v>
      </c>
      <c r="E419">
        <v>7058</v>
      </c>
      <c r="F419" s="114" t="s">
        <v>948</v>
      </c>
      <c r="G419" s="114" t="s">
        <v>445</v>
      </c>
      <c r="H419" s="114" t="s">
        <v>446</v>
      </c>
      <c r="I419">
        <v>70</v>
      </c>
    </row>
    <row r="420" spans="1:10">
      <c r="A420" s="114" t="s">
        <v>927</v>
      </c>
      <c r="B420" s="114" t="s">
        <v>436</v>
      </c>
      <c r="C420" s="114" t="s">
        <v>442</v>
      </c>
      <c r="D420" s="114" t="s">
        <v>438</v>
      </c>
      <c r="E420">
        <v>7065</v>
      </c>
      <c r="F420" s="114" t="s">
        <v>949</v>
      </c>
      <c r="G420" s="114" t="s">
        <v>452</v>
      </c>
      <c r="H420" s="114" t="s">
        <v>446</v>
      </c>
      <c r="I420">
        <v>188</v>
      </c>
    </row>
    <row r="421" spans="1:10">
      <c r="A421" s="114" t="s">
        <v>927</v>
      </c>
      <c r="B421" s="114" t="s">
        <v>436</v>
      </c>
      <c r="C421" s="114" t="s">
        <v>455</v>
      </c>
      <c r="D421" s="114" t="s">
        <v>443</v>
      </c>
      <c r="E421">
        <v>7673</v>
      </c>
      <c r="F421" s="114" t="s">
        <v>950</v>
      </c>
      <c r="G421" s="114" t="s">
        <v>452</v>
      </c>
      <c r="H421" s="114" t="s">
        <v>448</v>
      </c>
      <c r="I421">
        <v>54</v>
      </c>
    </row>
    <row r="422" spans="1:10">
      <c r="A422" s="114" t="s">
        <v>927</v>
      </c>
      <c r="B422" s="114" t="s">
        <v>436</v>
      </c>
      <c r="C422" s="114" t="s">
        <v>437</v>
      </c>
      <c r="D422" s="114" t="s">
        <v>438</v>
      </c>
      <c r="E422">
        <v>7811</v>
      </c>
      <c r="F422" s="114" t="s">
        <v>951</v>
      </c>
      <c r="G422" s="114" t="s">
        <v>439</v>
      </c>
      <c r="H422" s="114" t="s">
        <v>479</v>
      </c>
      <c r="I422" s="114">
        <v>123</v>
      </c>
      <c r="J422" s="114"/>
    </row>
    <row r="423" spans="1:10">
      <c r="A423" s="114" t="s">
        <v>952</v>
      </c>
      <c r="B423" s="114" t="s">
        <v>436</v>
      </c>
      <c r="C423" s="114" t="s">
        <v>437</v>
      </c>
      <c r="D423" s="114" t="s">
        <v>438</v>
      </c>
      <c r="E423">
        <v>1719</v>
      </c>
      <c r="F423" s="114" t="s">
        <v>953</v>
      </c>
      <c r="G423" s="114" t="s">
        <v>439</v>
      </c>
      <c r="H423" s="114" t="s">
        <v>500</v>
      </c>
      <c r="I423" s="114" t="s">
        <v>522</v>
      </c>
      <c r="J423" s="114" t="s">
        <v>1190</v>
      </c>
    </row>
    <row r="424" spans="1:10">
      <c r="A424" s="114" t="s">
        <v>952</v>
      </c>
      <c r="B424" s="114" t="s">
        <v>436</v>
      </c>
      <c r="C424" s="114" t="s">
        <v>437</v>
      </c>
      <c r="D424" s="114" t="s">
        <v>438</v>
      </c>
      <c r="E424">
        <v>1812</v>
      </c>
      <c r="F424" s="114" t="s">
        <v>954</v>
      </c>
      <c r="G424" s="114" t="s">
        <v>439</v>
      </c>
      <c r="H424" s="114" t="s">
        <v>500</v>
      </c>
      <c r="I424" s="114" t="s">
        <v>955</v>
      </c>
      <c r="J424" s="114" t="s">
        <v>1191</v>
      </c>
    </row>
    <row r="425" spans="1:10">
      <c r="A425" s="114" t="s">
        <v>952</v>
      </c>
      <c r="B425" s="114" t="s">
        <v>436</v>
      </c>
      <c r="C425" s="114" t="s">
        <v>437</v>
      </c>
      <c r="D425" s="114" t="s">
        <v>438</v>
      </c>
      <c r="E425">
        <v>1824</v>
      </c>
      <c r="F425" s="114" t="s">
        <v>956</v>
      </c>
      <c r="G425" s="114" t="s">
        <v>439</v>
      </c>
      <c r="H425" s="114" t="s">
        <v>500</v>
      </c>
      <c r="I425" s="114" t="s">
        <v>522</v>
      </c>
      <c r="J425" s="114" t="s">
        <v>1192</v>
      </c>
    </row>
    <row r="426" spans="1:10">
      <c r="A426" s="114" t="s">
        <v>952</v>
      </c>
      <c r="B426" s="114" t="s">
        <v>436</v>
      </c>
      <c r="C426" s="114" t="s">
        <v>437</v>
      </c>
      <c r="D426" s="114" t="s">
        <v>438</v>
      </c>
      <c r="E426">
        <v>1860</v>
      </c>
      <c r="F426" s="114" t="s">
        <v>957</v>
      </c>
      <c r="G426" s="114" t="s">
        <v>439</v>
      </c>
      <c r="H426" s="114" t="s">
        <v>500</v>
      </c>
      <c r="I426" s="114" t="s">
        <v>482</v>
      </c>
      <c r="J426" s="114" t="s">
        <v>1193</v>
      </c>
    </row>
    <row r="427" spans="1:10">
      <c r="A427" s="114" t="s">
        <v>952</v>
      </c>
      <c r="B427" s="114" t="s">
        <v>436</v>
      </c>
      <c r="C427" s="114" t="s">
        <v>437</v>
      </c>
      <c r="D427" s="114" t="s">
        <v>438</v>
      </c>
      <c r="E427">
        <v>1964</v>
      </c>
      <c r="F427" s="114" t="s">
        <v>958</v>
      </c>
      <c r="G427" s="114" t="s">
        <v>439</v>
      </c>
      <c r="H427" s="114" t="s">
        <v>500</v>
      </c>
      <c r="I427">
        <v>133</v>
      </c>
    </row>
    <row r="428" spans="1:10">
      <c r="A428" s="114" t="s">
        <v>952</v>
      </c>
      <c r="B428" s="114" t="s">
        <v>436</v>
      </c>
      <c r="C428" s="114" t="s">
        <v>437</v>
      </c>
      <c r="D428" s="114" t="s">
        <v>438</v>
      </c>
      <c r="E428">
        <v>2108</v>
      </c>
      <c r="F428" s="114" t="s">
        <v>959</v>
      </c>
      <c r="G428" s="114" t="s">
        <v>439</v>
      </c>
      <c r="H428" s="114" t="s">
        <v>440</v>
      </c>
      <c r="I428">
        <v>317</v>
      </c>
    </row>
    <row r="429" spans="1:10">
      <c r="A429" s="114" t="s">
        <v>952</v>
      </c>
      <c r="B429" s="114" t="s">
        <v>436</v>
      </c>
      <c r="C429" s="114" t="s">
        <v>437</v>
      </c>
      <c r="D429" s="114" t="s">
        <v>438</v>
      </c>
      <c r="E429">
        <v>2173</v>
      </c>
      <c r="F429" s="114" t="s">
        <v>1194</v>
      </c>
      <c r="G429" s="114" t="s">
        <v>445</v>
      </c>
      <c r="H429" s="114" t="s">
        <v>446</v>
      </c>
      <c r="I429">
        <v>54</v>
      </c>
    </row>
    <row r="430" spans="1:10">
      <c r="A430" s="114" t="s">
        <v>952</v>
      </c>
      <c r="B430" s="114" t="s">
        <v>436</v>
      </c>
      <c r="C430" s="114" t="s">
        <v>455</v>
      </c>
      <c r="D430" s="114" t="s">
        <v>438</v>
      </c>
      <c r="E430">
        <v>2180</v>
      </c>
      <c r="F430" s="114" t="s">
        <v>960</v>
      </c>
      <c r="G430" s="114" t="s">
        <v>439</v>
      </c>
      <c r="H430" s="114" t="s">
        <v>446</v>
      </c>
      <c r="I430">
        <v>171</v>
      </c>
    </row>
    <row r="431" spans="1:10">
      <c r="A431" s="114" t="s">
        <v>952</v>
      </c>
      <c r="B431" s="114" t="s">
        <v>436</v>
      </c>
      <c r="C431" s="114" t="s">
        <v>437</v>
      </c>
      <c r="D431" s="114" t="s">
        <v>438</v>
      </c>
      <c r="E431">
        <v>2288</v>
      </c>
      <c r="F431" s="114" t="s">
        <v>961</v>
      </c>
      <c r="G431" s="114" t="s">
        <v>439</v>
      </c>
      <c r="H431" s="114" t="s">
        <v>440</v>
      </c>
      <c r="I431">
        <v>622</v>
      </c>
    </row>
    <row r="432" spans="1:10">
      <c r="A432" s="114" t="s">
        <v>952</v>
      </c>
      <c r="B432" s="114" t="s">
        <v>436</v>
      </c>
      <c r="C432" s="114" t="s">
        <v>437</v>
      </c>
      <c r="D432" s="114" t="s">
        <v>438</v>
      </c>
      <c r="E432">
        <v>2349</v>
      </c>
      <c r="F432" s="114" t="s">
        <v>1195</v>
      </c>
      <c r="G432" s="114" t="s">
        <v>445</v>
      </c>
      <c r="H432" s="114" t="s">
        <v>459</v>
      </c>
      <c r="I432">
        <v>177</v>
      </c>
    </row>
    <row r="433" spans="1:10">
      <c r="A433" s="114" t="s">
        <v>952</v>
      </c>
      <c r="B433" s="114" t="s">
        <v>436</v>
      </c>
      <c r="C433" s="114" t="s">
        <v>450</v>
      </c>
      <c r="D433" s="114" t="s">
        <v>438</v>
      </c>
      <c r="E433">
        <v>2675</v>
      </c>
      <c r="F433" s="114" t="s">
        <v>962</v>
      </c>
      <c r="G433" s="114" t="s">
        <v>452</v>
      </c>
      <c r="H433" s="114" t="s">
        <v>457</v>
      </c>
      <c r="I433" s="114">
        <v>117</v>
      </c>
      <c r="J433" s="114"/>
    </row>
    <row r="434" spans="1:10">
      <c r="A434" s="114" t="s">
        <v>952</v>
      </c>
      <c r="B434" s="114" t="s">
        <v>436</v>
      </c>
      <c r="C434" s="114" t="s">
        <v>437</v>
      </c>
      <c r="D434" s="114" t="s">
        <v>438</v>
      </c>
      <c r="E434">
        <v>3447</v>
      </c>
      <c r="F434" s="114" t="s">
        <v>963</v>
      </c>
      <c r="G434" s="114" t="s">
        <v>439</v>
      </c>
      <c r="H434" s="114" t="s">
        <v>469</v>
      </c>
      <c r="I434" s="114">
        <v>150</v>
      </c>
      <c r="J434" s="114"/>
    </row>
    <row r="435" spans="1:10">
      <c r="A435" s="114" t="s">
        <v>952</v>
      </c>
      <c r="B435" s="114" t="s">
        <v>436</v>
      </c>
      <c r="C435" s="114" t="s">
        <v>437</v>
      </c>
      <c r="D435" s="114" t="s">
        <v>443</v>
      </c>
      <c r="E435">
        <v>3464</v>
      </c>
      <c r="F435" s="114" t="s">
        <v>964</v>
      </c>
      <c r="G435" s="114" t="s">
        <v>439</v>
      </c>
      <c r="H435" s="114" t="s">
        <v>492</v>
      </c>
      <c r="I435" s="114">
        <v>82</v>
      </c>
      <c r="J435" s="114"/>
    </row>
    <row r="436" spans="1:10">
      <c r="A436" s="114" t="s">
        <v>952</v>
      </c>
      <c r="B436" s="114" t="s">
        <v>436</v>
      </c>
      <c r="C436" s="114" t="s">
        <v>437</v>
      </c>
      <c r="D436" s="114" t="s">
        <v>443</v>
      </c>
      <c r="E436">
        <v>3467</v>
      </c>
      <c r="F436" s="114" t="s">
        <v>965</v>
      </c>
      <c r="G436" s="114" t="s">
        <v>439</v>
      </c>
      <c r="H436" s="114" t="s">
        <v>492</v>
      </c>
      <c r="I436">
        <v>29</v>
      </c>
    </row>
    <row r="437" spans="1:10">
      <c r="A437" s="114" t="s">
        <v>952</v>
      </c>
      <c r="B437" s="114" t="s">
        <v>436</v>
      </c>
      <c r="C437" s="114" t="s">
        <v>437</v>
      </c>
      <c r="D437" s="114" t="s">
        <v>438</v>
      </c>
      <c r="E437">
        <v>3943</v>
      </c>
      <c r="F437" s="114" t="s">
        <v>966</v>
      </c>
      <c r="G437" s="114" t="s">
        <v>834</v>
      </c>
      <c r="H437" s="114" t="s">
        <v>535</v>
      </c>
      <c r="I437">
        <v>77</v>
      </c>
    </row>
    <row r="438" spans="1:10">
      <c r="A438" s="114" t="s">
        <v>952</v>
      </c>
      <c r="B438" s="114" t="s">
        <v>436</v>
      </c>
      <c r="C438" s="114" t="s">
        <v>437</v>
      </c>
      <c r="D438" s="114" t="s">
        <v>438</v>
      </c>
      <c r="E438">
        <v>4046</v>
      </c>
      <c r="F438" s="114" t="s">
        <v>967</v>
      </c>
      <c r="G438" s="114" t="s">
        <v>439</v>
      </c>
      <c r="H438" s="114" t="s">
        <v>463</v>
      </c>
      <c r="I438">
        <v>810</v>
      </c>
    </row>
    <row r="439" spans="1:10">
      <c r="A439" s="114" t="s">
        <v>952</v>
      </c>
      <c r="B439" s="114" t="s">
        <v>436</v>
      </c>
      <c r="C439" s="114" t="s">
        <v>437</v>
      </c>
      <c r="D439" s="114" t="s">
        <v>443</v>
      </c>
      <c r="E439">
        <v>4080</v>
      </c>
      <c r="F439" s="114" t="s">
        <v>968</v>
      </c>
      <c r="G439" s="114" t="s">
        <v>445</v>
      </c>
      <c r="H439" s="114" t="s">
        <v>463</v>
      </c>
      <c r="I439">
        <v>302</v>
      </c>
    </row>
    <row r="440" spans="1:10">
      <c r="A440" s="114" t="s">
        <v>952</v>
      </c>
      <c r="B440" s="114" t="s">
        <v>436</v>
      </c>
      <c r="C440" s="114" t="s">
        <v>442</v>
      </c>
      <c r="D440" s="114" t="s">
        <v>443</v>
      </c>
      <c r="E440">
        <v>4447</v>
      </c>
      <c r="F440" s="114" t="s">
        <v>969</v>
      </c>
      <c r="G440" s="114" t="s">
        <v>834</v>
      </c>
      <c r="H440" s="114" t="s">
        <v>459</v>
      </c>
      <c r="I440">
        <v>22</v>
      </c>
    </row>
    <row r="441" spans="1:10">
      <c r="A441" s="114" t="s">
        <v>952</v>
      </c>
      <c r="B441" s="114" t="s">
        <v>436</v>
      </c>
      <c r="C441" s="114" t="s">
        <v>437</v>
      </c>
      <c r="D441" s="114" t="s">
        <v>438</v>
      </c>
      <c r="E441">
        <v>4548</v>
      </c>
      <c r="F441" s="114" t="s">
        <v>970</v>
      </c>
      <c r="G441" s="114" t="s">
        <v>439</v>
      </c>
      <c r="H441" s="114" t="s">
        <v>589</v>
      </c>
      <c r="I441" s="114">
        <v>709</v>
      </c>
      <c r="J441" s="114"/>
    </row>
    <row r="442" spans="1:10">
      <c r="A442" s="114" t="s">
        <v>952</v>
      </c>
      <c r="B442" s="114" t="s">
        <v>436</v>
      </c>
      <c r="C442" s="114" t="s">
        <v>437</v>
      </c>
      <c r="D442" s="114" t="s">
        <v>438</v>
      </c>
      <c r="E442">
        <v>5192</v>
      </c>
      <c r="F442" s="114" t="s">
        <v>971</v>
      </c>
      <c r="G442" s="114" t="s">
        <v>439</v>
      </c>
      <c r="H442" s="114" t="s">
        <v>972</v>
      </c>
      <c r="I442">
        <v>691</v>
      </c>
    </row>
    <row r="443" spans="1:10">
      <c r="A443" s="114" t="s">
        <v>952</v>
      </c>
      <c r="B443" s="114" t="s">
        <v>436</v>
      </c>
      <c r="C443" s="114" t="s">
        <v>437</v>
      </c>
      <c r="D443" s="114" t="s">
        <v>438</v>
      </c>
      <c r="E443">
        <v>5964</v>
      </c>
      <c r="F443" s="114" t="s">
        <v>973</v>
      </c>
      <c r="G443" s="114" t="s">
        <v>452</v>
      </c>
      <c r="H443" s="114" t="s">
        <v>469</v>
      </c>
      <c r="I443">
        <v>22</v>
      </c>
    </row>
    <row r="444" spans="1:10">
      <c r="A444" s="114" t="s">
        <v>952</v>
      </c>
      <c r="B444" s="114" t="s">
        <v>436</v>
      </c>
      <c r="C444" s="114" t="s">
        <v>437</v>
      </c>
      <c r="D444" s="114" t="s">
        <v>438</v>
      </c>
      <c r="E444">
        <v>5989</v>
      </c>
      <c r="F444" s="114" t="s">
        <v>974</v>
      </c>
      <c r="G444" s="114" t="s">
        <v>439</v>
      </c>
      <c r="H444" s="114" t="s">
        <v>469</v>
      </c>
      <c r="I444">
        <v>210</v>
      </c>
    </row>
    <row r="445" spans="1:10">
      <c r="A445" s="114" t="s">
        <v>952</v>
      </c>
      <c r="B445" s="114" t="s">
        <v>436</v>
      </c>
      <c r="C445" s="114" t="s">
        <v>437</v>
      </c>
      <c r="D445" s="114" t="s">
        <v>438</v>
      </c>
      <c r="E445">
        <v>6240</v>
      </c>
      <c r="F445" s="114" t="s">
        <v>975</v>
      </c>
      <c r="G445" s="114" t="s">
        <v>439</v>
      </c>
      <c r="H445" s="114" t="s">
        <v>477</v>
      </c>
      <c r="I445">
        <v>648</v>
      </c>
    </row>
    <row r="446" spans="1:10">
      <c r="A446" s="114" t="s">
        <v>952</v>
      </c>
      <c r="B446" s="114" t="s">
        <v>436</v>
      </c>
      <c r="C446" s="114" t="s">
        <v>450</v>
      </c>
      <c r="D446" s="114" t="s">
        <v>438</v>
      </c>
      <c r="E446">
        <v>6537</v>
      </c>
      <c r="F446" s="114" t="s">
        <v>976</v>
      </c>
      <c r="G446" s="114" t="s">
        <v>461</v>
      </c>
      <c r="H446" s="114" t="s">
        <v>446</v>
      </c>
      <c r="I446">
        <v>64</v>
      </c>
    </row>
    <row r="447" spans="1:10">
      <c r="A447" s="114" t="s">
        <v>952</v>
      </c>
      <c r="B447" s="114" t="s">
        <v>436</v>
      </c>
      <c r="C447" s="114" t="s">
        <v>455</v>
      </c>
      <c r="D447" s="114" t="s">
        <v>438</v>
      </c>
      <c r="E447">
        <v>6662</v>
      </c>
      <c r="F447" s="114" t="s">
        <v>1196</v>
      </c>
      <c r="G447" s="114" t="s">
        <v>445</v>
      </c>
      <c r="H447" s="114" t="s">
        <v>490</v>
      </c>
      <c r="I447">
        <v>43</v>
      </c>
    </row>
    <row r="448" spans="1:10">
      <c r="A448" s="114" t="s">
        <v>952</v>
      </c>
      <c r="B448" s="114" t="s">
        <v>436</v>
      </c>
      <c r="C448" s="114" t="s">
        <v>437</v>
      </c>
      <c r="D448" s="114" t="s">
        <v>438</v>
      </c>
      <c r="E448">
        <v>6832</v>
      </c>
      <c r="F448" s="114" t="s">
        <v>977</v>
      </c>
      <c r="G448" s="114" t="s">
        <v>452</v>
      </c>
      <c r="H448" s="114" t="s">
        <v>490</v>
      </c>
      <c r="I448">
        <v>280</v>
      </c>
    </row>
    <row r="449" spans="1:10">
      <c r="A449" s="114" t="s">
        <v>952</v>
      </c>
      <c r="B449" s="114" t="s">
        <v>436</v>
      </c>
      <c r="C449" s="114" t="s">
        <v>437</v>
      </c>
      <c r="D449" s="114" t="s">
        <v>438</v>
      </c>
      <c r="E449">
        <v>7057</v>
      </c>
      <c r="F449" s="114" t="s">
        <v>978</v>
      </c>
      <c r="G449" s="114" t="s">
        <v>445</v>
      </c>
      <c r="H449" s="114" t="s">
        <v>446</v>
      </c>
      <c r="I449">
        <v>40</v>
      </c>
    </row>
    <row r="450" spans="1:10">
      <c r="A450" s="114" t="s">
        <v>952</v>
      </c>
      <c r="B450" s="114" t="s">
        <v>436</v>
      </c>
      <c r="C450" s="114" t="s">
        <v>437</v>
      </c>
      <c r="D450" s="114" t="s">
        <v>443</v>
      </c>
      <c r="E450">
        <v>7164</v>
      </c>
      <c r="F450" s="114" t="s">
        <v>979</v>
      </c>
      <c r="G450" s="114" t="s">
        <v>439</v>
      </c>
      <c r="H450" s="114" t="s">
        <v>539</v>
      </c>
      <c r="I450" s="114" t="s">
        <v>482</v>
      </c>
      <c r="J450" s="114" t="s">
        <v>1197</v>
      </c>
    </row>
    <row r="451" spans="1:10">
      <c r="A451" s="114" t="s">
        <v>952</v>
      </c>
      <c r="B451" s="114" t="s">
        <v>436</v>
      </c>
      <c r="C451" s="114" t="s">
        <v>437</v>
      </c>
      <c r="D451" s="114" t="s">
        <v>438</v>
      </c>
      <c r="E451">
        <v>7230</v>
      </c>
      <c r="F451" s="114" t="s">
        <v>980</v>
      </c>
      <c r="G451" s="114" t="s">
        <v>439</v>
      </c>
      <c r="H451" s="114" t="s">
        <v>518</v>
      </c>
      <c r="I451" s="114" t="s">
        <v>522</v>
      </c>
      <c r="J451" s="114" t="s">
        <v>981</v>
      </c>
    </row>
    <row r="452" spans="1:10">
      <c r="A452" s="114" t="s">
        <v>952</v>
      </c>
      <c r="B452" s="114" t="s">
        <v>436</v>
      </c>
      <c r="C452" s="114" t="s">
        <v>437</v>
      </c>
      <c r="D452" s="114" t="s">
        <v>438</v>
      </c>
      <c r="E452">
        <v>7259</v>
      </c>
      <c r="F452" s="114" t="s">
        <v>982</v>
      </c>
      <c r="G452" s="114" t="s">
        <v>439</v>
      </c>
      <c r="H452" s="114" t="s">
        <v>518</v>
      </c>
      <c r="I452" s="114" t="s">
        <v>983</v>
      </c>
      <c r="J452" s="114" t="s">
        <v>1198</v>
      </c>
    </row>
    <row r="453" spans="1:10">
      <c r="A453" s="114" t="s">
        <v>952</v>
      </c>
      <c r="B453" s="114" t="s">
        <v>436</v>
      </c>
      <c r="C453" s="114" t="s">
        <v>437</v>
      </c>
      <c r="D453" s="114" t="s">
        <v>443</v>
      </c>
      <c r="E453">
        <v>7481</v>
      </c>
      <c r="F453" s="114" t="s">
        <v>984</v>
      </c>
      <c r="G453" s="114" t="s">
        <v>439</v>
      </c>
      <c r="H453" s="114" t="s">
        <v>448</v>
      </c>
      <c r="I453">
        <v>133</v>
      </c>
    </row>
    <row r="454" spans="1:10">
      <c r="A454" s="114" t="s">
        <v>952</v>
      </c>
      <c r="B454" s="114" t="s">
        <v>436</v>
      </c>
      <c r="C454" s="114" t="s">
        <v>437</v>
      </c>
      <c r="D454" s="114" t="s">
        <v>438</v>
      </c>
      <c r="E454">
        <v>7702</v>
      </c>
      <c r="F454" s="114" t="s">
        <v>985</v>
      </c>
      <c r="G454" s="114" t="s">
        <v>439</v>
      </c>
      <c r="H454" s="114" t="s">
        <v>738</v>
      </c>
      <c r="I454">
        <v>180</v>
      </c>
    </row>
    <row r="455" spans="1:10">
      <c r="A455" s="114" t="s">
        <v>952</v>
      </c>
      <c r="B455" s="114" t="s">
        <v>436</v>
      </c>
      <c r="C455" s="114" t="s">
        <v>455</v>
      </c>
      <c r="D455" s="114" t="s">
        <v>438</v>
      </c>
      <c r="E455">
        <v>7813</v>
      </c>
      <c r="F455" s="114" t="s">
        <v>986</v>
      </c>
      <c r="G455" s="114" t="s">
        <v>461</v>
      </c>
      <c r="H455" s="114" t="s">
        <v>479</v>
      </c>
      <c r="I455">
        <v>55</v>
      </c>
    </row>
    <row r="456" spans="1:10">
      <c r="A456" s="114" t="s">
        <v>952</v>
      </c>
      <c r="B456" s="114" t="s">
        <v>436</v>
      </c>
      <c r="C456" s="114" t="s">
        <v>450</v>
      </c>
      <c r="D456" s="114" t="s">
        <v>438</v>
      </c>
      <c r="E456">
        <v>7963</v>
      </c>
      <c r="F456" s="114" t="s">
        <v>987</v>
      </c>
      <c r="G456" s="114" t="s">
        <v>445</v>
      </c>
      <c r="H456" s="114" t="s">
        <v>479</v>
      </c>
      <c r="I456">
        <v>68</v>
      </c>
    </row>
    <row r="457" spans="1:10">
      <c r="A457" s="114" t="s">
        <v>952</v>
      </c>
      <c r="B457" s="114" t="s">
        <v>436</v>
      </c>
      <c r="C457" s="114" t="s">
        <v>437</v>
      </c>
      <c r="D457" s="114" t="s">
        <v>438</v>
      </c>
      <c r="E457">
        <v>8138</v>
      </c>
      <c r="F457" s="114" t="s">
        <v>988</v>
      </c>
      <c r="G457" s="114" t="s">
        <v>452</v>
      </c>
      <c r="H457" s="114" t="s">
        <v>448</v>
      </c>
      <c r="I457">
        <v>44</v>
      </c>
    </row>
    <row r="458" spans="1:10">
      <c r="A458" s="114" t="s">
        <v>952</v>
      </c>
      <c r="B458" s="114" t="s">
        <v>436</v>
      </c>
      <c r="C458" s="114" t="s">
        <v>437</v>
      </c>
      <c r="D458" s="114" t="s">
        <v>438</v>
      </c>
      <c r="E458">
        <v>8153</v>
      </c>
      <c r="F458" s="114" t="s">
        <v>989</v>
      </c>
      <c r="G458" s="114" t="s">
        <v>439</v>
      </c>
      <c r="H458" s="114" t="s">
        <v>448</v>
      </c>
      <c r="I458">
        <v>980</v>
      </c>
    </row>
    <row r="459" spans="1:10">
      <c r="A459" s="114" t="s">
        <v>952</v>
      </c>
      <c r="B459" s="114" t="s">
        <v>436</v>
      </c>
      <c r="C459" s="114" t="s">
        <v>437</v>
      </c>
      <c r="D459" s="114" t="s">
        <v>438</v>
      </c>
      <c r="E459">
        <v>8226</v>
      </c>
      <c r="F459" s="114" t="s">
        <v>990</v>
      </c>
      <c r="G459" s="114" t="s">
        <v>452</v>
      </c>
      <c r="H459" s="114" t="s">
        <v>448</v>
      </c>
      <c r="I459">
        <v>29</v>
      </c>
    </row>
    <row r="460" spans="1:10">
      <c r="A460" s="114" t="s">
        <v>952</v>
      </c>
      <c r="B460" s="114" t="s">
        <v>436</v>
      </c>
      <c r="C460" s="114" t="s">
        <v>437</v>
      </c>
      <c r="D460" s="114" t="s">
        <v>438</v>
      </c>
      <c r="E460">
        <v>8281</v>
      </c>
      <c r="F460" s="114" t="s">
        <v>991</v>
      </c>
      <c r="G460" s="114" t="s">
        <v>439</v>
      </c>
      <c r="H460" s="114" t="s">
        <v>457</v>
      </c>
      <c r="I460">
        <v>612</v>
      </c>
    </row>
    <row r="461" spans="1:10">
      <c r="A461" s="114" t="s">
        <v>952</v>
      </c>
      <c r="B461" s="114" t="s">
        <v>436</v>
      </c>
      <c r="C461" s="114" t="s">
        <v>437</v>
      </c>
      <c r="D461" s="114" t="s">
        <v>438</v>
      </c>
      <c r="E461">
        <v>9001</v>
      </c>
      <c r="F461" s="114" t="s">
        <v>992</v>
      </c>
      <c r="G461" s="114" t="s">
        <v>439</v>
      </c>
      <c r="H461" s="114" t="s">
        <v>760</v>
      </c>
      <c r="I461" s="114" t="s">
        <v>740</v>
      </c>
      <c r="J461" s="114" t="s">
        <v>1199</v>
      </c>
    </row>
    <row r="462" spans="1:10">
      <c r="A462" s="114" t="s">
        <v>952</v>
      </c>
      <c r="B462" s="114" t="s">
        <v>436</v>
      </c>
      <c r="C462" s="114" t="s">
        <v>450</v>
      </c>
      <c r="D462" s="114" t="s">
        <v>443</v>
      </c>
      <c r="E462">
        <v>9284</v>
      </c>
      <c r="F462" s="114" t="s">
        <v>1200</v>
      </c>
      <c r="G462" s="114" t="s">
        <v>554</v>
      </c>
      <c r="H462" s="114" t="s">
        <v>555</v>
      </c>
      <c r="I462">
        <v>277</v>
      </c>
    </row>
    <row r="463" spans="1:10">
      <c r="A463" s="114" t="s">
        <v>952</v>
      </c>
      <c r="B463" s="114" t="s">
        <v>436</v>
      </c>
      <c r="C463" s="114" t="s">
        <v>437</v>
      </c>
      <c r="D463" s="114" t="s">
        <v>438</v>
      </c>
      <c r="E463">
        <v>9364</v>
      </c>
      <c r="F463" s="114" t="s">
        <v>993</v>
      </c>
      <c r="G463" s="114" t="s">
        <v>439</v>
      </c>
      <c r="H463" s="114" t="s">
        <v>994</v>
      </c>
      <c r="I463" s="114" t="s">
        <v>710</v>
      </c>
      <c r="J463" s="114" t="s">
        <v>1201</v>
      </c>
    </row>
    <row r="464" spans="1:10">
      <c r="A464" s="114" t="s">
        <v>952</v>
      </c>
      <c r="B464" s="114" t="s">
        <v>436</v>
      </c>
      <c r="C464" s="114" t="s">
        <v>437</v>
      </c>
      <c r="D464" s="114" t="s">
        <v>438</v>
      </c>
      <c r="E464">
        <v>9613</v>
      </c>
      <c r="F464" s="114" t="s">
        <v>995</v>
      </c>
      <c r="G464" s="114" t="s">
        <v>439</v>
      </c>
      <c r="H464" s="114" t="s">
        <v>459</v>
      </c>
      <c r="I464" s="114" t="s">
        <v>883</v>
      </c>
      <c r="J464" s="114" t="s">
        <v>1202</v>
      </c>
    </row>
    <row r="465" spans="1:10">
      <c r="A465" s="114" t="s">
        <v>952</v>
      </c>
      <c r="B465" s="114" t="s">
        <v>436</v>
      </c>
      <c r="C465" s="114" t="s">
        <v>437</v>
      </c>
      <c r="D465" s="114" t="s">
        <v>438</v>
      </c>
      <c r="E465">
        <v>9671</v>
      </c>
      <c r="F465" s="114" t="s">
        <v>996</v>
      </c>
      <c r="G465" s="114" t="s">
        <v>439</v>
      </c>
      <c r="H465" s="114" t="s">
        <v>446</v>
      </c>
      <c r="I465">
        <v>378</v>
      </c>
    </row>
    <row r="466" spans="1:10">
      <c r="A466" s="114" t="s">
        <v>952</v>
      </c>
      <c r="B466" s="114" t="s">
        <v>436</v>
      </c>
      <c r="C466" s="114" t="s">
        <v>437</v>
      </c>
      <c r="D466" s="114" t="s">
        <v>438</v>
      </c>
      <c r="E466">
        <v>9887</v>
      </c>
      <c r="F466" s="114" t="s">
        <v>997</v>
      </c>
      <c r="G466" s="114" t="s">
        <v>439</v>
      </c>
      <c r="H466" s="114" t="s">
        <v>457</v>
      </c>
      <c r="I466">
        <v>810</v>
      </c>
    </row>
    <row r="467" spans="1:10">
      <c r="A467" s="114" t="s">
        <v>952</v>
      </c>
      <c r="B467" s="114" t="s">
        <v>436</v>
      </c>
      <c r="C467" s="114" t="s">
        <v>437</v>
      </c>
      <c r="D467" s="114" t="s">
        <v>438</v>
      </c>
      <c r="E467">
        <v>9896</v>
      </c>
      <c r="F467" s="114" t="s">
        <v>998</v>
      </c>
      <c r="G467" s="114" t="s">
        <v>439</v>
      </c>
      <c r="H467" s="114" t="s">
        <v>448</v>
      </c>
      <c r="I467">
        <v>206</v>
      </c>
    </row>
    <row r="468" spans="1:10">
      <c r="A468" s="114" t="s">
        <v>999</v>
      </c>
      <c r="B468" s="114" t="s">
        <v>436</v>
      </c>
      <c r="C468" s="114" t="s">
        <v>437</v>
      </c>
      <c r="D468" s="114" t="s">
        <v>443</v>
      </c>
      <c r="E468">
        <v>1450</v>
      </c>
      <c r="F468" s="114" t="s">
        <v>1000</v>
      </c>
      <c r="G468" s="114" t="s">
        <v>445</v>
      </c>
      <c r="H468" s="114" t="s">
        <v>500</v>
      </c>
      <c r="I468">
        <v>53</v>
      </c>
    </row>
    <row r="469" spans="1:10">
      <c r="A469" s="114" t="s">
        <v>999</v>
      </c>
      <c r="B469" s="114" t="s">
        <v>436</v>
      </c>
      <c r="C469" s="114" t="s">
        <v>437</v>
      </c>
      <c r="D469" s="114" t="s">
        <v>438</v>
      </c>
      <c r="E469">
        <v>1451</v>
      </c>
      <c r="F469" s="114" t="s">
        <v>1001</v>
      </c>
      <c r="G469" s="114" t="s">
        <v>452</v>
      </c>
      <c r="H469" s="114" t="s">
        <v>500</v>
      </c>
      <c r="I469">
        <v>31</v>
      </c>
    </row>
    <row r="470" spans="1:10">
      <c r="A470" s="114" t="s">
        <v>999</v>
      </c>
      <c r="B470" s="114" t="s">
        <v>436</v>
      </c>
      <c r="C470" s="114" t="s">
        <v>450</v>
      </c>
      <c r="D470" s="114" t="s">
        <v>438</v>
      </c>
      <c r="E470">
        <v>1605</v>
      </c>
      <c r="F470" s="114" t="s">
        <v>1002</v>
      </c>
      <c r="G470" s="114" t="s">
        <v>439</v>
      </c>
      <c r="H470" s="114" t="s">
        <v>1003</v>
      </c>
      <c r="I470" s="114" t="s">
        <v>1004</v>
      </c>
      <c r="J470" s="114" t="s">
        <v>1203</v>
      </c>
    </row>
    <row r="471" spans="1:10">
      <c r="A471" s="114" t="s">
        <v>999</v>
      </c>
      <c r="B471" s="114" t="s">
        <v>436</v>
      </c>
      <c r="C471" s="114" t="s">
        <v>437</v>
      </c>
      <c r="D471" s="114" t="s">
        <v>438</v>
      </c>
      <c r="E471">
        <v>1866</v>
      </c>
      <c r="F471" s="114" t="s">
        <v>1005</v>
      </c>
      <c r="G471" s="114" t="s">
        <v>439</v>
      </c>
      <c r="H471" s="114" t="s">
        <v>500</v>
      </c>
      <c r="I471">
        <v>182</v>
      </c>
    </row>
    <row r="472" spans="1:10">
      <c r="A472" s="114" t="s">
        <v>999</v>
      </c>
      <c r="B472" s="114" t="s">
        <v>436</v>
      </c>
      <c r="C472" s="114" t="s">
        <v>450</v>
      </c>
      <c r="D472" s="114" t="s">
        <v>438</v>
      </c>
      <c r="E472">
        <v>1899</v>
      </c>
      <c r="F472" s="114" t="s">
        <v>1006</v>
      </c>
      <c r="G472" s="114" t="s">
        <v>439</v>
      </c>
      <c r="H472" s="114" t="s">
        <v>500</v>
      </c>
      <c r="I472">
        <v>431</v>
      </c>
    </row>
    <row r="473" spans="1:10">
      <c r="A473" s="114" t="s">
        <v>999</v>
      </c>
      <c r="B473" s="114" t="s">
        <v>436</v>
      </c>
      <c r="C473" s="114" t="s">
        <v>437</v>
      </c>
      <c r="D473" s="114" t="s">
        <v>438</v>
      </c>
      <c r="E473">
        <v>1952</v>
      </c>
      <c r="F473" s="114" t="s">
        <v>1007</v>
      </c>
      <c r="G473" s="114" t="s">
        <v>439</v>
      </c>
      <c r="H473" s="114" t="s">
        <v>500</v>
      </c>
      <c r="I473">
        <v>551</v>
      </c>
    </row>
    <row r="474" spans="1:10">
      <c r="A474" s="114" t="s">
        <v>999</v>
      </c>
      <c r="B474" s="114" t="s">
        <v>436</v>
      </c>
      <c r="C474" s="114" t="s">
        <v>437</v>
      </c>
      <c r="D474" s="114" t="s">
        <v>438</v>
      </c>
      <c r="E474">
        <v>2134</v>
      </c>
      <c r="F474" s="114" t="s">
        <v>1008</v>
      </c>
      <c r="G474" s="114" t="s">
        <v>445</v>
      </c>
      <c r="H474" s="114" t="s">
        <v>446</v>
      </c>
      <c r="I474">
        <v>41</v>
      </c>
    </row>
    <row r="475" spans="1:10">
      <c r="A475" s="114" t="s">
        <v>999</v>
      </c>
      <c r="B475" s="114" t="s">
        <v>436</v>
      </c>
      <c r="C475" s="114" t="s">
        <v>442</v>
      </c>
      <c r="D475" s="114" t="s">
        <v>438</v>
      </c>
      <c r="E475">
        <v>2974</v>
      </c>
      <c r="F475" s="114" t="s">
        <v>1009</v>
      </c>
      <c r="G475" s="114" t="s">
        <v>834</v>
      </c>
      <c r="H475" s="114" t="s">
        <v>492</v>
      </c>
      <c r="I475">
        <v>34</v>
      </c>
    </row>
    <row r="476" spans="1:10">
      <c r="A476" s="114" t="s">
        <v>999</v>
      </c>
      <c r="B476" s="114" t="s">
        <v>436</v>
      </c>
      <c r="C476" s="114" t="s">
        <v>437</v>
      </c>
      <c r="D476" s="114" t="s">
        <v>438</v>
      </c>
      <c r="E476">
        <v>2976</v>
      </c>
      <c r="F476" s="114" t="s">
        <v>1010</v>
      </c>
      <c r="G476" s="114" t="s">
        <v>1011</v>
      </c>
      <c r="H476" s="114" t="s">
        <v>492</v>
      </c>
      <c r="I476">
        <v>14</v>
      </c>
    </row>
    <row r="477" spans="1:10">
      <c r="A477" s="114" t="s">
        <v>999</v>
      </c>
      <c r="B477" s="114" t="s">
        <v>436</v>
      </c>
      <c r="C477" s="114" t="s">
        <v>450</v>
      </c>
      <c r="D477" s="114" t="s">
        <v>438</v>
      </c>
      <c r="E477">
        <v>3606</v>
      </c>
      <c r="F477" s="114" t="s">
        <v>1012</v>
      </c>
      <c r="G477" s="114" t="s">
        <v>439</v>
      </c>
      <c r="H477" s="114" t="s">
        <v>533</v>
      </c>
      <c r="I477">
        <v>117</v>
      </c>
    </row>
    <row r="478" spans="1:10">
      <c r="A478" s="114" t="s">
        <v>999</v>
      </c>
      <c r="B478" s="114" t="s">
        <v>436</v>
      </c>
      <c r="C478" s="114" t="s">
        <v>455</v>
      </c>
      <c r="D478" s="114" t="s">
        <v>438</v>
      </c>
      <c r="E478">
        <v>3856</v>
      </c>
      <c r="F478" s="114" t="s">
        <v>1013</v>
      </c>
      <c r="G478" s="114" t="s">
        <v>452</v>
      </c>
      <c r="H478" s="114" t="s">
        <v>490</v>
      </c>
      <c r="I478">
        <v>28</v>
      </c>
    </row>
    <row r="479" spans="1:10">
      <c r="A479" s="114" t="s">
        <v>999</v>
      </c>
      <c r="B479" s="114" t="s">
        <v>436</v>
      </c>
      <c r="C479" s="114" t="s">
        <v>437</v>
      </c>
      <c r="D479" s="114" t="s">
        <v>438</v>
      </c>
      <c r="E479">
        <v>3896</v>
      </c>
      <c r="F479" s="114" t="s">
        <v>1014</v>
      </c>
      <c r="G479" s="114" t="s">
        <v>439</v>
      </c>
      <c r="H479" s="114" t="s">
        <v>535</v>
      </c>
      <c r="I479">
        <v>46</v>
      </c>
    </row>
    <row r="480" spans="1:10">
      <c r="A480" s="114" t="s">
        <v>999</v>
      </c>
      <c r="B480" s="114" t="s">
        <v>436</v>
      </c>
      <c r="C480" s="114" t="s">
        <v>450</v>
      </c>
      <c r="D480" s="114" t="s">
        <v>438</v>
      </c>
      <c r="E480">
        <v>3902</v>
      </c>
      <c r="F480" s="114" t="s">
        <v>1015</v>
      </c>
      <c r="G480" s="114" t="s">
        <v>439</v>
      </c>
      <c r="H480" s="114" t="s">
        <v>459</v>
      </c>
      <c r="I480">
        <v>417</v>
      </c>
    </row>
    <row r="481" spans="1:10">
      <c r="A481" s="114" t="s">
        <v>999</v>
      </c>
      <c r="B481" s="114" t="s">
        <v>436</v>
      </c>
      <c r="C481" s="114" t="s">
        <v>437</v>
      </c>
      <c r="D481" s="114" t="s">
        <v>438</v>
      </c>
      <c r="E481">
        <v>3963</v>
      </c>
      <c r="F481" s="114" t="s">
        <v>1016</v>
      </c>
      <c r="G481" s="114" t="s">
        <v>439</v>
      </c>
      <c r="H481" s="114" t="s">
        <v>459</v>
      </c>
      <c r="I481">
        <v>145</v>
      </c>
    </row>
    <row r="482" spans="1:10">
      <c r="A482" s="114" t="s">
        <v>999</v>
      </c>
      <c r="B482" s="114" t="s">
        <v>436</v>
      </c>
      <c r="C482" s="114" t="s">
        <v>450</v>
      </c>
      <c r="D482" s="114" t="s">
        <v>438</v>
      </c>
      <c r="E482">
        <v>4245</v>
      </c>
      <c r="F482" s="114" t="s">
        <v>1017</v>
      </c>
      <c r="G482" s="114" t="s">
        <v>439</v>
      </c>
      <c r="H482" s="114" t="s">
        <v>463</v>
      </c>
      <c r="I482">
        <v>122</v>
      </c>
    </row>
    <row r="483" spans="1:10">
      <c r="A483" s="114" t="s">
        <v>999</v>
      </c>
      <c r="B483" s="114" t="s">
        <v>436</v>
      </c>
      <c r="C483" s="114" t="s">
        <v>450</v>
      </c>
      <c r="D483" s="114" t="s">
        <v>438</v>
      </c>
      <c r="E483">
        <v>4251</v>
      </c>
      <c r="F483" s="114" t="s">
        <v>1018</v>
      </c>
      <c r="G483" s="114" t="s">
        <v>452</v>
      </c>
      <c r="H483" s="114" t="s">
        <v>463</v>
      </c>
      <c r="I483">
        <v>70</v>
      </c>
    </row>
    <row r="484" spans="1:10">
      <c r="A484" s="114" t="s">
        <v>999</v>
      </c>
      <c r="B484" s="114" t="s">
        <v>436</v>
      </c>
      <c r="C484" s="114" t="s">
        <v>437</v>
      </c>
      <c r="D484" s="114" t="s">
        <v>438</v>
      </c>
      <c r="E484">
        <v>4425</v>
      </c>
      <c r="F484" s="114" t="s">
        <v>1019</v>
      </c>
      <c r="G484" s="114" t="s">
        <v>461</v>
      </c>
      <c r="H484" s="114" t="s">
        <v>459</v>
      </c>
      <c r="I484">
        <v>649</v>
      </c>
    </row>
    <row r="485" spans="1:10">
      <c r="A485" s="114" t="s">
        <v>999</v>
      </c>
      <c r="B485" s="114" t="s">
        <v>436</v>
      </c>
      <c r="C485" s="114" t="s">
        <v>437</v>
      </c>
      <c r="D485" s="114" t="s">
        <v>443</v>
      </c>
      <c r="E485">
        <v>4435</v>
      </c>
      <c r="F485" s="114" t="s">
        <v>1020</v>
      </c>
      <c r="G485" s="114" t="s">
        <v>461</v>
      </c>
      <c r="H485" s="114" t="s">
        <v>459</v>
      </c>
      <c r="I485">
        <v>403</v>
      </c>
    </row>
    <row r="486" spans="1:10">
      <c r="A486" s="114" t="s">
        <v>999</v>
      </c>
      <c r="B486" s="114" t="s">
        <v>436</v>
      </c>
      <c r="C486" s="114" t="s">
        <v>437</v>
      </c>
      <c r="D486" s="114" t="s">
        <v>438</v>
      </c>
      <c r="E486">
        <v>4442</v>
      </c>
      <c r="F486" s="114" t="s">
        <v>1021</v>
      </c>
      <c r="G486" s="114" t="s">
        <v>461</v>
      </c>
      <c r="H486" s="114" t="s">
        <v>459</v>
      </c>
      <c r="I486">
        <v>106</v>
      </c>
    </row>
    <row r="487" spans="1:10">
      <c r="A487" s="114" t="s">
        <v>999</v>
      </c>
      <c r="B487" s="114" t="s">
        <v>436</v>
      </c>
      <c r="C487" s="114" t="s">
        <v>450</v>
      </c>
      <c r="D487" s="114" t="s">
        <v>443</v>
      </c>
      <c r="E487">
        <v>4448</v>
      </c>
      <c r="F487" s="114" t="s">
        <v>1022</v>
      </c>
      <c r="G487" s="114" t="s">
        <v>461</v>
      </c>
      <c r="H487" s="114" t="s">
        <v>459</v>
      </c>
      <c r="I487">
        <v>386</v>
      </c>
    </row>
    <row r="488" spans="1:10">
      <c r="A488" s="114" t="s">
        <v>999</v>
      </c>
      <c r="B488" s="114" t="s">
        <v>436</v>
      </c>
      <c r="C488" s="114" t="s">
        <v>450</v>
      </c>
      <c r="D488" s="114" t="s">
        <v>438</v>
      </c>
      <c r="E488">
        <v>4449</v>
      </c>
      <c r="F488" s="114" t="s">
        <v>1023</v>
      </c>
      <c r="G488" s="114" t="s">
        <v>461</v>
      </c>
      <c r="H488" s="114" t="s">
        <v>459</v>
      </c>
      <c r="I488">
        <v>463</v>
      </c>
    </row>
    <row r="489" spans="1:10">
      <c r="A489" s="114" t="s">
        <v>999</v>
      </c>
      <c r="B489" s="114" t="s">
        <v>436</v>
      </c>
      <c r="C489" s="114" t="s">
        <v>450</v>
      </c>
      <c r="D489" s="114" t="s">
        <v>443</v>
      </c>
      <c r="E489">
        <v>4450</v>
      </c>
      <c r="F489" s="114" t="s">
        <v>1024</v>
      </c>
      <c r="G489" s="114" t="s">
        <v>461</v>
      </c>
      <c r="H489" s="114" t="s">
        <v>459</v>
      </c>
      <c r="I489">
        <v>52</v>
      </c>
    </row>
    <row r="490" spans="1:10">
      <c r="A490" s="114" t="s">
        <v>999</v>
      </c>
      <c r="B490" s="114" t="s">
        <v>436</v>
      </c>
      <c r="C490" s="114" t="s">
        <v>442</v>
      </c>
      <c r="D490" s="114" t="s">
        <v>438</v>
      </c>
      <c r="E490">
        <v>4475</v>
      </c>
      <c r="F490" s="114" t="s">
        <v>1025</v>
      </c>
      <c r="G490" s="114" t="s">
        <v>461</v>
      </c>
      <c r="H490" s="114" t="s">
        <v>459</v>
      </c>
      <c r="I490" s="114">
        <v>263</v>
      </c>
      <c r="J490" s="114"/>
    </row>
    <row r="491" spans="1:10">
      <c r="A491" s="114" t="s">
        <v>999</v>
      </c>
      <c r="B491" s="114" t="s">
        <v>436</v>
      </c>
      <c r="C491" s="114" t="s">
        <v>450</v>
      </c>
      <c r="D491" s="114" t="s">
        <v>443</v>
      </c>
      <c r="E491">
        <v>4476</v>
      </c>
      <c r="F491" s="114" t="s">
        <v>1026</v>
      </c>
      <c r="G491" s="114" t="s">
        <v>461</v>
      </c>
      <c r="H491" s="114" t="s">
        <v>459</v>
      </c>
      <c r="I491">
        <v>77</v>
      </c>
    </row>
    <row r="492" spans="1:10">
      <c r="A492" s="114" t="s">
        <v>999</v>
      </c>
      <c r="B492" s="114" t="s">
        <v>436</v>
      </c>
      <c r="C492" s="114" t="s">
        <v>450</v>
      </c>
      <c r="D492" s="114" t="s">
        <v>438</v>
      </c>
      <c r="E492">
        <v>4477</v>
      </c>
      <c r="F492" s="114" t="s">
        <v>1027</v>
      </c>
      <c r="G492" s="114" t="s">
        <v>461</v>
      </c>
      <c r="H492" s="114" t="s">
        <v>459</v>
      </c>
      <c r="I492" s="114">
        <v>344</v>
      </c>
      <c r="J492" s="114"/>
    </row>
    <row r="493" spans="1:10">
      <c r="A493" s="114" t="s">
        <v>999</v>
      </c>
      <c r="B493" s="114" t="s">
        <v>436</v>
      </c>
      <c r="C493" s="114" t="s">
        <v>450</v>
      </c>
      <c r="D493" s="114" t="s">
        <v>438</v>
      </c>
      <c r="E493">
        <v>4631</v>
      </c>
      <c r="F493" s="114" t="s">
        <v>1028</v>
      </c>
      <c r="G493" s="114" t="s">
        <v>439</v>
      </c>
      <c r="H493" s="114" t="s">
        <v>463</v>
      </c>
      <c r="I493" s="114" t="s">
        <v>482</v>
      </c>
      <c r="J493" s="114" t="s">
        <v>1204</v>
      </c>
    </row>
    <row r="494" spans="1:10">
      <c r="A494" s="114" t="s">
        <v>999</v>
      </c>
      <c r="B494" s="114" t="s">
        <v>436</v>
      </c>
      <c r="C494" s="114" t="s">
        <v>437</v>
      </c>
      <c r="D494" s="114" t="s">
        <v>438</v>
      </c>
      <c r="E494">
        <v>4691</v>
      </c>
      <c r="F494" s="114" t="s">
        <v>1029</v>
      </c>
      <c r="G494" s="114" t="s">
        <v>452</v>
      </c>
      <c r="H494" s="114" t="s">
        <v>446</v>
      </c>
      <c r="I494">
        <v>167</v>
      </c>
    </row>
    <row r="495" spans="1:10">
      <c r="A495" s="114" t="s">
        <v>999</v>
      </c>
      <c r="B495" s="114" t="s">
        <v>436</v>
      </c>
      <c r="C495" s="114" t="s">
        <v>455</v>
      </c>
      <c r="D495" s="114" t="s">
        <v>438</v>
      </c>
      <c r="E495">
        <v>4845</v>
      </c>
      <c r="F495" s="114" t="s">
        <v>1030</v>
      </c>
      <c r="G495" s="114" t="s">
        <v>439</v>
      </c>
      <c r="H495" s="114" t="s">
        <v>459</v>
      </c>
      <c r="I495">
        <v>134</v>
      </c>
    </row>
    <row r="496" spans="1:10">
      <c r="A496" s="114" t="s">
        <v>999</v>
      </c>
      <c r="B496" s="114" t="s">
        <v>436</v>
      </c>
      <c r="C496" s="114" t="s">
        <v>437</v>
      </c>
      <c r="D496" s="114" t="s">
        <v>438</v>
      </c>
      <c r="E496">
        <v>6082</v>
      </c>
      <c r="F496" s="114" t="s">
        <v>1031</v>
      </c>
      <c r="G496" s="114" t="s">
        <v>439</v>
      </c>
      <c r="H496" s="114" t="s">
        <v>446</v>
      </c>
      <c r="I496" s="114">
        <v>208</v>
      </c>
      <c r="J496" s="114"/>
    </row>
    <row r="497" spans="1:10">
      <c r="A497" s="114" t="s">
        <v>999</v>
      </c>
      <c r="B497" s="114" t="s">
        <v>436</v>
      </c>
      <c r="C497" s="114" t="s">
        <v>437</v>
      </c>
      <c r="D497" s="114" t="s">
        <v>438</v>
      </c>
      <c r="E497">
        <v>6408</v>
      </c>
      <c r="F497" s="114" t="s">
        <v>1032</v>
      </c>
      <c r="G497" s="114" t="s">
        <v>445</v>
      </c>
      <c r="H497" s="114" t="s">
        <v>477</v>
      </c>
      <c r="I497">
        <v>52</v>
      </c>
    </row>
    <row r="498" spans="1:10">
      <c r="A498" s="114" t="s">
        <v>999</v>
      </c>
      <c r="B498" s="114" t="s">
        <v>436</v>
      </c>
      <c r="C498" s="114" t="s">
        <v>437</v>
      </c>
      <c r="D498" s="114" t="s">
        <v>438</v>
      </c>
      <c r="E498">
        <v>6424</v>
      </c>
      <c r="F498" s="114" t="s">
        <v>1033</v>
      </c>
      <c r="G498" s="114" t="s">
        <v>445</v>
      </c>
      <c r="H498" s="114" t="s">
        <v>477</v>
      </c>
      <c r="I498">
        <v>59</v>
      </c>
    </row>
    <row r="499" spans="1:10">
      <c r="A499" s="114" t="s">
        <v>999</v>
      </c>
      <c r="B499" s="114" t="s">
        <v>436</v>
      </c>
      <c r="C499" s="114" t="s">
        <v>437</v>
      </c>
      <c r="D499" s="114" t="s">
        <v>438</v>
      </c>
      <c r="E499">
        <v>6517</v>
      </c>
      <c r="F499" s="114" t="s">
        <v>1034</v>
      </c>
      <c r="G499" s="114" t="s">
        <v>439</v>
      </c>
      <c r="H499" s="114" t="s">
        <v>490</v>
      </c>
      <c r="I499" s="114">
        <v>482</v>
      </c>
      <c r="J499" s="114"/>
    </row>
    <row r="500" spans="1:10">
      <c r="A500" s="114" t="s">
        <v>999</v>
      </c>
      <c r="B500" s="114" t="s">
        <v>436</v>
      </c>
      <c r="C500" s="114" t="s">
        <v>437</v>
      </c>
      <c r="D500" s="114" t="s">
        <v>438</v>
      </c>
      <c r="E500">
        <v>6574</v>
      </c>
      <c r="F500" s="114" t="s">
        <v>1035</v>
      </c>
      <c r="G500" s="114" t="s">
        <v>461</v>
      </c>
      <c r="H500" s="114" t="s">
        <v>446</v>
      </c>
      <c r="I500">
        <v>31</v>
      </c>
    </row>
    <row r="501" spans="1:10">
      <c r="A501" s="114" t="s">
        <v>999</v>
      </c>
      <c r="B501" s="114" t="s">
        <v>436</v>
      </c>
      <c r="C501" s="114" t="s">
        <v>455</v>
      </c>
      <c r="D501" s="114" t="s">
        <v>443</v>
      </c>
      <c r="E501">
        <v>6597</v>
      </c>
      <c r="F501" s="114" t="s">
        <v>1036</v>
      </c>
      <c r="G501" s="114" t="s">
        <v>461</v>
      </c>
      <c r="H501" s="114" t="s">
        <v>490</v>
      </c>
      <c r="I501">
        <v>75</v>
      </c>
    </row>
    <row r="502" spans="1:10">
      <c r="A502" s="114" t="s">
        <v>999</v>
      </c>
      <c r="B502" s="114" t="s">
        <v>436</v>
      </c>
      <c r="C502" s="114" t="s">
        <v>437</v>
      </c>
      <c r="D502" s="114" t="s">
        <v>438</v>
      </c>
      <c r="E502">
        <v>6706</v>
      </c>
      <c r="F502" s="114" t="s">
        <v>1037</v>
      </c>
      <c r="G502" s="114" t="s">
        <v>439</v>
      </c>
      <c r="H502" s="114" t="s">
        <v>490</v>
      </c>
      <c r="I502">
        <v>452</v>
      </c>
    </row>
    <row r="503" spans="1:10">
      <c r="A503" s="114" t="s">
        <v>999</v>
      </c>
      <c r="B503" s="114" t="s">
        <v>436</v>
      </c>
      <c r="C503" s="114" t="s">
        <v>437</v>
      </c>
      <c r="D503" s="114" t="s">
        <v>438</v>
      </c>
      <c r="E503">
        <v>6819</v>
      </c>
      <c r="F503" s="114" t="s">
        <v>1038</v>
      </c>
      <c r="G503" s="114" t="s">
        <v>445</v>
      </c>
      <c r="H503" s="114" t="s">
        <v>446</v>
      </c>
      <c r="I503">
        <v>34</v>
      </c>
    </row>
    <row r="504" spans="1:10">
      <c r="A504" s="114" t="s">
        <v>999</v>
      </c>
      <c r="B504" s="114" t="s">
        <v>436</v>
      </c>
      <c r="C504" s="114" t="s">
        <v>450</v>
      </c>
      <c r="D504" s="114" t="s">
        <v>438</v>
      </c>
      <c r="E504">
        <v>6870</v>
      </c>
      <c r="F504" s="114" t="s">
        <v>1039</v>
      </c>
      <c r="G504" s="114" t="s">
        <v>452</v>
      </c>
      <c r="H504" s="114" t="s">
        <v>490</v>
      </c>
      <c r="I504">
        <v>90</v>
      </c>
    </row>
    <row r="505" spans="1:10">
      <c r="A505" s="114" t="s">
        <v>999</v>
      </c>
      <c r="B505" s="114" t="s">
        <v>436</v>
      </c>
      <c r="C505" s="114" t="s">
        <v>437</v>
      </c>
      <c r="D505" s="114" t="s">
        <v>438</v>
      </c>
      <c r="E505">
        <v>7060</v>
      </c>
      <c r="F505" s="114" t="s">
        <v>1040</v>
      </c>
      <c r="G505" s="114" t="s">
        <v>461</v>
      </c>
      <c r="H505" s="114" t="s">
        <v>446</v>
      </c>
      <c r="I505">
        <v>158</v>
      </c>
    </row>
    <row r="506" spans="1:10">
      <c r="A506" s="114" t="s">
        <v>999</v>
      </c>
      <c r="B506" s="114" t="s">
        <v>436</v>
      </c>
      <c r="C506" s="114" t="s">
        <v>455</v>
      </c>
      <c r="D506" s="114" t="s">
        <v>438</v>
      </c>
      <c r="E506">
        <v>7063</v>
      </c>
      <c r="F506" s="114" t="s">
        <v>1041</v>
      </c>
      <c r="G506" s="114" t="s">
        <v>461</v>
      </c>
      <c r="H506" s="114" t="s">
        <v>446</v>
      </c>
      <c r="I506">
        <v>55</v>
      </c>
    </row>
    <row r="507" spans="1:10">
      <c r="A507" s="114" t="s">
        <v>999</v>
      </c>
      <c r="B507" s="114" t="s">
        <v>436</v>
      </c>
      <c r="C507" s="114" t="s">
        <v>437</v>
      </c>
      <c r="D507" s="114" t="s">
        <v>438</v>
      </c>
      <c r="E507">
        <v>7067</v>
      </c>
      <c r="F507" s="114" t="s">
        <v>1042</v>
      </c>
      <c r="G507" s="114" t="s">
        <v>461</v>
      </c>
      <c r="H507" s="114" t="s">
        <v>446</v>
      </c>
      <c r="I507">
        <v>35</v>
      </c>
    </row>
    <row r="508" spans="1:10">
      <c r="A508" s="114" t="s">
        <v>999</v>
      </c>
      <c r="B508" s="114" t="s">
        <v>436</v>
      </c>
      <c r="C508" s="114" t="s">
        <v>442</v>
      </c>
      <c r="D508" s="114" t="s">
        <v>443</v>
      </c>
      <c r="E508">
        <v>7072</v>
      </c>
      <c r="F508" s="114" t="s">
        <v>1043</v>
      </c>
      <c r="G508" s="114" t="s">
        <v>461</v>
      </c>
      <c r="H508" s="114" t="s">
        <v>446</v>
      </c>
      <c r="I508">
        <v>84</v>
      </c>
    </row>
    <row r="509" spans="1:10">
      <c r="A509" s="114" t="s">
        <v>999</v>
      </c>
      <c r="B509" s="114" t="s">
        <v>436</v>
      </c>
      <c r="C509" s="114" t="s">
        <v>437</v>
      </c>
      <c r="D509" s="114" t="s">
        <v>438</v>
      </c>
      <c r="E509">
        <v>7239</v>
      </c>
      <c r="F509" s="114" t="s">
        <v>1044</v>
      </c>
      <c r="G509" s="114" t="s">
        <v>439</v>
      </c>
      <c r="H509" s="114" t="s">
        <v>518</v>
      </c>
      <c r="I509">
        <v>506</v>
      </c>
    </row>
    <row r="510" spans="1:10">
      <c r="A510" s="114" t="s">
        <v>999</v>
      </c>
      <c r="B510" s="114" t="s">
        <v>436</v>
      </c>
      <c r="C510" s="114" t="s">
        <v>437</v>
      </c>
      <c r="D510" s="114" t="s">
        <v>438</v>
      </c>
      <c r="E510">
        <v>7242</v>
      </c>
      <c r="F510" s="114" t="s">
        <v>1045</v>
      </c>
      <c r="G510" s="114" t="s">
        <v>439</v>
      </c>
      <c r="H510" s="114" t="s">
        <v>518</v>
      </c>
      <c r="I510">
        <v>857</v>
      </c>
    </row>
    <row r="511" spans="1:10">
      <c r="A511" s="114" t="s">
        <v>999</v>
      </c>
      <c r="B511" s="114" t="s">
        <v>436</v>
      </c>
      <c r="C511" s="114" t="s">
        <v>455</v>
      </c>
      <c r="D511" s="114" t="s">
        <v>438</v>
      </c>
      <c r="E511">
        <v>7325</v>
      </c>
      <c r="F511" s="114" t="s">
        <v>1205</v>
      </c>
      <c r="G511" s="114" t="s">
        <v>461</v>
      </c>
      <c r="H511" s="114" t="s">
        <v>1206</v>
      </c>
      <c r="I511">
        <v>116</v>
      </c>
    </row>
    <row r="512" spans="1:10">
      <c r="A512" s="114" t="s">
        <v>999</v>
      </c>
      <c r="B512" s="114" t="s">
        <v>436</v>
      </c>
      <c r="C512" s="114" t="s">
        <v>455</v>
      </c>
      <c r="D512" s="114" t="s">
        <v>443</v>
      </c>
      <c r="E512">
        <v>7674</v>
      </c>
      <c r="F512" s="114" t="s">
        <v>1046</v>
      </c>
      <c r="G512" s="114" t="s">
        <v>461</v>
      </c>
      <c r="H512" s="114" t="s">
        <v>457</v>
      </c>
      <c r="I512">
        <v>73</v>
      </c>
    </row>
    <row r="513" spans="1:10">
      <c r="A513" s="114" t="s">
        <v>999</v>
      </c>
      <c r="B513" s="114" t="s">
        <v>436</v>
      </c>
      <c r="C513" s="114" t="s">
        <v>442</v>
      </c>
      <c r="D513" s="114" t="s">
        <v>443</v>
      </c>
      <c r="E513">
        <v>7676</v>
      </c>
      <c r="F513" s="114" t="s">
        <v>1047</v>
      </c>
      <c r="G513" s="114" t="s">
        <v>461</v>
      </c>
      <c r="H513" s="114" t="s">
        <v>457</v>
      </c>
      <c r="I513">
        <v>45</v>
      </c>
    </row>
    <row r="514" spans="1:10">
      <c r="A514" s="114" t="s">
        <v>999</v>
      </c>
      <c r="B514" s="114" t="s">
        <v>436</v>
      </c>
      <c r="C514" s="114" t="s">
        <v>437</v>
      </c>
      <c r="D514" s="114" t="s">
        <v>438</v>
      </c>
      <c r="E514">
        <v>7677</v>
      </c>
      <c r="F514" s="114" t="s">
        <v>1048</v>
      </c>
      <c r="G514" s="114" t="s">
        <v>452</v>
      </c>
      <c r="H514" s="114" t="s">
        <v>448</v>
      </c>
      <c r="I514">
        <v>56</v>
      </c>
    </row>
    <row r="515" spans="1:10">
      <c r="A515" s="114" t="s">
        <v>999</v>
      </c>
      <c r="B515" s="114" t="s">
        <v>436</v>
      </c>
      <c r="C515" s="114" t="s">
        <v>442</v>
      </c>
      <c r="D515" s="114" t="s">
        <v>438</v>
      </c>
      <c r="E515">
        <v>7681</v>
      </c>
      <c r="F515" s="114" t="s">
        <v>1049</v>
      </c>
      <c r="G515" s="114" t="s">
        <v>452</v>
      </c>
      <c r="H515" s="114" t="s">
        <v>448</v>
      </c>
      <c r="I515">
        <v>64</v>
      </c>
    </row>
    <row r="516" spans="1:10">
      <c r="A516" s="114" t="s">
        <v>999</v>
      </c>
      <c r="B516" s="114" t="s">
        <v>436</v>
      </c>
      <c r="C516" s="114" t="s">
        <v>437</v>
      </c>
      <c r="D516" s="114" t="s">
        <v>438</v>
      </c>
      <c r="E516">
        <v>7749</v>
      </c>
      <c r="F516" s="114" t="s">
        <v>1050</v>
      </c>
      <c r="G516" s="114" t="s">
        <v>445</v>
      </c>
      <c r="H516" s="114" t="s">
        <v>738</v>
      </c>
      <c r="I516">
        <v>660</v>
      </c>
    </row>
    <row r="517" spans="1:10">
      <c r="A517" s="114" t="s">
        <v>999</v>
      </c>
      <c r="B517" s="114" t="s">
        <v>436</v>
      </c>
      <c r="C517" s="114" t="s">
        <v>442</v>
      </c>
      <c r="D517" s="114" t="s">
        <v>443</v>
      </c>
      <c r="E517">
        <v>7800</v>
      </c>
      <c r="F517" s="114" t="s">
        <v>1051</v>
      </c>
      <c r="G517" s="114" t="s">
        <v>445</v>
      </c>
      <c r="H517" s="114" t="s">
        <v>479</v>
      </c>
      <c r="I517">
        <v>33</v>
      </c>
    </row>
    <row r="518" spans="1:10">
      <c r="A518" s="114" t="s">
        <v>999</v>
      </c>
      <c r="B518" s="114" t="s">
        <v>436</v>
      </c>
      <c r="C518" s="114" t="s">
        <v>437</v>
      </c>
      <c r="D518" s="114" t="s">
        <v>438</v>
      </c>
      <c r="E518">
        <v>8152</v>
      </c>
      <c r="F518" s="114" t="s">
        <v>1052</v>
      </c>
      <c r="G518" s="114" t="s">
        <v>452</v>
      </c>
      <c r="H518" s="114" t="s">
        <v>448</v>
      </c>
      <c r="I518">
        <v>35</v>
      </c>
    </row>
    <row r="519" spans="1:10">
      <c r="A519" s="114" t="s">
        <v>999</v>
      </c>
      <c r="B519" s="114" t="s">
        <v>436</v>
      </c>
      <c r="C519" s="114" t="s">
        <v>455</v>
      </c>
      <c r="D519" s="114" t="s">
        <v>438</v>
      </c>
      <c r="E519">
        <v>8928</v>
      </c>
      <c r="F519" s="114" t="s">
        <v>1207</v>
      </c>
      <c r="G519" s="114" t="s">
        <v>439</v>
      </c>
      <c r="H519" s="114" t="s">
        <v>492</v>
      </c>
      <c r="I519">
        <v>186</v>
      </c>
    </row>
    <row r="520" spans="1:10">
      <c r="A520" s="114" t="s">
        <v>999</v>
      </c>
      <c r="B520" s="114" t="s">
        <v>436</v>
      </c>
      <c r="C520" s="114" t="s">
        <v>450</v>
      </c>
      <c r="D520" s="114" t="s">
        <v>438</v>
      </c>
      <c r="E520">
        <v>9672</v>
      </c>
      <c r="F520" s="114" t="s">
        <v>1053</v>
      </c>
      <c r="G520" s="114" t="s">
        <v>439</v>
      </c>
      <c r="H520" s="114" t="s">
        <v>446</v>
      </c>
      <c r="I520">
        <v>964</v>
      </c>
    </row>
    <row r="521" spans="1:10">
      <c r="A521" s="114" t="s">
        <v>1054</v>
      </c>
      <c r="B521" s="114" t="s">
        <v>436</v>
      </c>
      <c r="C521" s="114" t="s">
        <v>450</v>
      </c>
      <c r="D521" s="114" t="s">
        <v>443</v>
      </c>
      <c r="E521">
        <v>3282</v>
      </c>
      <c r="F521" s="114" t="s">
        <v>1055</v>
      </c>
      <c r="G521" s="114" t="s">
        <v>554</v>
      </c>
      <c r="H521" s="114" t="s">
        <v>555</v>
      </c>
      <c r="I521" s="114" t="s">
        <v>482</v>
      </c>
      <c r="J521" s="114" t="s">
        <v>1208</v>
      </c>
    </row>
    <row r="522" spans="1:10">
      <c r="A522" s="114" t="s">
        <v>1054</v>
      </c>
      <c r="B522" s="114" t="s">
        <v>436</v>
      </c>
      <c r="C522" s="114" t="s">
        <v>450</v>
      </c>
      <c r="D522" s="114" t="s">
        <v>443</v>
      </c>
      <c r="E522">
        <v>3463</v>
      </c>
      <c r="F522" s="114" t="s">
        <v>1056</v>
      </c>
      <c r="G522" s="114" t="s">
        <v>554</v>
      </c>
      <c r="H522" s="114" t="s">
        <v>555</v>
      </c>
      <c r="I522">
        <v>344</v>
      </c>
    </row>
    <row r="523" spans="1:10">
      <c r="A523" s="114" t="s">
        <v>1057</v>
      </c>
      <c r="B523" s="114" t="s">
        <v>436</v>
      </c>
      <c r="C523" s="114" t="s">
        <v>450</v>
      </c>
      <c r="D523" s="114" t="s">
        <v>443</v>
      </c>
      <c r="E523">
        <v>3281</v>
      </c>
      <c r="F523" s="114" t="s">
        <v>1058</v>
      </c>
      <c r="G523" s="114" t="s">
        <v>554</v>
      </c>
      <c r="H523" s="114" t="s">
        <v>555</v>
      </c>
      <c r="I523" s="114" t="s">
        <v>473</v>
      </c>
      <c r="J523" s="114" t="s">
        <v>1209</v>
      </c>
    </row>
    <row r="524" spans="1:10">
      <c r="A524" s="114" t="s">
        <v>1057</v>
      </c>
      <c r="B524" s="114" t="s">
        <v>436</v>
      </c>
      <c r="C524" s="114" t="s">
        <v>450</v>
      </c>
      <c r="D524" s="114" t="s">
        <v>443</v>
      </c>
      <c r="E524">
        <v>3466</v>
      </c>
      <c r="F524" s="114" t="s">
        <v>1059</v>
      </c>
      <c r="G524" s="114" t="s">
        <v>554</v>
      </c>
      <c r="H524" s="114" t="s">
        <v>555</v>
      </c>
      <c r="I524" s="114" t="s">
        <v>482</v>
      </c>
      <c r="J524" s="114" t="s">
        <v>1210</v>
      </c>
    </row>
    <row r="525" spans="1:10">
      <c r="A525" s="114" t="s">
        <v>1061</v>
      </c>
      <c r="B525" s="114" t="s">
        <v>436</v>
      </c>
      <c r="C525" s="114" t="s">
        <v>437</v>
      </c>
      <c r="D525" s="114" t="s">
        <v>438</v>
      </c>
      <c r="E525">
        <v>2354</v>
      </c>
      <c r="F525" s="114" t="s">
        <v>1062</v>
      </c>
      <c r="G525" s="114" t="s">
        <v>452</v>
      </c>
      <c r="H525" s="114" t="s">
        <v>459</v>
      </c>
      <c r="I525">
        <v>94</v>
      </c>
    </row>
    <row r="526" spans="1:10">
      <c r="A526" s="114" t="s">
        <v>1061</v>
      </c>
      <c r="B526" s="114" t="s">
        <v>436</v>
      </c>
      <c r="C526" s="114" t="s">
        <v>455</v>
      </c>
      <c r="D526" s="114" t="s">
        <v>438</v>
      </c>
      <c r="E526">
        <v>3160</v>
      </c>
      <c r="F526" s="114" t="s">
        <v>1063</v>
      </c>
      <c r="G526" s="114" t="s">
        <v>439</v>
      </c>
      <c r="H526" s="114" t="s">
        <v>448</v>
      </c>
      <c r="I526">
        <v>96</v>
      </c>
    </row>
    <row r="527" spans="1:10">
      <c r="A527" s="114" t="s">
        <v>1061</v>
      </c>
      <c r="B527" s="114" t="s">
        <v>436</v>
      </c>
      <c r="C527" s="114" t="s">
        <v>437</v>
      </c>
      <c r="D527" s="114" t="s">
        <v>438</v>
      </c>
      <c r="E527">
        <v>7630</v>
      </c>
      <c r="F527" s="114" t="s">
        <v>1064</v>
      </c>
      <c r="G527" s="114" t="s">
        <v>439</v>
      </c>
      <c r="H527" s="114" t="s">
        <v>457</v>
      </c>
      <c r="I527" s="114" t="s">
        <v>522</v>
      </c>
      <c r="J527" s="114" t="s">
        <v>1211</v>
      </c>
    </row>
    <row r="528" spans="1:10">
      <c r="A528" s="114" t="s">
        <v>1061</v>
      </c>
      <c r="B528" s="114" t="s">
        <v>436</v>
      </c>
      <c r="C528" s="114" t="s">
        <v>455</v>
      </c>
      <c r="D528" s="114" t="s">
        <v>443</v>
      </c>
      <c r="E528">
        <v>8155</v>
      </c>
      <c r="F528" s="114" t="s">
        <v>1065</v>
      </c>
      <c r="G528" s="114" t="s">
        <v>439</v>
      </c>
      <c r="H528" s="114" t="s">
        <v>469</v>
      </c>
      <c r="I528">
        <v>734</v>
      </c>
    </row>
    <row r="529" spans="1:10">
      <c r="A529" s="114" t="s">
        <v>1061</v>
      </c>
      <c r="B529" s="114" t="s">
        <v>436</v>
      </c>
      <c r="C529" s="114" t="s">
        <v>437</v>
      </c>
      <c r="D529" s="114" t="s">
        <v>438</v>
      </c>
      <c r="E529">
        <v>8217</v>
      </c>
      <c r="F529" s="114" t="s">
        <v>1066</v>
      </c>
      <c r="G529" s="114" t="s">
        <v>439</v>
      </c>
      <c r="H529" s="114" t="s">
        <v>457</v>
      </c>
      <c r="I529">
        <v>650</v>
      </c>
    </row>
    <row r="530" spans="1:10">
      <c r="A530" s="114" t="s">
        <v>1061</v>
      </c>
      <c r="B530" s="114" t="s">
        <v>436</v>
      </c>
      <c r="C530" s="114" t="s">
        <v>437</v>
      </c>
      <c r="D530" s="114" t="s">
        <v>438</v>
      </c>
      <c r="E530">
        <v>8227</v>
      </c>
      <c r="F530" s="114" t="s">
        <v>1067</v>
      </c>
      <c r="G530" s="114" t="s">
        <v>439</v>
      </c>
      <c r="H530" s="114" t="s">
        <v>457</v>
      </c>
      <c r="I530" s="114" t="s">
        <v>710</v>
      </c>
      <c r="J530" s="114" t="s">
        <v>1212</v>
      </c>
    </row>
    <row r="531" spans="1:10">
      <c r="A531" s="114" t="s">
        <v>1068</v>
      </c>
      <c r="B531" s="114" t="s">
        <v>436</v>
      </c>
      <c r="C531" s="114" t="s">
        <v>437</v>
      </c>
      <c r="D531" s="114" t="s">
        <v>438</v>
      </c>
      <c r="E531">
        <v>6757</v>
      </c>
      <c r="F531" s="114" t="s">
        <v>1069</v>
      </c>
      <c r="G531" s="114" t="s">
        <v>445</v>
      </c>
      <c r="H531" s="114" t="s">
        <v>490</v>
      </c>
      <c r="I531">
        <v>124</v>
      </c>
    </row>
    <row r="532" spans="1:10">
      <c r="A532" s="114" t="s">
        <v>1070</v>
      </c>
      <c r="B532" s="114" t="s">
        <v>436</v>
      </c>
      <c r="C532" s="114" t="s">
        <v>455</v>
      </c>
      <c r="D532" s="114" t="s">
        <v>438</v>
      </c>
      <c r="E532">
        <v>6905</v>
      </c>
      <c r="F532" s="114" t="s">
        <v>1071</v>
      </c>
      <c r="G532" s="114" t="s">
        <v>439</v>
      </c>
      <c r="H532" s="114" t="s">
        <v>490</v>
      </c>
      <c r="I532">
        <v>448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表紙-</vt:lpstr>
      <vt:lpstr>建玉管理</vt:lpstr>
      <vt:lpstr>取引履歴</vt:lpstr>
      <vt:lpstr>資産状況</vt:lpstr>
      <vt:lpstr>監視</vt:lpstr>
      <vt:lpstr>シミュレーション</vt:lpstr>
      <vt:lpstr>Search Result</vt:lpstr>
      <vt:lpstr>個別計算</vt:lpstr>
      <vt:lpstr>日経サヤ計算</vt:lpstr>
      <vt:lpstr>グラフ</vt:lpstr>
      <vt:lpstr>code</vt:lpstr>
      <vt:lpstr>元データ</vt:lpstr>
      <vt:lpstr>改訂欄</vt:lpstr>
      <vt:lpstr>Fee_Refer</vt:lpstr>
      <vt:lpstr>Faiue</vt:lpstr>
      <vt:lpstr>Fiscal_date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2019-12-03T13:24:47Z</dcterms:modified>
</cp:coreProperties>
</file>