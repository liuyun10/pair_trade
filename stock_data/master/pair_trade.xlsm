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xWindow="0" yWindow="105" windowWidth="12765" windowHeight="5715" activeTab="2"/>
  </bookViews>
  <sheets>
    <sheet name="Cover" sheetId="1" r:id="rId1"/>
    <sheet name="Open Position" sheetId="2" r:id="rId2"/>
    <sheet name="Trade History" sheetId="13" r:id="rId3"/>
    <sheet name="Asset 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13" hidden="1">'Source Data'!$A$1:$AH$1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J39" i="13" l="1"/>
  <c r="V38" i="13"/>
  <c r="J38" i="13"/>
  <c r="C38" i="13"/>
  <c r="N39" i="13" l="1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H4" i="23"/>
  <c r="L4" i="23" s="1"/>
  <c r="H3" i="23"/>
  <c r="L3" i="23" s="1"/>
  <c r="V5" i="20"/>
  <c r="P5" i="20"/>
  <c r="M5" i="20"/>
  <c r="L5" i="20"/>
  <c r="K5" i="20"/>
  <c r="E5" i="20"/>
  <c r="C5" i="20"/>
  <c r="V4" i="20"/>
  <c r="P4" i="20"/>
  <c r="M4" i="20"/>
  <c r="L4" i="20"/>
  <c r="K4" i="20"/>
  <c r="E4" i="20"/>
  <c r="C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Q7" i="13"/>
  <c r="P7" i="13"/>
  <c r="M7" i="13"/>
  <c r="AC6" i="13"/>
  <c r="AB6" i="13"/>
  <c r="AA6" i="13"/>
  <c r="V6" i="13"/>
  <c r="S6" i="13"/>
  <c r="R6" i="13"/>
  <c r="Q6" i="13"/>
  <c r="P6" i="13"/>
  <c r="M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5" i="2"/>
  <c r="J4" i="2"/>
  <c r="C4" i="2"/>
  <c r="J2" i="2"/>
  <c r="P1" i="2"/>
  <c r="R36" i="13" l="1"/>
  <c r="U4" i="2"/>
  <c r="V4" i="2" s="1"/>
  <c r="S36" i="13" l="1"/>
  <c r="R2" i="13"/>
  <c r="N5" i="2"/>
  <c r="P5" i="2" s="1"/>
  <c r="Q5" i="2" s="1"/>
  <c r="N4" i="2"/>
  <c r="P4" i="2" s="1"/>
  <c r="Q4" i="2" l="1"/>
  <c r="R4" i="2"/>
  <c r="S4" i="2" s="1"/>
  <c r="S2" i="2" l="1"/>
  <c r="R2" i="2"/>
</calcChain>
</file>

<file path=xl/sharedStrings.xml><?xml version="1.0" encoding="utf-8"?>
<sst xmlns="http://schemas.openxmlformats.org/spreadsheetml/2006/main" count="8329" uniqueCount="2605">
  <si>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</si>
  <si>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</si>
  <si>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</si>
  <si>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</si>
  <si>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</si>
  <si>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</si>
  <si>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</si>
  <si>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</si>
  <si>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</si>
  <si>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</si>
  <si>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</si>
  <si>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</si>
  <si>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</si>
  <si>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</si>
  <si>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</si>
  <si>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</si>
  <si>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</si>
  <si>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</si>
  <si>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</si>
  <si>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</si>
  <si>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</si>
  <si>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</si>
  <si>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</si>
  <si>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</si>
  <si>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</si>
  <si>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</si>
  <si>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</si>
  <si>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</si>
  <si>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</si>
  <si>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</si>
  <si>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</si>
  <si>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</si>
  <si>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</si>
  <si>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</si>
  <si>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</si>
  <si>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</si>
  <si>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</si>
  <si>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</si>
  <si>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</si>
  <si>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</si>
  <si>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</si>
  <si>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</si>
  <si>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</si>
  <si>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</si>
  <si>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</si>
  <si>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</si>
  <si>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</si>
  <si>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</si>
  <si>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</si>
  <si>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</si>
  <si>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</si>
  <si>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</si>
  <si>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</si>
  <si>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</si>
  <si>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日本たばこ産業</t>
  </si>
  <si>
    <t>宇部興産</t>
  </si>
  <si>
    <t>りそなホールディングス</t>
  </si>
  <si>
    <t>住友林業</t>
  </si>
  <si>
    <t>良品計画</t>
  </si>
  <si>
    <t>パナソニック</t>
  </si>
  <si>
    <t>シチズン時計</t>
  </si>
  <si>
    <t>椿本チエイン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</si>
  <si>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</si>
  <si>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</si>
  <si>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</si>
  <si>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</si>
  <si>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</si>
  <si>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</si>
  <si>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</si>
  <si>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トヨタ紡織</t>
  </si>
  <si>
    <t>ＮＴＮ</t>
  </si>
  <si>
    <t>Ｔ＆Ｄホールディングス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</si>
  <si>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</si>
  <si>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</si>
  <si>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</si>
  <si>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</si>
  <si>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</si>
  <si>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</si>
  <si>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</si>
  <si>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</si>
  <si>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</si>
  <si>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</si>
  <si>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</si>
  <si>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</si>
  <si>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</si>
  <si>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</si>
  <si>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</si>
  <si>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</si>
  <si>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</si>
  <si>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</si>
  <si>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</si>
  <si>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</si>
  <si>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</si>
  <si>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</si>
  <si>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</si>
  <si>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</si>
  <si>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</si>
  <si>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</si>
  <si>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</si>
  <si>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</si>
  <si>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</si>
  <si>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</si>
  <si>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</si>
  <si>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</si>
  <si>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</si>
  <si>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</si>
  <si>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</si>
  <si>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</si>
  <si>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</si>
  <si>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</si>
  <si>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</si>
  <si>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</si>
  <si>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</si>
  <si>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</si>
  <si>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</si>
  <si>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</si>
  <si>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</si>
  <si>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</si>
  <si>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</si>
  <si>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</si>
  <si>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</si>
  <si>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</si>
  <si>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</si>
  <si>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</si>
  <si>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</si>
  <si>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</si>
  <si>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</si>
  <si>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</si>
  <si>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</si>
  <si>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</si>
  <si>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</si>
  <si>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</si>
  <si>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</si>
  <si>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</si>
  <si>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</si>
  <si>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</si>
  <si>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</si>
  <si>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</si>
  <si>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</si>
  <si>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</si>
  <si>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</si>
  <si>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</si>
  <si>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</si>
  <si>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</si>
  <si>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</si>
  <si>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</si>
  <si>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</si>
  <si>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</si>
  <si>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</si>
  <si>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</si>
  <si>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</si>
  <si>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</si>
  <si>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</si>
  <si>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</si>
  <si>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</si>
  <si>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</si>
  <si>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</si>
  <si>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</si>
  <si>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</si>
  <si>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</si>
  <si>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</si>
  <si>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</si>
  <si>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</si>
  <si>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</si>
  <si>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</si>
  <si>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</si>
  <si>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</si>
  <si>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</si>
  <si>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</si>
  <si>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</si>
  <si>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</si>
  <si>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</si>
  <si>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</si>
  <si>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</si>
  <si>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</si>
  <si>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</si>
  <si>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</si>
  <si>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</si>
  <si>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</si>
  <si>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</si>
  <si>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</si>
  <si>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</si>
  <si>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</si>
  <si>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</si>
  <si>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</si>
  <si>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</si>
  <si>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</si>
  <si>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</si>
  <si>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</si>
  <si>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</si>
  <si>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</si>
  <si>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</si>
  <si>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</si>
  <si>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</si>
  <si>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</si>
  <si>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</si>
  <si>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</si>
  <si>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</si>
  <si>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</si>
  <si>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</si>
  <si>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</si>
  <si>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</si>
  <si>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</si>
  <si>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</si>
  <si>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</si>
  <si>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</si>
  <si>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</si>
  <si>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</si>
  <si>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</si>
  <si>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</si>
  <si>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</si>
  <si>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</si>
  <si>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</si>
  <si>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</si>
  <si>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</si>
  <si>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</si>
  <si>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</si>
  <si>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</si>
  <si>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</si>
  <si>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</si>
  <si>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</si>
  <si>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</si>
  <si>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</si>
  <si>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</si>
  <si>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</si>
  <si>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</si>
  <si>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</si>
  <si>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</si>
  <si>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</si>
  <si>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三井化学</t>
  </si>
  <si>
    <t>積水ハウス</t>
  </si>
  <si>
    <t>大同特殊鋼</t>
  </si>
  <si>
    <t>イオン</t>
  </si>
  <si>
    <t>日本軽金属ホールディングス</t>
  </si>
  <si>
    <t>アズビル</t>
  </si>
  <si>
    <t>牧野フライス製作所</t>
  </si>
  <si>
    <t>田辺三菱製薬</t>
  </si>
  <si>
    <t>三菱ＵＦＪリース</t>
  </si>
  <si>
    <t>前田建設工業</t>
  </si>
  <si>
    <t>グローリー</t>
  </si>
  <si>
    <t>不二越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</si>
  <si>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</si>
  <si>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</si>
  <si>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</si>
  <si>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</si>
  <si>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</si>
  <si>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</si>
  <si>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</si>
  <si>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</si>
  <si>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</si>
  <si>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</si>
  <si>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</si>
  <si>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</si>
  <si>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</si>
  <si>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</si>
  <si>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</si>
  <si>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</si>
  <si>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日本空港ビルデング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</si>
  <si>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</si>
  <si>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</si>
  <si>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</si>
  <si>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</si>
  <si>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</si>
  <si>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</si>
  <si>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</si>
  <si>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</si>
  <si>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</si>
  <si>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</si>
  <si>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</si>
  <si>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</si>
  <si>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</si>
  <si>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</si>
  <si>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</si>
  <si>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</si>
  <si>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</si>
  <si>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</si>
  <si>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</si>
  <si>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</si>
  <si>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</si>
  <si>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</si>
  <si>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</si>
  <si>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</si>
  <si>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</si>
  <si>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</si>
  <si>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</si>
  <si>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</si>
  <si>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</si>
  <si>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</si>
  <si>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</si>
  <si>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</si>
  <si>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</si>
  <si>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</si>
  <si>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</si>
  <si>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</si>
  <si>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</si>
  <si>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</si>
  <si>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</si>
  <si>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</si>
  <si>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</si>
  <si>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</si>
  <si>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</si>
  <si>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</si>
  <si>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</si>
  <si>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</si>
  <si>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</si>
  <si>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</si>
  <si>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</si>
  <si>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</si>
  <si>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</si>
  <si>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</si>
  <si>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</si>
  <si>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</si>
  <si>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</si>
  <si>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</si>
  <si>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</si>
  <si>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</si>
  <si>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</si>
  <si>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</si>
  <si>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</si>
  <si>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</si>
  <si>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</si>
  <si>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</si>
  <si>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</si>
  <si>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</si>
  <si>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</si>
  <si>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</si>
  <si>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</si>
  <si>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</si>
  <si>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</si>
  <si>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</si>
  <si>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</si>
  <si>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</si>
  <si>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</si>
  <si>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</si>
  <si>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</si>
  <si>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</si>
  <si>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</si>
  <si>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</si>
  <si>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</si>
  <si>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</si>
  <si>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</si>
  <si>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</si>
  <si>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</si>
  <si>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</si>
  <si>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</si>
  <si>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</si>
  <si>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</si>
  <si>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</si>
  <si>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</si>
  <si>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</si>
  <si>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</si>
  <si>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</si>
  <si>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</si>
  <si>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</si>
  <si>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</si>
  <si>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</si>
  <si>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</si>
  <si>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</si>
  <si>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</si>
  <si>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</si>
  <si>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</si>
  <si>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</si>
  <si>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</si>
  <si>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</si>
  <si>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</si>
  <si>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</si>
  <si>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</si>
  <si>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</si>
  <si>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</si>
  <si>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</si>
  <si>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</si>
  <si>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</si>
  <si>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</si>
  <si>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</si>
  <si>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</si>
  <si>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</si>
  <si>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</si>
  <si>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</si>
  <si>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</si>
  <si>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</si>
  <si>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</si>
  <si>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</si>
  <si>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</si>
  <si>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</si>
  <si>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</si>
  <si>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</si>
  <si>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</si>
  <si>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</si>
  <si>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</si>
  <si>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</si>
  <si>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</si>
  <si>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</si>
  <si>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</si>
  <si>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</si>
  <si>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</si>
  <si>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</si>
  <si>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</si>
  <si>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</si>
  <si>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</si>
  <si>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</si>
  <si>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</si>
  <si>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</si>
  <si>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</si>
  <si>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</si>
  <si>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</si>
  <si>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</si>
  <si>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</si>
  <si>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</si>
  <si>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</si>
  <si>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</si>
  <si>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</si>
  <si>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</si>
  <si>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</si>
  <si>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</si>
  <si>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</si>
  <si>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</si>
  <si>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</si>
  <si>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</si>
  <si>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</si>
  <si>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</si>
  <si>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</si>
  <si>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</si>
  <si>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</si>
  <si>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</si>
  <si>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</si>
  <si>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</si>
  <si>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</si>
  <si>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</si>
  <si>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</si>
  <si>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</si>
  <si>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</si>
  <si>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</si>
  <si>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</si>
  <si>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</si>
  <si>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</si>
  <si>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</si>
  <si>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</si>
  <si>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</si>
  <si>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</si>
  <si>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</si>
  <si>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</si>
  <si>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</si>
  <si>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</si>
  <si>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</si>
  <si>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</si>
  <si>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</si>
  <si>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</si>
  <si>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</si>
  <si>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</si>
  <si>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</si>
  <si>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</si>
  <si>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</si>
  <si>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</si>
  <si>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</si>
  <si>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</si>
  <si>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</si>
  <si>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</si>
  <si>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</si>
  <si>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</si>
  <si>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</si>
  <si>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</si>
  <si>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</si>
  <si>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</si>
  <si>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</si>
  <si>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</si>
  <si>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</si>
  <si>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</si>
  <si>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</si>
  <si>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</si>
  <si>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</si>
  <si>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</si>
  <si>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</si>
  <si>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</si>
  <si>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</si>
  <si>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</si>
  <si>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</si>
  <si>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</si>
  <si>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</si>
  <si>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</si>
  <si>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</si>
  <si>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</si>
  <si>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</si>
  <si>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</si>
  <si>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</si>
  <si>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</si>
  <si>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</si>
  <si>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</si>
  <si>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</si>
  <si>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</si>
  <si>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</si>
  <si>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</si>
  <si>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</si>
  <si>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</si>
  <si>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</si>
  <si>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</si>
  <si>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</si>
  <si>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</si>
  <si>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</si>
  <si>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</si>
  <si>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</si>
  <si>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</si>
  <si>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</si>
  <si>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</si>
  <si>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</si>
  <si>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</si>
  <si>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</si>
  <si>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</si>
  <si>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</si>
  <si>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</si>
  <si>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</si>
  <si>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</si>
  <si>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</si>
  <si>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</si>
  <si>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</si>
  <si>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</si>
  <si>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</si>
  <si>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</si>
  <si>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</si>
  <si>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</si>
  <si>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</si>
  <si>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</si>
  <si>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</si>
  <si>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</si>
  <si>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</si>
  <si>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</si>
  <si>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</si>
  <si>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</si>
  <si>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</si>
  <si>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</si>
  <si>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</si>
  <si>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</si>
  <si>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</si>
  <si>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</si>
  <si>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</si>
  <si>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</si>
  <si>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</si>
  <si>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</si>
  <si>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</si>
  <si>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</si>
  <si>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</si>
  <si>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</si>
  <si>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</si>
  <si>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</si>
  <si>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</si>
  <si>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</si>
  <si>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</si>
  <si>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</si>
  <si>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</si>
  <si>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</si>
  <si>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</si>
  <si>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</si>
  <si>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</si>
  <si>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 xml:space="preserve"> Fブラザース</t>
  </si>
  <si>
    <t xml:space="preserve"> リックソフト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</si>
  <si>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</si>
  <si>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</si>
  <si>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</si>
  <si>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</si>
  <si>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</si>
  <si>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</si>
  <si>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</si>
  <si>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</si>
  <si>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</si>
  <si>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</si>
  <si>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</si>
  <si>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</si>
  <si>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</si>
  <si>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</si>
  <si>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</si>
  <si>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</si>
  <si>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</si>
  <si>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</si>
  <si>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</si>
  <si>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</si>
  <si>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</si>
  <si>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</si>
  <si>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</si>
  <si>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</si>
  <si>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</si>
  <si>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</si>
  <si>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</si>
  <si>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</si>
  <si>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</si>
  <si>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</si>
  <si>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</si>
  <si>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</si>
  <si>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</si>
  <si>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</si>
  <si>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</si>
  <si>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</si>
  <si>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</si>
  <si>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</si>
  <si>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</si>
  <si>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</si>
  <si>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</si>
  <si>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</si>
  <si>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</si>
  <si>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</si>
  <si>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</si>
  <si>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</si>
  <si>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</si>
  <si>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</si>
  <si>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</si>
  <si>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</si>
  <si>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</si>
  <si>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</si>
  <si>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</si>
  <si>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</si>
  <si>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</si>
  <si>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</si>
  <si>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</si>
  <si>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</si>
  <si>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</si>
  <si>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</si>
  <si>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</si>
  <si>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</si>
  <si>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</si>
  <si>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</si>
  <si>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</si>
  <si>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</si>
  <si>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</si>
  <si>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</si>
  <si>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</si>
  <si>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</si>
  <si>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</si>
  <si>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</si>
  <si>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</si>
  <si>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</si>
  <si>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</si>
  <si>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</si>
  <si>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</si>
  <si>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</si>
  <si>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</si>
  <si>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</si>
  <si>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</si>
  <si>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</si>
  <si>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</si>
  <si>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</si>
  <si>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</si>
  <si>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</si>
  <si>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</si>
  <si>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</si>
  <si>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</si>
  <si>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</si>
  <si>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</si>
  <si>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</si>
  <si>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</si>
  <si>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</si>
  <si>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</si>
  <si>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</si>
  <si>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</si>
  <si>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</si>
  <si>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</si>
  <si>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</si>
  <si>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</si>
  <si>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</si>
  <si>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</si>
  <si>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</si>
  <si>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</si>
  <si>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</si>
  <si>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</si>
  <si>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</si>
  <si>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</si>
  <si>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</si>
  <si>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</si>
  <si>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</si>
  <si>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</si>
  <si>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</si>
  <si>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</si>
  <si>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</si>
  <si>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</si>
  <si>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</si>
  <si>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</si>
  <si>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</si>
  <si>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</si>
  <si>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</si>
  <si>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</si>
  <si>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</si>
  <si>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</si>
  <si>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</si>
  <si>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</si>
  <si>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</si>
  <si>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</si>
  <si>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</si>
  <si>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</si>
  <si>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</si>
  <si>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</si>
  <si>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</si>
  <si>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</si>
  <si>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</si>
  <si>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</si>
  <si>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</si>
  <si>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</si>
  <si>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</si>
  <si>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</si>
  <si>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</si>
  <si>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OSGコーポ</t>
  </si>
  <si>
    <t xml:space="preserve"> コーセル</t>
  </si>
  <si>
    <t>ＦＵＪＩ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</si>
  <si>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</si>
  <si>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</si>
  <si>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</si>
  <si>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</si>
  <si>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</si>
  <si>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</si>
  <si>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</si>
  <si>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</si>
  <si>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ブラザー工業</t>
  </si>
  <si>
    <t>浜松ホトニクス</t>
  </si>
  <si>
    <t>野村不動産ホールディングス</t>
  </si>
  <si>
    <t xml:space="preserve"> 象　印</t>
  </si>
  <si>
    <t xml:space="preserve"> ヒマラヤ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</si>
  <si>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</si>
  <si>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</si>
  <si>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</si>
  <si>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</si>
  <si>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</si>
  <si>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</si>
  <si>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 xml:space="preserve"> レーザーテク</t>
  </si>
  <si>
    <t xml:space="preserve"> 日新製糖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</si>
  <si>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</si>
  <si>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</si>
  <si>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</si>
  <si>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</si>
  <si>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</si>
  <si>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</si>
  <si>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</si>
  <si>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</si>
  <si>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</si>
  <si>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</si>
  <si>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</si>
  <si>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</si>
  <si>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</si>
  <si>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</si>
  <si>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</si>
  <si>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</si>
  <si>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</si>
  <si>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</si>
  <si>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</si>
  <si>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カナディアン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</si>
  <si>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</si>
  <si>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</si>
  <si>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</si>
  <si>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</si>
  <si>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</si>
  <si>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</si>
  <si>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</si>
  <si>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</si>
  <si>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</si>
  <si>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</si>
  <si>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</si>
  <si>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</si>
  <si>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</si>
  <si>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</si>
  <si>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</si>
  <si>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</si>
  <si>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</si>
  <si>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</si>
  <si>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</si>
  <si>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TAKARA&amp;C</t>
  </si>
  <si>
    <t xml:space="preserve"> トレファク</t>
  </si>
  <si>
    <t xml:space="preserve"> いちご</t>
  </si>
  <si>
    <t xml:space="preserve"> コスモス薬品</t>
  </si>
  <si>
    <t xml:space="preserve"> 久光薬</t>
  </si>
  <si>
    <t xml:space="preserve"> 佐鳥電機</t>
  </si>
  <si>
    <t xml:space="preserve"> 良品計画</t>
  </si>
  <si>
    <t xml:space="preserve"> シグマ光機</t>
  </si>
  <si>
    <t xml:space="preserve"> ＡＩＴ</t>
  </si>
  <si>
    <t xml:space="preserve"> 12:00</t>
  </si>
  <si>
    <t xml:space="preserve"> トウキョベース</t>
  </si>
  <si>
    <t xml:space="preserve"> プレナス</t>
  </si>
  <si>
    <t xml:space="preserve"> 阪急神RE</t>
  </si>
  <si>
    <t xml:space="preserve"> 14:00</t>
  </si>
  <si>
    <t xml:space="preserve"> 大豊工業</t>
  </si>
  <si>
    <t xml:space="preserve"> 味の素</t>
  </si>
  <si>
    <t xml:space="preserve"> ヒューリック</t>
  </si>
  <si>
    <t xml:space="preserve"> TOKAI HD</t>
  </si>
  <si>
    <t xml:space="preserve"> 明治電機</t>
  </si>
  <si>
    <t xml:space="preserve"> 電　算</t>
  </si>
  <si>
    <t xml:space="preserve"> JR東日本</t>
  </si>
  <si>
    <t>" 37</t>
  </si>
  <si>
    <t xml:space="preserve"> トーカロ</t>
  </si>
  <si>
    <t xml:space="preserve"> UNITED</t>
  </si>
  <si>
    <t xml:space="preserve"> ＺＯＺＯ</t>
  </si>
  <si>
    <t xml:space="preserve"> ココカラファイン</t>
  </si>
  <si>
    <t xml:space="preserve"> ファンデリー</t>
  </si>
  <si>
    <t xml:space="preserve"> イチカワ</t>
  </si>
  <si>
    <t xml:space="preserve"> ワコールHD</t>
  </si>
  <si>
    <t xml:space="preserve"> テクノスJPN</t>
  </si>
  <si>
    <t xml:space="preserve"> 東映アニメ</t>
  </si>
  <si>
    <t xml:space="preserve"> ＴＯＴＯ</t>
  </si>
  <si>
    <t xml:space="preserve"> 高千穂交</t>
  </si>
  <si>
    <t xml:space="preserve"> クリエイト</t>
  </si>
  <si>
    <t xml:space="preserve"> テンポイノベ</t>
  </si>
  <si>
    <t xml:space="preserve"> 科研薬</t>
  </si>
  <si>
    <t xml:space="preserve"> 京　王</t>
  </si>
  <si>
    <t xml:space="preserve"> 不二製油</t>
  </si>
  <si>
    <t xml:space="preserve"> ウェルネット</t>
  </si>
  <si>
    <t xml:space="preserve"> ニチレイ</t>
  </si>
  <si>
    <t>" 50</t>
  </si>
  <si>
    <t xml:space="preserve"> メルカリ</t>
  </si>
  <si>
    <t xml:space="preserve"> ＣＤＧ</t>
  </si>
  <si>
    <t xml:space="preserve"> ソケッツ</t>
  </si>
  <si>
    <t xml:space="preserve"> アドソル</t>
  </si>
  <si>
    <t xml:space="preserve"> 極東貿</t>
  </si>
  <si>
    <t xml:space="preserve"> クロスキャット</t>
  </si>
  <si>
    <t xml:space="preserve"> ＷＤＢ</t>
  </si>
  <si>
    <t xml:space="preserve"> シスロケ</t>
  </si>
  <si>
    <t xml:space="preserve"> 旭松食</t>
  </si>
  <si>
    <t xml:space="preserve"> ロードスター</t>
  </si>
  <si>
    <t xml:space="preserve"> イルグルム</t>
  </si>
  <si>
    <t xml:space="preserve"> 東洋合成</t>
  </si>
  <si>
    <t xml:space="preserve"> 栗本鉄</t>
  </si>
  <si>
    <t xml:space="preserve"> 鉄鋼</t>
  </si>
  <si>
    <t xml:space="preserve"> ハーモニック</t>
  </si>
  <si>
    <t xml:space="preserve"> ヴィンクス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</si>
  <si>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</si>
  <si>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</si>
  <si>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</si>
  <si>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</si>
  <si>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 xml:space="preserve"> ササクラ</t>
  </si>
  <si>
    <t xml:space="preserve"> インフォマート</t>
  </si>
  <si>
    <t xml:space="preserve"> ＩＣＤＡ</t>
  </si>
  <si>
    <t xml:space="preserve"> フェイスNW</t>
  </si>
  <si>
    <t xml:space="preserve"> 3/2</t>
  </si>
  <si>
    <t xml:space="preserve"> 3/3</t>
  </si>
  <si>
    <t xml:space="preserve"> トヨタ紡織</t>
  </si>
  <si>
    <t xml:space="preserve"> マクニカ富士</t>
  </si>
  <si>
    <t xml:space="preserve"> LIXILビ</t>
  </si>
  <si>
    <t xml:space="preserve"> イーブック</t>
  </si>
  <si>
    <t xml:space="preserve"> さくら</t>
  </si>
  <si>
    <t>" 20</t>
  </si>
  <si>
    <t xml:space="preserve"> 西川計測</t>
  </si>
  <si>
    <t xml:space="preserve"> 技研製</t>
  </si>
  <si>
    <t xml:space="preserve"> オールアバウト</t>
  </si>
  <si>
    <t xml:space="preserve"> あらた</t>
  </si>
  <si>
    <t xml:space="preserve"> 双  日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</si>
  <si>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</si>
  <si>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</si>
  <si>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</si>
  <si>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</si>
  <si>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</si>
  <si>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 xml:space="preserve"> 帝　人</t>
  </si>
  <si>
    <t xml:space="preserve"> ソトー</t>
  </si>
  <si>
    <t xml:space="preserve"> フジックス</t>
  </si>
  <si>
    <t xml:space="preserve"> ネットイヤー</t>
  </si>
  <si>
    <t xml:space="preserve"> ＴＩＳ</t>
  </si>
  <si>
    <t xml:space="preserve"> セック</t>
  </si>
  <si>
    <t xml:space="preserve"> はごろも</t>
  </si>
  <si>
    <t xml:space="preserve"> 飯田GHD</t>
  </si>
  <si>
    <t xml:space="preserve"> 関門海</t>
  </si>
  <si>
    <t xml:space="preserve"> ＤＭＰ</t>
  </si>
  <si>
    <t xml:space="preserve"> ジェクシード</t>
  </si>
  <si>
    <t xml:space="preserve"> コプロHD</t>
  </si>
  <si>
    <t xml:space="preserve"> ＶＴＨＤ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</si>
  <si>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</si>
  <si>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</si>
  <si>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</si>
  <si>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</si>
  <si>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</si>
  <si>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</si>
  <si>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</si>
  <si>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</si>
  <si>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</si>
  <si>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</si>
  <si>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</si>
  <si>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</si>
  <si>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</si>
  <si>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</si>
  <si>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</si>
  <si>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</si>
  <si>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</si>
  <si>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</si>
  <si>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</si>
  <si>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</si>
  <si>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</si>
  <si>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</si>
  <si>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</si>
  <si>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</si>
  <si>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</si>
  <si>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</si>
  <si>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</si>
  <si>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</si>
  <si>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</si>
  <si>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</si>
  <si>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</si>
  <si>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</si>
  <si>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</si>
  <si>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</si>
  <si>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</si>
  <si>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</si>
  <si>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</si>
  <si>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クレディセゾン</t>
  </si>
  <si>
    <t>富士通ゼネラル</t>
  </si>
  <si>
    <t>三井住友フィナンシャルグループ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</si>
  <si>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</si>
  <si>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</si>
  <si>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</si>
  <si>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</si>
  <si>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</si>
  <si>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</si>
  <si>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</si>
  <si>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</si>
  <si>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</si>
  <si>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</si>
  <si>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</si>
  <si>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制度</t>
    <phoneticPr fontId="1" type="noConversion"/>
  </si>
  <si>
    <t>戸田建設</t>
    <phoneticPr fontId="1" type="noConversion"/>
  </si>
  <si>
    <t>住友ゴム工業</t>
    <phoneticPr fontId="1" type="noConversion"/>
  </si>
  <si>
    <t>ＴＫＣ</t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</si>
  <si>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</si>
  <si>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</si>
  <si>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</si>
  <si>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</si>
  <si>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東ソー</t>
  </si>
  <si>
    <t>東京精密</t>
  </si>
  <si>
    <t>安藤・間</t>
  </si>
  <si>
    <t>エン・ジャパン</t>
  </si>
  <si>
    <t>ＫＤＤＩ</t>
  </si>
  <si>
    <t>ニプロ</t>
  </si>
  <si>
    <t>ミネベアミツミ</t>
  </si>
  <si>
    <t>東洋紡</t>
  </si>
  <si>
    <t>ヒューリック</t>
  </si>
  <si>
    <t>サンドラッグ</t>
  </si>
  <si>
    <t>日清オイリオグループ</t>
  </si>
  <si>
    <t>テクノプロ・ホールディングス</t>
  </si>
  <si>
    <t>住友重機械工業</t>
  </si>
  <si>
    <t>マツダ</t>
  </si>
  <si>
    <t>スカパーＪＳＡＴホールディングス</t>
  </si>
  <si>
    <t>パラマウントベッドホールディングス</t>
  </si>
  <si>
    <t>エイチ・アイ・エス</t>
  </si>
  <si>
    <t>旭化成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</si>
  <si>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</si>
  <si>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</si>
  <si>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</si>
  <si>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</si>
  <si>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</si>
  <si>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</si>
  <si>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</si>
  <si>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</si>
  <si>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タマホーム</t>
  </si>
  <si>
    <t>サンヨーホームズ</t>
  </si>
  <si>
    <t>ファーストコーポレーション</t>
  </si>
  <si>
    <t>ベステラ</t>
  </si>
  <si>
    <t>国際石油開発帝石</t>
  </si>
  <si>
    <t>石油資源開発</t>
  </si>
  <si>
    <t>Ｋ＆Ｏエナジーグループ</t>
  </si>
  <si>
    <t>ミサワホーム</t>
  </si>
  <si>
    <t>東建コーポレーション</t>
  </si>
  <si>
    <t>ソネック</t>
  </si>
  <si>
    <t>ヤマウラ</t>
  </si>
  <si>
    <t>長谷工コーポレーション</t>
  </si>
  <si>
    <t>松井建設</t>
  </si>
  <si>
    <t>佐田建設</t>
  </si>
  <si>
    <t>富士ピー・エス</t>
  </si>
  <si>
    <t>大東建託</t>
  </si>
  <si>
    <t>ＮＩＰＰＯ</t>
  </si>
  <si>
    <t>前田道路</t>
  </si>
  <si>
    <t>日本道路</t>
  </si>
  <si>
    <t>巴コーポレーション</t>
  </si>
  <si>
    <t>北陸電気工事</t>
  </si>
  <si>
    <t>四電工</t>
  </si>
  <si>
    <t>住友電設</t>
  </si>
  <si>
    <t>新日本空調</t>
  </si>
  <si>
    <t>日本工営</t>
  </si>
  <si>
    <t>三機工業</t>
  </si>
  <si>
    <t>中外炉工業</t>
  </si>
  <si>
    <t>高砂熱学工業</t>
  </si>
  <si>
    <t>明星工業</t>
  </si>
  <si>
    <t>大氣社</t>
  </si>
  <si>
    <t>ダイダン</t>
  </si>
  <si>
    <t>東芝プラントシステム</t>
  </si>
  <si>
    <t>昭和産業</t>
  </si>
  <si>
    <t>メンバーズ</t>
  </si>
  <si>
    <t>中広</t>
  </si>
  <si>
    <t>ＵＴグループ</t>
  </si>
  <si>
    <t>リンクアンドモチベーション</t>
  </si>
  <si>
    <t>クックパッド</t>
  </si>
  <si>
    <t>アイ・ケイ・ケイ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</si>
  <si>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</si>
  <si>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</si>
  <si>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</si>
  <si>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</si>
  <si>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</si>
  <si>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</si>
  <si>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</si>
  <si>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カルビー</t>
  </si>
  <si>
    <t>六甲バター</t>
  </si>
  <si>
    <t>日本ハム</t>
  </si>
  <si>
    <t>柿安本店</t>
  </si>
  <si>
    <t>学情</t>
  </si>
  <si>
    <t>スタジオアリス</t>
  </si>
  <si>
    <t>いちご</t>
  </si>
  <si>
    <t>カカクコム</t>
  </si>
  <si>
    <t>ＳＢＳホールディングス</t>
  </si>
  <si>
    <t>ウェルネット</t>
  </si>
  <si>
    <t>博報堂ＤＹホールディングス</t>
  </si>
  <si>
    <t>ぐるなび</t>
  </si>
  <si>
    <t>ライク</t>
  </si>
  <si>
    <t>エスプール</t>
  </si>
  <si>
    <t>ＣＤＧ</t>
  </si>
  <si>
    <t>インフォマート</t>
  </si>
  <si>
    <t>サッポロホールディングス</t>
  </si>
  <si>
    <t>伊藤園</t>
  </si>
  <si>
    <t>キーコーヒー</t>
  </si>
  <si>
    <t>ジャパンフーズ</t>
  </si>
  <si>
    <t>ローソン</t>
  </si>
  <si>
    <t>サンエー</t>
  </si>
  <si>
    <t>カワチ薬品</t>
  </si>
  <si>
    <t>エービーシー・マート</t>
  </si>
  <si>
    <t>アスクル</t>
  </si>
  <si>
    <t>アダストリア</t>
  </si>
  <si>
    <t>シー・ヴイ・エス・ベイエリア</t>
  </si>
  <si>
    <t>伊藤忠食品</t>
  </si>
  <si>
    <t>くら寿司</t>
  </si>
  <si>
    <t>キャンドゥ</t>
  </si>
  <si>
    <t>エディオン</t>
  </si>
  <si>
    <t>ハニーズホールディングス</t>
  </si>
  <si>
    <t>キッコーマン</t>
  </si>
  <si>
    <t>アリアケジャパン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</si>
  <si>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</si>
  <si>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</si>
  <si>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</si>
  <si>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</si>
  <si>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</si>
  <si>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一正蒲鉾</t>
  </si>
  <si>
    <t>フジッコ</t>
  </si>
  <si>
    <t>ロック・フィールド</t>
  </si>
  <si>
    <t>ケンコーマヨネーズ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</si>
  <si>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</si>
  <si>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</si>
  <si>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</si>
  <si>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</si>
  <si>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</si>
  <si>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</si>
  <si>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</si>
  <si>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ビックカメラ</t>
  </si>
  <si>
    <t>東京一番フーズ</t>
  </si>
  <si>
    <t>きちりホールディングス</t>
  </si>
  <si>
    <t>Ｊ．フロント　リテイリング</t>
  </si>
  <si>
    <t>マツモトキヨシホールディングス</t>
  </si>
  <si>
    <t>ＺＯＺＯ</t>
  </si>
  <si>
    <t>ユニチカ</t>
  </si>
  <si>
    <t>富士紡ホールディングス</t>
  </si>
  <si>
    <t>倉敷紡績</t>
  </si>
  <si>
    <t>マクニカ・富士エレホールディングス</t>
  </si>
  <si>
    <t>ウエルシアホールディングス</t>
  </si>
  <si>
    <t>クリエイトＳＤホールディングス</t>
  </si>
  <si>
    <t>バイタルケーエスケー・ホールディングス</t>
  </si>
  <si>
    <t>メディアスホールディングス</t>
  </si>
  <si>
    <t>丸善ＣＨＩホールディングス</t>
  </si>
  <si>
    <t>大光</t>
  </si>
  <si>
    <t>ＯＣＨＩホールディングス</t>
  </si>
  <si>
    <t>黒谷</t>
  </si>
  <si>
    <t>チムニー</t>
  </si>
  <si>
    <t>シュッピン</t>
  </si>
  <si>
    <t>ビューティガレージ</t>
  </si>
  <si>
    <t>ウイン・パートナーズ</t>
  </si>
  <si>
    <t>ネクステージ</t>
  </si>
  <si>
    <t>鳥貴族</t>
  </si>
  <si>
    <t>すかいらーくホールディングス</t>
  </si>
  <si>
    <t>日本毛織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</si>
  <si>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</si>
  <si>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</si>
  <si>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</si>
  <si>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</si>
  <si>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ＴＨＥグローバル社</t>
  </si>
  <si>
    <t>日本管理センター</t>
  </si>
  <si>
    <t>フージャースホールディングス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</si>
  <si>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</si>
  <si>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</si>
  <si>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</si>
  <si>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</si>
  <si>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</si>
  <si>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</si>
  <si>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</si>
  <si>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</si>
  <si>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</si>
  <si>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トーカロ</t>
  </si>
  <si>
    <t>ファーストブラザーズ</t>
  </si>
  <si>
    <t>ハウスドゥ</t>
  </si>
  <si>
    <t>テンポイノベーション</t>
  </si>
  <si>
    <t>住江織物</t>
  </si>
  <si>
    <t>アツギ</t>
  </si>
  <si>
    <t>ウイルプラスホールディングス</t>
  </si>
  <si>
    <t>ジャパンミート</t>
  </si>
  <si>
    <t>サツドラホールディングス</t>
  </si>
  <si>
    <t>串カツ田中ホールディングス</t>
  </si>
  <si>
    <t>ソトー</t>
  </si>
  <si>
    <t>小松マテーレ</t>
  </si>
  <si>
    <t>ワコールホールディングス</t>
  </si>
  <si>
    <t>ホギメディカル</t>
  </si>
  <si>
    <t>レナウン</t>
  </si>
  <si>
    <t>ワールド</t>
  </si>
  <si>
    <t>ネオス</t>
  </si>
  <si>
    <t>ボルテージ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</si>
  <si>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</si>
  <si>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</si>
  <si>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</si>
  <si>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</si>
  <si>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</si>
  <si>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</si>
  <si>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</si>
  <si>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</si>
  <si>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</si>
  <si>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メディアドゥホールディングス</t>
  </si>
  <si>
    <t>ブイキューブ</t>
  </si>
  <si>
    <t>オプティム</t>
  </si>
  <si>
    <t>ＳＨＩＦＴ</t>
  </si>
  <si>
    <t>特種東海製紙</t>
  </si>
  <si>
    <t>ティーガイア</t>
  </si>
  <si>
    <t>インターネットイニシアティブ</t>
  </si>
  <si>
    <t>さくらインターネット</t>
  </si>
  <si>
    <t>Ｍｉｎｏｒｉソリューションズ</t>
  </si>
  <si>
    <t>北越コーポレーション</t>
  </si>
  <si>
    <t>中越パルプ工業</t>
  </si>
  <si>
    <t>巴川製紙所</t>
  </si>
  <si>
    <t>オークネット</t>
  </si>
  <si>
    <t>セグエグループ</t>
  </si>
  <si>
    <t>オロ</t>
  </si>
  <si>
    <t>サインポスト</t>
  </si>
  <si>
    <t>多木化学</t>
  </si>
  <si>
    <t>日本曹達</t>
  </si>
  <si>
    <t>トクヤマ</t>
  </si>
  <si>
    <t>東亞合成</t>
  </si>
  <si>
    <t>関東電化工業</t>
  </si>
  <si>
    <t>大陽日酸</t>
  </si>
  <si>
    <t>日本化学工業</t>
  </si>
  <si>
    <t>戸田工業</t>
  </si>
  <si>
    <t>保土谷化学工業</t>
  </si>
  <si>
    <t>日本触媒</t>
  </si>
  <si>
    <t>協和キリン</t>
  </si>
  <si>
    <t>東京応化工業</t>
  </si>
  <si>
    <t>住友ベークライト</t>
  </si>
  <si>
    <t>日本ゼオン</t>
  </si>
  <si>
    <t>積水樹脂</t>
  </si>
  <si>
    <t>旭有機材</t>
  </si>
  <si>
    <t>ニチバン</t>
  </si>
  <si>
    <t>日本化薬</t>
  </si>
  <si>
    <t>レッグス</t>
  </si>
  <si>
    <t>プレステージ・インターナショナル</t>
  </si>
  <si>
    <t>ハイマックス</t>
  </si>
  <si>
    <t>野村総合研究所</t>
  </si>
  <si>
    <t>ドリームインキュベータ</t>
  </si>
  <si>
    <t>ケネディクス</t>
  </si>
  <si>
    <t>ぴあ</t>
  </si>
  <si>
    <t>ソースネクスト</t>
  </si>
  <si>
    <t>シーティーエス</t>
  </si>
  <si>
    <t>扶桑化学工業</t>
  </si>
  <si>
    <t>日油</t>
  </si>
  <si>
    <t>ハリマ化成グループ</t>
  </si>
  <si>
    <t>花王</t>
  </si>
  <si>
    <t>第一工業製薬</t>
  </si>
  <si>
    <t>アステラス製薬</t>
  </si>
  <si>
    <t>わかもと製薬</t>
  </si>
  <si>
    <t>科研製薬</t>
  </si>
  <si>
    <t>ロート製薬</t>
  </si>
  <si>
    <t>小野薬品工業</t>
  </si>
  <si>
    <t>持田製薬</t>
  </si>
  <si>
    <t>参天製薬</t>
  </si>
  <si>
    <t>扶桑薬品工業</t>
  </si>
  <si>
    <t>ツムラ</t>
  </si>
  <si>
    <t>テルモ</t>
  </si>
  <si>
    <t>キッセイ薬品工業</t>
  </si>
  <si>
    <t>富士製薬工業</t>
  </si>
  <si>
    <t>沢井製薬</t>
  </si>
  <si>
    <t>ゼリア新薬工業</t>
  </si>
  <si>
    <t>大幸薬品</t>
  </si>
  <si>
    <t>日本ペイントホールディングス</t>
  </si>
  <si>
    <t>中国塗料</t>
  </si>
  <si>
    <t>サカタインクス</t>
  </si>
  <si>
    <t>日本空調サービス</t>
  </si>
  <si>
    <t>ダスキン</t>
  </si>
  <si>
    <t>明光ネットワークジャパン</t>
  </si>
  <si>
    <t>ファルコホールディングス</t>
  </si>
  <si>
    <t>フジ・メディア・ホールディングス</t>
  </si>
  <si>
    <t>ワタベウェディング</t>
  </si>
  <si>
    <t>日本オラクル</t>
  </si>
  <si>
    <t>アルファシステムズ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</si>
  <si>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</si>
  <si>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</si>
  <si>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</si>
  <si>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</si>
  <si>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</si>
  <si>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ＣＩＪ</t>
  </si>
  <si>
    <t>ビジネスエンジニアリング</t>
  </si>
  <si>
    <t>ＷＯＷＯＷ</t>
  </si>
  <si>
    <t>フルキャストホールディングス</t>
  </si>
  <si>
    <t>マンダム</t>
  </si>
  <si>
    <t>ミルボン</t>
  </si>
  <si>
    <t>アジュバンコスメジャパン</t>
  </si>
  <si>
    <t>エステー</t>
  </si>
  <si>
    <t>アグロ　カネショウ</t>
  </si>
  <si>
    <t>長谷川香料</t>
  </si>
  <si>
    <t>小林製薬</t>
  </si>
  <si>
    <t>荒川化学工業</t>
  </si>
  <si>
    <t>ＪＣＵ</t>
  </si>
  <si>
    <t>アース製薬</t>
  </si>
  <si>
    <t>日本農薬</t>
  </si>
  <si>
    <t>ＭＯＲＥＳＣＯ</t>
  </si>
  <si>
    <t>ＴＯＹＯ　ＴＩＲＥ</t>
  </si>
  <si>
    <t>藤倉コンポジット</t>
  </si>
  <si>
    <t>フコク</t>
  </si>
  <si>
    <t>ニッタ</t>
  </si>
  <si>
    <t>住友理工</t>
  </si>
  <si>
    <t>三ツ星ベルト</t>
  </si>
  <si>
    <t>ＡＧＣ</t>
  </si>
  <si>
    <t>日本山村硝子</t>
  </si>
  <si>
    <t>オハラ</t>
  </si>
  <si>
    <t>住友大阪セメント</t>
  </si>
  <si>
    <t>三谷セキサン</t>
  </si>
  <si>
    <t>東海カーボン</t>
  </si>
  <si>
    <t>日本カーボン</t>
  </si>
  <si>
    <t>東洋炭素</t>
  </si>
  <si>
    <t>ＴＯＴＯ</t>
  </si>
  <si>
    <t>ＭＡＲＵＷＡ</t>
  </si>
  <si>
    <t>黒崎播磨</t>
  </si>
  <si>
    <t>イソライト工業</t>
  </si>
  <si>
    <t>日本製鉄</t>
  </si>
  <si>
    <t>合同製鐵</t>
  </si>
  <si>
    <t>共英製鋼</t>
  </si>
  <si>
    <t>淀川製鋼所</t>
  </si>
  <si>
    <t>日本高周波鋼業</t>
  </si>
  <si>
    <t>日本冶金工業</t>
  </si>
  <si>
    <t>山陽特殊製鋼</t>
  </si>
  <si>
    <t>愛知製鋼</t>
  </si>
  <si>
    <t>日立金属</t>
  </si>
  <si>
    <t>栗本鐵工所</t>
  </si>
  <si>
    <t>虹技</t>
  </si>
  <si>
    <t>日本製鋼所</t>
  </si>
  <si>
    <t>三菱製鋼</t>
  </si>
  <si>
    <t>日本精線</t>
  </si>
  <si>
    <t>三菱マテリアル</t>
  </si>
  <si>
    <t>ＤＯＷＡホールディングス</t>
  </si>
  <si>
    <t>ＵＡＣＪ</t>
  </si>
  <si>
    <t>東京特殊電線</t>
  </si>
  <si>
    <t>タツタ電線</t>
  </si>
  <si>
    <t>ホッカンホールディングス</t>
  </si>
  <si>
    <t>横河ブリッジホールディングス</t>
  </si>
  <si>
    <t>三協立山</t>
  </si>
  <si>
    <t>ノーリツ</t>
  </si>
  <si>
    <t>長府製作所</t>
  </si>
  <si>
    <t>ユニプレス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</si>
  <si>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</si>
  <si>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</si>
  <si>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</si>
  <si>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</si>
  <si>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</si>
  <si>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</si>
  <si>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</si>
  <si>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</si>
  <si>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</si>
  <si>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</si>
  <si>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</si>
  <si>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</si>
  <si>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</si>
  <si>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シグマクシス</t>
  </si>
  <si>
    <t>エスクロー・エージェント・ジャパン</t>
  </si>
  <si>
    <t>エラン</t>
  </si>
  <si>
    <t>ツガミ</t>
  </si>
  <si>
    <t>オークマ</t>
  </si>
  <si>
    <t>東芝機械</t>
  </si>
  <si>
    <t>アイダエンジニアリング</t>
  </si>
  <si>
    <t>オーエスジー</t>
  </si>
  <si>
    <t>ソディック</t>
  </si>
  <si>
    <t>ディスコ</t>
  </si>
  <si>
    <t>日東工器</t>
  </si>
  <si>
    <t>日進工具</t>
  </si>
  <si>
    <t>パンチ工業</t>
  </si>
  <si>
    <t>鎌倉新書</t>
  </si>
  <si>
    <t>アトラエ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</si>
  <si>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</si>
  <si>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</si>
  <si>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</si>
  <si>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</si>
  <si>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</si>
  <si>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</si>
  <si>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日阪製作所</t>
  </si>
  <si>
    <t>平田機工</t>
  </si>
  <si>
    <t>ペガサスミシン製造</t>
  </si>
  <si>
    <t>三井海洋開発</t>
  </si>
  <si>
    <t>ＳＭＣ</t>
  </si>
  <si>
    <t>ヤマハモーターロボティクスホールディングス</t>
  </si>
  <si>
    <t>ユニオンツール</t>
  </si>
  <si>
    <t>日精エー・エス・ビー機械</t>
  </si>
  <si>
    <t>井関農機</t>
  </si>
  <si>
    <t>ＴＯＷＡ</t>
  </si>
  <si>
    <t>丸山製作所</t>
  </si>
  <si>
    <t>タカキタ</t>
  </si>
  <si>
    <t>クボタ</t>
  </si>
  <si>
    <t>東洋エンジニアリング</t>
  </si>
  <si>
    <t>三菱化工機</t>
  </si>
  <si>
    <t>月島機械</t>
  </si>
  <si>
    <t>小森コーポレーション</t>
  </si>
  <si>
    <t>鶴見製作所</t>
  </si>
  <si>
    <t>酒井重工業</t>
  </si>
  <si>
    <t>荏原製作所</t>
  </si>
  <si>
    <t>石井鐵工所</t>
  </si>
  <si>
    <t>酉島製作所</t>
  </si>
  <si>
    <t>ダイキン工業</t>
  </si>
  <si>
    <t>オルガノ</t>
  </si>
  <si>
    <t>アネスト岩田</t>
  </si>
  <si>
    <t>ＣＫＤ</t>
  </si>
  <si>
    <t>平和</t>
  </si>
  <si>
    <t>理想科学工業</t>
  </si>
  <si>
    <t>オーイズミ</t>
  </si>
  <si>
    <t>ダイコク電機</t>
  </si>
  <si>
    <t>アマノ</t>
  </si>
  <si>
    <t>サンデンホールディングス</t>
  </si>
  <si>
    <t>マックス</t>
  </si>
  <si>
    <t>ＴＰＲ</t>
  </si>
  <si>
    <t>ユーシン精機</t>
  </si>
  <si>
    <t>日本ピラー工業</t>
  </si>
  <si>
    <t>東洋電機製造</t>
  </si>
  <si>
    <t>安川電機</t>
  </si>
  <si>
    <t>明電舎</t>
  </si>
  <si>
    <t>アイモバイル</t>
  </si>
  <si>
    <t>グリーンズ</t>
  </si>
  <si>
    <t>ツナググループ・ホールディングス</t>
  </si>
  <si>
    <t>マキタ</t>
  </si>
  <si>
    <t>ダイヘン</t>
  </si>
  <si>
    <t>第一精工</t>
  </si>
  <si>
    <t>日新電機</t>
  </si>
  <si>
    <t>オムロン</t>
  </si>
  <si>
    <t>ＩＤＥＣ</t>
  </si>
  <si>
    <t>正興電機製作所</t>
  </si>
  <si>
    <t>メルコホールディングス</t>
  </si>
  <si>
    <t>岩崎通信機</t>
  </si>
  <si>
    <t>電気興業</t>
  </si>
  <si>
    <t>ナカヨ</t>
  </si>
  <si>
    <t>ルネサスエレクトロニクス</t>
  </si>
  <si>
    <t>セイコーエプソン</t>
  </si>
  <si>
    <t>星和電機</t>
  </si>
  <si>
    <t>エレコム</t>
  </si>
  <si>
    <t>アンリツ</t>
  </si>
  <si>
    <t>ＴＤＫ</t>
  </si>
  <si>
    <t>帝国通信工業</t>
  </si>
  <si>
    <t>鈴木</t>
  </si>
  <si>
    <t>フォスター電機</t>
  </si>
  <si>
    <t>ＳＭＫ</t>
  </si>
  <si>
    <t>ホシデン</t>
  </si>
  <si>
    <t>ヒロセ電機</t>
  </si>
  <si>
    <t>古野電気</t>
  </si>
  <si>
    <t>スミダコーポレーション</t>
  </si>
  <si>
    <t>リオン</t>
  </si>
  <si>
    <t>船井電機</t>
  </si>
  <si>
    <t>東亜ディーケーケー</t>
  </si>
  <si>
    <t>アドバンテスト</t>
  </si>
  <si>
    <t>キーエンス</t>
  </si>
  <si>
    <t>日本マイクロニクス</t>
  </si>
  <si>
    <t>メガチップス</t>
  </si>
  <si>
    <t>ＩＭＡＧＩＣＡ　ＧＲＯＵＰ</t>
  </si>
  <si>
    <t>デンソー</t>
  </si>
  <si>
    <t>千代田インテグレ</t>
  </si>
  <si>
    <t>アイ・オー・データ機器</t>
  </si>
  <si>
    <t>岡谷電機産業</t>
  </si>
  <si>
    <t>山一電機</t>
  </si>
  <si>
    <t>図研</t>
  </si>
  <si>
    <t>日本シイエムケイ</t>
  </si>
  <si>
    <t>エンプラス</t>
  </si>
  <si>
    <t>大真空</t>
  </si>
  <si>
    <t>新光電気工業</t>
  </si>
  <si>
    <t>京セラ</t>
  </si>
  <si>
    <t>太陽誘電</t>
  </si>
  <si>
    <t>北陸電気工業</t>
  </si>
  <si>
    <t>三井Ｅ＆Ｓホールディングス</t>
  </si>
  <si>
    <t>川崎重工業</t>
  </si>
  <si>
    <t>名村造船所</t>
  </si>
  <si>
    <t>スプリックス</t>
  </si>
  <si>
    <t>日本車輌製造</t>
  </si>
  <si>
    <t>三菱ロジスネクスト</t>
  </si>
  <si>
    <t>島根銀行</t>
  </si>
  <si>
    <t>全国保証</t>
  </si>
  <si>
    <t>東京きらぼしフィナンシャルグループ</t>
  </si>
  <si>
    <t>富山第一銀行</t>
  </si>
  <si>
    <t>マーキュリアインベストメント</t>
  </si>
  <si>
    <t>いすゞ自動車</t>
  </si>
  <si>
    <t>武蔵精密工業</t>
  </si>
  <si>
    <t>日産車体</t>
  </si>
  <si>
    <t>新明和工業</t>
  </si>
  <si>
    <t>極東開発工業</t>
  </si>
  <si>
    <t>トピー工業</t>
  </si>
  <si>
    <t>ティラド</t>
  </si>
  <si>
    <t>タチエス</t>
  </si>
  <si>
    <t>ＮＯＫ</t>
  </si>
  <si>
    <t>市光工業</t>
  </si>
  <si>
    <t>ＴＢＫ</t>
  </si>
  <si>
    <t>ミツバ</t>
  </si>
  <si>
    <t>愛三工業</t>
  </si>
  <si>
    <t>エフ・シー・シー</t>
  </si>
  <si>
    <t>シマノ</t>
  </si>
  <si>
    <t>テイ・エス　テック</t>
  </si>
  <si>
    <t>関西みらいフィナンシャルグループ</t>
  </si>
  <si>
    <t>はるやまホールディングス</t>
  </si>
  <si>
    <t>佐鳥電機</t>
  </si>
  <si>
    <t>エコートレーディング</t>
  </si>
  <si>
    <t>中山福</t>
  </si>
  <si>
    <t>ライトオン</t>
  </si>
  <si>
    <t>三菱食品</t>
  </si>
  <si>
    <t>第一興商</t>
  </si>
  <si>
    <t>メディパルホールディングス</t>
  </si>
  <si>
    <t>アドヴァン</t>
  </si>
  <si>
    <t>アルビス</t>
  </si>
  <si>
    <t>アズワン</t>
  </si>
  <si>
    <t>スズデン</t>
  </si>
  <si>
    <t>シモジマ</t>
  </si>
  <si>
    <t>小津産業</t>
  </si>
  <si>
    <t>コナカ</t>
  </si>
  <si>
    <t>ハウス　オブ　ローゼ</t>
  </si>
  <si>
    <t>たけびし</t>
  </si>
  <si>
    <t>ワタミ</t>
  </si>
  <si>
    <t>マルシェ</t>
  </si>
  <si>
    <t>パン・パシフィック・インターナショナルホールディングス</t>
  </si>
  <si>
    <t>西松屋チェーン</t>
  </si>
  <si>
    <t>橋本総業ホールディングス</t>
  </si>
  <si>
    <t>ＶＴホールディングス</t>
  </si>
  <si>
    <t>ＩＤＯＭ</t>
  </si>
  <si>
    <t>ポプラ</t>
  </si>
  <si>
    <t>ハイデイ日高</t>
  </si>
  <si>
    <t>シークス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</si>
  <si>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</si>
  <si>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</si>
  <si>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</si>
  <si>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</si>
  <si>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</si>
  <si>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</si>
  <si>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島津製作所</t>
  </si>
  <si>
    <t>ＪＭＳ</t>
  </si>
  <si>
    <t>愛知時計電機</t>
  </si>
  <si>
    <t>オリンパス</t>
  </si>
  <si>
    <t>タムロン</t>
  </si>
  <si>
    <t>シード</t>
  </si>
  <si>
    <t>朝日インテック</t>
  </si>
  <si>
    <t>リコー</t>
  </si>
  <si>
    <t>リズム時計工業</t>
  </si>
  <si>
    <t>シンシア</t>
  </si>
  <si>
    <t>ＳＨＯ－ＢＩ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</si>
  <si>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</si>
  <si>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</si>
  <si>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</si>
  <si>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</si>
  <si>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</si>
  <si>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</si>
  <si>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</si>
  <si>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ウッドワン</t>
  </si>
  <si>
    <t>凸版印刷</t>
  </si>
  <si>
    <t>大日本印刷</t>
  </si>
  <si>
    <t>光村印刷</t>
  </si>
  <si>
    <t>アシックス</t>
  </si>
  <si>
    <t>ツツミ</t>
  </si>
  <si>
    <t>小松ウオール工業</t>
  </si>
  <si>
    <t>ヤマハ</t>
  </si>
  <si>
    <t>河合楽器製作所</t>
  </si>
  <si>
    <t>キングジム</t>
  </si>
  <si>
    <t>象印マホービン</t>
  </si>
  <si>
    <t>信越ポリマー</t>
  </si>
  <si>
    <t>タカラスタンダード</t>
  </si>
  <si>
    <t>コクヨ</t>
  </si>
  <si>
    <t>ニフコ</t>
  </si>
  <si>
    <t>ＭＵＴＯＨホールディングス</t>
  </si>
  <si>
    <t>伊藤忠商事</t>
  </si>
  <si>
    <t>ヨンドシーホールディングス</t>
  </si>
  <si>
    <t>三陽商会</t>
  </si>
  <si>
    <t>豊田通商</t>
  </si>
  <si>
    <t>オンワードホールディングス</t>
  </si>
  <si>
    <t>ファミリーマート</t>
  </si>
  <si>
    <t>三井物産</t>
  </si>
  <si>
    <t>日本紙パルプ商事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</si>
  <si>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</si>
  <si>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</si>
  <si>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</si>
  <si>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</si>
  <si>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</si>
  <si>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</si>
  <si>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ユアサ商事</t>
  </si>
  <si>
    <t>神鋼商事</t>
  </si>
  <si>
    <t>小林産業</t>
  </si>
  <si>
    <t>正栄食品工業</t>
  </si>
  <si>
    <t>すてきナイスグループ</t>
  </si>
  <si>
    <t>極東貿易</t>
  </si>
  <si>
    <t>三愛石油</t>
  </si>
  <si>
    <t>稲畑産業</t>
  </si>
  <si>
    <t>ＧＳＩクレオス</t>
  </si>
  <si>
    <t>明和産業</t>
  </si>
  <si>
    <t>ユニ・チャーム</t>
  </si>
  <si>
    <t>デサント</t>
  </si>
  <si>
    <t>サンゲツ</t>
  </si>
  <si>
    <t>ミツウロコグループホールディングス</t>
  </si>
  <si>
    <t>シナネンホールディングス</t>
  </si>
  <si>
    <t>サンワテクノス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</si>
  <si>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</si>
  <si>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</si>
  <si>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</si>
  <si>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</si>
  <si>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</si>
  <si>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</si>
  <si>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</si>
  <si>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</si>
  <si>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上新電機</t>
  </si>
  <si>
    <t>日本瓦斯</t>
  </si>
  <si>
    <t>ロイヤルホールディングス</t>
  </si>
  <si>
    <t>いなげや</t>
  </si>
  <si>
    <t>島忠</t>
  </si>
  <si>
    <t>チヨダ</t>
  </si>
  <si>
    <t>ライフコーポレーション</t>
  </si>
  <si>
    <t>リンガーハット</t>
  </si>
  <si>
    <t>ＭｒＭａｘＨＤ</t>
  </si>
  <si>
    <t>ＡＯＫＩホールディングス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</si>
  <si>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</si>
  <si>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</si>
  <si>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</si>
  <si>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</si>
  <si>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</si>
  <si>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</si>
  <si>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パルコ</t>
  </si>
  <si>
    <t>丸井グループ</t>
  </si>
  <si>
    <t>フォーバル</t>
  </si>
  <si>
    <t>平和堂</t>
  </si>
  <si>
    <t>フジ</t>
  </si>
  <si>
    <t>ヤオコー</t>
  </si>
  <si>
    <t>ゼビオホールディングス</t>
  </si>
  <si>
    <t>ケーズホールディングス</t>
  </si>
  <si>
    <t>ＰＡＬＴＡＣ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</si>
  <si>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</si>
  <si>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</si>
  <si>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</si>
  <si>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</si>
  <si>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</si>
  <si>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</si>
  <si>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</si>
  <si>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</si>
  <si>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</si>
  <si>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</si>
  <si>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</si>
  <si>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</si>
  <si>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みちのく銀行</t>
  </si>
  <si>
    <t>静岡銀行</t>
  </si>
  <si>
    <t>十六銀行</t>
  </si>
  <si>
    <t>スルガ銀行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</si>
  <si>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</si>
  <si>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</si>
  <si>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</si>
  <si>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</si>
  <si>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</si>
  <si>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</si>
  <si>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</si>
  <si>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</si>
  <si>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</si>
  <si>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広島銀行</t>
  </si>
  <si>
    <t>中国銀行</t>
  </si>
  <si>
    <t>鳥取銀行</t>
  </si>
  <si>
    <t>伊予銀行</t>
  </si>
  <si>
    <t>四国銀行</t>
  </si>
  <si>
    <t>阿波銀行</t>
  </si>
  <si>
    <t>宮崎銀行</t>
  </si>
  <si>
    <t>佐賀銀行</t>
  </si>
  <si>
    <t>沖縄銀行</t>
  </si>
  <si>
    <t>琉球銀行</t>
  </si>
  <si>
    <t>高知銀行</t>
  </si>
  <si>
    <t>芙蓉総合リース</t>
  </si>
  <si>
    <t>東京センチュリー</t>
  </si>
  <si>
    <t>長野銀行</t>
  </si>
  <si>
    <t>名古屋銀行</t>
  </si>
  <si>
    <t>中京銀行</t>
  </si>
  <si>
    <t>大光銀行</t>
  </si>
  <si>
    <t>愛媛銀行</t>
  </si>
  <si>
    <t>トマト銀行</t>
  </si>
  <si>
    <t>京葉銀行</t>
  </si>
  <si>
    <t>北日本銀行</t>
  </si>
  <si>
    <t>東和銀行</t>
  </si>
  <si>
    <t>大東銀行</t>
  </si>
  <si>
    <t>リコーリース</t>
  </si>
  <si>
    <t>アプラスフィナンシャル</t>
  </si>
  <si>
    <t>ジャフコ</t>
  </si>
  <si>
    <t>丸三証券</t>
  </si>
  <si>
    <t>水戸証券</t>
  </si>
  <si>
    <t>いちよし証券</t>
  </si>
  <si>
    <t>松井証券</t>
  </si>
  <si>
    <t>ＳＯＭＰＯホールディングス</t>
  </si>
  <si>
    <t>だいこう証券ビジネス</t>
  </si>
  <si>
    <t>日本取引所グループ</t>
  </si>
  <si>
    <t>マネックスグループ</t>
  </si>
  <si>
    <t>藍澤證券</t>
  </si>
  <si>
    <t>池田泉州ホールディングス</t>
  </si>
  <si>
    <t>ＭＳ＆ＡＤインシュアランスグループホールディングス</t>
  </si>
  <si>
    <t>ソニーフィナンシャルホールディングス</t>
  </si>
  <si>
    <t>東京海上ホールディングス</t>
  </si>
  <si>
    <t>アドバンスクリエイト</t>
  </si>
  <si>
    <t>平和不動産</t>
  </si>
  <si>
    <t>東京建物</t>
  </si>
  <si>
    <t>ゴールドクレスト</t>
  </si>
  <si>
    <t>リログループ</t>
  </si>
  <si>
    <t>日本エスコン</t>
  </si>
  <si>
    <t>タカラレーベン</t>
  </si>
  <si>
    <t>サンヨーハウジング名古屋</t>
  </si>
  <si>
    <t>ファースト住建</t>
  </si>
  <si>
    <t>トーセイ</t>
  </si>
  <si>
    <t>穴吹興産</t>
  </si>
  <si>
    <t>インテリックス</t>
  </si>
  <si>
    <t>グランディハウス</t>
  </si>
  <si>
    <t>東武鉄道</t>
  </si>
  <si>
    <t>東急</t>
  </si>
  <si>
    <t>京浜急行電鉄</t>
  </si>
  <si>
    <t>小田急電鉄</t>
  </si>
  <si>
    <t>京王電鉄</t>
  </si>
  <si>
    <t>京成電鉄</t>
  </si>
  <si>
    <t>富士急行</t>
  </si>
  <si>
    <t>新京成電鉄</t>
  </si>
  <si>
    <t>西日本旅客鉄道</t>
  </si>
  <si>
    <t>西日本鉄道</t>
  </si>
  <si>
    <t>サカイ引越センター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</si>
  <si>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</si>
  <si>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</si>
  <si>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</si>
  <si>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</si>
  <si>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</si>
  <si>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</si>
  <si>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</si>
  <si>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トランコム</t>
  </si>
  <si>
    <t>山九</t>
  </si>
  <si>
    <t>センコーグループホールディングス</t>
  </si>
  <si>
    <t>トナミホールディングス</t>
  </si>
  <si>
    <t>福山通運</t>
  </si>
  <si>
    <t>セイノーホールディングス</t>
  </si>
  <si>
    <t>丸和運輸機関</t>
  </si>
  <si>
    <t>Ｃ＆Ｆロジホールディングス</t>
  </si>
  <si>
    <t>日本郵船</t>
  </si>
  <si>
    <t>商船三井</t>
  </si>
  <si>
    <t>川崎汽船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</si>
  <si>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</si>
  <si>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</si>
  <si>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</si>
  <si>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</si>
  <si>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</si>
  <si>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総合メディカルホールディングス</t>
  </si>
  <si>
    <t>住友倉庫</t>
  </si>
  <si>
    <t>東陽倉庫</t>
  </si>
  <si>
    <t>乾汽船</t>
  </si>
  <si>
    <t>日本トランスシティ</t>
  </si>
  <si>
    <t>東洋埠頭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</si>
  <si>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</si>
  <si>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</si>
  <si>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</si>
  <si>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</si>
  <si>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</si>
  <si>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ビジョン</t>
  </si>
  <si>
    <t>スマートバリュー</t>
  </si>
  <si>
    <t>コネクシオ</t>
  </si>
  <si>
    <t>日本電信電話</t>
  </si>
  <si>
    <t>エムティーアイ</t>
  </si>
  <si>
    <t>ＧＭＯインターネット</t>
  </si>
  <si>
    <t>ファイバーゲート</t>
  </si>
  <si>
    <t>ＫＡＤＯＫＡＷＡ</t>
  </si>
  <si>
    <t>学研ホールディングス</t>
  </si>
  <si>
    <t>昭文社</t>
  </si>
  <si>
    <t>中国電力</t>
  </si>
  <si>
    <t>イーレックス</t>
  </si>
  <si>
    <t>レノバ</t>
  </si>
  <si>
    <t>大阪瓦斯</t>
  </si>
  <si>
    <t>東邦瓦斯</t>
  </si>
  <si>
    <t>西部瓦斯</t>
  </si>
  <si>
    <t>静岡ガス</t>
  </si>
  <si>
    <t>メタウォーター</t>
  </si>
  <si>
    <t>松竹</t>
  </si>
  <si>
    <t>東映</t>
  </si>
  <si>
    <t>イチネンホールディングス</t>
  </si>
  <si>
    <t>スペース</t>
  </si>
  <si>
    <t>アインホールディングス</t>
  </si>
  <si>
    <t>ナガワ</t>
  </si>
  <si>
    <t>常磐興産</t>
  </si>
  <si>
    <t>東京ドーム</t>
  </si>
  <si>
    <t>カプコン</t>
  </si>
  <si>
    <t>ジャステック</t>
  </si>
  <si>
    <t>ＫＮＴ－ＣＴホールディングス</t>
  </si>
  <si>
    <t>トーカイ</t>
  </si>
  <si>
    <t>セントラル警備保障</t>
  </si>
  <si>
    <t>メイテック</t>
  </si>
  <si>
    <t>オオバ</t>
  </si>
  <si>
    <t>イオンディライト</t>
  </si>
  <si>
    <t>ナック</t>
  </si>
  <si>
    <t>泉州電業</t>
  </si>
  <si>
    <t>トラスコ中山</t>
  </si>
  <si>
    <t>ヤマダ電機</t>
  </si>
  <si>
    <t>モリト</t>
  </si>
  <si>
    <t>ニトリホールディングス</t>
  </si>
  <si>
    <t>グルメ杵屋</t>
  </si>
  <si>
    <t>愛眼</t>
  </si>
  <si>
    <t>ケーユーホールディングス</t>
  </si>
  <si>
    <t>吉野家ホールディングス</t>
  </si>
  <si>
    <t>加藤産業</t>
  </si>
  <si>
    <t>北恵</t>
  </si>
  <si>
    <t>イエローハット</t>
  </si>
  <si>
    <t>ＪＫホールディングス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</si>
  <si>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</si>
  <si>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</si>
  <si>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</si>
  <si>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</si>
  <si>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</si>
  <si>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</si>
  <si>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アークス</t>
  </si>
  <si>
    <t>ミスミグループ本社</t>
  </si>
  <si>
    <t>大庄</t>
  </si>
  <si>
    <t>タキヒヨー</t>
  </si>
  <si>
    <t>ファーストリテイリング</t>
  </si>
  <si>
    <t>やまや</t>
  </si>
  <si>
    <t>差分</t>
    <phoneticPr fontId="1" type="noConversion"/>
  </si>
  <si>
    <t>Total Profit</t>
    <phoneticPr fontId="1" type="noConversion"/>
  </si>
  <si>
    <t>1Y</t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</si>
  <si>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</si>
  <si>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</si>
  <si>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</si>
  <si>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</si>
  <si>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</si>
  <si>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</si>
  <si>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</si>
  <si>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</si>
  <si>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</si>
  <si>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</si>
  <si>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</si>
  <si>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</si>
  <si>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</si>
  <si>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</si>
  <si>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</si>
  <si>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</si>
  <si>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1Y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</si>
  <si>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</si>
  <si>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</si>
  <si>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</si>
  <si>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</si>
  <si>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</si>
  <si>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</si>
  <si>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</si>
  <si>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</si>
  <si>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</si>
  <si>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</si>
  <si>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パルコ</t>
  </si>
  <si>
    <t xml:space="preserve"> ミタチ</t>
  </si>
  <si>
    <t xml:space="preserve"> 出前館</t>
  </si>
  <si>
    <t xml:space="preserve"> パレモ・HD</t>
  </si>
  <si>
    <t xml:space="preserve"> Jフロント</t>
  </si>
  <si>
    <t xml:space="preserve"> ニイタカ</t>
  </si>
  <si>
    <t xml:space="preserve"> WNIウェザー</t>
  </si>
  <si>
    <t xml:space="preserve"> ナガイレーベ</t>
  </si>
  <si>
    <t xml:space="preserve"> 高島屋</t>
  </si>
  <si>
    <t xml:space="preserve"> 平和堂</t>
  </si>
  <si>
    <t xml:space="preserve"> セキチュー</t>
  </si>
  <si>
    <t xml:space="preserve"> ハローズ</t>
  </si>
  <si>
    <t xml:space="preserve"> トシンＧ</t>
  </si>
  <si>
    <t xml:space="preserve"> ＤＣＭ</t>
  </si>
  <si>
    <t xml:space="preserve"> テクノアルファ</t>
  </si>
  <si>
    <t xml:space="preserve"> ERI HD</t>
  </si>
  <si>
    <t xml:space="preserve"> タカキュー</t>
  </si>
  <si>
    <t xml:space="preserve"> ケーヨー</t>
  </si>
  <si>
    <t xml:space="preserve"> ニトリHD</t>
  </si>
  <si>
    <t xml:space="preserve"> 北  恵</t>
  </si>
  <si>
    <t xml:space="preserve"> カネコ種</t>
  </si>
  <si>
    <t xml:space="preserve"> スタジオアリス</t>
  </si>
  <si>
    <t xml:space="preserve"> アオキスーパー</t>
  </si>
  <si>
    <t xml:space="preserve"> 暁飯島</t>
  </si>
  <si>
    <t xml:space="preserve"> サンエー</t>
  </si>
  <si>
    <t xml:space="preserve"> サムティ</t>
  </si>
  <si>
    <t xml:space="preserve"> 京　進</t>
  </si>
  <si>
    <t xml:space="preserve"> 薬王堂HD</t>
  </si>
  <si>
    <t xml:space="preserve"> 和田興産</t>
  </si>
  <si>
    <t xml:space="preserve"> ベルク</t>
  </si>
  <si>
    <t xml:space="preserve"> トライステージ</t>
  </si>
  <si>
    <t xml:space="preserve"> ABC マート</t>
  </si>
  <si>
    <t xml:space="preserve"> ウエルシアHD</t>
  </si>
  <si>
    <t xml:space="preserve"> スタジオアタオ</t>
  </si>
  <si>
    <t xml:space="preserve"> ベル24HD</t>
  </si>
  <si>
    <t xml:space="preserve"> 放電精密</t>
  </si>
  <si>
    <t xml:space="preserve"> GameWith</t>
  </si>
  <si>
    <t xml:space="preserve"> サイゼリヤ</t>
  </si>
  <si>
    <t xml:space="preserve"> フ　ジ</t>
  </si>
  <si>
    <t xml:space="preserve"> ヤマシタヘルケア</t>
  </si>
  <si>
    <t xml:space="preserve"> 日本BS放</t>
  </si>
  <si>
    <t xml:space="preserve"> 天満屋ス</t>
  </si>
  <si>
    <t xml:space="preserve"> ヤマザワ</t>
  </si>
  <si>
    <t xml:space="preserve"> アルバイトタイ</t>
  </si>
  <si>
    <t xml:space="preserve"> 大黒天</t>
  </si>
  <si>
    <t xml:space="preserve"> アヲハタ</t>
  </si>
  <si>
    <t xml:space="preserve"> わらべや</t>
  </si>
  <si>
    <t xml:space="preserve"> シーズメン</t>
  </si>
  <si>
    <t xml:space="preserve"> オンリー</t>
  </si>
  <si>
    <t xml:space="preserve"> SHIFT</t>
  </si>
  <si>
    <t xml:space="preserve"> 大有機</t>
  </si>
  <si>
    <t xml:space="preserve"> 東京個別</t>
  </si>
  <si>
    <t xml:space="preserve"> クリーク&amp;リバ</t>
  </si>
  <si>
    <t xml:space="preserve"> 三協立山</t>
  </si>
  <si>
    <t xml:space="preserve"> 日フイルコン</t>
  </si>
  <si>
    <t xml:space="preserve"> エスクローAJ</t>
  </si>
  <si>
    <t xml:space="preserve"> フロイント</t>
  </si>
  <si>
    <t xml:space="preserve"> 安川電</t>
  </si>
  <si>
    <t xml:space="preserve"> ニューテック</t>
  </si>
  <si>
    <t xml:space="preserve"> スリーエフ</t>
  </si>
  <si>
    <t xml:space="preserve"> ポプラ</t>
  </si>
  <si>
    <t xml:space="preserve"> グラファイトD</t>
  </si>
  <si>
    <t xml:space="preserve"> 三光合成</t>
  </si>
  <si>
    <t xml:space="preserve"> リヒトラブ</t>
  </si>
  <si>
    <t xml:space="preserve"> 島　忠</t>
  </si>
  <si>
    <t xml:space="preserve"> 松　屋</t>
  </si>
  <si>
    <t xml:space="preserve"> 井筒屋</t>
  </si>
  <si>
    <t xml:space="preserve"> イズミ</t>
  </si>
  <si>
    <t xml:space="preserve"> リベレステ</t>
  </si>
  <si>
    <t xml:space="preserve"> イオンモール</t>
  </si>
  <si>
    <t xml:space="preserve"> キユソー流通</t>
  </si>
  <si>
    <t xml:space="preserve"> 乃村工</t>
  </si>
  <si>
    <t xml:space="preserve"> オオバ</t>
  </si>
  <si>
    <t xml:space="preserve"> 昴</t>
  </si>
  <si>
    <t xml:space="preserve"> カンセキ</t>
  </si>
  <si>
    <t xml:space="preserve"> ＯＳＧ</t>
  </si>
  <si>
    <t xml:space="preserve"> 竹内製作</t>
  </si>
  <si>
    <t xml:space="preserve"> 15:20</t>
  </si>
  <si>
    <t xml:space="preserve"> ウッドフレンス</t>
  </si>
  <si>
    <t xml:space="preserve"> エムビーエス</t>
  </si>
  <si>
    <t xml:space="preserve"> イージェイHD</t>
  </si>
  <si>
    <t xml:space="preserve"> コシダカHD</t>
  </si>
  <si>
    <t xml:space="preserve"> 地域新聞</t>
  </si>
  <si>
    <t xml:space="preserve"> S Foods</t>
  </si>
  <si>
    <t xml:space="preserve"> ディップ</t>
  </si>
  <si>
    <t xml:space="preserve"> アウンコンサル</t>
  </si>
  <si>
    <t xml:space="preserve"> タビオ</t>
  </si>
  <si>
    <t xml:space="preserve"> カネ美食品</t>
  </si>
  <si>
    <t xml:space="preserve"> ジーフット</t>
  </si>
  <si>
    <t xml:space="preserve"> シーヴイエス</t>
  </si>
  <si>
    <t xml:space="preserve"> ワッツ</t>
  </si>
  <si>
    <t xml:space="preserve"> フェスタリアHD</t>
  </si>
  <si>
    <t xml:space="preserve"> 北雄ラッキー</t>
  </si>
  <si>
    <t xml:space="preserve"> セイヒョー</t>
  </si>
  <si>
    <t xml:space="preserve"> スターマイカHD</t>
  </si>
  <si>
    <t xml:space="preserve"> カワサキ</t>
  </si>
  <si>
    <t xml:space="preserve"> JINSHD</t>
  </si>
  <si>
    <t xml:space="preserve"> ビックカメラ</t>
  </si>
  <si>
    <t xml:space="preserve"> jGroup</t>
  </si>
  <si>
    <t xml:space="preserve"> ライフフーズ</t>
  </si>
  <si>
    <t xml:space="preserve"> スーパーＶ</t>
  </si>
  <si>
    <t xml:space="preserve"> ＡＮＡＰ</t>
  </si>
  <si>
    <t xml:space="preserve"> キリン堂HD</t>
  </si>
  <si>
    <t xml:space="preserve"> フィルカンパニ</t>
  </si>
  <si>
    <t xml:space="preserve"> エストラスト</t>
  </si>
  <si>
    <t xml:space="preserve"> アズ企画</t>
  </si>
  <si>
    <t xml:space="preserve"> コメダ</t>
  </si>
  <si>
    <t xml:space="preserve"> ほぼ日</t>
  </si>
  <si>
    <t xml:space="preserve"> クラウディアH</t>
  </si>
  <si>
    <t xml:space="preserve"> TSI HD</t>
  </si>
  <si>
    <t xml:space="preserve"> ネオス</t>
  </si>
  <si>
    <t xml:space="preserve"> メディカネット</t>
  </si>
  <si>
    <t xml:space="preserve"> 協立情報</t>
  </si>
  <si>
    <t xml:space="preserve"> 創　通</t>
  </si>
  <si>
    <t xml:space="preserve"> メディ工房</t>
  </si>
  <si>
    <t xml:space="preserve"> システムインテ</t>
  </si>
  <si>
    <t xml:space="preserve"> 岡山製紙</t>
  </si>
  <si>
    <t xml:space="preserve"> テラスカイ</t>
  </si>
  <si>
    <t xml:space="preserve"> エルテス</t>
  </si>
  <si>
    <t xml:space="preserve"> エクスモーション</t>
  </si>
  <si>
    <t xml:space="preserve"> 東　名</t>
  </si>
  <si>
    <t xml:space="preserve"> ALPHA</t>
  </si>
  <si>
    <t xml:space="preserve"> 日本色材</t>
  </si>
  <si>
    <t xml:space="preserve"> トーヨーアサノ</t>
  </si>
  <si>
    <t xml:space="preserve"> ダイケン</t>
  </si>
  <si>
    <t xml:space="preserve"> マルゼン</t>
  </si>
  <si>
    <t xml:space="preserve"> タケダ機</t>
  </si>
  <si>
    <t xml:space="preserve"> エヌピーシー</t>
  </si>
  <si>
    <t xml:space="preserve"> ローツェ</t>
  </si>
  <si>
    <t xml:space="preserve"> プラズマ</t>
  </si>
  <si>
    <t xml:space="preserve"> ツインバード</t>
  </si>
  <si>
    <t xml:space="preserve"> ＨＫＳ</t>
  </si>
  <si>
    <t xml:space="preserve"> エコトレディン</t>
  </si>
  <si>
    <t xml:space="preserve"> オータケ</t>
  </si>
  <si>
    <t xml:space="preserve"> サンデー</t>
  </si>
  <si>
    <t xml:space="preserve"> 小津産業</t>
  </si>
  <si>
    <t xml:space="preserve"> コーナン商事</t>
  </si>
  <si>
    <t xml:space="preserve"> エコス</t>
  </si>
  <si>
    <t xml:space="preserve"> マックハウス</t>
  </si>
  <si>
    <t xml:space="preserve"> 進　和</t>
  </si>
  <si>
    <t xml:space="preserve"> インタアクション</t>
  </si>
  <si>
    <t xml:space="preserve"> マニー</t>
  </si>
  <si>
    <t xml:space="preserve"> 幸和製作</t>
  </si>
  <si>
    <t xml:space="preserve"> トランザクショ</t>
  </si>
  <si>
    <t xml:space="preserve"> 旭化学</t>
  </si>
  <si>
    <t xml:space="preserve"> オンワードHD</t>
  </si>
  <si>
    <t>044"</t>
  </si>
  <si>
    <t xml:space="preserve"> ファミリーマート</t>
  </si>
  <si>
    <t xml:space="preserve"> イワキ</t>
  </si>
  <si>
    <t xml:space="preserve"> ヤマトインタ</t>
  </si>
  <si>
    <t xml:space="preserve"> ラピーヌ</t>
  </si>
  <si>
    <t xml:space="preserve"> リテールPT</t>
  </si>
  <si>
    <t xml:space="preserve"> チヨダ</t>
  </si>
  <si>
    <t xml:space="preserve"> ライフコーポ</t>
  </si>
  <si>
    <t xml:space="preserve"> MrMaxHD</t>
  </si>
  <si>
    <t xml:space="preserve"> MV西日本</t>
  </si>
  <si>
    <t xml:space="preserve"> サンヨーナゴヤ</t>
  </si>
  <si>
    <t xml:space="preserve"> エネクスインフラ</t>
  </si>
  <si>
    <t xml:space="preserve"> 丸八倉</t>
  </si>
  <si>
    <t xml:space="preserve"> 歌舞伎</t>
  </si>
  <si>
    <t xml:space="preserve"> ジャステック</t>
  </si>
  <si>
    <t xml:space="preserve"> ＣＳＰ</t>
  </si>
  <si>
    <t xml:space="preserve"> テーオーHD</t>
  </si>
  <si>
    <t xml:space="preserve"> 吉野家HD</t>
  </si>
  <si>
    <t xml:space="preserve"> アークス</t>
  </si>
  <si>
    <t xml:space="preserve"> 文教堂HD</t>
  </si>
  <si>
    <t xml:space="preserve"> アイケイ</t>
  </si>
  <si>
    <t xml:space="preserve"> インターライフ</t>
  </si>
  <si>
    <t xml:space="preserve"> タマホーム</t>
  </si>
  <si>
    <t xml:space="preserve"> JESCO HD</t>
  </si>
  <si>
    <t xml:space="preserve"> プラップＪ</t>
  </si>
  <si>
    <t xml:space="preserve"> パルGHD</t>
  </si>
  <si>
    <t xml:space="preserve"> ヴィレッジV</t>
  </si>
  <si>
    <t xml:space="preserve"> ファーマライズ</t>
  </si>
  <si>
    <t xml:space="preserve"> Ｙ’Ｓ</t>
  </si>
  <si>
    <t xml:space="preserve"> ヨシムラフード</t>
  </si>
  <si>
    <t xml:space="preserve"> PCNET</t>
  </si>
  <si>
    <t xml:space="preserve"> ＤＤＨＤ</t>
  </si>
  <si>
    <t xml:space="preserve"> ジェーソン</t>
  </si>
  <si>
    <t xml:space="preserve"> ドトル日レス</t>
  </si>
  <si>
    <t xml:space="preserve"> ラクトJPN</t>
  </si>
  <si>
    <t xml:space="preserve"> クリエイトSDH</t>
  </si>
  <si>
    <t xml:space="preserve"> 買取王国</t>
  </si>
  <si>
    <t xml:space="preserve"> 白　鳩</t>
  </si>
  <si>
    <t xml:space="preserve"> ＳＦＰ</t>
  </si>
  <si>
    <t xml:space="preserve"> エスエルディー</t>
  </si>
  <si>
    <t xml:space="preserve"> 三栄建築</t>
  </si>
  <si>
    <t xml:space="preserve"> プロパスト</t>
  </si>
  <si>
    <t xml:space="preserve"> ファンドクリG</t>
  </si>
  <si>
    <t xml:space="preserve"> 日創プロ</t>
  </si>
  <si>
    <t xml:space="preserve"> 霞ヶ関キャ</t>
  </si>
  <si>
    <t xml:space="preserve"> アクサスHD</t>
  </si>
  <si>
    <t xml:space="preserve"> 農総研</t>
  </si>
  <si>
    <t xml:space="preserve"> 串カツ田中</t>
  </si>
  <si>
    <t xml:space="preserve"> ロコンド</t>
  </si>
  <si>
    <t xml:space="preserve"> ケイブ</t>
  </si>
  <si>
    <t xml:space="preserve"> IGポート</t>
  </si>
  <si>
    <t xml:space="preserve"> サイバーS</t>
  </si>
  <si>
    <t xml:space="preserve"> アクロディア</t>
  </si>
  <si>
    <t xml:space="preserve"> エディア</t>
  </si>
  <si>
    <t xml:space="preserve"> ＵＵＵＭ</t>
  </si>
  <si>
    <t xml:space="preserve"> ウォンテッドリ</t>
  </si>
  <si>
    <t xml:space="preserve"> マネフォワ-ド</t>
  </si>
  <si>
    <t xml:space="preserve"> チームスピリト</t>
  </si>
  <si>
    <t xml:space="preserve"> ダイト</t>
  </si>
  <si>
    <t xml:space="preserve"> 川上塗</t>
  </si>
  <si>
    <t xml:space="preserve"> 市進ＨＤ</t>
  </si>
  <si>
    <t xml:space="preserve"> トーセ</t>
  </si>
  <si>
    <t xml:space="preserve"> 北興化</t>
  </si>
  <si>
    <t xml:space="preserve"> MORESCO</t>
  </si>
  <si>
    <t xml:space="preserve"> 石油石炭製品</t>
  </si>
  <si>
    <t xml:space="preserve"> JMACS</t>
  </si>
  <si>
    <t xml:space="preserve"> 三機Ｓ</t>
  </si>
  <si>
    <t xml:space="preserve"> Gunosy</t>
  </si>
  <si>
    <t xml:space="preserve"> デザインワン</t>
  </si>
  <si>
    <t xml:space="preserve"> キャリアリンク</t>
  </si>
  <si>
    <t xml:space="preserve"> シンメンテHD</t>
  </si>
  <si>
    <t xml:space="preserve"> ロゼッタ</t>
  </si>
  <si>
    <t xml:space="preserve"> セラク</t>
  </si>
  <si>
    <t xml:space="preserve"> 東洋電</t>
  </si>
  <si>
    <t xml:space="preserve"> クックビズ</t>
  </si>
  <si>
    <t xml:space="preserve"> ＲＰＡ</t>
  </si>
  <si>
    <t xml:space="preserve"> anfac</t>
  </si>
  <si>
    <t xml:space="preserve"> ライトオン</t>
  </si>
  <si>
    <t xml:space="preserve"> マルヨシセンター</t>
  </si>
  <si>
    <t xml:space="preserve"> ＩＤＯＭ</t>
  </si>
  <si>
    <t xml:space="preserve"> エスケイ</t>
  </si>
  <si>
    <t xml:space="preserve"> CSランバー</t>
  </si>
  <si>
    <t xml:space="preserve"> 東天紅</t>
  </si>
  <si>
    <t xml:space="preserve"> サイカ屋</t>
  </si>
  <si>
    <t xml:space="preserve"> 山陽百</t>
  </si>
  <si>
    <t xml:space="preserve"> インテリックス</t>
  </si>
  <si>
    <t xml:space="preserve"> ポエック</t>
  </si>
  <si>
    <t xml:space="preserve"> ＳＯＵ</t>
  </si>
  <si>
    <t xml:space="preserve"> ナルミヤ</t>
  </si>
  <si>
    <t xml:space="preserve"> 松　竹</t>
  </si>
  <si>
    <t xml:space="preserve"> モリト</t>
  </si>
  <si>
    <t xml:space="preserve"> アルテック</t>
  </si>
  <si>
    <t xml:space="preserve"> 大　庄</t>
  </si>
  <si>
    <t xml:space="preserve"> ニッケ</t>
  </si>
  <si>
    <t xml:space="preserve"> 川口化</t>
  </si>
  <si>
    <t xml:space="preserve"> 川崎地質</t>
  </si>
  <si>
    <t xml:space="preserve"> アクトコール</t>
  </si>
  <si>
    <t xml:space="preserve"> 不二越</t>
  </si>
  <si>
    <t xml:space="preserve"> マルカ</t>
  </si>
  <si>
    <t xml:space="preserve"> ノ　ダ</t>
  </si>
  <si>
    <t xml:space="preserve"> タカラインフラF</t>
  </si>
  <si>
    <t xml:space="preserve"> 1/16</t>
  </si>
  <si>
    <t xml:space="preserve"> 平和RE</t>
  </si>
  <si>
    <t xml:space="preserve"> プロロジス</t>
  </si>
  <si>
    <t xml:space="preserve"> 津田駒</t>
  </si>
  <si>
    <t xml:space="preserve"> くろ工</t>
  </si>
  <si>
    <t xml:space="preserve"> ユナイテッドU</t>
  </si>
  <si>
    <t xml:space="preserve"> 協和コンサ</t>
  </si>
  <si>
    <t xml:space="preserve"> 1/20</t>
  </si>
  <si>
    <t xml:space="preserve"> アサヒ陶</t>
  </si>
  <si>
    <t xml:space="preserve"> 1/21</t>
  </si>
  <si>
    <t xml:space="preserve"> 大江戸温</t>
  </si>
  <si>
    <t xml:space="preserve"> 大和オフィス</t>
  </si>
  <si>
    <t xml:space="preserve"> 1/24</t>
  </si>
  <si>
    <t xml:space="preserve"> エンプラス</t>
  </si>
  <si>
    <t xml:space="preserve"> ジャフコ</t>
  </si>
  <si>
    <t xml:space="preserve"> 証券商品先物</t>
  </si>
  <si>
    <t xml:space="preserve"> 洋 シヤタ</t>
  </si>
  <si>
    <t xml:space="preserve"> SE H&amp;I</t>
  </si>
  <si>
    <t xml:space="preserve"> NTTDIM</t>
  </si>
  <si>
    <t xml:space="preserve"> 養命酒</t>
  </si>
  <si>
    <t xml:space="preserve"> 四国化</t>
  </si>
  <si>
    <t xml:space="preserve"> 日清粉Ｇ</t>
  </si>
  <si>
    <t xml:space="preserve"> ウェッズ</t>
  </si>
  <si>
    <t xml:space="preserve"> サンワテクノス</t>
  </si>
  <si>
    <t xml:space="preserve"> ステップ</t>
  </si>
  <si>
    <t>442"</t>
  </si>
  <si>
    <t xml:space="preserve"> 京　写</t>
  </si>
  <si>
    <t xml:space="preserve"> フラベッドH</t>
  </si>
  <si>
    <t xml:space="preserve"> 沖縄電</t>
  </si>
  <si>
    <t xml:space="preserve"> ＮＳＤ</t>
  </si>
  <si>
    <t xml:space="preserve"> 日鉄鉱</t>
  </si>
  <si>
    <t xml:space="preserve"> カワニシHD</t>
  </si>
  <si>
    <t xml:space="preserve"> セ硝子</t>
  </si>
  <si>
    <t xml:space="preserve"> 三浦工</t>
  </si>
  <si>
    <t>" 70</t>
  </si>
  <si>
    <t xml:space="preserve"> キッコーマン</t>
  </si>
  <si>
    <t xml:space="preserve"> 大陽日酸</t>
  </si>
  <si>
    <t xml:space="preserve"> 三井化学</t>
  </si>
  <si>
    <t xml:space="preserve"> 日　油</t>
  </si>
  <si>
    <t xml:space="preserve"> 日本新薬</t>
  </si>
  <si>
    <t xml:space="preserve"> ナカヨ</t>
  </si>
  <si>
    <t xml:space="preserve"> 西武ＨＤ</t>
  </si>
  <si>
    <t xml:space="preserve"> コムシスHD</t>
  </si>
  <si>
    <t xml:space="preserve"> トランス</t>
  </si>
  <si>
    <t xml:space="preserve"> ソフトマックス</t>
  </si>
  <si>
    <t xml:space="preserve"> ULS-G</t>
  </si>
  <si>
    <t xml:space="preserve"> ナブテスコ</t>
  </si>
  <si>
    <t xml:space="preserve"> 双葉電</t>
  </si>
  <si>
    <t xml:space="preserve"> ゼ　ロ</t>
  </si>
  <si>
    <t xml:space="preserve"> 2/8</t>
  </si>
  <si>
    <t xml:space="preserve"> 北川精機</t>
  </si>
  <si>
    <t xml:space="preserve"> 13:00</t>
  </si>
  <si>
    <t xml:space="preserve"> Tナカヤマ</t>
  </si>
  <si>
    <t xml:space="preserve"> ウインパートナ</t>
  </si>
  <si>
    <t xml:space="preserve"> 高松機械</t>
  </si>
  <si>
    <t xml:space="preserve"> ファルテック</t>
  </si>
  <si>
    <t xml:space="preserve"> インプレス</t>
  </si>
  <si>
    <t xml:space="preserve"> サイババズ</t>
  </si>
  <si>
    <t xml:space="preserve"> Iスペース</t>
  </si>
  <si>
    <t xml:space="preserve"> 価値開発</t>
  </si>
  <si>
    <t xml:space="preserve"> Welby</t>
  </si>
  <si>
    <t xml:space="preserve"> クリエート</t>
  </si>
  <si>
    <t xml:space="preserve"> 神戸天然</t>
  </si>
  <si>
    <t xml:space="preserve"> ＤＷＴＩ</t>
  </si>
  <si>
    <t xml:space="preserve"> ピクセル</t>
  </si>
  <si>
    <t xml:space="preserve"> クリヤマHD</t>
  </si>
  <si>
    <t xml:space="preserve"> JTECCORP</t>
  </si>
  <si>
    <t xml:space="preserve"> 市光工</t>
  </si>
  <si>
    <t xml:space="preserve"> シークス</t>
  </si>
  <si>
    <t xml:space="preserve"> 黒田精</t>
  </si>
  <si>
    <t xml:space="preserve"> ユニチャーム</t>
  </si>
  <si>
    <t>" 23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</si>
  <si>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</si>
  <si>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</si>
  <si>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</si>
  <si>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</si>
  <si>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</si>
  <si>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</si>
  <si>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 xml:space="preserve"> ファイバーGT</t>
  </si>
  <si>
    <t xml:space="preserve"> 2/19</t>
  </si>
  <si>
    <t xml:space="preserve"> AOITYOHD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</si>
  <si>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</si>
  <si>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</si>
  <si>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</si>
  <si>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</si>
  <si>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</si>
  <si>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</si>
  <si>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</si>
  <si>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三住トラスト</t>
  </si>
  <si>
    <t xml:space="preserve"> アルプス物</t>
  </si>
  <si>
    <t xml:space="preserve"> 沖縄セルラー</t>
  </si>
  <si>
    <t xml:space="preserve"> 五洋建</t>
  </si>
  <si>
    <t xml:space="preserve"> 永谷園HD</t>
  </si>
  <si>
    <t xml:space="preserve"> テクノフレックス</t>
  </si>
  <si>
    <t xml:space="preserve"> 住友ベ</t>
  </si>
  <si>
    <t xml:space="preserve"> オイレス工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</si>
  <si>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</si>
  <si>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</si>
  <si>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</si>
  <si>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</si>
  <si>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</si>
  <si>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ウチヤマHD</t>
  </si>
  <si>
    <t xml:space="preserve"> アンビス</t>
  </si>
  <si>
    <t xml:space="preserve"> 応用地</t>
  </si>
  <si>
    <t xml:space="preserve"> ALiNK</t>
  </si>
  <si>
    <t>ユアテック</t>
  </si>
  <si>
    <t>ツクイ</t>
  </si>
  <si>
    <t>アウトソーシング</t>
  </si>
  <si>
    <t>あらた</t>
  </si>
  <si>
    <t>ＪＰホールディングス</t>
  </si>
  <si>
    <t>アルフレッサ　ホールディングス</t>
  </si>
  <si>
    <t>ココカラファイン</t>
  </si>
  <si>
    <t>Ｈａｍｅｅ</t>
  </si>
  <si>
    <t>ホットランド</t>
  </si>
  <si>
    <t>オープンハウス</t>
  </si>
  <si>
    <t>シップヘルスケアホールディングス</t>
  </si>
  <si>
    <t>明治電機工業</t>
  </si>
  <si>
    <t>ケイアイスター不動産</t>
  </si>
  <si>
    <t>グッドコムアセット</t>
  </si>
  <si>
    <t>マツオカコーポレーション</t>
  </si>
  <si>
    <t>ｅｎｉｓｈ</t>
  </si>
  <si>
    <t>フリービット</t>
  </si>
  <si>
    <t>マイネット</t>
  </si>
  <si>
    <t>ザ・パック</t>
  </si>
  <si>
    <t>シンクロ・フード</t>
  </si>
  <si>
    <t>昭和電工</t>
  </si>
  <si>
    <t>日産化学</t>
  </si>
  <si>
    <t>四国化成工業</t>
  </si>
  <si>
    <t>大阪有機化学工業</t>
  </si>
  <si>
    <t>久光製薬</t>
  </si>
  <si>
    <t>日医工</t>
  </si>
  <si>
    <t>秀英予備校</t>
  </si>
  <si>
    <t>ビー・エム・エル</t>
  </si>
  <si>
    <t>トレンドマイクロ</t>
  </si>
  <si>
    <t>ＳＢテクノロジー</t>
  </si>
  <si>
    <t>横浜ゴム</t>
  </si>
  <si>
    <t>住友金属鉱山</t>
  </si>
  <si>
    <t>アマダホールディングス</t>
  </si>
  <si>
    <t>タツモ</t>
  </si>
  <si>
    <t>ワイエイシイホールディングス</t>
  </si>
  <si>
    <t>新東工業</t>
  </si>
  <si>
    <t>レイズネクスト</t>
  </si>
  <si>
    <t>日立製作所</t>
  </si>
  <si>
    <t>ミマキエンジニアリング</t>
  </si>
  <si>
    <t>チノー</t>
  </si>
  <si>
    <t>村田製作所</t>
  </si>
  <si>
    <t>エフテック</t>
  </si>
  <si>
    <t>ヨロズ</t>
  </si>
  <si>
    <t>三十三フィナンシャルグループ</t>
  </si>
  <si>
    <t>イオン北海道</t>
  </si>
  <si>
    <t>ＨＯＹＡ</t>
  </si>
  <si>
    <t>ＮＩＳＳＨＡ</t>
  </si>
  <si>
    <t>ＪＳＰ</t>
  </si>
  <si>
    <t>立川ブラインド工業</t>
  </si>
  <si>
    <t>山善</t>
  </si>
  <si>
    <t>兼松エレクトロニクス</t>
  </si>
  <si>
    <t>イズミ</t>
  </si>
  <si>
    <t>ふくおかフィナンシャルグループ</t>
  </si>
  <si>
    <t>百五銀行</t>
  </si>
  <si>
    <t>スターツコーポレーション</t>
  </si>
  <si>
    <t>東祥</t>
  </si>
  <si>
    <t>朝日放送グループホールディングス</t>
  </si>
  <si>
    <t>ワイヤレスゲート</t>
  </si>
  <si>
    <t>セコム</t>
  </si>
  <si>
    <t>ベネッセホールディングス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</si>
  <si>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</si>
  <si>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</si>
  <si>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</si>
  <si>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</si>
  <si>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</si>
  <si>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3M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</si>
  <si>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</si>
  <si>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</si>
  <si>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</si>
  <si>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</si>
  <si>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</si>
  <si>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</si>
  <si>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</si>
  <si>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</si>
  <si>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</si>
  <si>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</si>
  <si>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</si>
  <si>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</si>
  <si>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</si>
  <si>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</si>
  <si>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</si>
  <si>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>375"</t>
  </si>
  <si>
    <t>" 19</t>
  </si>
  <si>
    <t>" 35</t>
  </si>
  <si>
    <t>344"</t>
  </si>
  <si>
    <t>556"</t>
  </si>
  <si>
    <t xml:space="preserve"> 日本電設</t>
  </si>
  <si>
    <t>653"</t>
  </si>
  <si>
    <t>450"</t>
  </si>
  <si>
    <t xml:space="preserve"> JTOWER</t>
  </si>
  <si>
    <t xml:space="preserve"> トリドールHD</t>
  </si>
  <si>
    <t>175"</t>
  </si>
  <si>
    <t>698"</t>
  </si>
  <si>
    <t xml:space="preserve"> BUYSELL</t>
  </si>
  <si>
    <t xml:space="preserve"> 06月中旬</t>
  </si>
  <si>
    <t xml:space="preserve"> いちごオフ</t>
  </si>
  <si>
    <t>植木組</t>
  </si>
  <si>
    <t>きんでん</t>
  </si>
  <si>
    <t>エレマテック</t>
  </si>
  <si>
    <t>ファーマライズホールディングス</t>
  </si>
  <si>
    <t>アルペン</t>
  </si>
  <si>
    <t>ディーブイエックス</t>
  </si>
  <si>
    <t>ＳＵＭＣＯ</t>
  </si>
  <si>
    <t>石原ケミカル</t>
  </si>
  <si>
    <t>塩野義製薬</t>
  </si>
  <si>
    <t>日本特殊塗料</t>
  </si>
  <si>
    <t>リゾートトラスト</t>
  </si>
  <si>
    <t>富士興産</t>
  </si>
  <si>
    <t>日本板硝子</t>
  </si>
  <si>
    <t>日本特殊陶業</t>
  </si>
  <si>
    <t>モリ工業</t>
  </si>
  <si>
    <t>ＤＭＧ森精機</t>
  </si>
  <si>
    <t>豊田自動織機</t>
  </si>
  <si>
    <t>マルマエ</t>
  </si>
  <si>
    <t>ダブル・スコープ</t>
  </si>
  <si>
    <t>三城ホールディングス</t>
  </si>
  <si>
    <t>リックス</t>
  </si>
  <si>
    <t>オーバル</t>
  </si>
  <si>
    <t>キヤノンマーケティングジャパン</t>
  </si>
  <si>
    <t>三井不動産</t>
  </si>
  <si>
    <t>光通信</t>
  </si>
  <si>
    <t>ＳＣＳＫ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</si>
  <si>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</si>
  <si>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</si>
  <si>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</si>
  <si>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OPEN_6752</t>
  </si>
  <si>
    <t>CLOSE_6752</t>
  </si>
  <si>
    <t>OPEN_8795</t>
  </si>
  <si>
    <t>CLOSE_8795</t>
  </si>
  <si>
    <t>SELL</t>
    <phoneticPr fontId="1" type="noConversion"/>
  </si>
  <si>
    <t>Ｔ＆Ｄホールディングス</t>
    <phoneticPr fontId="1" type="noConversion"/>
  </si>
  <si>
    <t>BUY</t>
    <phoneticPr fontId="1" type="noConversion"/>
  </si>
  <si>
    <t>パナソニック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</si>
  <si>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</si>
  <si>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</si>
  <si>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</si>
  <si>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</si>
  <si>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</si>
  <si>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</si>
  <si>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</si>
  <si>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</si>
  <si>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</si>
  <si>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Ｔ＆Ｄホールディングス</t>
    <phoneticPr fontId="1" type="noConversion"/>
  </si>
  <si>
    <t>パナソニック</t>
    <phoneticPr fontId="1" type="noConversion"/>
  </si>
  <si>
    <t>保険業</t>
    <phoneticPr fontId="1" type="noConversion"/>
  </si>
  <si>
    <t>電気機器</t>
    <phoneticPr fontId="1" type="noConversion"/>
  </si>
  <si>
    <t>sell(8795)</t>
  </si>
  <si>
    <t>buy(6752)</t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</si>
  <si>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</si>
  <si>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</si>
  <si>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</si>
  <si>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</si>
  <si>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</si>
  <si>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</si>
  <si>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775"</t>
  </si>
  <si>
    <t>365"</t>
  </si>
  <si>
    <t>207"</t>
  </si>
  <si>
    <t>287"</t>
  </si>
  <si>
    <t>113"</t>
  </si>
  <si>
    <t>259"</t>
  </si>
  <si>
    <t>758"</t>
  </si>
  <si>
    <t>216"</t>
  </si>
  <si>
    <t>329"</t>
  </si>
  <si>
    <t>025"</t>
  </si>
  <si>
    <t>950"</t>
  </si>
  <si>
    <t>357"</t>
  </si>
  <si>
    <t>223"</t>
  </si>
  <si>
    <t>410"</t>
  </si>
  <si>
    <t>666"</t>
  </si>
  <si>
    <t>627"</t>
  </si>
  <si>
    <t>106"</t>
  </si>
  <si>
    <t>198"</t>
  </si>
  <si>
    <t>107"</t>
  </si>
  <si>
    <t>380"</t>
  </si>
  <si>
    <t>552"</t>
  </si>
  <si>
    <t>" 25</t>
  </si>
  <si>
    <t>482"</t>
  </si>
  <si>
    <t>391"</t>
  </si>
  <si>
    <t>084"</t>
  </si>
  <si>
    <t>323"</t>
  </si>
  <si>
    <t>119"</t>
  </si>
  <si>
    <t>サカタのタネ</t>
  </si>
  <si>
    <t>住石ホールディングス</t>
  </si>
  <si>
    <t>東亜建設工業</t>
  </si>
  <si>
    <t>日揮ホールディングス</t>
  </si>
  <si>
    <t>朝日工業社</t>
  </si>
  <si>
    <t>不二家</t>
  </si>
  <si>
    <t>丸大食品</t>
  </si>
  <si>
    <t>ＮＪＳ</t>
  </si>
  <si>
    <t>オプトホールディング</t>
  </si>
  <si>
    <t>キャリアデザインセンター</t>
  </si>
  <si>
    <t>ツカダ・グローバルホールディング</t>
  </si>
  <si>
    <t>ハードオフコーポレーション</t>
  </si>
  <si>
    <t>ゲオホールディングス</t>
  </si>
  <si>
    <t>ソフトクリエイトホールディングス</t>
  </si>
  <si>
    <t>スシローグローバルホールディングス</t>
  </si>
  <si>
    <t>セーレン</t>
  </si>
  <si>
    <t>サイバーリンクス</t>
  </si>
  <si>
    <t>トーモク</t>
  </si>
  <si>
    <t>ダイキアクシス</t>
  </si>
  <si>
    <t>ダイキョーニシカワ</t>
  </si>
  <si>
    <t>ミヨシ油脂</t>
  </si>
  <si>
    <t>大塚ホールディングス</t>
  </si>
  <si>
    <t>パーク２４</t>
  </si>
  <si>
    <t>大成ラミック</t>
  </si>
  <si>
    <t>アキレス</t>
  </si>
  <si>
    <t>バンドー化学</t>
  </si>
  <si>
    <t>日本コンクリート工業</t>
  </si>
  <si>
    <t>フジミインコーポレーテッド</t>
  </si>
  <si>
    <t>三井金属鉱業</t>
  </si>
  <si>
    <t>昭和電線ホールディングス</t>
  </si>
  <si>
    <t>日工</t>
  </si>
  <si>
    <t>ＴＨＫ</t>
  </si>
  <si>
    <t>三菱電機</t>
  </si>
  <si>
    <t>東光高岳</t>
  </si>
  <si>
    <t>不二電機工業</t>
  </si>
  <si>
    <t>ローランド　ディー．ジー．</t>
  </si>
  <si>
    <t>共和電業</t>
  </si>
  <si>
    <t>三井ハイテック</t>
  </si>
  <si>
    <t>日本ケミコン</t>
  </si>
  <si>
    <t>九州フィナンシャルグループ</t>
  </si>
  <si>
    <t>ジェイリース</t>
  </si>
  <si>
    <t>Ｇ－７ホールディングス</t>
  </si>
  <si>
    <t>ダイトロン</t>
  </si>
  <si>
    <t>ＳＣＲＥＥＮホールディングス</t>
  </si>
  <si>
    <t>未来工業</t>
  </si>
  <si>
    <t>松風</t>
  </si>
  <si>
    <t>グローブライド</t>
  </si>
  <si>
    <t>兼松</t>
  </si>
  <si>
    <t>大分銀行</t>
  </si>
  <si>
    <t>みずほリース</t>
  </si>
  <si>
    <t>相鉄ホールディングス</t>
  </si>
  <si>
    <t>丸全昭和運輸</t>
  </si>
  <si>
    <t>インプレスホールディングス</t>
  </si>
  <si>
    <t>広島ガス</t>
  </si>
  <si>
    <t>東宝</t>
  </si>
  <si>
    <t>エヌ・ティ・ティ・データ</t>
  </si>
  <si>
    <t>燦ホールディングス</t>
  </si>
  <si>
    <t>藤田観光</t>
  </si>
  <si>
    <t>丹青社</t>
  </si>
  <si>
    <t>ステップ</t>
  </si>
  <si>
    <t>ベルク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</si>
  <si>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</si>
  <si>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</si>
  <si>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</si>
  <si>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</si>
  <si>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>ジェイテクト</t>
    <phoneticPr fontId="1" type="noConversion"/>
  </si>
  <si>
    <t>OPEN_6471</t>
  </si>
  <si>
    <t>CLOSE_6471</t>
  </si>
  <si>
    <t>OPEN_6473</t>
  </si>
  <si>
    <t>CLOSE_6473</t>
  </si>
  <si>
    <t>sell(6471)</t>
  </si>
  <si>
    <t>buy(6473)</t>
  </si>
  <si>
    <t>日本精工</t>
    <phoneticPr fontId="1" type="noConversion"/>
  </si>
  <si>
    <t>制度</t>
    <phoneticPr fontId="1" type="noConversion"/>
  </si>
  <si>
    <t>Position</t>
    <phoneticPr fontId="1" type="noConversion"/>
  </si>
  <si>
    <t>346"</t>
  </si>
  <si>
    <t>759"</t>
  </si>
  <si>
    <t>382"</t>
  </si>
  <si>
    <t>937"</t>
  </si>
  <si>
    <t>204"</t>
  </si>
  <si>
    <t>224"</t>
  </si>
  <si>
    <t>299"</t>
  </si>
  <si>
    <t>533"</t>
  </si>
  <si>
    <t>679"</t>
  </si>
  <si>
    <t>583"</t>
  </si>
  <si>
    <t xml:space="preserve"> U.S.M.H</t>
  </si>
  <si>
    <t>275"</t>
  </si>
  <si>
    <t>274"</t>
  </si>
  <si>
    <t>230"</t>
  </si>
  <si>
    <t>398"</t>
  </si>
  <si>
    <t>720"</t>
  </si>
  <si>
    <t>724"</t>
  </si>
  <si>
    <t>239"</t>
  </si>
  <si>
    <t>148"</t>
  </si>
  <si>
    <t xml:space="preserve"> コジマ</t>
  </si>
  <si>
    <t>283"</t>
  </si>
  <si>
    <t>834"</t>
  </si>
  <si>
    <t>425"</t>
  </si>
  <si>
    <t>736"</t>
  </si>
  <si>
    <t>804"</t>
  </si>
  <si>
    <t xml:space="preserve"> パソナＧ</t>
  </si>
  <si>
    <t>351"</t>
  </si>
  <si>
    <t>314"</t>
  </si>
  <si>
    <t>993"</t>
  </si>
  <si>
    <t xml:space="preserve"> ツヴァイ</t>
  </si>
  <si>
    <t xml:space="preserve"> イオン九州</t>
  </si>
  <si>
    <t>734"</t>
  </si>
  <si>
    <t>352"</t>
  </si>
  <si>
    <t>570"</t>
  </si>
  <si>
    <t xml:space="preserve"> ファンタジー</t>
  </si>
  <si>
    <t>624"</t>
  </si>
  <si>
    <t>191"</t>
  </si>
  <si>
    <t xml:space="preserve"> MV北海道</t>
  </si>
  <si>
    <t xml:space="preserve"> イオン北海</t>
  </si>
  <si>
    <t>030"</t>
  </si>
  <si>
    <t>558"</t>
  </si>
  <si>
    <t>384"</t>
  </si>
  <si>
    <t xml:space="preserve"> MV東海</t>
  </si>
  <si>
    <t xml:space="preserve"> イオン</t>
  </si>
  <si>
    <t>054"</t>
  </si>
  <si>
    <t xml:space="preserve"> USENNEXT</t>
  </si>
  <si>
    <t xml:space="preserve"> イオンディライ</t>
  </si>
  <si>
    <t>871"</t>
  </si>
  <si>
    <t>337"</t>
  </si>
  <si>
    <t>003"</t>
  </si>
  <si>
    <t>093"</t>
  </si>
  <si>
    <t>866"</t>
  </si>
  <si>
    <t>742"</t>
  </si>
  <si>
    <t>642"</t>
  </si>
  <si>
    <t xml:space="preserve"> ジースリーHD</t>
  </si>
  <si>
    <t>135"</t>
  </si>
  <si>
    <t>562"</t>
  </si>
  <si>
    <t>343"</t>
  </si>
  <si>
    <t xml:space="preserve"> グランド</t>
  </si>
  <si>
    <t>149"</t>
  </si>
  <si>
    <t>566"</t>
  </si>
  <si>
    <t>377"</t>
  </si>
  <si>
    <t>028"</t>
  </si>
  <si>
    <t>297"</t>
  </si>
  <si>
    <t>164"</t>
  </si>
  <si>
    <t>400"</t>
  </si>
  <si>
    <t>" 76</t>
  </si>
  <si>
    <t>715"</t>
  </si>
  <si>
    <t>488"</t>
  </si>
  <si>
    <t>074"</t>
  </si>
  <si>
    <t>373"</t>
  </si>
  <si>
    <t>185"</t>
  </si>
  <si>
    <t>636"</t>
  </si>
  <si>
    <t>997"</t>
  </si>
  <si>
    <t>571"</t>
  </si>
  <si>
    <t xml:space="preserve"> コニシ</t>
  </si>
  <si>
    <t xml:space="preserve"> 日精工</t>
  </si>
  <si>
    <t>821"</t>
  </si>
  <si>
    <t>200"</t>
  </si>
  <si>
    <t>399"</t>
  </si>
  <si>
    <t>668"</t>
  </si>
  <si>
    <t>127"</t>
  </si>
  <si>
    <t>071"</t>
  </si>
  <si>
    <t>588"</t>
  </si>
  <si>
    <t>020"</t>
  </si>
  <si>
    <t>121"</t>
  </si>
  <si>
    <t>300"</t>
  </si>
  <si>
    <t xml:space="preserve"> ヤマシナ</t>
  </si>
  <si>
    <t>825"</t>
  </si>
  <si>
    <t xml:space="preserve"> 太洋工業</t>
  </si>
  <si>
    <t>150"</t>
  </si>
  <si>
    <t>437"</t>
  </si>
  <si>
    <t xml:space="preserve"> 南海電</t>
  </si>
  <si>
    <t>700"</t>
  </si>
  <si>
    <t>667"</t>
  </si>
  <si>
    <t xml:space="preserve"> MonotaRO</t>
  </si>
  <si>
    <t>446"</t>
  </si>
  <si>
    <t>174"</t>
  </si>
  <si>
    <t>214"</t>
  </si>
  <si>
    <t>549"</t>
  </si>
  <si>
    <t>610"</t>
  </si>
  <si>
    <t>" 68</t>
  </si>
  <si>
    <t>824"</t>
  </si>
  <si>
    <t>586"</t>
  </si>
  <si>
    <t>594"</t>
  </si>
  <si>
    <t xml:space="preserve"> 花　王</t>
  </si>
  <si>
    <t>" 44</t>
  </si>
  <si>
    <t>079"</t>
  </si>
  <si>
    <t>178"</t>
  </si>
  <si>
    <t xml:space="preserve"> ＤＩＴ</t>
  </si>
  <si>
    <t>472"</t>
  </si>
  <si>
    <t>139"</t>
  </si>
  <si>
    <t>622"</t>
  </si>
  <si>
    <t>630"</t>
  </si>
  <si>
    <t>451"</t>
  </si>
  <si>
    <t>288"</t>
  </si>
  <si>
    <t xml:space="preserve"> ホープ</t>
  </si>
  <si>
    <t xml:space="preserve"> 安田倉庫</t>
  </si>
  <si>
    <t>555"</t>
  </si>
  <si>
    <t xml:space="preserve"> ＣＯＯＫ</t>
  </si>
  <si>
    <t>487"</t>
  </si>
  <si>
    <t xml:space="preserve"> ケミプロ</t>
  </si>
  <si>
    <t>083"</t>
  </si>
  <si>
    <t xml:space="preserve"> ツガミ</t>
  </si>
  <si>
    <t xml:space="preserve"> 精工技研</t>
  </si>
  <si>
    <t>900"</t>
  </si>
  <si>
    <t>926"</t>
  </si>
  <si>
    <t xml:space="preserve"> 海　帆</t>
  </si>
  <si>
    <t>989"</t>
  </si>
  <si>
    <t>101"</t>
  </si>
  <si>
    <t>520"</t>
  </si>
  <si>
    <t xml:space="preserve"> ＣＫＤ</t>
  </si>
  <si>
    <t xml:space="preserve"> 日ピストン</t>
  </si>
  <si>
    <t xml:space="preserve"> 岩崎通</t>
  </si>
  <si>
    <t xml:space="preserve"> ハークスレイ</t>
  </si>
  <si>
    <t xml:space="preserve"> フィンテック</t>
  </si>
  <si>
    <t xml:space="preserve"> 日本KFC</t>
  </si>
  <si>
    <t xml:space="preserve"> 協エクシオ</t>
  </si>
  <si>
    <t>279"</t>
  </si>
  <si>
    <t>901"</t>
  </si>
  <si>
    <t xml:space="preserve"> 荏原実業</t>
  </si>
  <si>
    <t xml:space="preserve"> NFK-HD</t>
  </si>
  <si>
    <t>070"</t>
  </si>
  <si>
    <t xml:space="preserve"> 住友不</t>
  </si>
  <si>
    <t>" 18</t>
  </si>
  <si>
    <t>320"</t>
  </si>
  <si>
    <t xml:space="preserve"> アサヒインテック</t>
  </si>
  <si>
    <t>564"</t>
  </si>
  <si>
    <t xml:space="preserve"> 三洋堂HD</t>
  </si>
  <si>
    <t xml:space="preserve"> 天  馬</t>
  </si>
  <si>
    <t xml:space="preserve"> 藤田観</t>
  </si>
  <si>
    <t>731"</t>
  </si>
  <si>
    <t>942"</t>
  </si>
  <si>
    <t>328"</t>
  </si>
  <si>
    <t>339"</t>
  </si>
  <si>
    <t>218"</t>
  </si>
  <si>
    <t>801"</t>
  </si>
  <si>
    <t xml:space="preserve"> 東京鉄</t>
  </si>
  <si>
    <t>984"</t>
  </si>
  <si>
    <t xml:space="preserve"> 前田工繊</t>
  </si>
  <si>
    <t>419"</t>
  </si>
  <si>
    <t>254"</t>
  </si>
  <si>
    <t>619"</t>
  </si>
  <si>
    <t>120"</t>
  </si>
  <si>
    <t>069"</t>
  </si>
  <si>
    <t>800"</t>
  </si>
  <si>
    <t>980"</t>
  </si>
  <si>
    <t>511"</t>
  </si>
  <si>
    <t xml:space="preserve"> 02月下旬</t>
  </si>
  <si>
    <t xml:space="preserve"> プラネット</t>
  </si>
  <si>
    <t>899"</t>
  </si>
  <si>
    <t>745"</t>
  </si>
  <si>
    <t>049"</t>
  </si>
  <si>
    <t>326"</t>
  </si>
  <si>
    <t>936"</t>
  </si>
  <si>
    <t>521"</t>
  </si>
  <si>
    <t>092"</t>
  </si>
  <si>
    <t>689"</t>
  </si>
  <si>
    <t>189"</t>
  </si>
  <si>
    <t>052"</t>
  </si>
  <si>
    <t xml:space="preserve"> 三信電</t>
  </si>
  <si>
    <t xml:space="preserve"> 第一交通</t>
  </si>
  <si>
    <t>237"</t>
  </si>
  <si>
    <t>953"</t>
  </si>
  <si>
    <t>795"</t>
  </si>
  <si>
    <t xml:space="preserve"> ランディックス</t>
  </si>
  <si>
    <t>677"</t>
  </si>
  <si>
    <t xml:space="preserve"> スペースマーケ</t>
  </si>
  <si>
    <t xml:space="preserve"> カクヤス</t>
  </si>
  <si>
    <t>021"</t>
  </si>
  <si>
    <t xml:space="preserve"> 03月下旬</t>
  </si>
  <si>
    <t xml:space="preserve"> ファースト住</t>
  </si>
  <si>
    <t>172"</t>
  </si>
  <si>
    <t>635"</t>
  </si>
  <si>
    <t>ショーボンドホールディングス</t>
  </si>
  <si>
    <t>ダイセキ環境ソリューション</t>
  </si>
  <si>
    <t>高松コンストラクショングループ</t>
  </si>
  <si>
    <t>大成建設</t>
  </si>
  <si>
    <t>東鉄工業</t>
  </si>
  <si>
    <t>パソナグループ</t>
  </si>
  <si>
    <t>ＣＤＳ</t>
  </si>
  <si>
    <t>プリマハム</t>
  </si>
  <si>
    <t>ＷＤＢホールディングス</t>
  </si>
  <si>
    <t>ダイドーグループホールディングス</t>
  </si>
  <si>
    <t>片倉工業</t>
  </si>
  <si>
    <t>ＤＣＭホールディングス</t>
  </si>
  <si>
    <t>エー・ディー・ワークス</t>
  </si>
  <si>
    <t>ジェイ・エス・ビー</t>
  </si>
  <si>
    <t>モバイルファクトリー</t>
  </si>
  <si>
    <t>デジタル・インフォメーション・テクノロジー</t>
  </si>
  <si>
    <t>ラサ工業</t>
  </si>
  <si>
    <t>大阪ソーダ</t>
  </si>
  <si>
    <t>日本カーバイド工業</t>
  </si>
  <si>
    <t>大倉工業</t>
  </si>
  <si>
    <t>日本精化</t>
  </si>
  <si>
    <t>エーザイ</t>
  </si>
  <si>
    <t>第一三共</t>
  </si>
  <si>
    <t>ライオン</t>
  </si>
  <si>
    <t>コタ</t>
  </si>
  <si>
    <t>ノエビアホールディングス</t>
  </si>
  <si>
    <t>メック</t>
  </si>
  <si>
    <t>日本電気硝子</t>
  </si>
  <si>
    <t>中山製鋼所</t>
  </si>
  <si>
    <t>アーレスティ</t>
  </si>
  <si>
    <t>ＬＩＸＩＬグループ</t>
  </si>
  <si>
    <t>サンコール</t>
  </si>
  <si>
    <t>ソラスト</t>
  </si>
  <si>
    <t>やまびこ</t>
  </si>
  <si>
    <t>タダノ</t>
  </si>
  <si>
    <t>船場</t>
  </si>
  <si>
    <t>フルテック</t>
  </si>
  <si>
    <t>イリソ電子工業</t>
  </si>
  <si>
    <t>三菱重工業</t>
  </si>
  <si>
    <t>イントラスト</t>
  </si>
  <si>
    <t>カッパ・クリエイト</t>
  </si>
  <si>
    <t>ナガイレーベン</t>
  </si>
  <si>
    <t>サイゼリヤ</t>
  </si>
  <si>
    <t>フジ・コーポレーション</t>
  </si>
  <si>
    <t>ピーシーデポコーポレーション</t>
  </si>
  <si>
    <t>マニー</t>
  </si>
  <si>
    <t>バンダイナムコホールディングス</t>
  </si>
  <si>
    <t>タカラトミー</t>
  </si>
  <si>
    <t>ルックホールディングス</t>
  </si>
  <si>
    <t>日本ユニシス</t>
  </si>
  <si>
    <t>ゴールドウイン</t>
  </si>
  <si>
    <t>高島屋</t>
  </si>
  <si>
    <t>福島銀行</t>
  </si>
  <si>
    <t>東洋証券</t>
  </si>
  <si>
    <t>アドバンテッジリスクマネジメント</t>
  </si>
  <si>
    <t>ダイビル</t>
  </si>
  <si>
    <t>テーオーシー</t>
  </si>
  <si>
    <t>中央倉庫</t>
  </si>
  <si>
    <t>サンリツ</t>
  </si>
  <si>
    <t>日本ＢＳ放送</t>
  </si>
  <si>
    <t>日本通信</t>
  </si>
  <si>
    <t>船井総研ホールディングス</t>
  </si>
  <si>
    <t>福井コンピュータホールディングス</t>
  </si>
  <si>
    <t>ジェコス</t>
  </si>
  <si>
    <t>日本精工</t>
  </si>
  <si>
    <t>ジェイテクト</t>
  </si>
  <si>
    <t>Check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</si>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</sst>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</fonts>
  <fills count="2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390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9" fillId="0" borderId="0" xfId="0" applyFont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5" fontId="0" fillId="0" borderId="48" xfId="0" applyNumberFormat="1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0" fontId="15" fillId="8" borderId="1" xfId="0" applyFont="1" applyFill="1" applyBorder="1" applyAlignment="1">
      <alignment horizontal="center" vertical="center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2" fillId="0" borderId="37" xfId="0" applyFont="1" applyFill="1" applyBorder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23966049374557E-2"/>
          <c:y val="5.0747806182157552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0.79210134128166898</c:v>
                </c:pt>
                <c:pt idx="1">
                  <c:v>0.78873239436619702</c:v>
                </c:pt>
                <c:pt idx="2">
                  <c:v>0.78097345132743301</c:v>
                </c:pt>
                <c:pt idx="3">
                  <c:v>0.77705156136528597</c:v>
                </c:pt>
                <c:pt idx="4">
                  <c:v>0.78535170413343003</c:v>
                </c:pt>
                <c:pt idx="5">
                  <c:v>0.78783490224474995</c:v>
                </c:pt>
                <c:pt idx="6">
                  <c:v>0.79101123595505596</c:v>
                </c:pt>
                <c:pt idx="7">
                  <c:v>0.78841870824053395</c:v>
                </c:pt>
                <c:pt idx="8">
                  <c:v>0.78861788617886097</c:v>
                </c:pt>
                <c:pt idx="9">
                  <c:v>0.78425655976676301</c:v>
                </c:pt>
                <c:pt idx="10">
                  <c:v>0.78046989720998505</c:v>
                </c:pt>
                <c:pt idx="11">
                  <c:v>0.78021978021978</c:v>
                </c:pt>
                <c:pt idx="12">
                  <c:v>0.78076062639820998</c:v>
                </c:pt>
                <c:pt idx="13">
                  <c:v>0.78088235294117603</c:v>
                </c:pt>
                <c:pt idx="14">
                  <c:v>0.77817919075144504</c:v>
                </c:pt>
                <c:pt idx="15">
                  <c:v>0.77794117647058803</c:v>
                </c:pt>
                <c:pt idx="16">
                  <c:v>0.77802037845705896</c:v>
                </c:pt>
                <c:pt idx="17">
                  <c:v>0.77753779697624104</c:v>
                </c:pt>
                <c:pt idx="18">
                  <c:v>0.78254545454545399</c:v>
                </c:pt>
                <c:pt idx="19">
                  <c:v>0.77062228654124398</c:v>
                </c:pt>
                <c:pt idx="20">
                  <c:v>0.75677655677655598</c:v>
                </c:pt>
                <c:pt idx="21">
                  <c:v>0.748169838945827</c:v>
                </c:pt>
                <c:pt idx="22">
                  <c:v>0.75072886297376096</c:v>
                </c:pt>
                <c:pt idx="23">
                  <c:v>0.75197132616487405</c:v>
                </c:pt>
                <c:pt idx="24">
                  <c:v>0.761938202247191</c:v>
                </c:pt>
                <c:pt idx="25">
                  <c:v>0.75312066574202496</c:v>
                </c:pt>
                <c:pt idx="26">
                  <c:v>0.74702172389628596</c:v>
                </c:pt>
                <c:pt idx="27">
                  <c:v>0.75360329444063101</c:v>
                </c:pt>
                <c:pt idx="28">
                  <c:v>0.74848688634835203</c:v>
                </c:pt>
                <c:pt idx="29">
                  <c:v>0.75204918032786805</c:v>
                </c:pt>
                <c:pt idx="30">
                  <c:v>0.753229095853161</c:v>
                </c:pt>
                <c:pt idx="31">
                  <c:v>0.75592747559274698</c:v>
                </c:pt>
                <c:pt idx="32">
                  <c:v>0.756028368794326</c:v>
                </c:pt>
                <c:pt idx="33">
                  <c:v>0.75879396984924596</c:v>
                </c:pt>
                <c:pt idx="34">
                  <c:v>0.74569932685115903</c:v>
                </c:pt>
                <c:pt idx="35">
                  <c:v>0.72883787661405997</c:v>
                </c:pt>
                <c:pt idx="36">
                  <c:v>0.76453055141579696</c:v>
                </c:pt>
                <c:pt idx="37">
                  <c:v>0.77185185185185101</c:v>
                </c:pt>
                <c:pt idx="38">
                  <c:v>0.764441110277569</c:v>
                </c:pt>
                <c:pt idx="39">
                  <c:v>0.76484018264840103</c:v>
                </c:pt>
                <c:pt idx="40">
                  <c:v>0.76122754491017897</c:v>
                </c:pt>
                <c:pt idx="41">
                  <c:v>0.75607902735562305</c:v>
                </c:pt>
                <c:pt idx="42">
                  <c:v>0.76726144297905297</c:v>
                </c:pt>
                <c:pt idx="43">
                  <c:v>0.76260667183863395</c:v>
                </c:pt>
                <c:pt idx="44">
                  <c:v>0.76465989053948402</c:v>
                </c:pt>
                <c:pt idx="45">
                  <c:v>0.76009316770186297</c:v>
                </c:pt>
                <c:pt idx="46">
                  <c:v>0.75915822291504198</c:v>
                </c:pt>
                <c:pt idx="47">
                  <c:v>0.75396825396825395</c:v>
                </c:pt>
                <c:pt idx="48">
                  <c:v>0.75777414075286398</c:v>
                </c:pt>
                <c:pt idx="49">
                  <c:v>0.75495049504950495</c:v>
                </c:pt>
                <c:pt idx="50">
                  <c:v>0.75223395613322497</c:v>
                </c:pt>
                <c:pt idx="51">
                  <c:v>0.74958813838550198</c:v>
                </c:pt>
                <c:pt idx="52">
                  <c:v>0.75164473684210498</c:v>
                </c:pt>
                <c:pt idx="53">
                  <c:v>0.74508196721311404</c:v>
                </c:pt>
                <c:pt idx="54">
                  <c:v>0.74121405750798697</c:v>
                </c:pt>
                <c:pt idx="55">
                  <c:v>0.74024960998439904</c:v>
                </c:pt>
                <c:pt idx="56">
                  <c:v>0.73446327683615797</c:v>
                </c:pt>
                <c:pt idx="57">
                  <c:v>0.73095238095238002</c:v>
                </c:pt>
                <c:pt idx="58">
                  <c:v>0.73426573426573405</c:v>
                </c:pt>
                <c:pt idx="59">
                  <c:v>0.73937007874015703</c:v>
                </c:pt>
                <c:pt idx="60">
                  <c:v>0.73926619828259099</c:v>
                </c:pt>
                <c:pt idx="61">
                  <c:v>0.74314800313234097</c:v>
                </c:pt>
                <c:pt idx="62">
                  <c:v>0.734520123839009</c:v>
                </c:pt>
                <c:pt idx="63">
                  <c:v>0.74651162790697601</c:v>
                </c:pt>
                <c:pt idx="64">
                  <c:v>0.75441289332310002</c:v>
                </c:pt>
                <c:pt idx="65">
                  <c:v>0.74653312788906001</c:v>
                </c:pt>
                <c:pt idx="66">
                  <c:v>0.76733436055469895</c:v>
                </c:pt>
                <c:pt idx="67">
                  <c:v>0.75640031031807597</c:v>
                </c:pt>
                <c:pt idx="68">
                  <c:v>0.76545166402535603</c:v>
                </c:pt>
                <c:pt idx="69">
                  <c:v>0.75460636515912805</c:v>
                </c:pt>
                <c:pt idx="70">
                  <c:v>0.76138279932546304</c:v>
                </c:pt>
                <c:pt idx="71">
                  <c:v>0.75744680851063795</c:v>
                </c:pt>
                <c:pt idx="72">
                  <c:v>0.74406332453825796</c:v>
                </c:pt>
                <c:pt idx="73">
                  <c:v>0.75739130434782598</c:v>
                </c:pt>
                <c:pt idx="74">
                  <c:v>0.75306479859894904</c:v>
                </c:pt>
                <c:pt idx="75">
                  <c:v>0.73958333333333304</c:v>
                </c:pt>
                <c:pt idx="76">
                  <c:v>0.73398576512455505</c:v>
                </c:pt>
                <c:pt idx="77">
                  <c:v>0.73042704626334498</c:v>
                </c:pt>
                <c:pt idx="78">
                  <c:v>0.736098852603707</c:v>
                </c:pt>
                <c:pt idx="79">
                  <c:v>0.73731077471059603</c:v>
                </c:pt>
                <c:pt idx="80">
                  <c:v>0.73619631901840399</c:v>
                </c:pt>
                <c:pt idx="81">
                  <c:v>0.73315835520559902</c:v>
                </c:pt>
                <c:pt idx="82">
                  <c:v>0.73637961335676605</c:v>
                </c:pt>
                <c:pt idx="83">
                  <c:v>0.74230430958663096</c:v>
                </c:pt>
                <c:pt idx="84">
                  <c:v>0.72549019607843102</c:v>
                </c:pt>
                <c:pt idx="85">
                  <c:v>0.72488687782805405</c:v>
                </c:pt>
                <c:pt idx="86">
                  <c:v>0.717741935483871</c:v>
                </c:pt>
                <c:pt idx="87">
                  <c:v>0.72148541114058296</c:v>
                </c:pt>
                <c:pt idx="88">
                  <c:v>0.72207327971403001</c:v>
                </c:pt>
                <c:pt idx="89">
                  <c:v>0.72013949433304203</c:v>
                </c:pt>
                <c:pt idx="90">
                  <c:v>0.71972318339100305</c:v>
                </c:pt>
                <c:pt idx="91">
                  <c:v>0.721791559000861</c:v>
                </c:pt>
                <c:pt idx="92">
                  <c:v>0.72442941673710903</c:v>
                </c:pt>
                <c:pt idx="93">
                  <c:v>0.73294018534119598</c:v>
                </c:pt>
                <c:pt idx="94">
                  <c:v>0.73740710156895095</c:v>
                </c:pt>
                <c:pt idx="95">
                  <c:v>0.73974763406940003</c:v>
                </c:pt>
                <c:pt idx="96">
                  <c:v>0.714175654853621</c:v>
                </c:pt>
                <c:pt idx="97">
                  <c:v>0.70704012112036296</c:v>
                </c:pt>
                <c:pt idx="98">
                  <c:v>0.71714066102997698</c:v>
                </c:pt>
                <c:pt idx="99">
                  <c:v>0.72351615326821905</c:v>
                </c:pt>
                <c:pt idx="100">
                  <c:v>0.72794662713120795</c:v>
                </c:pt>
                <c:pt idx="101">
                  <c:v>0.73461823573017004</c:v>
                </c:pt>
                <c:pt idx="102">
                  <c:v>0.74752851711026602</c:v>
                </c:pt>
                <c:pt idx="103">
                  <c:v>0.74768518518518501</c:v>
                </c:pt>
                <c:pt idx="104">
                  <c:v>0.74145962732919202</c:v>
                </c:pt>
                <c:pt idx="105">
                  <c:v>0.73885350318471299</c:v>
                </c:pt>
                <c:pt idx="106">
                  <c:v>0.727764887857695</c:v>
                </c:pt>
                <c:pt idx="107">
                  <c:v>0.72358346094946402</c:v>
                </c:pt>
                <c:pt idx="108">
                  <c:v>0.71963330786860202</c:v>
                </c:pt>
                <c:pt idx="109">
                  <c:v>0.70987189148455099</c:v>
                </c:pt>
                <c:pt idx="110">
                  <c:v>0.71482889733840305</c:v>
                </c:pt>
                <c:pt idx="111">
                  <c:v>0.71860816944024197</c:v>
                </c:pt>
                <c:pt idx="112">
                  <c:v>0.72168042010502598</c:v>
                </c:pt>
                <c:pt idx="113">
                  <c:v>0.72625280478683596</c:v>
                </c:pt>
                <c:pt idx="114">
                  <c:v>0.725431357839459</c:v>
                </c:pt>
                <c:pt idx="115">
                  <c:v>0.72659176029962502</c:v>
                </c:pt>
                <c:pt idx="116">
                  <c:v>0.73082595870206402</c:v>
                </c:pt>
                <c:pt idx="117">
                  <c:v>0.73505535055350502</c:v>
                </c:pt>
                <c:pt idx="118">
                  <c:v>0.73506891271056596</c:v>
                </c:pt>
                <c:pt idx="119">
                  <c:v>0.73466257668711599</c:v>
                </c:pt>
                <c:pt idx="120">
                  <c:v>0.73218480814408704</c:v>
                </c:pt>
                <c:pt idx="121">
                  <c:v>0.73663208300079797</c:v>
                </c:pt>
                <c:pt idx="122">
                  <c:v>0.74740207833732997</c:v>
                </c:pt>
                <c:pt idx="123">
                  <c:v>0.73454833597464297</c:v>
                </c:pt>
                <c:pt idx="124">
                  <c:v>0.734177215189873</c:v>
                </c:pt>
                <c:pt idx="125">
                  <c:v>0.736464968152866</c:v>
                </c:pt>
                <c:pt idx="126">
                  <c:v>0.73130649137222603</c:v>
                </c:pt>
                <c:pt idx="127">
                  <c:v>0.73705834018077199</c:v>
                </c:pt>
                <c:pt idx="128">
                  <c:v>0.74530612244897898</c:v>
                </c:pt>
                <c:pt idx="129">
                  <c:v>0.73581847649918897</c:v>
                </c:pt>
                <c:pt idx="130">
                  <c:v>0.74476650563607005</c:v>
                </c:pt>
                <c:pt idx="131">
                  <c:v>0.74281150159744402</c:v>
                </c:pt>
                <c:pt idx="132">
                  <c:v>0.742903487429034</c:v>
                </c:pt>
                <c:pt idx="133">
                  <c:v>0.74257425742574201</c:v>
                </c:pt>
                <c:pt idx="134">
                  <c:v>0.74292845257903495</c:v>
                </c:pt>
                <c:pt idx="135">
                  <c:v>0.74631751227495902</c:v>
                </c:pt>
                <c:pt idx="136">
                  <c:v>0.754893617021276</c:v>
                </c:pt>
                <c:pt idx="137">
                  <c:v>0.76429199648196999</c:v>
                </c:pt>
                <c:pt idx="138">
                  <c:v>0.7578125</c:v>
                </c:pt>
                <c:pt idx="139">
                  <c:v>0.76064735945485495</c:v>
                </c:pt>
                <c:pt idx="140">
                  <c:v>0.76279863481228605</c:v>
                </c:pt>
                <c:pt idx="141">
                  <c:v>0.76138279932546304</c:v>
                </c:pt>
                <c:pt idx="142">
                  <c:v>0.77268871925360405</c:v>
                </c:pt>
                <c:pt idx="143">
                  <c:v>0.77721088435374097</c:v>
                </c:pt>
                <c:pt idx="144">
                  <c:v>0.76624472573839597</c:v>
                </c:pt>
                <c:pt idx="145">
                  <c:v>0.75947281713344295</c:v>
                </c:pt>
                <c:pt idx="146">
                  <c:v>0.76993355481727499</c:v>
                </c:pt>
                <c:pt idx="147">
                  <c:v>0.76578073089700904</c:v>
                </c:pt>
                <c:pt idx="148">
                  <c:v>0.75020610057708104</c:v>
                </c:pt>
                <c:pt idx="149">
                  <c:v>0.75657894736842102</c:v>
                </c:pt>
                <c:pt idx="150">
                  <c:v>0.75887096774193497</c:v>
                </c:pt>
                <c:pt idx="151">
                  <c:v>0.77414075286415696</c:v>
                </c:pt>
                <c:pt idx="152">
                  <c:v>0.77669902912621303</c:v>
                </c:pt>
                <c:pt idx="153">
                  <c:v>0.78397486252945803</c:v>
                </c:pt>
                <c:pt idx="154">
                  <c:v>0.81904761904761902</c:v>
                </c:pt>
                <c:pt idx="155">
                  <c:v>0.81566820276497698</c:v>
                </c:pt>
                <c:pt idx="156">
                  <c:v>0.822784810126582</c:v>
                </c:pt>
                <c:pt idx="157">
                  <c:v>0.80475857242827098</c:v>
                </c:pt>
                <c:pt idx="158">
                  <c:v>0.79279891304347805</c:v>
                </c:pt>
                <c:pt idx="159">
                  <c:v>0.79522184300341203</c:v>
                </c:pt>
                <c:pt idx="160">
                  <c:v>0.78897849462365499</c:v>
                </c:pt>
                <c:pt idx="161">
                  <c:v>0.79094540612516595</c:v>
                </c:pt>
                <c:pt idx="162">
                  <c:v>0.78433974784339699</c:v>
                </c:pt>
                <c:pt idx="163">
                  <c:v>0.77022433718558803</c:v>
                </c:pt>
                <c:pt idx="164">
                  <c:v>0.75935828877005296</c:v>
                </c:pt>
                <c:pt idx="165">
                  <c:v>0.76326530612244903</c:v>
                </c:pt>
                <c:pt idx="166">
                  <c:v>0.76442953020134197</c:v>
                </c:pt>
                <c:pt idx="167">
                  <c:v>0.77430555555555503</c:v>
                </c:pt>
                <c:pt idx="168">
                  <c:v>0.77600554785020803</c:v>
                </c:pt>
                <c:pt idx="169">
                  <c:v>0.77130977130977096</c:v>
                </c:pt>
                <c:pt idx="170">
                  <c:v>0.77800687285223302</c:v>
                </c:pt>
                <c:pt idx="171">
                  <c:v>0.77401520387007605</c:v>
                </c:pt>
                <c:pt idx="172">
                  <c:v>0.78385772913816598</c:v>
                </c:pt>
                <c:pt idx="173">
                  <c:v>0.76701030927835001</c:v>
                </c:pt>
                <c:pt idx="174">
                  <c:v>0.75887978142076495</c:v>
                </c:pt>
                <c:pt idx="175">
                  <c:v>0.75241379310344803</c:v>
                </c:pt>
                <c:pt idx="176">
                  <c:v>0.75943060498220605</c:v>
                </c:pt>
                <c:pt idx="177">
                  <c:v>0.76138032305433101</c:v>
                </c:pt>
                <c:pt idx="178">
                  <c:v>0.75967261904761896</c:v>
                </c:pt>
                <c:pt idx="179">
                  <c:v>0.74926253687315603</c:v>
                </c:pt>
                <c:pt idx="180">
                  <c:v>0.74458874458874402</c:v>
                </c:pt>
                <c:pt idx="181">
                  <c:v>0.74538745387453798</c:v>
                </c:pt>
                <c:pt idx="182">
                  <c:v>0.73687943262411304</c:v>
                </c:pt>
                <c:pt idx="183">
                  <c:v>0.73236363636363599</c:v>
                </c:pt>
                <c:pt idx="184">
                  <c:v>0.74134119380987396</c:v>
                </c:pt>
                <c:pt idx="185">
                  <c:v>0.74082397003745304</c:v>
                </c:pt>
                <c:pt idx="186">
                  <c:v>0.73939393939393905</c:v>
                </c:pt>
                <c:pt idx="187">
                  <c:v>0.74364896073902997</c:v>
                </c:pt>
                <c:pt idx="188">
                  <c:v>0.74196018376722805</c:v>
                </c:pt>
                <c:pt idx="189">
                  <c:v>0.73838080959520203</c:v>
                </c:pt>
                <c:pt idx="190">
                  <c:v>0.73946360153256696</c:v>
                </c:pt>
                <c:pt idx="191">
                  <c:v>0.74111282843894899</c:v>
                </c:pt>
                <c:pt idx="192">
                  <c:v>0.73955223880596999</c:v>
                </c:pt>
                <c:pt idx="193">
                  <c:v>0.74524158125914997</c:v>
                </c:pt>
                <c:pt idx="194">
                  <c:v>0.74092888243831601</c:v>
                </c:pt>
                <c:pt idx="195">
                  <c:v>0.73944166070150297</c:v>
                </c:pt>
                <c:pt idx="196">
                  <c:v>0.73531544597534404</c:v>
                </c:pt>
                <c:pt idx="197">
                  <c:v>0.74130434782608701</c:v>
                </c:pt>
                <c:pt idx="198">
                  <c:v>0.74298056155507497</c:v>
                </c:pt>
                <c:pt idx="199">
                  <c:v>0.74501424501424496</c:v>
                </c:pt>
                <c:pt idx="200">
                  <c:v>0.75447387258410803</c:v>
                </c:pt>
                <c:pt idx="201">
                  <c:v>0.75557153127246501</c:v>
                </c:pt>
                <c:pt idx="202">
                  <c:v>0.75</c:v>
                </c:pt>
                <c:pt idx="203">
                  <c:v>0.73314801945795605</c:v>
                </c:pt>
                <c:pt idx="204">
                  <c:v>0.73888496824276595</c:v>
                </c:pt>
                <c:pt idx="205">
                  <c:v>0.74663835810332602</c:v>
                </c:pt>
                <c:pt idx="206">
                  <c:v>0.75689404934687898</c:v>
                </c:pt>
                <c:pt idx="207">
                  <c:v>0.76221264367816</c:v>
                </c:pt>
                <c:pt idx="208">
                  <c:v>0.76755973931933297</c:v>
                </c:pt>
                <c:pt idx="209">
                  <c:v>0.76183431952662695</c:v>
                </c:pt>
                <c:pt idx="210">
                  <c:v>0.78444957659738201</c:v>
                </c:pt>
                <c:pt idx="211">
                  <c:v>0.782258064516129</c:v>
                </c:pt>
                <c:pt idx="212">
                  <c:v>0.77721701514059105</c:v>
                </c:pt>
                <c:pt idx="213">
                  <c:v>0.77279305354558603</c:v>
                </c:pt>
                <c:pt idx="214">
                  <c:v>0.78020378457059603</c:v>
                </c:pt>
                <c:pt idx="215">
                  <c:v>0.78113207547169805</c:v>
                </c:pt>
                <c:pt idx="216">
                  <c:v>0.75159687721788504</c:v>
                </c:pt>
                <c:pt idx="217">
                  <c:v>0.75</c:v>
                </c:pt>
                <c:pt idx="218">
                  <c:v>0.73848334514528702</c:v>
                </c:pt>
                <c:pt idx="219">
                  <c:v>0.74736101337086502</c:v>
                </c:pt>
                <c:pt idx="220">
                  <c:v>0.75159687721788504</c:v>
                </c:pt>
                <c:pt idx="221">
                  <c:v>0.75962236746550404</c:v>
                </c:pt>
                <c:pt idx="222">
                  <c:v>0.75877192982456099</c:v>
                </c:pt>
                <c:pt idx="223">
                  <c:v>0.749456915278783</c:v>
                </c:pt>
                <c:pt idx="224">
                  <c:v>0.753237410071942</c:v>
                </c:pt>
                <c:pt idx="225">
                  <c:v>0.75418181818181795</c:v>
                </c:pt>
                <c:pt idx="226">
                  <c:v>0.76190476190476097</c:v>
                </c:pt>
                <c:pt idx="227">
                  <c:v>0.76086956521739102</c:v>
                </c:pt>
                <c:pt idx="228">
                  <c:v>0.76598946576373195</c:v>
                </c:pt>
                <c:pt idx="229">
                  <c:v>0.76425269645608596</c:v>
                </c:pt>
                <c:pt idx="230">
                  <c:v>0.76465989053948402</c:v>
                </c:pt>
                <c:pt idx="231">
                  <c:v>0.75837879968822997</c:v>
                </c:pt>
                <c:pt idx="232">
                  <c:v>0.76837944664031599</c:v>
                </c:pt>
                <c:pt idx="233">
                  <c:v>0.76725521669341801</c:v>
                </c:pt>
                <c:pt idx="234">
                  <c:v>0.77147623019182598</c:v>
                </c:pt>
                <c:pt idx="235">
                  <c:v>0.774061990212071</c:v>
                </c:pt>
                <c:pt idx="236">
                  <c:v>0.78618968386023202</c:v>
                </c:pt>
                <c:pt idx="237">
                  <c:v>0.78993055555555503</c:v>
                </c:pt>
                <c:pt idx="238">
                  <c:v>0.77534965034964998</c:v>
                </c:pt>
                <c:pt idx="239">
                  <c:v>0.76696647587898603</c:v>
                </c:pt>
                <c:pt idx="240">
                  <c:v>0.75716560509554098</c:v>
                </c:pt>
                <c:pt idx="241">
                  <c:v>0.75502318392581103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0.76050602050140803</c:v>
                </c:pt>
                <c:pt idx="1">
                  <c:v>0.75980578039543001</c:v>
                </c:pt>
                <c:pt idx="2">
                  <c:v>0.75907582533887497</c:v>
                </c:pt>
                <c:pt idx="3">
                  <c:v>0.758401873271353</c:v>
                </c:pt>
                <c:pt idx="4">
                  <c:v>0.75785583715453197</c:v>
                </c:pt>
                <c:pt idx="5">
                  <c:v>0.75721529142889499</c:v>
                </c:pt>
                <c:pt idx="6">
                  <c:v>0.756526776985877</c:v>
                </c:pt>
                <c:pt idx="7">
                  <c:v>0.75575540524255003</c:v>
                </c:pt>
                <c:pt idx="8">
                  <c:v>0.75506155064409997</c:v>
                </c:pt>
                <c:pt idx="9">
                  <c:v>0.75444403628953705</c:v>
                </c:pt>
                <c:pt idx="10">
                  <c:v>0.75366048477369296</c:v>
                </c:pt>
                <c:pt idx="11">
                  <c:v>0.75291937784859997</c:v>
                </c:pt>
                <c:pt idx="12">
                  <c:v>0.75208633991878804</c:v>
                </c:pt>
                <c:pt idx="13">
                  <c:v>0.75129600371535299</c:v>
                </c:pt>
                <c:pt idx="14">
                  <c:v>0.75051188273899105</c:v>
                </c:pt>
                <c:pt idx="15">
                  <c:v>0.74973802012007895</c:v>
                </c:pt>
                <c:pt idx="16">
                  <c:v>0.74896178021235105</c:v>
                </c:pt>
                <c:pt idx="17">
                  <c:v>0.74821206261960205</c:v>
                </c:pt>
                <c:pt idx="18">
                  <c:v>0.74750395088307997</c:v>
                </c:pt>
                <c:pt idx="19">
                  <c:v>0.74684254729369004</c:v>
                </c:pt>
                <c:pt idx="20">
                  <c:v>0.74639967816072605</c:v>
                </c:pt>
                <c:pt idx="21">
                  <c:v>0.74617262585796396</c:v>
                </c:pt>
                <c:pt idx="22">
                  <c:v>0.74571937007006805</c:v>
                </c:pt>
                <c:pt idx="23">
                  <c:v>0.74513685351202297</c:v>
                </c:pt>
                <c:pt idx="24">
                  <c:v>0.74467244464355697</c:v>
                </c:pt>
                <c:pt idx="25">
                  <c:v>0.744160150657171</c:v>
                </c:pt>
                <c:pt idx="26">
                  <c:v>0.74382449680902696</c:v>
                </c:pt>
                <c:pt idx="27">
                  <c:v>0.74365911696681197</c:v>
                </c:pt>
                <c:pt idx="28">
                  <c:v>0.74357811993574097</c:v>
                </c:pt>
                <c:pt idx="29">
                  <c:v>0.743567430586898</c:v>
                </c:pt>
                <c:pt idx="30">
                  <c:v>0.74342623654691598</c:v>
                </c:pt>
                <c:pt idx="31">
                  <c:v>0.74323456197800297</c:v>
                </c:pt>
                <c:pt idx="32">
                  <c:v>0.74285906080820296</c:v>
                </c:pt>
                <c:pt idx="33">
                  <c:v>0.74242646203693796</c:v>
                </c:pt>
                <c:pt idx="34">
                  <c:v>0.74190431987719596</c:v>
                </c:pt>
                <c:pt idx="35">
                  <c:v>0.74142662073897503</c:v>
                </c:pt>
                <c:pt idx="36">
                  <c:v>0.74123983434863205</c:v>
                </c:pt>
                <c:pt idx="37">
                  <c:v>0.74062753592229202</c:v>
                </c:pt>
                <c:pt idx="38">
                  <c:v>0.73995858349900101</c:v>
                </c:pt>
                <c:pt idx="39">
                  <c:v>0.73944940609245802</c:v>
                </c:pt>
                <c:pt idx="40">
                  <c:v>0.73892395509500497</c:v>
                </c:pt>
                <c:pt idx="41">
                  <c:v>0.73846214463353099</c:v>
                </c:pt>
                <c:pt idx="42">
                  <c:v>0.73812543705148403</c:v>
                </c:pt>
                <c:pt idx="43">
                  <c:v>0.73769602248581001</c:v>
                </c:pt>
                <c:pt idx="44">
                  <c:v>0.73732885236410195</c:v>
                </c:pt>
                <c:pt idx="45">
                  <c:v>0.73692888817940405</c:v>
                </c:pt>
                <c:pt idx="46">
                  <c:v>0.73655677671863395</c:v>
                </c:pt>
                <c:pt idx="47">
                  <c:v>0.73625642818644399</c:v>
                </c:pt>
                <c:pt idx="48">
                  <c:v>0.73616887917803198</c:v>
                </c:pt>
                <c:pt idx="49">
                  <c:v>0.73585920178098896</c:v>
                </c:pt>
                <c:pt idx="50">
                  <c:v>0.73558222471619295</c:v>
                </c:pt>
                <c:pt idx="51">
                  <c:v>0.73537197154312195</c:v>
                </c:pt>
                <c:pt idx="52">
                  <c:v>0.735128216249612</c:v>
                </c:pt>
                <c:pt idx="53">
                  <c:v>0.73493373096079395</c:v>
                </c:pt>
                <c:pt idx="54">
                  <c:v>0.73493671969727203</c:v>
                </c:pt>
                <c:pt idx="55">
                  <c:v>0.73486477861715505</c:v>
                </c:pt>
                <c:pt idx="56">
                  <c:v>0.73492500389251003</c:v>
                </c:pt>
                <c:pt idx="57">
                  <c:v>0.73503631355599397</c:v>
                </c:pt>
                <c:pt idx="58">
                  <c:v>0.73519566164234995</c:v>
                </c:pt>
                <c:pt idx="59">
                  <c:v>0.73530644195115002</c:v>
                </c:pt>
                <c:pt idx="60">
                  <c:v>0.73535388693566806</c:v>
                </c:pt>
                <c:pt idx="61">
                  <c:v>0.73544790445556596</c:v>
                </c:pt>
                <c:pt idx="62">
                  <c:v>0.735604512640752</c:v>
                </c:pt>
                <c:pt idx="63">
                  <c:v>0.736001470942658</c:v>
                </c:pt>
                <c:pt idx="64">
                  <c:v>0.73615214923723205</c:v>
                </c:pt>
                <c:pt idx="65">
                  <c:v>0.73623527545232204</c:v>
                </c:pt>
                <c:pt idx="66">
                  <c:v>0.73645214887796495</c:v>
                </c:pt>
                <c:pt idx="67">
                  <c:v>0.73637279472824202</c:v>
                </c:pt>
                <c:pt idx="68">
                  <c:v>0.73658997351404898</c:v>
                </c:pt>
                <c:pt idx="69">
                  <c:v>0.73674676311842702</c:v>
                </c:pt>
                <c:pt idx="70">
                  <c:v>0.73690194125948405</c:v>
                </c:pt>
                <c:pt idx="71">
                  <c:v>0.73687647483025698</c:v>
                </c:pt>
                <c:pt idx="72">
                  <c:v>0.73704296478101206</c:v>
                </c:pt>
                <c:pt idx="73">
                  <c:v>0.73733253019912903</c:v>
                </c:pt>
                <c:pt idx="74">
                  <c:v>0.73723672748218605</c:v>
                </c:pt>
                <c:pt idx="75">
                  <c:v>0.73728358279911199</c:v>
                </c:pt>
                <c:pt idx="76">
                  <c:v>0.73754075125789298</c:v>
                </c:pt>
                <c:pt idx="77">
                  <c:v>0.73807615109442104</c:v>
                </c:pt>
                <c:pt idx="78">
                  <c:v>0.73869311086592604</c:v>
                </c:pt>
                <c:pt idx="79">
                  <c:v>0.73933145766493602</c:v>
                </c:pt>
                <c:pt idx="80">
                  <c:v>0.74042128225609705</c:v>
                </c:pt>
                <c:pt idx="81">
                  <c:v>0.74148090737271799</c:v>
                </c:pt>
                <c:pt idx="82">
                  <c:v>0.74267592677166405</c:v>
                </c:pt>
                <c:pt idx="83">
                  <c:v>0.74358764622595097</c:v>
                </c:pt>
                <c:pt idx="84">
                  <c:v>0.744260907605375</c:v>
                </c:pt>
                <c:pt idx="85">
                  <c:v>0.74519066289770797</c:v>
                </c:pt>
                <c:pt idx="86">
                  <c:v>0.74604521778831601</c:v>
                </c:pt>
                <c:pt idx="87">
                  <c:v>0.74702126406353397</c:v>
                </c:pt>
                <c:pt idx="88">
                  <c:v>0.74785932188623805</c:v>
                </c:pt>
                <c:pt idx="89">
                  <c:v>0.748501335985859</c:v>
                </c:pt>
                <c:pt idx="90">
                  <c:v>0.74902425324501898</c:v>
                </c:pt>
                <c:pt idx="91">
                  <c:v>0.74960481488143804</c:v>
                </c:pt>
                <c:pt idx="92">
                  <c:v>0.75017332116411095</c:v>
                </c:pt>
                <c:pt idx="93">
                  <c:v>0.75083833634835695</c:v>
                </c:pt>
                <c:pt idx="94">
                  <c:v>0.751412541181811</c:v>
                </c:pt>
                <c:pt idx="95">
                  <c:v>0.75186457677835505</c:v>
                </c:pt>
                <c:pt idx="96">
                  <c:v>0.75237469996212603</c:v>
                </c:pt>
                <c:pt idx="97">
                  <c:v>0.75317256061567905</c:v>
                </c:pt>
                <c:pt idx="98">
                  <c:v>0.754196795389249</c:v>
                </c:pt>
                <c:pt idx="99">
                  <c:v>0.75486172403256102</c:v>
                </c:pt>
                <c:pt idx="100">
                  <c:v>0.75533323907459504</c:v>
                </c:pt>
                <c:pt idx="101">
                  <c:v>0.75565946795422501</c:v>
                </c:pt>
                <c:pt idx="102">
                  <c:v>0.75599029954425201</c:v>
                </c:pt>
                <c:pt idx="103">
                  <c:v>0.75617499029017299</c:v>
                </c:pt>
                <c:pt idx="104">
                  <c:v>0.75633482274167196</c:v>
                </c:pt>
                <c:pt idx="105">
                  <c:v>0.75643886153559203</c:v>
                </c:pt>
                <c:pt idx="106">
                  <c:v>0.75651533142097904</c:v>
                </c:pt>
                <c:pt idx="107">
                  <c:v>0.75675029896787005</c:v>
                </c:pt>
                <c:pt idx="108">
                  <c:v>0.75692757859019899</c:v>
                </c:pt>
                <c:pt idx="109">
                  <c:v>0.75709731630346599</c:v>
                </c:pt>
                <c:pt idx="110">
                  <c:v>0.75751690700113605</c:v>
                </c:pt>
                <c:pt idx="111">
                  <c:v>0.75786350797045698</c:v>
                </c:pt>
                <c:pt idx="112">
                  <c:v>0.75814065156984001</c:v>
                </c:pt>
                <c:pt idx="113">
                  <c:v>0.75843356544495999</c:v>
                </c:pt>
                <c:pt idx="114">
                  <c:v>0.75864299716469896</c:v>
                </c:pt>
                <c:pt idx="115">
                  <c:v>0.75881565652144201</c:v>
                </c:pt>
                <c:pt idx="116">
                  <c:v>0.75898728107121405</c:v>
                </c:pt>
                <c:pt idx="117">
                  <c:v>0.75912443933437301</c:v>
                </c:pt>
                <c:pt idx="118">
                  <c:v>0.75918439784440594</c:v>
                </c:pt>
                <c:pt idx="119">
                  <c:v>0.75932003342505305</c:v>
                </c:pt>
                <c:pt idx="120">
                  <c:v>0.75940358416840303</c:v>
                </c:pt>
                <c:pt idx="121">
                  <c:v>0.75950034220250195</c:v>
                </c:pt>
                <c:pt idx="122">
                  <c:v>0.75948278704216199</c:v>
                </c:pt>
                <c:pt idx="123">
                  <c:v>0.75940148396867901</c:v>
                </c:pt>
                <c:pt idx="124">
                  <c:v>0.75951391364308496</c:v>
                </c:pt>
                <c:pt idx="125">
                  <c:v>0.75965840737407597</c:v>
                </c:pt>
                <c:pt idx="126">
                  <c:v>0.759898526099826</c:v>
                </c:pt>
                <c:pt idx="127">
                  <c:v>0.76022205996516301</c:v>
                </c:pt>
                <c:pt idx="128">
                  <c:v>0.760394615429419</c:v>
                </c:pt>
                <c:pt idx="129">
                  <c:v>0.76023250738953896</c:v>
                </c:pt>
                <c:pt idx="130">
                  <c:v>0.76027339394612004</c:v>
                </c:pt>
                <c:pt idx="131">
                  <c:v>0.76029835197901596</c:v>
                </c:pt>
                <c:pt idx="132">
                  <c:v>0.760486119282342</c:v>
                </c:pt>
                <c:pt idx="133">
                  <c:v>0.760743574698997</c:v>
                </c:pt>
                <c:pt idx="134">
                  <c:v>0.76107671445757896</c:v>
                </c:pt>
                <c:pt idx="135">
                  <c:v>0.76132879268354603</c:v>
                </c:pt>
                <c:pt idx="136">
                  <c:v>0.76183722020784495</c:v>
                </c:pt>
                <c:pt idx="137">
                  <c:v>0.76220207950777696</c:v>
                </c:pt>
                <c:pt idx="138">
                  <c:v>0.76237441308989196</c:v>
                </c:pt>
                <c:pt idx="139">
                  <c:v>0.76257415380383298</c:v>
                </c:pt>
                <c:pt idx="140">
                  <c:v>0.76283490613870897</c:v>
                </c:pt>
                <c:pt idx="141">
                  <c:v>0.76307935201416799</c:v>
                </c:pt>
                <c:pt idx="142">
                  <c:v>0.76294887305273396</c:v>
                </c:pt>
                <c:pt idx="143">
                  <c:v>0.762646356796019</c:v>
                </c:pt>
                <c:pt idx="144">
                  <c:v>0.76212998960657297</c:v>
                </c:pt>
                <c:pt idx="145">
                  <c:v>0.76187820677500595</c:v>
                </c:pt>
                <c:pt idx="146">
                  <c:v>0.76177319424279899</c:v>
                </c:pt>
                <c:pt idx="147">
                  <c:v>0.76163571174477496</c:v>
                </c:pt>
                <c:pt idx="148">
                  <c:v>0.76154226106380896</c:v>
                </c:pt>
                <c:pt idx="149">
                  <c:v>0.76153227192649797</c:v>
                </c:pt>
                <c:pt idx="150">
                  <c:v>0.76148771809587801</c:v>
                </c:pt>
                <c:pt idx="151">
                  <c:v>0.76142519610174397</c:v>
                </c:pt>
                <c:pt idx="152">
                  <c:v>0.76126204955561805</c:v>
                </c:pt>
                <c:pt idx="153">
                  <c:v>0.76105099003683396</c:v>
                </c:pt>
                <c:pt idx="154">
                  <c:v>0.76081118474662401</c:v>
                </c:pt>
                <c:pt idx="155">
                  <c:v>0.76008058577873705</c:v>
                </c:pt>
                <c:pt idx="156">
                  <c:v>0.75940047494906404</c:v>
                </c:pt>
                <c:pt idx="157">
                  <c:v>0.75854172814321896</c:v>
                </c:pt>
                <c:pt idx="158">
                  <c:v>0.75805667313271297</c:v>
                </c:pt>
                <c:pt idx="159">
                  <c:v>0.757716090514713</c:v>
                </c:pt>
                <c:pt idx="160">
                  <c:v>0.75739948234389198</c:v>
                </c:pt>
                <c:pt idx="161">
                  <c:v>0.75720059561840403</c:v>
                </c:pt>
                <c:pt idx="162">
                  <c:v>0.75713718598820501</c:v>
                </c:pt>
                <c:pt idx="163">
                  <c:v>0.75721173009103304</c:v>
                </c:pt>
                <c:pt idx="164">
                  <c:v>0.75728006759988797</c:v>
                </c:pt>
                <c:pt idx="165">
                  <c:v>0.75738151009467303</c:v>
                </c:pt>
                <c:pt idx="166">
                  <c:v>0.75730018074764804</c:v>
                </c:pt>
                <c:pt idx="167">
                  <c:v>0.757174762797308</c:v>
                </c:pt>
                <c:pt idx="168">
                  <c:v>0.75681743213587105</c:v>
                </c:pt>
                <c:pt idx="169">
                  <c:v>0.75659830762854696</c:v>
                </c:pt>
                <c:pt idx="170">
                  <c:v>0.75640481178550401</c:v>
                </c:pt>
                <c:pt idx="171">
                  <c:v>0.75602166864115805</c:v>
                </c:pt>
                <c:pt idx="172">
                  <c:v>0.75563474983690104</c:v>
                </c:pt>
                <c:pt idx="173">
                  <c:v>0.75513493045883195</c:v>
                </c:pt>
                <c:pt idx="174">
                  <c:v>0.75482442372556902</c:v>
                </c:pt>
                <c:pt idx="175">
                  <c:v>0.754706026639959</c:v>
                </c:pt>
                <c:pt idx="176">
                  <c:v>0.75457666100207799</c:v>
                </c:pt>
                <c:pt idx="177">
                  <c:v>0.754443678472699</c:v>
                </c:pt>
                <c:pt idx="178">
                  <c:v>0.75424007850288399</c:v>
                </c:pt>
                <c:pt idx="179">
                  <c:v>0.75414101593099603</c:v>
                </c:pt>
                <c:pt idx="180">
                  <c:v>0.75400311100722095</c:v>
                </c:pt>
                <c:pt idx="181">
                  <c:v>0.75388866812843802</c:v>
                </c:pt>
                <c:pt idx="182">
                  <c:v>0.75391302853917297</c:v>
                </c:pt>
                <c:pt idx="183">
                  <c:v>0.75410664357383905</c:v>
                </c:pt>
                <c:pt idx="184">
                  <c:v>0.75435362380912296</c:v>
                </c:pt>
                <c:pt idx="185">
                  <c:v>0.75460705567669795</c:v>
                </c:pt>
                <c:pt idx="186">
                  <c:v>0.75485500660759997</c:v>
                </c:pt>
                <c:pt idx="187">
                  <c:v>0.75521767044510002</c:v>
                </c:pt>
                <c:pt idx="188">
                  <c:v>0.75560849840918698</c:v>
                </c:pt>
                <c:pt idx="189">
                  <c:v>0.75609926438261399</c:v>
                </c:pt>
                <c:pt idx="190">
                  <c:v>0.75674938278239501</c:v>
                </c:pt>
                <c:pt idx="191">
                  <c:v>0.75729613339142698</c:v>
                </c:pt>
                <c:pt idx="192">
                  <c:v>0.75806718633146497</c:v>
                </c:pt>
                <c:pt idx="193">
                  <c:v>0.75876447137640002</c:v>
                </c:pt>
                <c:pt idx="194">
                  <c:v>0.75936649046761695</c:v>
                </c:pt>
                <c:pt idx="195">
                  <c:v>0.76015410536843997</c:v>
                </c:pt>
                <c:pt idx="196">
                  <c:v>0.76097520509846694</c:v>
                </c:pt>
                <c:pt idx="197">
                  <c:v>0.76178756947968196</c:v>
                </c:pt>
                <c:pt idx="198">
                  <c:v>0.76273256506699505</c:v>
                </c:pt>
                <c:pt idx="199">
                  <c:v>0.76367620533508596</c:v>
                </c:pt>
                <c:pt idx="200">
                  <c:v>0.76469506302060997</c:v>
                </c:pt>
                <c:pt idx="201">
                  <c:v>0.76521501867264696</c:v>
                </c:pt>
                <c:pt idx="202">
                  <c:v>0.76525062169890401</c:v>
                </c:pt>
                <c:pt idx="203">
                  <c:v>0.76542387187215399</c:v>
                </c:pt>
                <c:pt idx="204">
                  <c:v>0.765918583568022</c:v>
                </c:pt>
                <c:pt idx="205">
                  <c:v>0.76635885631412204</c:v>
                </c:pt>
                <c:pt idx="206">
                  <c:v>0.76670670850910805</c:v>
                </c:pt>
                <c:pt idx="207">
                  <c:v>0.767011026937785</c:v>
                </c:pt>
                <c:pt idx="208">
                  <c:v>0.76716150761563595</c:v>
                </c:pt>
                <c:pt idx="209">
                  <c:v>0.76722803135281603</c:v>
                </c:pt>
                <c:pt idx="210">
                  <c:v>0.76757922894647901</c:v>
                </c:pt>
                <c:pt idx="211">
                  <c:v>0.76742978400558204</c:v>
                </c:pt>
                <c:pt idx="212">
                  <c:v>0.76722049666797498</c:v>
                </c:pt>
                <c:pt idx="213">
                  <c:v>0.76703818524451595</c:v>
                </c:pt>
                <c:pt idx="214">
                  <c:v>0.76681942843504003</c:v>
                </c:pt>
                <c:pt idx="215">
                  <c:v>0.76662122321972404</c:v>
                </c:pt>
                <c:pt idx="216">
                  <c:v>0.76649695662059303</c:v>
                </c:pt>
                <c:pt idx="217">
                  <c:v>0.76670637295935895</c:v>
                </c:pt>
                <c:pt idx="218">
                  <c:v>0.76693511196229103</c:v>
                </c:pt>
                <c:pt idx="219">
                  <c:v>0.767223230989727</c:v>
                </c:pt>
                <c:pt idx="220">
                  <c:v>0.76738529175723902</c:v>
                </c:pt>
                <c:pt idx="221">
                  <c:v>0.76744143160018896</c:v>
                </c:pt>
                <c:pt idx="222">
                  <c:v>0.76745322164211904</c:v>
                </c:pt>
                <c:pt idx="223">
                  <c:v>0.76777522830238498</c:v>
                </c:pt>
                <c:pt idx="224">
                  <c:v>0.76825226808972003</c:v>
                </c:pt>
                <c:pt idx="225">
                  <c:v>0.76871194122712205</c:v>
                </c:pt>
                <c:pt idx="226">
                  <c:v>0.76921700513635705</c:v>
                </c:pt>
                <c:pt idx="227">
                  <c:v>0.76954578984088495</c:v>
                </c:pt>
                <c:pt idx="228">
                  <c:v>0.76987646957144196</c:v>
                </c:pt>
                <c:pt idx="229">
                  <c:v>0.77002910542951897</c:v>
                </c:pt>
                <c:pt idx="230">
                  <c:v>0.77024291965463298</c:v>
                </c:pt>
                <c:pt idx="231">
                  <c:v>0.77078293831840805</c:v>
                </c:pt>
                <c:pt idx="232">
                  <c:v>0.77140010987812002</c:v>
                </c:pt>
                <c:pt idx="233">
                  <c:v>0.77178242277087294</c:v>
                </c:pt>
                <c:pt idx="234">
                  <c:v>0.77230390051823194</c:v>
                </c:pt>
                <c:pt idx="235">
                  <c:v>0.772872136912095</c:v>
                </c:pt>
                <c:pt idx="236">
                  <c:v>0.77349008588613799</c:v>
                </c:pt>
                <c:pt idx="237">
                  <c:v>0.77394658658553594</c:v>
                </c:pt>
                <c:pt idx="238">
                  <c:v>0.77435866048757396</c:v>
                </c:pt>
                <c:pt idx="239">
                  <c:v>0.77485181125631497</c:v>
                </c:pt>
                <c:pt idx="240">
                  <c:v>0.77543875922562899</c:v>
                </c:pt>
                <c:pt idx="241">
                  <c:v>0.77614176203330298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0.79244989129493804</c:v>
                </c:pt>
                <c:pt idx="1">
                  <c:v>0.79124708940257904</c:v>
                </c:pt>
                <c:pt idx="2">
                  <c:v>0.79033848461197542</c:v>
                </c:pt>
                <c:pt idx="3">
                  <c:v>0.78992546497016125</c:v>
                </c:pt>
                <c:pt idx="4">
                  <c:v>0.78948689179957521</c:v>
                </c:pt>
                <c:pt idx="5">
                  <c:v>0.78853737932406454</c:v>
                </c:pt>
                <c:pt idx="6">
                  <c:v>0.78739320322447159</c:v>
                </c:pt>
                <c:pt idx="7">
                  <c:v>0.78602185239671518</c:v>
                </c:pt>
                <c:pt idx="8">
                  <c:v>0.78468001927048381</c:v>
                </c:pt>
                <c:pt idx="9">
                  <c:v>0.78315559198150808</c:v>
                </c:pt>
                <c:pt idx="10">
                  <c:v>0.78228226543182178</c:v>
                </c:pt>
                <c:pt idx="11">
                  <c:v>0.78160442766129457</c:v>
                </c:pt>
                <c:pt idx="12">
                  <c:v>0.78117764044564408</c:v>
                </c:pt>
                <c:pt idx="13">
                  <c:v>0.78044897992234075</c:v>
                </c:pt>
                <c:pt idx="14">
                  <c:v>0.7796030520905084</c:v>
                </c:pt>
                <c:pt idx="15">
                  <c:v>0.7789317544344414</c:v>
                </c:pt>
                <c:pt idx="16">
                  <c:v>0.77821052589622186</c:v>
                </c:pt>
                <c:pt idx="17">
                  <c:v>0.77732525241855821</c:v>
                </c:pt>
                <c:pt idx="18">
                  <c:v>0.77631144343838521</c:v>
                </c:pt>
                <c:pt idx="19">
                  <c:v>0.77466242526807749</c:v>
                </c:pt>
                <c:pt idx="20">
                  <c:v>0.77374470511065541</c:v>
                </c:pt>
                <c:pt idx="21">
                  <c:v>0.7734519469432628</c:v>
                </c:pt>
                <c:pt idx="22">
                  <c:v>0.77396348186849928</c:v>
                </c:pt>
                <c:pt idx="23">
                  <c:v>0.77471429949252113</c:v>
                </c:pt>
                <c:pt idx="24">
                  <c:v>0.77489285777414596</c:v>
                </c:pt>
                <c:pt idx="25">
                  <c:v>0.77449488285460155</c:v>
                </c:pt>
                <c:pt idx="26">
                  <c:v>0.77431192576330699</c:v>
                </c:pt>
                <c:pt idx="27">
                  <c:v>0.77420987824451182</c:v>
                </c:pt>
                <c:pt idx="28">
                  <c:v>0.77405511679351757</c:v>
                </c:pt>
                <c:pt idx="29">
                  <c:v>0.77403809495348597</c:v>
                </c:pt>
                <c:pt idx="30">
                  <c:v>0.77383646165123132</c:v>
                </c:pt>
                <c:pt idx="31">
                  <c:v>0.7735763632724374</c:v>
                </c:pt>
                <c:pt idx="32">
                  <c:v>0.77326023855758041</c:v>
                </c:pt>
                <c:pt idx="33">
                  <c:v>0.77298868282021793</c:v>
                </c:pt>
                <c:pt idx="34">
                  <c:v>0.77266759689591291</c:v>
                </c:pt>
                <c:pt idx="35">
                  <c:v>0.77304026327780462</c:v>
                </c:pt>
                <c:pt idx="36">
                  <c:v>0.77331101819375703</c:v>
                </c:pt>
                <c:pt idx="37">
                  <c:v>0.77265013808666061</c:v>
                </c:pt>
                <c:pt idx="38">
                  <c:v>0.7714356483071042</c:v>
                </c:pt>
                <c:pt idx="39">
                  <c:v>0.77055920287550561</c:v>
                </c:pt>
                <c:pt idx="40">
                  <c:v>0.76962919593687862</c:v>
                </c:pt>
                <c:pt idx="41">
                  <c:v>0.76885193175693201</c:v>
                </c:pt>
                <c:pt idx="42">
                  <c:v>0.76828573161715963</c:v>
                </c:pt>
                <c:pt idx="43">
                  <c:v>0.76709216915384226</c:v>
                </c:pt>
                <c:pt idx="44">
                  <c:v>0.76615361226909096</c:v>
                </c:pt>
                <c:pt idx="45">
                  <c:v>0.76504946448378142</c:v>
                </c:pt>
                <c:pt idx="46">
                  <c:v>0.76417552894566254</c:v>
                </c:pt>
                <c:pt idx="47">
                  <c:v>0.76337083248245874</c:v>
                </c:pt>
                <c:pt idx="48">
                  <c:v>0.76309571500030215</c:v>
                </c:pt>
                <c:pt idx="49">
                  <c:v>0.76231512030170778</c:v>
                </c:pt>
                <c:pt idx="50">
                  <c:v>0.76166518553245632</c:v>
                </c:pt>
                <c:pt idx="51">
                  <c:v>0.76116726769282816</c:v>
                </c:pt>
                <c:pt idx="52">
                  <c:v>0.76072631192961981</c:v>
                </c:pt>
                <c:pt idx="53">
                  <c:v>0.7602469844138956</c:v>
                </c:pt>
                <c:pt idx="54">
                  <c:v>0.76025481772310166</c:v>
                </c:pt>
                <c:pt idx="55">
                  <c:v>0.76014174943197188</c:v>
                </c:pt>
                <c:pt idx="56">
                  <c:v>0.760274427830543</c:v>
                </c:pt>
                <c:pt idx="57">
                  <c:v>0.76044988334685037</c:v>
                </c:pt>
                <c:pt idx="58">
                  <c:v>0.76065463592039673</c:v>
                </c:pt>
                <c:pt idx="59">
                  <c:v>0.76082051305108978</c:v>
                </c:pt>
                <c:pt idx="60">
                  <c:v>0.76091120528931566</c:v>
                </c:pt>
                <c:pt idx="61">
                  <c:v>0.76111374866430181</c:v>
                </c:pt>
                <c:pt idx="62">
                  <c:v>0.76159763633508237</c:v>
                </c:pt>
                <c:pt idx="63">
                  <c:v>0.76281268663221324</c:v>
                </c:pt>
                <c:pt idx="64">
                  <c:v>0.76332255364554724</c:v>
                </c:pt>
                <c:pt idx="65">
                  <c:v>0.76366554702327261</c:v>
                </c:pt>
                <c:pt idx="66">
                  <c:v>0.76445587240230939</c:v>
                </c:pt>
                <c:pt idx="67">
                  <c:v>0.76405794262442761</c:v>
                </c:pt>
                <c:pt idx="68">
                  <c:v>0.765142121369916</c:v>
                </c:pt>
                <c:pt idx="69">
                  <c:v>0.76605040476193564</c:v>
                </c:pt>
                <c:pt idx="70">
                  <c:v>0.7667013125271035</c:v>
                </c:pt>
                <c:pt idx="71">
                  <c:v>0.76659527317709142</c:v>
                </c:pt>
                <c:pt idx="72">
                  <c:v>0.76735484036480661</c:v>
                </c:pt>
                <c:pt idx="73">
                  <c:v>0.76831464884134248</c:v>
                </c:pt>
                <c:pt idx="74">
                  <c:v>0.76801390946160109</c:v>
                </c:pt>
                <c:pt idx="75">
                  <c:v>0.76816752376260422</c:v>
                </c:pt>
                <c:pt idx="76">
                  <c:v>0.768815746673289</c:v>
                </c:pt>
                <c:pt idx="77">
                  <c:v>0.77044508542693046</c:v>
                </c:pt>
                <c:pt idx="78">
                  <c:v>0.77219928403640181</c:v>
                </c:pt>
                <c:pt idx="79">
                  <c:v>0.77440326105553248</c:v>
                </c:pt>
                <c:pt idx="80">
                  <c:v>0.77996844769893681</c:v>
                </c:pt>
                <c:pt idx="81">
                  <c:v>0.78461457950988678</c:v>
                </c:pt>
                <c:pt idx="82">
                  <c:v>0.78961906157784467</c:v>
                </c:pt>
                <c:pt idx="83">
                  <c:v>0.79261599428633556</c:v>
                </c:pt>
                <c:pt idx="84">
                  <c:v>0.79457032906427383</c:v>
                </c:pt>
                <c:pt idx="85">
                  <c:v>0.79664254558373582</c:v>
                </c:pt>
                <c:pt idx="86">
                  <c:v>0.79824338637092185</c:v>
                </c:pt>
                <c:pt idx="87">
                  <c:v>0.79980038428455413</c:v>
                </c:pt>
                <c:pt idx="88">
                  <c:v>0.80098487385038064</c:v>
                </c:pt>
                <c:pt idx="89">
                  <c:v>0.80152859457168579</c:v>
                </c:pt>
                <c:pt idx="90">
                  <c:v>0.80169475684287816</c:v>
                </c:pt>
                <c:pt idx="91">
                  <c:v>0.80192938530103786</c:v>
                </c:pt>
                <c:pt idx="92">
                  <c:v>0.80220246304033171</c:v>
                </c:pt>
                <c:pt idx="93">
                  <c:v>0.80280924632126638</c:v>
                </c:pt>
                <c:pt idx="94">
                  <c:v>0.80353117851369138</c:v>
                </c:pt>
                <c:pt idx="95">
                  <c:v>0.80407748905846765</c:v>
                </c:pt>
                <c:pt idx="96">
                  <c:v>0.80485103689381698</c:v>
                </c:pt>
                <c:pt idx="97">
                  <c:v>0.80511843607525524</c:v>
                </c:pt>
                <c:pt idx="98">
                  <c:v>0.80548900943219781</c:v>
                </c:pt>
                <c:pt idx="99">
                  <c:v>0.80550404082461446</c:v>
                </c:pt>
                <c:pt idx="100">
                  <c:v>0.80545522636414979</c:v>
                </c:pt>
                <c:pt idx="101">
                  <c:v>0.80538110372225724</c:v>
                </c:pt>
                <c:pt idx="102">
                  <c:v>0.80547715934632946</c:v>
                </c:pt>
                <c:pt idx="103">
                  <c:v>0.80563753721808773</c:v>
                </c:pt>
                <c:pt idx="104">
                  <c:v>0.80576406222408958</c:v>
                </c:pt>
                <c:pt idx="105">
                  <c:v>0.80577518549268723</c:v>
                </c:pt>
                <c:pt idx="106">
                  <c:v>0.80576008506374419</c:v>
                </c:pt>
                <c:pt idx="107">
                  <c:v>0.80561075820847783</c:v>
                </c:pt>
                <c:pt idx="108">
                  <c:v>0.8054003415416866</c:v>
                </c:pt>
                <c:pt idx="109">
                  <c:v>0.80513370686453378</c:v>
                </c:pt>
                <c:pt idx="110">
                  <c:v>0.80443262619217204</c:v>
                </c:pt>
                <c:pt idx="111">
                  <c:v>0.8038882643918096</c:v>
                </c:pt>
                <c:pt idx="112">
                  <c:v>0.80346149241848019</c:v>
                </c:pt>
                <c:pt idx="113">
                  <c:v>0.80308709073756279</c:v>
                </c:pt>
                <c:pt idx="114">
                  <c:v>0.80283579060060861</c:v>
                </c:pt>
                <c:pt idx="115">
                  <c:v>0.80258725371000839</c:v>
                </c:pt>
                <c:pt idx="116">
                  <c:v>0.80235118429579999</c:v>
                </c:pt>
                <c:pt idx="117">
                  <c:v>0.80219526595222723</c:v>
                </c:pt>
                <c:pt idx="118">
                  <c:v>0.80213337988964151</c:v>
                </c:pt>
                <c:pt idx="119">
                  <c:v>0.80202709643892089</c:v>
                </c:pt>
                <c:pt idx="120">
                  <c:v>0.80194154763236569</c:v>
                </c:pt>
                <c:pt idx="121">
                  <c:v>0.8018226819330988</c:v>
                </c:pt>
                <c:pt idx="122">
                  <c:v>0.80184412921034098</c:v>
                </c:pt>
                <c:pt idx="123">
                  <c:v>0.8018785073629604</c:v>
                </c:pt>
                <c:pt idx="124">
                  <c:v>0.80177128262794073</c:v>
                </c:pt>
                <c:pt idx="125">
                  <c:v>0.80164146703548833</c:v>
                </c:pt>
                <c:pt idx="126">
                  <c:v>0.80155294169635283</c:v>
                </c:pt>
                <c:pt idx="127">
                  <c:v>0.80135683793393198</c:v>
                </c:pt>
                <c:pt idx="128">
                  <c:v>0.80124687683671425</c:v>
                </c:pt>
                <c:pt idx="129">
                  <c:v>0.80141810656177637</c:v>
                </c:pt>
                <c:pt idx="130">
                  <c:v>0.80136795271299244</c:v>
                </c:pt>
                <c:pt idx="131">
                  <c:v>0.80135746751044912</c:v>
                </c:pt>
                <c:pt idx="132">
                  <c:v>0.80135198817220876</c:v>
                </c:pt>
                <c:pt idx="133">
                  <c:v>0.80140590547269397</c:v>
                </c:pt>
                <c:pt idx="134">
                  <c:v>0.8015471044905258</c:v>
                </c:pt>
                <c:pt idx="135">
                  <c:v>0.80157879978942104</c:v>
                </c:pt>
                <c:pt idx="136">
                  <c:v>0.802278801000329</c:v>
                </c:pt>
                <c:pt idx="137">
                  <c:v>0.80287956904194957</c:v>
                </c:pt>
                <c:pt idx="138">
                  <c:v>0.80319512255743897</c:v>
                </c:pt>
                <c:pt idx="139">
                  <c:v>0.80345018643475574</c:v>
                </c:pt>
                <c:pt idx="140">
                  <c:v>0.80390747948838093</c:v>
                </c:pt>
                <c:pt idx="141">
                  <c:v>0.80436582039328219</c:v>
                </c:pt>
                <c:pt idx="142">
                  <c:v>0.80431773471773393</c:v>
                </c:pt>
                <c:pt idx="143">
                  <c:v>0.80405770526813825</c:v>
                </c:pt>
                <c:pt idx="144">
                  <c:v>0.80376721587103661</c:v>
                </c:pt>
                <c:pt idx="145">
                  <c:v>0.80364105212332071</c:v>
                </c:pt>
                <c:pt idx="146">
                  <c:v>0.80359926504909662</c:v>
                </c:pt>
                <c:pt idx="147">
                  <c:v>0.80342135246585034</c:v>
                </c:pt>
                <c:pt idx="148">
                  <c:v>0.80332175254449179</c:v>
                </c:pt>
                <c:pt idx="149">
                  <c:v>0.8033229569151612</c:v>
                </c:pt>
                <c:pt idx="150">
                  <c:v>0.80330654688698799</c:v>
                </c:pt>
                <c:pt idx="151">
                  <c:v>0.80327349763225542</c:v>
                </c:pt>
                <c:pt idx="152">
                  <c:v>0.80300606612227765</c:v>
                </c:pt>
                <c:pt idx="153">
                  <c:v>0.8026404550362698</c:v>
                </c:pt>
                <c:pt idx="154">
                  <c:v>0.80207530255650361</c:v>
                </c:pt>
                <c:pt idx="155">
                  <c:v>0.79907218672603808</c:v>
                </c:pt>
                <c:pt idx="156">
                  <c:v>0.7962082735955206</c:v>
                </c:pt>
                <c:pt idx="157">
                  <c:v>0.7922707855991008</c:v>
                </c:pt>
                <c:pt idx="158">
                  <c:v>0.79011833274746901</c:v>
                </c:pt>
                <c:pt idx="159">
                  <c:v>0.78882274836937261</c:v>
                </c:pt>
                <c:pt idx="160">
                  <c:v>0.78743776456133918</c:v>
                </c:pt>
                <c:pt idx="161">
                  <c:v>0.7865904200982744</c:v>
                </c:pt>
                <c:pt idx="162">
                  <c:v>0.78625477459973658</c:v>
                </c:pt>
                <c:pt idx="163">
                  <c:v>0.78663452925736688</c:v>
                </c:pt>
                <c:pt idx="164">
                  <c:v>0.78684689746846181</c:v>
                </c:pt>
                <c:pt idx="165">
                  <c:v>0.78702826370454482</c:v>
                </c:pt>
                <c:pt idx="166">
                  <c:v>0.78691537411605628</c:v>
                </c:pt>
                <c:pt idx="167">
                  <c:v>0.78674776520006495</c:v>
                </c:pt>
                <c:pt idx="168">
                  <c:v>0.7862008701704164</c:v>
                </c:pt>
                <c:pt idx="169">
                  <c:v>0.78564933759695077</c:v>
                </c:pt>
                <c:pt idx="170">
                  <c:v>0.78525393509113162</c:v>
                </c:pt>
                <c:pt idx="171">
                  <c:v>0.78447357312457044</c:v>
                </c:pt>
                <c:pt idx="172">
                  <c:v>0.78388590194321628</c:v>
                </c:pt>
                <c:pt idx="173">
                  <c:v>0.78268893207758816</c:v>
                </c:pt>
                <c:pt idx="174">
                  <c:v>0.78236099207083065</c:v>
                </c:pt>
                <c:pt idx="175">
                  <c:v>0.7822481896897322</c:v>
                </c:pt>
                <c:pt idx="176">
                  <c:v>0.78225150037099755</c:v>
                </c:pt>
                <c:pt idx="177">
                  <c:v>0.78211979425211242</c:v>
                </c:pt>
                <c:pt idx="178">
                  <c:v>0.78193374297939777</c:v>
                </c:pt>
                <c:pt idx="179">
                  <c:v>0.78180938279649581</c:v>
                </c:pt>
                <c:pt idx="180">
                  <c:v>0.78186975620525612</c:v>
                </c:pt>
                <c:pt idx="181">
                  <c:v>0.78197862959536024</c:v>
                </c:pt>
                <c:pt idx="182">
                  <c:v>0.7819766143009802</c:v>
                </c:pt>
                <c:pt idx="183">
                  <c:v>0.7818965203470396</c:v>
                </c:pt>
                <c:pt idx="184">
                  <c:v>0.78169173421962901</c:v>
                </c:pt>
                <c:pt idx="185">
                  <c:v>0.78181002551329071</c:v>
                </c:pt>
                <c:pt idx="186">
                  <c:v>0.78188941648085142</c:v>
                </c:pt>
                <c:pt idx="187">
                  <c:v>0.78214225725580999</c:v>
                </c:pt>
                <c:pt idx="188">
                  <c:v>0.78270047759304939</c:v>
                </c:pt>
                <c:pt idx="189">
                  <c:v>0.78351608907059023</c:v>
                </c:pt>
                <c:pt idx="190">
                  <c:v>0.78476072142538666</c:v>
                </c:pt>
                <c:pt idx="191">
                  <c:v>0.78553639055728963</c:v>
                </c:pt>
                <c:pt idx="192">
                  <c:v>0.78762501687171182</c:v>
                </c:pt>
                <c:pt idx="193">
                  <c:v>0.78900188003751437</c:v>
                </c:pt>
                <c:pt idx="194">
                  <c:v>0.79029303192150935</c:v>
                </c:pt>
                <c:pt idx="195">
                  <c:v>0.79215249452188641</c:v>
                </c:pt>
                <c:pt idx="196">
                  <c:v>0.7939510395465933</c:v>
                </c:pt>
                <c:pt idx="197">
                  <c:v>0.79519394739799854</c:v>
                </c:pt>
                <c:pt idx="198">
                  <c:v>0.79773922992357083</c:v>
                </c:pt>
                <c:pt idx="199">
                  <c:v>0.80028128088633421</c:v>
                </c:pt>
                <c:pt idx="200">
                  <c:v>0.80336145040792717</c:v>
                </c:pt>
                <c:pt idx="201">
                  <c:v>0.80436342523264914</c:v>
                </c:pt>
                <c:pt idx="202">
                  <c:v>0.804368727990594</c:v>
                </c:pt>
                <c:pt idx="203">
                  <c:v>0.80438505102917035</c:v>
                </c:pt>
                <c:pt idx="204">
                  <c:v>0.80416356347124962</c:v>
                </c:pt>
                <c:pt idx="205">
                  <c:v>0.80410588059779109</c:v>
                </c:pt>
                <c:pt idx="206">
                  <c:v>0.80420038309336161</c:v>
                </c:pt>
                <c:pt idx="207">
                  <c:v>0.80455165456541478</c:v>
                </c:pt>
                <c:pt idx="208">
                  <c:v>0.80471446972965177</c:v>
                </c:pt>
                <c:pt idx="209">
                  <c:v>0.80480125079270881</c:v>
                </c:pt>
                <c:pt idx="210">
                  <c:v>0.80543555359776242</c:v>
                </c:pt>
                <c:pt idx="211">
                  <c:v>0.80510660198678985</c:v>
                </c:pt>
                <c:pt idx="212">
                  <c:v>0.80473956907842215</c:v>
                </c:pt>
                <c:pt idx="213">
                  <c:v>0.80449401583413138</c:v>
                </c:pt>
                <c:pt idx="214">
                  <c:v>0.80432986506900728</c:v>
                </c:pt>
                <c:pt idx="215">
                  <c:v>0.80400355211904728</c:v>
                </c:pt>
                <c:pt idx="216">
                  <c:v>0.80374724101421446</c:v>
                </c:pt>
                <c:pt idx="217">
                  <c:v>0.80379548547057778</c:v>
                </c:pt>
                <c:pt idx="218">
                  <c:v>0.80382031560055267</c:v>
                </c:pt>
                <c:pt idx="219">
                  <c:v>0.80354829129605165</c:v>
                </c:pt>
                <c:pt idx="220">
                  <c:v>0.80346205670844018</c:v>
                </c:pt>
                <c:pt idx="221">
                  <c:v>0.80343274991870839</c:v>
                </c:pt>
                <c:pt idx="222">
                  <c:v>0.80343486478218762</c:v>
                </c:pt>
                <c:pt idx="223">
                  <c:v>0.8038724152620258</c:v>
                </c:pt>
                <c:pt idx="224">
                  <c:v>0.80431413455530443</c:v>
                </c:pt>
                <c:pt idx="225">
                  <c:v>0.80487528479823001</c:v>
                </c:pt>
                <c:pt idx="226">
                  <c:v>0.80561185092226983</c:v>
                </c:pt>
                <c:pt idx="227">
                  <c:v>0.80611557227104713</c:v>
                </c:pt>
                <c:pt idx="228">
                  <c:v>0.80657475158773018</c:v>
                </c:pt>
                <c:pt idx="229">
                  <c:v>0.80675666530470458</c:v>
                </c:pt>
                <c:pt idx="230">
                  <c:v>0.80702015606363242</c:v>
                </c:pt>
                <c:pt idx="231">
                  <c:v>0.80839630249979166</c:v>
                </c:pt>
                <c:pt idx="232">
                  <c:v>0.80969198799421782</c:v>
                </c:pt>
                <c:pt idx="233">
                  <c:v>0.81051604528997057</c:v>
                </c:pt>
                <c:pt idx="234">
                  <c:v>0.81182479083928116</c:v>
                </c:pt>
                <c:pt idx="235">
                  <c:v>0.81353802534394404</c:v>
                </c:pt>
                <c:pt idx="236">
                  <c:v>0.81559266855724777</c:v>
                </c:pt>
                <c:pt idx="237">
                  <c:v>0.81731351828985077</c:v>
                </c:pt>
                <c:pt idx="238">
                  <c:v>0.81889679726690057</c:v>
                </c:pt>
                <c:pt idx="239">
                  <c:v>0.82023398617734078</c:v>
                </c:pt>
                <c:pt idx="240">
                  <c:v>0.82153094827969342</c:v>
                </c:pt>
                <c:pt idx="241">
                  <c:v>0.82270363801587754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0.72856214970787803</c:v>
                </c:pt>
                <c:pt idx="1">
                  <c:v>0.72836447138828098</c:v>
                </c:pt>
                <c:pt idx="2">
                  <c:v>0.72781316606577451</c:v>
                </c:pt>
                <c:pt idx="3">
                  <c:v>0.72687828157254475</c:v>
                </c:pt>
                <c:pt idx="4">
                  <c:v>0.72622478250948874</c:v>
                </c:pt>
                <c:pt idx="5">
                  <c:v>0.72589320353372544</c:v>
                </c:pt>
                <c:pt idx="6">
                  <c:v>0.72566035074728241</c:v>
                </c:pt>
                <c:pt idx="7">
                  <c:v>0.72548895808838487</c:v>
                </c:pt>
                <c:pt idx="8">
                  <c:v>0.72544308201771612</c:v>
                </c:pt>
                <c:pt idx="9">
                  <c:v>0.72573248059756601</c:v>
                </c:pt>
                <c:pt idx="10">
                  <c:v>0.72503870411556415</c:v>
                </c:pt>
                <c:pt idx="11">
                  <c:v>0.72423432803590537</c:v>
                </c:pt>
                <c:pt idx="12">
                  <c:v>0.72299503939193199</c:v>
                </c:pt>
                <c:pt idx="13">
                  <c:v>0.72214302750836523</c:v>
                </c:pt>
                <c:pt idx="14">
                  <c:v>0.72142071338747371</c:v>
                </c:pt>
                <c:pt idx="15">
                  <c:v>0.7205442858057165</c:v>
                </c:pt>
                <c:pt idx="16">
                  <c:v>0.71971303452848023</c:v>
                </c:pt>
                <c:pt idx="17">
                  <c:v>0.71909887282064588</c:v>
                </c:pt>
                <c:pt idx="18">
                  <c:v>0.71869645832777473</c:v>
                </c:pt>
                <c:pt idx="19">
                  <c:v>0.71902266931930259</c:v>
                </c:pt>
                <c:pt idx="20">
                  <c:v>0.7190546512107967</c:v>
                </c:pt>
                <c:pt idx="21">
                  <c:v>0.71889330477266511</c:v>
                </c:pt>
                <c:pt idx="22">
                  <c:v>0.71747525827163683</c:v>
                </c:pt>
                <c:pt idx="23">
                  <c:v>0.7155594075315248</c:v>
                </c:pt>
                <c:pt idx="24">
                  <c:v>0.71445203151296799</c:v>
                </c:pt>
                <c:pt idx="25">
                  <c:v>0.71382541845974046</c:v>
                </c:pt>
                <c:pt idx="26">
                  <c:v>0.71333706785474693</c:v>
                </c:pt>
                <c:pt idx="27">
                  <c:v>0.71310835568911213</c:v>
                </c:pt>
                <c:pt idx="28">
                  <c:v>0.71310112307796436</c:v>
                </c:pt>
                <c:pt idx="29">
                  <c:v>0.71309676622031004</c:v>
                </c:pt>
                <c:pt idx="30">
                  <c:v>0.71301601144260063</c:v>
                </c:pt>
                <c:pt idx="31">
                  <c:v>0.71289276068356855</c:v>
                </c:pt>
                <c:pt idx="32">
                  <c:v>0.71245788305882551</c:v>
                </c:pt>
                <c:pt idx="33">
                  <c:v>0.71186424125365799</c:v>
                </c:pt>
                <c:pt idx="34">
                  <c:v>0.71114104285847901</c:v>
                </c:pt>
                <c:pt idx="35">
                  <c:v>0.70981297820014544</c:v>
                </c:pt>
                <c:pt idx="36">
                  <c:v>0.70916865050350708</c:v>
                </c:pt>
                <c:pt idx="37">
                  <c:v>0.70860493375792344</c:v>
                </c:pt>
                <c:pt idx="38">
                  <c:v>0.70848151869089782</c:v>
                </c:pt>
                <c:pt idx="39">
                  <c:v>0.70833960930941042</c:v>
                </c:pt>
                <c:pt idx="40">
                  <c:v>0.70821871425313132</c:v>
                </c:pt>
                <c:pt idx="41">
                  <c:v>0.70807235751012998</c:v>
                </c:pt>
                <c:pt idx="42">
                  <c:v>0.70796514248580844</c:v>
                </c:pt>
                <c:pt idx="43">
                  <c:v>0.70829987581777776</c:v>
                </c:pt>
                <c:pt idx="44">
                  <c:v>0.70850409245911294</c:v>
                </c:pt>
                <c:pt idx="45">
                  <c:v>0.70880831187502669</c:v>
                </c:pt>
                <c:pt idx="46">
                  <c:v>0.70893802449160537</c:v>
                </c:pt>
                <c:pt idx="47">
                  <c:v>0.70914202389042924</c:v>
                </c:pt>
                <c:pt idx="48">
                  <c:v>0.7092420433557618</c:v>
                </c:pt>
                <c:pt idx="49">
                  <c:v>0.70940328326027013</c:v>
                </c:pt>
                <c:pt idx="50">
                  <c:v>0.70949926389992957</c:v>
                </c:pt>
                <c:pt idx="51">
                  <c:v>0.70957667539341573</c:v>
                </c:pt>
                <c:pt idx="52">
                  <c:v>0.70953012056960418</c:v>
                </c:pt>
                <c:pt idx="53">
                  <c:v>0.7096204775076923</c:v>
                </c:pt>
                <c:pt idx="54">
                  <c:v>0.70961862167144241</c:v>
                </c:pt>
                <c:pt idx="55">
                  <c:v>0.70958780780233821</c:v>
                </c:pt>
                <c:pt idx="56">
                  <c:v>0.70957557995447706</c:v>
                </c:pt>
                <c:pt idx="57">
                  <c:v>0.70962274376513756</c:v>
                </c:pt>
                <c:pt idx="58">
                  <c:v>0.70973668736430318</c:v>
                </c:pt>
                <c:pt idx="59">
                  <c:v>0.70979237085121027</c:v>
                </c:pt>
                <c:pt idx="60">
                  <c:v>0.70979656858202045</c:v>
                </c:pt>
                <c:pt idx="61">
                  <c:v>0.7097820602468301</c:v>
                </c:pt>
                <c:pt idx="62">
                  <c:v>0.70961138894642162</c:v>
                </c:pt>
                <c:pt idx="63">
                  <c:v>0.70919025525310275</c:v>
                </c:pt>
                <c:pt idx="64">
                  <c:v>0.70898174482891685</c:v>
                </c:pt>
                <c:pt idx="65">
                  <c:v>0.70880500388137146</c:v>
                </c:pt>
                <c:pt idx="66">
                  <c:v>0.70844842535362051</c:v>
                </c:pt>
                <c:pt idx="67">
                  <c:v>0.70868764683205643</c:v>
                </c:pt>
                <c:pt idx="68">
                  <c:v>0.70803782565818196</c:v>
                </c:pt>
                <c:pt idx="69">
                  <c:v>0.70744312147491839</c:v>
                </c:pt>
                <c:pt idx="70">
                  <c:v>0.7071025699918646</c:v>
                </c:pt>
                <c:pt idx="71">
                  <c:v>0.70715767648342254</c:v>
                </c:pt>
                <c:pt idx="72">
                  <c:v>0.7067310891972175</c:v>
                </c:pt>
                <c:pt idx="73">
                  <c:v>0.70635041155691558</c:v>
                </c:pt>
                <c:pt idx="74">
                  <c:v>0.70645954550277101</c:v>
                </c:pt>
                <c:pt idx="75">
                  <c:v>0.70639964183561976</c:v>
                </c:pt>
                <c:pt idx="76">
                  <c:v>0.70626575584249696</c:v>
                </c:pt>
                <c:pt idx="77">
                  <c:v>0.70570721676191162</c:v>
                </c:pt>
                <c:pt idx="78">
                  <c:v>0.70518693769545027</c:v>
                </c:pt>
                <c:pt idx="79">
                  <c:v>0.70425965427433956</c:v>
                </c:pt>
                <c:pt idx="80">
                  <c:v>0.70087411681325729</c:v>
                </c:pt>
                <c:pt idx="81">
                  <c:v>0.6983472352355492</c:v>
                </c:pt>
                <c:pt idx="82">
                  <c:v>0.69573279196548343</c:v>
                </c:pt>
                <c:pt idx="83">
                  <c:v>0.69455929816556639</c:v>
                </c:pt>
                <c:pt idx="84">
                  <c:v>0.69395148614647617</c:v>
                </c:pt>
                <c:pt idx="85">
                  <c:v>0.69373878021168012</c:v>
                </c:pt>
                <c:pt idx="86">
                  <c:v>0.69384704920571016</c:v>
                </c:pt>
                <c:pt idx="87">
                  <c:v>0.69424214384251381</c:v>
                </c:pt>
                <c:pt idx="88">
                  <c:v>0.69473376992209546</c:v>
                </c:pt>
                <c:pt idx="89">
                  <c:v>0.6954740774000322</c:v>
                </c:pt>
                <c:pt idx="90">
                  <c:v>0.69635374964715979</c:v>
                </c:pt>
                <c:pt idx="91">
                  <c:v>0.69728024446183823</c:v>
                </c:pt>
                <c:pt idx="92">
                  <c:v>0.69814417928789019</c:v>
                </c:pt>
                <c:pt idx="93">
                  <c:v>0.69886742637544752</c:v>
                </c:pt>
                <c:pt idx="94">
                  <c:v>0.69929390384993062</c:v>
                </c:pt>
                <c:pt idx="95">
                  <c:v>0.69965166449824245</c:v>
                </c:pt>
                <c:pt idx="96">
                  <c:v>0.69989836303043507</c:v>
                </c:pt>
                <c:pt idx="97">
                  <c:v>0.70122668515610287</c:v>
                </c:pt>
                <c:pt idx="98">
                  <c:v>0.70290458134630018</c:v>
                </c:pt>
                <c:pt idx="99">
                  <c:v>0.70421940724050758</c:v>
                </c:pt>
                <c:pt idx="100">
                  <c:v>0.70521125178504029</c:v>
                </c:pt>
                <c:pt idx="101">
                  <c:v>0.70593783218619277</c:v>
                </c:pt>
                <c:pt idx="102">
                  <c:v>0.70650343974217455</c:v>
                </c:pt>
                <c:pt idx="103">
                  <c:v>0.70671244336225825</c:v>
                </c:pt>
                <c:pt idx="104">
                  <c:v>0.70690558325925434</c:v>
                </c:pt>
                <c:pt idx="105">
                  <c:v>0.70710253757849684</c:v>
                </c:pt>
                <c:pt idx="106">
                  <c:v>0.70727057777821389</c:v>
                </c:pt>
                <c:pt idx="107">
                  <c:v>0.70788983972726227</c:v>
                </c:pt>
                <c:pt idx="108">
                  <c:v>0.70845481563871138</c:v>
                </c:pt>
                <c:pt idx="109">
                  <c:v>0.70906092574239821</c:v>
                </c:pt>
                <c:pt idx="110">
                  <c:v>0.71060118781010007</c:v>
                </c:pt>
                <c:pt idx="111">
                  <c:v>0.71183875154910436</c:v>
                </c:pt>
                <c:pt idx="112">
                  <c:v>0.71281981072119982</c:v>
                </c:pt>
                <c:pt idx="113">
                  <c:v>0.71378004015235719</c:v>
                </c:pt>
                <c:pt idx="114">
                  <c:v>0.71445020372878931</c:v>
                </c:pt>
                <c:pt idx="115">
                  <c:v>0.71504405933287563</c:v>
                </c:pt>
                <c:pt idx="116">
                  <c:v>0.71562337784662811</c:v>
                </c:pt>
                <c:pt idx="117">
                  <c:v>0.71605361271651879</c:v>
                </c:pt>
                <c:pt idx="118">
                  <c:v>0.71623541579917038</c:v>
                </c:pt>
                <c:pt idx="119">
                  <c:v>0.71661297041118521</c:v>
                </c:pt>
                <c:pt idx="120">
                  <c:v>0.71686562070444038</c:v>
                </c:pt>
                <c:pt idx="121">
                  <c:v>0.71717800247190511</c:v>
                </c:pt>
                <c:pt idx="122">
                  <c:v>0.71712144487398299</c:v>
                </c:pt>
                <c:pt idx="123">
                  <c:v>0.71692446057439763</c:v>
                </c:pt>
                <c:pt idx="124">
                  <c:v>0.71725654465822919</c:v>
                </c:pt>
                <c:pt idx="125">
                  <c:v>0.71767534771266361</c:v>
                </c:pt>
                <c:pt idx="126">
                  <c:v>0.71824411050329917</c:v>
                </c:pt>
                <c:pt idx="127">
                  <c:v>0.71908728199639405</c:v>
                </c:pt>
                <c:pt idx="128">
                  <c:v>0.71954235402212374</c:v>
                </c:pt>
                <c:pt idx="129">
                  <c:v>0.71904690821730155</c:v>
                </c:pt>
                <c:pt idx="130">
                  <c:v>0.71917883517924763</c:v>
                </c:pt>
                <c:pt idx="131">
                  <c:v>0.71923923644758281</c:v>
                </c:pt>
                <c:pt idx="132">
                  <c:v>0.71962025039247524</c:v>
                </c:pt>
                <c:pt idx="133">
                  <c:v>0.72008124392530004</c:v>
                </c:pt>
                <c:pt idx="134">
                  <c:v>0.72060632442463213</c:v>
                </c:pt>
                <c:pt idx="135">
                  <c:v>0.72107878557767102</c:v>
                </c:pt>
                <c:pt idx="136">
                  <c:v>0.72139563941536089</c:v>
                </c:pt>
                <c:pt idx="137">
                  <c:v>0.72152458997360436</c:v>
                </c:pt>
                <c:pt idx="138">
                  <c:v>0.72155370362234494</c:v>
                </c:pt>
                <c:pt idx="139">
                  <c:v>0.72169812117291021</c:v>
                </c:pt>
                <c:pt idx="140">
                  <c:v>0.72176233278903701</c:v>
                </c:pt>
                <c:pt idx="141">
                  <c:v>0.72179288363505378</c:v>
                </c:pt>
                <c:pt idx="142">
                  <c:v>0.72158001138773398</c:v>
                </c:pt>
                <c:pt idx="143">
                  <c:v>0.72123500832389975</c:v>
                </c:pt>
                <c:pt idx="144">
                  <c:v>0.72049276334210932</c:v>
                </c:pt>
                <c:pt idx="145">
                  <c:v>0.72011536142669119</c:v>
                </c:pt>
                <c:pt idx="146">
                  <c:v>0.71994712343650136</c:v>
                </c:pt>
                <c:pt idx="147">
                  <c:v>0.71985007102369958</c:v>
                </c:pt>
                <c:pt idx="148">
                  <c:v>0.71976276958312613</c:v>
                </c:pt>
                <c:pt idx="149">
                  <c:v>0.71974158693783474</c:v>
                </c:pt>
                <c:pt idx="150">
                  <c:v>0.71966888930476802</c:v>
                </c:pt>
                <c:pt idx="151">
                  <c:v>0.71957689457123253</c:v>
                </c:pt>
                <c:pt idx="152">
                  <c:v>0.71951803298895844</c:v>
                </c:pt>
                <c:pt idx="153">
                  <c:v>0.71946152503739813</c:v>
                </c:pt>
                <c:pt idx="154">
                  <c:v>0.71954706693674442</c:v>
                </c:pt>
                <c:pt idx="155">
                  <c:v>0.72108898483143602</c:v>
                </c:pt>
                <c:pt idx="156">
                  <c:v>0.72259267630260748</c:v>
                </c:pt>
                <c:pt idx="157">
                  <c:v>0.72481267068733712</c:v>
                </c:pt>
                <c:pt idx="158">
                  <c:v>0.72599501351795692</c:v>
                </c:pt>
                <c:pt idx="159">
                  <c:v>0.7266094326600534</c:v>
                </c:pt>
                <c:pt idx="160">
                  <c:v>0.72736120012644478</c:v>
                </c:pt>
                <c:pt idx="161">
                  <c:v>0.72781077113853365</c:v>
                </c:pt>
                <c:pt idx="162">
                  <c:v>0.72801959737667343</c:v>
                </c:pt>
                <c:pt idx="163">
                  <c:v>0.72778893092469921</c:v>
                </c:pt>
                <c:pt idx="164">
                  <c:v>0.72771323773131413</c:v>
                </c:pt>
                <c:pt idx="165">
                  <c:v>0.72773475648480124</c:v>
                </c:pt>
                <c:pt idx="166">
                  <c:v>0.72768498737923981</c:v>
                </c:pt>
                <c:pt idx="167">
                  <c:v>0.72760176039455104</c:v>
                </c:pt>
                <c:pt idx="168">
                  <c:v>0.7274339941013257</c:v>
                </c:pt>
                <c:pt idx="169">
                  <c:v>0.72754727766014315</c:v>
                </c:pt>
                <c:pt idx="170">
                  <c:v>0.72755568847987639</c:v>
                </c:pt>
                <c:pt idx="171">
                  <c:v>0.72756976415774566</c:v>
                </c:pt>
                <c:pt idx="172">
                  <c:v>0.72738359773058581</c:v>
                </c:pt>
                <c:pt idx="173">
                  <c:v>0.72758092884007575</c:v>
                </c:pt>
                <c:pt idx="174">
                  <c:v>0.72728785538030738</c:v>
                </c:pt>
                <c:pt idx="175">
                  <c:v>0.72716386359018581</c:v>
                </c:pt>
                <c:pt idx="176">
                  <c:v>0.72690182163315842</c:v>
                </c:pt>
                <c:pt idx="177">
                  <c:v>0.72676756269328557</c:v>
                </c:pt>
                <c:pt idx="178">
                  <c:v>0.72654641402637021</c:v>
                </c:pt>
                <c:pt idx="179">
                  <c:v>0.72647264906549625</c:v>
                </c:pt>
                <c:pt idx="180">
                  <c:v>0.72613646580918578</c:v>
                </c:pt>
                <c:pt idx="181">
                  <c:v>0.7257987066615158</c:v>
                </c:pt>
                <c:pt idx="182">
                  <c:v>0.72584944277736574</c:v>
                </c:pt>
                <c:pt idx="183">
                  <c:v>0.7263167668006385</c:v>
                </c:pt>
                <c:pt idx="184">
                  <c:v>0.72701551339861692</c:v>
                </c:pt>
                <c:pt idx="185">
                  <c:v>0.72740408584010519</c:v>
                </c:pt>
                <c:pt idx="186">
                  <c:v>0.72782059673434851</c:v>
                </c:pt>
                <c:pt idx="187">
                  <c:v>0.72829308363439005</c:v>
                </c:pt>
                <c:pt idx="188">
                  <c:v>0.72851651922532457</c:v>
                </c:pt>
                <c:pt idx="189">
                  <c:v>0.72868243969463775</c:v>
                </c:pt>
                <c:pt idx="190">
                  <c:v>0.72873804413940335</c:v>
                </c:pt>
                <c:pt idx="191">
                  <c:v>0.72905587622556434</c:v>
                </c:pt>
                <c:pt idx="192">
                  <c:v>0.72850935579121812</c:v>
                </c:pt>
                <c:pt idx="193">
                  <c:v>0.72852706271528567</c:v>
                </c:pt>
                <c:pt idx="194">
                  <c:v>0.72843994901372455</c:v>
                </c:pt>
                <c:pt idx="195">
                  <c:v>0.72815571621499353</c:v>
                </c:pt>
                <c:pt idx="196">
                  <c:v>0.72799937065034059</c:v>
                </c:pt>
                <c:pt idx="197">
                  <c:v>0.72838119156136538</c:v>
                </c:pt>
                <c:pt idx="198">
                  <c:v>0.72772590021041927</c:v>
                </c:pt>
                <c:pt idx="199">
                  <c:v>0.7270711297838377</c:v>
                </c:pt>
                <c:pt idx="200">
                  <c:v>0.72602867563329276</c:v>
                </c:pt>
                <c:pt idx="201">
                  <c:v>0.72606661211264478</c:v>
                </c:pt>
                <c:pt idx="202">
                  <c:v>0.72613251540721402</c:v>
                </c:pt>
                <c:pt idx="203">
                  <c:v>0.72646269271513764</c:v>
                </c:pt>
                <c:pt idx="204">
                  <c:v>0.72767360366479439</c:v>
                </c:pt>
                <c:pt idx="205">
                  <c:v>0.72861183203045299</c:v>
                </c:pt>
                <c:pt idx="206">
                  <c:v>0.72921303392485448</c:v>
                </c:pt>
                <c:pt idx="207">
                  <c:v>0.72947039931015523</c:v>
                </c:pt>
                <c:pt idx="208">
                  <c:v>0.72960854550162013</c:v>
                </c:pt>
                <c:pt idx="209">
                  <c:v>0.72965481191292325</c:v>
                </c:pt>
                <c:pt idx="210">
                  <c:v>0.7297229042951956</c:v>
                </c:pt>
                <c:pt idx="211">
                  <c:v>0.72975296602437423</c:v>
                </c:pt>
                <c:pt idx="212">
                  <c:v>0.72970142425752782</c:v>
                </c:pt>
                <c:pt idx="213">
                  <c:v>0.72958235465490051</c:v>
                </c:pt>
                <c:pt idx="214">
                  <c:v>0.72930899180107278</c:v>
                </c:pt>
                <c:pt idx="215">
                  <c:v>0.72923889432040079</c:v>
                </c:pt>
                <c:pt idx="216">
                  <c:v>0.72924667222697159</c:v>
                </c:pt>
                <c:pt idx="217">
                  <c:v>0.72961726044814013</c:v>
                </c:pt>
                <c:pt idx="218">
                  <c:v>0.73004990832402938</c:v>
                </c:pt>
                <c:pt idx="219">
                  <c:v>0.73089817068340235</c:v>
                </c:pt>
                <c:pt idx="220">
                  <c:v>0.73130852680603786</c:v>
                </c:pt>
                <c:pt idx="221">
                  <c:v>0.73145011328166953</c:v>
                </c:pt>
                <c:pt idx="222">
                  <c:v>0.73147157850205047</c:v>
                </c:pt>
                <c:pt idx="223">
                  <c:v>0.73167804134274417</c:v>
                </c:pt>
                <c:pt idx="224">
                  <c:v>0.73219040162413562</c:v>
                </c:pt>
                <c:pt idx="225">
                  <c:v>0.7325485976560141</c:v>
                </c:pt>
                <c:pt idx="226">
                  <c:v>0.73282215935044426</c:v>
                </c:pt>
                <c:pt idx="227">
                  <c:v>0.73297600741072277</c:v>
                </c:pt>
                <c:pt idx="228">
                  <c:v>0.73317818755515374</c:v>
                </c:pt>
                <c:pt idx="229">
                  <c:v>0.73330154555433336</c:v>
                </c:pt>
                <c:pt idx="230">
                  <c:v>0.73346568324563355</c:v>
                </c:pt>
                <c:pt idx="231">
                  <c:v>0.73316957413702444</c:v>
                </c:pt>
                <c:pt idx="232">
                  <c:v>0.73310823176202222</c:v>
                </c:pt>
                <c:pt idx="233">
                  <c:v>0.73304880025177532</c:v>
                </c:pt>
                <c:pt idx="234">
                  <c:v>0.73278301019718273</c:v>
                </c:pt>
                <c:pt idx="235">
                  <c:v>0.73220624848024596</c:v>
                </c:pt>
                <c:pt idx="236">
                  <c:v>0.73138750321502821</c:v>
                </c:pt>
                <c:pt idx="237">
                  <c:v>0.73057965488122112</c:v>
                </c:pt>
                <c:pt idx="238">
                  <c:v>0.72982052370824735</c:v>
                </c:pt>
                <c:pt idx="239">
                  <c:v>0.72946963633528916</c:v>
                </c:pt>
                <c:pt idx="240">
                  <c:v>0.72934657017156457</c:v>
                </c:pt>
                <c:pt idx="241">
                  <c:v>0.72957988605072843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43809</c:v>
                </c:pt>
                <c:pt idx="1">
                  <c:v>43809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82270363801587754"/>
          <c:min val="0.69373878021168012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sell(6471)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1063</c:v>
                </c:pt>
                <c:pt idx="1">
                  <c:v>1064</c:v>
                </c:pt>
                <c:pt idx="2">
                  <c:v>1059</c:v>
                </c:pt>
                <c:pt idx="3">
                  <c:v>1070</c:v>
                </c:pt>
                <c:pt idx="4">
                  <c:v>1083</c:v>
                </c:pt>
                <c:pt idx="5">
                  <c:v>1088</c:v>
                </c:pt>
                <c:pt idx="6">
                  <c:v>1056</c:v>
                </c:pt>
                <c:pt idx="7">
                  <c:v>1062</c:v>
                </c:pt>
                <c:pt idx="8">
                  <c:v>1067</c:v>
                </c:pt>
                <c:pt idx="9">
                  <c:v>1076</c:v>
                </c:pt>
                <c:pt idx="10">
                  <c:v>1063</c:v>
                </c:pt>
                <c:pt idx="11">
                  <c:v>1065</c:v>
                </c:pt>
                <c:pt idx="12">
                  <c:v>1047</c:v>
                </c:pt>
                <c:pt idx="13">
                  <c:v>1062</c:v>
                </c:pt>
                <c:pt idx="14">
                  <c:v>1077</c:v>
                </c:pt>
                <c:pt idx="15">
                  <c:v>1058</c:v>
                </c:pt>
                <c:pt idx="16">
                  <c:v>1069</c:v>
                </c:pt>
                <c:pt idx="17">
                  <c:v>1080</c:v>
                </c:pt>
                <c:pt idx="18">
                  <c:v>1076</c:v>
                </c:pt>
                <c:pt idx="19">
                  <c:v>1065</c:v>
                </c:pt>
                <c:pt idx="20">
                  <c:v>1033</c:v>
                </c:pt>
                <c:pt idx="21">
                  <c:v>1022</c:v>
                </c:pt>
                <c:pt idx="22">
                  <c:v>1030</c:v>
                </c:pt>
                <c:pt idx="23">
                  <c:v>1049</c:v>
                </c:pt>
                <c:pt idx="24">
                  <c:v>1085</c:v>
                </c:pt>
                <c:pt idx="25">
                  <c:v>1086</c:v>
                </c:pt>
                <c:pt idx="26">
                  <c:v>1066</c:v>
                </c:pt>
                <c:pt idx="27">
                  <c:v>1098</c:v>
                </c:pt>
                <c:pt idx="28">
                  <c:v>1113</c:v>
                </c:pt>
                <c:pt idx="29">
                  <c:v>1101</c:v>
                </c:pt>
                <c:pt idx="30">
                  <c:v>1108</c:v>
                </c:pt>
                <c:pt idx="31">
                  <c:v>1084</c:v>
                </c:pt>
                <c:pt idx="32">
                  <c:v>1066</c:v>
                </c:pt>
                <c:pt idx="33">
                  <c:v>1057</c:v>
                </c:pt>
                <c:pt idx="34">
                  <c:v>997</c:v>
                </c:pt>
                <c:pt idx="35">
                  <c:v>1016</c:v>
                </c:pt>
                <c:pt idx="36">
                  <c:v>1026</c:v>
                </c:pt>
                <c:pt idx="37">
                  <c:v>1042</c:v>
                </c:pt>
                <c:pt idx="38">
                  <c:v>1019</c:v>
                </c:pt>
                <c:pt idx="39">
                  <c:v>1005</c:v>
                </c:pt>
                <c:pt idx="40">
                  <c:v>1017</c:v>
                </c:pt>
                <c:pt idx="41">
                  <c:v>995</c:v>
                </c:pt>
                <c:pt idx="42">
                  <c:v>989</c:v>
                </c:pt>
                <c:pt idx="43">
                  <c:v>983</c:v>
                </c:pt>
                <c:pt idx="44">
                  <c:v>978</c:v>
                </c:pt>
                <c:pt idx="45">
                  <c:v>979</c:v>
                </c:pt>
                <c:pt idx="46">
                  <c:v>974</c:v>
                </c:pt>
                <c:pt idx="47">
                  <c:v>950</c:v>
                </c:pt>
                <c:pt idx="48">
                  <c:v>926</c:v>
                </c:pt>
                <c:pt idx="49">
                  <c:v>915</c:v>
                </c:pt>
                <c:pt idx="50">
                  <c:v>926</c:v>
                </c:pt>
                <c:pt idx="51">
                  <c:v>910</c:v>
                </c:pt>
                <c:pt idx="52">
                  <c:v>914</c:v>
                </c:pt>
                <c:pt idx="53">
                  <c:v>909</c:v>
                </c:pt>
                <c:pt idx="54">
                  <c:v>928</c:v>
                </c:pt>
                <c:pt idx="55">
                  <c:v>949</c:v>
                </c:pt>
                <c:pt idx="56">
                  <c:v>910</c:v>
                </c:pt>
                <c:pt idx="57">
                  <c:v>921</c:v>
                </c:pt>
                <c:pt idx="58">
                  <c:v>945</c:v>
                </c:pt>
                <c:pt idx="59">
                  <c:v>939</c:v>
                </c:pt>
                <c:pt idx="60">
                  <c:v>947</c:v>
                </c:pt>
                <c:pt idx="61">
                  <c:v>949</c:v>
                </c:pt>
                <c:pt idx="62">
                  <c:v>949</c:v>
                </c:pt>
                <c:pt idx="63">
                  <c:v>963</c:v>
                </c:pt>
                <c:pt idx="64">
                  <c:v>983</c:v>
                </c:pt>
                <c:pt idx="65">
                  <c:v>969</c:v>
                </c:pt>
                <c:pt idx="66">
                  <c:v>996</c:v>
                </c:pt>
                <c:pt idx="67">
                  <c:v>975</c:v>
                </c:pt>
                <c:pt idx="68">
                  <c:v>966</c:v>
                </c:pt>
                <c:pt idx="69">
                  <c:v>901</c:v>
                </c:pt>
                <c:pt idx="70">
                  <c:v>903</c:v>
                </c:pt>
                <c:pt idx="71">
                  <c:v>890</c:v>
                </c:pt>
                <c:pt idx="72">
                  <c:v>846</c:v>
                </c:pt>
                <c:pt idx="73">
                  <c:v>871</c:v>
                </c:pt>
                <c:pt idx="74">
                  <c:v>860</c:v>
                </c:pt>
                <c:pt idx="75">
                  <c:v>852</c:v>
                </c:pt>
                <c:pt idx="76">
                  <c:v>825</c:v>
                </c:pt>
                <c:pt idx="77">
                  <c:v>821</c:v>
                </c:pt>
                <c:pt idx="78">
                  <c:v>834</c:v>
                </c:pt>
                <c:pt idx="79">
                  <c:v>828</c:v>
                </c:pt>
                <c:pt idx="80">
                  <c:v>840</c:v>
                </c:pt>
                <c:pt idx="81">
                  <c:v>838</c:v>
                </c:pt>
                <c:pt idx="82">
                  <c:v>838</c:v>
                </c:pt>
                <c:pt idx="83">
                  <c:v>844</c:v>
                </c:pt>
                <c:pt idx="84">
                  <c:v>814</c:v>
                </c:pt>
                <c:pt idx="85">
                  <c:v>801</c:v>
                </c:pt>
                <c:pt idx="86">
                  <c:v>801</c:v>
                </c:pt>
                <c:pt idx="87">
                  <c:v>816</c:v>
                </c:pt>
                <c:pt idx="88">
                  <c:v>808</c:v>
                </c:pt>
                <c:pt idx="89">
                  <c:v>826</c:v>
                </c:pt>
                <c:pt idx="90">
                  <c:v>832</c:v>
                </c:pt>
                <c:pt idx="91">
                  <c:v>838</c:v>
                </c:pt>
                <c:pt idx="92">
                  <c:v>857</c:v>
                </c:pt>
                <c:pt idx="93">
                  <c:v>870</c:v>
                </c:pt>
                <c:pt idx="94">
                  <c:v>893</c:v>
                </c:pt>
                <c:pt idx="95">
                  <c:v>938</c:v>
                </c:pt>
                <c:pt idx="96">
                  <c:v>927</c:v>
                </c:pt>
                <c:pt idx="97">
                  <c:v>934</c:v>
                </c:pt>
                <c:pt idx="98">
                  <c:v>933</c:v>
                </c:pt>
                <c:pt idx="99">
                  <c:v>963</c:v>
                </c:pt>
                <c:pt idx="100">
                  <c:v>982</c:v>
                </c:pt>
                <c:pt idx="101">
                  <c:v>991</c:v>
                </c:pt>
                <c:pt idx="102">
                  <c:v>983</c:v>
                </c:pt>
                <c:pt idx="103">
                  <c:v>969</c:v>
                </c:pt>
                <c:pt idx="104">
                  <c:v>955</c:v>
                </c:pt>
                <c:pt idx="105">
                  <c:v>928</c:v>
                </c:pt>
                <c:pt idx="106">
                  <c:v>941</c:v>
                </c:pt>
                <c:pt idx="107">
                  <c:v>945</c:v>
                </c:pt>
                <c:pt idx="108">
                  <c:v>942</c:v>
                </c:pt>
                <c:pt idx="109">
                  <c:v>942</c:v>
                </c:pt>
                <c:pt idx="110">
                  <c:v>940</c:v>
                </c:pt>
                <c:pt idx="111">
                  <c:v>950</c:v>
                </c:pt>
                <c:pt idx="112">
                  <c:v>962</c:v>
                </c:pt>
                <c:pt idx="113">
                  <c:v>971</c:v>
                </c:pt>
                <c:pt idx="114">
                  <c:v>967</c:v>
                </c:pt>
                <c:pt idx="115">
                  <c:v>970</c:v>
                </c:pt>
                <c:pt idx="116">
                  <c:v>991</c:v>
                </c:pt>
                <c:pt idx="117">
                  <c:v>996</c:v>
                </c:pt>
                <c:pt idx="118">
                  <c:v>960</c:v>
                </c:pt>
                <c:pt idx="119">
                  <c:v>958</c:v>
                </c:pt>
                <c:pt idx="120">
                  <c:v>935</c:v>
                </c:pt>
                <c:pt idx="121">
                  <c:v>923</c:v>
                </c:pt>
                <c:pt idx="122">
                  <c:v>935</c:v>
                </c:pt>
                <c:pt idx="123">
                  <c:v>927</c:v>
                </c:pt>
                <c:pt idx="124">
                  <c:v>928</c:v>
                </c:pt>
                <c:pt idx="125">
                  <c:v>925</c:v>
                </c:pt>
                <c:pt idx="126">
                  <c:v>890</c:v>
                </c:pt>
                <c:pt idx="127">
                  <c:v>897</c:v>
                </c:pt>
                <c:pt idx="128">
                  <c:v>913</c:v>
                </c:pt>
                <c:pt idx="129">
                  <c:v>908</c:v>
                </c:pt>
                <c:pt idx="130">
                  <c:v>925</c:v>
                </c:pt>
                <c:pt idx="131">
                  <c:v>930</c:v>
                </c:pt>
                <c:pt idx="132">
                  <c:v>916</c:v>
                </c:pt>
                <c:pt idx="133">
                  <c:v>900</c:v>
                </c:pt>
                <c:pt idx="134">
                  <c:v>893</c:v>
                </c:pt>
                <c:pt idx="135">
                  <c:v>912</c:v>
                </c:pt>
                <c:pt idx="136">
                  <c:v>887</c:v>
                </c:pt>
                <c:pt idx="137">
                  <c:v>869</c:v>
                </c:pt>
                <c:pt idx="138">
                  <c:v>873</c:v>
                </c:pt>
                <c:pt idx="139">
                  <c:v>893</c:v>
                </c:pt>
                <c:pt idx="140">
                  <c:v>894</c:v>
                </c:pt>
                <c:pt idx="141">
                  <c:v>903</c:v>
                </c:pt>
                <c:pt idx="142">
                  <c:v>911</c:v>
                </c:pt>
                <c:pt idx="143">
                  <c:v>914</c:v>
                </c:pt>
                <c:pt idx="144">
                  <c:v>908</c:v>
                </c:pt>
                <c:pt idx="145">
                  <c:v>922</c:v>
                </c:pt>
                <c:pt idx="146">
                  <c:v>927</c:v>
                </c:pt>
                <c:pt idx="147">
                  <c:v>922</c:v>
                </c:pt>
                <c:pt idx="148">
                  <c:v>910</c:v>
                </c:pt>
                <c:pt idx="149">
                  <c:v>920</c:v>
                </c:pt>
                <c:pt idx="150">
                  <c:v>941</c:v>
                </c:pt>
                <c:pt idx="151">
                  <c:v>946</c:v>
                </c:pt>
                <c:pt idx="152">
                  <c:v>960</c:v>
                </c:pt>
                <c:pt idx="153">
                  <c:v>998</c:v>
                </c:pt>
                <c:pt idx="154">
                  <c:v>1032</c:v>
                </c:pt>
                <c:pt idx="155">
                  <c:v>1062</c:v>
                </c:pt>
                <c:pt idx="156">
                  <c:v>1105</c:v>
                </c:pt>
                <c:pt idx="157">
                  <c:v>1150</c:v>
                </c:pt>
                <c:pt idx="158">
                  <c:v>1167</c:v>
                </c:pt>
                <c:pt idx="159">
                  <c:v>1165</c:v>
                </c:pt>
                <c:pt idx="160">
                  <c:v>1174</c:v>
                </c:pt>
                <c:pt idx="161">
                  <c:v>1188</c:v>
                </c:pt>
                <c:pt idx="162">
                  <c:v>1182</c:v>
                </c:pt>
                <c:pt idx="163">
                  <c:v>1133</c:v>
                </c:pt>
                <c:pt idx="164">
                  <c:v>1136</c:v>
                </c:pt>
                <c:pt idx="165">
                  <c:v>1122</c:v>
                </c:pt>
                <c:pt idx="166">
                  <c:v>1139</c:v>
                </c:pt>
                <c:pt idx="167">
                  <c:v>1115</c:v>
                </c:pt>
                <c:pt idx="168">
                  <c:v>1119</c:v>
                </c:pt>
                <c:pt idx="169">
                  <c:v>1113</c:v>
                </c:pt>
                <c:pt idx="170">
                  <c:v>1132</c:v>
                </c:pt>
                <c:pt idx="171">
                  <c:v>1120</c:v>
                </c:pt>
                <c:pt idx="172">
                  <c:v>1146</c:v>
                </c:pt>
                <c:pt idx="173">
                  <c:v>1116</c:v>
                </c:pt>
                <c:pt idx="174">
                  <c:v>1111</c:v>
                </c:pt>
                <c:pt idx="175">
                  <c:v>1091</c:v>
                </c:pt>
                <c:pt idx="176">
                  <c:v>1067</c:v>
                </c:pt>
                <c:pt idx="177">
                  <c:v>1037</c:v>
                </c:pt>
                <c:pt idx="178">
                  <c:v>1021</c:v>
                </c:pt>
                <c:pt idx="179">
                  <c:v>1016</c:v>
                </c:pt>
                <c:pt idx="180">
                  <c:v>1032</c:v>
                </c:pt>
                <c:pt idx="181">
                  <c:v>1010</c:v>
                </c:pt>
                <c:pt idx="182">
                  <c:v>1039</c:v>
                </c:pt>
                <c:pt idx="183">
                  <c:v>1007</c:v>
                </c:pt>
                <c:pt idx="184">
                  <c:v>1006</c:v>
                </c:pt>
                <c:pt idx="185">
                  <c:v>989</c:v>
                </c:pt>
                <c:pt idx="186">
                  <c:v>976</c:v>
                </c:pt>
                <c:pt idx="187">
                  <c:v>966</c:v>
                </c:pt>
                <c:pt idx="188">
                  <c:v>969</c:v>
                </c:pt>
                <c:pt idx="189">
                  <c:v>985</c:v>
                </c:pt>
                <c:pt idx="190">
                  <c:v>965</c:v>
                </c:pt>
                <c:pt idx="191">
                  <c:v>959</c:v>
                </c:pt>
                <c:pt idx="192">
                  <c:v>991</c:v>
                </c:pt>
                <c:pt idx="193">
                  <c:v>1018</c:v>
                </c:pt>
                <c:pt idx="194">
                  <c:v>1021</c:v>
                </c:pt>
                <c:pt idx="195">
                  <c:v>1033</c:v>
                </c:pt>
                <c:pt idx="196">
                  <c:v>1014</c:v>
                </c:pt>
                <c:pt idx="197">
                  <c:v>1023</c:v>
                </c:pt>
                <c:pt idx="198">
                  <c:v>1032</c:v>
                </c:pt>
                <c:pt idx="199">
                  <c:v>1046</c:v>
                </c:pt>
                <c:pt idx="200">
                  <c:v>1054</c:v>
                </c:pt>
                <c:pt idx="201">
                  <c:v>1051</c:v>
                </c:pt>
                <c:pt idx="202">
                  <c:v>1059</c:v>
                </c:pt>
                <c:pt idx="203">
                  <c:v>1055</c:v>
                </c:pt>
                <c:pt idx="204">
                  <c:v>1047</c:v>
                </c:pt>
                <c:pt idx="205">
                  <c:v>1055</c:v>
                </c:pt>
                <c:pt idx="206">
                  <c:v>1043</c:v>
                </c:pt>
                <c:pt idx="207">
                  <c:v>1061</c:v>
                </c:pt>
                <c:pt idx="208">
                  <c:v>1060</c:v>
                </c:pt>
                <c:pt idx="209">
                  <c:v>1030</c:v>
                </c:pt>
                <c:pt idx="210">
                  <c:v>1019</c:v>
                </c:pt>
                <c:pt idx="211">
                  <c:v>1067</c:v>
                </c:pt>
                <c:pt idx="212">
                  <c:v>1078</c:v>
                </c:pt>
                <c:pt idx="213">
                  <c:v>1068</c:v>
                </c:pt>
                <c:pt idx="214">
                  <c:v>1072</c:v>
                </c:pt>
                <c:pt idx="215">
                  <c:v>1035</c:v>
                </c:pt>
                <c:pt idx="216">
                  <c:v>1059</c:v>
                </c:pt>
                <c:pt idx="217">
                  <c:v>1047</c:v>
                </c:pt>
                <c:pt idx="218">
                  <c:v>1042</c:v>
                </c:pt>
                <c:pt idx="219">
                  <c:v>1062</c:v>
                </c:pt>
                <c:pt idx="220">
                  <c:v>1059</c:v>
                </c:pt>
                <c:pt idx="221">
                  <c:v>1046</c:v>
                </c:pt>
                <c:pt idx="222">
                  <c:v>1038</c:v>
                </c:pt>
                <c:pt idx="223">
                  <c:v>1035</c:v>
                </c:pt>
                <c:pt idx="224">
                  <c:v>1047</c:v>
                </c:pt>
                <c:pt idx="225">
                  <c:v>1037</c:v>
                </c:pt>
                <c:pt idx="226">
                  <c:v>1024</c:v>
                </c:pt>
                <c:pt idx="227">
                  <c:v>1015</c:v>
                </c:pt>
                <c:pt idx="228">
                  <c:v>1018</c:v>
                </c:pt>
                <c:pt idx="229">
                  <c:v>992</c:v>
                </c:pt>
                <c:pt idx="230">
                  <c:v>978</c:v>
                </c:pt>
                <c:pt idx="231">
                  <c:v>973</c:v>
                </c:pt>
                <c:pt idx="232">
                  <c:v>972</c:v>
                </c:pt>
                <c:pt idx="233">
                  <c:v>956</c:v>
                </c:pt>
                <c:pt idx="234">
                  <c:v>925</c:v>
                </c:pt>
                <c:pt idx="235">
                  <c:v>949</c:v>
                </c:pt>
                <c:pt idx="236">
                  <c:v>945</c:v>
                </c:pt>
                <c:pt idx="237">
                  <c:v>910</c:v>
                </c:pt>
                <c:pt idx="238">
                  <c:v>887</c:v>
                </c:pt>
                <c:pt idx="239">
                  <c:v>938</c:v>
                </c:pt>
                <c:pt idx="240">
                  <c:v>951</c:v>
                </c:pt>
                <c:pt idx="241">
                  <c:v>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buy(6473)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1013.241112828439</c:v>
                </c:pt>
                <c:pt idx="1">
                  <c:v>1018.5262751159197</c:v>
                </c:pt>
                <c:pt idx="2">
                  <c:v>1023.8114374034003</c:v>
                </c:pt>
                <c:pt idx="3">
                  <c:v>1039.6669242658425</c:v>
                </c:pt>
                <c:pt idx="4">
                  <c:v>1041.1769706336941</c:v>
                </c:pt>
                <c:pt idx="5">
                  <c:v>1042.6870170015457</c:v>
                </c:pt>
                <c:pt idx="6">
                  <c:v>1007.9559505409583</c:v>
                </c:pt>
                <c:pt idx="7">
                  <c:v>1017.0162287480681</c:v>
                </c:pt>
                <c:pt idx="8">
                  <c:v>1021.5463678516229</c:v>
                </c:pt>
                <c:pt idx="9">
                  <c:v>1035.8918083462133</c:v>
                </c:pt>
                <c:pt idx="10">
                  <c:v>1028.3415765069553</c:v>
                </c:pt>
                <c:pt idx="11">
                  <c:v>1030.6066460587326</c:v>
                </c:pt>
                <c:pt idx="12">
                  <c:v>1012.4860896445132</c:v>
                </c:pt>
                <c:pt idx="13">
                  <c:v>1026.8315301391035</c:v>
                </c:pt>
                <c:pt idx="14">
                  <c:v>1044.9520865533232</c:v>
                </c:pt>
                <c:pt idx="15">
                  <c:v>1026.8315301391035</c:v>
                </c:pt>
                <c:pt idx="16">
                  <c:v>1037.4018547140649</c:v>
                </c:pt>
                <c:pt idx="17">
                  <c:v>1048.7272024729521</c:v>
                </c:pt>
                <c:pt idx="18">
                  <c:v>1038.1568778979909</c:v>
                </c:pt>
                <c:pt idx="19">
                  <c:v>1043.4420401854713</c:v>
                </c:pt>
                <c:pt idx="20">
                  <c:v>1030.6066460587326</c:v>
                </c:pt>
                <c:pt idx="21">
                  <c:v>1031.3616692426585</c:v>
                </c:pt>
                <c:pt idx="22">
                  <c:v>1035.8918083462133</c:v>
                </c:pt>
                <c:pt idx="23">
                  <c:v>1053.2573415765071</c:v>
                </c:pt>
                <c:pt idx="24">
                  <c:v>1075.1530139103556</c:v>
                </c:pt>
                <c:pt idx="25">
                  <c:v>1088.74343122102</c:v>
                </c:pt>
                <c:pt idx="26">
                  <c:v>1077.4180834621329</c:v>
                </c:pt>
                <c:pt idx="27">
                  <c:v>1100.0687789799074</c:v>
                </c:pt>
                <c:pt idx="28">
                  <c:v>1122.7194744976816</c:v>
                </c:pt>
                <c:pt idx="29">
                  <c:v>1105.3539412673879</c:v>
                </c:pt>
                <c:pt idx="30">
                  <c:v>1110.6391035548686</c:v>
                </c:pt>
                <c:pt idx="31">
                  <c:v>1082.7032457496136</c:v>
                </c:pt>
                <c:pt idx="32">
                  <c:v>1064.5826893353942</c:v>
                </c:pt>
                <c:pt idx="33">
                  <c:v>1051.7472952086555</c:v>
                </c:pt>
                <c:pt idx="34">
                  <c:v>1009.46599690881</c:v>
                </c:pt>
                <c:pt idx="35">
                  <c:v>1052.5023183925812</c:v>
                </c:pt>
                <c:pt idx="36">
                  <c:v>1013.241112828439</c:v>
                </c:pt>
                <c:pt idx="37">
                  <c:v>1019.2812982998455</c:v>
                </c:pt>
                <c:pt idx="38">
                  <c:v>1006.4459041731067</c:v>
                </c:pt>
                <c:pt idx="39">
                  <c:v>992.10046367851623</c:v>
                </c:pt>
                <c:pt idx="40">
                  <c:v>1008.7109737248841</c:v>
                </c:pt>
                <c:pt idx="41">
                  <c:v>993.61051004636795</c:v>
                </c:pt>
                <c:pt idx="42">
                  <c:v>973.224884080371</c:v>
                </c:pt>
                <c:pt idx="43">
                  <c:v>973.224884080371</c:v>
                </c:pt>
                <c:pt idx="44">
                  <c:v>965.67465224111288</c:v>
                </c:pt>
                <c:pt idx="45">
                  <c:v>972.4698608964452</c:v>
                </c:pt>
                <c:pt idx="46">
                  <c:v>968.69474497681608</c:v>
                </c:pt>
                <c:pt idx="47">
                  <c:v>951.32921174652245</c:v>
                </c:pt>
                <c:pt idx="48">
                  <c:v>922.63833075734158</c:v>
                </c:pt>
                <c:pt idx="49">
                  <c:v>915.08809891808346</c:v>
                </c:pt>
                <c:pt idx="50">
                  <c:v>929.43353941267389</c:v>
                </c:pt>
                <c:pt idx="51">
                  <c:v>916.59814528593517</c:v>
                </c:pt>
                <c:pt idx="52">
                  <c:v>918.10819165378678</c:v>
                </c:pt>
                <c:pt idx="53">
                  <c:v>921.12828438948998</c:v>
                </c:pt>
                <c:pt idx="54">
                  <c:v>945.28902627511593</c:v>
                </c:pt>
                <c:pt idx="55">
                  <c:v>967.93972179289028</c:v>
                </c:pt>
                <c:pt idx="56">
                  <c:v>935.47372488408041</c:v>
                </c:pt>
                <c:pt idx="57">
                  <c:v>951.32921174652245</c:v>
                </c:pt>
                <c:pt idx="58">
                  <c:v>971.7148377125194</c:v>
                </c:pt>
                <c:pt idx="59">
                  <c:v>958.87944358578056</c:v>
                </c:pt>
                <c:pt idx="60">
                  <c:v>967.18469860896448</c:v>
                </c:pt>
                <c:pt idx="61">
                  <c:v>964.16460587326128</c:v>
                </c:pt>
                <c:pt idx="62">
                  <c:v>975.4899536321484</c:v>
                </c:pt>
                <c:pt idx="63">
                  <c:v>973.9799072642968</c:v>
                </c:pt>
                <c:pt idx="64">
                  <c:v>983.79520865533232</c:v>
                </c:pt>
                <c:pt idx="65">
                  <c:v>980.02009273570332</c:v>
                </c:pt>
                <c:pt idx="66">
                  <c:v>980.02009273570332</c:v>
                </c:pt>
                <c:pt idx="67">
                  <c:v>973.224884080371</c:v>
                </c:pt>
                <c:pt idx="68">
                  <c:v>952.83925811437405</c:v>
                </c:pt>
                <c:pt idx="69">
                  <c:v>901.49768160741894</c:v>
                </c:pt>
                <c:pt idx="70">
                  <c:v>895.45749613601242</c:v>
                </c:pt>
                <c:pt idx="71">
                  <c:v>887.15224111282851</c:v>
                </c:pt>
                <c:pt idx="72">
                  <c:v>858.46136012364764</c:v>
                </c:pt>
                <c:pt idx="73">
                  <c:v>868.27666151468316</c:v>
                </c:pt>
                <c:pt idx="74">
                  <c:v>862.23647604327675</c:v>
                </c:pt>
                <c:pt idx="75">
                  <c:v>869.78670788253476</c:v>
                </c:pt>
                <c:pt idx="76">
                  <c:v>848.64605873261212</c:v>
                </c:pt>
                <c:pt idx="77">
                  <c:v>848.64605873261212</c:v>
                </c:pt>
                <c:pt idx="78">
                  <c:v>855.44126738794444</c:v>
                </c:pt>
                <c:pt idx="79">
                  <c:v>847.89103554868632</c:v>
                </c:pt>
                <c:pt idx="80">
                  <c:v>861.48145285935084</c:v>
                </c:pt>
                <c:pt idx="81">
                  <c:v>862.99149922720255</c:v>
                </c:pt>
                <c:pt idx="82">
                  <c:v>859.21638330757344</c:v>
                </c:pt>
                <c:pt idx="83">
                  <c:v>858.46136012364764</c:v>
                </c:pt>
                <c:pt idx="84">
                  <c:v>847.13601236476052</c:v>
                </c:pt>
                <c:pt idx="85">
                  <c:v>834.30061823802168</c:v>
                </c:pt>
                <c:pt idx="86">
                  <c:v>842.6058732612056</c:v>
                </c:pt>
                <c:pt idx="87">
                  <c:v>853.93122102009272</c:v>
                </c:pt>
                <c:pt idx="88">
                  <c:v>844.870942812983</c:v>
                </c:pt>
                <c:pt idx="89">
                  <c:v>866.01159196290575</c:v>
                </c:pt>
                <c:pt idx="90">
                  <c:v>872.80680061823807</c:v>
                </c:pt>
                <c:pt idx="91">
                  <c:v>876.58191653786707</c:v>
                </c:pt>
                <c:pt idx="92">
                  <c:v>893.19242658423502</c:v>
                </c:pt>
                <c:pt idx="93">
                  <c:v>896.21251931993822</c:v>
                </c:pt>
                <c:pt idx="94">
                  <c:v>914.33307573415766</c:v>
                </c:pt>
                <c:pt idx="95">
                  <c:v>957.36939721792896</c:v>
                </c:pt>
                <c:pt idx="96">
                  <c:v>980.02009273570332</c:v>
                </c:pt>
                <c:pt idx="97">
                  <c:v>997.38562596599695</c:v>
                </c:pt>
                <c:pt idx="98">
                  <c:v>982.28516228748072</c:v>
                </c:pt>
                <c:pt idx="99">
                  <c:v>1004.9358578052551</c:v>
                </c:pt>
                <c:pt idx="100">
                  <c:v>1018.5262751159197</c:v>
                </c:pt>
                <c:pt idx="101">
                  <c:v>1018.5262751159197</c:v>
                </c:pt>
                <c:pt idx="102">
                  <c:v>992.85548686244204</c:v>
                </c:pt>
                <c:pt idx="103">
                  <c:v>978.51004636785171</c:v>
                </c:pt>
                <c:pt idx="104">
                  <c:v>972.4698608964452</c:v>
                </c:pt>
                <c:pt idx="105">
                  <c:v>948.30911901081924</c:v>
                </c:pt>
                <c:pt idx="106">
                  <c:v>976.2449768160742</c:v>
                </c:pt>
                <c:pt idx="107">
                  <c:v>986.06027820710983</c:v>
                </c:pt>
                <c:pt idx="108">
                  <c:v>988.32534775888723</c:v>
                </c:pt>
                <c:pt idx="109">
                  <c:v>1001.9157650695519</c:v>
                </c:pt>
                <c:pt idx="110">
                  <c:v>992.85548686244204</c:v>
                </c:pt>
                <c:pt idx="111">
                  <c:v>998.14064914992275</c:v>
                </c:pt>
                <c:pt idx="112">
                  <c:v>1006.4459041731067</c:v>
                </c:pt>
                <c:pt idx="113">
                  <c:v>1009.46599690881</c:v>
                </c:pt>
                <c:pt idx="114">
                  <c:v>1006.4459041731067</c:v>
                </c:pt>
                <c:pt idx="115">
                  <c:v>1007.9559505409583</c:v>
                </c:pt>
                <c:pt idx="116">
                  <c:v>1023.8114374034003</c:v>
                </c:pt>
                <c:pt idx="117">
                  <c:v>1023.0564142194745</c:v>
                </c:pt>
                <c:pt idx="118">
                  <c:v>986.06027820710983</c:v>
                </c:pt>
                <c:pt idx="119">
                  <c:v>984.55023183925812</c:v>
                </c:pt>
                <c:pt idx="120">
                  <c:v>964.16460587326128</c:v>
                </c:pt>
                <c:pt idx="121">
                  <c:v>946.04404945904173</c:v>
                </c:pt>
                <c:pt idx="122">
                  <c:v>944.53400309119013</c:v>
                </c:pt>
                <c:pt idx="123">
                  <c:v>952.83925811437405</c:v>
                </c:pt>
                <c:pt idx="124">
                  <c:v>954.34930448222565</c:v>
                </c:pt>
                <c:pt idx="125">
                  <c:v>948.30911901081924</c:v>
                </c:pt>
                <c:pt idx="126">
                  <c:v>918.86321483771258</c:v>
                </c:pt>
                <c:pt idx="127">
                  <c:v>918.86321483771258</c:v>
                </c:pt>
                <c:pt idx="128">
                  <c:v>924.90340030911909</c:v>
                </c:pt>
                <c:pt idx="129">
                  <c:v>931.69860896445141</c:v>
                </c:pt>
                <c:pt idx="130">
                  <c:v>937.73879443585781</c:v>
                </c:pt>
                <c:pt idx="131">
                  <c:v>945.28902627511593</c:v>
                </c:pt>
                <c:pt idx="132">
                  <c:v>930.9435857805255</c:v>
                </c:pt>
                <c:pt idx="133">
                  <c:v>915.08809891808346</c:v>
                </c:pt>
                <c:pt idx="134">
                  <c:v>907.53786707882534</c:v>
                </c:pt>
                <c:pt idx="135">
                  <c:v>922.63833075734158</c:v>
                </c:pt>
                <c:pt idx="136">
                  <c:v>887.15224111282851</c:v>
                </c:pt>
                <c:pt idx="137">
                  <c:v>858.46136012364764</c:v>
                </c:pt>
                <c:pt idx="138">
                  <c:v>869.78670788253476</c:v>
                </c:pt>
                <c:pt idx="139">
                  <c:v>886.39721792890271</c:v>
                </c:pt>
                <c:pt idx="140">
                  <c:v>884.88717156105099</c:v>
                </c:pt>
                <c:pt idx="141">
                  <c:v>895.45749613601242</c:v>
                </c:pt>
                <c:pt idx="142">
                  <c:v>890.17233384853171</c:v>
                </c:pt>
                <c:pt idx="143">
                  <c:v>887.90726429675431</c:v>
                </c:pt>
                <c:pt idx="144">
                  <c:v>894.70247295208662</c:v>
                </c:pt>
                <c:pt idx="145">
                  <c:v>916.59814528593517</c:v>
                </c:pt>
                <c:pt idx="146">
                  <c:v>909.04791344667706</c:v>
                </c:pt>
                <c:pt idx="147">
                  <c:v>909.04791344667706</c:v>
                </c:pt>
                <c:pt idx="148">
                  <c:v>915.84312210200926</c:v>
                </c:pt>
                <c:pt idx="149">
                  <c:v>918.10819165378678</c:v>
                </c:pt>
                <c:pt idx="150">
                  <c:v>936.22874806800621</c:v>
                </c:pt>
                <c:pt idx="151">
                  <c:v>922.63833075734158</c:v>
                </c:pt>
                <c:pt idx="152">
                  <c:v>933.20865533230301</c:v>
                </c:pt>
                <c:pt idx="153">
                  <c:v>961.14451313755796</c:v>
                </c:pt>
                <c:pt idx="154">
                  <c:v>951.32921174652245</c:v>
                </c:pt>
                <c:pt idx="155">
                  <c:v>983.04018547140652</c:v>
                </c:pt>
                <c:pt idx="156">
                  <c:v>1013.9961360123648</c:v>
                </c:pt>
                <c:pt idx="157">
                  <c:v>1078.9281298299845</c:v>
                </c:pt>
                <c:pt idx="158">
                  <c:v>1111.3941267387945</c:v>
                </c:pt>
                <c:pt idx="159">
                  <c:v>1106.1089644513138</c:v>
                </c:pt>
                <c:pt idx="160">
                  <c:v>1123.4744976816075</c:v>
                </c:pt>
                <c:pt idx="161">
                  <c:v>1134.0448222565688</c:v>
                </c:pt>
                <c:pt idx="162">
                  <c:v>1137.8199381761979</c:v>
                </c:pt>
                <c:pt idx="163">
                  <c:v>1110.6391035548686</c:v>
                </c:pt>
                <c:pt idx="164">
                  <c:v>1129.5146831530139</c:v>
                </c:pt>
                <c:pt idx="165">
                  <c:v>1109.8840803709429</c:v>
                </c:pt>
                <c:pt idx="166">
                  <c:v>1124.9845440494591</c:v>
                </c:pt>
                <c:pt idx="167">
                  <c:v>1087.2333848531684</c:v>
                </c:pt>
                <c:pt idx="168">
                  <c:v>1088.74343122102</c:v>
                </c:pt>
                <c:pt idx="169">
                  <c:v>1089.498454404946</c:v>
                </c:pt>
                <c:pt idx="170">
                  <c:v>1098.5587326120558</c:v>
                </c:pt>
                <c:pt idx="171">
                  <c:v>1092.5185471406492</c:v>
                </c:pt>
                <c:pt idx="172">
                  <c:v>1103.8438948995363</c:v>
                </c:pt>
                <c:pt idx="173">
                  <c:v>1098.5587326120558</c:v>
                </c:pt>
                <c:pt idx="174">
                  <c:v>1105.3539412673879</c:v>
                </c:pt>
                <c:pt idx="175">
                  <c:v>1094.7836166924267</c:v>
                </c:pt>
                <c:pt idx="176">
                  <c:v>1060.8075734157651</c:v>
                </c:pt>
                <c:pt idx="177">
                  <c:v>1028.3415765069553</c:v>
                </c:pt>
                <c:pt idx="178">
                  <c:v>1014.7511591962906</c:v>
                </c:pt>
                <c:pt idx="179">
                  <c:v>1023.8114374034003</c:v>
                </c:pt>
                <c:pt idx="180">
                  <c:v>1046.4621329211748</c:v>
                </c:pt>
                <c:pt idx="181">
                  <c:v>1023.0564142194745</c:v>
                </c:pt>
                <c:pt idx="182">
                  <c:v>1064.5826893353942</c:v>
                </c:pt>
                <c:pt idx="183">
                  <c:v>1038.1568778979909</c:v>
                </c:pt>
                <c:pt idx="184">
                  <c:v>1024.5664605873262</c:v>
                </c:pt>
                <c:pt idx="185">
                  <c:v>1007.9559505409583</c:v>
                </c:pt>
                <c:pt idx="186">
                  <c:v>996.63060278207115</c:v>
                </c:pt>
                <c:pt idx="187">
                  <c:v>980.77511591962912</c:v>
                </c:pt>
                <c:pt idx="188">
                  <c:v>986.06027820710983</c:v>
                </c:pt>
                <c:pt idx="189">
                  <c:v>1007.2009273570325</c:v>
                </c:pt>
                <c:pt idx="190">
                  <c:v>985.30525502318392</c:v>
                </c:pt>
                <c:pt idx="191">
                  <c:v>977</c:v>
                </c:pt>
                <c:pt idx="192">
                  <c:v>1011.7310664605874</c:v>
                </c:pt>
                <c:pt idx="193">
                  <c:v>1031.3616692426585</c:v>
                </c:pt>
                <c:pt idx="194">
                  <c:v>1040.4219474497681</c:v>
                </c:pt>
                <c:pt idx="195">
                  <c:v>1054.7673879443587</c:v>
                </c:pt>
                <c:pt idx="196">
                  <c:v>1041.1769706336941</c:v>
                </c:pt>
                <c:pt idx="197">
                  <c:v>1041.9319938176197</c:v>
                </c:pt>
                <c:pt idx="198">
                  <c:v>1048.7272024729521</c:v>
                </c:pt>
                <c:pt idx="199">
                  <c:v>1060.0525502318394</c:v>
                </c:pt>
                <c:pt idx="200">
                  <c:v>1054.7673879443587</c:v>
                </c:pt>
                <c:pt idx="201">
                  <c:v>1050.2372488408037</c:v>
                </c:pt>
                <c:pt idx="202">
                  <c:v>1066.0927357032458</c:v>
                </c:pt>
                <c:pt idx="203">
                  <c:v>1086.4783616692428</c:v>
                </c:pt>
                <c:pt idx="204">
                  <c:v>1069.8678516228749</c:v>
                </c:pt>
                <c:pt idx="205">
                  <c:v>1066.8477588871715</c:v>
                </c:pt>
                <c:pt idx="206">
                  <c:v>1040.4219474497681</c:v>
                </c:pt>
                <c:pt idx="207">
                  <c:v>1050.9922720247296</c:v>
                </c:pt>
                <c:pt idx="208">
                  <c:v>1042.6870170015457</c:v>
                </c:pt>
                <c:pt idx="209">
                  <c:v>1020.7913446676971</c:v>
                </c:pt>
                <c:pt idx="210">
                  <c:v>980.77511591962912</c:v>
                </c:pt>
                <c:pt idx="211">
                  <c:v>1029.8516228748069</c:v>
                </c:pt>
                <c:pt idx="212">
                  <c:v>1047.2171561051005</c:v>
                </c:pt>
                <c:pt idx="213">
                  <c:v>1043.4420401854713</c:v>
                </c:pt>
                <c:pt idx="214">
                  <c:v>1037.4018547140649</c:v>
                </c:pt>
                <c:pt idx="215">
                  <c:v>1000.4057187017002</c:v>
                </c:pt>
                <c:pt idx="216">
                  <c:v>1063.8276661514683</c:v>
                </c:pt>
                <c:pt idx="217">
                  <c:v>1054.0123647604328</c:v>
                </c:pt>
                <c:pt idx="218">
                  <c:v>1065.3377125193199</c:v>
                </c:pt>
                <c:pt idx="219">
                  <c:v>1072.8879443585781</c:v>
                </c:pt>
                <c:pt idx="220">
                  <c:v>1063.8276661514683</c:v>
                </c:pt>
                <c:pt idx="221">
                  <c:v>1039.6669242658425</c:v>
                </c:pt>
                <c:pt idx="222">
                  <c:v>1032.8717156105101</c:v>
                </c:pt>
                <c:pt idx="223">
                  <c:v>1042.6870170015457</c:v>
                </c:pt>
                <c:pt idx="224">
                  <c:v>1049.482225656878</c:v>
                </c:pt>
                <c:pt idx="225">
                  <c:v>1038.1568778979909</c:v>
                </c:pt>
                <c:pt idx="226">
                  <c:v>1014.7511591962906</c:v>
                </c:pt>
                <c:pt idx="227">
                  <c:v>1007.2009273570325</c:v>
                </c:pt>
                <c:pt idx="228">
                  <c:v>1003.4258114374035</c:v>
                </c:pt>
                <c:pt idx="229">
                  <c:v>980.02009273570332</c:v>
                </c:pt>
                <c:pt idx="230">
                  <c:v>965.67465224111288</c:v>
                </c:pt>
                <c:pt idx="231">
                  <c:v>968.69474497681608</c:v>
                </c:pt>
                <c:pt idx="232">
                  <c:v>955.10432766615156</c:v>
                </c:pt>
                <c:pt idx="233">
                  <c:v>940.75888717156113</c:v>
                </c:pt>
                <c:pt idx="234">
                  <c:v>905.27279752704794</c:v>
                </c:pt>
                <c:pt idx="235">
                  <c:v>925.65842349304489</c:v>
                </c:pt>
                <c:pt idx="236">
                  <c:v>907.53786707882534</c:v>
                </c:pt>
                <c:pt idx="237">
                  <c:v>869.78670788253476</c:v>
                </c:pt>
                <c:pt idx="238">
                  <c:v>863.74652241112835</c:v>
                </c:pt>
                <c:pt idx="239">
                  <c:v>923.39335394126738</c:v>
                </c:pt>
                <c:pt idx="240">
                  <c:v>948.30911901081924</c:v>
                </c:pt>
                <c:pt idx="241">
                  <c:v>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43809</c:v>
                </c:pt>
                <c:pt idx="1">
                  <c:v>43809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188"/>
          <c:min val="80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3230</c:v>
                </c:pt>
                <c:pt idx="1">
                  <c:v>2230</c:v>
                </c:pt>
                <c:pt idx="2">
                  <c:v>7230</c:v>
                </c:pt>
                <c:pt idx="3">
                  <c:v>-3770</c:v>
                </c:pt>
                <c:pt idx="4">
                  <c:v>-16770</c:v>
                </c:pt>
                <c:pt idx="5">
                  <c:v>-21770</c:v>
                </c:pt>
                <c:pt idx="6">
                  <c:v>10230</c:v>
                </c:pt>
                <c:pt idx="7">
                  <c:v>4230</c:v>
                </c:pt>
                <c:pt idx="8">
                  <c:v>-770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-15170</c:v>
                </c:pt>
                <c:pt idx="1">
                  <c:v>-9570</c:v>
                </c:pt>
                <c:pt idx="2">
                  <c:v>-3970</c:v>
                </c:pt>
                <c:pt idx="3">
                  <c:v>12830</c:v>
                </c:pt>
                <c:pt idx="4">
                  <c:v>14430</c:v>
                </c:pt>
                <c:pt idx="5">
                  <c:v>16030</c:v>
                </c:pt>
                <c:pt idx="6">
                  <c:v>-20770</c:v>
                </c:pt>
                <c:pt idx="7">
                  <c:v>-11170</c:v>
                </c:pt>
                <c:pt idx="8">
                  <c:v>-6370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-11940</c:v>
                </c:pt>
                <c:pt idx="1">
                  <c:v>-7340</c:v>
                </c:pt>
                <c:pt idx="2">
                  <c:v>3260</c:v>
                </c:pt>
                <c:pt idx="3">
                  <c:v>9060</c:v>
                </c:pt>
                <c:pt idx="4">
                  <c:v>-2340</c:v>
                </c:pt>
                <c:pt idx="5">
                  <c:v>-5740</c:v>
                </c:pt>
                <c:pt idx="6">
                  <c:v>-10540</c:v>
                </c:pt>
                <c:pt idx="7">
                  <c:v>-6940</c:v>
                </c:pt>
                <c:pt idx="8">
                  <c:v>-7140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43809</c:v>
                </c:pt>
                <c:pt idx="1">
                  <c:v>43809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0.93739788392204504</c:v>
                </c:pt>
                <c:pt idx="1">
                  <c:v>0.94050791002112</c:v>
                </c:pt>
                <c:pt idx="2">
                  <c:v>0.94081750370363504</c:v>
                </c:pt>
                <c:pt idx="3">
                  <c:v>0.94132776006971197</c:v>
                </c:pt>
                <c:pt idx="4">
                  <c:v>0.94272725897062004</c:v>
                </c:pt>
                <c:pt idx="5">
                  <c:v>0.94437868185403395</c:v>
                </c:pt>
                <c:pt idx="6">
                  <c:v>0.94843398751961305</c:v>
                </c:pt>
                <c:pt idx="7">
                  <c:v>0.95117363762021201</c:v>
                </c:pt>
                <c:pt idx="8">
                  <c:v>0.95466661244137196</c:v>
                </c:pt>
                <c:pt idx="9">
                  <c:v>0.95641362595729396</c:v>
                </c:pt>
                <c:pt idx="10">
                  <c:v>0.960047561155148</c:v>
                </c:pt>
                <c:pt idx="11">
                  <c:v>0.96287467619415801</c:v>
                </c:pt>
                <c:pt idx="12">
                  <c:v>0.96658870953604703</c:v>
                </c:pt>
                <c:pt idx="13">
                  <c:v>0.97115697838773596</c:v>
                </c:pt>
                <c:pt idx="14">
                  <c:v>0.97358589952230201</c:v>
                </c:pt>
                <c:pt idx="15">
                  <c:v>0.97767102357580804</c:v>
                </c:pt>
                <c:pt idx="16">
                  <c:v>0.98012139249109298</c:v>
                </c:pt>
                <c:pt idx="17">
                  <c:v>0.98197415095493901</c:v>
                </c:pt>
                <c:pt idx="18">
                  <c:v>0.98454393154286302</c:v>
                </c:pt>
                <c:pt idx="19">
                  <c:v>0.985705490089967</c:v>
                </c:pt>
                <c:pt idx="20">
                  <c:v>0.98603817052809595</c:v>
                </c:pt>
                <c:pt idx="21">
                  <c:v>0.98630682813620096</c:v>
                </c:pt>
                <c:pt idx="22">
                  <c:v>0.98658389482817799</c:v>
                </c:pt>
                <c:pt idx="23">
                  <c:v>0.98676120000780698</c:v>
                </c:pt>
                <c:pt idx="24">
                  <c:v>0.98644934274719198</c:v>
                </c:pt>
                <c:pt idx="25">
                  <c:v>0.98617185430957</c:v>
                </c:pt>
                <c:pt idx="26">
                  <c:v>0.98578475548233302</c:v>
                </c:pt>
                <c:pt idx="27">
                  <c:v>0.98492575280664396</c:v>
                </c:pt>
                <c:pt idx="28">
                  <c:v>0.98437411513607898</c:v>
                </c:pt>
                <c:pt idx="29">
                  <c:v>0.98339429037555703</c:v>
                </c:pt>
                <c:pt idx="30">
                  <c:v>0.98190647397347197</c:v>
                </c:pt>
                <c:pt idx="31">
                  <c:v>0.98022803739940401</c:v>
                </c:pt>
                <c:pt idx="32">
                  <c:v>0.97867416641300498</c:v>
                </c:pt>
                <c:pt idx="33">
                  <c:v>0.97674216900150501</c:v>
                </c:pt>
                <c:pt idx="34">
                  <c:v>0.976443693549362</c:v>
                </c:pt>
                <c:pt idx="35">
                  <c:v>0.97967516034194202</c:v>
                </c:pt>
                <c:pt idx="36">
                  <c:v>0.973299020450894</c:v>
                </c:pt>
                <c:pt idx="37">
                  <c:v>0.96384007827399798</c:v>
                </c:pt>
                <c:pt idx="38">
                  <c:v>0.95831716405985401</c:v>
                </c:pt>
                <c:pt idx="39">
                  <c:v>0.95518170392517399</c:v>
                </c:pt>
                <c:pt idx="40">
                  <c:v>0.95266608372750405</c:v>
                </c:pt>
                <c:pt idx="41">
                  <c:v>0.952381670804615</c:v>
                </c:pt>
                <c:pt idx="42">
                  <c:v>0.95531037301996602</c:v>
                </c:pt>
                <c:pt idx="43">
                  <c:v>0.95615110126206504</c:v>
                </c:pt>
                <c:pt idx="44">
                  <c:v>0.95724271468843503</c:v>
                </c:pt>
                <c:pt idx="45">
                  <c:v>0.95705036763578399</c:v>
                </c:pt>
                <c:pt idx="46">
                  <c:v>0.95663136185813402</c:v>
                </c:pt>
                <c:pt idx="47">
                  <c:v>0.95570060888457398</c:v>
                </c:pt>
                <c:pt idx="48">
                  <c:v>0.95386077222133203</c:v>
                </c:pt>
                <c:pt idx="49">
                  <c:v>0.95324731670124097</c:v>
                </c:pt>
                <c:pt idx="50">
                  <c:v>0.953344842442718</c:v>
                </c:pt>
                <c:pt idx="51">
                  <c:v>0.954063064151211</c:v>
                </c:pt>
                <c:pt idx="52">
                  <c:v>0.95572415252194198</c:v>
                </c:pt>
                <c:pt idx="53">
                  <c:v>0.95659531395221498</c:v>
                </c:pt>
                <c:pt idx="54">
                  <c:v>0.95732514349604203</c:v>
                </c:pt>
                <c:pt idx="55">
                  <c:v>0.95852014182723699</c:v>
                </c:pt>
                <c:pt idx="56">
                  <c:v>0.95989742002359801</c:v>
                </c:pt>
                <c:pt idx="57">
                  <c:v>0.96034155059384796</c:v>
                </c:pt>
                <c:pt idx="58">
                  <c:v>0.96052338703539697</c:v>
                </c:pt>
                <c:pt idx="59">
                  <c:v>0.96059013730256804</c:v>
                </c:pt>
                <c:pt idx="60">
                  <c:v>0.96047911524538898</c:v>
                </c:pt>
                <c:pt idx="61">
                  <c:v>0.960079475219208</c:v>
                </c:pt>
                <c:pt idx="62">
                  <c:v>0.95986915109292903</c:v>
                </c:pt>
                <c:pt idx="63">
                  <c:v>0.96004246993386499</c:v>
                </c:pt>
                <c:pt idx="64">
                  <c:v>0.96094769063926999</c:v>
                </c:pt>
                <c:pt idx="65">
                  <c:v>0.960604214364422</c:v>
                </c:pt>
                <c:pt idx="66">
                  <c:v>0.96431883757140302</c:v>
                </c:pt>
                <c:pt idx="67">
                  <c:v>0.96559721669064802</c:v>
                </c:pt>
                <c:pt idx="68">
                  <c:v>0.96920063645516197</c:v>
                </c:pt>
                <c:pt idx="69">
                  <c:v>0.97034625139813402</c:v>
                </c:pt>
                <c:pt idx="70">
                  <c:v>0.97269036998820901</c:v>
                </c:pt>
                <c:pt idx="71">
                  <c:v>0.97425102206700098</c:v>
                </c:pt>
                <c:pt idx="72">
                  <c:v>0.97333474456991997</c:v>
                </c:pt>
                <c:pt idx="73">
                  <c:v>0.97341480974553796</c:v>
                </c:pt>
                <c:pt idx="74">
                  <c:v>0.97156074472153198</c:v>
                </c:pt>
                <c:pt idx="75">
                  <c:v>0.96956625733253499</c:v>
                </c:pt>
                <c:pt idx="76">
                  <c:v>0.96607621949285605</c:v>
                </c:pt>
                <c:pt idx="77">
                  <c:v>0.96210501526648895</c:v>
                </c:pt>
                <c:pt idx="78">
                  <c:v>0.95828137600500296</c:v>
                </c:pt>
                <c:pt idx="79">
                  <c:v>0.95130324235237296</c:v>
                </c:pt>
                <c:pt idx="80">
                  <c:v>0.94330874735509396</c:v>
                </c:pt>
                <c:pt idx="81">
                  <c:v>0.93823869964379403</c:v>
                </c:pt>
                <c:pt idx="82">
                  <c:v>0.93374274777347599</c:v>
                </c:pt>
                <c:pt idx="83">
                  <c:v>0.92657630842740901</c:v>
                </c:pt>
                <c:pt idx="84">
                  <c:v>0.91964285355152098</c:v>
                </c:pt>
                <c:pt idx="85">
                  <c:v>0.91400314877018096</c:v>
                </c:pt>
                <c:pt idx="86">
                  <c:v>0.90901430303873398</c:v>
                </c:pt>
                <c:pt idx="87">
                  <c:v>0.90335114960709995</c:v>
                </c:pt>
                <c:pt idx="88">
                  <c:v>0.890851697082234</c:v>
                </c:pt>
                <c:pt idx="89">
                  <c:v>0.86193464579602197</c:v>
                </c:pt>
                <c:pt idx="90">
                  <c:v>0.809961156435547</c:v>
                </c:pt>
                <c:pt idx="91">
                  <c:v>0.76649017559364196</c:v>
                </c:pt>
                <c:pt idx="92">
                  <c:v>0.73950518043691105</c:v>
                </c:pt>
                <c:pt idx="93">
                  <c:v>0.73174042430465402</c:v>
                </c:pt>
                <c:pt idx="94">
                  <c:v>0.72795577542922996</c:v>
                </c:pt>
                <c:pt idx="95">
                  <c:v>0.72816318671342695</c:v>
                </c:pt>
                <c:pt idx="96">
                  <c:v>0.73461198323310495</c:v>
                </c:pt>
                <c:pt idx="97">
                  <c:v>0.74427948972795699</c:v>
                </c:pt>
                <c:pt idx="98">
                  <c:v>0.74997509529980499</c:v>
                </c:pt>
                <c:pt idx="99">
                  <c:v>0.75059540646453404</c:v>
                </c:pt>
                <c:pt idx="100">
                  <c:v>0.78339093102216995</c:v>
                </c:pt>
                <c:pt idx="101">
                  <c:v>0.82390998646724001</c:v>
                </c:pt>
                <c:pt idx="102">
                  <c:v>0.85008091289460397</c:v>
                </c:pt>
                <c:pt idx="103">
                  <c:v>0.873211897865527</c:v>
                </c:pt>
                <c:pt idx="104">
                  <c:v>0.89202398541281802</c:v>
                </c:pt>
                <c:pt idx="105">
                  <c:v>0.90556462607856003</c:v>
                </c:pt>
                <c:pt idx="106">
                  <c:v>0.91389098559702797</c:v>
                </c:pt>
                <c:pt idx="107">
                  <c:v>0.92160212595916002</c:v>
                </c:pt>
                <c:pt idx="108">
                  <c:v>0.93232505777087804</c:v>
                </c:pt>
                <c:pt idx="109">
                  <c:v>0.93920185606452999</c:v>
                </c:pt>
                <c:pt idx="110">
                  <c:v>0.94471160122244702</c:v>
                </c:pt>
                <c:pt idx="111">
                  <c:v>0.94945135042844697</c:v>
                </c:pt>
                <c:pt idx="112">
                  <c:v>0.95410166527612095</c:v>
                </c:pt>
                <c:pt idx="113">
                  <c:v>0.95778171738906104</c:v>
                </c:pt>
                <c:pt idx="114">
                  <c:v>0.96164990580676701</c:v>
                </c:pt>
                <c:pt idx="115">
                  <c:v>0.96472710951093399</c:v>
                </c:pt>
                <c:pt idx="116">
                  <c:v>0.96702873780320298</c:v>
                </c:pt>
                <c:pt idx="117">
                  <c:v>0.96823168464961296</c:v>
                </c:pt>
                <c:pt idx="118">
                  <c:v>0.96929344467526402</c:v>
                </c:pt>
                <c:pt idx="119">
                  <c:v>0.97033018063829601</c:v>
                </c:pt>
                <c:pt idx="120">
                  <c:v>0.97078438018919999</c:v>
                </c:pt>
                <c:pt idx="121">
                  <c:v>0.97022882544102595</c:v>
                </c:pt>
                <c:pt idx="122">
                  <c:v>0.96945194085025399</c:v>
                </c:pt>
                <c:pt idx="123">
                  <c:v>0.96824766077625402</c:v>
                </c:pt>
                <c:pt idx="124">
                  <c:v>0.96894860579336595</c:v>
                </c:pt>
                <c:pt idx="125">
                  <c:v>0.96733009898840505</c:v>
                </c:pt>
                <c:pt idx="126">
                  <c:v>0.96645306268002396</c:v>
                </c:pt>
                <c:pt idx="127">
                  <c:v>0.96537269257287095</c:v>
                </c:pt>
                <c:pt idx="128">
                  <c:v>0.96409071444936201</c:v>
                </c:pt>
                <c:pt idx="129">
                  <c:v>0.96373754464495698</c:v>
                </c:pt>
                <c:pt idx="130">
                  <c:v>0.96293003825904999</c:v>
                </c:pt>
                <c:pt idx="131">
                  <c:v>0.96178310577714499</c:v>
                </c:pt>
                <c:pt idx="132">
                  <c:v>0.96072113113534297</c:v>
                </c:pt>
                <c:pt idx="133">
                  <c:v>0.95954027925541197</c:v>
                </c:pt>
                <c:pt idx="134">
                  <c:v>0.95753343859486395</c:v>
                </c:pt>
                <c:pt idx="135">
                  <c:v>0.95599137838876402</c:v>
                </c:pt>
                <c:pt idx="136">
                  <c:v>0.95299171799257598</c:v>
                </c:pt>
                <c:pt idx="137">
                  <c:v>0.94889538353888003</c:v>
                </c:pt>
                <c:pt idx="138">
                  <c:v>0.94398820739190303</c:v>
                </c:pt>
                <c:pt idx="139">
                  <c:v>0.94137016163477705</c:v>
                </c:pt>
                <c:pt idx="140">
                  <c:v>0.93845918204511902</c:v>
                </c:pt>
                <c:pt idx="141">
                  <c:v>0.93552688059503997</c:v>
                </c:pt>
                <c:pt idx="142">
                  <c:v>0.93157322374644003</c:v>
                </c:pt>
                <c:pt idx="143">
                  <c:v>0.92660956020434404</c:v>
                </c:pt>
                <c:pt idx="144">
                  <c:v>0.92275590989917999</c:v>
                </c:pt>
                <c:pt idx="145">
                  <c:v>0.91894034399381397</c:v>
                </c:pt>
                <c:pt idx="146">
                  <c:v>0.91535482635478005</c:v>
                </c:pt>
                <c:pt idx="147">
                  <c:v>0.91008024037086799</c:v>
                </c:pt>
                <c:pt idx="148">
                  <c:v>0.89513982289502902</c:v>
                </c:pt>
                <c:pt idx="149">
                  <c:v>0.88703697020152705</c:v>
                </c:pt>
                <c:pt idx="150">
                  <c:v>0.88021143091312004</c:v>
                </c:pt>
                <c:pt idx="151">
                  <c:v>0.87509411689668903</c:v>
                </c:pt>
                <c:pt idx="152">
                  <c:v>0.87201474624369901</c:v>
                </c:pt>
                <c:pt idx="153">
                  <c:v>0.87506546981021105</c:v>
                </c:pt>
                <c:pt idx="154">
                  <c:v>0.90043043230725495</c:v>
                </c:pt>
                <c:pt idx="155">
                  <c:v>0.92510655623948201</c:v>
                </c:pt>
                <c:pt idx="156">
                  <c:v>0.94211706335002099</c:v>
                </c:pt>
                <c:pt idx="157">
                  <c:v>0.92742227774319297</c:v>
                </c:pt>
                <c:pt idx="158">
                  <c:v>0.92655899204404202</c:v>
                </c:pt>
                <c:pt idx="159">
                  <c:v>0.92683003355542604</c:v>
                </c:pt>
                <c:pt idx="160">
                  <c:v>0.92367184260465796</c:v>
                </c:pt>
                <c:pt idx="161">
                  <c:v>0.91861199703608598</c:v>
                </c:pt>
                <c:pt idx="162">
                  <c:v>0.91094720202947499</c:v>
                </c:pt>
                <c:pt idx="163">
                  <c:v>0.90651036209656199</c:v>
                </c:pt>
                <c:pt idx="164">
                  <c:v>0.90037831795971501</c:v>
                </c:pt>
                <c:pt idx="165">
                  <c:v>0.89452972418101495</c:v>
                </c:pt>
                <c:pt idx="166">
                  <c:v>0.88503915517491705</c:v>
                </c:pt>
                <c:pt idx="167">
                  <c:v>0.88007397877485305</c:v>
                </c:pt>
                <c:pt idx="168">
                  <c:v>0.87615936931336402</c:v>
                </c:pt>
                <c:pt idx="169">
                  <c:v>0.87244853864181304</c:v>
                </c:pt>
                <c:pt idx="170">
                  <c:v>0.86930006259876602</c:v>
                </c:pt>
                <c:pt idx="171">
                  <c:v>0.86943040458901399</c:v>
                </c:pt>
                <c:pt idx="172">
                  <c:v>0.87738177019778896</c:v>
                </c:pt>
                <c:pt idx="173">
                  <c:v>0.86956312702097305</c:v>
                </c:pt>
                <c:pt idx="174">
                  <c:v>0.877925736332547</c:v>
                </c:pt>
                <c:pt idx="175">
                  <c:v>0.87042686307093997</c:v>
                </c:pt>
                <c:pt idx="176">
                  <c:v>0.86834214650055097</c:v>
                </c:pt>
                <c:pt idx="177">
                  <c:v>0.869106570268107</c:v>
                </c:pt>
                <c:pt idx="178">
                  <c:v>0.86954738300130796</c:v>
                </c:pt>
                <c:pt idx="179">
                  <c:v>0.87916804248493696</c:v>
                </c:pt>
                <c:pt idx="180">
                  <c:v>0.88649187902126503</c:v>
                </c:pt>
                <c:pt idx="181">
                  <c:v>0.90211575616303596</c:v>
                </c:pt>
                <c:pt idx="182">
                  <c:v>0.91855052205978205</c:v>
                </c:pt>
                <c:pt idx="183">
                  <c:v>0.92636494497668198</c:v>
                </c:pt>
                <c:pt idx="184">
                  <c:v>0.92978184978036504</c:v>
                </c:pt>
                <c:pt idx="185">
                  <c:v>0.93198972919276701</c:v>
                </c:pt>
                <c:pt idx="186">
                  <c:v>0.93393910886536502</c:v>
                </c:pt>
                <c:pt idx="187">
                  <c:v>0.934981734385399</c:v>
                </c:pt>
                <c:pt idx="188">
                  <c:v>0.93663179913657102</c:v>
                </c:pt>
                <c:pt idx="189">
                  <c:v>0.93920159141786796</c:v>
                </c:pt>
                <c:pt idx="190">
                  <c:v>0.94062484412633096</c:v>
                </c:pt>
                <c:pt idx="191">
                  <c:v>0.940464226768847</c:v>
                </c:pt>
                <c:pt idx="192">
                  <c:v>0.94292832613731803</c:v>
                </c:pt>
                <c:pt idx="193">
                  <c:v>0.94354572152528904</c:v>
                </c:pt>
                <c:pt idx="194">
                  <c:v>0.94379564915749903</c:v>
                </c:pt>
                <c:pt idx="195">
                  <c:v>0.94508856942723596</c:v>
                </c:pt>
                <c:pt idx="196">
                  <c:v>0.95086450965717395</c:v>
                </c:pt>
                <c:pt idx="197">
                  <c:v>0.95225206645982796</c:v>
                </c:pt>
                <c:pt idx="198">
                  <c:v>0.95408908722833696</c:v>
                </c:pt>
                <c:pt idx="199">
                  <c:v>0.95516384290723599</c:v>
                </c:pt>
                <c:pt idx="200">
                  <c:v>0.95530465728795799</c:v>
                </c:pt>
                <c:pt idx="201">
                  <c:v>0.955031994953492</c:v>
                </c:pt>
                <c:pt idx="202">
                  <c:v>0.95446166105835095</c:v>
                </c:pt>
                <c:pt idx="203">
                  <c:v>0.956162285826758</c:v>
                </c:pt>
                <c:pt idx="204">
                  <c:v>0.95665106216608398</c:v>
                </c:pt>
                <c:pt idx="205">
                  <c:v>0.95493997815933696</c:v>
                </c:pt>
                <c:pt idx="206">
                  <c:v>0.95209361721049901</c:v>
                </c:pt>
                <c:pt idx="207">
                  <c:v>0.94644301955196997</c:v>
                </c:pt>
                <c:pt idx="208">
                  <c:v>0.94366916880146001</c:v>
                </c:pt>
                <c:pt idx="209">
                  <c:v>0.93451339347870099</c:v>
                </c:pt>
                <c:pt idx="210">
                  <c:v>0.92473494411718204</c:v>
                </c:pt>
                <c:pt idx="211">
                  <c:v>0.91808812821513397</c:v>
                </c:pt>
                <c:pt idx="212">
                  <c:v>0.90979661052449201</c:v>
                </c:pt>
                <c:pt idx="213">
                  <c:v>0.90367036010278401</c:v>
                </c:pt>
                <c:pt idx="214">
                  <c:v>0.89151897123605395</c:v>
                </c:pt>
                <c:pt idx="215">
                  <c:v>0.88149635229946899</c:v>
                </c:pt>
                <c:pt idx="216">
                  <c:v>0.86544327402628296</c:v>
                </c:pt>
                <c:pt idx="217">
                  <c:v>0.86581017871959498</c:v>
                </c:pt>
                <c:pt idx="218">
                  <c:v>0.87368476293451003</c:v>
                </c:pt>
                <c:pt idx="219">
                  <c:v>0.87797496886519999</c:v>
                </c:pt>
                <c:pt idx="220">
                  <c:v>0.88146342042746295</c:v>
                </c:pt>
                <c:pt idx="221">
                  <c:v>0.88497813362280298</c:v>
                </c:pt>
                <c:pt idx="222">
                  <c:v>0.89322602063661904</c:v>
                </c:pt>
                <c:pt idx="223">
                  <c:v>0.90093301199699405</c:v>
                </c:pt>
                <c:pt idx="224">
                  <c:v>0.91034449460417599</c:v>
                </c:pt>
                <c:pt idx="225">
                  <c:v>0.91786661905092903</c:v>
                </c:pt>
                <c:pt idx="226">
                  <c:v>0.92419066809975403</c:v>
                </c:pt>
                <c:pt idx="227">
                  <c:v>0.93218460513548196</c:v>
                </c:pt>
                <c:pt idx="228">
                  <c:v>0.93740392876855805</c:v>
                </c:pt>
                <c:pt idx="229">
                  <c:v>0.94390402573960996</c:v>
                </c:pt>
                <c:pt idx="230">
                  <c:v>0.94618957574815499</c:v>
                </c:pt>
                <c:pt idx="231">
                  <c:v>0.95034514567253003</c:v>
                </c:pt>
                <c:pt idx="232">
                  <c:v>0.95430053238882495</c:v>
                </c:pt>
                <c:pt idx="233">
                  <c:v>0.95294787225914002</c:v>
                </c:pt>
                <c:pt idx="234">
                  <c:v>0.95582571367402402</c:v>
                </c:pt>
                <c:pt idx="235">
                  <c:v>0.96836366012202202</c:v>
                </c:pt>
                <c:pt idx="236">
                  <c:v>0.96853737101449799</c:v>
                </c:pt>
                <c:pt idx="237">
                  <c:v>0.96776055357822099</c:v>
                </c:pt>
                <c:pt idx="238">
                  <c:v>0.96599400588607998</c:v>
                </c:pt>
                <c:pt idx="239">
                  <c:v>0.96546782158064204</c:v>
                </c:pt>
                <c:pt idx="240">
                  <c:v>0.96538742133317301</c:v>
                </c:pt>
                <c:pt idx="241">
                  <c:v>0.96507732549147596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0.95216309661718701</c:v>
                </c:pt>
                <c:pt idx="1">
                  <c:v>0.95258436422025405</c:v>
                </c:pt>
                <c:pt idx="2">
                  <c:v>0.95276190195043098</c:v>
                </c:pt>
                <c:pt idx="3">
                  <c:v>0.95275794314441198</c:v>
                </c:pt>
                <c:pt idx="4">
                  <c:v>0.95291384550703595</c:v>
                </c:pt>
                <c:pt idx="5">
                  <c:v>0.95315127362883201</c:v>
                </c:pt>
                <c:pt idx="6">
                  <c:v>0.953738043669627</c:v>
                </c:pt>
                <c:pt idx="7">
                  <c:v>0.954126044500758</c:v>
                </c:pt>
                <c:pt idx="8">
                  <c:v>0.95453192704729195</c:v>
                </c:pt>
                <c:pt idx="9">
                  <c:v>0.95468523033998498</c:v>
                </c:pt>
                <c:pt idx="10">
                  <c:v>0.95488906990385303</c:v>
                </c:pt>
                <c:pt idx="11">
                  <c:v>0.95498476587494197</c:v>
                </c:pt>
                <c:pt idx="12">
                  <c:v>0.95531524561992798</c:v>
                </c:pt>
                <c:pt idx="13">
                  <c:v>0.95559066268659998</c:v>
                </c:pt>
                <c:pt idx="14">
                  <c:v>0.955929798758686</c:v>
                </c:pt>
                <c:pt idx="15">
                  <c:v>0.95603424643843005</c:v>
                </c:pt>
                <c:pt idx="16">
                  <c:v>0.956008378777365</c:v>
                </c:pt>
                <c:pt idx="17">
                  <c:v>0.95620727737203504</c:v>
                </c:pt>
                <c:pt idx="18">
                  <c:v>0.95664412463969695</c:v>
                </c:pt>
                <c:pt idx="19">
                  <c:v>0.95675389043868198</c:v>
                </c:pt>
                <c:pt idx="20">
                  <c:v>0.95669301904526305</c:v>
                </c:pt>
                <c:pt idx="21">
                  <c:v>0.95676079963119398</c:v>
                </c:pt>
                <c:pt idx="22">
                  <c:v>0.95680807628321196</c:v>
                </c:pt>
                <c:pt idx="23">
                  <c:v>0.95673238450009501</c:v>
                </c:pt>
                <c:pt idx="24">
                  <c:v>0.956388099774093</c:v>
                </c:pt>
                <c:pt idx="25">
                  <c:v>0.95585994070750402</c:v>
                </c:pt>
                <c:pt idx="26">
                  <c:v>0.95527555449780599</c:v>
                </c:pt>
                <c:pt idx="27">
                  <c:v>0.95470000871675698</c:v>
                </c:pt>
                <c:pt idx="28">
                  <c:v>0.95326943664749197</c:v>
                </c:pt>
                <c:pt idx="29">
                  <c:v>0.95241780343163696</c:v>
                </c:pt>
                <c:pt idx="30">
                  <c:v>0.95156855629506698</c:v>
                </c:pt>
                <c:pt idx="31">
                  <c:v>0.95047121940575297</c:v>
                </c:pt>
                <c:pt idx="32">
                  <c:v>0.94942973584129797</c:v>
                </c:pt>
                <c:pt idx="33">
                  <c:v>0.948766904254429</c:v>
                </c:pt>
                <c:pt idx="34">
                  <c:v>0.94632893618261205</c:v>
                </c:pt>
                <c:pt idx="35">
                  <c:v>0.94491185431649105</c:v>
                </c:pt>
                <c:pt idx="36">
                  <c:v>0.94480368019883298</c:v>
                </c:pt>
                <c:pt idx="37">
                  <c:v>0.94527665571804198</c:v>
                </c:pt>
                <c:pt idx="38">
                  <c:v>0.94571655291987999</c:v>
                </c:pt>
                <c:pt idx="39">
                  <c:v>0.94615391045790598</c:v>
                </c:pt>
                <c:pt idx="40">
                  <c:v>0.94656188251130402</c:v>
                </c:pt>
                <c:pt idx="41">
                  <c:v>0.94740822286605997</c:v>
                </c:pt>
                <c:pt idx="42">
                  <c:v>0.94935446211005203</c:v>
                </c:pt>
                <c:pt idx="43">
                  <c:v>0.95040629507093799</c:v>
                </c:pt>
                <c:pt idx="44">
                  <c:v>0.95151861995361198</c:v>
                </c:pt>
                <c:pt idx="45">
                  <c:v>0.95297448802393303</c:v>
                </c:pt>
                <c:pt idx="46">
                  <c:v>0.95415115619649804</c:v>
                </c:pt>
                <c:pt idx="47">
                  <c:v>0.95595334912738705</c:v>
                </c:pt>
                <c:pt idx="48">
                  <c:v>0.95683809370829298</c:v>
                </c:pt>
                <c:pt idx="49">
                  <c:v>0.95815432864598105</c:v>
                </c:pt>
                <c:pt idx="50">
                  <c:v>0.95957514796798005</c:v>
                </c:pt>
                <c:pt idx="51">
                  <c:v>0.95943492822600096</c:v>
                </c:pt>
                <c:pt idx="52">
                  <c:v>0.96092572216935102</c:v>
                </c:pt>
                <c:pt idx="53">
                  <c:v>0.96226219043167005</c:v>
                </c:pt>
                <c:pt idx="54">
                  <c:v>0.96354879141650396</c:v>
                </c:pt>
                <c:pt idx="55">
                  <c:v>0.964852810212256</c:v>
                </c:pt>
                <c:pt idx="56">
                  <c:v>0.96600144328929805</c:v>
                </c:pt>
                <c:pt idx="57">
                  <c:v>0.96699564610771305</c:v>
                </c:pt>
                <c:pt idx="58">
                  <c:v>0.96781923217257004</c:v>
                </c:pt>
                <c:pt idx="59">
                  <c:v>0.96854487123071498</c:v>
                </c:pt>
                <c:pt idx="60">
                  <c:v>0.969452408646992</c:v>
                </c:pt>
                <c:pt idx="61">
                  <c:v>0.970274661369803</c:v>
                </c:pt>
                <c:pt idx="62">
                  <c:v>0.97090486192529202</c:v>
                </c:pt>
                <c:pt idx="63">
                  <c:v>0.97143813442609295</c:v>
                </c:pt>
                <c:pt idx="64">
                  <c:v>0.97182079669463495</c:v>
                </c:pt>
                <c:pt idx="65">
                  <c:v>0.97176058016373501</c:v>
                </c:pt>
                <c:pt idx="66">
                  <c:v>0.97159196768036604</c:v>
                </c:pt>
                <c:pt idx="67">
                  <c:v>0.97149800154787802</c:v>
                </c:pt>
                <c:pt idx="68">
                  <c:v>0.97131512652541696</c:v>
                </c:pt>
                <c:pt idx="69">
                  <c:v>0.97077506643075295</c:v>
                </c:pt>
                <c:pt idx="70">
                  <c:v>0.97004761305052201</c:v>
                </c:pt>
                <c:pt idx="71">
                  <c:v>0.96938560215884995</c:v>
                </c:pt>
                <c:pt idx="72">
                  <c:v>0.96860518344747504</c:v>
                </c:pt>
                <c:pt idx="73">
                  <c:v>0.96823643170052498</c:v>
                </c:pt>
                <c:pt idx="74">
                  <c:v>0.96787229479125403</c:v>
                </c:pt>
                <c:pt idx="75">
                  <c:v>0.96759255824369705</c:v>
                </c:pt>
                <c:pt idx="76">
                  <c:v>0.967261801058517</c:v>
                </c:pt>
                <c:pt idx="77">
                  <c:v>0.96680745168424198</c:v>
                </c:pt>
                <c:pt idx="78">
                  <c:v>0.96616807787110703</c:v>
                </c:pt>
                <c:pt idx="79">
                  <c:v>0.96520741755884099</c:v>
                </c:pt>
                <c:pt idx="80">
                  <c:v>0.96393544885939297</c:v>
                </c:pt>
                <c:pt idx="81">
                  <c:v>0.96280332191548501</c:v>
                </c:pt>
                <c:pt idx="82">
                  <c:v>0.96146111690205505</c:v>
                </c:pt>
                <c:pt idx="83">
                  <c:v>0.96000043327352602</c:v>
                </c:pt>
                <c:pt idx="84">
                  <c:v>0.95846416009886704</c:v>
                </c:pt>
                <c:pt idx="85">
                  <c:v>0.95707971782869905</c:v>
                </c:pt>
                <c:pt idx="86">
                  <c:v>0.95541468973601695</c:v>
                </c:pt>
                <c:pt idx="87">
                  <c:v>0.95402883072570799</c:v>
                </c:pt>
                <c:pt idx="88">
                  <c:v>0.952599057008642</c:v>
                </c:pt>
                <c:pt idx="89">
                  <c:v>0.95093672350734604</c:v>
                </c:pt>
                <c:pt idx="90">
                  <c:v>0.95008009836437501</c:v>
                </c:pt>
                <c:pt idx="91">
                  <c:v>0.949297567105305</c:v>
                </c:pt>
                <c:pt idx="92">
                  <c:v>0.94876349494220702</c:v>
                </c:pt>
                <c:pt idx="93">
                  <c:v>0.94824099975629506</c:v>
                </c:pt>
                <c:pt idx="94">
                  <c:v>0.94790563425470398</c:v>
                </c:pt>
                <c:pt idx="95">
                  <c:v>0.94785120094616904</c:v>
                </c:pt>
                <c:pt idx="96">
                  <c:v>0.94847423495581396</c:v>
                </c:pt>
                <c:pt idx="97">
                  <c:v>0.94895004585170994</c:v>
                </c:pt>
                <c:pt idx="98">
                  <c:v>0.94909242900459201</c:v>
                </c:pt>
                <c:pt idx="99">
                  <c:v>0.94927930710478603</c:v>
                </c:pt>
                <c:pt idx="100">
                  <c:v>0.94976851390545602</c:v>
                </c:pt>
                <c:pt idx="101">
                  <c:v>0.95018960148206899</c:v>
                </c:pt>
                <c:pt idx="102">
                  <c:v>0.95028349175790805</c:v>
                </c:pt>
                <c:pt idx="103">
                  <c:v>0.95027441297030601</c:v>
                </c:pt>
                <c:pt idx="104">
                  <c:v>0.950292595601815</c:v>
                </c:pt>
                <c:pt idx="105">
                  <c:v>0.95014638492501202</c:v>
                </c:pt>
                <c:pt idx="106">
                  <c:v>0.950273832945144</c:v>
                </c:pt>
                <c:pt idx="107">
                  <c:v>0.950458041334034</c:v>
                </c:pt>
                <c:pt idx="108">
                  <c:v>0.95076044291386297</c:v>
                </c:pt>
                <c:pt idx="109">
                  <c:v>0.95135495170705697</c:v>
                </c:pt>
                <c:pt idx="110">
                  <c:v>0.951739739792413</c:v>
                </c:pt>
                <c:pt idx="111">
                  <c:v>0.95192278634837302</c:v>
                </c:pt>
                <c:pt idx="112">
                  <c:v>0.95213804842113003</c:v>
                </c:pt>
                <c:pt idx="113">
                  <c:v>0.95237851328284095</c:v>
                </c:pt>
                <c:pt idx="114">
                  <c:v>0.95264433952071703</c:v>
                </c:pt>
                <c:pt idx="115">
                  <c:v>0.95289248480791999</c:v>
                </c:pt>
                <c:pt idx="116">
                  <c:v>0.953181352816867</c:v>
                </c:pt>
                <c:pt idx="117">
                  <c:v>0.95337850790148804</c:v>
                </c:pt>
                <c:pt idx="118">
                  <c:v>0.95330302475239004</c:v>
                </c:pt>
                <c:pt idx="119">
                  <c:v>0.95320218223447695</c:v>
                </c:pt>
                <c:pt idx="120">
                  <c:v>0.95295675461592899</c:v>
                </c:pt>
                <c:pt idx="121">
                  <c:v>0.95265190494709295</c:v>
                </c:pt>
                <c:pt idx="122">
                  <c:v>0.952269778318794</c:v>
                </c:pt>
                <c:pt idx="123">
                  <c:v>0.95207171117994605</c:v>
                </c:pt>
                <c:pt idx="124">
                  <c:v>0.95176524931824102</c:v>
                </c:pt>
                <c:pt idx="125">
                  <c:v>0.95144755158183003</c:v>
                </c:pt>
                <c:pt idx="126">
                  <c:v>0.95092353526358397</c:v>
                </c:pt>
                <c:pt idx="127">
                  <c:v>0.95028248482586597</c:v>
                </c:pt>
                <c:pt idx="128">
                  <c:v>0.949698744832571</c:v>
                </c:pt>
                <c:pt idx="129">
                  <c:v>0.94929348763779897</c:v>
                </c:pt>
                <c:pt idx="130">
                  <c:v>0.94905908451588805</c:v>
                </c:pt>
                <c:pt idx="131">
                  <c:v>0.94888865437904102</c:v>
                </c:pt>
                <c:pt idx="132">
                  <c:v>0.94861384636716795</c:v>
                </c:pt>
                <c:pt idx="133">
                  <c:v>0.94814579862799697</c:v>
                </c:pt>
                <c:pt idx="134">
                  <c:v>0.94790640568235396</c:v>
                </c:pt>
                <c:pt idx="135">
                  <c:v>0.94786452234994201</c:v>
                </c:pt>
                <c:pt idx="136">
                  <c:v>0.94750836103869696</c:v>
                </c:pt>
                <c:pt idx="137">
                  <c:v>0.94697589355516398</c:v>
                </c:pt>
                <c:pt idx="138">
                  <c:v>0.94621570691765799</c:v>
                </c:pt>
                <c:pt idx="139">
                  <c:v>0.94559844525209902</c:v>
                </c:pt>
                <c:pt idx="140">
                  <c:v>0.94496195723528997</c:v>
                </c:pt>
                <c:pt idx="141">
                  <c:v>0.94445078710438601</c:v>
                </c:pt>
                <c:pt idx="142">
                  <c:v>0.94415863958770896</c:v>
                </c:pt>
                <c:pt idx="143">
                  <c:v>0.94395697792004896</c:v>
                </c:pt>
                <c:pt idx="144">
                  <c:v>0.94390276278840601</c:v>
                </c:pt>
                <c:pt idx="145">
                  <c:v>0.94450017624350002</c:v>
                </c:pt>
                <c:pt idx="146">
                  <c:v>0.94557669876247596</c:v>
                </c:pt>
                <c:pt idx="147">
                  <c:v>0.94652957303283802</c:v>
                </c:pt>
                <c:pt idx="148">
                  <c:v>0.94729774879755702</c:v>
                </c:pt>
                <c:pt idx="149">
                  <c:v>0.94792902376518395</c:v>
                </c:pt>
                <c:pt idx="150">
                  <c:v>0.948616193842864</c:v>
                </c:pt>
                <c:pt idx="151">
                  <c:v>0.94889063408077301</c:v>
                </c:pt>
                <c:pt idx="152">
                  <c:v>0.94892367967159497</c:v>
                </c:pt>
                <c:pt idx="153">
                  <c:v>0.94897418735837002</c:v>
                </c:pt>
                <c:pt idx="154">
                  <c:v>0.95030366631782104</c:v>
                </c:pt>
                <c:pt idx="155">
                  <c:v>0.95076910558306404</c:v>
                </c:pt>
                <c:pt idx="156">
                  <c:v>0.94998751187527697</c:v>
                </c:pt>
                <c:pt idx="157">
                  <c:v>0.95055916682893105</c:v>
                </c:pt>
                <c:pt idx="158">
                  <c:v>0.94921616449545498</c:v>
                </c:pt>
                <c:pt idx="159">
                  <c:v>0.94743907847546105</c:v>
                </c:pt>
                <c:pt idx="160">
                  <c:v>0.94628160529687999</c:v>
                </c:pt>
                <c:pt idx="161">
                  <c:v>0.94524358457180602</c:v>
                </c:pt>
                <c:pt idx="162">
                  <c:v>0.94445494045838896</c:v>
                </c:pt>
                <c:pt idx="163">
                  <c:v>0.94392507223877598</c:v>
                </c:pt>
                <c:pt idx="164">
                  <c:v>0.94349925834336501</c:v>
                </c:pt>
                <c:pt idx="165">
                  <c:v>0.94286543902539</c:v>
                </c:pt>
                <c:pt idx="166">
                  <c:v>0.94277099378957496</c:v>
                </c:pt>
                <c:pt idx="167">
                  <c:v>0.94246345874943704</c:v>
                </c:pt>
                <c:pt idx="168">
                  <c:v>0.94181718651897195</c:v>
                </c:pt>
                <c:pt idx="169">
                  <c:v>0.94168978085567001</c:v>
                </c:pt>
                <c:pt idx="170">
                  <c:v>0.94125546121714998</c:v>
                </c:pt>
                <c:pt idx="171">
                  <c:v>0.94045713901253203</c:v>
                </c:pt>
                <c:pt idx="172">
                  <c:v>0.93915614099886002</c:v>
                </c:pt>
                <c:pt idx="173">
                  <c:v>0.93718943074746797</c:v>
                </c:pt>
                <c:pt idx="174">
                  <c:v>0.93491096801192497</c:v>
                </c:pt>
                <c:pt idx="175">
                  <c:v>0.93225135496979805</c:v>
                </c:pt>
                <c:pt idx="176">
                  <c:v>0.92974684838236199</c:v>
                </c:pt>
                <c:pt idx="177">
                  <c:v>0.92726054899686605</c:v>
                </c:pt>
                <c:pt idx="178">
                  <c:v>0.92389449823909797</c:v>
                </c:pt>
                <c:pt idx="179">
                  <c:v>0.919798424235579</c:v>
                </c:pt>
                <c:pt idx="180">
                  <c:v>0.91688067520547401</c:v>
                </c:pt>
                <c:pt idx="181">
                  <c:v>0.91376585589876502</c:v>
                </c:pt>
                <c:pt idx="182">
                  <c:v>0.91099883858881603</c:v>
                </c:pt>
                <c:pt idx="183">
                  <c:v>0.90790329309347395</c:v>
                </c:pt>
                <c:pt idx="184">
                  <c:v>0.90488243196360096</c:v>
                </c:pt>
                <c:pt idx="185">
                  <c:v>0.90119549437338398</c:v>
                </c:pt>
                <c:pt idx="186">
                  <c:v>0.89648924287318998</c:v>
                </c:pt>
                <c:pt idx="187">
                  <c:v>0.89168070409716504</c:v>
                </c:pt>
                <c:pt idx="188">
                  <c:v>0.88780416556198904</c:v>
                </c:pt>
                <c:pt idx="189">
                  <c:v>0.88493432136712202</c:v>
                </c:pt>
                <c:pt idx="190">
                  <c:v>0.88142997026096104</c:v>
                </c:pt>
                <c:pt idx="191">
                  <c:v>0.87681848863727596</c:v>
                </c:pt>
                <c:pt idx="192">
                  <c:v>0.87321160859574598</c:v>
                </c:pt>
                <c:pt idx="193">
                  <c:v>0.86839255036934504</c:v>
                </c:pt>
                <c:pt idx="194">
                  <c:v>0.86388878683473302</c:v>
                </c:pt>
                <c:pt idx="195">
                  <c:v>0.85928347821698803</c:v>
                </c:pt>
                <c:pt idx="196">
                  <c:v>0.85503614948148798</c:v>
                </c:pt>
                <c:pt idx="197">
                  <c:v>0.85306241393256499</c:v>
                </c:pt>
                <c:pt idx="198">
                  <c:v>0.85122273352189504</c:v>
                </c:pt>
                <c:pt idx="199">
                  <c:v>0.85136121128757603</c:v>
                </c:pt>
                <c:pt idx="200">
                  <c:v>0.85035197240827498</c:v>
                </c:pt>
                <c:pt idx="201">
                  <c:v>0.84896798304799204</c:v>
                </c:pt>
                <c:pt idx="202">
                  <c:v>0.84661437679777496</c:v>
                </c:pt>
                <c:pt idx="203">
                  <c:v>0.84703900794799403</c:v>
                </c:pt>
                <c:pt idx="204">
                  <c:v>0.84712205199022494</c:v>
                </c:pt>
                <c:pt idx="205">
                  <c:v>0.847670246438608</c:v>
                </c:pt>
                <c:pt idx="206">
                  <c:v>0.84696564860252699</c:v>
                </c:pt>
                <c:pt idx="207">
                  <c:v>0.84630417148298998</c:v>
                </c:pt>
                <c:pt idx="208">
                  <c:v>0.84552850239335797</c:v>
                </c:pt>
                <c:pt idx="209">
                  <c:v>0.84461850041044595</c:v>
                </c:pt>
                <c:pt idx="210">
                  <c:v>0.84443743800266202</c:v>
                </c:pt>
                <c:pt idx="211">
                  <c:v>0.84614715117151196</c:v>
                </c:pt>
                <c:pt idx="212">
                  <c:v>0.84704847244368997</c:v>
                </c:pt>
                <c:pt idx="213">
                  <c:v>0.84871252060523805</c:v>
                </c:pt>
                <c:pt idx="214">
                  <c:v>0.85270895215626197</c:v>
                </c:pt>
                <c:pt idx="215">
                  <c:v>0.85747136253327005</c:v>
                </c:pt>
                <c:pt idx="216">
                  <c:v>0.86265804049140105</c:v>
                </c:pt>
                <c:pt idx="217">
                  <c:v>0.86656098037493101</c:v>
                </c:pt>
                <c:pt idx="218">
                  <c:v>0.87051259457214702</c:v>
                </c:pt>
                <c:pt idx="219">
                  <c:v>0.874695032659074</c:v>
                </c:pt>
                <c:pt idx="220">
                  <c:v>0.87839498688136997</c:v>
                </c:pt>
                <c:pt idx="221">
                  <c:v>0.88160574134858605</c:v>
                </c:pt>
                <c:pt idx="222">
                  <c:v>0.88515887679154504</c:v>
                </c:pt>
                <c:pt idx="223">
                  <c:v>0.88920320687977705</c:v>
                </c:pt>
                <c:pt idx="224">
                  <c:v>0.89249735562062504</c:v>
                </c:pt>
                <c:pt idx="225">
                  <c:v>0.89529363736010203</c:v>
                </c:pt>
                <c:pt idx="226">
                  <c:v>0.897517385129734</c:v>
                </c:pt>
                <c:pt idx="227">
                  <c:v>0.89979279968926595</c:v>
                </c:pt>
                <c:pt idx="228">
                  <c:v>0.90189153069671801</c:v>
                </c:pt>
                <c:pt idx="229">
                  <c:v>0.90631906257134298</c:v>
                </c:pt>
                <c:pt idx="230">
                  <c:v>0.90794934576552</c:v>
                </c:pt>
                <c:pt idx="231">
                  <c:v>0.90935032952171202</c:v>
                </c:pt>
                <c:pt idx="232">
                  <c:v>0.91056885699072798</c:v>
                </c:pt>
                <c:pt idx="233">
                  <c:v>0.90971395166689795</c:v>
                </c:pt>
                <c:pt idx="234">
                  <c:v>0.910787763007053</c:v>
                </c:pt>
                <c:pt idx="235">
                  <c:v>0.91299931130058698</c:v>
                </c:pt>
                <c:pt idx="236">
                  <c:v>0.91351696749468303</c:v>
                </c:pt>
                <c:pt idx="237">
                  <c:v>0.91416790643146595</c:v>
                </c:pt>
                <c:pt idx="238">
                  <c:v>0.91455986312670201</c:v>
                </c:pt>
                <c:pt idx="239">
                  <c:v>0.91611062474946703</c:v>
                </c:pt>
                <c:pt idx="240">
                  <c:v>0.91622768147187506</c:v>
                </c:pt>
                <c:pt idx="241">
                  <c:v>0.91633067207098096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0.43008169603178298</c:v>
                </c:pt>
                <c:pt idx="1">
                  <c:v>0.47442998666439901</c:v>
                </c:pt>
                <c:pt idx="2">
                  <c:v>0.58796993648782003</c:v>
                </c:pt>
                <c:pt idx="3">
                  <c:v>0.376161803626615</c:v>
                </c:pt>
                <c:pt idx="4">
                  <c:v>0.28598676493220199</c:v>
                </c:pt>
                <c:pt idx="5">
                  <c:v>0.19372192743521699</c:v>
                </c:pt>
                <c:pt idx="6">
                  <c:v>0.195049126974217</c:v>
                </c:pt>
                <c:pt idx="7">
                  <c:v>0.13285971785505399</c:v>
                </c:pt>
                <c:pt idx="8">
                  <c:v>0.119120453695295</c:v>
                </c:pt>
                <c:pt idx="9">
                  <c:v>0.13755907760876199</c:v>
                </c:pt>
                <c:pt idx="10">
                  <c:v>9.8702192179849699E-2</c:v>
                </c:pt>
                <c:pt idx="11">
                  <c:v>8.0787798708938596E-2</c:v>
                </c:pt>
                <c:pt idx="12">
                  <c:v>5.6106746051920897E-2</c:v>
                </c:pt>
                <c:pt idx="13">
                  <c:v>4.4588630193645902E-2</c:v>
                </c:pt>
                <c:pt idx="14">
                  <c:v>2.8916309340581901E-2</c:v>
                </c:pt>
                <c:pt idx="15">
                  <c:v>1.5230820633318799E-2</c:v>
                </c:pt>
                <c:pt idx="16">
                  <c:v>1.10713211575052E-2</c:v>
                </c:pt>
                <c:pt idx="17">
                  <c:v>3.0117426764576698E-3</c:v>
                </c:pt>
                <c:pt idx="18">
                  <c:v>6.4816631440062803E-3</c:v>
                </c:pt>
                <c:pt idx="19">
                  <c:v>1.5502707489919399E-2</c:v>
                </c:pt>
                <c:pt idx="20">
                  <c:v>1.8497577278871202E-2</c:v>
                </c:pt>
                <c:pt idx="21" formatCode="0.00E+00">
                  <c:v>2.2794375818497501E-2</c:v>
                </c:pt>
                <c:pt idx="22" formatCode="0.00E+00">
                  <c:v>2.0984119695450498E-2</c:v>
                </c:pt>
                <c:pt idx="23">
                  <c:v>9.0232195687692696E-2</c:v>
                </c:pt>
                <c:pt idx="24">
                  <c:v>3.2462348375624402E-2</c:v>
                </c:pt>
                <c:pt idx="25">
                  <c:v>0.231321079031717</c:v>
                </c:pt>
                <c:pt idx="26">
                  <c:v>0.25409542369518401</c:v>
                </c:pt>
                <c:pt idx="27" formatCode="0.00E+00">
                  <c:v>0.26572450940787201</c:v>
                </c:pt>
                <c:pt idx="28">
                  <c:v>0.23456267096156999</c:v>
                </c:pt>
                <c:pt idx="29">
                  <c:v>0.25491425628043102</c:v>
                </c:pt>
                <c:pt idx="30">
                  <c:v>0.50526172957039295</c:v>
                </c:pt>
                <c:pt idx="31" formatCode="0.00E+00">
                  <c:v>0.58146511319258398</c:v>
                </c:pt>
                <c:pt idx="32">
                  <c:v>0.56889051964925996</c:v>
                </c:pt>
                <c:pt idx="33">
                  <c:v>0.56910014693048805</c:v>
                </c:pt>
                <c:pt idx="34">
                  <c:v>0.39139377114104301</c:v>
                </c:pt>
                <c:pt idx="35">
                  <c:v>0.235131682032898</c:v>
                </c:pt>
                <c:pt idx="36">
                  <c:v>0.90911065270498403</c:v>
                </c:pt>
                <c:pt idx="37">
                  <c:v>0.90484539004331299</c:v>
                </c:pt>
                <c:pt idx="38">
                  <c:v>0.64327991064898304</c:v>
                </c:pt>
                <c:pt idx="39">
                  <c:v>0.59598357049054995</c:v>
                </c:pt>
                <c:pt idx="40">
                  <c:v>0.55506007346253505</c:v>
                </c:pt>
                <c:pt idx="41">
                  <c:v>0.33364676971205798</c:v>
                </c:pt>
                <c:pt idx="42">
                  <c:v>0.29418938574410403</c:v>
                </c:pt>
                <c:pt idx="43" formatCode="0.00E+00">
                  <c:v>0.229131915054479</c:v>
                </c:pt>
                <c:pt idx="44">
                  <c:v>0.25311327576041498</c:v>
                </c:pt>
                <c:pt idx="45">
                  <c:v>0.26484909563821202</c:v>
                </c:pt>
                <c:pt idx="46">
                  <c:v>0.33500578141954601</c:v>
                </c:pt>
                <c:pt idx="47">
                  <c:v>0.32644542009644201</c:v>
                </c:pt>
                <c:pt idx="48">
                  <c:v>0.48900729336667398</c:v>
                </c:pt>
                <c:pt idx="49">
                  <c:v>0.41836171435419001</c:v>
                </c:pt>
                <c:pt idx="50">
                  <c:v>0.389155472590135</c:v>
                </c:pt>
                <c:pt idx="51">
                  <c:v>0.33314986981839301</c:v>
                </c:pt>
                <c:pt idx="52">
                  <c:v>0.34218934892872999</c:v>
                </c:pt>
                <c:pt idx="53">
                  <c:v>0.35859916921566198</c:v>
                </c:pt>
                <c:pt idx="54">
                  <c:v>0.35129848646529399</c:v>
                </c:pt>
                <c:pt idx="55">
                  <c:v>0.355758888420527</c:v>
                </c:pt>
                <c:pt idx="56">
                  <c:v>0.35346412846104702</c:v>
                </c:pt>
                <c:pt idx="57">
                  <c:v>0.356842657081621</c:v>
                </c:pt>
                <c:pt idx="58">
                  <c:v>0.45648706100228498</c:v>
                </c:pt>
                <c:pt idx="59">
                  <c:v>0.43378732621143701</c:v>
                </c:pt>
                <c:pt idx="60">
                  <c:v>0.46643325181538797</c:v>
                </c:pt>
                <c:pt idx="61">
                  <c:v>0.37608205464862998</c:v>
                </c:pt>
                <c:pt idx="62">
                  <c:v>0.30127963173377498</c:v>
                </c:pt>
                <c:pt idx="63">
                  <c:v>0.35983115152790601</c:v>
                </c:pt>
                <c:pt idx="64">
                  <c:v>7.2829391538308294E-2</c:v>
                </c:pt>
                <c:pt idx="65">
                  <c:v>0.14889525588129901</c:v>
                </c:pt>
                <c:pt idx="66">
                  <c:v>2.29388874202942E-2</c:v>
                </c:pt>
                <c:pt idx="67">
                  <c:v>0.11955539088938499</c:v>
                </c:pt>
                <c:pt idx="68">
                  <c:v>3.2466701394239898E-2</c:v>
                </c:pt>
                <c:pt idx="69">
                  <c:v>3.8166793921628403E-2</c:v>
                </c:pt>
                <c:pt idx="70">
                  <c:v>0.112456651637033</c:v>
                </c:pt>
                <c:pt idx="71">
                  <c:v>2.1608883444904199E-2</c:v>
                </c:pt>
                <c:pt idx="72">
                  <c:v>4.2584749335844899E-2</c:v>
                </c:pt>
                <c:pt idx="73">
                  <c:v>0.157238708708653</c:v>
                </c:pt>
                <c:pt idx="74">
                  <c:v>0.31797922078198598</c:v>
                </c:pt>
                <c:pt idx="75">
                  <c:v>0.24880936656091299</c:v>
                </c:pt>
                <c:pt idx="76">
                  <c:v>0.40936412463448302</c:v>
                </c:pt>
                <c:pt idx="77">
                  <c:v>0.47251032341695898</c:v>
                </c:pt>
                <c:pt idx="78">
                  <c:v>0.49393974554410802</c:v>
                </c:pt>
                <c:pt idx="79">
                  <c:v>0.81126188588909598</c:v>
                </c:pt>
                <c:pt idx="80">
                  <c:v>0.86466219998441696</c:v>
                </c:pt>
                <c:pt idx="81">
                  <c:v>0.72826063898862503</c:v>
                </c:pt>
                <c:pt idx="82">
                  <c:v>0.70042977257341699</c:v>
                </c:pt>
                <c:pt idx="83">
                  <c:v>0.75967888954398799</c:v>
                </c:pt>
                <c:pt idx="84">
                  <c:v>0.63289698189566801</c:v>
                </c:pt>
                <c:pt idx="85">
                  <c:v>0.24209139800370499</c:v>
                </c:pt>
                <c:pt idx="86">
                  <c:v>0.306563857913347</c:v>
                </c:pt>
                <c:pt idx="87">
                  <c:v>0.15870331722438699</c:v>
                </c:pt>
                <c:pt idx="88">
                  <c:v>0.316485422944355</c:v>
                </c:pt>
                <c:pt idx="89">
                  <c:v>0.72761732971956194</c:v>
                </c:pt>
                <c:pt idx="90">
                  <c:v>0.98737658107195803</c:v>
                </c:pt>
                <c:pt idx="91">
                  <c:v>0.98246653055140598</c:v>
                </c:pt>
                <c:pt idx="92">
                  <c:v>1</c:v>
                </c:pt>
                <c:pt idx="93">
                  <c:v>0.98156270216080499</c:v>
                </c:pt>
                <c:pt idx="94">
                  <c:v>0.98408165123297697</c:v>
                </c:pt>
                <c:pt idx="95">
                  <c:v>0.988791991084078</c:v>
                </c:pt>
                <c:pt idx="96">
                  <c:v>0.99154986650299004</c:v>
                </c:pt>
                <c:pt idx="97">
                  <c:v>0.99211466087493905</c:v>
                </c:pt>
                <c:pt idx="98">
                  <c:v>0.99254606948565205</c:v>
                </c:pt>
                <c:pt idx="99">
                  <c:v>0.99101494935109102</c:v>
                </c:pt>
                <c:pt idx="100">
                  <c:v>0.99381513919072895</c:v>
                </c:pt>
                <c:pt idx="101">
                  <c:v>0.97679730347693505</c:v>
                </c:pt>
                <c:pt idx="102">
                  <c:v>0.96142648552155796</c:v>
                </c:pt>
                <c:pt idx="103">
                  <c:v>0.91656864253583403</c:v>
                </c:pt>
                <c:pt idx="104">
                  <c:v>0.89821290892655004</c:v>
                </c:pt>
                <c:pt idx="105">
                  <c:v>0.82037323725038003</c:v>
                </c:pt>
                <c:pt idx="106">
                  <c:v>0.736517582570405</c:v>
                </c:pt>
                <c:pt idx="107">
                  <c:v>0.69272267919684205</c:v>
                </c:pt>
                <c:pt idx="108">
                  <c:v>0.49503510800182099</c:v>
                </c:pt>
                <c:pt idx="109">
                  <c:v>0.53264335267132001</c:v>
                </c:pt>
                <c:pt idx="110">
                  <c:v>0.52959009847159799</c:v>
                </c:pt>
                <c:pt idx="111">
                  <c:v>0.50162323417099097</c:v>
                </c:pt>
                <c:pt idx="112">
                  <c:v>0.51752057577727195</c:v>
                </c:pt>
                <c:pt idx="113">
                  <c:v>0.46040554029004699</c:v>
                </c:pt>
                <c:pt idx="114">
                  <c:v>0.43161871841531702</c:v>
                </c:pt>
                <c:pt idx="115">
                  <c:v>0.39279830246388397</c:v>
                </c:pt>
                <c:pt idx="116">
                  <c:v>0.46472657375286602</c:v>
                </c:pt>
                <c:pt idx="117">
                  <c:v>0.55696142957281702</c:v>
                </c:pt>
                <c:pt idx="118">
                  <c:v>0.42110405112682803</c:v>
                </c:pt>
                <c:pt idx="119">
                  <c:v>0.40019297929160702</c:v>
                </c:pt>
                <c:pt idx="120">
                  <c:v>0.50701419064888198</c:v>
                </c:pt>
                <c:pt idx="121">
                  <c:v>0.65166376991293595</c:v>
                </c:pt>
                <c:pt idx="122">
                  <c:v>0.54879133869699004</c:v>
                </c:pt>
                <c:pt idx="123">
                  <c:v>0.67614495284762899</c:v>
                </c:pt>
                <c:pt idx="124">
                  <c:v>0.695895050953237</c:v>
                </c:pt>
                <c:pt idx="125">
                  <c:v>0.71684850241716802</c:v>
                </c:pt>
                <c:pt idx="126">
                  <c:v>0.64690266364119997</c:v>
                </c:pt>
                <c:pt idx="127">
                  <c:v>0.69254104247588999</c:v>
                </c:pt>
                <c:pt idx="128">
                  <c:v>0.65123410283274397</c:v>
                </c:pt>
                <c:pt idx="129">
                  <c:v>0.66730489350310496</c:v>
                </c:pt>
                <c:pt idx="130">
                  <c:v>0.67231283695396404</c:v>
                </c:pt>
                <c:pt idx="131">
                  <c:v>0.72512066553093901</c:v>
                </c:pt>
                <c:pt idx="132">
                  <c:v>0.71345106733364205</c:v>
                </c:pt>
                <c:pt idx="133">
                  <c:v>0.70664293978283199</c:v>
                </c:pt>
                <c:pt idx="134">
                  <c:v>0.75066355452389399</c:v>
                </c:pt>
                <c:pt idx="135">
                  <c:v>0.758496961265542</c:v>
                </c:pt>
                <c:pt idx="136">
                  <c:v>0.79836513311443003</c:v>
                </c:pt>
                <c:pt idx="137">
                  <c:v>0.82233513674802505</c:v>
                </c:pt>
                <c:pt idx="138">
                  <c:v>0.84616912413899503</c:v>
                </c:pt>
                <c:pt idx="139">
                  <c:v>0.84795200580555996</c:v>
                </c:pt>
                <c:pt idx="140">
                  <c:v>0.85096575087565496</c:v>
                </c:pt>
                <c:pt idx="141">
                  <c:v>0.84427457588855304</c:v>
                </c:pt>
                <c:pt idx="142">
                  <c:v>0.78690367636221004</c:v>
                </c:pt>
                <c:pt idx="143">
                  <c:v>0.75224498427448605</c:v>
                </c:pt>
                <c:pt idx="144">
                  <c:v>0.76842641582767202</c:v>
                </c:pt>
                <c:pt idx="145">
                  <c:v>0.75439376855487295</c:v>
                </c:pt>
                <c:pt idx="146">
                  <c:v>0.752891765028185</c:v>
                </c:pt>
                <c:pt idx="147">
                  <c:v>0.79632787381808501</c:v>
                </c:pt>
                <c:pt idx="148">
                  <c:v>0.78889814385669799</c:v>
                </c:pt>
                <c:pt idx="149">
                  <c:v>0.790342479319737</c:v>
                </c:pt>
                <c:pt idx="150">
                  <c:v>0.75869642100944901</c:v>
                </c:pt>
                <c:pt idx="151">
                  <c:v>0.66566648871362899</c:v>
                </c:pt>
                <c:pt idx="152">
                  <c:v>0.56273629740159004</c:v>
                </c:pt>
                <c:pt idx="153">
                  <c:v>4.6853480059243502E-2</c:v>
                </c:pt>
                <c:pt idx="154">
                  <c:v>4.0593698661183598E-4</c:v>
                </c:pt>
                <c:pt idx="155">
                  <c:v>1.3448658832064499E-2</c:v>
                </c:pt>
                <c:pt idx="156">
                  <c:v>0.15267848609137499</c:v>
                </c:pt>
                <c:pt idx="157">
                  <c:v>9.2413185581701099E-2</c:v>
                </c:pt>
                <c:pt idx="158">
                  <c:v>6.9095223188665705E-2</c:v>
                </c:pt>
                <c:pt idx="159">
                  <c:v>9.0070941363756193E-2</c:v>
                </c:pt>
                <c:pt idx="160">
                  <c:v>7.2994240636082494E-2</c:v>
                </c:pt>
                <c:pt idx="161">
                  <c:v>0.104989535291695</c:v>
                </c:pt>
                <c:pt idx="162">
                  <c:v>0.15131673923907199</c:v>
                </c:pt>
                <c:pt idx="163">
                  <c:v>0.19526311312644201</c:v>
                </c:pt>
                <c:pt idx="164">
                  <c:v>0.19296959119587401</c:v>
                </c:pt>
                <c:pt idx="165">
                  <c:v>0.21639130997025099</c:v>
                </c:pt>
                <c:pt idx="166">
                  <c:v>0.19769767450987999</c:v>
                </c:pt>
                <c:pt idx="167">
                  <c:v>0.22259660028567901</c:v>
                </c:pt>
                <c:pt idx="168">
                  <c:v>0.27077712818148603</c:v>
                </c:pt>
                <c:pt idx="169">
                  <c:v>0.22275201108857701</c:v>
                </c:pt>
                <c:pt idx="170">
                  <c:v>0.265978900176571</c:v>
                </c:pt>
                <c:pt idx="171">
                  <c:v>9.58875193497086E-2</c:v>
                </c:pt>
                <c:pt idx="172">
                  <c:v>0.32239403499996799</c:v>
                </c:pt>
                <c:pt idx="173">
                  <c:v>0.42408458169543101</c:v>
                </c:pt>
                <c:pt idx="174">
                  <c:v>0.50086887691653303</c:v>
                </c:pt>
                <c:pt idx="175">
                  <c:v>0.48450573210972803</c:v>
                </c:pt>
                <c:pt idx="176">
                  <c:v>0.50859062038138103</c:v>
                </c:pt>
                <c:pt idx="177">
                  <c:v>0.53785277855176405</c:v>
                </c:pt>
                <c:pt idx="178">
                  <c:v>0.570492929447032</c:v>
                </c:pt>
                <c:pt idx="179">
                  <c:v>0.57726927815012596</c:v>
                </c:pt>
                <c:pt idx="180">
                  <c:v>0.60921868304756099</c:v>
                </c:pt>
                <c:pt idx="181">
                  <c:v>0.54844631391659104</c:v>
                </c:pt>
                <c:pt idx="182">
                  <c:v>0.38226137413659</c:v>
                </c:pt>
                <c:pt idx="183">
                  <c:v>0.459616966520629</c:v>
                </c:pt>
                <c:pt idx="184">
                  <c:v>0.42966521021575799</c:v>
                </c:pt>
                <c:pt idx="185">
                  <c:v>0.35752482359903498</c:v>
                </c:pt>
                <c:pt idx="186">
                  <c:v>0.31637467809550102</c:v>
                </c:pt>
                <c:pt idx="187">
                  <c:v>0.28781266719887</c:v>
                </c:pt>
                <c:pt idx="188">
                  <c:v>0.247554561528123</c:v>
                </c:pt>
                <c:pt idx="189">
                  <c:v>0.19685594251028399</c:v>
                </c:pt>
                <c:pt idx="190">
                  <c:v>0.201965932632825</c:v>
                </c:pt>
                <c:pt idx="191">
                  <c:v>0.23923961389252299</c:v>
                </c:pt>
                <c:pt idx="192">
                  <c:v>0.34176083486305697</c:v>
                </c:pt>
                <c:pt idx="193">
                  <c:v>0.24263829722047101</c:v>
                </c:pt>
                <c:pt idx="194">
                  <c:v>0.27330592756148903</c:v>
                </c:pt>
                <c:pt idx="195">
                  <c:v>0.14381043577525199</c:v>
                </c:pt>
                <c:pt idx="196">
                  <c:v>0.163473287884704</c:v>
                </c:pt>
                <c:pt idx="197">
                  <c:v>0.176536887853258</c:v>
                </c:pt>
                <c:pt idx="198">
                  <c:v>0.13734971336726101</c:v>
                </c:pt>
                <c:pt idx="199">
                  <c:v>0.15717932035795401</c:v>
                </c:pt>
                <c:pt idx="200">
                  <c:v>0.15367263709215501</c:v>
                </c:pt>
                <c:pt idx="201">
                  <c:v>0.1655320014694</c:v>
                </c:pt>
                <c:pt idx="202">
                  <c:v>0.12536549600741601</c:v>
                </c:pt>
                <c:pt idx="203">
                  <c:v>0.13145026938525201</c:v>
                </c:pt>
                <c:pt idx="204">
                  <c:v>0.19777845526971699</c:v>
                </c:pt>
                <c:pt idx="205">
                  <c:v>0.28004148361473702</c:v>
                </c:pt>
                <c:pt idx="206">
                  <c:v>0.35459945405408699</c:v>
                </c:pt>
                <c:pt idx="207">
                  <c:v>0.54417715548268997</c:v>
                </c:pt>
                <c:pt idx="208">
                  <c:v>0.53070107323339899</c:v>
                </c:pt>
                <c:pt idx="209">
                  <c:v>0.77975617829337296</c:v>
                </c:pt>
                <c:pt idx="210">
                  <c:v>0.70138401394009098</c:v>
                </c:pt>
                <c:pt idx="211">
                  <c:v>0.95322515370274297</c:v>
                </c:pt>
                <c:pt idx="212">
                  <c:v>0.94790414490074104</c:v>
                </c:pt>
                <c:pt idx="213">
                  <c:v>0.94070475988935598</c:v>
                </c:pt>
                <c:pt idx="214">
                  <c:v>0.99269184658472298</c:v>
                </c:pt>
                <c:pt idx="215" formatCode="0.00E+00">
                  <c:v>0.99389460604442004</c:v>
                </c:pt>
                <c:pt idx="216">
                  <c:v>0.99359282282612504</c:v>
                </c:pt>
                <c:pt idx="217">
                  <c:v>0.87817816869741006</c:v>
                </c:pt>
                <c:pt idx="218">
                  <c:v>0.68169755480213001</c:v>
                </c:pt>
                <c:pt idx="219">
                  <c:v>0.68897058274791501</c:v>
                </c:pt>
                <c:pt idx="220">
                  <c:v>0.71213681439278598</c:v>
                </c:pt>
                <c:pt idx="221">
                  <c:v>0.70951318069565805</c:v>
                </c:pt>
                <c:pt idx="222">
                  <c:v>0.677655952034249</c:v>
                </c:pt>
                <c:pt idx="223">
                  <c:v>0.70889047442434105</c:v>
                </c:pt>
                <c:pt idx="224">
                  <c:v>0.66381624020906904</c:v>
                </c:pt>
                <c:pt idx="225">
                  <c:v>0.67864583014741497</c:v>
                </c:pt>
                <c:pt idx="226">
                  <c:v>0.71894367913925505</c:v>
                </c:pt>
                <c:pt idx="227">
                  <c:v>0.62211232681708895</c:v>
                </c:pt>
                <c:pt idx="228">
                  <c:v>0.60710693118341896</c:v>
                </c:pt>
                <c:pt idx="229">
                  <c:v>0.62442531379847399</c:v>
                </c:pt>
                <c:pt idx="230">
                  <c:v>0.578616484722004</c:v>
                </c:pt>
                <c:pt idx="231">
                  <c:v>0.60956472096113701</c:v>
                </c:pt>
                <c:pt idx="232">
                  <c:v>0.59699315535261199</c:v>
                </c:pt>
                <c:pt idx="233">
                  <c:v>0.60994314385230697</c:v>
                </c:pt>
                <c:pt idx="234">
                  <c:v>0.60998630435244405</c:v>
                </c:pt>
                <c:pt idx="235">
                  <c:v>0.57844706431510096</c:v>
                </c:pt>
                <c:pt idx="236">
                  <c:v>0.57397477746782599</c:v>
                </c:pt>
                <c:pt idx="237">
                  <c:v>0.61434637594236097</c:v>
                </c:pt>
                <c:pt idx="238">
                  <c:v>0.63139839433756595</c:v>
                </c:pt>
                <c:pt idx="239">
                  <c:v>0.65548422564183595</c:v>
                </c:pt>
                <c:pt idx="240">
                  <c:v>0.58785828097666404</c:v>
                </c:pt>
                <c:pt idx="241">
                  <c:v>0.53528634775716799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  <c:pt idx="241">
                  <c:v>43453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2.33846693365517E-2</c:v>
                </c:pt>
                <c:pt idx="1">
                  <c:v>2.5158703485199999E-2</c:v>
                </c:pt>
                <c:pt idx="2">
                  <c:v>2.7299589066942999E-2</c:v>
                </c:pt>
                <c:pt idx="3">
                  <c:v>2.13713256038175E-2</c:v>
                </c:pt>
                <c:pt idx="4">
                  <c:v>1.7881709578201E-2</c:v>
                </c:pt>
                <c:pt idx="5">
                  <c:v>1.3555774744881101E-2</c:v>
                </c:pt>
                <c:pt idx="6">
                  <c:v>1.43170574651407E-2</c:v>
                </c:pt>
                <c:pt idx="7">
                  <c:v>1.3729168981960299E-2</c:v>
                </c:pt>
                <c:pt idx="8">
                  <c:v>1.5091566622096E-2</c:v>
                </c:pt>
                <c:pt idx="9">
                  <c:v>1.7349569165271899E-2</c:v>
                </c:pt>
                <c:pt idx="10">
                  <c:v>1.5688943964152501E-2</c:v>
                </c:pt>
                <c:pt idx="11">
                  <c:v>1.5716833742103101E-2</c:v>
                </c:pt>
                <c:pt idx="12">
                  <c:v>1.3856549914536199E-2</c:v>
                </c:pt>
                <c:pt idx="13">
                  <c:v>1.5975997900293099E-2</c:v>
                </c:pt>
                <c:pt idx="14">
                  <c:v>1.43603452633735E-2</c:v>
                </c:pt>
                <c:pt idx="15">
                  <c:v>1.7297843380179301E-2</c:v>
                </c:pt>
                <c:pt idx="16">
                  <c:v>1.9535587947675001E-2</c:v>
                </c:pt>
                <c:pt idx="17">
                  <c:v>1.14164629154979E-2</c:v>
                </c:pt>
                <c:pt idx="18" formatCode="0.00E+00">
                  <c:v>1.5982896642243401E-2</c:v>
                </c:pt>
                <c:pt idx="19" formatCode="0.00E+00">
                  <c:v>2.0141774456120101E-2</c:v>
                </c:pt>
                <c:pt idx="20" formatCode="0.00E+00">
                  <c:v>2.0779544258998799E-2</c:v>
                </c:pt>
                <c:pt idx="21" formatCode="0.00E+00">
                  <c:v>2.0303710682716501E-2</c:v>
                </c:pt>
                <c:pt idx="22">
                  <c:v>2.0110298531043801E-2</c:v>
                </c:pt>
                <c:pt idx="23">
                  <c:v>2.17368439481768E-2</c:v>
                </c:pt>
                <c:pt idx="24">
                  <c:v>2.5927565453494901E-2</c:v>
                </c:pt>
                <c:pt idx="25">
                  <c:v>2.9490243506352602E-2</c:v>
                </c:pt>
                <c:pt idx="26">
                  <c:v>4.1772794419665901E-2</c:v>
                </c:pt>
                <c:pt idx="27">
                  <c:v>3.1418818930420901E-2</c:v>
                </c:pt>
                <c:pt idx="28">
                  <c:v>6.5926149166746995E-2</c:v>
                </c:pt>
                <c:pt idx="29">
                  <c:v>4.86382595589911E-2</c:v>
                </c:pt>
                <c:pt idx="30">
                  <c:v>4.8986302344365899E-2</c:v>
                </c:pt>
                <c:pt idx="31">
                  <c:v>7.4507546184151605E-2</c:v>
                </c:pt>
                <c:pt idx="32">
                  <c:v>8.3334271702496604E-2</c:v>
                </c:pt>
                <c:pt idx="33">
                  <c:v>6.9741366986573405E-2</c:v>
                </c:pt>
                <c:pt idx="34">
                  <c:v>0.11722513195052101</c:v>
                </c:pt>
                <c:pt idx="35">
                  <c:v>0.32764095932250598</c:v>
                </c:pt>
                <c:pt idx="36">
                  <c:v>9.3304637069525007E-2</c:v>
                </c:pt>
                <c:pt idx="37">
                  <c:v>4.1525187630120801E-2</c:v>
                </c:pt>
                <c:pt idx="38">
                  <c:v>4.0097559835641103E-2</c:v>
                </c:pt>
                <c:pt idx="39">
                  <c:v>4.2373622930390299E-2</c:v>
                </c:pt>
                <c:pt idx="40">
                  <c:v>4.3404120859019402E-2</c:v>
                </c:pt>
                <c:pt idx="41">
                  <c:v>4.0134307639103001E-2</c:v>
                </c:pt>
                <c:pt idx="42">
                  <c:v>3.8802875548367699E-2</c:v>
                </c:pt>
                <c:pt idx="43">
                  <c:v>3.7141321810859801E-2</c:v>
                </c:pt>
                <c:pt idx="44">
                  <c:v>4.43955508096033E-2</c:v>
                </c:pt>
                <c:pt idx="45">
                  <c:v>3.1711873002755998E-2</c:v>
                </c:pt>
                <c:pt idx="46">
                  <c:v>3.2219893789107099E-2</c:v>
                </c:pt>
                <c:pt idx="47">
                  <c:v>3.5687448828649798E-2</c:v>
                </c:pt>
                <c:pt idx="48">
                  <c:v>3.08912507906649E-2</c:v>
                </c:pt>
                <c:pt idx="49">
                  <c:v>3.0904875268465099E-2</c:v>
                </c:pt>
                <c:pt idx="50">
                  <c:v>3.1889418667579203E-2</c:v>
                </c:pt>
                <c:pt idx="51">
                  <c:v>3.2363582165005997E-2</c:v>
                </c:pt>
                <c:pt idx="52">
                  <c:v>3.3743296450458697E-2</c:v>
                </c:pt>
                <c:pt idx="53">
                  <c:v>3.8087775524745397E-2</c:v>
                </c:pt>
                <c:pt idx="54">
                  <c:v>3.8658199646975602E-2</c:v>
                </c:pt>
                <c:pt idx="55">
                  <c:v>4.3551909528023798E-2</c:v>
                </c:pt>
                <c:pt idx="56">
                  <c:v>3.5460382249917502E-2</c:v>
                </c:pt>
                <c:pt idx="57">
                  <c:v>2.3183588329296199E-2</c:v>
                </c:pt>
                <c:pt idx="58">
                  <c:v>2.1873106761591599E-2</c:v>
                </c:pt>
                <c:pt idx="59">
                  <c:v>2.35130391750056E-2</c:v>
                </c:pt>
                <c:pt idx="60">
                  <c:v>2.1558986248302901E-2</c:v>
                </c:pt>
                <c:pt idx="61">
                  <c:v>2.0935175714211302E-2</c:v>
                </c:pt>
                <c:pt idx="62">
                  <c:v>2.2825500176649301E-2</c:v>
                </c:pt>
                <c:pt idx="63">
                  <c:v>1.88132467242225E-2</c:v>
                </c:pt>
                <c:pt idx="64">
                  <c:v>1.96271055734125E-2</c:v>
                </c:pt>
                <c:pt idx="65">
                  <c:v>3.2104371695903099E-2</c:v>
                </c:pt>
                <c:pt idx="66">
                  <c:v>2.8078323914055799E-2</c:v>
                </c:pt>
                <c:pt idx="67">
                  <c:v>2.1995388996558202E-2</c:v>
                </c:pt>
                <c:pt idx="68">
                  <c:v>3.1679528822498401E-2</c:v>
                </c:pt>
                <c:pt idx="69">
                  <c:v>4.5563276103370798E-2</c:v>
                </c:pt>
                <c:pt idx="70">
                  <c:v>6.7992070286492401E-2</c:v>
                </c:pt>
                <c:pt idx="71">
                  <c:v>6.2258289092704297E-2</c:v>
                </c:pt>
                <c:pt idx="72">
                  <c:v>6.8560306068798704E-2</c:v>
                </c:pt>
                <c:pt idx="73">
                  <c:v>5.0661930003946601E-2</c:v>
                </c:pt>
                <c:pt idx="74">
                  <c:v>5.0923302269729097E-2</c:v>
                </c:pt>
                <c:pt idx="75">
                  <c:v>4.7984468196358501E-2</c:v>
                </c:pt>
                <c:pt idx="76">
                  <c:v>4.88918606477447E-2</c:v>
                </c:pt>
                <c:pt idx="77">
                  <c:v>5.9399350722047002E-2</c:v>
                </c:pt>
                <c:pt idx="78">
                  <c:v>7.5799299899751094E-2</c:v>
                </c:pt>
                <c:pt idx="79">
                  <c:v>0.101977995776281</c:v>
                </c:pt>
                <c:pt idx="80">
                  <c:v>0.14360757215047801</c:v>
                </c:pt>
                <c:pt idx="81">
                  <c:v>0.121473348814401</c:v>
                </c:pt>
                <c:pt idx="82">
                  <c:v>0.29488108863350498</c:v>
                </c:pt>
                <c:pt idx="83">
                  <c:v>0.31594844805801198</c:v>
                </c:pt>
                <c:pt idx="84">
                  <c:v>0.31146269154695599</c:v>
                </c:pt>
                <c:pt idx="85">
                  <c:v>0.24961545419162701</c:v>
                </c:pt>
                <c:pt idx="86">
                  <c:v>0.305682876486504</c:v>
                </c:pt>
                <c:pt idx="87">
                  <c:v>0.26001426795349603</c:v>
                </c:pt>
                <c:pt idx="88">
                  <c:v>0.261386929171053</c:v>
                </c:pt>
                <c:pt idx="89">
                  <c:v>0.20842532918179499</c:v>
                </c:pt>
                <c:pt idx="90">
                  <c:v>0.22988726849125601</c:v>
                </c:pt>
                <c:pt idx="91">
                  <c:v>0.224860998392481</c:v>
                </c:pt>
                <c:pt idx="92">
                  <c:v>0.20856103841198301</c:v>
                </c:pt>
                <c:pt idx="93">
                  <c:v>0.198594343938198</c:v>
                </c:pt>
                <c:pt idx="94">
                  <c:v>0.17229727465460501</c:v>
                </c:pt>
                <c:pt idx="95">
                  <c:v>0.13385391641393499</c:v>
                </c:pt>
                <c:pt idx="96">
                  <c:v>7.5877515448984398E-2</c:v>
                </c:pt>
                <c:pt idx="97">
                  <c:v>6.4638793622323595E-2</c:v>
                </c:pt>
                <c:pt idx="98">
                  <c:v>6.5035506065868803E-2</c:v>
                </c:pt>
                <c:pt idx="99">
                  <c:v>7.6064983398845806E-2</c:v>
                </c:pt>
                <c:pt idx="100">
                  <c:v>6.7753429915710497E-2</c:v>
                </c:pt>
                <c:pt idx="101">
                  <c:v>6.4593864318936003E-2</c:v>
                </c:pt>
                <c:pt idx="102">
                  <c:v>6.4691208388223398E-2</c:v>
                </c:pt>
                <c:pt idx="103">
                  <c:v>6.5142472661525994E-2</c:v>
                </c:pt>
                <c:pt idx="104">
                  <c:v>5.3627848697244698E-2</c:v>
                </c:pt>
                <c:pt idx="105">
                  <c:v>5.2933285271562699E-2</c:v>
                </c:pt>
                <c:pt idx="106">
                  <c:v>4.4888851535970498E-2</c:v>
                </c:pt>
                <c:pt idx="107">
                  <c:v>3.30252261188414E-2</c:v>
                </c:pt>
                <c:pt idx="108">
                  <c:v>3.6823486961755698E-2</c:v>
                </c:pt>
                <c:pt idx="109">
                  <c:v>5.93530137170446E-2</c:v>
                </c:pt>
                <c:pt idx="110">
                  <c:v>3.7766334510866403E-2</c:v>
                </c:pt>
                <c:pt idx="111">
                  <c:v>4.8575256898938303E-2</c:v>
                </c:pt>
                <c:pt idx="112">
                  <c:v>7.4673119710512395E-2</c:v>
                </c:pt>
                <c:pt idx="113">
                  <c:v>3.7226526814112197E-2</c:v>
                </c:pt>
                <c:pt idx="114">
                  <c:v>3.5462971861243503E-2</c:v>
                </c:pt>
                <c:pt idx="115">
                  <c:v>3.8987721557490598E-2</c:v>
                </c:pt>
                <c:pt idx="116">
                  <c:v>4.1473829659372401E-2</c:v>
                </c:pt>
                <c:pt idx="117">
                  <c:v>4.14280859215371E-2</c:v>
                </c:pt>
                <c:pt idx="118">
                  <c:v>4.4787127953800597E-2</c:v>
                </c:pt>
                <c:pt idx="119">
                  <c:v>5.02883683820112E-2</c:v>
                </c:pt>
                <c:pt idx="120">
                  <c:v>6.2600196011658102E-2</c:v>
                </c:pt>
                <c:pt idx="121">
                  <c:v>5.0006523156445597E-2</c:v>
                </c:pt>
                <c:pt idx="122">
                  <c:v>5.0121009570372001E-2</c:v>
                </c:pt>
                <c:pt idx="123">
                  <c:v>4.8394260126276803E-2</c:v>
                </c:pt>
                <c:pt idx="124">
                  <c:v>5.5886477097936801E-2</c:v>
                </c:pt>
                <c:pt idx="125">
                  <c:v>5.9279151375691001E-2</c:v>
                </c:pt>
                <c:pt idx="126">
                  <c:v>6.5773762692666202E-2</c:v>
                </c:pt>
                <c:pt idx="127">
                  <c:v>0.11763152742774299</c:v>
                </c:pt>
                <c:pt idx="128">
                  <c:v>7.3926223025729501E-2</c:v>
                </c:pt>
                <c:pt idx="129">
                  <c:v>0.120117026617805</c:v>
                </c:pt>
                <c:pt idx="130">
                  <c:v>6.4607686451906399E-2</c:v>
                </c:pt>
                <c:pt idx="131">
                  <c:v>6.5779921070428293E-2</c:v>
                </c:pt>
                <c:pt idx="132">
                  <c:v>6.9503814517121495E-2</c:v>
                </c:pt>
                <c:pt idx="133">
                  <c:v>8.1548634146666105E-2</c:v>
                </c:pt>
                <c:pt idx="134">
                  <c:v>0.11564440135468999</c:v>
                </c:pt>
                <c:pt idx="135">
                  <c:v>7.6533899333824901E-2</c:v>
                </c:pt>
                <c:pt idx="136">
                  <c:v>7.17646552922412E-2</c:v>
                </c:pt>
                <c:pt idx="137">
                  <c:v>0.114762525542636</c:v>
                </c:pt>
                <c:pt idx="138">
                  <c:v>0.115458419305504</c:v>
                </c:pt>
                <c:pt idx="139">
                  <c:v>0.115176922898512</c:v>
                </c:pt>
                <c:pt idx="140">
                  <c:v>0.11515297731542901</c:v>
                </c:pt>
                <c:pt idx="141">
                  <c:v>7.4442280534224498E-2</c:v>
                </c:pt>
                <c:pt idx="142">
                  <c:v>0.120963085052054</c:v>
                </c:pt>
                <c:pt idx="143">
                  <c:v>0.107211041991016</c:v>
                </c:pt>
                <c:pt idx="144">
                  <c:v>0.111526359102466</c:v>
                </c:pt>
                <c:pt idx="145">
                  <c:v>0.106829417182254</c:v>
                </c:pt>
                <c:pt idx="146">
                  <c:v>0.11404974167366499</c:v>
                </c:pt>
                <c:pt idx="147">
                  <c:v>0.103972304930824</c:v>
                </c:pt>
                <c:pt idx="148">
                  <c:v>0.103837888455659</c:v>
                </c:pt>
                <c:pt idx="149">
                  <c:v>9.9921198635293806E-2</c:v>
                </c:pt>
                <c:pt idx="150">
                  <c:v>0.102552055166238</c:v>
                </c:pt>
                <c:pt idx="151">
                  <c:v>0.145287678234791</c:v>
                </c:pt>
                <c:pt idx="152">
                  <c:v>0.16784380518624101</c:v>
                </c:pt>
                <c:pt idx="153">
                  <c:v>8.2033964787084607E-2</c:v>
                </c:pt>
                <c:pt idx="154">
                  <c:v>2.8971358953673601E-2</c:v>
                </c:pt>
                <c:pt idx="155">
                  <c:v>0.122707293327373</c:v>
                </c:pt>
                <c:pt idx="156">
                  <c:v>0.34798966493000899</c:v>
                </c:pt>
                <c:pt idx="157">
                  <c:v>4.7316513432344602E-2</c:v>
                </c:pt>
                <c:pt idx="158">
                  <c:v>0.33567737376420198</c:v>
                </c:pt>
                <c:pt idx="159">
                  <c:v>0.465308783840786</c:v>
                </c:pt>
                <c:pt idx="160">
                  <c:v>0.36864176620815198</c:v>
                </c:pt>
                <c:pt idx="161">
                  <c:v>0.31725740855656898</c:v>
                </c:pt>
                <c:pt idx="162">
                  <c:v>0.26479837505620801</c:v>
                </c:pt>
                <c:pt idx="163">
                  <c:v>0.234272823570328</c:v>
                </c:pt>
                <c:pt idx="164">
                  <c:v>0.21871700553909701</c:v>
                </c:pt>
                <c:pt idx="165">
                  <c:v>0.22917733905302801</c:v>
                </c:pt>
                <c:pt idx="166">
                  <c:v>0.176374952080775</c:v>
                </c:pt>
                <c:pt idx="167">
                  <c:v>0.19834644247701499</c:v>
                </c:pt>
                <c:pt idx="168">
                  <c:v>0.22154892881412899</c:v>
                </c:pt>
                <c:pt idx="169">
                  <c:v>0.17285416900210299</c:v>
                </c:pt>
                <c:pt idx="170">
                  <c:v>0.213300296137372</c:v>
                </c:pt>
                <c:pt idx="171">
                  <c:v>0.24649794823257101</c:v>
                </c:pt>
                <c:pt idx="172">
                  <c:v>0.360295254474994</c:v>
                </c:pt>
                <c:pt idx="173">
                  <c:v>0.50301760315616595</c:v>
                </c:pt>
                <c:pt idx="174">
                  <c:v>0.57235909986716405</c:v>
                </c:pt>
                <c:pt idx="175">
                  <c:v>0.68684725706267402</c:v>
                </c:pt>
                <c:pt idx="176">
                  <c:v>0.68478290631425998</c:v>
                </c:pt>
                <c:pt idx="177">
                  <c:v>0.68795490271135196</c:v>
                </c:pt>
                <c:pt idx="178">
                  <c:v>0.77921113972656697</c:v>
                </c:pt>
                <c:pt idx="179">
                  <c:v>0.86101205106245005</c:v>
                </c:pt>
                <c:pt idx="180">
                  <c:v>0.79513386303000499</c:v>
                </c:pt>
                <c:pt idx="181">
                  <c:v>0.73603776951423705</c:v>
                </c:pt>
                <c:pt idx="182">
                  <c:v>0.73902095393582801</c:v>
                </c:pt>
                <c:pt idx="183">
                  <c:v>0.84689300883062302</c:v>
                </c:pt>
                <c:pt idx="184">
                  <c:v>0.83503892361828702</c:v>
                </c:pt>
                <c:pt idx="185">
                  <c:v>0.87169225142784801</c:v>
                </c:pt>
                <c:pt idx="186">
                  <c:v>0.93724558366567101</c:v>
                </c:pt>
                <c:pt idx="187">
                  <c:v>0.94353321312196303</c:v>
                </c:pt>
                <c:pt idx="188">
                  <c:v>0.93387169470251996</c:v>
                </c:pt>
                <c:pt idx="189">
                  <c:v>0.92168765554520904</c:v>
                </c:pt>
                <c:pt idx="190">
                  <c:v>0.93507699044963</c:v>
                </c:pt>
                <c:pt idx="191">
                  <c:v>0.94210624685983502</c:v>
                </c:pt>
                <c:pt idx="192">
                  <c:v>0.91337504007864001</c:v>
                </c:pt>
                <c:pt idx="193">
                  <c:v>0.95270094010678197</c:v>
                </c:pt>
                <c:pt idx="194">
                  <c:v>0.95871518391052701</c:v>
                </c:pt>
                <c:pt idx="195">
                  <c:v>0.95876271222873199</c:v>
                </c:pt>
                <c:pt idx="196">
                  <c:v>0.96000849063319404</c:v>
                </c:pt>
                <c:pt idx="197">
                  <c:v>0.91832685909670497</c:v>
                </c:pt>
                <c:pt idx="198">
                  <c:v>0.93637036997171197</c:v>
                </c:pt>
                <c:pt idx="199">
                  <c:v>0.90299687407411</c:v>
                </c:pt>
                <c:pt idx="200">
                  <c:v>0.91875913602215498</c:v>
                </c:pt>
                <c:pt idx="201">
                  <c:v>0.92521981059910197</c:v>
                </c:pt>
                <c:pt idx="202">
                  <c:v>0.94401508528211697</c:v>
                </c:pt>
                <c:pt idx="203">
                  <c:v>0.85173866502252105</c:v>
                </c:pt>
                <c:pt idx="204">
                  <c:v>0.83857013618086995</c:v>
                </c:pt>
                <c:pt idx="205">
                  <c:v>0.83117634694836795</c:v>
                </c:pt>
                <c:pt idx="206">
                  <c:v>0.83189806974191705</c:v>
                </c:pt>
                <c:pt idx="207">
                  <c:v>0.828141458549006</c:v>
                </c:pt>
                <c:pt idx="208">
                  <c:v>0.80343485317074903</c:v>
                </c:pt>
                <c:pt idx="209">
                  <c:v>0.82025972559188498</c:v>
                </c:pt>
                <c:pt idx="210">
                  <c:v>0.80353816148131596</c:v>
                </c:pt>
                <c:pt idx="211">
                  <c:v>0.79792979092665195</c:v>
                </c:pt>
                <c:pt idx="212">
                  <c:v>0.80408166571113004</c:v>
                </c:pt>
                <c:pt idx="213">
                  <c:v>0.70924160192569496</c:v>
                </c:pt>
                <c:pt idx="214">
                  <c:v>0.67466692965555297</c:v>
                </c:pt>
                <c:pt idx="215">
                  <c:v>0.61471662769483704</c:v>
                </c:pt>
                <c:pt idx="216">
                  <c:v>0.62317544927523105</c:v>
                </c:pt>
                <c:pt idx="217">
                  <c:v>0.61987408147601397</c:v>
                </c:pt>
                <c:pt idx="218">
                  <c:v>0.63048918963146305</c:v>
                </c:pt>
                <c:pt idx="219">
                  <c:v>0.61837845659392499</c:v>
                </c:pt>
                <c:pt idx="220">
                  <c:v>0.63052991012902804</c:v>
                </c:pt>
                <c:pt idx="221">
                  <c:v>0.63776774050757301</c:v>
                </c:pt>
                <c:pt idx="222">
                  <c:v>0.58626297504609004</c:v>
                </c:pt>
                <c:pt idx="223">
                  <c:v>0.58378285891123705</c:v>
                </c:pt>
                <c:pt idx="224">
                  <c:v>0.59196111371890203</c:v>
                </c:pt>
                <c:pt idx="225">
                  <c:v>0.61459769103842798</c:v>
                </c:pt>
                <c:pt idx="226">
                  <c:v>0.62240535240941497</c:v>
                </c:pt>
                <c:pt idx="227">
                  <c:v>0.60864926371857397</c:v>
                </c:pt>
                <c:pt idx="228">
                  <c:v>0.58207209959886996</c:v>
                </c:pt>
                <c:pt idx="229">
                  <c:v>0.56663670167098601</c:v>
                </c:pt>
                <c:pt idx="230">
                  <c:v>0.56893083396673705</c:v>
                </c:pt>
                <c:pt idx="231">
                  <c:v>0.56491729548211</c:v>
                </c:pt>
                <c:pt idx="232">
                  <c:v>0.56177648898938404</c:v>
                </c:pt>
                <c:pt idx="233">
                  <c:v>0.54557396334382902</c:v>
                </c:pt>
                <c:pt idx="234">
                  <c:v>0.54350760102470996</c:v>
                </c:pt>
                <c:pt idx="235">
                  <c:v>0.51922365930456804</c:v>
                </c:pt>
                <c:pt idx="236">
                  <c:v>0.48810814185978302</c:v>
                </c:pt>
                <c:pt idx="237">
                  <c:v>0.47459590969447402</c:v>
                </c:pt>
                <c:pt idx="238">
                  <c:v>0.51126574247536205</c:v>
                </c:pt>
                <c:pt idx="239">
                  <c:v>0.521579013935356</c:v>
                </c:pt>
                <c:pt idx="240">
                  <c:v>0.52746303482099999</c:v>
                </c:pt>
                <c:pt idx="241">
                  <c:v>0.52878856251565998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0.70935101186322402</c:v>
                </c:pt>
                <c:pt idx="1">
                  <c:v>0.71833449965010499</c:v>
                </c:pt>
                <c:pt idx="2">
                  <c:v>0.72015449438202195</c:v>
                </c:pt>
                <c:pt idx="3">
                  <c:v>0.74114730878186896</c:v>
                </c:pt>
                <c:pt idx="4">
                  <c:v>0.75436681222707402</c:v>
                </c:pt>
                <c:pt idx="5">
                  <c:v>0.77057538237436196</c:v>
                </c:pt>
                <c:pt idx="6">
                  <c:v>0.77640449438202197</c:v>
                </c:pt>
                <c:pt idx="7">
                  <c:v>0.78672106824925803</c:v>
                </c:pt>
                <c:pt idx="8">
                  <c:v>0.77643171806167399</c:v>
                </c:pt>
                <c:pt idx="9">
                  <c:v>0.76965065502183405</c:v>
                </c:pt>
                <c:pt idx="10">
                  <c:v>0.76010286554004403</c:v>
                </c:pt>
                <c:pt idx="11">
                  <c:v>0.77773641102010405</c:v>
                </c:pt>
                <c:pt idx="12">
                  <c:v>0.78969465648854897</c:v>
                </c:pt>
                <c:pt idx="13">
                  <c:v>0.79070660522273395</c:v>
                </c:pt>
                <c:pt idx="14">
                  <c:v>0.79691119691119605</c:v>
                </c:pt>
                <c:pt idx="15">
                  <c:v>0.80124223602484401</c:v>
                </c:pt>
                <c:pt idx="16">
                  <c:v>0.78889757623142998</c:v>
                </c:pt>
                <c:pt idx="17">
                  <c:v>0.77025117739403404</c:v>
                </c:pt>
                <c:pt idx="18">
                  <c:v>0.78417266187050305</c:v>
                </c:pt>
                <c:pt idx="19">
                  <c:v>0.76256895193065399</c:v>
                </c:pt>
                <c:pt idx="20">
                  <c:v>0.79232000000000002</c:v>
                </c:pt>
                <c:pt idx="21">
                  <c:v>0.80852775543041</c:v>
                </c:pt>
                <c:pt idx="22">
                  <c:v>0.79146919431279605</c:v>
                </c:pt>
                <c:pt idx="23">
                  <c:v>0.75928733889309996</c:v>
                </c:pt>
                <c:pt idx="24">
                  <c:v>0.75030303030303003</c:v>
                </c:pt>
                <c:pt idx="25">
                  <c:v>0.74388971684053595</c:v>
                </c:pt>
                <c:pt idx="26">
                  <c:v>0.75675265553869497</c:v>
                </c:pt>
                <c:pt idx="27">
                  <c:v>0.76256564141035199</c:v>
                </c:pt>
                <c:pt idx="28">
                  <c:v>0.75184094256259204</c:v>
                </c:pt>
                <c:pt idx="29">
                  <c:v>0.759493670886076</c:v>
                </c:pt>
                <c:pt idx="30">
                  <c:v>0.76899924755455196</c:v>
                </c:pt>
                <c:pt idx="31">
                  <c:v>0.787201233616037</c:v>
                </c:pt>
                <c:pt idx="32">
                  <c:v>0.78076923076922999</c:v>
                </c:pt>
                <c:pt idx="33">
                  <c:v>0.80889423076922995</c:v>
                </c:pt>
                <c:pt idx="34">
                  <c:v>0.81597337770382605</c:v>
                </c:pt>
                <c:pt idx="35">
                  <c:v>0.75155737704918002</c:v>
                </c:pt>
                <c:pt idx="36">
                  <c:v>0.746399345335515</c:v>
                </c:pt>
                <c:pt idx="37">
                  <c:v>0.72915011914217598</c:v>
                </c:pt>
                <c:pt idx="38">
                  <c:v>0.74631751227495902</c:v>
                </c:pt>
                <c:pt idx="39">
                  <c:v>0.74843234323432295</c:v>
                </c:pt>
                <c:pt idx="40">
                  <c:v>0.74333605887162701</c:v>
                </c:pt>
                <c:pt idx="41">
                  <c:v>0.73834832379394899</c:v>
                </c:pt>
                <c:pt idx="42">
                  <c:v>0.75430016863406402</c:v>
                </c:pt>
                <c:pt idx="43">
                  <c:v>0.746386554621848</c:v>
                </c:pt>
                <c:pt idx="44">
                  <c:v>0.76346801346801296</c:v>
                </c:pt>
                <c:pt idx="45">
                  <c:v>0.75087136929460496</c:v>
                </c:pt>
                <c:pt idx="46">
                  <c:v>0.74991638795986604</c:v>
                </c:pt>
                <c:pt idx="47">
                  <c:v>0.75356223175965598</c:v>
                </c:pt>
                <c:pt idx="48">
                  <c:v>0.762477876106194</c:v>
                </c:pt>
                <c:pt idx="49">
                  <c:v>0.76054243219597495</c:v>
                </c:pt>
                <c:pt idx="50">
                  <c:v>0.75249569707400998</c:v>
                </c:pt>
                <c:pt idx="51">
                  <c:v>0.76480349344978105</c:v>
                </c:pt>
                <c:pt idx="52">
                  <c:v>0.77850220264317105</c:v>
                </c:pt>
                <c:pt idx="53">
                  <c:v>0.76423611111111101</c:v>
                </c:pt>
                <c:pt idx="54">
                  <c:v>0.76415254237288099</c:v>
                </c:pt>
                <c:pt idx="55">
                  <c:v>0.76153846153846105</c:v>
                </c:pt>
                <c:pt idx="56">
                  <c:v>0.76471615720524</c:v>
                </c:pt>
                <c:pt idx="57">
                  <c:v>0.76472103004291803</c:v>
                </c:pt>
                <c:pt idx="58">
                  <c:v>0.77151411462788699</c:v>
                </c:pt>
                <c:pt idx="59">
                  <c:v>0.76743787489288695</c:v>
                </c:pt>
                <c:pt idx="60">
                  <c:v>0.75726495726495702</c:v>
                </c:pt>
                <c:pt idx="61">
                  <c:v>0.78003487358325996</c:v>
                </c:pt>
                <c:pt idx="62">
                  <c:v>0.77415437987857705</c:v>
                </c:pt>
                <c:pt idx="63">
                  <c:v>0.779913419913419</c:v>
                </c:pt>
                <c:pt idx="64">
                  <c:v>0.763336155800169</c:v>
                </c:pt>
                <c:pt idx="65">
                  <c:v>0.76333052985702199</c:v>
                </c:pt>
                <c:pt idx="66">
                  <c:v>0.76272189349112396</c:v>
                </c:pt>
                <c:pt idx="67">
                  <c:v>0.76020236087689697</c:v>
                </c:pt>
                <c:pt idx="68">
                  <c:v>0.78626226583407599</c:v>
                </c:pt>
                <c:pt idx="69">
                  <c:v>0.78616236162361597</c:v>
                </c:pt>
                <c:pt idx="70">
                  <c:v>0.79245107176141605</c:v>
                </c:pt>
                <c:pt idx="71">
                  <c:v>0.78110383536014905</c:v>
                </c:pt>
                <c:pt idx="72">
                  <c:v>0.78729547641963404</c:v>
                </c:pt>
                <c:pt idx="73">
                  <c:v>0.77954329210275897</c:v>
                </c:pt>
                <c:pt idx="74">
                  <c:v>0.77755491881566297</c:v>
                </c:pt>
                <c:pt idx="75">
                  <c:v>0.79236714975845401</c:v>
                </c:pt>
                <c:pt idx="76">
                  <c:v>0.79783889980353595</c:v>
                </c:pt>
                <c:pt idx="77">
                  <c:v>0.80652173913043401</c:v>
                </c:pt>
                <c:pt idx="78">
                  <c:v>0.80178394449950396</c:v>
                </c:pt>
                <c:pt idx="79">
                  <c:v>0.79812067260138397</c:v>
                </c:pt>
                <c:pt idx="80">
                  <c:v>0.79728419010669205</c:v>
                </c:pt>
                <c:pt idx="81">
                  <c:v>0.80441176470588205</c:v>
                </c:pt>
                <c:pt idx="82">
                  <c:v>0.81809145129224603</c:v>
                </c:pt>
                <c:pt idx="83">
                  <c:v>0.810406342913776</c:v>
                </c:pt>
                <c:pt idx="84">
                  <c:v>0.80129096325719895</c:v>
                </c:pt>
                <c:pt idx="85">
                  <c:v>0.81643002028397504</c:v>
                </c:pt>
                <c:pt idx="86">
                  <c:v>0.80827447023208798</c:v>
                </c:pt>
                <c:pt idx="87">
                  <c:v>0.82210000000000005</c:v>
                </c:pt>
                <c:pt idx="88">
                  <c:v>0.82912032355915</c:v>
                </c:pt>
                <c:pt idx="89">
                  <c:v>0.78671065032987697</c:v>
                </c:pt>
                <c:pt idx="90">
                  <c:v>0.76771507863089705</c:v>
                </c:pt>
                <c:pt idx="91">
                  <c:v>0.75809090909090904</c:v>
                </c:pt>
                <c:pt idx="92">
                  <c:v>0.74044642857142795</c:v>
                </c:pt>
                <c:pt idx="93">
                  <c:v>0.74836427939876204</c:v>
                </c:pt>
                <c:pt idx="94">
                  <c:v>0.75385934819897005</c:v>
                </c:pt>
                <c:pt idx="95">
                  <c:v>0.73996750609260697</c:v>
                </c:pt>
                <c:pt idx="96">
                  <c:v>0.75424143556280498</c:v>
                </c:pt>
                <c:pt idx="97">
                  <c:v>0.76421487603305704</c:v>
                </c:pt>
                <c:pt idx="98">
                  <c:v>0.75577722360764699</c:v>
                </c:pt>
                <c:pt idx="99">
                  <c:v>0.74084621643612603</c:v>
                </c:pt>
                <c:pt idx="100">
                  <c:v>0.74758789860997499</c:v>
                </c:pt>
                <c:pt idx="101">
                  <c:v>0.75776859504132199</c:v>
                </c:pt>
                <c:pt idx="102">
                  <c:v>0.76099173553719002</c:v>
                </c:pt>
                <c:pt idx="103">
                  <c:v>0.76290456431535203</c:v>
                </c:pt>
                <c:pt idx="104">
                  <c:v>0.76356073211314401</c:v>
                </c:pt>
                <c:pt idx="105">
                  <c:v>0.74603174603174605</c:v>
                </c:pt>
                <c:pt idx="106">
                  <c:v>0.76541978387364895</c:v>
                </c:pt>
                <c:pt idx="107">
                  <c:v>0.77121338912133897</c:v>
                </c:pt>
                <c:pt idx="108">
                  <c:v>0.78077246011754797</c:v>
                </c:pt>
                <c:pt idx="109">
                  <c:v>0.77212020033388895</c:v>
                </c:pt>
                <c:pt idx="110">
                  <c:v>0.77485380116959002</c:v>
                </c:pt>
                <c:pt idx="111">
                  <c:v>0.77863674147963402</c:v>
                </c:pt>
                <c:pt idx="112">
                  <c:v>0.78192371475953504</c:v>
                </c:pt>
                <c:pt idx="113">
                  <c:v>0.78600000000000003</c:v>
                </c:pt>
                <c:pt idx="114">
                  <c:v>0.78917568692756002</c:v>
                </c:pt>
                <c:pt idx="115">
                  <c:v>0.77445742904841397</c:v>
                </c:pt>
                <c:pt idx="116">
                  <c:v>0.76999168744804602</c:v>
                </c:pt>
                <c:pt idx="117">
                  <c:v>0.768136439267886</c:v>
                </c:pt>
                <c:pt idx="118">
                  <c:v>0.76717948717948703</c:v>
                </c:pt>
                <c:pt idx="119">
                  <c:v>0.75738396624472504</c:v>
                </c:pt>
                <c:pt idx="120">
                  <c:v>0.77695690413368501</c:v>
                </c:pt>
                <c:pt idx="121">
                  <c:v>0.77486865148861594</c:v>
                </c:pt>
                <c:pt idx="122">
                  <c:v>0.77961165048543601</c:v>
                </c:pt>
                <c:pt idx="123">
                  <c:v>0.78337754199823095</c:v>
                </c:pt>
                <c:pt idx="124">
                  <c:v>0.77089160839160797</c:v>
                </c:pt>
                <c:pt idx="125">
                  <c:v>0.76938596491227995</c:v>
                </c:pt>
                <c:pt idx="126">
                  <c:v>0.76527159394479005</c:v>
                </c:pt>
                <c:pt idx="127">
                  <c:v>0.75492957746478795</c:v>
                </c:pt>
                <c:pt idx="128">
                  <c:v>0.75716814159292001</c:v>
                </c:pt>
                <c:pt idx="129">
                  <c:v>0.76076512455515999</c:v>
                </c:pt>
                <c:pt idx="130">
                  <c:v>0.76920353982300804</c:v>
                </c:pt>
                <c:pt idx="131">
                  <c:v>0.76906854130052704</c:v>
                </c:pt>
                <c:pt idx="132">
                  <c:v>0.78405017921146902</c:v>
                </c:pt>
                <c:pt idx="133">
                  <c:v>0.77633928571428501</c:v>
                </c:pt>
                <c:pt idx="134">
                  <c:v>0.77829596412556001</c:v>
                </c:pt>
                <c:pt idx="135">
                  <c:v>0.77763975155279497</c:v>
                </c:pt>
                <c:pt idx="136">
                  <c:v>0.78809523809523796</c:v>
                </c:pt>
                <c:pt idx="137">
                  <c:v>0.76702412868632697</c:v>
                </c:pt>
                <c:pt idx="138">
                  <c:v>0.76126760563380202</c:v>
                </c:pt>
                <c:pt idx="139">
                  <c:v>0.76855670103092699</c:v>
                </c:pt>
                <c:pt idx="140">
                  <c:v>0.77304347826086905</c:v>
                </c:pt>
                <c:pt idx="141">
                  <c:v>0.76923736075407001</c:v>
                </c:pt>
                <c:pt idx="142">
                  <c:v>0.76298533218291598</c:v>
                </c:pt>
                <c:pt idx="143">
                  <c:v>0.77025371828521405</c:v>
                </c:pt>
                <c:pt idx="144">
                  <c:v>0.77027491408934701</c:v>
                </c:pt>
                <c:pt idx="145">
                  <c:v>0.78050043140638403</c:v>
                </c:pt>
                <c:pt idx="146">
                  <c:v>0.78429184549356201</c:v>
                </c:pt>
                <c:pt idx="147">
                  <c:v>0.78509532062391596</c:v>
                </c:pt>
                <c:pt idx="148">
                  <c:v>0.79111697449428298</c:v>
                </c:pt>
                <c:pt idx="149">
                  <c:v>0.81858325666973297</c:v>
                </c:pt>
                <c:pt idx="150">
                  <c:v>0.76116751269035499</c:v>
                </c:pt>
                <c:pt idx="151">
                  <c:v>0.76347975882859598</c:v>
                </c:pt>
                <c:pt idx="152">
                  <c:v>0.76435304198800302</c:v>
                </c:pt>
                <c:pt idx="153">
                  <c:v>0.78264957264957202</c:v>
                </c:pt>
                <c:pt idx="154">
                  <c:v>0.82164429530201299</c:v>
                </c:pt>
                <c:pt idx="155">
                  <c:v>0.82533670033670004</c:v>
                </c:pt>
                <c:pt idx="156">
                  <c:v>0.83737458193979897</c:v>
                </c:pt>
                <c:pt idx="157">
                  <c:v>0.85296574770258904</c:v>
                </c:pt>
                <c:pt idx="158">
                  <c:v>0.840311986863711</c:v>
                </c:pt>
                <c:pt idx="159">
                  <c:v>0.84708333333333297</c:v>
                </c:pt>
                <c:pt idx="160">
                  <c:v>0.83346938775510204</c:v>
                </c:pt>
                <c:pt idx="161">
                  <c:v>0.84900990099009899</c:v>
                </c:pt>
                <c:pt idx="162">
                  <c:v>0.83957654723126995</c:v>
                </c:pt>
                <c:pt idx="163">
                  <c:v>0.82033762057877802</c:v>
                </c:pt>
                <c:pt idx="164">
                  <c:v>0.82185748598879105</c:v>
                </c:pt>
                <c:pt idx="165">
                  <c:v>0.83823529411764697</c:v>
                </c:pt>
                <c:pt idx="166">
                  <c:v>0.82765612327656102</c:v>
                </c:pt>
                <c:pt idx="167">
                  <c:v>0.85365853658536495</c:v>
                </c:pt>
                <c:pt idx="168">
                  <c:v>0.84283276450511901</c:v>
                </c:pt>
                <c:pt idx="169">
                  <c:v>0.82182572614107796</c:v>
                </c:pt>
                <c:pt idx="170">
                  <c:v>0.82233250620347398</c:v>
                </c:pt>
                <c:pt idx="171">
                  <c:v>0.82174643157010896</c:v>
                </c:pt>
                <c:pt idx="172">
                  <c:v>0.81857968620974397</c:v>
                </c:pt>
                <c:pt idx="173">
                  <c:v>0.83082770270270201</c:v>
                </c:pt>
                <c:pt idx="174">
                  <c:v>0.82556203164029895</c:v>
                </c:pt>
                <c:pt idx="175">
                  <c:v>0.82299999999999995</c:v>
                </c:pt>
                <c:pt idx="176">
                  <c:v>0.82812234494477399</c:v>
                </c:pt>
                <c:pt idx="177">
                  <c:v>0.81975945017182095</c:v>
                </c:pt>
                <c:pt idx="178">
                  <c:v>0.81626506024096301</c:v>
                </c:pt>
                <c:pt idx="179">
                  <c:v>0.82555555555555504</c:v>
                </c:pt>
                <c:pt idx="180">
                  <c:v>0.83927958833619198</c:v>
                </c:pt>
                <c:pt idx="181">
                  <c:v>0.82464912280701697</c:v>
                </c:pt>
                <c:pt idx="182">
                  <c:v>0.81818958155422705</c:v>
                </c:pt>
                <c:pt idx="183">
                  <c:v>0.80371935756551105</c:v>
                </c:pt>
                <c:pt idx="184">
                  <c:v>0.81775700934579398</c:v>
                </c:pt>
                <c:pt idx="185">
                  <c:v>0.82247667514843004</c:v>
                </c:pt>
                <c:pt idx="186">
                  <c:v>0.82063086104006799</c:v>
                </c:pt>
                <c:pt idx="187">
                  <c:v>0.80476190476190401</c:v>
                </c:pt>
                <c:pt idx="188">
                  <c:v>0.81313383208644996</c:v>
                </c:pt>
                <c:pt idx="189">
                  <c:v>0.79219123505976097</c:v>
                </c:pt>
                <c:pt idx="190">
                  <c:v>0.78896999188969896</c:v>
                </c:pt>
                <c:pt idx="191">
                  <c:v>0.79352226720647701</c:v>
                </c:pt>
                <c:pt idx="192">
                  <c:v>0.759692307692307</c:v>
                </c:pt>
                <c:pt idx="193">
                  <c:v>0.75691847419596103</c:v>
                </c:pt>
                <c:pt idx="194">
                  <c:v>0.76384730538922097</c:v>
                </c:pt>
                <c:pt idx="195">
                  <c:v>0.74616508400292103</c:v>
                </c:pt>
                <c:pt idx="196">
                  <c:v>0.75856929955290597</c:v>
                </c:pt>
                <c:pt idx="197">
                  <c:v>0.76664173522812196</c:v>
                </c:pt>
                <c:pt idx="198">
                  <c:v>0.77074074074073995</c:v>
                </c:pt>
                <c:pt idx="199">
                  <c:v>0.76418570375828998</c:v>
                </c:pt>
                <c:pt idx="200">
                  <c:v>0.75682471264367801</c:v>
                </c:pt>
                <c:pt idx="201">
                  <c:v>0.76688693098384697</c:v>
                </c:pt>
                <c:pt idx="202">
                  <c:v>0.75835755813953398</c:v>
                </c:pt>
                <c:pt idx="203">
                  <c:v>0.75890909090908998</c:v>
                </c:pt>
                <c:pt idx="204">
                  <c:v>0.75602629656683695</c:v>
                </c:pt>
                <c:pt idx="205">
                  <c:v>0.75562001450326299</c:v>
                </c:pt>
                <c:pt idx="206">
                  <c:v>0.76492537313432796</c:v>
                </c:pt>
                <c:pt idx="207">
                  <c:v>0.750899928005759</c:v>
                </c:pt>
                <c:pt idx="208">
                  <c:v>0.75757575757575701</c:v>
                </c:pt>
                <c:pt idx="209">
                  <c:v>0.746931407942238</c:v>
                </c:pt>
                <c:pt idx="210">
                  <c:v>0.76643730886850103</c:v>
                </c:pt>
                <c:pt idx="211">
                  <c:v>0.76237989652623706</c:v>
                </c:pt>
                <c:pt idx="212">
                  <c:v>0.77438136826783099</c:v>
                </c:pt>
                <c:pt idx="213">
                  <c:v>0.74891461649782898</c:v>
                </c:pt>
                <c:pt idx="214">
                  <c:v>0.76496034607065599</c:v>
                </c:pt>
                <c:pt idx="215">
                  <c:v>0.78507462686567098</c:v>
                </c:pt>
                <c:pt idx="216">
                  <c:v>0.78841870824053395</c:v>
                </c:pt>
                <c:pt idx="217">
                  <c:v>0.78587443946188296</c:v>
                </c:pt>
                <c:pt idx="218">
                  <c:v>0.77910447761194002</c:v>
                </c:pt>
                <c:pt idx="219">
                  <c:v>0.78219278881530496</c:v>
                </c:pt>
                <c:pt idx="220">
                  <c:v>0.78383321141185003</c:v>
                </c:pt>
                <c:pt idx="221">
                  <c:v>0.78161764705882297</c:v>
                </c:pt>
                <c:pt idx="222">
                  <c:v>0.78122690317812205</c:v>
                </c:pt>
                <c:pt idx="223">
                  <c:v>0.78502949852507298</c:v>
                </c:pt>
                <c:pt idx="224">
                  <c:v>0.77995720399429302</c:v>
                </c:pt>
                <c:pt idx="225">
                  <c:v>0.76481213872832299</c:v>
                </c:pt>
                <c:pt idx="226">
                  <c:v>0.76221735959153902</c:v>
                </c:pt>
                <c:pt idx="227">
                  <c:v>0.76988217967599404</c:v>
                </c:pt>
                <c:pt idx="228">
                  <c:v>0.76206140350877105</c:v>
                </c:pt>
                <c:pt idx="229">
                  <c:v>0.79508196721311397</c:v>
                </c:pt>
                <c:pt idx="230">
                  <c:v>0.78099173553719003</c:v>
                </c:pt>
                <c:pt idx="231">
                  <c:v>0.78335832083958001</c:v>
                </c:pt>
                <c:pt idx="232">
                  <c:v>0.76704545454545403</c:v>
                </c:pt>
                <c:pt idx="233">
                  <c:v>0.77112135176651297</c:v>
                </c:pt>
                <c:pt idx="234">
                  <c:v>0.76672012830793901</c:v>
                </c:pt>
                <c:pt idx="235">
                  <c:v>0.77451133698201702</c:v>
                </c:pt>
                <c:pt idx="236">
                  <c:v>0.77152886115444597</c:v>
                </c:pt>
                <c:pt idx="237">
                  <c:v>0.76012965964343504</c:v>
                </c:pt>
                <c:pt idx="238">
                  <c:v>0.73599999999999999</c:v>
                </c:pt>
                <c:pt idx="239">
                  <c:v>0.73580060422960702</c:v>
                </c:pt>
                <c:pt idx="240">
                  <c:v>0.73051711580480605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0.80772631133598716</c:v>
                </c:pt>
                <c:pt idx="1">
                  <c:v>0.80699906876709349</c:v>
                </c:pt>
                <c:pt idx="2">
                  <c:v>0.80691186755126576</c:v>
                </c:pt>
                <c:pt idx="3">
                  <c:v>0.80729446329551857</c:v>
                </c:pt>
                <c:pt idx="4">
                  <c:v>0.80818011001165624</c:v>
                </c:pt>
                <c:pt idx="5">
                  <c:v>0.80907391260089323</c:v>
                </c:pt>
                <c:pt idx="6">
                  <c:v>0.80988997946348573</c:v>
                </c:pt>
                <c:pt idx="7">
                  <c:v>0.81097662236751955</c:v>
                </c:pt>
                <c:pt idx="8">
                  <c:v>0.81266730310789226</c:v>
                </c:pt>
                <c:pt idx="9">
                  <c:v>0.81403848719837102</c:v>
                </c:pt>
                <c:pt idx="10">
                  <c:v>0.814956615059233</c:v>
                </c:pt>
                <c:pt idx="11">
                  <c:v>0.81673351057684185</c:v>
                </c:pt>
                <c:pt idx="12">
                  <c:v>0.81784411687763581</c:v>
                </c:pt>
                <c:pt idx="13">
                  <c:v>0.81949935362892123</c:v>
                </c:pt>
                <c:pt idx="14">
                  <c:v>0.82157764029576819</c:v>
                </c:pt>
                <c:pt idx="15">
                  <c:v>0.82124931342489438</c:v>
                </c:pt>
                <c:pt idx="16">
                  <c:v>0.82044294989791378</c:v>
                </c:pt>
                <c:pt idx="17">
                  <c:v>0.82008323821031048</c:v>
                </c:pt>
                <c:pt idx="18">
                  <c:v>0.82035169295101884</c:v>
                </c:pt>
                <c:pt idx="19">
                  <c:v>0.82019632407388265</c:v>
                </c:pt>
                <c:pt idx="20">
                  <c:v>0.82023570721590155</c:v>
                </c:pt>
                <c:pt idx="21">
                  <c:v>0.81996860190138487</c:v>
                </c:pt>
                <c:pt idx="22">
                  <c:v>0.81870295471121846</c:v>
                </c:pt>
                <c:pt idx="23">
                  <c:v>0.8181595145275522</c:v>
                </c:pt>
                <c:pt idx="24">
                  <c:v>0.81817084188207212</c:v>
                </c:pt>
                <c:pt idx="25">
                  <c:v>0.81832971359808693</c:v>
                </c:pt>
                <c:pt idx="26">
                  <c:v>0.81826865309322994</c:v>
                </c:pt>
                <c:pt idx="27">
                  <c:v>0.81826523740130019</c:v>
                </c:pt>
                <c:pt idx="28">
                  <c:v>0.81826235941022896</c:v>
                </c:pt>
                <c:pt idx="29">
                  <c:v>0.81822550257292115</c:v>
                </c:pt>
                <c:pt idx="30">
                  <c:v>0.81823078868131704</c:v>
                </c:pt>
                <c:pt idx="31">
                  <c:v>0.8183024779974708</c:v>
                </c:pt>
                <c:pt idx="32">
                  <c:v>0.8178930533283052</c:v>
                </c:pt>
                <c:pt idx="33">
                  <c:v>0.81771454662393561</c:v>
                </c:pt>
                <c:pt idx="34">
                  <c:v>0.816566143789902</c:v>
                </c:pt>
                <c:pt idx="35">
                  <c:v>0.81476460557148378</c:v>
                </c:pt>
                <c:pt idx="36">
                  <c:v>0.81487189321800946</c:v>
                </c:pt>
                <c:pt idx="37">
                  <c:v>0.81497742495301029</c:v>
                </c:pt>
                <c:pt idx="38">
                  <c:v>0.81465257196822882</c:v>
                </c:pt>
                <c:pt idx="39">
                  <c:v>0.81489165864069357</c:v>
                </c:pt>
                <c:pt idx="40">
                  <c:v>0.81524325045753043</c:v>
                </c:pt>
                <c:pt idx="41">
                  <c:v>0.8151014086259496</c:v>
                </c:pt>
                <c:pt idx="42">
                  <c:v>0.81473863922326883</c:v>
                </c:pt>
                <c:pt idx="43">
                  <c:v>0.81469729287873793</c:v>
                </c:pt>
                <c:pt idx="44">
                  <c:v>0.81450485016862018</c:v>
                </c:pt>
                <c:pt idx="45">
                  <c:v>0.81453332453090732</c:v>
                </c:pt>
                <c:pt idx="46">
                  <c:v>0.81452558347978665</c:v>
                </c:pt>
                <c:pt idx="47">
                  <c:v>0.81445288954359618</c:v>
                </c:pt>
                <c:pt idx="48">
                  <c:v>0.81450855401393596</c:v>
                </c:pt>
                <c:pt idx="49">
                  <c:v>0.81472266096519319</c:v>
                </c:pt>
                <c:pt idx="50">
                  <c:v>0.81472441798011042</c:v>
                </c:pt>
                <c:pt idx="51">
                  <c:v>0.81461162201506876</c:v>
                </c:pt>
                <c:pt idx="52">
                  <c:v>0.81461100964748323</c:v>
                </c:pt>
                <c:pt idx="53">
                  <c:v>0.81458160211396835</c:v>
                </c:pt>
                <c:pt idx="54">
                  <c:v>0.81462811937152257</c:v>
                </c:pt>
                <c:pt idx="55">
                  <c:v>0.81464185633777786</c:v>
                </c:pt>
                <c:pt idx="56">
                  <c:v>0.81464067373892302</c:v>
                </c:pt>
                <c:pt idx="57">
                  <c:v>0.81464841120831377</c:v>
                </c:pt>
                <c:pt idx="58">
                  <c:v>0.81487541124090224</c:v>
                </c:pt>
                <c:pt idx="59">
                  <c:v>0.81492800235780527</c:v>
                </c:pt>
                <c:pt idx="60">
                  <c:v>0.815029110849813</c:v>
                </c:pt>
                <c:pt idx="61">
                  <c:v>0.81506194398574006</c:v>
                </c:pt>
                <c:pt idx="62">
                  <c:v>0.81525604753387904</c:v>
                </c:pt>
                <c:pt idx="63">
                  <c:v>0.81521589961001073</c:v>
                </c:pt>
                <c:pt idx="64">
                  <c:v>0.81510615435001699</c:v>
                </c:pt>
                <c:pt idx="65">
                  <c:v>0.81510451766634906</c:v>
                </c:pt>
                <c:pt idx="66">
                  <c:v>0.81512957266859876</c:v>
                </c:pt>
                <c:pt idx="67">
                  <c:v>0.8151255496692138</c:v>
                </c:pt>
                <c:pt idx="68">
                  <c:v>0.81510678040269302</c:v>
                </c:pt>
                <c:pt idx="69">
                  <c:v>0.81484685116175748</c:v>
                </c:pt>
                <c:pt idx="70">
                  <c:v>0.81458504507263885</c:v>
                </c:pt>
                <c:pt idx="71">
                  <c:v>0.81424885291324645</c:v>
                </c:pt>
                <c:pt idx="72">
                  <c:v>0.81432224183697</c:v>
                </c:pt>
                <c:pt idx="73">
                  <c:v>0.81426098037796146</c:v>
                </c:pt>
                <c:pt idx="74">
                  <c:v>0.81456816335867921</c:v>
                </c:pt>
                <c:pt idx="75">
                  <c:v>0.81633662140429197</c:v>
                </c:pt>
                <c:pt idx="76">
                  <c:v>0.81589584612178778</c:v>
                </c:pt>
                <c:pt idx="77">
                  <c:v>0.81521111878256458</c:v>
                </c:pt>
                <c:pt idx="78">
                  <c:v>0.81406614637853181</c:v>
                </c:pt>
                <c:pt idx="79">
                  <c:v>0.8133544724134224</c:v>
                </c:pt>
                <c:pt idx="80">
                  <c:v>0.81478872966337523</c:v>
                </c:pt>
                <c:pt idx="81">
                  <c:v>0.8164986384189995</c:v>
                </c:pt>
                <c:pt idx="82">
                  <c:v>0.81883106929837735</c:v>
                </c:pt>
                <c:pt idx="83">
                  <c:v>0.82179536129831399</c:v>
                </c:pt>
                <c:pt idx="84">
                  <c:v>0.82387589967157271</c:v>
                </c:pt>
                <c:pt idx="85">
                  <c:v>0.8268689008217216</c:v>
                </c:pt>
                <c:pt idx="86">
                  <c:v>0.8279600697799433</c:v>
                </c:pt>
                <c:pt idx="87">
                  <c:v>0.83064785570574418</c:v>
                </c:pt>
                <c:pt idx="88">
                  <c:v>0.83180612906775553</c:v>
                </c:pt>
                <c:pt idx="89">
                  <c:v>0.83128049224975142</c:v>
                </c:pt>
                <c:pt idx="90">
                  <c:v>0.83265468183343805</c:v>
                </c:pt>
                <c:pt idx="91">
                  <c:v>0.83523168261106817</c:v>
                </c:pt>
                <c:pt idx="92">
                  <c:v>0.83700778457741132</c:v>
                </c:pt>
                <c:pt idx="93">
                  <c:v>0.84017982564655003</c:v>
                </c:pt>
                <c:pt idx="94">
                  <c:v>0.84255035000317635</c:v>
                </c:pt>
                <c:pt idx="95">
                  <c:v>0.84370723700997319</c:v>
                </c:pt>
                <c:pt idx="96">
                  <c:v>0.84454006598091058</c:v>
                </c:pt>
                <c:pt idx="97">
                  <c:v>0.84557712600396739</c:v>
                </c:pt>
                <c:pt idx="98">
                  <c:v>0.84653820768372068</c:v>
                </c:pt>
                <c:pt idx="99">
                  <c:v>0.84793300639832681</c:v>
                </c:pt>
                <c:pt idx="100">
                  <c:v>0.84866430181861063</c:v>
                </c:pt>
                <c:pt idx="101">
                  <c:v>0.84938236974244552</c:v>
                </c:pt>
                <c:pt idx="102">
                  <c:v>0.85047383499944618</c:v>
                </c:pt>
                <c:pt idx="103">
                  <c:v>0.85120461325161501</c:v>
                </c:pt>
                <c:pt idx="104">
                  <c:v>0.85179434983410407</c:v>
                </c:pt>
                <c:pt idx="105">
                  <c:v>0.85271365859312009</c:v>
                </c:pt>
                <c:pt idx="106">
                  <c:v>0.85385030133056783</c:v>
                </c:pt>
                <c:pt idx="107">
                  <c:v>0.85464478296255653</c:v>
                </c:pt>
                <c:pt idx="108">
                  <c:v>0.85523091296134779</c:v>
                </c:pt>
                <c:pt idx="109">
                  <c:v>0.85545682982025917</c:v>
                </c:pt>
                <c:pt idx="110">
                  <c:v>0.85599792119927942</c:v>
                </c:pt>
                <c:pt idx="111">
                  <c:v>0.85669588455103718</c:v>
                </c:pt>
                <c:pt idx="112">
                  <c:v>0.85732532718398624</c:v>
                </c:pt>
                <c:pt idx="113">
                  <c:v>0.85752932368880641</c:v>
                </c:pt>
                <c:pt idx="114">
                  <c:v>0.8579157111447766</c:v>
                </c:pt>
                <c:pt idx="115">
                  <c:v>0.85793395731269739</c:v>
                </c:pt>
                <c:pt idx="116">
                  <c:v>0.85790242212441514</c:v>
                </c:pt>
                <c:pt idx="117">
                  <c:v>0.85784494526745547</c:v>
                </c:pt>
                <c:pt idx="118">
                  <c:v>0.85800336840602143</c:v>
                </c:pt>
                <c:pt idx="119">
                  <c:v>0.85821030908613283</c:v>
                </c:pt>
                <c:pt idx="120">
                  <c:v>0.85807195877368936</c:v>
                </c:pt>
                <c:pt idx="121">
                  <c:v>0.85869321990081215</c:v>
                </c:pt>
                <c:pt idx="122">
                  <c:v>0.85893630463041526</c:v>
                </c:pt>
                <c:pt idx="123">
                  <c:v>0.85905207855569821</c:v>
                </c:pt>
                <c:pt idx="124">
                  <c:v>0.85911821896671459</c:v>
                </c:pt>
                <c:pt idx="125">
                  <c:v>0.85920791295268895</c:v>
                </c:pt>
                <c:pt idx="126">
                  <c:v>0.85942141570038522</c:v>
                </c:pt>
                <c:pt idx="127">
                  <c:v>0.85939836218180754</c:v>
                </c:pt>
                <c:pt idx="128">
                  <c:v>0.85932112122931981</c:v>
                </c:pt>
                <c:pt idx="129">
                  <c:v>0.85928385999857582</c:v>
                </c:pt>
                <c:pt idx="130">
                  <c:v>0.85938359412684928</c:v>
                </c:pt>
                <c:pt idx="131">
                  <c:v>0.85961866514888063</c:v>
                </c:pt>
                <c:pt idx="132">
                  <c:v>0.85967304371482878</c:v>
                </c:pt>
                <c:pt idx="133">
                  <c:v>0.86008080657381747</c:v>
                </c:pt>
                <c:pt idx="134">
                  <c:v>0.86030926130442442</c:v>
                </c:pt>
                <c:pt idx="135">
                  <c:v>0.86078770779581837</c:v>
                </c:pt>
                <c:pt idx="136">
                  <c:v>0.86086561443676879</c:v>
                </c:pt>
                <c:pt idx="137">
                  <c:v>0.86096865698573599</c:v>
                </c:pt>
                <c:pt idx="138">
                  <c:v>0.86091274612174939</c:v>
                </c:pt>
                <c:pt idx="139">
                  <c:v>0.86116415815981595</c:v>
                </c:pt>
                <c:pt idx="140">
                  <c:v>0.86120224196219175</c:v>
                </c:pt>
                <c:pt idx="141">
                  <c:v>0.86119526123996015</c:v>
                </c:pt>
                <c:pt idx="142">
                  <c:v>0.86117630421540381</c:v>
                </c:pt>
                <c:pt idx="143">
                  <c:v>0.86106348131251687</c:v>
                </c:pt>
                <c:pt idx="144">
                  <c:v>0.86101940186734383</c:v>
                </c:pt>
                <c:pt idx="145">
                  <c:v>0.86097346584782253</c:v>
                </c:pt>
                <c:pt idx="146">
                  <c:v>0.86097671012195043</c:v>
                </c:pt>
                <c:pt idx="147">
                  <c:v>0.86097236273024658</c:v>
                </c:pt>
                <c:pt idx="148">
                  <c:v>0.860965241425515</c:v>
                </c:pt>
                <c:pt idx="149">
                  <c:v>0.86092875402138325</c:v>
                </c:pt>
                <c:pt idx="150">
                  <c:v>0.86032753633122883</c:v>
                </c:pt>
                <c:pt idx="151">
                  <c:v>0.86027469877030016</c:v>
                </c:pt>
                <c:pt idx="152">
                  <c:v>0.86029318398623622</c:v>
                </c:pt>
                <c:pt idx="153">
                  <c:v>0.86023168193129085</c:v>
                </c:pt>
                <c:pt idx="154">
                  <c:v>0.86036801559174925</c:v>
                </c:pt>
                <c:pt idx="155">
                  <c:v>0.85974018812042696</c:v>
                </c:pt>
                <c:pt idx="156">
                  <c:v>0.8588652859263074</c:v>
                </c:pt>
                <c:pt idx="157">
                  <c:v>0.8574392115034124</c:v>
                </c:pt>
                <c:pt idx="158">
                  <c:v>0.85511180436801404</c:v>
                </c:pt>
                <c:pt idx="159">
                  <c:v>0.85341813124523835</c:v>
                </c:pt>
                <c:pt idx="160">
                  <c:v>0.85128267911900979</c:v>
                </c:pt>
                <c:pt idx="161">
                  <c:v>0.84980917592679739</c:v>
                </c:pt>
                <c:pt idx="162">
                  <c:v>0.84734882766265307</c:v>
                </c:pt>
                <c:pt idx="163">
                  <c:v>0.84548923637097184</c:v>
                </c:pt>
                <c:pt idx="164">
                  <c:v>0.84512882436824255</c:v>
                </c:pt>
                <c:pt idx="165">
                  <c:v>0.84460979544903936</c:v>
                </c:pt>
                <c:pt idx="166">
                  <c:v>0.84328303421320439</c:v>
                </c:pt>
                <c:pt idx="167">
                  <c:v>0.84208108292252337</c:v>
                </c:pt>
                <c:pt idx="168">
                  <c:v>0.83885052129312421</c:v>
                </c:pt>
                <c:pt idx="169">
                  <c:v>0.83633019749286841</c:v>
                </c:pt>
                <c:pt idx="170">
                  <c:v>0.83493990012300134</c:v>
                </c:pt>
                <c:pt idx="171">
                  <c:v>0.83362149981092504</c:v>
                </c:pt>
                <c:pt idx="172">
                  <c:v>0.83246421560791484</c:v>
                </c:pt>
                <c:pt idx="173">
                  <c:v>0.83177587978204948</c:v>
                </c:pt>
                <c:pt idx="174">
                  <c:v>0.83009816218162635</c:v>
                </c:pt>
                <c:pt idx="175">
                  <c:v>0.82862346046024526</c:v>
                </c:pt>
                <c:pt idx="176">
                  <c:v>0.82703973068087544</c:v>
                </c:pt>
                <c:pt idx="177">
                  <c:v>0.82486668955941322</c:v>
                </c:pt>
                <c:pt idx="178">
                  <c:v>0.82342149082075322</c:v>
                </c:pt>
                <c:pt idx="179">
                  <c:v>0.82244225727135167</c:v>
                </c:pt>
                <c:pt idx="180">
                  <c:v>0.82049170007659344</c:v>
                </c:pt>
                <c:pt idx="181">
                  <c:v>0.81750536018758302</c:v>
                </c:pt>
                <c:pt idx="182">
                  <c:v>0.81624756888965577</c:v>
                </c:pt>
                <c:pt idx="183">
                  <c:v>0.8158806907758327</c:v>
                </c:pt>
                <c:pt idx="184">
                  <c:v>0.81641440031486734</c:v>
                </c:pt>
                <c:pt idx="185">
                  <c:v>0.81609601306854829</c:v>
                </c:pt>
                <c:pt idx="186">
                  <c:v>0.8154977388318746</c:v>
                </c:pt>
                <c:pt idx="187">
                  <c:v>0.81536042476970128</c:v>
                </c:pt>
                <c:pt idx="188">
                  <c:v>0.8159747441348022</c:v>
                </c:pt>
                <c:pt idx="189">
                  <c:v>0.81748427127609613</c:v>
                </c:pt>
                <c:pt idx="190">
                  <c:v>0.81965723020318815</c:v>
                </c:pt>
                <c:pt idx="191">
                  <c:v>0.82260756493149978</c:v>
                </c:pt>
                <c:pt idx="192">
                  <c:v>0.82457779444050938</c:v>
                </c:pt>
                <c:pt idx="193">
                  <c:v>0.82751891875567662</c:v>
                </c:pt>
                <c:pt idx="194">
                  <c:v>0.82973024648249827</c:v>
                </c:pt>
                <c:pt idx="195">
                  <c:v>0.83151053763502625</c:v>
                </c:pt>
                <c:pt idx="196">
                  <c:v>0.83283648290201995</c:v>
                </c:pt>
                <c:pt idx="197">
                  <c:v>0.83444484873144842</c:v>
                </c:pt>
                <c:pt idx="198">
                  <c:v>0.83516688177670284</c:v>
                </c:pt>
                <c:pt idx="199">
                  <c:v>0.83563744810082774</c:v>
                </c:pt>
                <c:pt idx="200">
                  <c:v>0.83583000466059665</c:v>
                </c:pt>
                <c:pt idx="201">
                  <c:v>0.83517361941420465</c:v>
                </c:pt>
                <c:pt idx="202">
                  <c:v>0.83416600161001475</c:v>
                </c:pt>
                <c:pt idx="203">
                  <c:v>0.83335439103120457</c:v>
                </c:pt>
                <c:pt idx="204">
                  <c:v>0.83251551209597374</c:v>
                </c:pt>
                <c:pt idx="205">
                  <c:v>0.83173315761717015</c:v>
                </c:pt>
                <c:pt idx="206">
                  <c:v>0.83130348917018659</c:v>
                </c:pt>
                <c:pt idx="207">
                  <c:v>0.83093570221171098</c:v>
                </c:pt>
                <c:pt idx="208">
                  <c:v>0.83098352038487588</c:v>
                </c:pt>
                <c:pt idx="209">
                  <c:v>0.83069357212385975</c:v>
                </c:pt>
                <c:pt idx="210">
                  <c:v>0.83043430783243555</c:v>
                </c:pt>
                <c:pt idx="211">
                  <c:v>0.82930571680740039</c:v>
                </c:pt>
                <c:pt idx="212">
                  <c:v>0.82833451685205095</c:v>
                </c:pt>
                <c:pt idx="213">
                  <c:v>0.82677233043732201</c:v>
                </c:pt>
                <c:pt idx="214">
                  <c:v>0.82591337058566594</c:v>
                </c:pt>
                <c:pt idx="215">
                  <c:v>0.82460075253114373</c:v>
                </c:pt>
                <c:pt idx="216">
                  <c:v>0.82224369162679745</c:v>
                </c:pt>
                <c:pt idx="217">
                  <c:v>0.81948465556350314</c:v>
                </c:pt>
                <c:pt idx="218">
                  <c:v>0.81677072229221959</c:v>
                </c:pt>
                <c:pt idx="219">
                  <c:v>0.8143219548003231</c:v>
                </c:pt>
                <c:pt idx="220">
                  <c:v>0.81189566092628818</c:v>
                </c:pt>
                <c:pt idx="221">
                  <c:v>0.80936821234760159</c:v>
                </c:pt>
                <c:pt idx="222">
                  <c:v>0.80667744308866773</c:v>
                </c:pt>
                <c:pt idx="223">
                  <c:v>0.8040403310642944</c:v>
                </c:pt>
                <c:pt idx="224">
                  <c:v>0.80143350259689639</c:v>
                </c:pt>
                <c:pt idx="225">
                  <c:v>0.79899430428440021</c:v>
                </c:pt>
                <c:pt idx="226">
                  <c:v>0.79746447725698555</c:v>
                </c:pt>
                <c:pt idx="227">
                  <c:v>0.79635508874762639</c:v>
                </c:pt>
                <c:pt idx="228">
                  <c:v>0.79519515290280796</c:v>
                </c:pt>
                <c:pt idx="229">
                  <c:v>0.79482380779558892</c:v>
                </c:pt>
                <c:pt idx="230">
                  <c:v>0.79313444131289101</c:v>
                </c:pt>
                <c:pt idx="231">
                  <c:v>0.7929172261434988</c:v>
                </c:pt>
                <c:pt idx="232">
                  <c:v>0.79226570609566349</c:v>
                </c:pt>
                <c:pt idx="233">
                  <c:v>0.79259302712669055</c:v>
                </c:pt>
                <c:pt idx="234">
                  <c:v>0.79288642035851586</c:v>
                </c:pt>
                <c:pt idx="235">
                  <c:v>0.79285219997741985</c:v>
                </c:pt>
                <c:pt idx="236">
                  <c:v>0.79372730138324077</c:v>
                </c:pt>
                <c:pt idx="237">
                  <c:v>0.79541450815379344</c:v>
                </c:pt>
                <c:pt idx="238">
                  <c:v>0.79767892782267613</c:v>
                </c:pt>
                <c:pt idx="239">
                  <c:v>0.80026869292144609</c:v>
                </c:pt>
                <c:pt idx="240">
                  <c:v>0.80331504084029737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0.72598634577070675</c:v>
                </c:pt>
                <c:pt idx="1">
                  <c:v>0.72892735201680658</c:v>
                </c:pt>
                <c:pt idx="2">
                  <c:v>0.73113467057005821</c:v>
                </c:pt>
                <c:pt idx="3">
                  <c:v>0.73305520135243141</c:v>
                </c:pt>
                <c:pt idx="4">
                  <c:v>0.73378653158876384</c:v>
                </c:pt>
                <c:pt idx="5">
                  <c:v>0.73405949860950881</c:v>
                </c:pt>
                <c:pt idx="6">
                  <c:v>0.73395566661977818</c:v>
                </c:pt>
                <c:pt idx="7">
                  <c:v>0.7336158842577124</c:v>
                </c:pt>
                <c:pt idx="8">
                  <c:v>0.73276174706515385</c:v>
                </c:pt>
                <c:pt idx="9">
                  <c:v>0.73229655297073104</c:v>
                </c:pt>
                <c:pt idx="10">
                  <c:v>0.73222216666281292</c:v>
                </c:pt>
                <c:pt idx="11">
                  <c:v>0.73194732860504219</c:v>
                </c:pt>
                <c:pt idx="12">
                  <c:v>0.7316510705499002</c:v>
                </c:pt>
                <c:pt idx="13">
                  <c:v>0.73085997629225474</c:v>
                </c:pt>
                <c:pt idx="14">
                  <c:v>0.72980605544771171</c:v>
                </c:pt>
                <c:pt idx="15">
                  <c:v>0.72986236774308355</c:v>
                </c:pt>
                <c:pt idx="16">
                  <c:v>0.72977467373955829</c:v>
                </c:pt>
                <c:pt idx="17">
                  <c:v>0.72931287430341563</c:v>
                </c:pt>
                <c:pt idx="18">
                  <c:v>0.72824962626077117</c:v>
                </c:pt>
                <c:pt idx="19">
                  <c:v>0.72745010493865936</c:v>
                </c:pt>
                <c:pt idx="20">
                  <c:v>0.72717846569713041</c:v>
                </c:pt>
                <c:pt idx="21">
                  <c:v>0.72604950450744921</c:v>
                </c:pt>
                <c:pt idx="22">
                  <c:v>0.72586751650114556</c:v>
                </c:pt>
                <c:pt idx="23">
                  <c:v>0.7256841748640197</c:v>
                </c:pt>
                <c:pt idx="24">
                  <c:v>0.72557924443521982</c:v>
                </c:pt>
                <c:pt idx="25">
                  <c:v>0.72516819101608898</c:v>
                </c:pt>
                <c:pt idx="26">
                  <c:v>0.72532786970146401</c:v>
                </c:pt>
                <c:pt idx="27">
                  <c:v>0.72535837711346374</c:v>
                </c:pt>
                <c:pt idx="28">
                  <c:v>0.72531928428125103</c:v>
                </c:pt>
                <c:pt idx="29">
                  <c:v>0.72565117103196475</c:v>
                </c:pt>
                <c:pt idx="30">
                  <c:v>0.72575433988962501</c:v>
                </c:pt>
                <c:pt idx="31">
                  <c:v>0.72507018386619526</c:v>
                </c:pt>
                <c:pt idx="32">
                  <c:v>0.72489876987556479</c:v>
                </c:pt>
                <c:pt idx="33">
                  <c:v>0.72482245413599034</c:v>
                </c:pt>
                <c:pt idx="34">
                  <c:v>0.72522094308597806</c:v>
                </c:pt>
                <c:pt idx="35">
                  <c:v>0.72585306324119825</c:v>
                </c:pt>
                <c:pt idx="36">
                  <c:v>0.72636701357121658</c:v>
                </c:pt>
                <c:pt idx="37">
                  <c:v>0.72712114573339182</c:v>
                </c:pt>
                <c:pt idx="38">
                  <c:v>0.72885329460130321</c:v>
                </c:pt>
                <c:pt idx="39">
                  <c:v>0.72967240760150642</c:v>
                </c:pt>
                <c:pt idx="40">
                  <c:v>0.73040730494982364</c:v>
                </c:pt>
                <c:pt idx="41">
                  <c:v>0.73137904998611836</c:v>
                </c:pt>
                <c:pt idx="42">
                  <c:v>0.73258564241957524</c:v>
                </c:pt>
                <c:pt idx="43">
                  <c:v>0.73299595598100797</c:v>
                </c:pt>
                <c:pt idx="44">
                  <c:v>0.73374287689266182</c:v>
                </c:pt>
                <c:pt idx="45">
                  <c:v>0.73355216127108858</c:v>
                </c:pt>
                <c:pt idx="46">
                  <c:v>0.73425551658458343</c:v>
                </c:pt>
                <c:pt idx="47">
                  <c:v>0.73499360421487381</c:v>
                </c:pt>
                <c:pt idx="48">
                  <c:v>0.73563259091055599</c:v>
                </c:pt>
                <c:pt idx="49">
                  <c:v>0.73597580838308474</c:v>
                </c:pt>
                <c:pt idx="50">
                  <c:v>0.73625002940005169</c:v>
                </c:pt>
                <c:pt idx="51">
                  <c:v>0.73681323250744724</c:v>
                </c:pt>
                <c:pt idx="52">
                  <c:v>0.73682632755490074</c:v>
                </c:pt>
                <c:pt idx="53">
                  <c:v>0.73622713175032362</c:v>
                </c:pt>
                <c:pt idx="54">
                  <c:v>0.73599213530561935</c:v>
                </c:pt>
                <c:pt idx="55">
                  <c:v>0.73588806719755817</c:v>
                </c:pt>
                <c:pt idx="56">
                  <c:v>0.736093651884001</c:v>
                </c:pt>
                <c:pt idx="57">
                  <c:v>0.73620197799048415</c:v>
                </c:pt>
                <c:pt idx="58">
                  <c:v>0.73649042193572378</c:v>
                </c:pt>
                <c:pt idx="59">
                  <c:v>0.73656650204779084</c:v>
                </c:pt>
                <c:pt idx="60">
                  <c:v>0.73675494260198693</c:v>
                </c:pt>
                <c:pt idx="61">
                  <c:v>0.73726543731373595</c:v>
                </c:pt>
                <c:pt idx="62">
                  <c:v>0.73728627681925096</c:v>
                </c:pt>
                <c:pt idx="63">
                  <c:v>0.7371362847113252</c:v>
                </c:pt>
                <c:pt idx="64">
                  <c:v>0.73674880825719502</c:v>
                </c:pt>
                <c:pt idx="65">
                  <c:v>0.73688965948035101</c:v>
                </c:pt>
                <c:pt idx="66">
                  <c:v>0.73712361643553725</c:v>
                </c:pt>
                <c:pt idx="67">
                  <c:v>0.73730138522860011</c:v>
                </c:pt>
                <c:pt idx="68">
                  <c:v>0.73739436706328099</c:v>
                </c:pt>
                <c:pt idx="69">
                  <c:v>0.73722740170291456</c:v>
                </c:pt>
                <c:pt idx="70">
                  <c:v>0.73706554252445322</c:v>
                </c:pt>
                <c:pt idx="71">
                  <c:v>0.73708305094104365</c:v>
                </c:pt>
                <c:pt idx="72">
                  <c:v>0.73709467562087805</c:v>
                </c:pt>
                <c:pt idx="73">
                  <c:v>0.73709726625866656</c:v>
                </c:pt>
                <c:pt idx="74">
                  <c:v>0.73709871480839073</c:v>
                </c:pt>
                <c:pt idx="75">
                  <c:v>0.73642434577221993</c:v>
                </c:pt>
                <c:pt idx="76">
                  <c:v>0.73603313073290821</c:v>
                </c:pt>
                <c:pt idx="77">
                  <c:v>0.73580161431279945</c:v>
                </c:pt>
                <c:pt idx="78">
                  <c:v>0.73582208812636629</c:v>
                </c:pt>
                <c:pt idx="79">
                  <c:v>0.73602351217547757</c:v>
                </c:pt>
                <c:pt idx="80">
                  <c:v>0.73521655153087473</c:v>
                </c:pt>
                <c:pt idx="81">
                  <c:v>0.7342547097147184</c:v>
                </c:pt>
                <c:pt idx="82">
                  <c:v>0.73280128729491056</c:v>
                </c:pt>
                <c:pt idx="83">
                  <c:v>0.73076697653258393</c:v>
                </c:pt>
                <c:pt idx="84">
                  <c:v>0.72948392199798939</c:v>
                </c:pt>
                <c:pt idx="85">
                  <c:v>0.72771205071653844</c:v>
                </c:pt>
                <c:pt idx="86">
                  <c:v>0.72707526489087859</c:v>
                </c:pt>
                <c:pt idx="87">
                  <c:v>0.72547375711862583</c:v>
                </c:pt>
                <c:pt idx="88">
                  <c:v>0.72478152501611437</c:v>
                </c:pt>
                <c:pt idx="89">
                  <c:v>0.72507295642130853</c:v>
                </c:pt>
                <c:pt idx="90">
                  <c:v>0.72463601578852599</c:v>
                </c:pt>
                <c:pt idx="91">
                  <c:v>0.72393955409054178</c:v>
                </c:pt>
                <c:pt idx="92">
                  <c:v>0.72401852450248261</c:v>
                </c:pt>
                <c:pt idx="93">
                  <c:v>0.72386547298038395</c:v>
                </c:pt>
                <c:pt idx="94">
                  <c:v>0.72401410822659362</c:v>
                </c:pt>
                <c:pt idx="95">
                  <c:v>0.72466965796491878</c:v>
                </c:pt>
                <c:pt idx="96">
                  <c:v>0.72603322899693734</c:v>
                </c:pt>
                <c:pt idx="97">
                  <c:v>0.72679630220074254</c:v>
                </c:pt>
                <c:pt idx="98">
                  <c:v>0.72728494879236738</c:v>
                </c:pt>
                <c:pt idx="99">
                  <c:v>0.72789149618696314</c:v>
                </c:pt>
                <c:pt idx="100">
                  <c:v>0.7294192891721234</c:v>
                </c:pt>
                <c:pt idx="101">
                  <c:v>0.73071221061869041</c:v>
                </c:pt>
                <c:pt idx="102">
                  <c:v>0.73149684535911386</c:v>
                </c:pt>
                <c:pt idx="103">
                  <c:v>0.7323332061638691</c:v>
                </c:pt>
                <c:pt idx="104">
                  <c:v>0.73316641613939604</c:v>
                </c:pt>
                <c:pt idx="105">
                  <c:v>0.73390030267217798</c:v>
                </c:pt>
                <c:pt idx="106">
                  <c:v>0.73525026906284818</c:v>
                </c:pt>
                <c:pt idx="107">
                  <c:v>0.73603523646908342</c:v>
                </c:pt>
                <c:pt idx="108">
                  <c:v>0.73670180493517012</c:v>
                </c:pt>
                <c:pt idx="109">
                  <c:v>0.73708780534153684</c:v>
                </c:pt>
                <c:pt idx="110">
                  <c:v>0.73776369553616861</c:v>
                </c:pt>
                <c:pt idx="111">
                  <c:v>0.73833567549051271</c:v>
                </c:pt>
                <c:pt idx="112">
                  <c:v>0.73882607604584183</c:v>
                </c:pt>
                <c:pt idx="113">
                  <c:v>0.73923109794108366</c:v>
                </c:pt>
                <c:pt idx="114">
                  <c:v>0.73956827934075342</c:v>
                </c:pt>
                <c:pt idx="115">
                  <c:v>0.73963044778969067</c:v>
                </c:pt>
                <c:pt idx="116">
                  <c:v>0.7400489846537408</c:v>
                </c:pt>
                <c:pt idx="117">
                  <c:v>0.7407339436375926</c:v>
                </c:pt>
                <c:pt idx="118">
                  <c:v>0.74035034365701058</c:v>
                </c:pt>
                <c:pt idx="119">
                  <c:v>0.73986977596400516</c:v>
                </c:pt>
                <c:pt idx="120">
                  <c:v>0.74018048198696862</c:v>
                </c:pt>
                <c:pt idx="121">
                  <c:v>0.73873810565635778</c:v>
                </c:pt>
                <c:pt idx="122">
                  <c:v>0.73806037154180282</c:v>
                </c:pt>
                <c:pt idx="123">
                  <c:v>0.73759873320965774</c:v>
                </c:pt>
                <c:pt idx="124">
                  <c:v>0.73719561143177548</c:v>
                </c:pt>
                <c:pt idx="125">
                  <c:v>0.73692709332224504</c:v>
                </c:pt>
                <c:pt idx="126">
                  <c:v>0.73637862384738684</c:v>
                </c:pt>
                <c:pt idx="127">
                  <c:v>0.73644475302033841</c:v>
                </c:pt>
                <c:pt idx="128">
                  <c:v>0.73661340679082021</c:v>
                </c:pt>
                <c:pt idx="129">
                  <c:v>0.73669709333666222</c:v>
                </c:pt>
                <c:pt idx="130">
                  <c:v>0.73647099046203279</c:v>
                </c:pt>
                <c:pt idx="131">
                  <c:v>0.73587369209814146</c:v>
                </c:pt>
                <c:pt idx="132">
                  <c:v>0.73570882904776114</c:v>
                </c:pt>
                <c:pt idx="133">
                  <c:v>0.73441705948995462</c:v>
                </c:pt>
                <c:pt idx="134">
                  <c:v>0.73368824400898769</c:v>
                </c:pt>
                <c:pt idx="135">
                  <c:v>0.73237340935270367</c:v>
                </c:pt>
                <c:pt idx="136">
                  <c:v>0.73199677090683912</c:v>
                </c:pt>
                <c:pt idx="137">
                  <c:v>0.73120798591603209</c:v>
                </c:pt>
                <c:pt idx="138">
                  <c:v>0.73146008983552457</c:v>
                </c:pt>
                <c:pt idx="139">
                  <c:v>0.73087926475383203</c:v>
                </c:pt>
                <c:pt idx="140">
                  <c:v>0.73074527815251622</c:v>
                </c:pt>
                <c:pt idx="141">
                  <c:v>0.73107308950420979</c:v>
                </c:pt>
                <c:pt idx="142">
                  <c:v>0.7316035491284042</c:v>
                </c:pt>
                <c:pt idx="143">
                  <c:v>0.73232674822539723</c:v>
                </c:pt>
                <c:pt idx="144">
                  <c:v>0.73260684791928421</c:v>
                </c:pt>
                <c:pt idx="145">
                  <c:v>0.73297059393149744</c:v>
                </c:pt>
                <c:pt idx="146">
                  <c:v>0.73305622379084767</c:v>
                </c:pt>
                <c:pt idx="147">
                  <c:v>0.73298925922429348</c:v>
                </c:pt>
                <c:pt idx="148">
                  <c:v>0.73289322273046908</c:v>
                </c:pt>
                <c:pt idx="149">
                  <c:v>0.73276737744208886</c:v>
                </c:pt>
                <c:pt idx="150">
                  <c:v>0.73233856706089928</c:v>
                </c:pt>
                <c:pt idx="151">
                  <c:v>0.73248859464950578</c:v>
                </c:pt>
                <c:pt idx="152">
                  <c:v>0.73243644545391584</c:v>
                </c:pt>
                <c:pt idx="153">
                  <c:v>0.73264539118054117</c:v>
                </c:pt>
                <c:pt idx="154">
                  <c:v>0.73196003967632683</c:v>
                </c:pt>
                <c:pt idx="155">
                  <c:v>0.73187953839861297</c:v>
                </c:pt>
                <c:pt idx="156">
                  <c:v>0.7315719081980786</c:v>
                </c:pt>
                <c:pt idx="157">
                  <c:v>0.7315575489916355</c:v>
                </c:pt>
                <c:pt idx="158">
                  <c:v>0.73159374830950996</c:v>
                </c:pt>
                <c:pt idx="159">
                  <c:v>0.73144233782969359</c:v>
                </c:pt>
                <c:pt idx="160">
                  <c:v>0.73143477115524425</c:v>
                </c:pt>
                <c:pt idx="161">
                  <c:v>0.73133605966017456</c:v>
                </c:pt>
                <c:pt idx="162">
                  <c:v>0.73173024686203503</c:v>
                </c:pt>
                <c:pt idx="163">
                  <c:v>0.73147125448470618</c:v>
                </c:pt>
                <c:pt idx="164">
                  <c:v>0.72958266327200139</c:v>
                </c:pt>
                <c:pt idx="165">
                  <c:v>0.72780684201096058</c:v>
                </c:pt>
                <c:pt idx="166">
                  <c:v>0.72626111849178565</c:v>
                </c:pt>
                <c:pt idx="167">
                  <c:v>0.72519078749766863</c:v>
                </c:pt>
                <c:pt idx="168">
                  <c:v>0.72571345951296184</c:v>
                </c:pt>
                <c:pt idx="169">
                  <c:v>0.72572151198059165</c:v>
                </c:pt>
                <c:pt idx="170">
                  <c:v>0.72531163748727256</c:v>
                </c:pt>
                <c:pt idx="171">
                  <c:v>0.72454340671212902</c:v>
                </c:pt>
                <c:pt idx="172">
                  <c:v>0.72339848847037513</c:v>
                </c:pt>
                <c:pt idx="173">
                  <c:v>0.7215509619569106</c:v>
                </c:pt>
                <c:pt idx="174">
                  <c:v>0.72045747763251566</c:v>
                </c:pt>
                <c:pt idx="175">
                  <c:v>0.71930476839642077</c:v>
                </c:pt>
                <c:pt idx="176">
                  <c:v>0.71846315439859265</c:v>
                </c:pt>
                <c:pt idx="177">
                  <c:v>0.71822856252297873</c:v>
                </c:pt>
                <c:pt idx="178">
                  <c:v>0.71718316068682075</c:v>
                </c:pt>
                <c:pt idx="179">
                  <c:v>0.71548440294821636</c:v>
                </c:pt>
                <c:pt idx="180">
                  <c:v>0.71467205688013258</c:v>
                </c:pt>
                <c:pt idx="181">
                  <c:v>0.71435225302753702</c:v>
                </c:pt>
                <c:pt idx="182">
                  <c:v>0.71226197133173419</c:v>
                </c:pt>
                <c:pt idx="183">
                  <c:v>0.70915180675795741</c:v>
                </c:pt>
                <c:pt idx="184">
                  <c:v>0.70541052989243258</c:v>
                </c:pt>
                <c:pt idx="185">
                  <c:v>0.70202663871959381</c:v>
                </c:pt>
                <c:pt idx="186">
                  <c:v>0.69865188396473143</c:v>
                </c:pt>
                <c:pt idx="187">
                  <c:v>0.69460369363755081</c:v>
                </c:pt>
                <c:pt idx="188">
                  <c:v>0.69019592153781972</c:v>
                </c:pt>
                <c:pt idx="189">
                  <c:v>0.68400033940587179</c:v>
                </c:pt>
                <c:pt idx="190">
                  <c:v>0.67768091577981382</c:v>
                </c:pt>
                <c:pt idx="191">
                  <c:v>0.67024863874407015</c:v>
                </c:pt>
                <c:pt idx="192">
                  <c:v>0.66375336367646065</c:v>
                </c:pt>
                <c:pt idx="193">
                  <c:v>0.65708682610360736</c:v>
                </c:pt>
                <c:pt idx="194">
                  <c:v>0.6514055192881798</c:v>
                </c:pt>
                <c:pt idx="195">
                  <c:v>0.64594737705096983</c:v>
                </c:pt>
                <c:pt idx="196">
                  <c:v>0.64176554325241197</c:v>
                </c:pt>
                <c:pt idx="197">
                  <c:v>0.6365284515749976</c:v>
                </c:pt>
                <c:pt idx="198">
                  <c:v>0.63222243863753724</c:v>
                </c:pt>
                <c:pt idx="199">
                  <c:v>0.6280131656765382</c:v>
                </c:pt>
                <c:pt idx="200">
                  <c:v>0.62449221522334541</c:v>
                </c:pt>
                <c:pt idx="201">
                  <c:v>0.62328436514191943</c:v>
                </c:pt>
                <c:pt idx="202">
                  <c:v>0.62221153550042319</c:v>
                </c:pt>
                <c:pt idx="203">
                  <c:v>0.62134801942878937</c:v>
                </c:pt>
                <c:pt idx="204">
                  <c:v>0.62037493465917426</c:v>
                </c:pt>
                <c:pt idx="205">
                  <c:v>0.61940426717343977</c:v>
                </c:pt>
                <c:pt idx="206">
                  <c:v>0.61724768524269347</c:v>
                </c:pt>
                <c:pt idx="207">
                  <c:v>0.61428441230405695</c:v>
                </c:pt>
                <c:pt idx="208">
                  <c:v>0.61118668931498621</c:v>
                </c:pt>
                <c:pt idx="209">
                  <c:v>0.60828134963705827</c:v>
                </c:pt>
                <c:pt idx="210">
                  <c:v>0.60583658026416043</c:v>
                </c:pt>
                <c:pt idx="211">
                  <c:v>0.60398583083629764</c:v>
                </c:pt>
                <c:pt idx="212">
                  <c:v>0.60194200712262502</c:v>
                </c:pt>
                <c:pt idx="213">
                  <c:v>0.60023333406170609</c:v>
                </c:pt>
                <c:pt idx="214">
                  <c:v>0.59878825762188204</c:v>
                </c:pt>
                <c:pt idx="215">
                  <c:v>0.59703735086682219</c:v>
                </c:pt>
                <c:pt idx="216">
                  <c:v>0.59593937693027454</c:v>
                </c:pt>
                <c:pt idx="217">
                  <c:v>0.59558630288196679</c:v>
                </c:pt>
                <c:pt idx="218">
                  <c:v>0.59517257575023241</c:v>
                </c:pt>
                <c:pt idx="219">
                  <c:v>0.595235327211453</c:v>
                </c:pt>
                <c:pt idx="220">
                  <c:v>0.59576126005745378</c:v>
                </c:pt>
                <c:pt idx="221">
                  <c:v>0.59640538375425445</c:v>
                </c:pt>
                <c:pt idx="222">
                  <c:v>0.59687923612090821</c:v>
                </c:pt>
                <c:pt idx="223">
                  <c:v>0.59750674183830965</c:v>
                </c:pt>
                <c:pt idx="224">
                  <c:v>0.59840994297358963</c:v>
                </c:pt>
                <c:pt idx="225">
                  <c:v>0.59920851373293582</c:v>
                </c:pt>
                <c:pt idx="226">
                  <c:v>0.59966221399052044</c:v>
                </c:pt>
                <c:pt idx="227">
                  <c:v>0.60004057045425563</c:v>
                </c:pt>
                <c:pt idx="228">
                  <c:v>0.60052216669289804</c:v>
                </c:pt>
                <c:pt idx="229">
                  <c:v>0.60068006314396905</c:v>
                </c:pt>
                <c:pt idx="230">
                  <c:v>0.60161117357760896</c:v>
                </c:pt>
                <c:pt idx="231">
                  <c:v>0.60173009780581521</c:v>
                </c:pt>
                <c:pt idx="232">
                  <c:v>0.60208402017361862</c:v>
                </c:pt>
                <c:pt idx="233">
                  <c:v>0.60191791723484345</c:v>
                </c:pt>
                <c:pt idx="234">
                  <c:v>0.60176411143752817</c:v>
                </c:pt>
                <c:pt idx="235">
                  <c:v>0.60178074455869623</c:v>
                </c:pt>
                <c:pt idx="236">
                  <c:v>0.60129289969332922</c:v>
                </c:pt>
                <c:pt idx="237">
                  <c:v>0.60033692246843862</c:v>
                </c:pt>
                <c:pt idx="238">
                  <c:v>0.59912110445028777</c:v>
                </c:pt>
                <c:pt idx="239">
                  <c:v>0.597981502690902</c:v>
                </c:pt>
                <c:pt idx="240">
                  <c:v>0.59660685668544455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0.76685632855334696</c:v>
                </c:pt>
                <c:pt idx="1">
                  <c:v>0.76796321039195004</c:v>
                </c:pt>
                <c:pt idx="2">
                  <c:v>0.76902326906066198</c:v>
                </c:pt>
                <c:pt idx="3">
                  <c:v>0.77017483232397499</c:v>
                </c:pt>
                <c:pt idx="4">
                  <c:v>0.77098332080021004</c:v>
                </c:pt>
                <c:pt idx="5">
                  <c:v>0.77156670560520102</c:v>
                </c:pt>
                <c:pt idx="6">
                  <c:v>0.77192282304163196</c:v>
                </c:pt>
                <c:pt idx="7">
                  <c:v>0.77229625331261598</c:v>
                </c:pt>
                <c:pt idx="8">
                  <c:v>0.77271452508652305</c:v>
                </c:pt>
                <c:pt idx="9">
                  <c:v>0.77316752008455103</c:v>
                </c:pt>
                <c:pt idx="10">
                  <c:v>0.77358939086102296</c:v>
                </c:pt>
                <c:pt idx="11">
                  <c:v>0.77434041959094202</c:v>
                </c:pt>
                <c:pt idx="12">
                  <c:v>0.774747593713768</c:v>
                </c:pt>
                <c:pt idx="13">
                  <c:v>0.77517966496058799</c:v>
                </c:pt>
                <c:pt idx="14">
                  <c:v>0.77569184787173995</c:v>
                </c:pt>
                <c:pt idx="15">
                  <c:v>0.77555584058398896</c:v>
                </c:pt>
                <c:pt idx="16">
                  <c:v>0.77510881181873603</c:v>
                </c:pt>
                <c:pt idx="17">
                  <c:v>0.77469805625686305</c:v>
                </c:pt>
                <c:pt idx="18">
                  <c:v>0.774300659605895</c:v>
                </c:pt>
                <c:pt idx="19">
                  <c:v>0.77382321450627101</c:v>
                </c:pt>
                <c:pt idx="20">
                  <c:v>0.77370708645651598</c:v>
                </c:pt>
                <c:pt idx="21">
                  <c:v>0.77300905320441704</c:v>
                </c:pt>
                <c:pt idx="22">
                  <c:v>0.77228523560618201</c:v>
                </c:pt>
                <c:pt idx="23">
                  <c:v>0.77192184469578595</c:v>
                </c:pt>
                <c:pt idx="24">
                  <c:v>0.77187504315864597</c:v>
                </c:pt>
                <c:pt idx="25">
                  <c:v>0.77174895230708795</c:v>
                </c:pt>
                <c:pt idx="26">
                  <c:v>0.77179826139734697</c:v>
                </c:pt>
                <c:pt idx="27">
                  <c:v>0.77181180725738197</c:v>
                </c:pt>
                <c:pt idx="28">
                  <c:v>0.77179082184573999</c:v>
                </c:pt>
                <c:pt idx="29">
                  <c:v>0.77193833680244295</c:v>
                </c:pt>
                <c:pt idx="30">
                  <c:v>0.77199256428547103</c:v>
                </c:pt>
                <c:pt idx="31">
                  <c:v>0.77168633093183303</c:v>
                </c:pt>
                <c:pt idx="32">
                  <c:v>0.77139591160193499</c:v>
                </c:pt>
                <c:pt idx="33">
                  <c:v>0.77126850037996297</c:v>
                </c:pt>
                <c:pt idx="34">
                  <c:v>0.77089354343794003</c:v>
                </c:pt>
                <c:pt idx="35">
                  <c:v>0.77030883440634101</c:v>
                </c:pt>
                <c:pt idx="36">
                  <c:v>0.77061945339461302</c:v>
                </c:pt>
                <c:pt idx="37">
                  <c:v>0.77104928534320105</c:v>
                </c:pt>
                <c:pt idx="38">
                  <c:v>0.77175293328476602</c:v>
                </c:pt>
                <c:pt idx="39">
                  <c:v>0.7722820331211</c:v>
                </c:pt>
                <c:pt idx="40">
                  <c:v>0.77282527770367704</c:v>
                </c:pt>
                <c:pt idx="41">
                  <c:v>0.77324022930603398</c:v>
                </c:pt>
                <c:pt idx="42">
                  <c:v>0.77366214082142204</c:v>
                </c:pt>
                <c:pt idx="43">
                  <c:v>0.77384662442987295</c:v>
                </c:pt>
                <c:pt idx="44">
                  <c:v>0.774123863530641</c:v>
                </c:pt>
                <c:pt idx="45">
                  <c:v>0.77404274290099795</c:v>
                </c:pt>
                <c:pt idx="46">
                  <c:v>0.77439055003218504</c:v>
                </c:pt>
                <c:pt idx="47">
                  <c:v>0.77472324687923499</c:v>
                </c:pt>
                <c:pt idx="48">
                  <c:v>0.77507057246224598</c:v>
                </c:pt>
                <c:pt idx="49">
                  <c:v>0.77534923467413897</c:v>
                </c:pt>
                <c:pt idx="50">
                  <c:v>0.77548722369008105</c:v>
                </c:pt>
                <c:pt idx="51">
                  <c:v>0.775712427261258</c:v>
                </c:pt>
                <c:pt idx="52">
                  <c:v>0.77571866860119199</c:v>
                </c:pt>
                <c:pt idx="53">
                  <c:v>0.77540436693214598</c:v>
                </c:pt>
                <c:pt idx="54">
                  <c:v>0.77531012733857096</c:v>
                </c:pt>
                <c:pt idx="55">
                  <c:v>0.77526496176766801</c:v>
                </c:pt>
                <c:pt idx="56">
                  <c:v>0.77536716281146201</c:v>
                </c:pt>
                <c:pt idx="57">
                  <c:v>0.77542519459939896</c:v>
                </c:pt>
                <c:pt idx="58">
                  <c:v>0.77568291658831301</c:v>
                </c:pt>
                <c:pt idx="59">
                  <c:v>0.77574725220279805</c:v>
                </c:pt>
                <c:pt idx="60">
                  <c:v>0.77589202672589996</c:v>
                </c:pt>
                <c:pt idx="61">
                  <c:v>0.776163690649738</c:v>
                </c:pt>
                <c:pt idx="62">
                  <c:v>0.776271162176565</c:v>
                </c:pt>
                <c:pt idx="63">
                  <c:v>0.77617609216066796</c:v>
                </c:pt>
                <c:pt idx="64">
                  <c:v>0.775927481303606</c:v>
                </c:pt>
                <c:pt idx="65">
                  <c:v>0.77599708857335004</c:v>
                </c:pt>
                <c:pt idx="66">
                  <c:v>0.77612659455206801</c:v>
                </c:pt>
                <c:pt idx="67">
                  <c:v>0.77621346744890696</c:v>
                </c:pt>
                <c:pt idx="68">
                  <c:v>0.776250573732987</c:v>
                </c:pt>
                <c:pt idx="69">
                  <c:v>0.77603712643233602</c:v>
                </c:pt>
                <c:pt idx="70">
                  <c:v>0.77582529379854603</c:v>
                </c:pt>
                <c:pt idx="71">
                  <c:v>0.77566595192714505</c:v>
                </c:pt>
                <c:pt idx="72">
                  <c:v>0.77570845872892402</c:v>
                </c:pt>
                <c:pt idx="73">
                  <c:v>0.77567912331831401</c:v>
                </c:pt>
                <c:pt idx="74">
                  <c:v>0.77583343908353497</c:v>
                </c:pt>
                <c:pt idx="75">
                  <c:v>0.77638048358825595</c:v>
                </c:pt>
                <c:pt idx="76">
                  <c:v>0.775964488427348</c:v>
                </c:pt>
                <c:pt idx="77">
                  <c:v>0.77550636654768201</c:v>
                </c:pt>
                <c:pt idx="78">
                  <c:v>0.77494411725244905</c:v>
                </c:pt>
                <c:pt idx="79">
                  <c:v>0.77468899229444999</c:v>
                </c:pt>
                <c:pt idx="80">
                  <c:v>0.77500264059712498</c:v>
                </c:pt>
                <c:pt idx="81">
                  <c:v>0.77537667406685895</c:v>
                </c:pt>
                <c:pt idx="82">
                  <c:v>0.77581617829664395</c:v>
                </c:pt>
                <c:pt idx="83">
                  <c:v>0.77628116891544896</c:v>
                </c:pt>
                <c:pt idx="84">
                  <c:v>0.77667991083478105</c:v>
                </c:pt>
                <c:pt idx="85">
                  <c:v>0.77729047576913002</c:v>
                </c:pt>
                <c:pt idx="86">
                  <c:v>0.77751766733541094</c:v>
                </c:pt>
                <c:pt idx="87">
                  <c:v>0.778060806412185</c:v>
                </c:pt>
                <c:pt idx="88">
                  <c:v>0.77829382704193495</c:v>
                </c:pt>
                <c:pt idx="89">
                  <c:v>0.77817672433552998</c:v>
                </c:pt>
                <c:pt idx="90">
                  <c:v>0.77864534881098202</c:v>
                </c:pt>
                <c:pt idx="91">
                  <c:v>0.77958561835080498</c:v>
                </c:pt>
                <c:pt idx="92">
                  <c:v>0.78051315453994696</c:v>
                </c:pt>
                <c:pt idx="93">
                  <c:v>0.78202264931346699</c:v>
                </c:pt>
                <c:pt idx="94">
                  <c:v>0.78328222911488499</c:v>
                </c:pt>
                <c:pt idx="95">
                  <c:v>0.78418844748744598</c:v>
                </c:pt>
                <c:pt idx="96">
                  <c:v>0.78528664748892396</c:v>
                </c:pt>
                <c:pt idx="97">
                  <c:v>0.78618671410235497</c:v>
                </c:pt>
                <c:pt idx="98">
                  <c:v>0.78691157823804403</c:v>
                </c:pt>
                <c:pt idx="99">
                  <c:v>0.78791225129264497</c:v>
                </c:pt>
                <c:pt idx="100">
                  <c:v>0.78904179549536702</c:v>
                </c:pt>
                <c:pt idx="101">
                  <c:v>0.79004729018056796</c:v>
                </c:pt>
                <c:pt idx="102">
                  <c:v>0.79098534017928002</c:v>
                </c:pt>
                <c:pt idx="103">
                  <c:v>0.79176890970774205</c:v>
                </c:pt>
                <c:pt idx="104">
                  <c:v>0.79248038298675005</c:v>
                </c:pt>
                <c:pt idx="105">
                  <c:v>0.79330698063264904</c:v>
                </c:pt>
                <c:pt idx="106">
                  <c:v>0.79455028519670801</c:v>
                </c:pt>
                <c:pt idx="107">
                  <c:v>0.79534000971581997</c:v>
                </c:pt>
                <c:pt idx="108">
                  <c:v>0.79596635894825896</c:v>
                </c:pt>
                <c:pt idx="109">
                  <c:v>0.796272317580898</c:v>
                </c:pt>
                <c:pt idx="110">
                  <c:v>0.79688080836772401</c:v>
                </c:pt>
                <c:pt idx="111">
                  <c:v>0.79751578002077494</c:v>
                </c:pt>
                <c:pt idx="112">
                  <c:v>0.79807570161491403</c:v>
                </c:pt>
                <c:pt idx="113">
                  <c:v>0.79838021081494503</c:v>
                </c:pt>
                <c:pt idx="114">
                  <c:v>0.79874199524276501</c:v>
                </c:pt>
                <c:pt idx="115">
                  <c:v>0.79878220255119403</c:v>
                </c:pt>
                <c:pt idx="116">
                  <c:v>0.79897570338907797</c:v>
                </c:pt>
                <c:pt idx="117">
                  <c:v>0.79928944445252403</c:v>
                </c:pt>
                <c:pt idx="118">
                  <c:v>0.799176856031516</c:v>
                </c:pt>
                <c:pt idx="119">
                  <c:v>0.79904004252506899</c:v>
                </c:pt>
                <c:pt idx="120">
                  <c:v>0.79912622038032899</c:v>
                </c:pt>
                <c:pt idx="121">
                  <c:v>0.79871566277858497</c:v>
                </c:pt>
                <c:pt idx="122">
                  <c:v>0.79849833808610904</c:v>
                </c:pt>
                <c:pt idx="123">
                  <c:v>0.79832540588267797</c:v>
                </c:pt>
                <c:pt idx="124">
                  <c:v>0.79815691519924503</c:v>
                </c:pt>
                <c:pt idx="125">
                  <c:v>0.79806750313746699</c:v>
                </c:pt>
                <c:pt idx="126">
                  <c:v>0.79790001977388603</c:v>
                </c:pt>
                <c:pt idx="127">
                  <c:v>0.79792155760107297</c:v>
                </c:pt>
                <c:pt idx="128">
                  <c:v>0.79796726401007001</c:v>
                </c:pt>
                <c:pt idx="129">
                  <c:v>0.79799047666761902</c:v>
                </c:pt>
                <c:pt idx="130">
                  <c:v>0.79792729229444104</c:v>
                </c:pt>
                <c:pt idx="131">
                  <c:v>0.79774617862351105</c:v>
                </c:pt>
                <c:pt idx="132">
                  <c:v>0.79769093638129496</c:v>
                </c:pt>
                <c:pt idx="133">
                  <c:v>0.79724893303188604</c:v>
                </c:pt>
                <c:pt idx="134">
                  <c:v>0.79699875265670606</c:v>
                </c:pt>
                <c:pt idx="135">
                  <c:v>0.79658055857426102</c:v>
                </c:pt>
                <c:pt idx="136">
                  <c:v>0.79643119267180396</c:v>
                </c:pt>
                <c:pt idx="137">
                  <c:v>0.79608832145088404</c:v>
                </c:pt>
                <c:pt idx="138">
                  <c:v>0.79618641797863698</c:v>
                </c:pt>
                <c:pt idx="139">
                  <c:v>0.79602171145682399</c:v>
                </c:pt>
                <c:pt idx="140">
                  <c:v>0.79597376005735399</c:v>
                </c:pt>
                <c:pt idx="141">
                  <c:v>0.79613417537208497</c:v>
                </c:pt>
                <c:pt idx="142">
                  <c:v>0.796389926671904</c:v>
                </c:pt>
                <c:pt idx="143">
                  <c:v>0.79669511476895705</c:v>
                </c:pt>
                <c:pt idx="144">
                  <c:v>0.79681312489331402</c:v>
                </c:pt>
                <c:pt idx="145">
                  <c:v>0.79697202988965998</c:v>
                </c:pt>
                <c:pt idx="146">
                  <c:v>0.79701646695639905</c:v>
                </c:pt>
                <c:pt idx="147">
                  <c:v>0.79698081097727003</c:v>
                </c:pt>
                <c:pt idx="148">
                  <c:v>0.79692923207799204</c:v>
                </c:pt>
                <c:pt idx="149">
                  <c:v>0.79684806573173605</c:v>
                </c:pt>
                <c:pt idx="150">
                  <c:v>0.79633305169606405</c:v>
                </c:pt>
                <c:pt idx="151">
                  <c:v>0.79638164670990297</c:v>
                </c:pt>
                <c:pt idx="152">
                  <c:v>0.79636481472007603</c:v>
                </c:pt>
                <c:pt idx="153">
                  <c:v>0.79643853655591601</c:v>
                </c:pt>
                <c:pt idx="154">
                  <c:v>0.79616402763403804</c:v>
                </c:pt>
                <c:pt idx="155">
                  <c:v>0.79580986325951997</c:v>
                </c:pt>
                <c:pt idx="156">
                  <c:v>0.795218597062193</c:v>
                </c:pt>
                <c:pt idx="157">
                  <c:v>0.79449838024752395</c:v>
                </c:pt>
                <c:pt idx="158">
                  <c:v>0.793352776338762</c:v>
                </c:pt>
                <c:pt idx="159">
                  <c:v>0.79243023453746597</c:v>
                </c:pt>
                <c:pt idx="160">
                  <c:v>0.79135872513712702</c:v>
                </c:pt>
                <c:pt idx="161">
                  <c:v>0.79057261779348598</c:v>
                </c:pt>
                <c:pt idx="162">
                  <c:v>0.78953953726234405</c:v>
                </c:pt>
                <c:pt idx="163">
                  <c:v>0.78848024542783901</c:v>
                </c:pt>
                <c:pt idx="164">
                  <c:v>0.78735574382012197</c:v>
                </c:pt>
                <c:pt idx="165">
                  <c:v>0.78620831872999997</c:v>
                </c:pt>
                <c:pt idx="166">
                  <c:v>0.78477207635249502</c:v>
                </c:pt>
                <c:pt idx="167">
                  <c:v>0.783635935210096</c:v>
                </c:pt>
                <c:pt idx="168">
                  <c:v>0.78228199040304303</c:v>
                </c:pt>
                <c:pt idx="169">
                  <c:v>0.78102585473673003</c:v>
                </c:pt>
                <c:pt idx="170">
                  <c:v>0.78012576880513695</c:v>
                </c:pt>
                <c:pt idx="171">
                  <c:v>0.77908245326152703</c:v>
                </c:pt>
                <c:pt idx="172">
                  <c:v>0.77793135203914499</c:v>
                </c:pt>
                <c:pt idx="173">
                  <c:v>0.77666342086948004</c:v>
                </c:pt>
                <c:pt idx="174">
                  <c:v>0.77527781990707101</c:v>
                </c:pt>
                <c:pt idx="175">
                  <c:v>0.77396411442833302</c:v>
                </c:pt>
                <c:pt idx="176">
                  <c:v>0.77275144253973405</c:v>
                </c:pt>
                <c:pt idx="177">
                  <c:v>0.77154762604119598</c:v>
                </c:pt>
                <c:pt idx="178">
                  <c:v>0.77030232575378699</c:v>
                </c:pt>
                <c:pt idx="179">
                  <c:v>0.76896333010978402</c:v>
                </c:pt>
                <c:pt idx="180">
                  <c:v>0.76758187847836301</c:v>
                </c:pt>
                <c:pt idx="181">
                  <c:v>0.76592880660756002</c:v>
                </c:pt>
                <c:pt idx="182">
                  <c:v>0.76425477011069498</c:v>
                </c:pt>
                <c:pt idx="183">
                  <c:v>0.76251624876689506</c:v>
                </c:pt>
                <c:pt idx="184">
                  <c:v>0.76091246510364996</c:v>
                </c:pt>
                <c:pt idx="185">
                  <c:v>0.75906132589407105</c:v>
                </c:pt>
                <c:pt idx="186">
                  <c:v>0.75707481139830302</c:v>
                </c:pt>
                <c:pt idx="187">
                  <c:v>0.75498205920362604</c:v>
                </c:pt>
                <c:pt idx="188">
                  <c:v>0.75308533283631096</c:v>
                </c:pt>
                <c:pt idx="189">
                  <c:v>0.75074230534098396</c:v>
                </c:pt>
                <c:pt idx="190">
                  <c:v>0.74866907299150098</c:v>
                </c:pt>
                <c:pt idx="191">
                  <c:v>0.74642810183778496</c:v>
                </c:pt>
                <c:pt idx="192">
                  <c:v>0.74416557905848502</c:v>
                </c:pt>
                <c:pt idx="193">
                  <c:v>0.74230287242964199</c:v>
                </c:pt>
                <c:pt idx="194">
                  <c:v>0.74056788288533903</c:v>
                </c:pt>
                <c:pt idx="195">
                  <c:v>0.73872895734299804</c:v>
                </c:pt>
                <c:pt idx="196">
                  <c:v>0.73730101307721596</c:v>
                </c:pt>
                <c:pt idx="197">
                  <c:v>0.73548665015322301</c:v>
                </c:pt>
                <c:pt idx="198">
                  <c:v>0.73369466020712004</c:v>
                </c:pt>
                <c:pt idx="199">
                  <c:v>0.73182530688868297</c:v>
                </c:pt>
                <c:pt idx="200">
                  <c:v>0.73016110994197103</c:v>
                </c:pt>
                <c:pt idx="201">
                  <c:v>0.72922899227806204</c:v>
                </c:pt>
                <c:pt idx="202">
                  <c:v>0.72818876855521897</c:v>
                </c:pt>
                <c:pt idx="203">
                  <c:v>0.72735120522999697</c:v>
                </c:pt>
                <c:pt idx="204">
                  <c:v>0.726445223377574</c:v>
                </c:pt>
                <c:pt idx="205">
                  <c:v>0.72556871239530496</c:v>
                </c:pt>
                <c:pt idx="206">
                  <c:v>0.72427558720644003</c:v>
                </c:pt>
                <c:pt idx="207">
                  <c:v>0.72261005725788396</c:v>
                </c:pt>
                <c:pt idx="208">
                  <c:v>0.72108510484993105</c:v>
                </c:pt>
                <c:pt idx="209">
                  <c:v>0.71948746088045901</c:v>
                </c:pt>
                <c:pt idx="210">
                  <c:v>0.71813544404829799</c:v>
                </c:pt>
                <c:pt idx="211">
                  <c:v>0.71664577382184902</c:v>
                </c:pt>
                <c:pt idx="212">
                  <c:v>0.71513826198733799</c:v>
                </c:pt>
                <c:pt idx="213">
                  <c:v>0.71350283224951405</c:v>
                </c:pt>
                <c:pt idx="214">
                  <c:v>0.71235081410377399</c:v>
                </c:pt>
                <c:pt idx="215">
                  <c:v>0.71081905169898296</c:v>
                </c:pt>
                <c:pt idx="216">
                  <c:v>0.709091534278536</c:v>
                </c:pt>
                <c:pt idx="217">
                  <c:v>0.70753547922273496</c:v>
                </c:pt>
                <c:pt idx="218">
                  <c:v>0.705971649021226</c:v>
                </c:pt>
                <c:pt idx="219">
                  <c:v>0.70477864100588805</c:v>
                </c:pt>
                <c:pt idx="220">
                  <c:v>0.70382846049187098</c:v>
                </c:pt>
                <c:pt idx="221">
                  <c:v>0.70288679805092802</c:v>
                </c:pt>
                <c:pt idx="222">
                  <c:v>0.70177833960478797</c:v>
                </c:pt>
                <c:pt idx="223">
                  <c:v>0.70077353645130203</c:v>
                </c:pt>
                <c:pt idx="224">
                  <c:v>0.69992172278524301</c:v>
                </c:pt>
                <c:pt idx="225">
                  <c:v>0.69910140900866802</c:v>
                </c:pt>
                <c:pt idx="226">
                  <c:v>0.698563345623753</c:v>
                </c:pt>
                <c:pt idx="227">
                  <c:v>0.69819782960094101</c:v>
                </c:pt>
                <c:pt idx="228">
                  <c:v>0.697858659797853</c:v>
                </c:pt>
                <c:pt idx="229">
                  <c:v>0.69775193546977898</c:v>
                </c:pt>
                <c:pt idx="230">
                  <c:v>0.69737280744524999</c:v>
                </c:pt>
                <c:pt idx="231">
                  <c:v>0.69732366197465701</c:v>
                </c:pt>
                <c:pt idx="232">
                  <c:v>0.69717486313464105</c:v>
                </c:pt>
                <c:pt idx="233">
                  <c:v>0.697255472180767</c:v>
                </c:pt>
                <c:pt idx="234">
                  <c:v>0.69732526589802202</c:v>
                </c:pt>
                <c:pt idx="235">
                  <c:v>0.69731647226805804</c:v>
                </c:pt>
                <c:pt idx="236">
                  <c:v>0.69751010053828499</c:v>
                </c:pt>
                <c:pt idx="237">
                  <c:v>0.69787571531111603</c:v>
                </c:pt>
                <c:pt idx="238">
                  <c:v>0.69840001613648195</c:v>
                </c:pt>
                <c:pt idx="239">
                  <c:v>0.69912509780617405</c:v>
                </c:pt>
                <c:pt idx="240">
                  <c:v>0.69996094876287096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0.86120224196219175"/>
          <c:min val="0.49517257575023244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CLOSE_6752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1433</c:v>
                </c:pt>
                <c:pt idx="1">
                  <c:v>1429</c:v>
                </c:pt>
                <c:pt idx="2">
                  <c:v>1424</c:v>
                </c:pt>
                <c:pt idx="3">
                  <c:v>1412</c:v>
                </c:pt>
                <c:pt idx="4">
                  <c:v>1374</c:v>
                </c:pt>
                <c:pt idx="5">
                  <c:v>1373</c:v>
                </c:pt>
                <c:pt idx="6">
                  <c:v>1335</c:v>
                </c:pt>
                <c:pt idx="7">
                  <c:v>1348</c:v>
                </c:pt>
                <c:pt idx="8">
                  <c:v>1362</c:v>
                </c:pt>
                <c:pt idx="9">
                  <c:v>1374</c:v>
                </c:pt>
                <c:pt idx="10">
                  <c:v>1361</c:v>
                </c:pt>
                <c:pt idx="11">
                  <c:v>1343</c:v>
                </c:pt>
                <c:pt idx="12">
                  <c:v>1310</c:v>
                </c:pt>
                <c:pt idx="13">
                  <c:v>1302</c:v>
                </c:pt>
                <c:pt idx="14">
                  <c:v>1295</c:v>
                </c:pt>
                <c:pt idx="15">
                  <c:v>1288</c:v>
                </c:pt>
                <c:pt idx="16">
                  <c:v>1279</c:v>
                </c:pt>
                <c:pt idx="17">
                  <c:v>1274</c:v>
                </c:pt>
                <c:pt idx="18">
                  <c:v>1251</c:v>
                </c:pt>
                <c:pt idx="19">
                  <c:v>1269</c:v>
                </c:pt>
                <c:pt idx="20">
                  <c:v>1250</c:v>
                </c:pt>
                <c:pt idx="21">
                  <c:v>1243</c:v>
                </c:pt>
                <c:pt idx="22">
                  <c:v>1266</c:v>
                </c:pt>
                <c:pt idx="23">
                  <c:v>1319</c:v>
                </c:pt>
                <c:pt idx="24">
                  <c:v>1320</c:v>
                </c:pt>
                <c:pt idx="25">
                  <c:v>1342</c:v>
                </c:pt>
                <c:pt idx="26">
                  <c:v>1318</c:v>
                </c:pt>
                <c:pt idx="27">
                  <c:v>1333</c:v>
                </c:pt>
                <c:pt idx="28">
                  <c:v>1358</c:v>
                </c:pt>
                <c:pt idx="29">
                  <c:v>1343</c:v>
                </c:pt>
                <c:pt idx="30">
                  <c:v>1329</c:v>
                </c:pt>
                <c:pt idx="31">
                  <c:v>1297</c:v>
                </c:pt>
                <c:pt idx="32">
                  <c:v>1300</c:v>
                </c:pt>
                <c:pt idx="33">
                  <c:v>1248</c:v>
                </c:pt>
                <c:pt idx="34">
                  <c:v>1202</c:v>
                </c:pt>
                <c:pt idx="35">
                  <c:v>1220</c:v>
                </c:pt>
                <c:pt idx="36">
                  <c:v>1222</c:v>
                </c:pt>
                <c:pt idx="37">
                  <c:v>1259</c:v>
                </c:pt>
                <c:pt idx="38">
                  <c:v>1222</c:v>
                </c:pt>
                <c:pt idx="39">
                  <c:v>1212</c:v>
                </c:pt>
                <c:pt idx="40">
                  <c:v>1223</c:v>
                </c:pt>
                <c:pt idx="41">
                  <c:v>1223</c:v>
                </c:pt>
                <c:pt idx="42">
                  <c:v>1186</c:v>
                </c:pt>
                <c:pt idx="43">
                  <c:v>1190</c:v>
                </c:pt>
                <c:pt idx="44">
                  <c:v>1188</c:v>
                </c:pt>
                <c:pt idx="45">
                  <c:v>1205</c:v>
                </c:pt>
                <c:pt idx="46">
                  <c:v>1196</c:v>
                </c:pt>
                <c:pt idx="47">
                  <c:v>1165</c:v>
                </c:pt>
                <c:pt idx="48">
                  <c:v>1130</c:v>
                </c:pt>
                <c:pt idx="49">
                  <c:v>1143</c:v>
                </c:pt>
                <c:pt idx="50">
                  <c:v>1162</c:v>
                </c:pt>
                <c:pt idx="51">
                  <c:v>1145</c:v>
                </c:pt>
                <c:pt idx="52">
                  <c:v>1135</c:v>
                </c:pt>
                <c:pt idx="53">
                  <c:v>1152</c:v>
                </c:pt>
                <c:pt idx="54">
                  <c:v>1180</c:v>
                </c:pt>
                <c:pt idx="55">
                  <c:v>1183</c:v>
                </c:pt>
                <c:pt idx="56">
                  <c:v>1145</c:v>
                </c:pt>
                <c:pt idx="57">
                  <c:v>1165</c:v>
                </c:pt>
                <c:pt idx="58">
                  <c:v>1169</c:v>
                </c:pt>
                <c:pt idx="59">
                  <c:v>1167</c:v>
                </c:pt>
                <c:pt idx="60">
                  <c:v>1170</c:v>
                </c:pt>
                <c:pt idx="61">
                  <c:v>1147</c:v>
                </c:pt>
                <c:pt idx="62">
                  <c:v>1153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CLOSE_8795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1313.0455971319739</c:v>
                </c:pt>
                <c:pt idx="1">
                  <c:v>1325.9629173201881</c:v>
                </c:pt>
                <c:pt idx="2">
                  <c:v>1324.6711853013667</c:v>
                </c:pt>
                <c:pt idx="3">
                  <c:v>1351.7975576966166</c:v>
                </c:pt>
                <c:pt idx="4">
                  <c:v>1338.8802375084024</c:v>
                </c:pt>
                <c:pt idx="5">
                  <c:v>1366.652475913063</c:v>
                </c:pt>
                <c:pt idx="6">
                  <c:v>1338.8802375084024</c:v>
                </c:pt>
                <c:pt idx="7">
                  <c:v>1369.8818059601165</c:v>
                </c:pt>
                <c:pt idx="8">
                  <c:v>1366.0066099036521</c:v>
                </c:pt>
                <c:pt idx="9">
                  <c:v>1366.0066099036521</c:v>
                </c:pt>
                <c:pt idx="10">
                  <c:v>1336.2967734707595</c:v>
                </c:pt>
                <c:pt idx="11">
                  <c:v>1349.2140936589738</c:v>
                </c:pt>
                <c:pt idx="12">
                  <c:v>1336.2967734707595</c:v>
                </c:pt>
                <c:pt idx="13">
                  <c:v>1329.8381133766525</c:v>
                </c:pt>
                <c:pt idx="14">
                  <c:v>1333.067443423706</c:v>
                </c:pt>
                <c:pt idx="15">
                  <c:v>1333.067443423706</c:v>
                </c:pt>
                <c:pt idx="16">
                  <c:v>1303.3576069908133</c:v>
                </c:pt>
                <c:pt idx="17">
                  <c:v>1267.57663006946</c:v>
                </c:pt>
                <c:pt idx="18">
                  <c:v>1267.1891104638134</c:v>
                </c:pt>
                <c:pt idx="19">
                  <c:v>1250.0090746134888</c:v>
                </c:pt>
                <c:pt idx="20">
                  <c:v>1279.3313914407349</c:v>
                </c:pt>
                <c:pt idx="21">
                  <c:v>1298.1906789155275</c:v>
                </c:pt>
                <c:pt idx="22">
                  <c:v>1294.3154828590634</c:v>
                </c:pt>
                <c:pt idx="23">
                  <c:v>1293.6696168496526</c:v>
                </c:pt>
                <c:pt idx="24">
                  <c:v>1279.3313914407349</c:v>
                </c:pt>
                <c:pt idx="25">
                  <c:v>1289.5360743894241</c:v>
                </c:pt>
                <c:pt idx="26">
                  <c:v>1288.3735155724848</c:v>
                </c:pt>
                <c:pt idx="27">
                  <c:v>1313.0455971319739</c:v>
                </c:pt>
                <c:pt idx="28">
                  <c:v>1318.8583912166703</c:v>
                </c:pt>
                <c:pt idx="29">
                  <c:v>1317.5666591978488</c:v>
                </c:pt>
                <c:pt idx="30">
                  <c:v>1320.1501232354917</c:v>
                </c:pt>
                <c:pt idx="31">
                  <c:v>1318.8583912166703</c:v>
                </c:pt>
                <c:pt idx="32">
                  <c:v>1311.1079991037418</c:v>
                </c:pt>
                <c:pt idx="33">
                  <c:v>1304.0034730002239</c:v>
                </c:pt>
                <c:pt idx="34">
                  <c:v>1266.9307640600491</c:v>
                </c:pt>
                <c:pt idx="35">
                  <c:v>1184.3890880573604</c:v>
                </c:pt>
                <c:pt idx="36">
                  <c:v>1178.1887743670177</c:v>
                </c:pt>
                <c:pt idx="37">
                  <c:v>1185.809993278064</c:v>
                </c:pt>
                <c:pt idx="38">
                  <c:v>1178.0596011651355</c:v>
                </c:pt>
                <c:pt idx="39">
                  <c:v>1171.7301142729107</c:v>
                </c:pt>
                <c:pt idx="40">
                  <c:v>1174.3135783105533</c:v>
                </c:pt>
                <c:pt idx="41">
                  <c:v>1166.4340129957427</c:v>
                </c:pt>
                <c:pt idx="42">
                  <c:v>1155.5834640376429</c:v>
                </c:pt>
                <c:pt idx="43">
                  <c:v>1147.3163791171858</c:v>
                </c:pt>
                <c:pt idx="44">
                  <c:v>1171.6009410710285</c:v>
                </c:pt>
                <c:pt idx="45">
                  <c:v>1168.7591306296213</c:v>
                </c:pt>
                <c:pt idx="46">
                  <c:v>1158.5544476809321</c:v>
                </c:pt>
                <c:pt idx="47">
                  <c:v>1134.011539323325</c:v>
                </c:pt>
                <c:pt idx="48">
                  <c:v>1112.956307416536</c:v>
                </c:pt>
                <c:pt idx="49">
                  <c:v>1122.9026439614609</c:v>
                </c:pt>
                <c:pt idx="50">
                  <c:v>1129.49047725745</c:v>
                </c:pt>
                <c:pt idx="51">
                  <c:v>1131.169728881918</c:v>
                </c:pt>
                <c:pt idx="52">
                  <c:v>1141.3744118306072</c:v>
                </c:pt>
                <c:pt idx="53">
                  <c:v>1137.2408693703785</c:v>
                </c:pt>
                <c:pt idx="54">
                  <c:v>1164.754761371275</c:v>
                </c:pt>
                <c:pt idx="55">
                  <c:v>1163.7213757562176</c:v>
                </c:pt>
                <c:pt idx="56">
                  <c:v>1131.0405556800358</c:v>
                </c:pt>
                <c:pt idx="57">
                  <c:v>1150.8040555680036</c:v>
                </c:pt>
                <c:pt idx="58">
                  <c:v>1165.0131077750391</c:v>
                </c:pt>
                <c:pt idx="59">
                  <c:v>1156.8751960564643</c:v>
                </c:pt>
                <c:pt idx="60">
                  <c:v>1144.4745686757785</c:v>
                </c:pt>
                <c:pt idx="61">
                  <c:v>1155.7126372395251</c:v>
                </c:pt>
                <c:pt idx="62">
                  <c:v>1153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433"/>
          <c:min val="1112.95630741653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0</xdr:rowOff>
        </xdr:from>
        <xdr:to>
          <xdr:col>5</xdr:col>
          <xdr:colOff>9525</xdr:colOff>
          <xdr:row>0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B2:D2"/>
  <sheetViews>
    <sheetView showGridLines="0" workbookViewId="0">
      <selection activeCell="D34" sqref="D34"/>
    </sheetView>
  </sheetViews>
  <sheetFormatPr defaultRowHeight="14.25" x14ac:dyDescent="0.2"/>
  <sheetData>
    <row r="2" spans="2:4" ht="22.5" x14ac:dyDescent="0.25">
      <c r="B2" s="225" t="s">
        <v>2147</v>
      </c>
      <c r="C2" s="56"/>
      <c r="D2" s="5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15"/>
  <sheetViews>
    <sheetView showGridLines="0" zoomScale="115" zoomScaleNormal="115" workbookViewId="0">
      <selection activeCell="B5" sqref="B5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95</v>
      </c>
      <c r="D1" s="13"/>
      <c r="H1" s="1"/>
      <c r="I1" s="13" t="s">
        <v>24</v>
      </c>
      <c r="J1" s="56"/>
      <c r="K1" s="293">
        <v>43824</v>
      </c>
      <c r="L1" s="294"/>
      <c r="M1" s="23"/>
      <c r="N1" s="13" t="s">
        <v>197</v>
      </c>
      <c r="P1" s="293">
        <f ca="1">TODAY()</f>
        <v>43825</v>
      </c>
      <c r="Q1" s="295"/>
      <c r="U1" s="57" t="s">
        <v>23</v>
      </c>
      <c r="V1" s="57"/>
    </row>
    <row r="2" spans="2:23" ht="16.5" customHeight="1" thickBot="1" x14ac:dyDescent="0.25">
      <c r="J2" s="179">
        <f>SUM(J4:J52)</f>
        <v>2016000</v>
      </c>
      <c r="R2" s="127">
        <f ca="1">SUM(R4:R52)</f>
        <v>-19838.728767123288</v>
      </c>
      <c r="S2" s="91">
        <f ca="1">SUM(S4:S52)</f>
        <v>-9.840639269406393E-3</v>
      </c>
    </row>
    <row r="3" spans="2:23" ht="24.75" thickBot="1" x14ac:dyDescent="0.25">
      <c r="C3" s="58" t="s">
        <v>78</v>
      </c>
      <c r="D3" s="68" t="s">
        <v>102</v>
      </c>
      <c r="E3" s="60"/>
      <c r="F3" s="59" t="s">
        <v>42</v>
      </c>
      <c r="G3" s="61" t="s">
        <v>43</v>
      </c>
      <c r="H3" s="62" t="s">
        <v>79</v>
      </c>
      <c r="I3" s="62" t="s">
        <v>80</v>
      </c>
      <c r="J3" s="60" t="s">
        <v>22</v>
      </c>
      <c r="K3" s="60" t="s">
        <v>81</v>
      </c>
      <c r="L3" s="62" t="s">
        <v>82</v>
      </c>
      <c r="M3" s="63" t="s">
        <v>103</v>
      </c>
      <c r="N3" s="60" t="s">
        <v>83</v>
      </c>
      <c r="O3" s="63" t="s">
        <v>97</v>
      </c>
      <c r="P3" s="60" t="s">
        <v>190</v>
      </c>
      <c r="Q3" s="60" t="s">
        <v>84</v>
      </c>
      <c r="R3" s="63" t="s">
        <v>99</v>
      </c>
      <c r="S3" s="66" t="s">
        <v>100</v>
      </c>
      <c r="T3" s="65"/>
      <c r="U3" s="67" t="s">
        <v>196</v>
      </c>
      <c r="V3" s="67" t="s">
        <v>101</v>
      </c>
      <c r="W3" s="64" t="s">
        <v>98</v>
      </c>
    </row>
    <row r="4" spans="2:23" s="106" customFormat="1" x14ac:dyDescent="0.2">
      <c r="B4" s="124" t="s">
        <v>205</v>
      </c>
      <c r="C4" s="285">
        <f>ROW()/2-1</f>
        <v>1</v>
      </c>
      <c r="D4" s="287">
        <v>43811</v>
      </c>
      <c r="E4" s="33" t="s">
        <v>193</v>
      </c>
      <c r="F4" s="33">
        <v>1860</v>
      </c>
      <c r="G4" s="55" t="s">
        <v>907</v>
      </c>
      <c r="H4" s="49">
        <v>730</v>
      </c>
      <c r="I4" s="49">
        <v>1400</v>
      </c>
      <c r="J4" s="50">
        <f t="shared" ref="J4:J5" si="0">H4*I4</f>
        <v>1022000</v>
      </c>
      <c r="K4" s="52" t="s">
        <v>906</v>
      </c>
      <c r="L4" s="49">
        <v>717</v>
      </c>
      <c r="M4" s="33">
        <v>770</v>
      </c>
      <c r="N4" s="144">
        <f ca="1">IF(OR(K4="現物",J4=0),0,IF(E4="売",J4*Fee_Refer!$B$12/365*V4, J4*Fee_Refer!$B$11/365*#REF!))</f>
        <v>431.2</v>
      </c>
      <c r="O4" s="52">
        <v>0</v>
      </c>
      <c r="P4" s="147">
        <f ca="1">IF(L4 &gt;0,(H4-L4)*I4-M4-N4-O4,0)</f>
        <v>16998.8</v>
      </c>
      <c r="Q4" s="51">
        <f t="shared" ref="Q4:Q5" ca="1" si="1">P4/J4</f>
        <v>1.6632876712328767E-2</v>
      </c>
      <c r="R4" s="289">
        <f ca="1">P4+P5</f>
        <v>-19838.728767123288</v>
      </c>
      <c r="S4" s="290">
        <f ca="1">R4/(J4+J5)</f>
        <v>-9.840639269406393E-3</v>
      </c>
      <c r="U4" s="292">
        <f ca="1">$P$1</f>
        <v>43825</v>
      </c>
      <c r="V4" s="283">
        <f ca="1">IF(U4&gt;D4,DATEDIF(D4,U4,"d"),0)</f>
        <v>14</v>
      </c>
      <c r="W4" s="284"/>
    </row>
    <row r="5" spans="2:23" s="106" customFormat="1" x14ac:dyDescent="0.2">
      <c r="B5" s="124" t="s">
        <v>755</v>
      </c>
      <c r="C5" s="286"/>
      <c r="D5" s="288">
        <v>43748</v>
      </c>
      <c r="E5" s="29" t="s">
        <v>195</v>
      </c>
      <c r="F5" s="29">
        <v>5110</v>
      </c>
      <c r="G5" s="54" t="s">
        <v>908</v>
      </c>
      <c r="H5" s="46">
        <v>1420</v>
      </c>
      <c r="I5" s="46">
        <v>700</v>
      </c>
      <c r="J5" s="47">
        <f t="shared" si="0"/>
        <v>994000</v>
      </c>
      <c r="K5" s="145" t="s">
        <v>906</v>
      </c>
      <c r="L5" s="41">
        <v>1370</v>
      </c>
      <c r="M5" s="31">
        <v>770</v>
      </c>
      <c r="N5" s="146">
        <f ca="1">IF(OR(K5="現物",J5=0),0,IF(E5="売",J5*Fee_Refer!$B$12/365*V5, J5*Fee_Refer!$B$11/365*V4))</f>
        <v>1067.5287671232877</v>
      </c>
      <c r="O5" s="178">
        <v>0</v>
      </c>
      <c r="P5" s="148">
        <f ca="1">IF(L5&gt;0,(L5-H5)*I5-M5-N5-O5,0)</f>
        <v>-36837.528767123287</v>
      </c>
      <c r="Q5" s="48">
        <f t="shared" ca="1" si="1"/>
        <v>-3.705988809569747E-2</v>
      </c>
      <c r="R5" s="289"/>
      <c r="S5" s="291"/>
      <c r="U5" s="283"/>
      <c r="V5" s="283"/>
      <c r="W5" s="283"/>
    </row>
    <row r="15" spans="2:23" ht="12.75" customHeight="1" x14ac:dyDescent="0.2"/>
  </sheetData>
  <mergeCells count="9">
    <mergeCell ref="K1:L1"/>
    <mergeCell ref="P1:Q1"/>
    <mergeCell ref="V4:V5"/>
    <mergeCell ref="W4:W5"/>
    <mergeCell ref="C4:C5"/>
    <mergeCell ref="D4:D5"/>
    <mergeCell ref="R4:R5"/>
    <mergeCell ref="S4:S5"/>
    <mergeCell ref="U4:U5"/>
  </mergeCells>
  <phoneticPr fontId="1" type="noConversion"/>
  <hyperlinks>
    <hyperlink ref="B4" display="Select"/>
    <hyperlink ref="B5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39"/>
  <sheetViews>
    <sheetView showGridLines="0" tabSelected="1" topLeftCell="A13" zoomScaleNormal="100" workbookViewId="0">
      <selection activeCell="X40" sqref="X40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191</v>
      </c>
      <c r="R2" s="93">
        <f>SUM(R4:R1004)</f>
        <v>521950.52383561624</v>
      </c>
      <c r="S2" s="180"/>
      <c r="U2" s="57" t="s">
        <v>76</v>
      </c>
      <c r="X2" s="1" t="s">
        <v>1734</v>
      </c>
    </row>
    <row r="3" spans="2:29" ht="30" customHeight="1" thickBot="1" x14ac:dyDescent="0.25">
      <c r="C3" s="58" t="s">
        <v>78</v>
      </c>
      <c r="D3" s="92" t="s">
        <v>102</v>
      </c>
      <c r="E3" s="60"/>
      <c r="F3" s="61" t="s">
        <v>42</v>
      </c>
      <c r="G3" s="61" t="s">
        <v>43</v>
      </c>
      <c r="H3" s="63" t="s">
        <v>204</v>
      </c>
      <c r="I3" s="63" t="s">
        <v>201</v>
      </c>
      <c r="J3" s="60" t="s">
        <v>22</v>
      </c>
      <c r="K3" s="60" t="s">
        <v>81</v>
      </c>
      <c r="L3" s="63" t="s">
        <v>202</v>
      </c>
      <c r="M3" s="63" t="s">
        <v>103</v>
      </c>
      <c r="N3" s="60" t="s">
        <v>83</v>
      </c>
      <c r="O3" s="63" t="s">
        <v>97</v>
      </c>
      <c r="P3" s="62" t="s">
        <v>203</v>
      </c>
      <c r="Q3" s="62" t="s">
        <v>85</v>
      </c>
      <c r="R3" s="63" t="s">
        <v>99</v>
      </c>
      <c r="S3" s="66" t="s">
        <v>100</v>
      </c>
      <c r="T3" s="65"/>
      <c r="U3" s="67" t="s">
        <v>192</v>
      </c>
      <c r="V3" s="67" t="s">
        <v>1729</v>
      </c>
      <c r="W3" s="67" t="s">
        <v>98</v>
      </c>
      <c r="AA3" s="67" t="s">
        <v>198</v>
      </c>
      <c r="AB3" s="67" t="s">
        <v>199</v>
      </c>
      <c r="AC3" s="67" t="s">
        <v>200</v>
      </c>
    </row>
    <row r="4" spans="2:29" x14ac:dyDescent="0.2">
      <c r="B4" s="124" t="s">
        <v>205</v>
      </c>
      <c r="C4" s="311">
        <v>1</v>
      </c>
      <c r="D4" s="314">
        <v>43726</v>
      </c>
      <c r="E4" s="25" t="s">
        <v>193</v>
      </c>
      <c r="F4" s="25">
        <v>6472</v>
      </c>
      <c r="G4" s="53" t="s">
        <v>194</v>
      </c>
      <c r="H4" s="43">
        <v>320</v>
      </c>
      <c r="I4" s="26">
        <v>1200</v>
      </c>
      <c r="J4" s="44">
        <v>384000</v>
      </c>
      <c r="K4" s="37" t="s">
        <v>92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296">
        <f>P4+P5</f>
        <v>159</v>
      </c>
      <c r="S4" s="307">
        <f>R4/(J4+J5)</f>
        <v>2.1406645484409498E-4</v>
      </c>
      <c r="U4" s="316">
        <v>43742</v>
      </c>
      <c r="V4" s="309">
        <f>DATEDIF(D4,U4,"d")</f>
        <v>16</v>
      </c>
      <c r="W4" s="304" t="s">
        <v>888</v>
      </c>
      <c r="X4" s="170"/>
      <c r="AA4" s="296">
        <f>YEAR(U4)</f>
        <v>2019</v>
      </c>
      <c r="AB4" s="296">
        <f>MONTH(U4)</f>
        <v>10</v>
      </c>
      <c r="AC4" s="296" t="str">
        <f>IF(R4&gt;0,"○","☓")</f>
        <v>○</v>
      </c>
    </row>
    <row r="5" spans="2:29" ht="15" thickBot="1" x14ac:dyDescent="0.25">
      <c r="B5" s="106"/>
      <c r="C5" s="286"/>
      <c r="D5" s="287"/>
      <c r="E5" s="29" t="s">
        <v>195</v>
      </c>
      <c r="F5" s="29">
        <v>6752</v>
      </c>
      <c r="G5" s="54" t="s">
        <v>59</v>
      </c>
      <c r="H5" s="46">
        <v>896.9</v>
      </c>
      <c r="I5" s="30">
        <v>400</v>
      </c>
      <c r="J5" s="47">
        <v>358760</v>
      </c>
      <c r="K5" s="38" t="s">
        <v>93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291"/>
      <c r="S5" s="315"/>
      <c r="U5" s="317"/>
      <c r="V5" s="310"/>
      <c r="W5" s="305"/>
      <c r="X5" s="170"/>
      <c r="AA5" s="291"/>
      <c r="AB5" s="291"/>
      <c r="AC5" s="291"/>
    </row>
    <row r="6" spans="2:29" x14ac:dyDescent="0.2">
      <c r="B6" s="124" t="s">
        <v>205</v>
      </c>
      <c r="C6" s="311">
        <v>2</v>
      </c>
      <c r="D6" s="306">
        <v>43732</v>
      </c>
      <c r="E6" s="25" t="s">
        <v>86</v>
      </c>
      <c r="F6" s="25">
        <v>6305</v>
      </c>
      <c r="G6" s="53" t="s">
        <v>32</v>
      </c>
      <c r="H6" s="43">
        <v>2638</v>
      </c>
      <c r="I6" s="26">
        <v>300</v>
      </c>
      <c r="J6" s="44">
        <v>791400</v>
      </c>
      <c r="K6" s="37" t="s">
        <v>92</v>
      </c>
      <c r="L6" s="40">
        <v>2464</v>
      </c>
      <c r="M6" s="27">
        <f>700+35+28</f>
        <v>763</v>
      </c>
      <c r="N6" s="28">
        <v>477</v>
      </c>
      <c r="O6" s="28">
        <v>30</v>
      </c>
      <c r="P6" s="25">
        <f>IF(L6 &gt;0,(H6-L6)*I6-M6-N6-O6,0)</f>
        <v>50930</v>
      </c>
      <c r="Q6" s="45">
        <f t="shared" ref="Q6:Q39" si="0">P6/J6</f>
        <v>6.4354308819812994E-2</v>
      </c>
      <c r="R6" s="296">
        <f>P6+P7</f>
        <v>37649</v>
      </c>
      <c r="S6" s="290">
        <f>R6/(J6+J7)</f>
        <v>2.3845082019127242E-2</v>
      </c>
      <c r="T6" s="3"/>
      <c r="U6" s="312">
        <v>43748</v>
      </c>
      <c r="V6" s="313">
        <f>DATEDIF(D6,U6,"d")</f>
        <v>16</v>
      </c>
      <c r="W6" s="304" t="s">
        <v>888</v>
      </c>
      <c r="X6" s="170"/>
      <c r="AA6" s="296">
        <f>YEAR(U6)</f>
        <v>2019</v>
      </c>
      <c r="AB6" s="296">
        <f>MONTH(U6)</f>
        <v>10</v>
      </c>
      <c r="AC6" s="296" t="str">
        <f>IF(R6&gt;0,"○","☓")</f>
        <v>○</v>
      </c>
    </row>
    <row r="7" spans="2:29" x14ac:dyDescent="0.2">
      <c r="B7" s="106"/>
      <c r="C7" s="286"/>
      <c r="D7" s="288"/>
      <c r="E7" s="29" t="s">
        <v>87</v>
      </c>
      <c r="F7" s="29">
        <v>3861</v>
      </c>
      <c r="G7" s="54" t="s">
        <v>38</v>
      </c>
      <c r="H7" s="46">
        <v>525</v>
      </c>
      <c r="I7" s="30">
        <v>1500</v>
      </c>
      <c r="J7" s="47">
        <v>787500</v>
      </c>
      <c r="K7" s="38" t="s">
        <v>93</v>
      </c>
      <c r="L7" s="41">
        <v>518</v>
      </c>
      <c r="M7" s="31">
        <f>700+28+95</f>
        <v>823</v>
      </c>
      <c r="N7" s="32">
        <v>1208</v>
      </c>
      <c r="O7" s="32">
        <v>750</v>
      </c>
      <c r="P7" s="29">
        <f>IF(L7 &gt;0,(L7-H7)*I7-M7-N7-O7,0)</f>
        <v>-13281</v>
      </c>
      <c r="Q7" s="48">
        <f t="shared" si="0"/>
        <v>-1.6864761904761903E-2</v>
      </c>
      <c r="R7" s="291"/>
      <c r="S7" s="291"/>
      <c r="T7" s="3"/>
      <c r="U7" s="312"/>
      <c r="V7" s="313"/>
      <c r="W7" s="305"/>
      <c r="X7" s="170"/>
      <c r="AA7" s="291"/>
      <c r="AB7" s="291"/>
      <c r="AC7" s="291"/>
    </row>
    <row r="8" spans="2:29" x14ac:dyDescent="0.2">
      <c r="B8" s="124" t="s">
        <v>205</v>
      </c>
      <c r="C8" s="285">
        <f>ROW()/2-1</f>
        <v>3</v>
      </c>
      <c r="D8" s="306">
        <v>43747</v>
      </c>
      <c r="E8" s="33" t="s">
        <v>94</v>
      </c>
      <c r="F8" s="33">
        <v>3099</v>
      </c>
      <c r="G8" s="55" t="s">
        <v>37</v>
      </c>
      <c r="H8" s="49">
        <v>872</v>
      </c>
      <c r="I8" s="33">
        <v>1200</v>
      </c>
      <c r="J8" s="33">
        <f t="shared" ref="J8:J13" si="1">H8*I8</f>
        <v>1046400</v>
      </c>
      <c r="K8" s="52" t="s">
        <v>91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289">
        <f>P8+P9</f>
        <v>63304</v>
      </c>
      <c r="S8" s="307">
        <f>R8/(J8+J9)</f>
        <v>3.0952474085663994E-2</v>
      </c>
      <c r="U8" s="308">
        <v>43753</v>
      </c>
      <c r="V8" s="286">
        <f>DATEDIF(D8,U8,"d")</f>
        <v>6</v>
      </c>
      <c r="W8" s="298" t="s">
        <v>890</v>
      </c>
      <c r="X8" s="170"/>
      <c r="AA8" s="296">
        <f>YEAR(U8)</f>
        <v>2019</v>
      </c>
      <c r="AB8" s="296">
        <f>MONTH(U8)</f>
        <v>10</v>
      </c>
      <c r="AC8" s="296" t="str">
        <f>IF(R8&gt;0,"○","☓")</f>
        <v>○</v>
      </c>
    </row>
    <row r="9" spans="2:29" x14ac:dyDescent="0.2">
      <c r="B9" s="106"/>
      <c r="C9" s="286"/>
      <c r="D9" s="288">
        <v>43747</v>
      </c>
      <c r="E9" s="29" t="s">
        <v>87</v>
      </c>
      <c r="F9" s="29">
        <v>7211</v>
      </c>
      <c r="G9" s="54" t="s">
        <v>29</v>
      </c>
      <c r="H9" s="46">
        <v>454</v>
      </c>
      <c r="I9" s="46">
        <v>2200</v>
      </c>
      <c r="J9" s="47">
        <f t="shared" si="1"/>
        <v>998800</v>
      </c>
      <c r="K9" s="38" t="s">
        <v>91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289"/>
      <c r="S9" s="291"/>
      <c r="U9" s="292"/>
      <c r="V9" s="283"/>
      <c r="W9" s="283"/>
      <c r="X9" s="170"/>
      <c r="AA9" s="291"/>
      <c r="AB9" s="291"/>
      <c r="AC9" s="291"/>
    </row>
    <row r="10" spans="2:29" x14ac:dyDescent="0.2">
      <c r="B10" s="124" t="s">
        <v>205</v>
      </c>
      <c r="C10" s="285">
        <f>ROW()/2-1</f>
        <v>4</v>
      </c>
      <c r="D10" s="306">
        <v>43753</v>
      </c>
      <c r="E10" s="128" t="s">
        <v>86</v>
      </c>
      <c r="F10" s="33">
        <v>7453</v>
      </c>
      <c r="G10" s="55" t="s">
        <v>58</v>
      </c>
      <c r="H10" s="49">
        <v>2127</v>
      </c>
      <c r="I10" s="33">
        <v>500</v>
      </c>
      <c r="J10" s="33">
        <f t="shared" si="1"/>
        <v>1063500</v>
      </c>
      <c r="K10" s="52" t="s">
        <v>91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289">
        <f>P10+P11</f>
        <v>-93238.000000000029</v>
      </c>
      <c r="S10" s="290">
        <f>R10/(J10+J11)</f>
        <v>-4.3839777316989466E-2</v>
      </c>
      <c r="U10" s="319">
        <v>43759</v>
      </c>
      <c r="V10" s="283">
        <f>DATEDIF(D10,U10,"d")</f>
        <v>6</v>
      </c>
      <c r="W10" s="320" t="s">
        <v>210</v>
      </c>
      <c r="X10" s="170" t="s">
        <v>226</v>
      </c>
      <c r="AA10" s="296">
        <f>YEAR(U10)</f>
        <v>2019</v>
      </c>
      <c r="AB10" s="296">
        <f>MONTH(U10)</f>
        <v>10</v>
      </c>
      <c r="AC10" s="299" t="str">
        <f>IF(R10&gt;0,"○","☓")</f>
        <v>☓</v>
      </c>
    </row>
    <row r="11" spans="2:29" x14ac:dyDescent="0.2">
      <c r="B11" s="106"/>
      <c r="C11" s="286"/>
      <c r="D11" s="288">
        <v>43748</v>
      </c>
      <c r="E11" s="129" t="s">
        <v>87</v>
      </c>
      <c r="F11" s="29">
        <v>8308</v>
      </c>
      <c r="G11" s="54" t="s">
        <v>56</v>
      </c>
      <c r="H11" s="46">
        <v>462.3</v>
      </c>
      <c r="I11" s="46">
        <v>2300</v>
      </c>
      <c r="J11" s="47">
        <f t="shared" si="1"/>
        <v>1063290</v>
      </c>
      <c r="K11" s="38" t="s">
        <v>91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289"/>
      <c r="S11" s="291"/>
      <c r="U11" s="308"/>
      <c r="V11" s="283"/>
      <c r="W11" s="320"/>
      <c r="X11" s="170" t="s">
        <v>227</v>
      </c>
      <c r="AA11" s="291"/>
      <c r="AB11" s="291"/>
      <c r="AC11" s="300"/>
    </row>
    <row r="12" spans="2:29" x14ac:dyDescent="0.2">
      <c r="B12" s="124" t="s">
        <v>205</v>
      </c>
      <c r="C12" s="311">
        <f>ROW()/2-1</f>
        <v>5</v>
      </c>
      <c r="D12" s="287">
        <v>43742</v>
      </c>
      <c r="E12" s="25" t="s">
        <v>86</v>
      </c>
      <c r="F12" s="25">
        <v>8750</v>
      </c>
      <c r="G12" s="53" t="s">
        <v>31</v>
      </c>
      <c r="H12" s="43">
        <v>1635</v>
      </c>
      <c r="I12" s="26">
        <v>600</v>
      </c>
      <c r="J12" s="44">
        <f t="shared" si="1"/>
        <v>981000</v>
      </c>
      <c r="K12" s="37" t="s">
        <v>92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18">
        <f>P12+P13</f>
        <v>-11052.999999999898</v>
      </c>
      <c r="S12" s="307">
        <f>R12/(J12+J13)</f>
        <v>-5.6554672757562954E-3</v>
      </c>
      <c r="U12" s="319">
        <v>43759</v>
      </c>
      <c r="V12" s="283">
        <f>DATEDIF(D12,U12,"d")</f>
        <v>17</v>
      </c>
      <c r="W12" s="303" t="s">
        <v>888</v>
      </c>
      <c r="X12" s="170"/>
      <c r="AA12" s="296">
        <f>YEAR(U12)</f>
        <v>2019</v>
      </c>
      <c r="AB12" s="296">
        <f>MONTH(U12)</f>
        <v>10</v>
      </c>
      <c r="AC12" s="299" t="str">
        <f>IF(R12&gt;0,"○","☓")</f>
        <v>☓</v>
      </c>
    </row>
    <row r="13" spans="2:29" x14ac:dyDescent="0.2">
      <c r="B13" s="106"/>
      <c r="C13" s="286"/>
      <c r="D13" s="288"/>
      <c r="E13" s="29" t="s">
        <v>87</v>
      </c>
      <c r="F13" s="29">
        <v>8002</v>
      </c>
      <c r="G13" s="54" t="s">
        <v>30</v>
      </c>
      <c r="H13" s="46">
        <v>695.28</v>
      </c>
      <c r="I13" s="30">
        <v>1400</v>
      </c>
      <c r="J13" s="47">
        <f t="shared" si="1"/>
        <v>973392</v>
      </c>
      <c r="K13" s="172" t="s">
        <v>895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289"/>
      <c r="S13" s="291"/>
      <c r="U13" s="308"/>
      <c r="V13" s="283"/>
      <c r="W13" s="303"/>
      <c r="AA13" s="291"/>
      <c r="AB13" s="291"/>
      <c r="AC13" s="300"/>
    </row>
    <row r="14" spans="2:29" s="106" customFormat="1" x14ac:dyDescent="0.2">
      <c r="B14" s="124" t="s">
        <v>205</v>
      </c>
      <c r="C14" s="285">
        <f>ROW()/2-1</f>
        <v>6</v>
      </c>
      <c r="D14" s="287">
        <v>43745</v>
      </c>
      <c r="E14" s="33" t="s">
        <v>86</v>
      </c>
      <c r="F14" s="33">
        <v>6770</v>
      </c>
      <c r="G14" s="55" t="s">
        <v>25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92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289">
        <f>P14+P15</f>
        <v>-1197.0000000000437</v>
      </c>
      <c r="S14" s="290">
        <f>R14/(J14+J15)</f>
        <v>-7.1541831052504275E-4</v>
      </c>
      <c r="U14" s="292">
        <v>43761</v>
      </c>
      <c r="V14" s="283">
        <f>DATEDIF(D14,U14,"d")</f>
        <v>16</v>
      </c>
      <c r="W14" s="303" t="s">
        <v>888</v>
      </c>
      <c r="X14" s="170"/>
      <c r="AA14" s="296">
        <f>YEAR(U14)</f>
        <v>2019</v>
      </c>
      <c r="AB14" s="296">
        <f>MONTH(U14)</f>
        <v>10</v>
      </c>
      <c r="AC14" s="299" t="str">
        <f>IF(R14&gt;0,"○","☓")</f>
        <v>☓</v>
      </c>
    </row>
    <row r="15" spans="2:29" s="106" customFormat="1" x14ac:dyDescent="0.2">
      <c r="C15" s="286"/>
      <c r="D15" s="288">
        <v>43745</v>
      </c>
      <c r="E15" s="29" t="s">
        <v>87</v>
      </c>
      <c r="F15" s="29">
        <v>8601</v>
      </c>
      <c r="G15" s="54" t="s">
        <v>26</v>
      </c>
      <c r="H15" s="46">
        <v>488.91</v>
      </c>
      <c r="I15" s="30">
        <v>1700</v>
      </c>
      <c r="J15" s="47">
        <f t="shared" si="2"/>
        <v>831147</v>
      </c>
      <c r="K15" s="172" t="s">
        <v>77</v>
      </c>
      <c r="L15" s="41">
        <v>499</v>
      </c>
      <c r="M15" s="31">
        <f>487+582</f>
        <v>1069</v>
      </c>
      <c r="N15" s="169">
        <v>0</v>
      </c>
      <c r="O15" s="169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289"/>
      <c r="S15" s="291"/>
      <c r="U15" s="283"/>
      <c r="V15" s="283"/>
      <c r="W15" s="303"/>
      <c r="AA15" s="291"/>
      <c r="AB15" s="291"/>
      <c r="AC15" s="300"/>
    </row>
    <row r="16" spans="2:29" s="106" customFormat="1" x14ac:dyDescent="0.2">
      <c r="B16" s="124" t="s">
        <v>205</v>
      </c>
      <c r="C16" s="285">
        <f>ROW()/2-1</f>
        <v>7</v>
      </c>
      <c r="D16" s="287">
        <v>43745</v>
      </c>
      <c r="E16" s="33" t="s">
        <v>86</v>
      </c>
      <c r="F16" s="33">
        <v>5803</v>
      </c>
      <c r="G16" s="55" t="s">
        <v>27</v>
      </c>
      <c r="H16" s="49">
        <v>413</v>
      </c>
      <c r="I16" s="34">
        <v>1700</v>
      </c>
      <c r="J16" s="50">
        <f t="shared" si="2"/>
        <v>702100</v>
      </c>
      <c r="K16" s="39" t="s">
        <v>92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289">
        <f>P16+P17</f>
        <v>-16483</v>
      </c>
      <c r="S16" s="290">
        <f>R16/(J16+J17)</f>
        <v>-1.1926054554663194E-2</v>
      </c>
      <c r="U16" s="292">
        <v>43761</v>
      </c>
      <c r="V16" s="283">
        <f>DATEDIF(D16,U16,"d")</f>
        <v>16</v>
      </c>
      <c r="W16" s="303" t="s">
        <v>888</v>
      </c>
      <c r="X16" s="170"/>
      <c r="AA16" s="296">
        <f>YEAR(U16)</f>
        <v>2019</v>
      </c>
      <c r="AB16" s="296">
        <f>MONTH(U16)</f>
        <v>10</v>
      </c>
      <c r="AC16" s="299" t="str">
        <f>IF(R16&gt;0,"○","☓")</f>
        <v>☓</v>
      </c>
    </row>
    <row r="17" spans="2:29" s="106" customFormat="1" x14ac:dyDescent="0.2">
      <c r="C17" s="286"/>
      <c r="D17" s="288">
        <v>43745</v>
      </c>
      <c r="E17" s="29" t="s">
        <v>87</v>
      </c>
      <c r="F17" s="29">
        <v>7259</v>
      </c>
      <c r="G17" s="54" t="s">
        <v>28</v>
      </c>
      <c r="H17" s="46">
        <v>3400</v>
      </c>
      <c r="I17" s="46">
        <v>200</v>
      </c>
      <c r="J17" s="47">
        <f t="shared" si="2"/>
        <v>680000</v>
      </c>
      <c r="K17" s="172" t="s">
        <v>77</v>
      </c>
      <c r="L17" s="41">
        <v>3720</v>
      </c>
      <c r="M17" s="31">
        <f>487+582</f>
        <v>1069</v>
      </c>
      <c r="N17" s="169">
        <v>0</v>
      </c>
      <c r="O17" s="169">
        <v>0</v>
      </c>
      <c r="P17" s="29">
        <f>IF(L17 &gt;0,(L17-H17)*I17-M17-N17-O17,0)</f>
        <v>62931</v>
      </c>
      <c r="Q17" s="48">
        <f t="shared" si="0"/>
        <v>9.2545588235294116E-2</v>
      </c>
      <c r="R17" s="289"/>
      <c r="S17" s="291"/>
      <c r="U17" s="283"/>
      <c r="V17" s="283"/>
      <c r="W17" s="303"/>
      <c r="AA17" s="291"/>
      <c r="AB17" s="291"/>
      <c r="AC17" s="300"/>
    </row>
    <row r="18" spans="2:29" s="106" customFormat="1" x14ac:dyDescent="0.2">
      <c r="B18" s="124" t="s">
        <v>205</v>
      </c>
      <c r="C18" s="285">
        <f>ROW()/2-1</f>
        <v>8</v>
      </c>
      <c r="D18" s="287">
        <v>43748</v>
      </c>
      <c r="E18" s="33" t="s">
        <v>86</v>
      </c>
      <c r="F18" s="33">
        <v>7186</v>
      </c>
      <c r="G18" s="55" t="s">
        <v>88</v>
      </c>
      <c r="H18" s="49">
        <v>410</v>
      </c>
      <c r="I18" s="33">
        <v>1800</v>
      </c>
      <c r="J18" s="33">
        <f t="shared" si="2"/>
        <v>738000</v>
      </c>
      <c r="K18" s="52" t="s">
        <v>91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289">
        <f>P18+P19</f>
        <v>-4757</v>
      </c>
      <c r="S18" s="290">
        <f>R18/(J18+J19)</f>
        <v>-3.2102847887704143E-3</v>
      </c>
      <c r="U18" s="292">
        <v>43767</v>
      </c>
      <c r="V18" s="283">
        <f>DATEDIF(D18,U18,"d")</f>
        <v>19</v>
      </c>
      <c r="W18" s="303" t="s">
        <v>888</v>
      </c>
      <c r="X18" s="226"/>
      <c r="AA18" s="296">
        <f>YEAR(U18)</f>
        <v>2019</v>
      </c>
      <c r="AB18" s="296">
        <f>MONTH(U18)</f>
        <v>10</v>
      </c>
      <c r="AC18" s="299" t="str">
        <f>IF(R18&gt;0,"○","☓")</f>
        <v>☓</v>
      </c>
    </row>
    <row r="19" spans="2:29" s="106" customFormat="1" x14ac:dyDescent="0.2">
      <c r="C19" s="286"/>
      <c r="D19" s="288">
        <v>43748</v>
      </c>
      <c r="E19" s="29" t="s">
        <v>87</v>
      </c>
      <c r="F19" s="29">
        <v>8309</v>
      </c>
      <c r="G19" s="54" t="s">
        <v>89</v>
      </c>
      <c r="H19" s="46">
        <v>3719</v>
      </c>
      <c r="I19" s="46">
        <v>200</v>
      </c>
      <c r="J19" s="47">
        <f t="shared" si="2"/>
        <v>743800</v>
      </c>
      <c r="K19" s="38" t="s">
        <v>91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289"/>
      <c r="S19" s="291"/>
      <c r="U19" s="283"/>
      <c r="V19" s="283"/>
      <c r="W19" s="303"/>
      <c r="X19" s="226"/>
      <c r="AA19" s="291"/>
      <c r="AB19" s="291"/>
      <c r="AC19" s="300"/>
    </row>
    <row r="20" spans="2:29" x14ac:dyDescent="0.2">
      <c r="B20" s="124" t="s">
        <v>205</v>
      </c>
      <c r="C20" s="285">
        <f>ROW()/2-1</f>
        <v>9</v>
      </c>
      <c r="D20" s="287">
        <v>43782</v>
      </c>
      <c r="E20" s="33" t="s">
        <v>86</v>
      </c>
      <c r="F20" s="33">
        <v>1820</v>
      </c>
      <c r="G20" s="55" t="s">
        <v>68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91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289">
        <f>P20+P21</f>
        <v>485995</v>
      </c>
      <c r="S20" s="290">
        <f>R20/(J20+J21)</f>
        <v>0.25451000559299347</v>
      </c>
      <c r="U20" s="292">
        <v>43789</v>
      </c>
      <c r="V20" s="283">
        <f>DATEDIF(D20,U20,"d")</f>
        <v>7</v>
      </c>
      <c r="W20" s="298" t="s">
        <v>228</v>
      </c>
      <c r="X20" s="226" t="s">
        <v>2148</v>
      </c>
      <c r="AA20" s="296">
        <f>YEAR(U20)</f>
        <v>2019</v>
      </c>
      <c r="AB20" s="296">
        <f>MONTH(U20)</f>
        <v>11</v>
      </c>
      <c r="AC20" s="296" t="str">
        <f>IF(R20&gt;0,"○","☓")</f>
        <v>○</v>
      </c>
    </row>
    <row r="21" spans="2:29" x14ac:dyDescent="0.2">
      <c r="B21" s="106"/>
      <c r="C21" s="286"/>
      <c r="D21" s="288">
        <v>43748</v>
      </c>
      <c r="E21" s="29" t="s">
        <v>87</v>
      </c>
      <c r="F21" s="29">
        <v>4508</v>
      </c>
      <c r="G21" s="54" t="s">
        <v>236</v>
      </c>
      <c r="H21" s="46">
        <v>1338.76</v>
      </c>
      <c r="I21" s="46">
        <v>700</v>
      </c>
      <c r="J21" s="47">
        <f t="shared" si="3"/>
        <v>937132</v>
      </c>
      <c r="K21" s="172" t="s">
        <v>77</v>
      </c>
      <c r="L21" s="41">
        <v>2004</v>
      </c>
      <c r="M21" s="31">
        <f>487+582</f>
        <v>1069</v>
      </c>
      <c r="N21" s="169">
        <v>0</v>
      </c>
      <c r="O21" s="169">
        <v>0</v>
      </c>
      <c r="P21" s="29">
        <f>IF(L21 &gt;0,(L21-H21)*I21-M21-N21-O21,0)</f>
        <v>464599</v>
      </c>
      <c r="Q21" s="48">
        <f t="shared" si="0"/>
        <v>0.49576687168936712</v>
      </c>
      <c r="R21" s="289"/>
      <c r="S21" s="291"/>
      <c r="U21" s="283"/>
      <c r="V21" s="283"/>
      <c r="W21" s="283"/>
      <c r="X21" s="106" t="s">
        <v>743</v>
      </c>
      <c r="AA21" s="291"/>
      <c r="AB21" s="291"/>
      <c r="AC21" s="291"/>
    </row>
    <row r="22" spans="2:29" s="106" customFormat="1" x14ac:dyDescent="0.2">
      <c r="B22" s="124" t="s">
        <v>205</v>
      </c>
      <c r="C22" s="285">
        <f>ROW()/2-1</f>
        <v>10</v>
      </c>
      <c r="D22" s="287">
        <v>43782</v>
      </c>
      <c r="E22" s="33" t="s">
        <v>86</v>
      </c>
      <c r="F22" s="33">
        <v>8002</v>
      </c>
      <c r="G22" s="55" t="s">
        <v>30</v>
      </c>
      <c r="H22" s="49">
        <v>814</v>
      </c>
      <c r="I22" s="33">
        <v>1300</v>
      </c>
      <c r="J22" s="50">
        <f t="shared" si="3"/>
        <v>1058200</v>
      </c>
      <c r="K22" s="52" t="s">
        <v>91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289">
        <f>P22+P23</f>
        <v>60240.999999999913</v>
      </c>
      <c r="S22" s="290">
        <f>R22/(J22+J23)</f>
        <v>2.8847737807914758E-2</v>
      </c>
      <c r="U22" s="292">
        <v>43790</v>
      </c>
      <c r="V22" s="283">
        <f>DATEDIF(D22,U22,"d")</f>
        <v>8</v>
      </c>
      <c r="W22" s="298" t="s">
        <v>228</v>
      </c>
      <c r="X22" s="170"/>
      <c r="AA22" s="296">
        <f>YEAR(U22)</f>
        <v>2019</v>
      </c>
      <c r="AB22" s="296">
        <f>MONTH(U22)</f>
        <v>11</v>
      </c>
      <c r="AC22" s="296" t="str">
        <f>IF(R22&gt;0,"○","☓")</f>
        <v>○</v>
      </c>
    </row>
    <row r="23" spans="2:29" s="106" customFormat="1" x14ac:dyDescent="0.2">
      <c r="C23" s="286"/>
      <c r="D23" s="288">
        <v>43748</v>
      </c>
      <c r="E23" s="29" t="s">
        <v>87</v>
      </c>
      <c r="F23" s="29">
        <v>8601</v>
      </c>
      <c r="G23" s="54" t="s">
        <v>26</v>
      </c>
      <c r="H23" s="46">
        <v>515.02</v>
      </c>
      <c r="I23" s="46">
        <v>2000</v>
      </c>
      <c r="J23" s="47">
        <f t="shared" si="3"/>
        <v>1030040</v>
      </c>
      <c r="K23" s="172" t="s">
        <v>77</v>
      </c>
      <c r="L23" s="41">
        <v>533.29999999999995</v>
      </c>
      <c r="M23" s="31">
        <f>487+582</f>
        <v>1069</v>
      </c>
      <c r="N23" s="130">
        <v>0</v>
      </c>
      <c r="O23" s="169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289"/>
      <c r="S23" s="291"/>
      <c r="U23" s="283"/>
      <c r="V23" s="283"/>
      <c r="W23" s="283"/>
      <c r="AA23" s="291"/>
      <c r="AB23" s="291"/>
      <c r="AC23" s="291"/>
    </row>
    <row r="24" spans="2:29" s="106" customFormat="1" x14ac:dyDescent="0.2">
      <c r="B24" s="124" t="s">
        <v>205</v>
      </c>
      <c r="C24" s="285">
        <f>ROW()/2-1</f>
        <v>11</v>
      </c>
      <c r="D24" s="287">
        <v>43783</v>
      </c>
      <c r="E24" s="33" t="s">
        <v>86</v>
      </c>
      <c r="F24" s="33">
        <v>3105</v>
      </c>
      <c r="G24" s="55" t="s">
        <v>52</v>
      </c>
      <c r="H24" s="49">
        <v>970</v>
      </c>
      <c r="I24" s="33">
        <v>1100</v>
      </c>
      <c r="J24" s="50">
        <f t="shared" si="3"/>
        <v>1067000</v>
      </c>
      <c r="K24" s="52" t="s">
        <v>91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289">
        <f>P24+P25</f>
        <v>-59214</v>
      </c>
      <c r="S24" s="290">
        <f>R24/(J24+J25)</f>
        <v>-2.7894290559638213E-2</v>
      </c>
      <c r="U24" s="292">
        <v>43798</v>
      </c>
      <c r="V24" s="283">
        <f>DATEDIF(D24,U24,"d")</f>
        <v>15</v>
      </c>
      <c r="W24" s="301" t="s">
        <v>210</v>
      </c>
      <c r="X24" s="170"/>
      <c r="AA24" s="296">
        <f>YEAR(U24)</f>
        <v>2019</v>
      </c>
      <c r="AB24" s="296">
        <f>MONTH(U24)</f>
        <v>11</v>
      </c>
      <c r="AC24" s="296" t="str">
        <f>IF(R24&gt;0,"○","☓")</f>
        <v>☓</v>
      </c>
    </row>
    <row r="25" spans="2:29" s="106" customFormat="1" x14ac:dyDescent="0.2">
      <c r="C25" s="286"/>
      <c r="D25" s="288">
        <v>43748</v>
      </c>
      <c r="E25" s="29" t="s">
        <v>87</v>
      </c>
      <c r="F25" s="29">
        <v>6301</v>
      </c>
      <c r="G25" s="54" t="s">
        <v>62</v>
      </c>
      <c r="H25" s="46">
        <v>2639.5</v>
      </c>
      <c r="I25" s="46">
        <v>400</v>
      </c>
      <c r="J25" s="47">
        <f t="shared" si="3"/>
        <v>1055800</v>
      </c>
      <c r="K25" s="38" t="s">
        <v>77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289"/>
      <c r="S25" s="291"/>
      <c r="U25" s="283"/>
      <c r="V25" s="283"/>
      <c r="W25" s="302"/>
      <c r="X25" s="170"/>
      <c r="AA25" s="291"/>
      <c r="AB25" s="291"/>
      <c r="AC25" s="291"/>
    </row>
    <row r="26" spans="2:29" s="106" customFormat="1" x14ac:dyDescent="0.2">
      <c r="B26" s="124" t="s">
        <v>205</v>
      </c>
      <c r="C26" s="285">
        <f>ROW()/2-1</f>
        <v>12</v>
      </c>
      <c r="D26" s="287">
        <v>43784</v>
      </c>
      <c r="E26" s="33" t="s">
        <v>86</v>
      </c>
      <c r="F26" s="33">
        <v>6770</v>
      </c>
      <c r="G26" s="55" t="s">
        <v>25</v>
      </c>
      <c r="H26" s="49">
        <v>2386</v>
      </c>
      <c r="I26" s="33">
        <v>400</v>
      </c>
      <c r="J26" s="50">
        <f t="shared" si="3"/>
        <v>954400</v>
      </c>
      <c r="K26" s="52" t="s">
        <v>896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289">
        <f>P26+P27</f>
        <v>-23558</v>
      </c>
      <c r="S26" s="290">
        <f>R26/(J26+J27)</f>
        <v>-1.2410704878305763E-2</v>
      </c>
      <c r="U26" s="292">
        <v>43802</v>
      </c>
      <c r="V26" s="283">
        <f>DATEDIF(D26,U26,"d")</f>
        <v>18</v>
      </c>
      <c r="W26" s="321" t="s">
        <v>888</v>
      </c>
      <c r="X26" s="170"/>
      <c r="AA26" s="296">
        <f>YEAR(U26)</f>
        <v>2019</v>
      </c>
      <c r="AB26" s="296">
        <f>MONTH(U26)</f>
        <v>12</v>
      </c>
      <c r="AC26" s="296" t="str">
        <f>IF(R26&gt;0,"○","☓")</f>
        <v>☓</v>
      </c>
    </row>
    <row r="27" spans="2:29" s="106" customFormat="1" x14ac:dyDescent="0.2">
      <c r="C27" s="286"/>
      <c r="D27" s="288">
        <v>43748</v>
      </c>
      <c r="E27" s="29" t="s">
        <v>87</v>
      </c>
      <c r="F27" s="29">
        <v>1911</v>
      </c>
      <c r="G27" s="54" t="s">
        <v>57</v>
      </c>
      <c r="H27" s="46">
        <v>1573</v>
      </c>
      <c r="I27" s="46">
        <v>600</v>
      </c>
      <c r="J27" s="47">
        <f t="shared" si="3"/>
        <v>943800</v>
      </c>
      <c r="K27" s="171" t="s">
        <v>92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289"/>
      <c r="S27" s="291"/>
      <c r="U27" s="283"/>
      <c r="V27" s="283"/>
      <c r="W27" s="322"/>
      <c r="X27" s="170"/>
      <c r="AA27" s="291"/>
      <c r="AB27" s="291"/>
      <c r="AC27" s="291"/>
    </row>
    <row r="28" spans="2:29" s="106" customFormat="1" x14ac:dyDescent="0.2">
      <c r="B28" s="124" t="s">
        <v>205</v>
      </c>
      <c r="C28" s="285">
        <v>13</v>
      </c>
      <c r="D28" s="287">
        <v>43789</v>
      </c>
      <c r="E28" s="33" t="s">
        <v>86</v>
      </c>
      <c r="F28" s="33">
        <v>4182</v>
      </c>
      <c r="G28" s="55" t="s">
        <v>50</v>
      </c>
      <c r="H28" s="49">
        <v>1627</v>
      </c>
      <c r="I28" s="33">
        <v>600</v>
      </c>
      <c r="J28" s="50">
        <v>976200</v>
      </c>
      <c r="K28" s="52" t="s">
        <v>91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289">
        <v>54150</v>
      </c>
      <c r="S28" s="290">
        <v>2.7799999999999998E-2</v>
      </c>
      <c r="U28" s="292">
        <v>43805</v>
      </c>
      <c r="V28" s="283">
        <v>15</v>
      </c>
      <c r="W28" s="298" t="s">
        <v>864</v>
      </c>
      <c r="X28" s="170"/>
      <c r="AA28" s="296">
        <f>YEAR(U28)</f>
        <v>2019</v>
      </c>
      <c r="AB28" s="296">
        <f>MONTH(U28)</f>
        <v>12</v>
      </c>
      <c r="AC28" s="296" t="str">
        <f>IF(R28&gt;0,"○","☓")</f>
        <v>○</v>
      </c>
    </row>
    <row r="29" spans="2:29" s="106" customFormat="1" x14ac:dyDescent="0.2">
      <c r="C29" s="286"/>
      <c r="D29" s="288">
        <v>43748</v>
      </c>
      <c r="E29" s="29" t="s">
        <v>87</v>
      </c>
      <c r="F29" s="29">
        <v>1824</v>
      </c>
      <c r="G29" s="54" t="s">
        <v>238</v>
      </c>
      <c r="H29" s="46">
        <v>973</v>
      </c>
      <c r="I29" s="46">
        <v>1000</v>
      </c>
      <c r="J29" s="47">
        <v>973000</v>
      </c>
      <c r="K29" s="145" t="s">
        <v>91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289"/>
      <c r="S29" s="291"/>
      <c r="U29" s="283"/>
      <c r="V29" s="283"/>
      <c r="W29" s="283"/>
      <c r="X29" s="170"/>
      <c r="AA29" s="291"/>
      <c r="AB29" s="291"/>
      <c r="AC29" s="291"/>
    </row>
    <row r="30" spans="2:29" s="106" customFormat="1" x14ac:dyDescent="0.2">
      <c r="B30" s="124" t="s">
        <v>205</v>
      </c>
      <c r="C30" s="285">
        <v>14</v>
      </c>
      <c r="D30" s="287">
        <v>43790</v>
      </c>
      <c r="E30" s="33" t="s">
        <v>86</v>
      </c>
      <c r="F30" s="33">
        <v>6995</v>
      </c>
      <c r="G30" s="55" t="s">
        <v>53</v>
      </c>
      <c r="H30" s="49">
        <v>2050</v>
      </c>
      <c r="I30" s="33">
        <v>500</v>
      </c>
      <c r="J30" s="50">
        <f t="shared" ref="J30:J39" si="5">H30*I30</f>
        <v>1025000</v>
      </c>
      <c r="K30" s="52" t="s">
        <v>91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289">
        <f>P30+P31</f>
        <v>33712.972602739726</v>
      </c>
      <c r="S30" s="290">
        <f>R30/(J30+J31)</f>
        <v>1.6402146834066229E-2</v>
      </c>
      <c r="U30" s="292">
        <v>43808</v>
      </c>
      <c r="V30" s="283">
        <f>IF(U30&gt;D30,DATEDIF(D30,U30,"d"),0)</f>
        <v>18</v>
      </c>
      <c r="W30" s="297" t="s">
        <v>889</v>
      </c>
      <c r="AA30" s="296">
        <f>YEAR(U30)</f>
        <v>2019</v>
      </c>
      <c r="AB30" s="296">
        <f>MONTH(U30)</f>
        <v>12</v>
      </c>
      <c r="AC30" s="296" t="str">
        <f>IF(R30&gt;0,"○","☓")</f>
        <v>○</v>
      </c>
    </row>
    <row r="31" spans="2:29" s="106" customFormat="1" x14ac:dyDescent="0.2">
      <c r="C31" s="286"/>
      <c r="D31" s="288">
        <v>43748</v>
      </c>
      <c r="E31" s="29" t="s">
        <v>87</v>
      </c>
      <c r="F31" s="29">
        <v>6472</v>
      </c>
      <c r="G31" s="54" t="s">
        <v>70</v>
      </c>
      <c r="H31" s="46">
        <v>322</v>
      </c>
      <c r="I31" s="46">
        <v>3200</v>
      </c>
      <c r="J31" s="47">
        <f t="shared" si="5"/>
        <v>1030400</v>
      </c>
      <c r="K31" s="172" t="s">
        <v>77</v>
      </c>
      <c r="L31" s="41">
        <v>353</v>
      </c>
      <c r="M31" s="31">
        <f>487+582</f>
        <v>1069</v>
      </c>
      <c r="N31" s="169">
        <v>0</v>
      </c>
      <c r="O31" s="169">
        <v>0</v>
      </c>
      <c r="P31" s="29">
        <f>IF(L31 &gt;0,(L31-H31)*I31-M31-N31-O31,0)</f>
        <v>98131</v>
      </c>
      <c r="Q31" s="48">
        <f t="shared" si="0"/>
        <v>9.5235830745341615E-2</v>
      </c>
      <c r="R31" s="289"/>
      <c r="S31" s="291"/>
      <c r="U31" s="283"/>
      <c r="V31" s="283"/>
      <c r="W31" s="283"/>
      <c r="AA31" s="291"/>
      <c r="AB31" s="291"/>
      <c r="AC31" s="291"/>
    </row>
    <row r="32" spans="2:29" s="106" customFormat="1" x14ac:dyDescent="0.2">
      <c r="B32" s="124" t="s">
        <v>205</v>
      </c>
      <c r="C32" s="285">
        <v>15</v>
      </c>
      <c r="D32" s="287">
        <v>43791</v>
      </c>
      <c r="E32" s="33" t="s">
        <v>86</v>
      </c>
      <c r="F32" s="33">
        <v>8601</v>
      </c>
      <c r="G32" s="55" t="s">
        <v>26</v>
      </c>
      <c r="H32" s="49">
        <v>533.79999999999995</v>
      </c>
      <c r="I32" s="33">
        <v>2000</v>
      </c>
      <c r="J32" s="50">
        <f t="shared" si="5"/>
        <v>1067600</v>
      </c>
      <c r="K32" s="52" t="s">
        <v>91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289">
        <f>P32+P33</f>
        <v>-7387.9621917808836</v>
      </c>
      <c r="S32" s="290">
        <f>R32/(J32+J33)</f>
        <v>-3.4469872261972761E-3</v>
      </c>
      <c r="U32" s="292">
        <v>43808</v>
      </c>
      <c r="V32" s="283">
        <f>IF(U32&gt;D32,DATEDIF(D32,U32,"d"),0)</f>
        <v>17</v>
      </c>
      <c r="W32" s="297" t="s">
        <v>889</v>
      </c>
      <c r="AA32" s="296">
        <f>YEAR(U32)</f>
        <v>2019</v>
      </c>
      <c r="AB32" s="296">
        <f>MONTH(U32)</f>
        <v>12</v>
      </c>
      <c r="AC32" s="296" t="str">
        <f>IF(R32&gt;0,"○","☓")</f>
        <v>☓</v>
      </c>
    </row>
    <row r="33" spans="2:29" s="106" customFormat="1" x14ac:dyDescent="0.2">
      <c r="C33" s="286"/>
      <c r="D33" s="288">
        <v>43748</v>
      </c>
      <c r="E33" s="29" t="s">
        <v>87</v>
      </c>
      <c r="F33" s="29">
        <v>8308</v>
      </c>
      <c r="G33" s="54" t="s">
        <v>56</v>
      </c>
      <c r="H33" s="46">
        <v>467.7</v>
      </c>
      <c r="I33" s="46">
        <v>2300</v>
      </c>
      <c r="J33" s="47">
        <f t="shared" si="5"/>
        <v>1075710</v>
      </c>
      <c r="K33" s="172" t="s">
        <v>77</v>
      </c>
      <c r="L33" s="41">
        <v>484</v>
      </c>
      <c r="M33" s="31">
        <f>487+582</f>
        <v>1069</v>
      </c>
      <c r="N33" s="169">
        <v>0</v>
      </c>
      <c r="O33" s="169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289"/>
      <c r="S33" s="291"/>
      <c r="U33" s="283"/>
      <c r="V33" s="283"/>
      <c r="W33" s="283"/>
      <c r="AA33" s="291"/>
      <c r="AB33" s="291"/>
      <c r="AC33" s="291"/>
    </row>
    <row r="34" spans="2:29" s="106" customFormat="1" x14ac:dyDescent="0.2">
      <c r="B34" s="124" t="s">
        <v>205</v>
      </c>
      <c r="C34" s="285">
        <v>16</v>
      </c>
      <c r="D34" s="287">
        <v>43802</v>
      </c>
      <c r="E34" s="33" t="s">
        <v>193</v>
      </c>
      <c r="F34" s="33">
        <v>3861</v>
      </c>
      <c r="G34" s="55" t="s">
        <v>38</v>
      </c>
      <c r="H34" s="49">
        <v>616</v>
      </c>
      <c r="I34" s="49">
        <v>1700</v>
      </c>
      <c r="J34" s="50">
        <f t="shared" si="5"/>
        <v>1047200</v>
      </c>
      <c r="K34" s="52" t="s">
        <v>91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289">
        <f>P34+P35</f>
        <v>29274.382465753424</v>
      </c>
      <c r="S34" s="290">
        <f>R34/(J34+J35)</f>
        <v>1.4002861602292846E-2</v>
      </c>
      <c r="U34" s="292">
        <v>43818</v>
      </c>
      <c r="V34" s="283">
        <f>IF(U34&gt;D34,DATEDIF(D34,U34,"d"),0)</f>
        <v>16</v>
      </c>
      <c r="W34" s="284" t="s">
        <v>889</v>
      </c>
      <c r="AA34" s="296">
        <f>YEAR(U34)</f>
        <v>2019</v>
      </c>
      <c r="AB34" s="296">
        <f>MONTH(U34)</f>
        <v>12</v>
      </c>
      <c r="AC34" s="296" t="str">
        <f>IF(R34&gt;0,"○","☓")</f>
        <v>○</v>
      </c>
    </row>
    <row r="35" spans="2:29" s="106" customFormat="1" x14ac:dyDescent="0.2">
      <c r="C35" s="286"/>
      <c r="D35" s="288">
        <v>43748</v>
      </c>
      <c r="E35" s="29" t="s">
        <v>195</v>
      </c>
      <c r="F35" s="29">
        <v>5703</v>
      </c>
      <c r="G35" s="54" t="s">
        <v>233</v>
      </c>
      <c r="H35" s="46">
        <v>222</v>
      </c>
      <c r="I35" s="46">
        <v>4700</v>
      </c>
      <c r="J35" s="47">
        <f t="shared" si="5"/>
        <v>1043400</v>
      </c>
      <c r="K35" s="145" t="s">
        <v>91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20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289"/>
      <c r="S35" s="291"/>
      <c r="U35" s="283"/>
      <c r="V35" s="283"/>
      <c r="W35" s="283"/>
      <c r="AA35" s="291"/>
      <c r="AB35" s="291"/>
      <c r="AC35" s="291"/>
    </row>
    <row r="36" spans="2:29" s="106" customFormat="1" x14ac:dyDescent="0.2">
      <c r="B36" s="124" t="s">
        <v>205</v>
      </c>
      <c r="C36" s="285">
        <v>17</v>
      </c>
      <c r="D36" s="287">
        <v>43808</v>
      </c>
      <c r="E36" s="33" t="s">
        <v>193</v>
      </c>
      <c r="F36" s="33">
        <v>5991</v>
      </c>
      <c r="G36" s="55" t="s">
        <v>2331</v>
      </c>
      <c r="H36" s="49">
        <v>1013</v>
      </c>
      <c r="I36" s="49">
        <v>900</v>
      </c>
      <c r="J36" s="50">
        <f t="shared" si="5"/>
        <v>911700</v>
      </c>
      <c r="K36" s="52" t="s">
        <v>91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289">
        <f>P36+P37</f>
        <v>-25646.869041095888</v>
      </c>
      <c r="S36" s="290">
        <f>R36/(J36+J37)</f>
        <v>-1.376865251575449E-2</v>
      </c>
      <c r="U36" s="292">
        <v>43824</v>
      </c>
      <c r="V36" s="283">
        <f>IF(U36&gt;D36,DATEDIF(D36,U36,"d"),0)</f>
        <v>16</v>
      </c>
      <c r="W36" s="284" t="s">
        <v>889</v>
      </c>
      <c r="AA36" s="296">
        <f>YEAR(U36)</f>
        <v>2019</v>
      </c>
      <c r="AB36" s="296">
        <f>MONTH(U36)</f>
        <v>12</v>
      </c>
      <c r="AC36" s="296" t="str">
        <f>IF(R36&gt;0,"○","☓")</f>
        <v>☓</v>
      </c>
    </row>
    <row r="37" spans="2:29" s="106" customFormat="1" x14ac:dyDescent="0.2">
      <c r="B37" s="124"/>
      <c r="C37" s="286"/>
      <c r="D37" s="288">
        <v>43748</v>
      </c>
      <c r="E37" s="29" t="s">
        <v>195</v>
      </c>
      <c r="F37" s="29">
        <v>7267</v>
      </c>
      <c r="G37" s="54" t="s">
        <v>67</v>
      </c>
      <c r="H37" s="46">
        <v>3170</v>
      </c>
      <c r="I37" s="46">
        <v>300</v>
      </c>
      <c r="J37" s="47">
        <f t="shared" si="5"/>
        <v>951000</v>
      </c>
      <c r="K37" s="145" t="s">
        <v>91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81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289"/>
      <c r="S37" s="291"/>
      <c r="U37" s="283"/>
      <c r="V37" s="283"/>
      <c r="W37" s="283"/>
      <c r="AA37" s="291"/>
      <c r="AB37" s="291"/>
      <c r="AC37" s="291"/>
    </row>
    <row r="38" spans="2:29" s="106" customFormat="1" x14ac:dyDescent="0.2">
      <c r="B38" s="124" t="s">
        <v>205</v>
      </c>
      <c r="C38" s="285">
        <f>ROW()/2-1</f>
        <v>18</v>
      </c>
      <c r="D38" s="287">
        <v>43809</v>
      </c>
      <c r="E38" s="33" t="s">
        <v>193</v>
      </c>
      <c r="F38" s="33">
        <v>6471</v>
      </c>
      <c r="G38" s="55" t="s">
        <v>2601</v>
      </c>
      <c r="H38" s="49">
        <v>1067</v>
      </c>
      <c r="I38" s="49">
        <v>1000</v>
      </c>
      <c r="J38" s="50">
        <f t="shared" si="5"/>
        <v>1067000</v>
      </c>
      <c r="K38" s="52" t="s">
        <v>91</v>
      </c>
      <c r="L38" s="49"/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0</v>
      </c>
      <c r="Q38" s="51">
        <f t="shared" si="0"/>
        <v>0</v>
      </c>
      <c r="R38" s="289">
        <f>P38+P39</f>
        <v>0</v>
      </c>
      <c r="S38" s="290">
        <f>R38/(J38+J39)</f>
        <v>0</v>
      </c>
      <c r="U38" s="292">
        <v>43826</v>
      </c>
      <c r="V38" s="283">
        <f>IF(U38&gt;D38,DATEDIF(D38,U38,"d"),0)</f>
        <v>17</v>
      </c>
      <c r="W38" s="284" t="s">
        <v>889</v>
      </c>
      <c r="X38" s="279" t="s">
        <v>2604</v>
      </c>
    </row>
    <row r="39" spans="2:29" s="106" customFormat="1" x14ac:dyDescent="0.2">
      <c r="B39" s="124" t="s">
        <v>2603</v>
      </c>
      <c r="C39" s="286"/>
      <c r="D39" s="288">
        <v>43748</v>
      </c>
      <c r="E39" s="29" t="s">
        <v>195</v>
      </c>
      <c r="F39" s="29">
        <v>6473</v>
      </c>
      <c r="G39" s="54" t="s">
        <v>2602</v>
      </c>
      <c r="H39" s="46">
        <v>1360</v>
      </c>
      <c r="I39" s="46">
        <v>800</v>
      </c>
      <c r="J39" s="47">
        <f t="shared" si="5"/>
        <v>1088000</v>
      </c>
      <c r="K39" s="145" t="s">
        <v>91</v>
      </c>
      <c r="L39" s="41"/>
      <c r="M39" s="31">
        <v>770</v>
      </c>
      <c r="N39" s="146">
        <f>IF(OR(K39="現物",J39=0),0,IF(E39="売",J39*Fee_Refer!$B$12/365*V39, J39*Fee_Refer!$B$11/365*V38))</f>
        <v>1418.8712328767124</v>
      </c>
      <c r="O39" s="282">
        <v>0</v>
      </c>
      <c r="P39" s="148">
        <f>IF(L39&gt;0,(L39-H39)*I39-M39-N39-O39,0)</f>
        <v>0</v>
      </c>
      <c r="Q39" s="48">
        <f t="shared" si="0"/>
        <v>0</v>
      </c>
      <c r="R39" s="289"/>
      <c r="S39" s="291"/>
      <c r="U39" s="283"/>
      <c r="V39" s="283"/>
      <c r="W39" s="283"/>
    </row>
  </sheetData>
  <autoFilter ref="B3:AC23"/>
  <mergeCells count="177">
    <mergeCell ref="C38:C39"/>
    <mergeCell ref="D38:D39"/>
    <mergeCell ref="R38:R39"/>
    <mergeCell ref="S38:S39"/>
    <mergeCell ref="U38:U39"/>
    <mergeCell ref="V38:V39"/>
    <mergeCell ref="W38:W39"/>
    <mergeCell ref="C26:C27"/>
    <mergeCell ref="D26:D27"/>
    <mergeCell ref="R26:R27"/>
    <mergeCell ref="S26:S27"/>
    <mergeCell ref="U26:U27"/>
    <mergeCell ref="AA34:AA35"/>
    <mergeCell ref="AB34:AB35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C30:C31"/>
    <mergeCell ref="D30:D31"/>
    <mergeCell ref="R30:R31"/>
    <mergeCell ref="S30:S31"/>
    <mergeCell ref="U30:U31"/>
    <mergeCell ref="V30:V31"/>
    <mergeCell ref="W30:W31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C32:C33"/>
    <mergeCell ref="D32:D33"/>
    <mergeCell ref="R32:R33"/>
    <mergeCell ref="AA28:AA29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39" display="Check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7"/>
  <sheetViews>
    <sheetView showGridLines="0" workbookViewId="0">
      <selection activeCell="G41" sqref="G41"/>
    </sheetView>
  </sheetViews>
  <sheetFormatPr defaultRowHeight="14.25" x14ac:dyDescent="0.2"/>
  <sheetData>
    <row r="27" spans="1:1" x14ac:dyDescent="0.2">
      <c r="A27" s="16" t="s">
        <v>41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4"/>
  <sheetViews>
    <sheetView showGridLines="0" zoomScaleNormal="100" workbookViewId="0">
      <selection activeCell="I37" sqref="I37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6384" width="9" style="106"/>
  </cols>
  <sheetData>
    <row r="1" spans="1:23" ht="21" customHeight="1" thickBot="1" x14ac:dyDescent="0.25">
      <c r="A1" s="168" t="s">
        <v>887</v>
      </c>
    </row>
    <row r="2" spans="1:23" ht="59.25" customHeight="1" x14ac:dyDescent="0.2">
      <c r="A2" s="152" t="s">
        <v>865</v>
      </c>
      <c r="B2" s="153" t="s">
        <v>866</v>
      </c>
      <c r="C2" s="154" t="s">
        <v>873</v>
      </c>
      <c r="D2" s="153" t="s">
        <v>874</v>
      </c>
      <c r="E2" s="153" t="s">
        <v>875</v>
      </c>
      <c r="F2" s="154" t="s">
        <v>883</v>
      </c>
      <c r="G2" s="154" t="s">
        <v>884</v>
      </c>
      <c r="H2" s="154" t="s">
        <v>876</v>
      </c>
      <c r="I2" s="154" t="s">
        <v>877</v>
      </c>
      <c r="J2" s="154" t="s">
        <v>878</v>
      </c>
      <c r="K2" s="154" t="s">
        <v>885</v>
      </c>
      <c r="L2" s="154" t="s">
        <v>879</v>
      </c>
      <c r="M2" s="154" t="s">
        <v>867</v>
      </c>
      <c r="N2" s="154" t="s">
        <v>868</v>
      </c>
      <c r="O2" s="154" t="s">
        <v>869</v>
      </c>
      <c r="P2" s="154" t="s">
        <v>880</v>
      </c>
      <c r="Q2" s="155" t="s">
        <v>881</v>
      </c>
      <c r="R2" s="155" t="s">
        <v>870</v>
      </c>
      <c r="S2" s="156" t="s">
        <v>871</v>
      </c>
      <c r="T2" s="156" t="s">
        <v>872</v>
      </c>
      <c r="U2" s="156" t="s">
        <v>886</v>
      </c>
      <c r="V2" s="157" t="s">
        <v>882</v>
      </c>
      <c r="W2" s="151"/>
    </row>
    <row r="3" spans="1:23" x14ac:dyDescent="0.2">
      <c r="A3" s="158">
        <v>2019</v>
      </c>
      <c r="B3" s="158">
        <v>10</v>
      </c>
      <c r="C3" s="159">
        <v>5000000</v>
      </c>
      <c r="D3" s="160">
        <v>-25615.999999999971</v>
      </c>
      <c r="E3" s="161">
        <f>IF(D3 &lt;&gt; 0,D3/C3, 0)</f>
        <v>-5.1231999999999944E-3</v>
      </c>
      <c r="F3" s="160">
        <v>101112</v>
      </c>
      <c r="G3" s="160">
        <v>-126727.99999999997</v>
      </c>
      <c r="H3" s="158">
        <v>8</v>
      </c>
      <c r="I3" s="158">
        <v>3</v>
      </c>
      <c r="J3" s="158">
        <v>5</v>
      </c>
      <c r="K3" s="162">
        <f>IF(H3&lt;&gt;0,I3/H3,0)</f>
        <v>0.375</v>
      </c>
      <c r="L3" s="163">
        <f t="shared" ref="L3:M5" si="0">IF(I3&lt;&gt;0,F3/I3,0)</f>
        <v>33704</v>
      </c>
      <c r="M3" s="164">
        <f t="shared" si="0"/>
        <v>-25345.599999999995</v>
      </c>
      <c r="N3" s="165">
        <v>14</v>
      </c>
      <c r="O3" s="165">
        <v>-93238.000000000029</v>
      </c>
      <c r="P3" s="166">
        <f>IF(C3&lt;&gt;0,O3/C3,0)</f>
        <v>-1.8647600000000007E-2</v>
      </c>
      <c r="Q3" s="167">
        <v>3</v>
      </c>
      <c r="R3" s="167">
        <v>5</v>
      </c>
      <c r="S3" s="167">
        <v>1</v>
      </c>
      <c r="T3" s="167">
        <v>1</v>
      </c>
      <c r="U3" s="167">
        <v>6</v>
      </c>
      <c r="V3" s="167">
        <f>IF(H3&lt;&gt;0,H3-S3-T3-U3,0)</f>
        <v>0</v>
      </c>
    </row>
    <row r="4" spans="1:23" x14ac:dyDescent="0.2">
      <c r="A4" s="158">
        <v>2019</v>
      </c>
      <c r="B4" s="158">
        <v>11</v>
      </c>
      <c r="C4" s="159">
        <f>IF(D3 &lt;&gt; 0,C3+D3, 0)</f>
        <v>4974384</v>
      </c>
      <c r="D4" s="160">
        <v>487021.99999999988</v>
      </c>
      <c r="E4" s="161">
        <f>IF(D4 &lt;&gt; 0,D4/C4, 0)</f>
        <v>9.7905991978102194E-2</v>
      </c>
      <c r="F4" s="160">
        <v>546235.99999999988</v>
      </c>
      <c r="G4" s="160">
        <v>-59214</v>
      </c>
      <c r="H4" s="158">
        <v>3</v>
      </c>
      <c r="I4" s="158">
        <v>2</v>
      </c>
      <c r="J4" s="158">
        <v>1</v>
      </c>
      <c r="K4" s="162">
        <f>IF(H4&lt;&gt;0,I4/H4,0)</f>
        <v>0.66666666666666663</v>
      </c>
      <c r="L4" s="163">
        <f t="shared" si="0"/>
        <v>273117.99999999994</v>
      </c>
      <c r="M4" s="164">
        <f t="shared" si="0"/>
        <v>-59214</v>
      </c>
      <c r="N4" s="165">
        <v>10</v>
      </c>
      <c r="O4" s="165">
        <v>-59214</v>
      </c>
      <c r="P4" s="166">
        <f>IF(C4&lt;&gt;0,O4/C4,0)</f>
        <v>-1.190378547373906E-2</v>
      </c>
      <c r="Q4" s="167">
        <v>2</v>
      </c>
      <c r="R4" s="167">
        <v>1</v>
      </c>
      <c r="S4" s="167">
        <v>2</v>
      </c>
      <c r="T4" s="167">
        <v>1</v>
      </c>
      <c r="U4" s="167">
        <v>0</v>
      </c>
      <c r="V4" s="167">
        <f>IF(H4&lt;&gt;0,H4-S4-T4-U4,0)</f>
        <v>0</v>
      </c>
    </row>
    <row r="5" spans="1:23" x14ac:dyDescent="0.2">
      <c r="A5" s="158">
        <v>2019</v>
      </c>
      <c r="B5" s="158">
        <v>12</v>
      </c>
      <c r="C5" s="159">
        <f>IF(D4 &lt;&gt; 0,C4+D4, 0)</f>
        <v>5461406</v>
      </c>
      <c r="D5" s="160">
        <v>86191.392876712271</v>
      </c>
      <c r="E5" s="161">
        <f>IF(D5 &lt;&gt; 0,D5/C5, 0)</f>
        <v>1.5781905406174211E-2</v>
      </c>
      <c r="F5" s="160">
        <v>117137.35506849315</v>
      </c>
      <c r="G5" s="160">
        <v>-30945.962191780884</v>
      </c>
      <c r="H5" s="158">
        <v>5</v>
      </c>
      <c r="I5" s="158">
        <v>3</v>
      </c>
      <c r="J5" s="158">
        <v>2</v>
      </c>
      <c r="K5" s="162">
        <f>IF(H5&lt;&gt;0,I5/H5,0)</f>
        <v>0.6</v>
      </c>
      <c r="L5" s="163">
        <f t="shared" si="0"/>
        <v>39045.785022831049</v>
      </c>
      <c r="M5" s="164">
        <f t="shared" si="0"/>
        <v>-15472.981095890442</v>
      </c>
      <c r="N5" s="165">
        <v>16.8</v>
      </c>
      <c r="O5" s="165">
        <v>-23558</v>
      </c>
      <c r="P5" s="166">
        <f>IF(C5&lt;&gt;0,O5/C5,0)</f>
        <v>-4.3135412382818636E-3</v>
      </c>
      <c r="Q5" s="167">
        <v>2</v>
      </c>
      <c r="R5" s="167">
        <v>1</v>
      </c>
      <c r="S5" s="167">
        <v>1</v>
      </c>
      <c r="T5" s="167">
        <v>0</v>
      </c>
      <c r="U5" s="167">
        <v>4</v>
      </c>
      <c r="V5" s="167">
        <f>IF(H5&lt;&gt;0,H5-S5-T5-U5,0)</f>
        <v>0</v>
      </c>
    </row>
    <row r="7" spans="1:23" x14ac:dyDescent="0.2">
      <c r="C7" s="10"/>
      <c r="D7" s="10"/>
    </row>
    <row r="14" spans="1:23" x14ac:dyDescent="0.2">
      <c r="A14" s="1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17.update_trade_report">
                <anchor moveWithCells="1" sizeWithCells="1">
                  <from>
                    <xdr:col>3</xdr:col>
                    <xdr:colOff>114300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22"/>
  <sheetViews>
    <sheetView showGridLines="0" topLeftCell="A31" zoomScale="70" zoomScaleNormal="70" workbookViewId="0">
      <selection activeCell="A82" sqref="A82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22.5" customHeight="1" thickBot="1" x14ac:dyDescent="0.25">
      <c r="A1" s="134"/>
      <c r="B1" s="192"/>
      <c r="C1" s="190"/>
      <c r="D1" s="242">
        <v>1</v>
      </c>
      <c r="E1" s="243" t="s">
        <v>2151</v>
      </c>
      <c r="F1" s="244">
        <v>2</v>
      </c>
      <c r="G1" s="189"/>
      <c r="H1" s="193"/>
      <c r="I1" s="136"/>
      <c r="J1" s="137"/>
      <c r="N1" s="173"/>
      <c r="O1" s="194"/>
      <c r="P1" s="135"/>
      <c r="Q1" s="215"/>
      <c r="R1" s="216"/>
      <c r="S1" s="10"/>
      <c r="T1" s="217"/>
      <c r="U1" s="135"/>
    </row>
    <row r="2" spans="1:31" ht="33" customHeight="1" thickBot="1" x14ac:dyDescent="0.25">
      <c r="A2" s="134"/>
      <c r="B2" s="68" t="s">
        <v>1728</v>
      </c>
      <c r="C2" s="60"/>
      <c r="D2" s="59" t="s">
        <v>42</v>
      </c>
      <c r="E2" s="61" t="s">
        <v>43</v>
      </c>
      <c r="F2" s="62" t="s">
        <v>79</v>
      </c>
      <c r="G2" s="62" t="s">
        <v>80</v>
      </c>
      <c r="H2" s="60" t="s">
        <v>22</v>
      </c>
      <c r="I2" s="60" t="s">
        <v>81</v>
      </c>
      <c r="J2" s="62" t="s">
        <v>82</v>
      </c>
      <c r="K2" s="63" t="s">
        <v>103</v>
      </c>
      <c r="L2" s="60" t="s">
        <v>83</v>
      </c>
      <c r="M2" s="63" t="s">
        <v>97</v>
      </c>
      <c r="N2" s="60" t="s">
        <v>190</v>
      </c>
      <c r="O2" s="60" t="s">
        <v>84</v>
      </c>
      <c r="P2" s="63" t="s">
        <v>99</v>
      </c>
      <c r="Q2" s="66" t="s">
        <v>100</v>
      </c>
      <c r="R2" s="66" t="s">
        <v>1729</v>
      </c>
      <c r="S2" s="10"/>
      <c r="T2" s="10"/>
      <c r="U2" s="324" t="s">
        <v>2237</v>
      </c>
      <c r="V2" s="325"/>
      <c r="W2" s="326"/>
      <c r="X2" s="280" t="s">
        <v>2238</v>
      </c>
      <c r="Y2" s="280" t="s">
        <v>2239</v>
      </c>
      <c r="Z2" s="280" t="s">
        <v>2240</v>
      </c>
    </row>
    <row r="3" spans="1:31" ht="22.5" customHeight="1" x14ac:dyDescent="0.2">
      <c r="A3" s="134"/>
      <c r="B3" s="233">
        <v>43809</v>
      </c>
      <c r="C3" s="36" t="s">
        <v>86</v>
      </c>
      <c r="D3" s="36">
        <v>6471</v>
      </c>
      <c r="E3" s="231" t="s">
        <v>2340</v>
      </c>
      <c r="F3" s="234">
        <v>1067</v>
      </c>
      <c r="G3" s="234">
        <v>1000</v>
      </c>
      <c r="H3" s="235">
        <f>F3*G3</f>
        <v>1067000</v>
      </c>
      <c r="I3" s="231" t="s">
        <v>2341</v>
      </c>
      <c r="J3" s="234">
        <v>1031</v>
      </c>
      <c r="K3" s="36">
        <v>770</v>
      </c>
      <c r="L3" s="236">
        <f>IF(OR(I3="現物",H3=0),0,IF(C3="売",H3*Fee_Refer!$B$12/365*T3, H3*Fee_Refer!$B$11/365*#REF!))</f>
        <v>0</v>
      </c>
      <c r="M3" s="231">
        <v>92</v>
      </c>
      <c r="N3" s="237">
        <v>34747.657534246573</v>
      </c>
      <c r="O3" s="238">
        <v>3.2565752140812157E-2</v>
      </c>
      <c r="P3" s="323">
        <v>-8874.2876712328798</v>
      </c>
      <c r="Q3" s="290">
        <v>-4.1179989193656057E-3</v>
      </c>
      <c r="R3" s="289">
        <v>15</v>
      </c>
      <c r="S3" s="10"/>
      <c r="T3" s="10"/>
      <c r="U3" s="327"/>
      <c r="V3" s="328"/>
      <c r="W3" s="329"/>
      <c r="X3" s="333">
        <v>2.07669161483738</v>
      </c>
      <c r="Y3" s="333"/>
      <c r="Z3" s="333">
        <v>1.9781773464135299</v>
      </c>
    </row>
    <row r="4" spans="1:31" ht="22.5" customHeight="1" x14ac:dyDescent="0.2">
      <c r="A4" s="134"/>
      <c r="B4" s="224"/>
      <c r="C4" s="223" t="s">
        <v>87</v>
      </c>
      <c r="D4" s="223">
        <v>6473</v>
      </c>
      <c r="E4" s="232" t="s">
        <v>2333</v>
      </c>
      <c r="F4" s="239">
        <v>1360</v>
      </c>
      <c r="G4" s="239">
        <v>800</v>
      </c>
      <c r="H4" s="240">
        <f>F4*G4</f>
        <v>1088000</v>
      </c>
      <c r="I4" s="232" t="s">
        <v>2341</v>
      </c>
      <c r="J4" s="241">
        <v>1308</v>
      </c>
      <c r="K4" s="31">
        <v>770</v>
      </c>
      <c r="L4" s="146">
        <f>IF(OR(I4="現物",H4=0),0,IF(C4="売",H4*Fee_Refer!$B$12/365*T4, H4*Fee_Refer!$B$11/365*T3))</f>
        <v>0</v>
      </c>
      <c r="M4" s="223">
        <v>408</v>
      </c>
      <c r="N4" s="221">
        <v>-43621.945205479453</v>
      </c>
      <c r="O4" s="222">
        <v>-4.00936996373892E-2</v>
      </c>
      <c r="P4" s="323"/>
      <c r="Q4" s="290"/>
      <c r="R4" s="289"/>
      <c r="S4" s="10"/>
      <c r="T4" s="10"/>
      <c r="U4" s="330"/>
      <c r="V4" s="331"/>
      <c r="W4" s="332"/>
      <c r="X4" s="333"/>
      <c r="Y4" s="333"/>
      <c r="Z4" s="333"/>
    </row>
    <row r="5" spans="1:31" ht="22.5" customHeight="1" thickBot="1" x14ac:dyDescent="0.25">
      <c r="A5" s="134"/>
      <c r="B5" s="192"/>
      <c r="C5" s="190"/>
      <c r="D5" s="191"/>
      <c r="E5" s="189"/>
      <c r="F5" s="189"/>
      <c r="G5" s="189"/>
      <c r="H5" s="193"/>
      <c r="I5" s="136"/>
      <c r="J5" s="137"/>
      <c r="N5" s="173"/>
      <c r="O5" s="194"/>
      <c r="P5" s="135"/>
      <c r="Q5" s="215"/>
    </row>
    <row r="6" spans="1:31" x14ac:dyDescent="0.2">
      <c r="A6" s="205" t="s">
        <v>2150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2342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45" t="s">
        <v>2153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205" t="s">
        <v>1720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19" t="s">
        <v>1724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205" t="s">
        <v>1708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206">
        <v>0.82270363801587754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205" t="s">
        <v>1709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206">
        <v>0.69373878021168012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45" t="s">
        <v>2154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27">
        <f>B3</f>
        <v>43809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27">
        <f>B3</f>
        <v>43809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28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29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30">
        <f>B4</f>
        <v>0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30">
        <f>B4</f>
        <v>0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46" t="s">
        <v>2155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205" t="s">
        <v>2149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0.75502318392581147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205" t="s">
        <v>1708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1188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205" t="s">
        <v>1709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801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18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858</v>
      </c>
      <c r="B81" s="106" t="s">
        <v>2334</v>
      </c>
      <c r="C81" s="106" t="s">
        <v>2335</v>
      </c>
      <c r="D81" s="106" t="s">
        <v>2336</v>
      </c>
      <c r="E81" s="106" t="s">
        <v>2337</v>
      </c>
      <c r="F81" s="106" t="s">
        <v>859</v>
      </c>
      <c r="G81" s="106" t="s">
        <v>860</v>
      </c>
      <c r="H81" s="106" t="s">
        <v>861</v>
      </c>
      <c r="I81" s="106" t="s">
        <v>862</v>
      </c>
      <c r="J81" s="106" t="s">
        <v>863</v>
      </c>
      <c r="K81" s="106" t="s">
        <v>33</v>
      </c>
      <c r="L81" s="106" t="s">
        <v>35</v>
      </c>
      <c r="M81" s="106" t="s">
        <v>34</v>
      </c>
      <c r="N81" s="106" t="s">
        <v>36</v>
      </c>
      <c r="P81" s="106" t="s">
        <v>206</v>
      </c>
      <c r="Q81" s="106" t="s">
        <v>207</v>
      </c>
      <c r="R81" s="106" t="s">
        <v>208</v>
      </c>
      <c r="S81" s="106" t="s">
        <v>209</v>
      </c>
      <c r="U81" s="106" t="s">
        <v>1730</v>
      </c>
      <c r="V81" s="106" t="s">
        <v>1731</v>
      </c>
      <c r="W81" s="106" t="s">
        <v>1732</v>
      </c>
      <c r="X81" s="106" t="s">
        <v>1733</v>
      </c>
      <c r="Y81" s="106" t="s">
        <v>858</v>
      </c>
      <c r="AA81" s="106" t="s">
        <v>2338</v>
      </c>
      <c r="AB81" s="106" t="s">
        <v>2339</v>
      </c>
    </row>
    <row r="82" spans="1:28" x14ac:dyDescent="0.2">
      <c r="A82" s="14">
        <v>43819</v>
      </c>
      <c r="B82" s="106">
        <v>1064</v>
      </c>
      <c r="C82" s="106">
        <v>1063</v>
      </c>
      <c r="D82" s="106">
        <v>1354</v>
      </c>
      <c r="E82" s="106">
        <v>1342</v>
      </c>
      <c r="F82" s="106">
        <v>0.79210134128166898</v>
      </c>
      <c r="G82" s="106">
        <v>0.76050602050140803</v>
      </c>
      <c r="H82" s="106">
        <v>1.5971935396764999E-2</v>
      </c>
      <c r="I82" s="106">
        <v>1.9781773464135299</v>
      </c>
      <c r="J82" s="106">
        <v>3.99</v>
      </c>
      <c r="K82" s="106">
        <v>0.93739788392204504</v>
      </c>
      <c r="L82" s="106">
        <v>0.43008169603178298</v>
      </c>
      <c r="M82" s="106">
        <v>0.95216309661718701</v>
      </c>
      <c r="N82" s="106">
        <v>2.33846693365517E-2</v>
      </c>
      <c r="P82" s="106">
        <v>0.77647795589817303</v>
      </c>
      <c r="Q82" s="106">
        <v>0.74453408510464303</v>
      </c>
      <c r="R82" s="106">
        <v>0.79244989129493804</v>
      </c>
      <c r="S82" s="106">
        <v>0.72856214970787803</v>
      </c>
      <c r="U82" s="106">
        <v>3230</v>
      </c>
      <c r="V82" s="106">
        <v>-15170</v>
      </c>
      <c r="W82" s="106">
        <v>-11940</v>
      </c>
      <c r="X82" s="106">
        <v>-0.55406032482598599</v>
      </c>
      <c r="Y82" s="14">
        <v>43819</v>
      </c>
      <c r="AA82" s="106">
        <v>1063</v>
      </c>
      <c r="AB82" s="106">
        <v>1013.241112828439</v>
      </c>
    </row>
    <row r="83" spans="1:28" x14ac:dyDescent="0.2">
      <c r="A83" s="14">
        <v>43818</v>
      </c>
      <c r="B83" s="106">
        <v>1056</v>
      </c>
      <c r="C83" s="106">
        <v>1064</v>
      </c>
      <c r="D83" s="106">
        <v>1353</v>
      </c>
      <c r="E83" s="106">
        <v>1349</v>
      </c>
      <c r="F83" s="106">
        <v>0.78873239436619702</v>
      </c>
      <c r="G83" s="106">
        <v>0.75980578039543001</v>
      </c>
      <c r="H83" s="106">
        <v>1.5720654503574499E-2</v>
      </c>
      <c r="I83" s="106">
        <v>1.8400387823668201</v>
      </c>
      <c r="J83" s="106">
        <v>3.67</v>
      </c>
      <c r="K83" s="106">
        <v>0.94050791002112</v>
      </c>
      <c r="L83" s="106">
        <v>0.47442998666439901</v>
      </c>
      <c r="M83" s="106">
        <v>0.95258436422025405</v>
      </c>
      <c r="N83" s="106">
        <v>2.5158703485199999E-2</v>
      </c>
      <c r="P83" s="106">
        <v>0.77552643489900452</v>
      </c>
      <c r="Q83" s="106">
        <v>0.74408512589185549</v>
      </c>
      <c r="R83" s="106">
        <v>0.79124708940257904</v>
      </c>
      <c r="S83" s="106">
        <v>0.72836447138828098</v>
      </c>
      <c r="U83" s="106">
        <v>2230</v>
      </c>
      <c r="V83" s="106">
        <v>-9570</v>
      </c>
      <c r="W83" s="106">
        <v>-7340</v>
      </c>
      <c r="X83" s="106">
        <v>-0.34060324825986082</v>
      </c>
      <c r="Y83" s="14">
        <v>43818</v>
      </c>
      <c r="AA83" s="106">
        <v>1064</v>
      </c>
      <c r="AB83" s="106">
        <v>1018.5262751159197</v>
      </c>
    </row>
    <row r="84" spans="1:28" x14ac:dyDescent="0.2">
      <c r="A84" s="14">
        <v>43817</v>
      </c>
      <c r="B84" s="106">
        <v>1073</v>
      </c>
      <c r="C84" s="106">
        <v>1059</v>
      </c>
      <c r="D84" s="106">
        <v>1390</v>
      </c>
      <c r="E84" s="106">
        <v>1356</v>
      </c>
      <c r="F84" s="106">
        <v>0.78097345132743301</v>
      </c>
      <c r="G84" s="106">
        <v>0.75907582533887497</v>
      </c>
      <c r="H84" s="106">
        <v>1.5631329636550201E-2</v>
      </c>
      <c r="I84" s="106">
        <v>1.4008805711163601</v>
      </c>
      <c r="J84" s="106">
        <v>2.8</v>
      </c>
      <c r="K84" s="106">
        <v>0.94081750370363504</v>
      </c>
      <c r="L84" s="106">
        <v>0.58796993648782003</v>
      </c>
      <c r="M84" s="106">
        <v>0.95276190195043098</v>
      </c>
      <c r="N84" s="106">
        <v>2.7299589066942999E-2</v>
      </c>
      <c r="P84" s="106">
        <v>0.77470715497542519</v>
      </c>
      <c r="Q84" s="106">
        <v>0.74344449570232474</v>
      </c>
      <c r="R84" s="106">
        <v>0.79033848461197542</v>
      </c>
      <c r="S84" s="106">
        <v>0.72781316606577451</v>
      </c>
      <c r="U84" s="106">
        <v>7230</v>
      </c>
      <c r="V84" s="106">
        <v>-3970</v>
      </c>
      <c r="W84" s="106">
        <v>3260</v>
      </c>
      <c r="X84" s="106">
        <v>0.15127610208816705</v>
      </c>
      <c r="Y84" s="14">
        <v>43817</v>
      </c>
      <c r="AA84" s="106">
        <v>1059</v>
      </c>
      <c r="AB84" s="106">
        <v>1023.8114374034003</v>
      </c>
    </row>
    <row r="85" spans="1:28" x14ac:dyDescent="0.2">
      <c r="A85" s="14">
        <v>43816</v>
      </c>
      <c r="B85" s="106">
        <v>1090</v>
      </c>
      <c r="C85" s="106">
        <v>1070</v>
      </c>
      <c r="D85" s="106">
        <v>1385</v>
      </c>
      <c r="E85" s="106">
        <v>1377</v>
      </c>
      <c r="F85" s="106">
        <v>0.77705156136528597</v>
      </c>
      <c r="G85" s="106">
        <v>0.758401873271353</v>
      </c>
      <c r="H85" s="106">
        <v>1.5761795849404101E-2</v>
      </c>
      <c r="I85" s="106">
        <v>1.1832210156838201</v>
      </c>
      <c r="J85" s="106">
        <v>2.4</v>
      </c>
      <c r="K85" s="106">
        <v>0.94132776006971197</v>
      </c>
      <c r="L85" s="106">
        <v>0.376161803626615</v>
      </c>
      <c r="M85" s="106">
        <v>0.95275794314441198</v>
      </c>
      <c r="N85" s="106">
        <v>2.13713256038175E-2</v>
      </c>
      <c r="P85" s="106">
        <v>0.77416366912075707</v>
      </c>
      <c r="Q85" s="106">
        <v>0.74264007742194893</v>
      </c>
      <c r="R85" s="106">
        <v>0.78992546497016125</v>
      </c>
      <c r="S85" s="106">
        <v>0.72687828157254475</v>
      </c>
      <c r="U85" s="106">
        <v>-3770</v>
      </c>
      <c r="V85" s="106">
        <v>12830</v>
      </c>
      <c r="W85" s="106">
        <v>9060</v>
      </c>
      <c r="X85" s="106">
        <v>0.4204176334106729</v>
      </c>
      <c r="Y85" s="14">
        <v>43816</v>
      </c>
      <c r="AA85" s="106">
        <v>1070</v>
      </c>
      <c r="AB85" s="106">
        <v>1039.6669242658425</v>
      </c>
    </row>
    <row r="86" spans="1:28" x14ac:dyDescent="0.2">
      <c r="A86" s="14">
        <v>43815</v>
      </c>
      <c r="B86" s="106">
        <v>1083</v>
      </c>
      <c r="C86" s="106">
        <v>1083</v>
      </c>
      <c r="D86" s="106">
        <v>1380</v>
      </c>
      <c r="E86" s="106">
        <v>1379</v>
      </c>
      <c r="F86" s="106">
        <v>0.78535170413343003</v>
      </c>
      <c r="G86" s="106">
        <v>0.75785583715453197</v>
      </c>
      <c r="H86" s="106">
        <v>1.5815527322521599E-2</v>
      </c>
      <c r="I86" s="106">
        <v>1.7385362130633799</v>
      </c>
      <c r="J86" s="106">
        <v>3.5</v>
      </c>
      <c r="K86" s="106">
        <v>0.94272725897062004</v>
      </c>
      <c r="L86" s="106">
        <v>0.28598676493220199</v>
      </c>
      <c r="M86" s="106">
        <v>0.95291384550703595</v>
      </c>
      <c r="N86" s="106">
        <v>1.7881709578201E-2</v>
      </c>
      <c r="P86" s="106">
        <v>0.77367136447705354</v>
      </c>
      <c r="Q86" s="106">
        <v>0.74204030983201041</v>
      </c>
      <c r="R86" s="106">
        <v>0.78948689179957521</v>
      </c>
      <c r="S86" s="106">
        <v>0.72622478250948874</v>
      </c>
      <c r="U86" s="106">
        <v>-16770</v>
      </c>
      <c r="V86" s="106">
        <v>14430</v>
      </c>
      <c r="W86" s="106">
        <v>-2340</v>
      </c>
      <c r="X86" s="106">
        <v>-0.108584686774942</v>
      </c>
      <c r="Y86" s="14">
        <v>43815</v>
      </c>
      <c r="AA86" s="106">
        <v>1083</v>
      </c>
      <c r="AB86" s="106">
        <v>1041.1769706336941</v>
      </c>
    </row>
    <row r="87" spans="1:28" x14ac:dyDescent="0.2">
      <c r="A87" s="14">
        <v>43812</v>
      </c>
      <c r="B87" s="106">
        <v>1090</v>
      </c>
      <c r="C87" s="106">
        <v>1088</v>
      </c>
      <c r="D87" s="106">
        <v>1375</v>
      </c>
      <c r="E87" s="106">
        <v>1381</v>
      </c>
      <c r="F87" s="106">
        <v>0.78783490224474995</v>
      </c>
      <c r="G87" s="106">
        <v>0.75721529142889499</v>
      </c>
      <c r="H87" s="106">
        <v>1.5661043947584798E-2</v>
      </c>
      <c r="I87" s="106">
        <v>1.9551449391454601</v>
      </c>
      <c r="J87" s="106">
        <v>3.89</v>
      </c>
      <c r="K87" s="106">
        <v>0.94437868185403395</v>
      </c>
      <c r="L87" s="106">
        <v>0.19372192743521699</v>
      </c>
      <c r="M87" s="106">
        <v>0.95315127362883201</v>
      </c>
      <c r="N87" s="106">
        <v>1.3555774744881101E-2</v>
      </c>
      <c r="P87" s="106">
        <v>0.77287633537647982</v>
      </c>
      <c r="Q87" s="106">
        <v>0.74155424748131016</v>
      </c>
      <c r="R87" s="106">
        <v>0.78853737932406454</v>
      </c>
      <c r="S87" s="106">
        <v>0.72589320353372544</v>
      </c>
      <c r="U87" s="106">
        <v>-21770</v>
      </c>
      <c r="V87" s="106">
        <v>16030</v>
      </c>
      <c r="W87" s="106">
        <v>-5740</v>
      </c>
      <c r="X87" s="106">
        <v>-0.26635730858468676</v>
      </c>
      <c r="Y87" s="14">
        <v>43812</v>
      </c>
      <c r="AA87" s="106">
        <v>1088</v>
      </c>
      <c r="AB87" s="106">
        <v>1042.6870170015457</v>
      </c>
    </row>
    <row r="88" spans="1:28" x14ac:dyDescent="0.2">
      <c r="A88" s="14">
        <v>43811</v>
      </c>
      <c r="B88" s="106">
        <v>1066</v>
      </c>
      <c r="C88" s="106">
        <v>1056</v>
      </c>
      <c r="D88" s="106">
        <v>1347</v>
      </c>
      <c r="E88" s="106">
        <v>1335</v>
      </c>
      <c r="F88" s="106">
        <v>0.79101123595505596</v>
      </c>
      <c r="G88" s="106">
        <v>0.756526776985877</v>
      </c>
      <c r="H88" s="106">
        <v>1.5433213119297301E-2</v>
      </c>
      <c r="I88" s="106">
        <v>2.2344315926059801</v>
      </c>
      <c r="J88" s="106">
        <v>4.3600000000000003</v>
      </c>
      <c r="K88" s="106">
        <v>0.94843398751961305</v>
      </c>
      <c r="L88" s="106">
        <v>0.195049126974217</v>
      </c>
      <c r="M88" s="106">
        <v>0.953738043669627</v>
      </c>
      <c r="N88" s="106">
        <v>1.43170574651407E-2</v>
      </c>
      <c r="P88" s="106">
        <v>0.77195999010517435</v>
      </c>
      <c r="Q88" s="106">
        <v>0.74109356386657965</v>
      </c>
      <c r="R88" s="106">
        <v>0.78739320322447159</v>
      </c>
      <c r="S88" s="106">
        <v>0.72566035074728241</v>
      </c>
      <c r="U88" s="106">
        <v>10230</v>
      </c>
      <c r="V88" s="106">
        <v>-20770</v>
      </c>
      <c r="W88" s="106">
        <v>-10540</v>
      </c>
      <c r="X88" s="106">
        <v>-0.48909512761020885</v>
      </c>
      <c r="Y88" s="14">
        <v>43811</v>
      </c>
      <c r="AA88" s="106">
        <v>1056</v>
      </c>
      <c r="AB88" s="106">
        <v>1007.9559505409583</v>
      </c>
    </row>
    <row r="89" spans="1:28" x14ac:dyDescent="0.2">
      <c r="A89" s="14">
        <v>43810</v>
      </c>
      <c r="B89" s="106">
        <v>1065</v>
      </c>
      <c r="C89" s="106">
        <v>1062</v>
      </c>
      <c r="D89" s="106">
        <v>1354</v>
      </c>
      <c r="E89" s="106">
        <v>1347</v>
      </c>
      <c r="F89" s="106">
        <v>0.78841870824053395</v>
      </c>
      <c r="G89" s="106">
        <v>0.75575540524255003</v>
      </c>
      <c r="H89" s="106">
        <v>1.51332235770826E-2</v>
      </c>
      <c r="I89" s="106">
        <v>2.1583836934417602</v>
      </c>
      <c r="J89" s="106">
        <v>4.1399999999999997</v>
      </c>
      <c r="K89" s="106">
        <v>0.95117363762021201</v>
      </c>
      <c r="L89" s="106">
        <v>0.13285971785505399</v>
      </c>
      <c r="M89" s="106">
        <v>0.954126044500758</v>
      </c>
      <c r="N89" s="106">
        <v>1.3729168981960299E-2</v>
      </c>
      <c r="P89" s="106">
        <v>0.7708886288196326</v>
      </c>
      <c r="Q89" s="106">
        <v>0.74062218166546745</v>
      </c>
      <c r="R89" s="106">
        <v>0.78602185239671518</v>
      </c>
      <c r="S89" s="106">
        <v>0.72548895808838487</v>
      </c>
      <c r="U89" s="106">
        <v>4230</v>
      </c>
      <c r="V89" s="106">
        <v>-11170</v>
      </c>
      <c r="W89" s="106">
        <v>-6940</v>
      </c>
      <c r="X89" s="106">
        <v>-0.32204176334106732</v>
      </c>
      <c r="Y89" s="14">
        <v>43810</v>
      </c>
      <c r="AA89" s="106">
        <v>1062</v>
      </c>
      <c r="AB89" s="106">
        <v>1017.0162287480681</v>
      </c>
    </row>
    <row r="90" spans="1:28" ht="15" customHeight="1" x14ac:dyDescent="0.2">
      <c r="A90" s="14">
        <v>43809</v>
      </c>
      <c r="B90" s="106">
        <v>1067</v>
      </c>
      <c r="C90" s="106">
        <v>1067</v>
      </c>
      <c r="D90" s="106">
        <v>1360</v>
      </c>
      <c r="E90" s="106">
        <v>1353</v>
      </c>
      <c r="F90" s="106">
        <v>0.78861788617886097</v>
      </c>
      <c r="G90" s="106">
        <v>0.75506155064409997</v>
      </c>
      <c r="H90" s="106">
        <v>1.48092343131919E-2</v>
      </c>
      <c r="I90" s="106">
        <v>2.2659061788811998</v>
      </c>
      <c r="J90" s="106">
        <v>4.26</v>
      </c>
      <c r="K90" s="106">
        <v>0.95466661244137196</v>
      </c>
      <c r="L90" s="106">
        <v>0.119120453695295</v>
      </c>
      <c r="M90" s="106">
        <v>0.95453192704729195</v>
      </c>
      <c r="N90" s="106">
        <v>1.5091566622096E-2</v>
      </c>
      <c r="P90" s="106">
        <v>0.76987078495729189</v>
      </c>
      <c r="Q90" s="106">
        <v>0.74025231633090804</v>
      </c>
      <c r="R90" s="106">
        <v>0.78468001927048381</v>
      </c>
      <c r="S90" s="106">
        <v>0.72544308201771612</v>
      </c>
      <c r="U90" s="106">
        <v>-770</v>
      </c>
      <c r="V90" s="106">
        <v>-6370</v>
      </c>
      <c r="W90" s="106">
        <v>-7140</v>
      </c>
      <c r="X90" s="106">
        <v>-0.33132250580046407</v>
      </c>
      <c r="Y90" s="14">
        <v>43809</v>
      </c>
      <c r="AA90" s="106">
        <v>1067</v>
      </c>
      <c r="AB90" s="106">
        <v>1021.5463678516229</v>
      </c>
    </row>
    <row r="91" spans="1:28" x14ac:dyDescent="0.2">
      <c r="A91" s="14">
        <v>43808</v>
      </c>
      <c r="B91" s="106">
        <v>1088</v>
      </c>
      <c r="C91" s="106">
        <v>1076</v>
      </c>
      <c r="D91" s="106">
        <v>1370</v>
      </c>
      <c r="E91" s="106">
        <v>1372</v>
      </c>
      <c r="F91" s="106">
        <v>0.78425655976676301</v>
      </c>
      <c r="G91" s="106">
        <v>0.75444403628953705</v>
      </c>
      <c r="H91" s="106">
        <v>1.4355777845985501E-2</v>
      </c>
      <c r="I91" s="106">
        <v>2.07669161483738</v>
      </c>
      <c r="J91" s="106">
        <v>3.8</v>
      </c>
      <c r="K91" s="106">
        <v>0.95641362595729396</v>
      </c>
      <c r="L91" s="106">
        <v>0.13755907760876199</v>
      </c>
      <c r="M91" s="106">
        <v>0.95468523033998498</v>
      </c>
      <c r="N91" s="106">
        <v>1.7349569165271899E-2</v>
      </c>
      <c r="P91" s="106">
        <v>0.76879981413552256</v>
      </c>
      <c r="Q91" s="106">
        <v>0.74008825844355153</v>
      </c>
      <c r="R91" s="106">
        <v>0.78315559198150808</v>
      </c>
      <c r="S91" s="106">
        <v>0.72573248059756601</v>
      </c>
      <c r="Y91" s="14"/>
      <c r="AA91" s="106">
        <v>1076</v>
      </c>
      <c r="AB91" s="106">
        <v>1035.8918083462133</v>
      </c>
    </row>
    <row r="92" spans="1:28" x14ac:dyDescent="0.2">
      <c r="A92" s="14">
        <v>43805</v>
      </c>
      <c r="B92" s="106">
        <v>1077</v>
      </c>
      <c r="C92" s="106">
        <v>1063</v>
      </c>
      <c r="D92" s="106">
        <v>1379</v>
      </c>
      <c r="E92" s="106">
        <v>1362</v>
      </c>
      <c r="F92" s="106">
        <v>0.78046989720998505</v>
      </c>
      <c r="G92" s="106">
        <v>0.75366048477369296</v>
      </c>
      <c r="H92" s="106">
        <v>1.43108903290644E-2</v>
      </c>
      <c r="I92" s="106">
        <v>1.8733574096256</v>
      </c>
      <c r="J92" s="106">
        <v>3.44</v>
      </c>
      <c r="K92" s="106">
        <v>0.960047561155148</v>
      </c>
      <c r="L92" s="106">
        <v>9.8702192179849699E-2</v>
      </c>
      <c r="M92" s="106">
        <v>0.95488906990385303</v>
      </c>
      <c r="N92" s="106">
        <v>1.5688943964152501E-2</v>
      </c>
      <c r="P92" s="106">
        <v>0.76797137510275737</v>
      </c>
      <c r="Q92" s="106">
        <v>0.73934959444462856</v>
      </c>
      <c r="R92" s="106">
        <v>0.78228226543182178</v>
      </c>
      <c r="S92" s="106">
        <v>0.72503870411556415</v>
      </c>
      <c r="Y92" s="14"/>
      <c r="AA92" s="106">
        <v>1063</v>
      </c>
      <c r="AB92" s="106">
        <v>1028.3415765069553</v>
      </c>
    </row>
    <row r="93" spans="1:28" x14ac:dyDescent="0.2">
      <c r="A93" s="14">
        <v>43804</v>
      </c>
      <c r="B93" s="106">
        <v>1061</v>
      </c>
      <c r="C93" s="106">
        <v>1065</v>
      </c>
      <c r="D93" s="106">
        <v>1362</v>
      </c>
      <c r="E93" s="106">
        <v>1365</v>
      </c>
      <c r="F93" s="106">
        <v>0.78021978021978</v>
      </c>
      <c r="G93" s="106">
        <v>0.75291937784859997</v>
      </c>
      <c r="H93" s="106">
        <v>1.43425249063473E-2</v>
      </c>
      <c r="I93" s="106">
        <v>1.9034585994755699</v>
      </c>
      <c r="J93" s="106">
        <v>3.5</v>
      </c>
      <c r="K93" s="106">
        <v>0.96287467619415801</v>
      </c>
      <c r="L93" s="106">
        <v>8.0787798708938596E-2</v>
      </c>
      <c r="M93" s="106">
        <v>0.95498476587494197</v>
      </c>
      <c r="N93" s="106">
        <v>1.5716833742103101E-2</v>
      </c>
      <c r="P93" s="106">
        <v>0.76726190275494732</v>
      </c>
      <c r="Q93" s="106">
        <v>0.73857685294225262</v>
      </c>
      <c r="R93" s="106">
        <v>0.78160442766129457</v>
      </c>
      <c r="S93" s="106">
        <v>0.72423432803590537</v>
      </c>
      <c r="Y93" s="14"/>
      <c r="AA93" s="106">
        <v>1065</v>
      </c>
      <c r="AB93" s="106">
        <v>1030.6066460587326</v>
      </c>
    </row>
    <row r="94" spans="1:28" x14ac:dyDescent="0.2">
      <c r="A94" s="14">
        <v>43803</v>
      </c>
      <c r="B94" s="106">
        <v>1045</v>
      </c>
      <c r="C94" s="106">
        <v>1047</v>
      </c>
      <c r="D94" s="106">
        <v>1347</v>
      </c>
      <c r="E94" s="106">
        <v>1341</v>
      </c>
      <c r="F94" s="106">
        <v>0.78076062639820998</v>
      </c>
      <c r="G94" s="106">
        <v>0.75208633991878804</v>
      </c>
      <c r="H94" s="106">
        <v>1.4545650263428E-2</v>
      </c>
      <c r="I94" s="106">
        <v>1.9713306700022299</v>
      </c>
      <c r="J94" s="106">
        <v>3.67</v>
      </c>
      <c r="K94" s="106">
        <v>0.96658870953604703</v>
      </c>
      <c r="L94" s="106">
        <v>5.6106746051920897E-2</v>
      </c>
      <c r="M94" s="106">
        <v>0.95531524561992798</v>
      </c>
      <c r="N94" s="106">
        <v>1.3856549914536199E-2</v>
      </c>
      <c r="P94" s="106">
        <v>0.76663199018221606</v>
      </c>
      <c r="Q94" s="106">
        <v>0.73754068965536002</v>
      </c>
      <c r="R94" s="106">
        <v>0.78117764044564408</v>
      </c>
      <c r="S94" s="106">
        <v>0.72299503939193199</v>
      </c>
      <c r="Y94" s="14"/>
      <c r="AA94" s="106">
        <v>1047</v>
      </c>
      <c r="AB94" s="106">
        <v>1012.4860896445132</v>
      </c>
    </row>
    <row r="95" spans="1:28" x14ac:dyDescent="0.2">
      <c r="A95" s="14">
        <v>43802</v>
      </c>
      <c r="B95" s="106">
        <v>1049</v>
      </c>
      <c r="C95" s="106">
        <v>1062</v>
      </c>
      <c r="D95" s="106">
        <v>1354</v>
      </c>
      <c r="E95" s="106">
        <v>1360</v>
      </c>
      <c r="F95" s="106">
        <v>0.78088235294117603</v>
      </c>
      <c r="G95" s="106">
        <v>0.75129600371535299</v>
      </c>
      <c r="H95" s="106">
        <v>1.45764881034939E-2</v>
      </c>
      <c r="I95" s="106">
        <v>2.0297309623386601</v>
      </c>
      <c r="J95" s="106">
        <v>3.79</v>
      </c>
      <c r="K95" s="106">
        <v>0.97115697838773596</v>
      </c>
      <c r="L95" s="106">
        <v>4.4588630193645902E-2</v>
      </c>
      <c r="M95" s="106">
        <v>0.95559066268659998</v>
      </c>
      <c r="N95" s="106">
        <v>1.5975997900293099E-2</v>
      </c>
      <c r="P95" s="106">
        <v>0.76587249181884687</v>
      </c>
      <c r="Q95" s="106">
        <v>0.73671951561185911</v>
      </c>
      <c r="R95" s="106">
        <v>0.78044897992234075</v>
      </c>
      <c r="S95" s="106">
        <v>0.72214302750836523</v>
      </c>
      <c r="Y95" s="14"/>
      <c r="AA95" s="106">
        <v>1062</v>
      </c>
      <c r="AB95" s="106">
        <v>1026.8315301391035</v>
      </c>
    </row>
    <row r="96" spans="1:28" x14ac:dyDescent="0.2">
      <c r="A96" s="14">
        <v>43801</v>
      </c>
      <c r="B96" s="106">
        <v>1064</v>
      </c>
      <c r="C96" s="106">
        <v>1077</v>
      </c>
      <c r="D96" s="106">
        <v>1363</v>
      </c>
      <c r="E96" s="106">
        <v>1384</v>
      </c>
      <c r="F96" s="106">
        <v>0.77817919075144504</v>
      </c>
      <c r="G96" s="106">
        <v>0.75051188273899105</v>
      </c>
      <c r="H96" s="106">
        <v>1.4545584675758699E-2</v>
      </c>
      <c r="I96" s="106">
        <v>1.9021104087045</v>
      </c>
      <c r="J96" s="106">
        <v>3.56</v>
      </c>
      <c r="K96" s="106">
        <v>0.97358589952230201</v>
      </c>
      <c r="L96" s="106">
        <v>2.8916309340581901E-2</v>
      </c>
      <c r="M96" s="106">
        <v>0.955929798758686</v>
      </c>
      <c r="N96" s="106">
        <v>1.43603452633735E-2</v>
      </c>
      <c r="P96" s="106">
        <v>0.76505746741474978</v>
      </c>
      <c r="Q96" s="106">
        <v>0.73596629806323233</v>
      </c>
      <c r="R96" s="106">
        <v>0.7796030520905084</v>
      </c>
      <c r="S96" s="106">
        <v>0.72142071338747371</v>
      </c>
      <c r="Y96" s="14"/>
      <c r="AA96" s="106">
        <v>1077</v>
      </c>
      <c r="AB96" s="106">
        <v>1044.9520865533232</v>
      </c>
    </row>
    <row r="97" spans="1:28" x14ac:dyDescent="0.2">
      <c r="A97" s="14">
        <v>43798</v>
      </c>
      <c r="B97" s="106">
        <v>1071</v>
      </c>
      <c r="C97" s="106">
        <v>1058</v>
      </c>
      <c r="D97" s="106">
        <v>1377</v>
      </c>
      <c r="E97" s="106">
        <v>1360</v>
      </c>
      <c r="F97" s="106">
        <v>0.77794117647058803</v>
      </c>
      <c r="G97" s="106">
        <v>0.74973802012007895</v>
      </c>
      <c r="H97" s="106">
        <v>1.45968671571812E-2</v>
      </c>
      <c r="I97" s="106">
        <v>1.93213763246681</v>
      </c>
      <c r="J97" s="106">
        <v>3.63</v>
      </c>
      <c r="K97" s="106">
        <v>0.97767102357580804</v>
      </c>
      <c r="L97" s="106">
        <v>1.5230820633318799E-2</v>
      </c>
      <c r="M97" s="106">
        <v>0.95603424643843005</v>
      </c>
      <c r="N97" s="106">
        <v>1.7297843380179301E-2</v>
      </c>
      <c r="P97" s="106">
        <v>0.76433488727726018</v>
      </c>
      <c r="Q97" s="106">
        <v>0.73514115296289773</v>
      </c>
      <c r="R97" s="106">
        <v>0.7789317544344414</v>
      </c>
      <c r="S97" s="106">
        <v>0.7205442858057165</v>
      </c>
      <c r="Y97" s="14"/>
      <c r="AA97" s="106">
        <v>1058</v>
      </c>
      <c r="AB97" s="106">
        <v>1026.8315301391035</v>
      </c>
    </row>
    <row r="98" spans="1:28" x14ac:dyDescent="0.2">
      <c r="A98" s="14">
        <v>43797</v>
      </c>
      <c r="B98" s="106">
        <v>1080</v>
      </c>
      <c r="C98" s="106">
        <v>1069</v>
      </c>
      <c r="D98" s="106">
        <v>1394</v>
      </c>
      <c r="E98" s="106">
        <v>1374</v>
      </c>
      <c r="F98" s="106">
        <v>0.77802037845705896</v>
      </c>
      <c r="G98" s="106">
        <v>0.74896178021235105</v>
      </c>
      <c r="H98" s="106">
        <v>1.46243728419354E-2</v>
      </c>
      <c r="I98" s="106">
        <v>1.98699790813471</v>
      </c>
      <c r="J98" s="106">
        <v>3.73</v>
      </c>
      <c r="K98" s="106">
        <v>0.98012139249109298</v>
      </c>
      <c r="L98" s="106">
        <v>1.10713211575052E-2</v>
      </c>
      <c r="M98" s="106">
        <v>0.956008378777365</v>
      </c>
      <c r="N98" s="106">
        <v>1.9535587947675001E-2</v>
      </c>
      <c r="P98" s="106">
        <v>0.76358615305428645</v>
      </c>
      <c r="Q98" s="106">
        <v>0.73433740737041564</v>
      </c>
      <c r="R98" s="106">
        <v>0.77821052589622186</v>
      </c>
      <c r="S98" s="106">
        <v>0.71971303452848023</v>
      </c>
      <c r="Y98" s="14"/>
      <c r="AA98" s="106">
        <v>1069</v>
      </c>
      <c r="AB98" s="106">
        <v>1037.4018547140649</v>
      </c>
    </row>
    <row r="99" spans="1:28" x14ac:dyDescent="0.2">
      <c r="A99" s="14">
        <v>43796</v>
      </c>
      <c r="B99" s="106">
        <v>1097</v>
      </c>
      <c r="C99" s="106">
        <v>1080</v>
      </c>
      <c r="D99" s="106">
        <v>1382</v>
      </c>
      <c r="E99" s="106">
        <v>1389</v>
      </c>
      <c r="F99" s="106">
        <v>0.77753779697624104</v>
      </c>
      <c r="G99" s="106">
        <v>0.74821206261960205</v>
      </c>
      <c r="H99" s="106">
        <v>1.45565948994781E-2</v>
      </c>
      <c r="I99" s="106">
        <v>2.0146012552489698</v>
      </c>
      <c r="J99" s="106">
        <v>3.77</v>
      </c>
      <c r="K99" s="106">
        <v>0.98197415095493901</v>
      </c>
      <c r="L99" s="106">
        <v>3.0117426764576698E-3</v>
      </c>
      <c r="M99" s="106">
        <v>0.95620727737203504</v>
      </c>
      <c r="N99" s="106">
        <v>1.14164629154979E-2</v>
      </c>
      <c r="P99" s="106">
        <v>0.76276865751908018</v>
      </c>
      <c r="Q99" s="106">
        <v>0.73365546772012391</v>
      </c>
      <c r="R99" s="106">
        <v>0.77732525241855821</v>
      </c>
      <c r="S99" s="106">
        <v>0.71909887282064588</v>
      </c>
      <c r="Y99" s="14"/>
      <c r="AA99" s="106">
        <v>1080</v>
      </c>
      <c r="AB99" s="106">
        <v>1048.7272024729521</v>
      </c>
    </row>
    <row r="100" spans="1:28" x14ac:dyDescent="0.2">
      <c r="A100" s="14">
        <v>43795</v>
      </c>
      <c r="B100" s="106">
        <v>1081</v>
      </c>
      <c r="C100" s="106">
        <v>1076</v>
      </c>
      <c r="D100" s="106">
        <v>1397</v>
      </c>
      <c r="E100" s="106">
        <v>1375</v>
      </c>
      <c r="F100" s="106">
        <v>0.78254545454545399</v>
      </c>
      <c r="G100" s="106">
        <v>0.74750395088307997</v>
      </c>
      <c r="H100" s="106">
        <v>1.4403746277652601E-2</v>
      </c>
      <c r="I100" s="106">
        <v>2.43280484027551</v>
      </c>
      <c r="J100" s="106">
        <v>4.4800000000000004</v>
      </c>
      <c r="K100" s="106">
        <v>0.98454393154286302</v>
      </c>
      <c r="L100" s="106">
        <v>6.4816631440062803E-3</v>
      </c>
      <c r="M100" s="106">
        <v>0.95664412463969695</v>
      </c>
      <c r="N100" s="15">
        <v>1.5982896642243401E-2</v>
      </c>
      <c r="P100" s="106">
        <v>0.76190769716073259</v>
      </c>
      <c r="Q100" s="106">
        <v>0.73310020460542735</v>
      </c>
      <c r="R100" s="106">
        <v>0.77631144343838521</v>
      </c>
      <c r="S100" s="106">
        <v>0.71869645832777473</v>
      </c>
      <c r="Y100" s="14"/>
      <c r="AA100" s="106">
        <v>1076</v>
      </c>
      <c r="AB100" s="106">
        <v>1038.1568778979909</v>
      </c>
    </row>
    <row r="101" spans="1:28" x14ac:dyDescent="0.2">
      <c r="A101" s="14">
        <v>43794</v>
      </c>
      <c r="B101" s="106">
        <v>1057</v>
      </c>
      <c r="C101" s="106">
        <v>1065</v>
      </c>
      <c r="D101" s="106">
        <v>1377</v>
      </c>
      <c r="E101" s="106">
        <v>1382</v>
      </c>
      <c r="F101" s="106">
        <v>0.77062228654124398</v>
      </c>
      <c r="G101" s="106">
        <v>0.74684254729369004</v>
      </c>
      <c r="H101" s="106">
        <v>1.39099389871937E-2</v>
      </c>
      <c r="I101" s="106">
        <v>1.70955021941123</v>
      </c>
      <c r="J101" s="106">
        <v>3.09</v>
      </c>
      <c r="K101" s="106">
        <v>0.985705490089967</v>
      </c>
      <c r="L101" s="106">
        <v>1.5502707489919399E-2</v>
      </c>
      <c r="M101" s="106">
        <v>0.95675389043868198</v>
      </c>
      <c r="N101" s="15">
        <v>2.0141774456120101E-2</v>
      </c>
      <c r="P101" s="106">
        <v>0.76075248628088377</v>
      </c>
      <c r="Q101" s="106">
        <v>0.73293260830649631</v>
      </c>
      <c r="R101" s="106">
        <v>0.77466242526807749</v>
      </c>
      <c r="S101" s="106">
        <v>0.71902266931930259</v>
      </c>
      <c r="Y101" s="14"/>
      <c r="AA101" s="106">
        <v>1065</v>
      </c>
      <c r="AB101" s="106">
        <v>1043.4420401854713</v>
      </c>
    </row>
    <row r="102" spans="1:28" ht="15" customHeight="1" x14ac:dyDescent="0.2">
      <c r="A102" s="14">
        <v>43791</v>
      </c>
      <c r="B102" s="106">
        <v>1031</v>
      </c>
      <c r="C102" s="106">
        <v>1033</v>
      </c>
      <c r="D102" s="106">
        <v>1360</v>
      </c>
      <c r="E102" s="106">
        <v>1365</v>
      </c>
      <c r="F102" s="106">
        <v>0.75677655677655598</v>
      </c>
      <c r="G102" s="106">
        <v>0.74639967816072605</v>
      </c>
      <c r="H102" s="106">
        <v>1.36725134749647E-2</v>
      </c>
      <c r="I102" s="106">
        <v>0.75895910688483603</v>
      </c>
      <c r="J102" s="106">
        <v>1.37</v>
      </c>
      <c r="K102" s="106">
        <v>0.98603817052809595</v>
      </c>
      <c r="L102" s="106">
        <v>1.8497577278871202E-2</v>
      </c>
      <c r="M102" s="106">
        <v>0.95669301904526305</v>
      </c>
      <c r="N102" s="15">
        <v>2.0779544258998799E-2</v>
      </c>
      <c r="P102" s="106">
        <v>0.76007219163569073</v>
      </c>
      <c r="Q102" s="106">
        <v>0.73272716468576138</v>
      </c>
      <c r="R102" s="106">
        <v>0.77374470511065541</v>
      </c>
      <c r="S102" s="106">
        <v>0.7190546512107967</v>
      </c>
      <c r="Y102" s="14"/>
      <c r="AA102" s="106">
        <v>1033</v>
      </c>
      <c r="AB102" s="106">
        <v>1030.6066460587326</v>
      </c>
    </row>
    <row r="103" spans="1:28" x14ac:dyDescent="0.2">
      <c r="A103" s="14">
        <v>43790</v>
      </c>
      <c r="B103" s="106">
        <v>1020</v>
      </c>
      <c r="C103" s="106">
        <v>1022</v>
      </c>
      <c r="D103" s="106">
        <v>1370</v>
      </c>
      <c r="E103" s="106">
        <v>1366</v>
      </c>
      <c r="F103" s="106">
        <v>0.748169838945827</v>
      </c>
      <c r="G103" s="106">
        <v>0.74617262585796396</v>
      </c>
      <c r="H103" s="106">
        <v>1.3639660542649401E-2</v>
      </c>
      <c r="I103" s="106">
        <v>0.14642689102252099</v>
      </c>
      <c r="J103" s="106">
        <v>0.27</v>
      </c>
      <c r="K103" s="106">
        <v>0.98630682813620096</v>
      </c>
      <c r="L103" s="15">
        <v>2.2794375818497501E-2</v>
      </c>
      <c r="M103" s="106">
        <v>0.95676079963119398</v>
      </c>
      <c r="N103" s="15">
        <v>2.0303710682716501E-2</v>
      </c>
      <c r="P103" s="106">
        <v>0.75981228640061338</v>
      </c>
      <c r="Q103" s="106">
        <v>0.73253296531531453</v>
      </c>
      <c r="R103" s="106">
        <v>0.7734519469432628</v>
      </c>
      <c r="S103" s="106">
        <v>0.71889330477266511</v>
      </c>
      <c r="Y103" s="14"/>
      <c r="AA103" s="106">
        <v>1022</v>
      </c>
      <c r="AB103" s="106">
        <v>1031.3616692426585</v>
      </c>
    </row>
    <row r="104" spans="1:28" x14ac:dyDescent="0.2">
      <c r="A104" s="14">
        <v>43789</v>
      </c>
      <c r="B104" s="106">
        <v>1046</v>
      </c>
      <c r="C104" s="106">
        <v>1030</v>
      </c>
      <c r="D104" s="106">
        <v>1383</v>
      </c>
      <c r="E104" s="106">
        <v>1372</v>
      </c>
      <c r="F104" s="106">
        <v>0.75072886297376096</v>
      </c>
      <c r="G104" s="106">
        <v>0.74571937007006805</v>
      </c>
      <c r="H104" s="106">
        <v>1.4122055899215599E-2</v>
      </c>
      <c r="I104" s="106">
        <v>0.35472830156201202</v>
      </c>
      <c r="J104" s="106">
        <v>0.67</v>
      </c>
      <c r="K104" s="106">
        <v>0.98658389482817799</v>
      </c>
      <c r="L104" s="15">
        <v>2.0984119695450498E-2</v>
      </c>
      <c r="M104" s="106">
        <v>0.95680807628321196</v>
      </c>
      <c r="N104" s="106">
        <v>2.0110298531043801E-2</v>
      </c>
      <c r="P104" s="106">
        <v>0.75984142596928361</v>
      </c>
      <c r="Q104" s="106">
        <v>0.7315973141708525</v>
      </c>
      <c r="R104" s="106">
        <v>0.77396348186849928</v>
      </c>
      <c r="S104" s="106">
        <v>0.71747525827163683</v>
      </c>
      <c r="Y104" s="14"/>
      <c r="AA104" s="106">
        <v>1030</v>
      </c>
      <c r="AB104" s="106">
        <v>1035.8918083462133</v>
      </c>
    </row>
    <row r="105" spans="1:28" x14ac:dyDescent="0.2">
      <c r="A105" s="14">
        <v>43788</v>
      </c>
      <c r="B105" s="106">
        <v>1065</v>
      </c>
      <c r="C105" s="106">
        <v>1049</v>
      </c>
      <c r="D105" s="106">
        <v>1409</v>
      </c>
      <c r="E105" s="106">
        <v>1395</v>
      </c>
      <c r="F105" s="106">
        <v>0.75197132616487405</v>
      </c>
      <c r="G105" s="106">
        <v>0.74513685351202297</v>
      </c>
      <c r="H105" s="106">
        <v>1.47887229902491E-2</v>
      </c>
      <c r="I105" s="106">
        <v>0.46214082563839798</v>
      </c>
      <c r="J105" s="106">
        <v>0.91</v>
      </c>
      <c r="K105" s="106">
        <v>0.98676120000780698</v>
      </c>
      <c r="L105" s="106">
        <v>9.0232195687692696E-2</v>
      </c>
      <c r="M105" s="106">
        <v>0.95673238450009501</v>
      </c>
      <c r="N105" s="106">
        <v>2.17368439481768E-2</v>
      </c>
      <c r="P105" s="106">
        <v>0.7599255765022721</v>
      </c>
      <c r="Q105" s="106">
        <v>0.73034813052177383</v>
      </c>
      <c r="R105" s="106">
        <v>0.77471429949252113</v>
      </c>
      <c r="S105" s="106">
        <v>0.7155594075315248</v>
      </c>
      <c r="Y105" s="14"/>
      <c r="AA105" s="106">
        <v>1049</v>
      </c>
      <c r="AB105" s="106">
        <v>1053.2573415765071</v>
      </c>
    </row>
    <row r="106" spans="1:28" x14ac:dyDescent="0.2">
      <c r="A106" s="14">
        <v>43787</v>
      </c>
      <c r="B106" s="106">
        <v>1092</v>
      </c>
      <c r="C106" s="106">
        <v>1085</v>
      </c>
      <c r="D106" s="106">
        <v>1444</v>
      </c>
      <c r="E106" s="106">
        <v>1424</v>
      </c>
      <c r="F106" s="106">
        <v>0.761938202247191</v>
      </c>
      <c r="G106" s="106">
        <v>0.74467244464355697</v>
      </c>
      <c r="H106" s="106">
        <v>1.51102065652945E-2</v>
      </c>
      <c r="I106" s="106">
        <v>1.14265529918627</v>
      </c>
      <c r="J106" s="106">
        <v>2.27</v>
      </c>
      <c r="K106" s="106">
        <v>0.98644934274719198</v>
      </c>
      <c r="L106" s="106">
        <v>3.2462348375624402E-2</v>
      </c>
      <c r="M106" s="106">
        <v>0.956388099774093</v>
      </c>
      <c r="N106" s="106">
        <v>2.5927565453494901E-2</v>
      </c>
      <c r="P106" s="106">
        <v>0.75978265120885147</v>
      </c>
      <c r="Q106" s="106">
        <v>0.72956223807826248</v>
      </c>
      <c r="R106" s="106">
        <v>0.77489285777414596</v>
      </c>
      <c r="S106" s="106">
        <v>0.71445203151296799</v>
      </c>
      <c r="Y106" s="14"/>
      <c r="AA106" s="106">
        <v>1085</v>
      </c>
      <c r="AB106" s="106">
        <v>1075.1530139103556</v>
      </c>
    </row>
    <row r="107" spans="1:28" x14ac:dyDescent="0.2">
      <c r="A107" s="14">
        <v>43784</v>
      </c>
      <c r="B107" s="106">
        <v>1058</v>
      </c>
      <c r="C107" s="106">
        <v>1086</v>
      </c>
      <c r="D107" s="106">
        <v>1430</v>
      </c>
      <c r="E107" s="106">
        <v>1442</v>
      </c>
      <c r="F107" s="106">
        <v>0.75312066574202496</v>
      </c>
      <c r="G107" s="106">
        <v>0.744160150657171</v>
      </c>
      <c r="H107" s="106">
        <v>1.51673660987153E-2</v>
      </c>
      <c r="I107" s="106">
        <v>0.59077594794868904</v>
      </c>
      <c r="J107" s="106">
        <v>1.19</v>
      </c>
      <c r="K107" s="106">
        <v>0.98617185430957</v>
      </c>
      <c r="L107" s="106">
        <v>0.231321079031717</v>
      </c>
      <c r="M107" s="106">
        <v>0.95585994070750402</v>
      </c>
      <c r="N107" s="106">
        <v>2.9490243506352602E-2</v>
      </c>
      <c r="P107" s="106">
        <v>0.75932751675588628</v>
      </c>
      <c r="Q107" s="106">
        <v>0.72899278455845573</v>
      </c>
      <c r="R107" s="106">
        <v>0.77449488285460155</v>
      </c>
      <c r="S107" s="106">
        <v>0.71382541845974046</v>
      </c>
      <c r="Y107" s="14"/>
      <c r="AA107" s="106">
        <v>1086</v>
      </c>
      <c r="AB107" s="106">
        <v>1088.74343122102</v>
      </c>
    </row>
    <row r="108" spans="1:28" x14ac:dyDescent="0.2">
      <c r="A108" s="14">
        <v>43783</v>
      </c>
      <c r="B108" s="106">
        <v>1087</v>
      </c>
      <c r="C108" s="106">
        <v>1066</v>
      </c>
      <c r="D108" s="106">
        <v>1443</v>
      </c>
      <c r="E108" s="106">
        <v>1427</v>
      </c>
      <c r="F108" s="106">
        <v>0.74702172389628596</v>
      </c>
      <c r="G108" s="106">
        <v>0.74382449680902696</v>
      </c>
      <c r="H108" s="106">
        <v>1.524371447714E-2</v>
      </c>
      <c r="I108" s="106">
        <v>0.20974068308962501</v>
      </c>
      <c r="J108" s="106">
        <v>0.43</v>
      </c>
      <c r="K108" s="106">
        <v>0.98578475548233302</v>
      </c>
      <c r="L108" s="106">
        <v>0.25409542369518401</v>
      </c>
      <c r="M108" s="106">
        <v>0.95527555449780599</v>
      </c>
      <c r="N108" s="106">
        <v>4.1772794419665901E-2</v>
      </c>
      <c r="P108" s="106">
        <v>0.75906821128616697</v>
      </c>
      <c r="Q108" s="106">
        <v>0.72858078233188694</v>
      </c>
      <c r="R108" s="106">
        <v>0.77431192576330699</v>
      </c>
      <c r="S108" s="106">
        <v>0.71333706785474693</v>
      </c>
      <c r="Y108" s="14"/>
      <c r="AA108" s="106">
        <v>1066</v>
      </c>
      <c r="AB108" s="106">
        <v>1077.4180834621329</v>
      </c>
    </row>
    <row r="109" spans="1:28" x14ac:dyDescent="0.2">
      <c r="A109" s="14">
        <v>43782</v>
      </c>
      <c r="B109" s="106">
        <v>1102</v>
      </c>
      <c r="C109" s="106">
        <v>1098</v>
      </c>
      <c r="D109" s="106">
        <v>1470</v>
      </c>
      <c r="E109" s="106">
        <v>1457</v>
      </c>
      <c r="F109" s="106">
        <v>0.75360329444063101</v>
      </c>
      <c r="G109" s="106">
        <v>0.74365911696681197</v>
      </c>
      <c r="H109" s="106">
        <v>1.52753806388499E-2</v>
      </c>
      <c r="I109" s="106">
        <v>0.65099375975797102</v>
      </c>
      <c r="J109" s="106">
        <v>1.32</v>
      </c>
      <c r="K109" s="106">
        <v>0.98492575280664396</v>
      </c>
      <c r="L109" s="15">
        <v>0.26572450940787201</v>
      </c>
      <c r="M109" s="106">
        <v>0.95470000871675698</v>
      </c>
      <c r="N109" s="106">
        <v>3.1418818930420901E-2</v>
      </c>
      <c r="P109" s="106">
        <v>0.7589344976056619</v>
      </c>
      <c r="Q109" s="106">
        <v>0.72838373632796205</v>
      </c>
      <c r="R109" s="106">
        <v>0.77420987824451182</v>
      </c>
      <c r="S109" s="106">
        <v>0.71310835568911213</v>
      </c>
      <c r="Y109" s="14"/>
      <c r="AA109" s="106">
        <v>1098</v>
      </c>
      <c r="AB109" s="106">
        <v>1100.0687789799074</v>
      </c>
    </row>
    <row r="110" spans="1:28" x14ac:dyDescent="0.2">
      <c r="A110" s="14">
        <v>43781</v>
      </c>
      <c r="B110" s="106">
        <v>1090</v>
      </c>
      <c r="C110" s="106">
        <v>1113</v>
      </c>
      <c r="D110" s="106">
        <v>1454</v>
      </c>
      <c r="E110" s="106">
        <v>1487</v>
      </c>
      <c r="F110" s="106">
        <v>0.74848688634835203</v>
      </c>
      <c r="G110" s="106">
        <v>0.74357811993574097</v>
      </c>
      <c r="H110" s="106">
        <v>1.52384984288883E-2</v>
      </c>
      <c r="I110" s="106">
        <v>0.32212927248170298</v>
      </c>
      <c r="J110" s="106">
        <v>0.66</v>
      </c>
      <c r="K110" s="106">
        <v>0.98437411513607898</v>
      </c>
      <c r="L110" s="106">
        <v>0.23456267096156999</v>
      </c>
      <c r="M110" s="106">
        <v>0.95326943664749197</v>
      </c>
      <c r="N110" s="106">
        <v>6.5926149166746995E-2</v>
      </c>
      <c r="P110" s="106">
        <v>0.75881661836462921</v>
      </c>
      <c r="Q110" s="106">
        <v>0.72833962150685272</v>
      </c>
      <c r="R110" s="106">
        <v>0.77405511679351757</v>
      </c>
      <c r="S110" s="106">
        <v>0.71310112307796436</v>
      </c>
      <c r="Y110" s="14"/>
      <c r="AA110" s="106">
        <v>1113</v>
      </c>
      <c r="AB110" s="106">
        <v>1122.7194744976816</v>
      </c>
    </row>
    <row r="111" spans="1:28" x14ac:dyDescent="0.2">
      <c r="A111" s="14">
        <v>43780</v>
      </c>
      <c r="B111" s="106">
        <v>1108</v>
      </c>
      <c r="C111" s="106">
        <v>1101</v>
      </c>
      <c r="D111" s="106">
        <v>1470</v>
      </c>
      <c r="E111" s="106">
        <v>1464</v>
      </c>
      <c r="F111" s="106">
        <v>0.75204918032786805</v>
      </c>
      <c r="G111" s="106">
        <v>0.743567430586898</v>
      </c>
      <c r="H111" s="106">
        <v>1.5235332183294001E-2</v>
      </c>
      <c r="I111" s="106">
        <v>0.55671577350119095</v>
      </c>
      <c r="J111" s="106">
        <v>1.1299999999999999</v>
      </c>
      <c r="K111" s="106">
        <v>0.98339429037555703</v>
      </c>
      <c r="L111" s="106">
        <v>0.25491425628043102</v>
      </c>
      <c r="M111" s="106">
        <v>0.95241780343163696</v>
      </c>
      <c r="N111" s="106">
        <v>4.86382595589911E-2</v>
      </c>
      <c r="P111" s="106">
        <v>0.75880276277019199</v>
      </c>
      <c r="Q111" s="106">
        <v>0.72833209840360402</v>
      </c>
      <c r="R111" s="106">
        <v>0.77403809495348597</v>
      </c>
      <c r="S111" s="106">
        <v>0.71309676622031004</v>
      </c>
      <c r="Y111" s="14"/>
      <c r="AA111" s="106">
        <v>1101</v>
      </c>
      <c r="AB111" s="106">
        <v>1105.3539412673879</v>
      </c>
    </row>
    <row r="112" spans="1:28" x14ac:dyDescent="0.2">
      <c r="A112" s="14">
        <v>43777</v>
      </c>
      <c r="B112" s="106">
        <v>1105</v>
      </c>
      <c r="C112" s="106">
        <v>1108</v>
      </c>
      <c r="D112" s="106">
        <v>1464</v>
      </c>
      <c r="E112" s="106">
        <v>1471</v>
      </c>
      <c r="F112" s="106">
        <v>0.753229095853161</v>
      </c>
      <c r="G112" s="106">
        <v>0.74342623654691598</v>
      </c>
      <c r="H112" s="106">
        <v>1.52051125521577E-2</v>
      </c>
      <c r="I112" s="106">
        <v>0.64470810542297796</v>
      </c>
      <c r="J112" s="106">
        <v>1.3</v>
      </c>
      <c r="K112" s="106">
        <v>0.98190647397347197</v>
      </c>
      <c r="L112" s="106">
        <v>0.50526172957039295</v>
      </c>
      <c r="M112" s="106">
        <v>0.95156855629506698</v>
      </c>
      <c r="N112" s="106">
        <v>4.8986302344365899E-2</v>
      </c>
      <c r="P112" s="106">
        <v>0.7586313490990737</v>
      </c>
      <c r="Q112" s="106">
        <v>0.72822112399475825</v>
      </c>
      <c r="R112" s="106">
        <v>0.77383646165123132</v>
      </c>
      <c r="S112" s="106">
        <v>0.71301601144260063</v>
      </c>
      <c r="Y112" s="14"/>
      <c r="AA112" s="106">
        <v>1108</v>
      </c>
      <c r="AB112" s="106">
        <v>1110.6391035548686</v>
      </c>
    </row>
    <row r="113" spans="1:28" x14ac:dyDescent="0.2">
      <c r="A113" s="14">
        <v>43776</v>
      </c>
      <c r="B113" s="106">
        <v>1061</v>
      </c>
      <c r="C113" s="106">
        <v>1084</v>
      </c>
      <c r="D113" s="106">
        <v>1403</v>
      </c>
      <c r="E113" s="106">
        <v>1434</v>
      </c>
      <c r="F113" s="106">
        <v>0.75592747559274698</v>
      </c>
      <c r="G113" s="106">
        <v>0.74323456197800297</v>
      </c>
      <c r="H113" s="106">
        <v>1.5170900647217199E-2</v>
      </c>
      <c r="I113" s="106">
        <v>0.83666183767883495</v>
      </c>
      <c r="J113" s="106">
        <v>1.68</v>
      </c>
      <c r="K113" s="106">
        <v>0.98022803739940401</v>
      </c>
      <c r="L113" s="15">
        <v>0.58146511319258398</v>
      </c>
      <c r="M113" s="106">
        <v>0.95047121940575297</v>
      </c>
      <c r="N113" s="106">
        <v>7.4507546184151605E-2</v>
      </c>
      <c r="P113" s="106">
        <v>0.75840546262522013</v>
      </c>
      <c r="Q113" s="106">
        <v>0.72806366133078582</v>
      </c>
      <c r="R113" s="106">
        <v>0.7735763632724374</v>
      </c>
      <c r="S113" s="106">
        <v>0.71289276068356855</v>
      </c>
      <c r="Y113" s="14"/>
      <c r="AA113" s="106">
        <v>1084</v>
      </c>
      <c r="AB113" s="106">
        <v>1082.7032457496136</v>
      </c>
    </row>
    <row r="114" spans="1:28" x14ac:dyDescent="0.2">
      <c r="A114" s="14">
        <v>43775</v>
      </c>
      <c r="B114" s="106">
        <v>1076</v>
      </c>
      <c r="C114" s="106">
        <v>1066</v>
      </c>
      <c r="D114" s="106">
        <v>1398</v>
      </c>
      <c r="E114" s="106">
        <v>1410</v>
      </c>
      <c r="F114" s="106">
        <v>0.756028368794326</v>
      </c>
      <c r="G114" s="106">
        <v>0.74285906080820296</v>
      </c>
      <c r="H114" s="106">
        <v>1.5200588874688699E-2</v>
      </c>
      <c r="I114" s="106">
        <v>0.866368276564077</v>
      </c>
      <c r="J114" s="106">
        <v>1.74</v>
      </c>
      <c r="K114" s="106">
        <v>0.97867416641300498</v>
      </c>
      <c r="L114" s="106">
        <v>0.56889051964925996</v>
      </c>
      <c r="M114" s="106">
        <v>0.94942973584129797</v>
      </c>
      <c r="N114" s="106">
        <v>8.3334271702496604E-2</v>
      </c>
      <c r="P114" s="106">
        <v>0.75805964968289163</v>
      </c>
      <c r="Q114" s="106">
        <v>0.72765847193351429</v>
      </c>
      <c r="R114" s="106">
        <v>0.77326023855758041</v>
      </c>
      <c r="S114" s="106">
        <v>0.71245788305882551</v>
      </c>
      <c r="Y114" s="14"/>
      <c r="AA114" s="106">
        <v>1066</v>
      </c>
      <c r="AB114" s="106">
        <v>1064.5826893353942</v>
      </c>
    </row>
    <row r="115" spans="1:28" x14ac:dyDescent="0.2">
      <c r="A115" s="14">
        <v>43774</v>
      </c>
      <c r="B115" s="106">
        <v>1029</v>
      </c>
      <c r="C115" s="106">
        <v>1057</v>
      </c>
      <c r="D115" s="106">
        <v>1378</v>
      </c>
      <c r="E115" s="106">
        <v>1393</v>
      </c>
      <c r="F115" s="106">
        <v>0.75879396984924596</v>
      </c>
      <c r="G115" s="106">
        <v>0.74242646203693796</v>
      </c>
      <c r="H115" s="106">
        <v>1.528111039164E-2</v>
      </c>
      <c r="I115" s="106">
        <v>1.07109414125182</v>
      </c>
      <c r="J115" s="106">
        <v>2.16</v>
      </c>
      <c r="K115" s="106">
        <v>0.97674216900150501</v>
      </c>
      <c r="L115" s="106">
        <v>0.56910014693048805</v>
      </c>
      <c r="M115" s="106">
        <v>0.948766904254429</v>
      </c>
      <c r="N115" s="106">
        <v>6.9741366986573405E-2</v>
      </c>
      <c r="P115" s="106">
        <v>0.757707572428578</v>
      </c>
      <c r="Q115" s="106">
        <v>0.72714535164529792</v>
      </c>
      <c r="R115" s="106">
        <v>0.77298868282021793</v>
      </c>
      <c r="S115" s="106">
        <v>0.71186424125365799</v>
      </c>
      <c r="Y115" s="14"/>
      <c r="AA115" s="106">
        <v>1057</v>
      </c>
      <c r="AB115" s="106">
        <v>1051.7472952086555</v>
      </c>
    </row>
    <row r="116" spans="1:28" x14ac:dyDescent="0.2">
      <c r="A116" s="14">
        <v>43770</v>
      </c>
      <c r="B116" s="106">
        <v>992</v>
      </c>
      <c r="C116" s="106">
        <v>997</v>
      </c>
      <c r="D116" s="106">
        <v>1346</v>
      </c>
      <c r="E116" s="106">
        <v>1337</v>
      </c>
      <c r="F116" s="106">
        <v>0.74569932685115903</v>
      </c>
      <c r="G116" s="106">
        <v>0.74190431987719596</v>
      </c>
      <c r="H116" s="106">
        <v>1.5381638509358499E-2</v>
      </c>
      <c r="I116" s="106">
        <v>0.246723193478638</v>
      </c>
      <c r="J116" s="106">
        <v>0.51</v>
      </c>
      <c r="K116" s="106">
        <v>0.976443693549362</v>
      </c>
      <c r="L116" s="106">
        <v>0.39139377114104301</v>
      </c>
      <c r="M116" s="106">
        <v>0.94632893618261205</v>
      </c>
      <c r="N116" s="106">
        <v>0.11722513195052101</v>
      </c>
      <c r="P116" s="106">
        <v>0.75728595838655444</v>
      </c>
      <c r="Q116" s="106">
        <v>0.72652268136783749</v>
      </c>
      <c r="R116" s="106">
        <v>0.77266759689591291</v>
      </c>
      <c r="S116" s="106">
        <v>0.71114104285847901</v>
      </c>
      <c r="Y116" s="14"/>
      <c r="AA116" s="106">
        <v>997</v>
      </c>
      <c r="AB116" s="106">
        <v>1009.46599690881</v>
      </c>
    </row>
    <row r="117" spans="1:28" x14ac:dyDescent="0.2">
      <c r="A117" s="14">
        <v>43769</v>
      </c>
      <c r="B117" s="106">
        <v>1031</v>
      </c>
      <c r="C117" s="106">
        <v>1016</v>
      </c>
      <c r="D117" s="106">
        <v>1347</v>
      </c>
      <c r="E117" s="106">
        <v>1394</v>
      </c>
      <c r="F117" s="106">
        <v>0.72883787661405997</v>
      </c>
      <c r="G117" s="106">
        <v>0.74142662073897503</v>
      </c>
      <c r="H117" s="106">
        <v>1.5806821269414802E-2</v>
      </c>
      <c r="I117" s="106">
        <v>-0.79641212552160101</v>
      </c>
      <c r="J117" s="106">
        <v>-1.73</v>
      </c>
      <c r="K117" s="106">
        <v>0.97967516034194202</v>
      </c>
      <c r="L117" s="106">
        <v>0.235131682032898</v>
      </c>
      <c r="M117" s="106">
        <v>0.94491185431649105</v>
      </c>
      <c r="N117" s="106">
        <v>0.32764095932250598</v>
      </c>
      <c r="P117" s="106">
        <v>0.75723344200838982</v>
      </c>
      <c r="Q117" s="106">
        <v>0.72561979946956023</v>
      </c>
      <c r="R117" s="106">
        <v>0.77304026327780462</v>
      </c>
      <c r="S117" s="106">
        <v>0.70981297820014544</v>
      </c>
      <c r="Y117" s="14"/>
      <c r="AA117" s="106">
        <v>1016</v>
      </c>
      <c r="AB117" s="106">
        <v>1052.5023183925812</v>
      </c>
    </row>
    <row r="118" spans="1:28" x14ac:dyDescent="0.2">
      <c r="A118" s="14">
        <v>43768</v>
      </c>
      <c r="B118" s="106">
        <v>1032</v>
      </c>
      <c r="C118" s="106">
        <v>1026</v>
      </c>
      <c r="D118" s="106">
        <v>1347</v>
      </c>
      <c r="E118" s="106">
        <v>1342</v>
      </c>
      <c r="F118" s="106">
        <v>0.76453055141579696</v>
      </c>
      <c r="G118" s="106">
        <v>0.74123983434863205</v>
      </c>
      <c r="H118" s="106">
        <v>1.60355919225625E-2</v>
      </c>
      <c r="I118" s="106">
        <v>1.45243887345335</v>
      </c>
      <c r="J118" s="106">
        <v>3.05</v>
      </c>
      <c r="K118" s="106">
        <v>0.973299020450894</v>
      </c>
      <c r="L118" s="106">
        <v>0.90911065270498403</v>
      </c>
      <c r="M118" s="106">
        <v>0.94480368019883298</v>
      </c>
      <c r="N118" s="106">
        <v>9.3304637069525007E-2</v>
      </c>
      <c r="P118" s="106">
        <v>0.7572754262711946</v>
      </c>
      <c r="Q118" s="106">
        <v>0.72520424242606951</v>
      </c>
      <c r="R118" s="106">
        <v>0.77331101819375703</v>
      </c>
      <c r="S118" s="106">
        <v>0.70916865050350708</v>
      </c>
      <c r="Y118" s="14"/>
      <c r="AA118" s="106">
        <v>1026</v>
      </c>
      <c r="AB118" s="106">
        <v>1013.241112828439</v>
      </c>
    </row>
    <row r="119" spans="1:28" x14ac:dyDescent="0.2">
      <c r="A119" s="14">
        <v>43767</v>
      </c>
      <c r="B119" s="106">
        <v>1035</v>
      </c>
      <c r="C119" s="106">
        <v>1042</v>
      </c>
      <c r="D119" s="106">
        <v>1349</v>
      </c>
      <c r="E119" s="106">
        <v>1350</v>
      </c>
      <c r="F119" s="106">
        <v>0.77185185185185101</v>
      </c>
      <c r="G119" s="106">
        <v>0.74062753592229202</v>
      </c>
      <c r="H119" s="106">
        <v>1.60113010821843E-2</v>
      </c>
      <c r="I119" s="106">
        <v>1.9501423256791199</v>
      </c>
      <c r="J119" s="106">
        <v>4.05</v>
      </c>
      <c r="K119" s="106">
        <v>0.96384007827399798</v>
      </c>
      <c r="L119" s="106">
        <v>0.90484539004331299</v>
      </c>
      <c r="M119" s="106">
        <v>0.94527665571804198</v>
      </c>
      <c r="N119" s="106">
        <v>4.1525187630120801E-2</v>
      </c>
      <c r="P119" s="106">
        <v>0.75663883700447632</v>
      </c>
      <c r="Q119" s="106">
        <v>0.72461623484010773</v>
      </c>
      <c r="R119" s="106">
        <v>0.77265013808666061</v>
      </c>
      <c r="S119" s="106">
        <v>0.70860493375792344</v>
      </c>
      <c r="Y119" s="14"/>
      <c r="AA119" s="106">
        <v>1042</v>
      </c>
      <c r="AB119" s="106">
        <v>1019.2812982998455</v>
      </c>
    </row>
    <row r="120" spans="1:28" x14ac:dyDescent="0.2">
      <c r="A120" s="14">
        <v>43766</v>
      </c>
      <c r="B120" s="106">
        <v>1020</v>
      </c>
      <c r="C120" s="106">
        <v>1019</v>
      </c>
      <c r="D120" s="106">
        <v>1329</v>
      </c>
      <c r="E120" s="106">
        <v>1333</v>
      </c>
      <c r="F120" s="106">
        <v>0.764441110277569</v>
      </c>
      <c r="G120" s="106">
        <v>0.73995858349900101</v>
      </c>
      <c r="H120" s="106">
        <v>1.5738532404051601E-2</v>
      </c>
      <c r="I120" s="106">
        <v>1.5555787636378</v>
      </c>
      <c r="J120" s="106">
        <v>3.2</v>
      </c>
      <c r="K120" s="106">
        <v>0.95831716405985401</v>
      </c>
      <c r="L120" s="106">
        <v>0.64327991064898304</v>
      </c>
      <c r="M120" s="106">
        <v>0.94571655291987999</v>
      </c>
      <c r="N120" s="106">
        <v>4.0097559835641103E-2</v>
      </c>
      <c r="P120" s="106">
        <v>0.75569711590305266</v>
      </c>
      <c r="Q120" s="106">
        <v>0.72422005109494936</v>
      </c>
      <c r="R120" s="106">
        <v>0.7714356483071042</v>
      </c>
      <c r="S120" s="106">
        <v>0.70848151869089782</v>
      </c>
      <c r="Y120" s="14"/>
      <c r="AA120" s="106">
        <v>1019</v>
      </c>
      <c r="AB120" s="106">
        <v>1006.4459041731067</v>
      </c>
    </row>
    <row r="121" spans="1:28" x14ac:dyDescent="0.2">
      <c r="A121" s="14">
        <v>43763</v>
      </c>
      <c r="B121" s="106">
        <v>1016</v>
      </c>
      <c r="C121" s="106">
        <v>1005</v>
      </c>
      <c r="D121" s="106">
        <v>1325</v>
      </c>
      <c r="E121" s="106">
        <v>1314</v>
      </c>
      <c r="F121" s="106">
        <v>0.76484018264840103</v>
      </c>
      <c r="G121" s="106">
        <v>0.73944940609245802</v>
      </c>
      <c r="H121" s="106">
        <v>1.5554898391523801E-2</v>
      </c>
      <c r="I121" s="106">
        <v>1.63233316713785</v>
      </c>
      <c r="J121" s="106">
        <v>3.32</v>
      </c>
      <c r="K121" s="106">
        <v>0.95518170392517399</v>
      </c>
      <c r="L121" s="106">
        <v>0.59598357049054995</v>
      </c>
      <c r="M121" s="106">
        <v>0.94615391045790598</v>
      </c>
      <c r="N121" s="106">
        <v>4.2373622930390299E-2</v>
      </c>
      <c r="P121" s="106">
        <v>0.75500430448398181</v>
      </c>
      <c r="Q121" s="106">
        <v>0.72389450770093422</v>
      </c>
      <c r="R121" s="106">
        <v>0.77055920287550561</v>
      </c>
      <c r="S121" s="106">
        <v>0.70833960930941042</v>
      </c>
      <c r="Y121" s="14"/>
      <c r="AA121" s="106">
        <v>1005</v>
      </c>
      <c r="AB121" s="106">
        <v>992.10046367851623</v>
      </c>
    </row>
    <row r="122" spans="1:28" x14ac:dyDescent="0.2">
      <c r="A122" s="14">
        <v>43762</v>
      </c>
      <c r="B122" s="106">
        <v>1000</v>
      </c>
      <c r="C122" s="106">
        <v>1017</v>
      </c>
      <c r="D122" s="106">
        <v>1313</v>
      </c>
      <c r="E122" s="106">
        <v>1336</v>
      </c>
      <c r="F122" s="106">
        <v>0.76122754491017897</v>
      </c>
      <c r="G122" s="106">
        <v>0.73892395509500497</v>
      </c>
      <c r="H122" s="106">
        <v>1.53526204209368E-2</v>
      </c>
      <c r="I122" s="106">
        <v>1.45275459196254</v>
      </c>
      <c r="J122" s="106">
        <v>2.93</v>
      </c>
      <c r="K122" s="106">
        <v>0.95266608372750405</v>
      </c>
      <c r="L122" s="106">
        <v>0.55506007346253505</v>
      </c>
      <c r="M122" s="106">
        <v>0.94656188251130402</v>
      </c>
      <c r="N122" s="106">
        <v>4.3404120859019402E-2</v>
      </c>
      <c r="P122" s="106">
        <v>0.75427657551594174</v>
      </c>
      <c r="Q122" s="106">
        <v>0.7235713346740682</v>
      </c>
      <c r="R122" s="106">
        <v>0.76962919593687862</v>
      </c>
      <c r="S122" s="106">
        <v>0.70821871425313132</v>
      </c>
      <c r="Y122" s="14"/>
      <c r="AA122" s="106">
        <v>1017</v>
      </c>
      <c r="AB122" s="106">
        <v>1008.7109737248841</v>
      </c>
    </row>
    <row r="123" spans="1:28" x14ac:dyDescent="0.2">
      <c r="A123" s="14">
        <v>43761</v>
      </c>
      <c r="B123" s="106">
        <v>999</v>
      </c>
      <c r="C123" s="106">
        <v>995</v>
      </c>
      <c r="D123" s="106">
        <v>1309</v>
      </c>
      <c r="E123" s="106">
        <v>1316</v>
      </c>
      <c r="F123" s="106">
        <v>0.75607902735562305</v>
      </c>
      <c r="G123" s="106">
        <v>0.73846214463353099</v>
      </c>
      <c r="H123" s="106">
        <v>1.51948935617005E-2</v>
      </c>
      <c r="I123" s="106">
        <v>1.15939494084351</v>
      </c>
      <c r="J123" s="106">
        <v>2.33</v>
      </c>
      <c r="K123" s="106">
        <v>0.952381670804615</v>
      </c>
      <c r="L123" s="106">
        <v>0.33364676971205798</v>
      </c>
      <c r="M123" s="106">
        <v>0.94740822286605997</v>
      </c>
      <c r="N123" s="106">
        <v>4.0134307639103001E-2</v>
      </c>
      <c r="P123" s="106">
        <v>0.75365703819523144</v>
      </c>
      <c r="Q123" s="106">
        <v>0.72326725107183054</v>
      </c>
      <c r="R123" s="106">
        <v>0.76885193175693201</v>
      </c>
      <c r="S123" s="106">
        <v>0.70807235751012998</v>
      </c>
      <c r="Y123" s="14"/>
      <c r="AA123" s="106">
        <v>995</v>
      </c>
      <c r="AB123" s="106">
        <v>993.61051004636795</v>
      </c>
    </row>
    <row r="124" spans="1:28" x14ac:dyDescent="0.2">
      <c r="A124" s="14">
        <v>43759</v>
      </c>
      <c r="B124" s="106">
        <v>987</v>
      </c>
      <c r="C124" s="106">
        <v>989</v>
      </c>
      <c r="D124" s="106">
        <v>1286</v>
      </c>
      <c r="E124" s="106">
        <v>1289</v>
      </c>
      <c r="F124" s="106">
        <v>0.76726144297905297</v>
      </c>
      <c r="G124" s="106">
        <v>0.73812543705148403</v>
      </c>
      <c r="H124" s="106">
        <v>1.50801472828378E-2</v>
      </c>
      <c r="I124" s="106">
        <v>1.93207701364614</v>
      </c>
      <c r="J124" s="106">
        <v>3.8</v>
      </c>
      <c r="K124" s="106">
        <v>0.95531037301996602</v>
      </c>
      <c r="L124" s="106">
        <v>0.29418938574410403</v>
      </c>
      <c r="M124" s="106">
        <v>0.94935446211005203</v>
      </c>
      <c r="N124" s="106">
        <v>3.8802875548367699E-2</v>
      </c>
      <c r="P124" s="106">
        <v>0.75320558433432183</v>
      </c>
      <c r="Q124" s="106">
        <v>0.72304528976864624</v>
      </c>
      <c r="R124" s="106">
        <v>0.76828573161715963</v>
      </c>
      <c r="S124" s="106">
        <v>0.70796514248580844</v>
      </c>
      <c r="Y124" s="14"/>
      <c r="AA124" s="106">
        <v>989</v>
      </c>
      <c r="AB124" s="106">
        <v>973.224884080371</v>
      </c>
    </row>
    <row r="125" spans="1:28" x14ac:dyDescent="0.2">
      <c r="A125" s="14">
        <v>43756</v>
      </c>
      <c r="B125" s="106">
        <v>979</v>
      </c>
      <c r="C125" s="106">
        <v>983</v>
      </c>
      <c r="D125" s="106">
        <v>1290</v>
      </c>
      <c r="E125" s="106">
        <v>1289</v>
      </c>
      <c r="F125" s="106">
        <v>0.76260667183863395</v>
      </c>
      <c r="G125" s="106">
        <v>0.73769602248581001</v>
      </c>
      <c r="H125" s="106">
        <v>1.46980733340161E-2</v>
      </c>
      <c r="I125" s="106">
        <v>1.69482413012411</v>
      </c>
      <c r="J125" s="106">
        <v>3.27</v>
      </c>
      <c r="K125" s="106">
        <v>0.95615110126206504</v>
      </c>
      <c r="L125" s="15">
        <v>0.229131915054479</v>
      </c>
      <c r="M125" s="106">
        <v>0.95040629507093799</v>
      </c>
      <c r="N125" s="106">
        <v>3.7141321810859801E-2</v>
      </c>
      <c r="P125" s="106">
        <v>0.75239409581982608</v>
      </c>
      <c r="Q125" s="106">
        <v>0.72299794915179394</v>
      </c>
      <c r="R125" s="106">
        <v>0.76709216915384226</v>
      </c>
      <c r="S125" s="106">
        <v>0.70829987581777776</v>
      </c>
      <c r="Y125" s="14"/>
      <c r="AA125" s="106">
        <v>983</v>
      </c>
      <c r="AB125" s="106">
        <v>973.224884080371</v>
      </c>
    </row>
    <row r="126" spans="1:28" x14ac:dyDescent="0.2">
      <c r="A126" s="14">
        <v>43755</v>
      </c>
      <c r="B126" s="106">
        <v>983</v>
      </c>
      <c r="C126" s="106">
        <v>978</v>
      </c>
      <c r="D126" s="106">
        <v>1293</v>
      </c>
      <c r="E126" s="106">
        <v>1279</v>
      </c>
      <c r="F126" s="106">
        <v>0.76465989053948402</v>
      </c>
      <c r="G126" s="106">
        <v>0.73732885236410195</v>
      </c>
      <c r="H126" s="106">
        <v>1.4412379952494499E-2</v>
      </c>
      <c r="I126" s="106">
        <v>1.8963584269543701</v>
      </c>
      <c r="J126" s="106">
        <v>3.57</v>
      </c>
      <c r="K126" s="106">
        <v>0.95724271468843503</v>
      </c>
      <c r="L126" s="106">
        <v>0.25311327576041498</v>
      </c>
      <c r="M126" s="106">
        <v>0.95151861995361198</v>
      </c>
      <c r="N126" s="106">
        <v>4.43955508096033E-2</v>
      </c>
      <c r="P126" s="106">
        <v>0.7517412323165964</v>
      </c>
      <c r="Q126" s="106">
        <v>0.7229164724116075</v>
      </c>
      <c r="R126" s="106">
        <v>0.76615361226909096</v>
      </c>
      <c r="S126" s="106">
        <v>0.70850409245911294</v>
      </c>
      <c r="Y126" s="14"/>
      <c r="AA126" s="106">
        <v>978</v>
      </c>
      <c r="AB126" s="106">
        <v>965.67465224111288</v>
      </c>
    </row>
    <row r="127" spans="1:28" x14ac:dyDescent="0.2">
      <c r="A127" s="14">
        <v>43754</v>
      </c>
      <c r="B127" s="106">
        <v>989</v>
      </c>
      <c r="C127" s="106">
        <v>979</v>
      </c>
      <c r="D127" s="106">
        <v>1305</v>
      </c>
      <c r="E127" s="106">
        <v>1288</v>
      </c>
      <c r="F127" s="106">
        <v>0.76009316770186297</v>
      </c>
      <c r="G127" s="106">
        <v>0.73692888817940405</v>
      </c>
      <c r="H127" s="106">
        <v>1.40602881521887E-2</v>
      </c>
      <c r="I127" s="106">
        <v>1.64749678468381</v>
      </c>
      <c r="J127" s="106">
        <v>3.05</v>
      </c>
      <c r="K127" s="106">
        <v>0.95705036763578399</v>
      </c>
      <c r="L127" s="106">
        <v>0.26484909563821202</v>
      </c>
      <c r="M127" s="106">
        <v>0.95297448802393303</v>
      </c>
      <c r="N127" s="106">
        <v>3.1711873002755998E-2</v>
      </c>
      <c r="P127" s="106">
        <v>0.75098917633159279</v>
      </c>
      <c r="Q127" s="106">
        <v>0.72286860002721531</v>
      </c>
      <c r="R127" s="106">
        <v>0.76504946448378142</v>
      </c>
      <c r="S127" s="106">
        <v>0.70880831187502669</v>
      </c>
      <c r="Y127" s="14"/>
      <c r="AA127" s="106">
        <v>979</v>
      </c>
      <c r="AB127" s="106">
        <v>972.4698608964452</v>
      </c>
    </row>
    <row r="128" spans="1:28" x14ac:dyDescent="0.2">
      <c r="A128" s="14">
        <v>43753</v>
      </c>
      <c r="B128" s="106">
        <v>975</v>
      </c>
      <c r="C128" s="106">
        <v>974</v>
      </c>
      <c r="D128" s="106">
        <v>1287</v>
      </c>
      <c r="E128" s="106">
        <v>1283</v>
      </c>
      <c r="F128" s="106">
        <v>0.75915822291504198</v>
      </c>
      <c r="G128" s="106">
        <v>0.73655677671863395</v>
      </c>
      <c r="H128" s="106">
        <v>1.38093761135143E-2</v>
      </c>
      <c r="I128" s="106">
        <v>1.6366739533070001</v>
      </c>
      <c r="J128" s="106">
        <v>2.98</v>
      </c>
      <c r="K128" s="106">
        <v>0.95663136185813402</v>
      </c>
      <c r="L128" s="106">
        <v>0.33500578141954601</v>
      </c>
      <c r="M128" s="106">
        <v>0.95415115619649804</v>
      </c>
      <c r="N128" s="106">
        <v>3.2219893789107099E-2</v>
      </c>
      <c r="P128" s="106">
        <v>0.75036615283214825</v>
      </c>
      <c r="Q128" s="106">
        <v>0.72274740060511966</v>
      </c>
      <c r="R128" s="106">
        <v>0.76417552894566254</v>
      </c>
      <c r="S128" s="106">
        <v>0.70893802449160537</v>
      </c>
      <c r="Y128" s="14"/>
      <c r="AA128" s="106">
        <v>974</v>
      </c>
      <c r="AB128" s="106">
        <v>968.69474497681608</v>
      </c>
    </row>
    <row r="129" spans="1:28" x14ac:dyDescent="0.2">
      <c r="A129" s="14">
        <v>43749</v>
      </c>
      <c r="B129" s="106">
        <v>941</v>
      </c>
      <c r="C129" s="106">
        <v>950</v>
      </c>
      <c r="D129" s="106">
        <v>1245</v>
      </c>
      <c r="E129" s="106">
        <v>1260</v>
      </c>
      <c r="F129" s="106">
        <v>0.75396825396825395</v>
      </c>
      <c r="G129" s="106">
        <v>0.73625642818644399</v>
      </c>
      <c r="H129" s="106">
        <v>1.3557202148007401E-2</v>
      </c>
      <c r="I129" s="106">
        <v>1.30645140409099</v>
      </c>
      <c r="J129" s="106">
        <v>2.35</v>
      </c>
      <c r="K129" s="106">
        <v>0.95570060888457398</v>
      </c>
      <c r="L129" s="106">
        <v>0.32644542009644201</v>
      </c>
      <c r="M129" s="106">
        <v>0.95595334912738705</v>
      </c>
      <c r="N129" s="106">
        <v>3.5687448828649798E-2</v>
      </c>
      <c r="P129" s="106">
        <v>0.74981363033445136</v>
      </c>
      <c r="Q129" s="106">
        <v>0.72269922603843662</v>
      </c>
      <c r="R129" s="106">
        <v>0.76337083248245874</v>
      </c>
      <c r="S129" s="106">
        <v>0.70914202389042924</v>
      </c>
      <c r="Y129" s="14"/>
      <c r="AA129" s="106">
        <v>950</v>
      </c>
      <c r="AB129" s="106">
        <v>951.32921174652245</v>
      </c>
    </row>
    <row r="130" spans="1:28" x14ac:dyDescent="0.2">
      <c r="A130" s="14">
        <v>43748</v>
      </c>
      <c r="B130" s="106">
        <v>914</v>
      </c>
      <c r="C130" s="106">
        <v>926</v>
      </c>
      <c r="D130" s="106">
        <v>1217</v>
      </c>
      <c r="E130" s="106">
        <v>1222</v>
      </c>
      <c r="F130" s="106">
        <v>0.75777414075286398</v>
      </c>
      <c r="G130" s="106">
        <v>0.73616887917803198</v>
      </c>
      <c r="H130" s="106">
        <v>1.34634179111351E-2</v>
      </c>
      <c r="I130" s="106">
        <v>1.6047382408714499</v>
      </c>
      <c r="J130" s="106">
        <v>2.85</v>
      </c>
      <c r="K130" s="106">
        <v>0.95386077222133203</v>
      </c>
      <c r="L130" s="106">
        <v>0.48900729336667398</v>
      </c>
      <c r="M130" s="106">
        <v>0.95683809370829298</v>
      </c>
      <c r="N130" s="106">
        <v>3.08912507906649E-2</v>
      </c>
      <c r="P130" s="106">
        <v>0.74963229708916712</v>
      </c>
      <c r="Q130" s="106">
        <v>0.72270546126689683</v>
      </c>
      <c r="R130" s="106">
        <v>0.76309571500030215</v>
      </c>
      <c r="S130" s="106">
        <v>0.7092420433557618</v>
      </c>
      <c r="Y130" s="14"/>
      <c r="AA130" s="106">
        <v>926</v>
      </c>
      <c r="AB130" s="106">
        <v>922.63833075734158</v>
      </c>
    </row>
    <row r="131" spans="1:28" x14ac:dyDescent="0.2">
      <c r="A131" s="14">
        <v>43747</v>
      </c>
      <c r="B131" s="106">
        <v>912</v>
      </c>
      <c r="C131" s="106">
        <v>915</v>
      </c>
      <c r="D131" s="106">
        <v>1212</v>
      </c>
      <c r="E131" s="106">
        <v>1212</v>
      </c>
      <c r="F131" s="106">
        <v>0.75495049504950495</v>
      </c>
      <c r="G131" s="106">
        <v>0.73585920178098896</v>
      </c>
      <c r="H131" s="106">
        <v>1.32279592603594E-2</v>
      </c>
      <c r="I131" s="106">
        <v>1.44325310448508</v>
      </c>
      <c r="J131" s="106">
        <v>2.5299999999999998</v>
      </c>
      <c r="K131" s="106">
        <v>0.95324731670124097</v>
      </c>
      <c r="L131" s="106">
        <v>0.41836171435419001</v>
      </c>
      <c r="M131" s="106">
        <v>0.95815432864598105</v>
      </c>
      <c r="N131" s="106">
        <v>3.0904875268465099E-2</v>
      </c>
      <c r="P131" s="106">
        <v>0.74908716104134832</v>
      </c>
      <c r="Q131" s="106">
        <v>0.7226312425206296</v>
      </c>
      <c r="R131" s="106">
        <v>0.76231512030170778</v>
      </c>
      <c r="S131" s="106">
        <v>0.70940328326027013</v>
      </c>
      <c r="Y131" s="14"/>
      <c r="AA131" s="106">
        <v>915</v>
      </c>
      <c r="AB131" s="106">
        <v>915.08809891808346</v>
      </c>
    </row>
    <row r="132" spans="1:28" x14ac:dyDescent="0.2">
      <c r="A132" s="14">
        <v>43746</v>
      </c>
      <c r="B132" s="106">
        <v>921</v>
      </c>
      <c r="C132" s="106">
        <v>926</v>
      </c>
      <c r="D132" s="106">
        <v>1225</v>
      </c>
      <c r="E132" s="106">
        <v>1231</v>
      </c>
      <c r="F132" s="106">
        <v>0.75223395613322497</v>
      </c>
      <c r="G132" s="106">
        <v>0.73558222471619295</v>
      </c>
      <c r="H132" s="106">
        <v>1.30414804081317E-2</v>
      </c>
      <c r="I132" s="106">
        <v>1.27682831211772</v>
      </c>
      <c r="J132" s="106">
        <v>2.21</v>
      </c>
      <c r="K132" s="106">
        <v>0.953344842442718</v>
      </c>
      <c r="L132" s="106">
        <v>0.389155472590135</v>
      </c>
      <c r="M132" s="106">
        <v>0.95957514796798005</v>
      </c>
      <c r="N132" s="106">
        <v>3.1889418667579203E-2</v>
      </c>
      <c r="P132" s="106">
        <v>0.74862370512432463</v>
      </c>
      <c r="Q132" s="106">
        <v>0.72254074430806126</v>
      </c>
      <c r="R132" s="106">
        <v>0.76166518553245632</v>
      </c>
      <c r="S132" s="106">
        <v>0.70949926389992957</v>
      </c>
      <c r="Y132" s="14"/>
      <c r="AA132" s="106">
        <v>926</v>
      </c>
      <c r="AB132" s="106">
        <v>929.43353941267389</v>
      </c>
    </row>
    <row r="133" spans="1:28" x14ac:dyDescent="0.2">
      <c r="A133" s="14">
        <v>43745</v>
      </c>
      <c r="B133" s="106">
        <v>918</v>
      </c>
      <c r="C133" s="106">
        <v>910</v>
      </c>
      <c r="D133" s="106">
        <v>1220</v>
      </c>
      <c r="E133" s="106">
        <v>1214</v>
      </c>
      <c r="F133" s="106">
        <v>0.74958813838550198</v>
      </c>
      <c r="G133" s="106">
        <v>0.73537197154312195</v>
      </c>
      <c r="H133" s="106">
        <v>1.2897648074853101E-2</v>
      </c>
      <c r="I133" s="106">
        <v>1.1022293956134199</v>
      </c>
      <c r="J133" s="106">
        <v>1.9</v>
      </c>
      <c r="K133" s="106">
        <v>0.954063064151211</v>
      </c>
      <c r="L133" s="106">
        <v>0.33314986981839301</v>
      </c>
      <c r="M133" s="106">
        <v>0.95943492822600096</v>
      </c>
      <c r="N133" s="106">
        <v>3.2363582165005997E-2</v>
      </c>
      <c r="P133" s="106">
        <v>0.748269619617975</v>
      </c>
      <c r="Q133" s="106">
        <v>0.7224743234682689</v>
      </c>
      <c r="R133" s="106">
        <v>0.76116726769282816</v>
      </c>
      <c r="S133" s="106">
        <v>0.70957667539341573</v>
      </c>
      <c r="Y133" s="14"/>
      <c r="AA133" s="106">
        <v>910</v>
      </c>
      <c r="AB133" s="106">
        <v>916.59814528593517</v>
      </c>
    </row>
    <row r="134" spans="1:28" x14ac:dyDescent="0.2">
      <c r="A134" s="14">
        <v>43742</v>
      </c>
      <c r="B134" s="106">
        <v>909</v>
      </c>
      <c r="C134" s="106">
        <v>914</v>
      </c>
      <c r="D134" s="106">
        <v>1220</v>
      </c>
      <c r="E134" s="106">
        <v>1216</v>
      </c>
      <c r="F134" s="106">
        <v>0.75164473684210498</v>
      </c>
      <c r="G134" s="106">
        <v>0.735128216249612</v>
      </c>
      <c r="H134" s="106">
        <v>1.2799047840003901E-2</v>
      </c>
      <c r="I134" s="106">
        <v>1.29044916457536</v>
      </c>
      <c r="J134" s="106">
        <v>2.2000000000000002</v>
      </c>
      <c r="K134" s="106">
        <v>0.95572415252194198</v>
      </c>
      <c r="L134" s="106">
        <v>0.34218934892872999</v>
      </c>
      <c r="M134" s="106">
        <v>0.96092572216935102</v>
      </c>
      <c r="N134" s="106">
        <v>3.3743296450458697E-2</v>
      </c>
      <c r="P134" s="106">
        <v>0.74792726408961585</v>
      </c>
      <c r="Q134" s="106">
        <v>0.72232916840960815</v>
      </c>
      <c r="R134" s="106">
        <v>0.76072631192961981</v>
      </c>
      <c r="S134" s="106">
        <v>0.70953012056960418</v>
      </c>
      <c r="Y134" s="14"/>
      <c r="AA134" s="106">
        <v>914</v>
      </c>
      <c r="AB134" s="106">
        <v>918.10819165378678</v>
      </c>
    </row>
    <row r="135" spans="1:28" x14ac:dyDescent="0.2">
      <c r="A135" s="14">
        <v>43741</v>
      </c>
      <c r="B135" s="106">
        <v>899</v>
      </c>
      <c r="C135" s="106">
        <v>909</v>
      </c>
      <c r="D135" s="106">
        <v>1222</v>
      </c>
      <c r="E135" s="106">
        <v>1220</v>
      </c>
      <c r="F135" s="106">
        <v>0.74508196721311404</v>
      </c>
      <c r="G135" s="106">
        <v>0.73493373096079395</v>
      </c>
      <c r="H135" s="106">
        <v>1.2656626726550799E-2</v>
      </c>
      <c r="I135" s="106">
        <v>0.80181208402326398</v>
      </c>
      <c r="J135" s="106">
        <v>1.36</v>
      </c>
      <c r="K135" s="106">
        <v>0.95659531395221498</v>
      </c>
      <c r="L135" s="106">
        <v>0.35859916921566198</v>
      </c>
      <c r="M135" s="106">
        <v>0.96226219043167005</v>
      </c>
      <c r="N135" s="106">
        <v>3.8087775524745397E-2</v>
      </c>
      <c r="P135" s="106">
        <v>0.74759035768734472</v>
      </c>
      <c r="Q135" s="106">
        <v>0.72227710423424318</v>
      </c>
      <c r="R135" s="106">
        <v>0.7602469844138956</v>
      </c>
      <c r="S135" s="106">
        <v>0.7096204775076923</v>
      </c>
      <c r="Y135" s="14"/>
      <c r="AA135" s="106">
        <v>909</v>
      </c>
      <c r="AB135" s="106">
        <v>921.12828438948998</v>
      </c>
    </row>
    <row r="136" spans="1:28" x14ac:dyDescent="0.2">
      <c r="A136" s="14">
        <v>43740</v>
      </c>
      <c r="B136" s="106">
        <v>919</v>
      </c>
      <c r="C136" s="106">
        <v>928</v>
      </c>
      <c r="D136" s="106">
        <v>1252</v>
      </c>
      <c r="E136" s="106">
        <v>1252</v>
      </c>
      <c r="F136" s="106">
        <v>0.74121405750798697</v>
      </c>
      <c r="G136" s="106">
        <v>0.73493671969727203</v>
      </c>
      <c r="H136" s="106">
        <v>1.26590490129148E-2</v>
      </c>
      <c r="I136" s="106">
        <v>0.49587751847002298</v>
      </c>
      <c r="J136" s="106">
        <v>0.85</v>
      </c>
      <c r="K136" s="106">
        <v>0.95732514349604203</v>
      </c>
      <c r="L136" s="106">
        <v>0.35129848646529399</v>
      </c>
      <c r="M136" s="106">
        <v>0.96354879141650396</v>
      </c>
      <c r="N136" s="106">
        <v>3.8658199646975602E-2</v>
      </c>
      <c r="P136" s="106">
        <v>0.74759576871018685</v>
      </c>
      <c r="Q136" s="106">
        <v>0.72227767068435722</v>
      </c>
      <c r="R136" s="106">
        <v>0.76025481772310166</v>
      </c>
      <c r="S136" s="106">
        <v>0.70961862167144241</v>
      </c>
      <c r="Y136" s="14"/>
      <c r="AA136" s="106">
        <v>928</v>
      </c>
      <c r="AB136" s="106">
        <v>945.28902627511593</v>
      </c>
    </row>
    <row r="137" spans="1:28" x14ac:dyDescent="0.2">
      <c r="A137" s="14">
        <v>43739</v>
      </c>
      <c r="B137" s="106">
        <v>917</v>
      </c>
      <c r="C137" s="106">
        <v>949</v>
      </c>
      <c r="D137" s="106">
        <v>1251</v>
      </c>
      <c r="E137" s="106">
        <v>1282</v>
      </c>
      <c r="F137" s="106">
        <v>0.74024960998439904</v>
      </c>
      <c r="G137" s="106">
        <v>0.73486477861715505</v>
      </c>
      <c r="H137" s="106">
        <v>1.26384854074084E-2</v>
      </c>
      <c r="I137" s="106">
        <v>0.42606619335000401</v>
      </c>
      <c r="J137" s="106">
        <v>0.73</v>
      </c>
      <c r="K137" s="106">
        <v>0.95852014182723699</v>
      </c>
      <c r="L137" s="106">
        <v>0.355758888420527</v>
      </c>
      <c r="M137" s="106">
        <v>0.964852810212256</v>
      </c>
      <c r="N137" s="106">
        <v>4.3551909528023798E-2</v>
      </c>
      <c r="P137" s="106">
        <v>0.74750326402456346</v>
      </c>
      <c r="Q137" s="106">
        <v>0.72222629320974663</v>
      </c>
      <c r="R137" s="106">
        <v>0.76014174943197188</v>
      </c>
      <c r="S137" s="106">
        <v>0.70958780780233821</v>
      </c>
      <c r="Y137" s="14"/>
      <c r="AA137" s="106">
        <v>949</v>
      </c>
      <c r="AB137" s="106">
        <v>967.93972179289028</v>
      </c>
    </row>
    <row r="138" spans="1:28" x14ac:dyDescent="0.2">
      <c r="A138" s="14">
        <v>43738</v>
      </c>
      <c r="B138" s="106">
        <v>919</v>
      </c>
      <c r="C138" s="106">
        <v>910</v>
      </c>
      <c r="D138" s="106">
        <v>1257</v>
      </c>
      <c r="E138" s="106">
        <v>1239</v>
      </c>
      <c r="F138" s="106">
        <v>0.73446327683615797</v>
      </c>
      <c r="G138" s="106">
        <v>0.73492500389251003</v>
      </c>
      <c r="H138" s="106">
        <v>1.2674711969016501E-2</v>
      </c>
      <c r="I138" s="106">
        <v>-3.6428997951299197E-2</v>
      </c>
      <c r="J138" s="106">
        <v>-0.06</v>
      </c>
      <c r="K138" s="106">
        <v>0.95989742002359801</v>
      </c>
      <c r="L138" s="106">
        <v>0.35346412846104702</v>
      </c>
      <c r="M138" s="106">
        <v>0.96600144328929805</v>
      </c>
      <c r="N138" s="106">
        <v>3.5460382249917502E-2</v>
      </c>
      <c r="P138" s="106">
        <v>0.74759971586152651</v>
      </c>
      <c r="Q138" s="106">
        <v>0.72225029192349355</v>
      </c>
      <c r="R138" s="106">
        <v>0.760274427830543</v>
      </c>
      <c r="S138" s="106">
        <v>0.70957557995447706</v>
      </c>
      <c r="Y138" s="14"/>
      <c r="AA138" s="106">
        <v>910</v>
      </c>
      <c r="AB138" s="106">
        <v>935.47372488408041</v>
      </c>
    </row>
    <row r="139" spans="1:28" x14ac:dyDescent="0.2">
      <c r="A139" s="14">
        <v>43735</v>
      </c>
      <c r="B139" s="106">
        <v>922</v>
      </c>
      <c r="C139" s="106">
        <v>921</v>
      </c>
      <c r="D139" s="106">
        <v>1268</v>
      </c>
      <c r="E139" s="106">
        <v>1260</v>
      </c>
      <c r="F139" s="106">
        <v>0.73095238095238002</v>
      </c>
      <c r="G139" s="106">
        <v>0.73503631355599397</v>
      </c>
      <c r="H139" s="106">
        <v>1.2706784895428201E-2</v>
      </c>
      <c r="I139" s="106">
        <v>-0.321397791591094</v>
      </c>
      <c r="J139" s="106">
        <v>-0.56000000000000005</v>
      </c>
      <c r="K139" s="106">
        <v>0.96034155059384796</v>
      </c>
      <c r="L139" s="106">
        <v>0.356842657081621</v>
      </c>
      <c r="M139" s="106">
        <v>0.96699564610771305</v>
      </c>
      <c r="N139" s="106">
        <v>2.3183588329296199E-2</v>
      </c>
      <c r="P139" s="106">
        <v>0.74774309845142217</v>
      </c>
      <c r="Q139" s="106">
        <v>0.72232952866056577</v>
      </c>
      <c r="R139" s="106">
        <v>0.76044988334685037</v>
      </c>
      <c r="S139" s="106">
        <v>0.70962274376513756</v>
      </c>
      <c r="Y139" s="14"/>
      <c r="AA139" s="106">
        <v>921</v>
      </c>
      <c r="AB139" s="106">
        <v>951.32921174652245</v>
      </c>
    </row>
    <row r="140" spans="1:28" x14ac:dyDescent="0.2">
      <c r="A140" s="14">
        <v>43734</v>
      </c>
      <c r="B140" s="106">
        <v>959</v>
      </c>
      <c r="C140" s="106">
        <v>945</v>
      </c>
      <c r="D140" s="106">
        <v>1291</v>
      </c>
      <c r="E140" s="106">
        <v>1287</v>
      </c>
      <c r="F140" s="106">
        <v>0.73426573426573405</v>
      </c>
      <c r="G140" s="106">
        <v>0.73519566164234995</v>
      </c>
      <c r="H140" s="106">
        <v>1.27294871390234E-2</v>
      </c>
      <c r="I140" s="106">
        <v>-7.3053011991732197E-2</v>
      </c>
      <c r="J140" s="106">
        <v>-0.13</v>
      </c>
      <c r="K140" s="106">
        <v>0.96052338703539697</v>
      </c>
      <c r="L140" s="106">
        <v>0.45648706100228498</v>
      </c>
      <c r="M140" s="106">
        <v>0.96781923217257004</v>
      </c>
      <c r="N140" s="106">
        <v>2.1873106761591599E-2</v>
      </c>
      <c r="P140" s="106">
        <v>0.74792514878137339</v>
      </c>
      <c r="Q140" s="106">
        <v>0.72246617450332651</v>
      </c>
      <c r="R140" s="106">
        <v>0.76065463592039673</v>
      </c>
      <c r="S140" s="106">
        <v>0.70973668736430318</v>
      </c>
      <c r="Y140" s="14"/>
      <c r="AA140" s="106">
        <v>945</v>
      </c>
      <c r="AB140" s="106">
        <v>971.7148377125194</v>
      </c>
    </row>
    <row r="141" spans="1:28" x14ac:dyDescent="0.2">
      <c r="A141" s="14">
        <v>43733</v>
      </c>
      <c r="B141" s="106">
        <v>934</v>
      </c>
      <c r="C141" s="106">
        <v>939</v>
      </c>
      <c r="D141" s="106">
        <v>1264</v>
      </c>
      <c r="E141" s="106">
        <v>1270</v>
      </c>
      <c r="F141" s="106">
        <v>0.73937007874015703</v>
      </c>
      <c r="G141" s="106">
        <v>0.73530644195115002</v>
      </c>
      <c r="H141" s="106">
        <v>1.2757035549969899E-2</v>
      </c>
      <c r="I141" s="106">
        <v>0.31854083757075502</v>
      </c>
      <c r="J141" s="106">
        <v>0.55000000000000004</v>
      </c>
      <c r="K141" s="106">
        <v>0.96059013730256804</v>
      </c>
      <c r="L141" s="106">
        <v>0.43378732621143701</v>
      </c>
      <c r="M141" s="106">
        <v>0.96854487123071498</v>
      </c>
      <c r="N141" s="106">
        <v>2.35130391750056E-2</v>
      </c>
      <c r="P141" s="106">
        <v>0.7480634775011199</v>
      </c>
      <c r="Q141" s="106">
        <v>0.72254940640118015</v>
      </c>
      <c r="R141" s="106">
        <v>0.76082051305108978</v>
      </c>
      <c r="S141" s="106">
        <v>0.70979237085121027</v>
      </c>
      <c r="Y141" s="14"/>
      <c r="AA141" s="106">
        <v>939</v>
      </c>
      <c r="AB141" s="106">
        <v>958.87944358578056</v>
      </c>
    </row>
    <row r="142" spans="1:28" x14ac:dyDescent="0.2">
      <c r="A142" s="14">
        <v>43732</v>
      </c>
      <c r="B142" s="106">
        <v>949</v>
      </c>
      <c r="C142" s="106">
        <v>947</v>
      </c>
      <c r="D142" s="106">
        <v>1283</v>
      </c>
      <c r="E142" s="106">
        <v>1281</v>
      </c>
      <c r="F142" s="106">
        <v>0.73926619828259099</v>
      </c>
      <c r="G142" s="106">
        <v>0.73535388693566806</v>
      </c>
      <c r="H142" s="106">
        <v>1.27786591768238E-2</v>
      </c>
      <c r="I142" s="106">
        <v>0.306159769408271</v>
      </c>
      <c r="J142" s="106">
        <v>0.53</v>
      </c>
      <c r="K142" s="106">
        <v>0.96047911524538898</v>
      </c>
      <c r="L142" s="106">
        <v>0.46643325181538797</v>
      </c>
      <c r="M142" s="106">
        <v>0.969452408646992</v>
      </c>
      <c r="N142" s="106">
        <v>2.1558986248302901E-2</v>
      </c>
      <c r="P142" s="106">
        <v>0.7481325461124918</v>
      </c>
      <c r="Q142" s="106">
        <v>0.72257522775884431</v>
      </c>
      <c r="R142" s="106">
        <v>0.76091120528931566</v>
      </c>
      <c r="S142" s="106">
        <v>0.70979656858202045</v>
      </c>
      <c r="Y142" s="14"/>
      <c r="AA142" s="106">
        <v>947</v>
      </c>
      <c r="AB142" s="106">
        <v>967.18469860896448</v>
      </c>
    </row>
    <row r="143" spans="1:28" x14ac:dyDescent="0.2">
      <c r="A143" s="14">
        <v>43728</v>
      </c>
      <c r="B143" s="106">
        <v>954</v>
      </c>
      <c r="C143" s="106">
        <v>949</v>
      </c>
      <c r="D143" s="106">
        <v>1288</v>
      </c>
      <c r="E143" s="106">
        <v>1277</v>
      </c>
      <c r="F143" s="106">
        <v>0.74314800313234097</v>
      </c>
      <c r="G143" s="106">
        <v>0.73544790445556596</v>
      </c>
      <c r="H143" s="106">
        <v>1.28329221043679E-2</v>
      </c>
      <c r="I143" s="106">
        <v>0.60002691625112203</v>
      </c>
      <c r="J143" s="106">
        <v>1.04</v>
      </c>
      <c r="K143" s="106">
        <v>0.960079475219208</v>
      </c>
      <c r="L143" s="106">
        <v>0.37608205464862998</v>
      </c>
      <c r="M143" s="106">
        <v>0.970274661369803</v>
      </c>
      <c r="N143" s="106">
        <v>2.0935175714211302E-2</v>
      </c>
      <c r="P143" s="106">
        <v>0.74828082655993389</v>
      </c>
      <c r="Q143" s="106">
        <v>0.72261498235119803</v>
      </c>
      <c r="R143" s="106">
        <v>0.76111374866430181</v>
      </c>
      <c r="S143" s="106">
        <v>0.7097820602468301</v>
      </c>
      <c r="Y143" s="14"/>
      <c r="AA143" s="106">
        <v>949</v>
      </c>
      <c r="AB143" s="106">
        <v>964.16460587326128</v>
      </c>
    </row>
    <row r="144" spans="1:28" x14ac:dyDescent="0.2">
      <c r="A144" s="14">
        <v>43727</v>
      </c>
      <c r="B144" s="106">
        <v>957</v>
      </c>
      <c r="C144" s="106">
        <v>949</v>
      </c>
      <c r="D144" s="106">
        <v>1294</v>
      </c>
      <c r="E144" s="106">
        <v>1292</v>
      </c>
      <c r="F144" s="106">
        <v>0.734520123839009</v>
      </c>
      <c r="G144" s="106">
        <v>0.735604512640752</v>
      </c>
      <c r="H144" s="106">
        <v>1.2996561847165199E-2</v>
      </c>
      <c r="I144" s="106">
        <v>-8.3436589960877203E-2</v>
      </c>
      <c r="J144" s="106">
        <v>-0.15</v>
      </c>
      <c r="K144" s="106">
        <v>0.95986915109292903</v>
      </c>
      <c r="L144" s="106">
        <v>0.30127963173377498</v>
      </c>
      <c r="M144" s="106">
        <v>0.97090486192529202</v>
      </c>
      <c r="N144" s="106">
        <v>2.2825500176649301E-2</v>
      </c>
      <c r="P144" s="106">
        <v>0.74860107448791724</v>
      </c>
      <c r="Q144" s="106">
        <v>0.72260795079358675</v>
      </c>
      <c r="R144" s="106">
        <v>0.76159763633508237</v>
      </c>
      <c r="S144" s="106">
        <v>0.70961138894642162</v>
      </c>
      <c r="Y144" s="14"/>
      <c r="AA144" s="106">
        <v>949</v>
      </c>
      <c r="AB144" s="106">
        <v>975.4899536321484</v>
      </c>
    </row>
    <row r="145" spans="1:28" x14ac:dyDescent="0.2">
      <c r="A145" s="14">
        <v>43726</v>
      </c>
      <c r="B145" s="106">
        <v>975</v>
      </c>
      <c r="C145" s="106">
        <v>963</v>
      </c>
      <c r="D145" s="106">
        <v>1301</v>
      </c>
      <c r="E145" s="106">
        <v>1290</v>
      </c>
      <c r="F145" s="106">
        <v>0.74651162790697601</v>
      </c>
      <c r="G145" s="106">
        <v>0.736001470942658</v>
      </c>
      <c r="H145" s="106">
        <v>1.34056078447776E-2</v>
      </c>
      <c r="I145" s="106">
        <v>0.78401196618716795</v>
      </c>
      <c r="J145" s="106">
        <v>1.41</v>
      </c>
      <c r="K145" s="106">
        <v>0.96004246993386499</v>
      </c>
      <c r="L145" s="106">
        <v>0.35983115152790601</v>
      </c>
      <c r="M145" s="106">
        <v>0.97143813442609295</v>
      </c>
      <c r="N145" s="106">
        <v>1.88132467242225E-2</v>
      </c>
      <c r="P145" s="106">
        <v>0.74940707878743562</v>
      </c>
      <c r="Q145" s="106">
        <v>0.72259586309788038</v>
      </c>
      <c r="R145" s="106">
        <v>0.76281268663221324</v>
      </c>
      <c r="S145" s="106">
        <v>0.70919025525310275</v>
      </c>
      <c r="AA145" s="106">
        <v>963</v>
      </c>
      <c r="AB145" s="106">
        <v>973.9799072642968</v>
      </c>
    </row>
    <row r="146" spans="1:28" x14ac:dyDescent="0.2">
      <c r="A146" s="14">
        <v>43725</v>
      </c>
      <c r="B146" s="106">
        <v>976</v>
      </c>
      <c r="C146" s="106">
        <v>983</v>
      </c>
      <c r="D146" s="106">
        <v>1309</v>
      </c>
      <c r="E146" s="106">
        <v>1303</v>
      </c>
      <c r="F146" s="106">
        <v>0.75441289332310002</v>
      </c>
      <c r="G146" s="106">
        <v>0.73615214923723205</v>
      </c>
      <c r="H146" s="106">
        <v>1.35852022041576E-2</v>
      </c>
      <c r="I146" s="106">
        <v>1.3441643202248199</v>
      </c>
      <c r="J146" s="106">
        <v>2.42</v>
      </c>
      <c r="K146" s="106">
        <v>0.96094769063926999</v>
      </c>
      <c r="L146" s="106">
        <v>7.2829391538308294E-2</v>
      </c>
      <c r="M146" s="106">
        <v>0.97182079669463495</v>
      </c>
      <c r="N146" s="106">
        <v>1.96271055734125E-2</v>
      </c>
      <c r="P146" s="106">
        <v>0.74973735144138964</v>
      </c>
      <c r="Q146" s="106">
        <v>0.72256694703307445</v>
      </c>
      <c r="R146" s="106">
        <v>0.76332255364554724</v>
      </c>
      <c r="S146" s="106">
        <v>0.70898174482891685</v>
      </c>
      <c r="AA146" s="106">
        <v>983</v>
      </c>
      <c r="AB146" s="106">
        <v>983.79520865533232</v>
      </c>
    </row>
    <row r="147" spans="1:28" x14ac:dyDescent="0.2">
      <c r="A147" s="14">
        <v>43721</v>
      </c>
      <c r="B147" s="106">
        <v>989</v>
      </c>
      <c r="C147" s="106">
        <v>969</v>
      </c>
      <c r="D147" s="106">
        <v>1300</v>
      </c>
      <c r="E147" s="106">
        <v>1298</v>
      </c>
      <c r="F147" s="106">
        <v>0.74653312788906001</v>
      </c>
      <c r="G147" s="106">
        <v>0.73623527545232204</v>
      </c>
      <c r="H147" s="106">
        <v>1.3715135785475299E-2</v>
      </c>
      <c r="I147" s="106">
        <v>0.75083853326799799</v>
      </c>
      <c r="J147" s="106">
        <v>1.38</v>
      </c>
      <c r="K147" s="106">
        <v>0.960604214364422</v>
      </c>
      <c r="L147" s="106">
        <v>0.14889525588129901</v>
      </c>
      <c r="M147" s="106">
        <v>0.97176058016373501</v>
      </c>
      <c r="N147" s="106">
        <v>3.2104371695903099E-2</v>
      </c>
      <c r="P147" s="106">
        <v>0.74995041123779738</v>
      </c>
      <c r="Q147" s="106">
        <v>0.72252013966684669</v>
      </c>
      <c r="R147" s="106">
        <v>0.76366554702327261</v>
      </c>
      <c r="S147" s="106">
        <v>0.70880500388137146</v>
      </c>
      <c r="AA147" s="106">
        <v>969</v>
      </c>
      <c r="AB147" s="106">
        <v>980.02009273570332</v>
      </c>
    </row>
    <row r="148" spans="1:28" x14ac:dyDescent="0.2">
      <c r="A148" s="14">
        <v>43720</v>
      </c>
      <c r="B148" s="106">
        <v>988</v>
      </c>
      <c r="C148" s="106">
        <v>996</v>
      </c>
      <c r="D148" s="106">
        <v>1300</v>
      </c>
      <c r="E148" s="106">
        <v>1298</v>
      </c>
      <c r="F148" s="106">
        <v>0.76733436055469895</v>
      </c>
      <c r="G148" s="106">
        <v>0.73645214887796495</v>
      </c>
      <c r="H148" s="106">
        <v>1.4001861762172199E-2</v>
      </c>
      <c r="I148" s="106">
        <v>2.2055789580901499</v>
      </c>
      <c r="J148" s="106">
        <v>4.0199999999999996</v>
      </c>
      <c r="K148" s="106">
        <v>0.96431883757140302</v>
      </c>
      <c r="L148" s="106">
        <v>2.29388874202942E-2</v>
      </c>
      <c r="M148" s="106">
        <v>0.97159196768036604</v>
      </c>
      <c r="N148" s="106">
        <v>2.8078323914055799E-2</v>
      </c>
      <c r="P148" s="106">
        <v>0.75045401064013717</v>
      </c>
      <c r="Q148" s="106">
        <v>0.72245028711579273</v>
      </c>
      <c r="R148" s="106">
        <v>0.76445587240230939</v>
      </c>
      <c r="S148" s="106">
        <v>0.70844842535362051</v>
      </c>
      <c r="AA148" s="106">
        <v>996</v>
      </c>
      <c r="AB148" s="106">
        <v>980.02009273570332</v>
      </c>
    </row>
    <row r="149" spans="1:28" x14ac:dyDescent="0.2">
      <c r="A149" s="14">
        <v>43719</v>
      </c>
      <c r="B149" s="106">
        <v>960</v>
      </c>
      <c r="C149" s="106">
        <v>975</v>
      </c>
      <c r="D149" s="106">
        <v>1277</v>
      </c>
      <c r="E149" s="106">
        <v>1289</v>
      </c>
      <c r="F149" s="106">
        <v>0.75640031031807597</v>
      </c>
      <c r="G149" s="106">
        <v>0.73637279472824202</v>
      </c>
      <c r="H149" s="106">
        <v>1.3842573948092801E-2</v>
      </c>
      <c r="I149" s="106">
        <v>1.44680575050084</v>
      </c>
      <c r="J149" s="106">
        <v>2.65</v>
      </c>
      <c r="K149" s="106">
        <v>0.96559721669064802</v>
      </c>
      <c r="L149" s="106">
        <v>0.11955539088938499</v>
      </c>
      <c r="M149" s="106">
        <v>0.97149800154787802</v>
      </c>
      <c r="N149" s="106">
        <v>2.1995388996558202E-2</v>
      </c>
      <c r="P149" s="106">
        <v>0.75021536867633487</v>
      </c>
      <c r="Q149" s="106">
        <v>0.72253022078014917</v>
      </c>
      <c r="R149" s="106">
        <v>0.76405794262442761</v>
      </c>
      <c r="S149" s="106">
        <v>0.70868764683205643</v>
      </c>
      <c r="AA149" s="106">
        <v>975</v>
      </c>
      <c r="AB149" s="106">
        <v>973.224884080371</v>
      </c>
    </row>
    <row r="150" spans="1:28" x14ac:dyDescent="0.2">
      <c r="A150" s="14">
        <v>43718</v>
      </c>
      <c r="B150" s="106">
        <v>922</v>
      </c>
      <c r="C150" s="106">
        <v>966</v>
      </c>
      <c r="D150" s="106">
        <v>1224</v>
      </c>
      <c r="E150" s="106">
        <v>1262</v>
      </c>
      <c r="F150" s="106">
        <v>0.76545166402535603</v>
      </c>
      <c r="G150" s="106">
        <v>0.73658997351404898</v>
      </c>
      <c r="H150" s="106">
        <v>1.4276073927933499E-2</v>
      </c>
      <c r="I150" s="106">
        <v>2.0216826178543701</v>
      </c>
      <c r="J150" s="106">
        <v>3.77</v>
      </c>
      <c r="K150" s="106">
        <v>0.96920063645516197</v>
      </c>
      <c r="L150" s="106">
        <v>3.2466701394239898E-2</v>
      </c>
      <c r="M150" s="106">
        <v>0.97131512652541696</v>
      </c>
      <c r="N150" s="106">
        <v>3.1679528822498401E-2</v>
      </c>
      <c r="P150" s="106">
        <v>0.75086604744198249</v>
      </c>
      <c r="Q150" s="106">
        <v>0.72231389958611547</v>
      </c>
      <c r="R150" s="106">
        <v>0.765142121369916</v>
      </c>
      <c r="S150" s="106">
        <v>0.70803782565818196</v>
      </c>
      <c r="AA150" s="106">
        <v>966</v>
      </c>
      <c r="AB150" s="106">
        <v>952.83925811437405</v>
      </c>
    </row>
    <row r="151" spans="1:28" x14ac:dyDescent="0.2">
      <c r="A151" s="14">
        <v>43717</v>
      </c>
      <c r="B151" s="106">
        <v>902</v>
      </c>
      <c r="C151" s="106">
        <v>901</v>
      </c>
      <c r="D151" s="106">
        <v>1197</v>
      </c>
      <c r="E151" s="106">
        <v>1194</v>
      </c>
      <c r="F151" s="106">
        <v>0.75460636515912805</v>
      </c>
      <c r="G151" s="106">
        <v>0.73674676311842702</v>
      </c>
      <c r="H151" s="106">
        <v>1.4651820821754299E-2</v>
      </c>
      <c r="I151" s="106">
        <v>1.2189339644519901</v>
      </c>
      <c r="J151" s="106">
        <v>2.37</v>
      </c>
      <c r="K151" s="106">
        <v>0.97034625139813402</v>
      </c>
      <c r="L151" s="106">
        <v>3.8166793921628403E-2</v>
      </c>
      <c r="M151" s="106">
        <v>0.97077506643075295</v>
      </c>
      <c r="N151" s="106">
        <v>4.5563276103370798E-2</v>
      </c>
      <c r="P151" s="106">
        <v>0.75139858394018133</v>
      </c>
      <c r="Q151" s="106">
        <v>0.7220949422966727</v>
      </c>
      <c r="R151" s="106">
        <v>0.76605040476193564</v>
      </c>
      <c r="S151" s="106">
        <v>0.70744312147491839</v>
      </c>
      <c r="AA151" s="106">
        <v>901</v>
      </c>
      <c r="AB151" s="106">
        <v>901.49768160741894</v>
      </c>
    </row>
    <row r="152" spans="1:28" x14ac:dyDescent="0.2">
      <c r="A152" s="14">
        <v>43714</v>
      </c>
      <c r="B152" s="106">
        <v>900</v>
      </c>
      <c r="C152" s="106">
        <v>903</v>
      </c>
      <c r="D152" s="106">
        <v>1196</v>
      </c>
      <c r="E152" s="106">
        <v>1186</v>
      </c>
      <c r="F152" s="106">
        <v>0.76138279932546304</v>
      </c>
      <c r="G152" s="106">
        <v>0.73690194125948405</v>
      </c>
      <c r="H152" s="106">
        <v>1.48996856338097E-2</v>
      </c>
      <c r="I152" s="106">
        <v>1.6430452740847199</v>
      </c>
      <c r="J152" s="106">
        <v>3.22</v>
      </c>
      <c r="K152" s="106">
        <v>0.97269036998820901</v>
      </c>
      <c r="L152" s="106">
        <v>0.112456651637033</v>
      </c>
      <c r="M152" s="106">
        <v>0.97004761305052201</v>
      </c>
      <c r="N152" s="106">
        <v>6.7992070286492401E-2</v>
      </c>
      <c r="P152" s="106">
        <v>0.75180162689329377</v>
      </c>
      <c r="Q152" s="106">
        <v>0.72200225562567433</v>
      </c>
      <c r="R152" s="106">
        <v>0.7667013125271035</v>
      </c>
      <c r="S152" s="106">
        <v>0.7071025699918646</v>
      </c>
      <c r="AA152" s="106">
        <v>903</v>
      </c>
      <c r="AB152" s="106">
        <v>895.45749613601242</v>
      </c>
    </row>
    <row r="153" spans="1:28" x14ac:dyDescent="0.2">
      <c r="A153" s="14">
        <v>43713</v>
      </c>
      <c r="B153" s="106">
        <v>856</v>
      </c>
      <c r="C153" s="106">
        <v>890</v>
      </c>
      <c r="D153" s="106">
        <v>1151</v>
      </c>
      <c r="E153" s="106">
        <v>1175</v>
      </c>
      <c r="F153" s="106">
        <v>0.75744680851063795</v>
      </c>
      <c r="G153" s="106">
        <v>0.73687647483025698</v>
      </c>
      <c r="H153" s="106">
        <v>1.48593991734172E-2</v>
      </c>
      <c r="I153" s="106">
        <v>1.38433145514926</v>
      </c>
      <c r="J153" s="106">
        <v>2.72</v>
      </c>
      <c r="K153" s="106">
        <v>0.97425102206700098</v>
      </c>
      <c r="L153" s="106">
        <v>2.1608883444904199E-2</v>
      </c>
      <c r="M153" s="106">
        <v>0.96938560215884995</v>
      </c>
      <c r="N153" s="106">
        <v>6.2258289092704297E-2</v>
      </c>
      <c r="P153" s="106">
        <v>0.75173587400367414</v>
      </c>
      <c r="Q153" s="106">
        <v>0.72201707565683981</v>
      </c>
      <c r="R153" s="106">
        <v>0.76659527317709142</v>
      </c>
      <c r="S153" s="106">
        <v>0.70715767648342254</v>
      </c>
      <c r="AA153" s="106">
        <v>890</v>
      </c>
      <c r="AB153" s="106">
        <v>887.15224111282851</v>
      </c>
    </row>
    <row r="154" spans="1:28" x14ac:dyDescent="0.2">
      <c r="A154" s="14">
        <v>43712</v>
      </c>
      <c r="B154" s="106">
        <v>860</v>
      </c>
      <c r="C154" s="106">
        <v>846</v>
      </c>
      <c r="D154" s="106">
        <v>1139</v>
      </c>
      <c r="E154" s="106">
        <v>1137</v>
      </c>
      <c r="F154" s="106">
        <v>0.74406332453825796</v>
      </c>
      <c r="G154" s="106">
        <v>0.73704296478101206</v>
      </c>
      <c r="H154" s="106">
        <v>1.5155937791897301E-2</v>
      </c>
      <c r="I154" s="106">
        <v>0.46320853606293499</v>
      </c>
      <c r="J154" s="106">
        <v>0.94</v>
      </c>
      <c r="K154" s="106">
        <v>0.97333474456991997</v>
      </c>
      <c r="L154" s="106">
        <v>4.2584749335844899E-2</v>
      </c>
      <c r="M154" s="106">
        <v>0.96860518344747504</v>
      </c>
      <c r="N154" s="106">
        <v>6.8560306068798704E-2</v>
      </c>
      <c r="P154" s="106">
        <v>0.75219890257290933</v>
      </c>
      <c r="Q154" s="106">
        <v>0.72188702698911478</v>
      </c>
      <c r="R154" s="106">
        <v>0.76735484036480661</v>
      </c>
      <c r="S154" s="106">
        <v>0.7067310891972175</v>
      </c>
      <c r="AA154" s="106">
        <v>846</v>
      </c>
      <c r="AB154" s="106">
        <v>858.46136012364764</v>
      </c>
    </row>
    <row r="155" spans="1:28" x14ac:dyDescent="0.2">
      <c r="A155" s="14">
        <v>43711</v>
      </c>
      <c r="B155" s="106">
        <v>861</v>
      </c>
      <c r="C155" s="106">
        <v>871</v>
      </c>
      <c r="D155" s="106">
        <v>1142</v>
      </c>
      <c r="E155" s="106">
        <v>1150</v>
      </c>
      <c r="F155" s="106">
        <v>0.75739130434782598</v>
      </c>
      <c r="G155" s="106">
        <v>0.73733253019912903</v>
      </c>
      <c r="H155" s="106">
        <v>1.54910593211067E-2</v>
      </c>
      <c r="I155" s="106">
        <v>1.2948613605375701</v>
      </c>
      <c r="J155" s="106">
        <v>2.65</v>
      </c>
      <c r="K155" s="106">
        <v>0.97341480974553796</v>
      </c>
      <c r="L155" s="106">
        <v>0.157238708708653</v>
      </c>
      <c r="M155" s="106">
        <v>0.96823643170052498</v>
      </c>
      <c r="N155" s="106">
        <v>5.0661930003946601E-2</v>
      </c>
      <c r="P155" s="106">
        <v>0.75282358952023576</v>
      </c>
      <c r="Q155" s="106">
        <v>0.72184147087802231</v>
      </c>
      <c r="R155" s="106">
        <v>0.76831464884134248</v>
      </c>
      <c r="S155" s="106">
        <v>0.70635041155691558</v>
      </c>
      <c r="AA155" s="106">
        <v>871</v>
      </c>
      <c r="AB155" s="106">
        <v>868.27666151468316</v>
      </c>
    </row>
    <row r="156" spans="1:28" x14ac:dyDescent="0.2">
      <c r="A156" s="14">
        <v>43710</v>
      </c>
      <c r="B156" s="106">
        <v>852</v>
      </c>
      <c r="C156" s="106">
        <v>860</v>
      </c>
      <c r="D156" s="106">
        <v>1140</v>
      </c>
      <c r="E156" s="106">
        <v>1142</v>
      </c>
      <c r="F156" s="106">
        <v>0.75306479859894904</v>
      </c>
      <c r="G156" s="106">
        <v>0.73723672748218605</v>
      </c>
      <c r="H156" s="106">
        <v>1.5388590989707501E-2</v>
      </c>
      <c r="I156" s="106">
        <v>1.0285588282481</v>
      </c>
      <c r="J156" s="106">
        <v>2.1</v>
      </c>
      <c r="K156" s="106">
        <v>0.97156074472153198</v>
      </c>
      <c r="L156" s="106">
        <v>0.31797922078198598</v>
      </c>
      <c r="M156" s="106">
        <v>0.96787229479125403</v>
      </c>
      <c r="N156" s="106">
        <v>5.0923302269729097E-2</v>
      </c>
      <c r="P156" s="106">
        <v>0.75262531847189351</v>
      </c>
      <c r="Q156" s="106">
        <v>0.72184813649247859</v>
      </c>
      <c r="R156" s="106">
        <v>0.76801390946160109</v>
      </c>
      <c r="S156" s="106">
        <v>0.70645954550277101</v>
      </c>
      <c r="AA156" s="106">
        <v>860</v>
      </c>
      <c r="AB156" s="106">
        <v>862.23647604327675</v>
      </c>
    </row>
    <row r="157" spans="1:28" x14ac:dyDescent="0.2">
      <c r="A157" s="14">
        <v>43707</v>
      </c>
      <c r="B157" s="106">
        <v>839</v>
      </c>
      <c r="C157" s="106">
        <v>852</v>
      </c>
      <c r="D157" s="106">
        <v>1142</v>
      </c>
      <c r="E157" s="106">
        <v>1152</v>
      </c>
      <c r="F157" s="106">
        <v>0.73958333333333304</v>
      </c>
      <c r="G157" s="106">
        <v>0.73728358279911199</v>
      </c>
      <c r="H157" s="106">
        <v>1.5441970481746101E-2</v>
      </c>
      <c r="I157" s="106">
        <v>0.148928566916983</v>
      </c>
      <c r="J157" s="106">
        <v>0.31</v>
      </c>
      <c r="K157" s="106">
        <v>0.96956625733253499</v>
      </c>
      <c r="L157" s="106">
        <v>0.24880936656091299</v>
      </c>
      <c r="M157" s="106">
        <v>0.96759255824369705</v>
      </c>
      <c r="N157" s="106">
        <v>4.7984468196358501E-2</v>
      </c>
      <c r="P157" s="106">
        <v>0.75272555328085811</v>
      </c>
      <c r="Q157" s="106">
        <v>0.72184161231736588</v>
      </c>
      <c r="R157" s="106">
        <v>0.76816752376260422</v>
      </c>
      <c r="S157" s="106">
        <v>0.70639964183561976</v>
      </c>
      <c r="AA157" s="106">
        <v>852</v>
      </c>
      <c r="AB157" s="106">
        <v>869.78670788253476</v>
      </c>
    </row>
    <row r="158" spans="1:28" x14ac:dyDescent="0.2">
      <c r="A158" s="14">
        <v>43706</v>
      </c>
      <c r="B158" s="106">
        <v>824</v>
      </c>
      <c r="C158" s="106">
        <v>825</v>
      </c>
      <c r="D158" s="106">
        <v>1122</v>
      </c>
      <c r="E158" s="106">
        <v>1124</v>
      </c>
      <c r="F158" s="106">
        <v>0.73398576512455505</v>
      </c>
      <c r="G158" s="106">
        <v>0.73754075125789298</v>
      </c>
      <c r="H158" s="106">
        <v>1.5637497707698001E-2</v>
      </c>
      <c r="I158" s="106">
        <v>-0.227337276064869</v>
      </c>
      <c r="J158" s="106">
        <v>-0.48</v>
      </c>
      <c r="K158" s="106">
        <v>0.96607621949285605</v>
      </c>
      <c r="L158" s="106">
        <v>0.40936412463448302</v>
      </c>
      <c r="M158" s="106">
        <v>0.967261801058517</v>
      </c>
      <c r="N158" s="106">
        <v>4.88918606477447E-2</v>
      </c>
      <c r="P158" s="106">
        <v>0.75317824896559094</v>
      </c>
      <c r="Q158" s="106">
        <v>0.72190325355019502</v>
      </c>
      <c r="R158" s="106">
        <v>0.768815746673289</v>
      </c>
      <c r="S158" s="106">
        <v>0.70626575584249696</v>
      </c>
      <c r="AA158" s="106">
        <v>825</v>
      </c>
      <c r="AB158" s="106">
        <v>848.64605873261212</v>
      </c>
    </row>
    <row r="159" spans="1:28" x14ac:dyDescent="0.2">
      <c r="A159" s="14">
        <v>43705</v>
      </c>
      <c r="B159" s="106">
        <v>829</v>
      </c>
      <c r="C159" s="106">
        <v>821</v>
      </c>
      <c r="D159" s="106">
        <v>1131</v>
      </c>
      <c r="E159" s="106">
        <v>1124</v>
      </c>
      <c r="F159" s="106">
        <v>0.73042704626334498</v>
      </c>
      <c r="G159" s="106">
        <v>0.73807615109442104</v>
      </c>
      <c r="H159" s="106">
        <v>1.6184467166254699E-2</v>
      </c>
      <c r="I159" s="106">
        <v>-0.472620121039591</v>
      </c>
      <c r="J159" s="106">
        <v>-1.05</v>
      </c>
      <c r="K159" s="106">
        <v>0.96210501526648895</v>
      </c>
      <c r="L159" s="106">
        <v>0.47251032341695898</v>
      </c>
      <c r="M159" s="106">
        <v>0.96680745168424198</v>
      </c>
      <c r="N159" s="106">
        <v>5.9399350722047002E-2</v>
      </c>
      <c r="P159" s="106">
        <v>0.7542606182606757</v>
      </c>
      <c r="Q159" s="106">
        <v>0.72189168392816638</v>
      </c>
      <c r="R159" s="106">
        <v>0.77044508542693046</v>
      </c>
      <c r="S159" s="106">
        <v>0.70570721676191162</v>
      </c>
      <c r="AA159" s="106">
        <v>821</v>
      </c>
      <c r="AB159" s="106">
        <v>848.64605873261212</v>
      </c>
    </row>
    <row r="160" spans="1:28" x14ac:dyDescent="0.2">
      <c r="A160" s="14">
        <v>43704</v>
      </c>
      <c r="B160" s="106">
        <v>836</v>
      </c>
      <c r="C160" s="106">
        <v>834</v>
      </c>
      <c r="D160" s="106">
        <v>1137</v>
      </c>
      <c r="E160" s="106">
        <v>1133</v>
      </c>
      <c r="F160" s="106">
        <v>0.736098852603707</v>
      </c>
      <c r="G160" s="106">
        <v>0.73869311086592604</v>
      </c>
      <c r="H160" s="106">
        <v>1.67530865852379E-2</v>
      </c>
      <c r="I160" s="106">
        <v>-0.154852555021458</v>
      </c>
      <c r="J160" s="106">
        <v>-0.35</v>
      </c>
      <c r="K160" s="106">
        <v>0.95828137600500296</v>
      </c>
      <c r="L160" s="106">
        <v>0.49393974554410802</v>
      </c>
      <c r="M160" s="106">
        <v>0.96616807787110703</v>
      </c>
      <c r="N160" s="106">
        <v>7.5799299899751094E-2</v>
      </c>
      <c r="P160" s="106">
        <v>0.75544619745116393</v>
      </c>
      <c r="Q160" s="106">
        <v>0.72194002428068815</v>
      </c>
      <c r="R160" s="106">
        <v>0.77219928403640181</v>
      </c>
      <c r="S160" s="106">
        <v>0.70518693769545027</v>
      </c>
      <c r="AA160" s="106">
        <v>834</v>
      </c>
      <c r="AB160" s="106">
        <v>855.44126738794444</v>
      </c>
    </row>
    <row r="161" spans="1:28" x14ac:dyDescent="0.2">
      <c r="A161" s="14">
        <v>43703</v>
      </c>
      <c r="B161" s="106">
        <v>810</v>
      </c>
      <c r="C161" s="106">
        <v>828</v>
      </c>
      <c r="D161" s="106">
        <v>1100</v>
      </c>
      <c r="E161" s="106">
        <v>1123</v>
      </c>
      <c r="F161" s="106">
        <v>0.73731077471059603</v>
      </c>
      <c r="G161" s="106">
        <v>0.73933145766493602</v>
      </c>
      <c r="H161" s="106">
        <v>1.7535901695298201E-2</v>
      </c>
      <c r="I161" s="106">
        <v>-0.115231197656741</v>
      </c>
      <c r="J161" s="106">
        <v>-0.27</v>
      </c>
      <c r="K161" s="106">
        <v>0.95130324235237296</v>
      </c>
      <c r="L161" s="106">
        <v>0.81126188588909598</v>
      </c>
      <c r="M161" s="106">
        <v>0.96520741755884099</v>
      </c>
      <c r="N161" s="106">
        <v>0.101977995776281</v>
      </c>
      <c r="P161" s="106">
        <v>0.75686735936023419</v>
      </c>
      <c r="Q161" s="106">
        <v>0.72179555596963785</v>
      </c>
      <c r="R161" s="106">
        <v>0.77440326105553248</v>
      </c>
      <c r="S161" s="106">
        <v>0.70425965427433956</v>
      </c>
      <c r="AA161" s="106">
        <v>828</v>
      </c>
      <c r="AB161" s="106">
        <v>847.89103554868632</v>
      </c>
    </row>
    <row r="162" spans="1:28" x14ac:dyDescent="0.2">
      <c r="A162" s="14">
        <v>43700</v>
      </c>
      <c r="B162" s="106">
        <v>830</v>
      </c>
      <c r="C162" s="106">
        <v>840</v>
      </c>
      <c r="D162" s="106">
        <v>1126</v>
      </c>
      <c r="E162" s="106">
        <v>1141</v>
      </c>
      <c r="F162" s="106">
        <v>0.73619631901840399</v>
      </c>
      <c r="G162" s="106">
        <v>0.74042128225609705</v>
      </c>
      <c r="H162" s="106">
        <v>1.9773582721419901E-2</v>
      </c>
      <c r="I162" s="106">
        <v>-0.213667057569462</v>
      </c>
      <c r="J162" s="106">
        <v>-0.56999999999999995</v>
      </c>
      <c r="K162" s="106">
        <v>0.94330874735509396</v>
      </c>
      <c r="L162" s="106">
        <v>0.86466219998441696</v>
      </c>
      <c r="M162" s="106">
        <v>0.96393544885939297</v>
      </c>
      <c r="N162" s="106">
        <v>0.14360757215047801</v>
      </c>
      <c r="P162" s="106">
        <v>0.76019486497751698</v>
      </c>
      <c r="Q162" s="106">
        <v>0.72064769953467711</v>
      </c>
      <c r="R162" s="106">
        <v>0.77996844769893681</v>
      </c>
      <c r="S162" s="106">
        <v>0.70087411681325729</v>
      </c>
      <c r="AA162" s="106">
        <v>840</v>
      </c>
      <c r="AB162" s="106">
        <v>861.48145285935084</v>
      </c>
    </row>
    <row r="163" spans="1:28" x14ac:dyDescent="0.2">
      <c r="A163" s="14">
        <v>43699</v>
      </c>
      <c r="B163" s="106">
        <v>841</v>
      </c>
      <c r="C163" s="106">
        <v>838</v>
      </c>
      <c r="D163" s="106">
        <v>1136</v>
      </c>
      <c r="E163" s="106">
        <v>1143</v>
      </c>
      <c r="F163" s="106">
        <v>0.73315835520559902</v>
      </c>
      <c r="G163" s="106">
        <v>0.74148090737271799</v>
      </c>
      <c r="H163" s="106">
        <v>2.1566836068584401E-2</v>
      </c>
      <c r="I163" s="106">
        <v>-0.38589583287285001</v>
      </c>
      <c r="J163" s="106">
        <v>-1.1399999999999999</v>
      </c>
      <c r="K163" s="106">
        <v>0.93823869964379403</v>
      </c>
      <c r="L163" s="106">
        <v>0.72826063898862503</v>
      </c>
      <c r="M163" s="106">
        <v>0.96280332191548501</v>
      </c>
      <c r="N163" s="106">
        <v>0.121473348814401</v>
      </c>
      <c r="P163" s="106">
        <v>0.76304774344130244</v>
      </c>
      <c r="Q163" s="106">
        <v>0.71991407130413354</v>
      </c>
      <c r="R163" s="106">
        <v>0.78461457950988678</v>
      </c>
      <c r="S163" s="106">
        <v>0.6983472352355492</v>
      </c>
      <c r="AA163" s="106">
        <v>838</v>
      </c>
      <c r="AB163" s="106">
        <v>862.99149922720255</v>
      </c>
    </row>
    <row r="164" spans="1:28" x14ac:dyDescent="0.2">
      <c r="A164" s="14">
        <v>43698</v>
      </c>
      <c r="B164" s="106">
        <v>833</v>
      </c>
      <c r="C164" s="106">
        <v>838</v>
      </c>
      <c r="D164" s="106">
        <v>1120</v>
      </c>
      <c r="E164" s="106">
        <v>1138</v>
      </c>
      <c r="F164" s="106">
        <v>0.73637961335676605</v>
      </c>
      <c r="G164" s="106">
        <v>0.74267592677166405</v>
      </c>
      <c r="H164" s="106">
        <v>2.3471567403090299E-2</v>
      </c>
      <c r="I164" s="106">
        <v>-0.268252788864421</v>
      </c>
      <c r="J164" s="106">
        <v>-0.86</v>
      </c>
      <c r="K164" s="106">
        <v>0.93374274777347599</v>
      </c>
      <c r="L164" s="106">
        <v>0.70042977257341699</v>
      </c>
      <c r="M164" s="106">
        <v>0.96146111690205505</v>
      </c>
      <c r="N164" s="106">
        <v>0.29488108863350498</v>
      </c>
      <c r="P164" s="106">
        <v>0.76614749417475436</v>
      </c>
      <c r="Q164" s="106">
        <v>0.71920435936857374</v>
      </c>
      <c r="R164" s="106">
        <v>0.78961906157784467</v>
      </c>
      <c r="S164" s="106">
        <v>0.69573279196548343</v>
      </c>
      <c r="AA164" s="106">
        <v>838</v>
      </c>
      <c r="AB164" s="106">
        <v>859.21638330757344</v>
      </c>
    </row>
    <row r="165" spans="1:28" x14ac:dyDescent="0.2">
      <c r="A165" s="14">
        <v>43697</v>
      </c>
      <c r="B165" s="106">
        <v>820</v>
      </c>
      <c r="C165" s="106">
        <v>844</v>
      </c>
      <c r="D165" s="106">
        <v>1123</v>
      </c>
      <c r="E165" s="106">
        <v>1137</v>
      </c>
      <c r="F165" s="106">
        <v>0.74230430958663096</v>
      </c>
      <c r="G165" s="106">
        <v>0.74358764622595097</v>
      </c>
      <c r="H165" s="106">
        <v>2.45141740301923E-2</v>
      </c>
      <c r="I165" s="106">
        <v>-5.2350800713867898E-2</v>
      </c>
      <c r="J165" s="106">
        <v>-0.17</v>
      </c>
      <c r="K165" s="106">
        <v>0.92657630842740901</v>
      </c>
      <c r="L165" s="106">
        <v>0.75967888954398799</v>
      </c>
      <c r="M165" s="106">
        <v>0.96000043327352602</v>
      </c>
      <c r="N165" s="106">
        <v>0.31594844805801198</v>
      </c>
      <c r="P165" s="106">
        <v>0.76810182025614326</v>
      </c>
      <c r="Q165" s="106">
        <v>0.71907347219575868</v>
      </c>
      <c r="R165" s="106">
        <v>0.79261599428633556</v>
      </c>
      <c r="S165" s="106">
        <v>0.69455929816556639</v>
      </c>
      <c r="AA165" s="106">
        <v>844</v>
      </c>
      <c r="AB165" s="106">
        <v>858.46136012364764</v>
      </c>
    </row>
    <row r="166" spans="1:28" x14ac:dyDescent="0.2">
      <c r="A166" s="14">
        <v>43696</v>
      </c>
      <c r="B166" s="106">
        <v>802</v>
      </c>
      <c r="C166" s="106">
        <v>814</v>
      </c>
      <c r="D166" s="106">
        <v>1120</v>
      </c>
      <c r="E166" s="106">
        <v>1122</v>
      </c>
      <c r="F166" s="106">
        <v>0.72549019607843102</v>
      </c>
      <c r="G166" s="106">
        <v>0.744260907605375</v>
      </c>
      <c r="H166" s="106">
        <v>2.51547107294494E-2</v>
      </c>
      <c r="I166" s="106">
        <v>-0.74621058969161302</v>
      </c>
      <c r="J166" s="106">
        <v>-2.59</v>
      </c>
      <c r="K166" s="106">
        <v>0.91964285355152098</v>
      </c>
      <c r="L166" s="106">
        <v>0.63289698189566801</v>
      </c>
      <c r="M166" s="106">
        <v>0.95846416009886704</v>
      </c>
      <c r="N166" s="106">
        <v>0.31146269154695599</v>
      </c>
      <c r="P166" s="106">
        <v>0.76941561833482441</v>
      </c>
      <c r="Q166" s="106">
        <v>0.71910619687592559</v>
      </c>
      <c r="R166" s="106">
        <v>0.79457032906427383</v>
      </c>
      <c r="S166" s="106">
        <v>0.69395148614647617</v>
      </c>
      <c r="AA166" s="106">
        <v>814</v>
      </c>
      <c r="AB166" s="106">
        <v>847.13601236476052</v>
      </c>
    </row>
    <row r="167" spans="1:28" x14ac:dyDescent="0.2">
      <c r="A167" s="14">
        <v>43693</v>
      </c>
      <c r="B167" s="106">
        <v>791</v>
      </c>
      <c r="C167" s="106">
        <v>801</v>
      </c>
      <c r="D167" s="106">
        <v>1103</v>
      </c>
      <c r="E167" s="106">
        <v>1105</v>
      </c>
      <c r="F167" s="106">
        <v>0.72488687782805405</v>
      </c>
      <c r="G167" s="106">
        <v>0.74519066289770797</v>
      </c>
      <c r="H167" s="106">
        <v>2.5725941343013901E-2</v>
      </c>
      <c r="I167" s="106">
        <v>-0.78923390203438304</v>
      </c>
      <c r="J167" s="106">
        <v>-2.8</v>
      </c>
      <c r="K167" s="106">
        <v>0.91400314877018096</v>
      </c>
      <c r="L167" s="106">
        <v>0.24209139800370499</v>
      </c>
      <c r="M167" s="106">
        <v>0.95707971782869905</v>
      </c>
      <c r="N167" s="106">
        <v>0.24961545419162701</v>
      </c>
      <c r="P167" s="106">
        <v>0.77091660424072184</v>
      </c>
      <c r="Q167" s="106">
        <v>0.7194647215546941</v>
      </c>
      <c r="R167" s="106">
        <v>0.79664254558373582</v>
      </c>
      <c r="S167" s="106">
        <v>0.69373878021168012</v>
      </c>
      <c r="AA167" s="106">
        <v>801</v>
      </c>
      <c r="AB167" s="106">
        <v>834.30061823802168</v>
      </c>
    </row>
    <row r="168" spans="1:28" x14ac:dyDescent="0.2">
      <c r="A168" s="14">
        <v>43692</v>
      </c>
      <c r="B168" s="106">
        <v>797</v>
      </c>
      <c r="C168" s="106">
        <v>801</v>
      </c>
      <c r="D168" s="106">
        <v>1100</v>
      </c>
      <c r="E168" s="106">
        <v>1116</v>
      </c>
      <c r="F168" s="106">
        <v>0.717741935483871</v>
      </c>
      <c r="G168" s="106">
        <v>0.74604521778831601</v>
      </c>
      <c r="H168" s="106">
        <v>2.60990842913029E-2</v>
      </c>
      <c r="I168" s="106">
        <v>-1.0844549942266499</v>
      </c>
      <c r="J168" s="106">
        <v>-3.94</v>
      </c>
      <c r="K168" s="106">
        <v>0.90901430303873398</v>
      </c>
      <c r="L168" s="106">
        <v>0.306563857913347</v>
      </c>
      <c r="M168" s="106">
        <v>0.95541468973601695</v>
      </c>
      <c r="N168" s="106">
        <v>0.305682876486504</v>
      </c>
      <c r="P168" s="106">
        <v>0.77214430207961893</v>
      </c>
      <c r="Q168" s="106">
        <v>0.71994613349701309</v>
      </c>
      <c r="R168" s="106">
        <v>0.79824338637092185</v>
      </c>
      <c r="S168" s="106">
        <v>0.69384704920571016</v>
      </c>
      <c r="AA168" s="106">
        <v>801</v>
      </c>
      <c r="AB168" s="106">
        <v>842.6058732612056</v>
      </c>
    </row>
    <row r="169" spans="1:28" x14ac:dyDescent="0.2">
      <c r="A169" s="14">
        <v>43691</v>
      </c>
      <c r="B169" s="106">
        <v>822</v>
      </c>
      <c r="C169" s="106">
        <v>816</v>
      </c>
      <c r="D169" s="106">
        <v>1140</v>
      </c>
      <c r="E169" s="106">
        <v>1131</v>
      </c>
      <c r="F169" s="106">
        <v>0.72148541114058296</v>
      </c>
      <c r="G169" s="106">
        <v>0.74702126406353397</v>
      </c>
      <c r="H169" s="106">
        <v>2.63895601105101E-2</v>
      </c>
      <c r="I169" s="106">
        <v>-0.96764981363901303</v>
      </c>
      <c r="J169" s="106">
        <v>-3.54</v>
      </c>
      <c r="K169" s="106">
        <v>0.90335114960709995</v>
      </c>
      <c r="L169" s="106">
        <v>0.15870331722438699</v>
      </c>
      <c r="M169" s="106">
        <v>0.95402883072570799</v>
      </c>
      <c r="N169" s="106">
        <v>0.26001426795349603</v>
      </c>
      <c r="P169" s="106">
        <v>0.77341082417404405</v>
      </c>
      <c r="Q169" s="106">
        <v>0.72063170395302389</v>
      </c>
      <c r="R169" s="106">
        <v>0.79980038428455413</v>
      </c>
      <c r="S169" s="106">
        <v>0.69424214384251381</v>
      </c>
      <c r="AA169" s="106">
        <v>816</v>
      </c>
      <c r="AB169" s="106">
        <v>853.93122102009272</v>
      </c>
    </row>
    <row r="170" spans="1:28" x14ac:dyDescent="0.2">
      <c r="A170" s="14">
        <v>43690</v>
      </c>
      <c r="B170" s="106">
        <v>814</v>
      </c>
      <c r="C170" s="106">
        <v>808</v>
      </c>
      <c r="D170" s="106">
        <v>1141</v>
      </c>
      <c r="E170" s="106">
        <v>1119</v>
      </c>
      <c r="F170" s="106">
        <v>0.72207327971403001</v>
      </c>
      <c r="G170" s="106">
        <v>0.74785932188623805</v>
      </c>
      <c r="H170" s="106">
        <v>2.65627759820713E-2</v>
      </c>
      <c r="I170" s="106">
        <v>-0.97075856038587005</v>
      </c>
      <c r="J170" s="106">
        <v>-3.57</v>
      </c>
      <c r="K170" s="106">
        <v>0.890851697082234</v>
      </c>
      <c r="L170" s="106">
        <v>0.316485422944355</v>
      </c>
      <c r="M170" s="106">
        <v>0.952599057008642</v>
      </c>
      <c r="N170" s="106">
        <v>0.261386929171053</v>
      </c>
      <c r="P170" s="106">
        <v>0.7744220978683094</v>
      </c>
      <c r="Q170" s="106">
        <v>0.7212965459041667</v>
      </c>
      <c r="R170" s="106">
        <v>0.80098487385038064</v>
      </c>
      <c r="S170" s="106">
        <v>0.69473376992209546</v>
      </c>
      <c r="AA170" s="106">
        <v>808</v>
      </c>
      <c r="AB170" s="106">
        <v>844.870942812983</v>
      </c>
    </row>
    <row r="171" spans="1:28" x14ac:dyDescent="0.2">
      <c r="A171" s="14">
        <v>43686</v>
      </c>
      <c r="B171" s="106">
        <v>837</v>
      </c>
      <c r="C171" s="106">
        <v>826</v>
      </c>
      <c r="D171" s="106">
        <v>1175</v>
      </c>
      <c r="E171" s="106">
        <v>1147</v>
      </c>
      <c r="F171" s="106">
        <v>0.72013949433304203</v>
      </c>
      <c r="G171" s="106">
        <v>0.748501335985859</v>
      </c>
      <c r="H171" s="106">
        <v>2.6513629292913399E-2</v>
      </c>
      <c r="I171" s="106">
        <v>-1.0697080109057999</v>
      </c>
      <c r="J171" s="106">
        <v>-3.94</v>
      </c>
      <c r="K171" s="106">
        <v>0.86193464579602197</v>
      </c>
      <c r="L171" s="106">
        <v>0.72761732971956194</v>
      </c>
      <c r="M171" s="106">
        <v>0.95093672350734604</v>
      </c>
      <c r="N171" s="106">
        <v>0.20842532918179499</v>
      </c>
      <c r="P171" s="106">
        <v>0.77501496527877234</v>
      </c>
      <c r="Q171" s="106">
        <v>0.72198770669294565</v>
      </c>
      <c r="R171" s="106">
        <v>0.80152859457168579</v>
      </c>
      <c r="S171" s="106">
        <v>0.6954740774000322</v>
      </c>
      <c r="AA171" s="106">
        <v>826</v>
      </c>
      <c r="AB171" s="106">
        <v>866.01159196290575</v>
      </c>
    </row>
    <row r="172" spans="1:28" x14ac:dyDescent="0.2">
      <c r="A172" s="14">
        <v>43685</v>
      </c>
      <c r="B172" s="106">
        <v>835</v>
      </c>
      <c r="C172" s="106">
        <v>832</v>
      </c>
      <c r="D172" s="106">
        <v>1162</v>
      </c>
      <c r="E172" s="106">
        <v>1156</v>
      </c>
      <c r="F172" s="106">
        <v>0.71972318339100305</v>
      </c>
      <c r="G172" s="106">
        <v>0.74902425324501898</v>
      </c>
      <c r="H172" s="106">
        <v>2.63352517989296E-2</v>
      </c>
      <c r="I172" s="15">
        <v>-1.1126177975335101</v>
      </c>
      <c r="J172" s="106">
        <v>-4.07</v>
      </c>
      <c r="K172" s="106">
        <v>0.809961156435547</v>
      </c>
      <c r="L172" s="106">
        <v>0.98737658107195803</v>
      </c>
      <c r="M172" s="106">
        <v>0.95008009836437501</v>
      </c>
      <c r="N172" s="106">
        <v>0.22988726849125601</v>
      </c>
      <c r="P172" s="106">
        <v>0.77535950504394857</v>
      </c>
      <c r="Q172" s="106">
        <v>0.72268900144608939</v>
      </c>
      <c r="R172" s="106">
        <v>0.80169475684287816</v>
      </c>
      <c r="S172" s="106">
        <v>0.69635374964715979</v>
      </c>
      <c r="AA172" s="106">
        <v>832</v>
      </c>
      <c r="AB172" s="106">
        <v>872.80680061823807</v>
      </c>
    </row>
    <row r="173" spans="1:28" x14ac:dyDescent="0.2">
      <c r="A173" s="14">
        <v>43684</v>
      </c>
      <c r="B173" s="106">
        <v>846</v>
      </c>
      <c r="C173" s="106">
        <v>838</v>
      </c>
      <c r="D173" s="106">
        <v>1169</v>
      </c>
      <c r="E173" s="106">
        <v>1161</v>
      </c>
      <c r="F173" s="106">
        <v>0.721791559000861</v>
      </c>
      <c r="G173" s="106">
        <v>0.74960481488143804</v>
      </c>
      <c r="H173" s="106">
        <v>2.61622852097999E-2</v>
      </c>
      <c r="I173" s="15">
        <v>-1.0631049871040601</v>
      </c>
      <c r="J173" s="106">
        <v>-3.85</v>
      </c>
      <c r="K173" s="106">
        <v>0.76649017559364196</v>
      </c>
      <c r="L173" s="106">
        <v>0.98246653055140598</v>
      </c>
      <c r="M173" s="106">
        <v>0.949297567105305</v>
      </c>
      <c r="N173" s="106">
        <v>0.224860998392481</v>
      </c>
      <c r="P173" s="106">
        <v>0.77576710009123795</v>
      </c>
      <c r="Q173" s="106">
        <v>0.72344252967163813</v>
      </c>
      <c r="R173" s="106">
        <v>0.80192938530103786</v>
      </c>
      <c r="S173" s="106">
        <v>0.69728024446183823</v>
      </c>
      <c r="AA173" s="106">
        <v>838</v>
      </c>
      <c r="AB173" s="106">
        <v>876.58191653786707</v>
      </c>
    </row>
    <row r="174" spans="1:28" x14ac:dyDescent="0.2">
      <c r="A174" s="14">
        <v>43683</v>
      </c>
      <c r="B174" s="106">
        <v>831</v>
      </c>
      <c r="C174" s="106">
        <v>857</v>
      </c>
      <c r="D174" s="106">
        <v>1141</v>
      </c>
      <c r="E174" s="106">
        <v>1183</v>
      </c>
      <c r="F174" s="106">
        <v>0.72442941673710903</v>
      </c>
      <c r="G174" s="106">
        <v>0.75017332116411095</v>
      </c>
      <c r="H174" s="106">
        <v>2.6014570938110399E-2</v>
      </c>
      <c r="I174" s="106">
        <v>-0.98959558042483498</v>
      </c>
      <c r="J174" s="106">
        <v>-3.55</v>
      </c>
      <c r="K174" s="106">
        <v>0.73950518043691105</v>
      </c>
      <c r="L174" s="106">
        <v>1</v>
      </c>
      <c r="M174" s="106">
        <v>0.94876349494220702</v>
      </c>
      <c r="N174" s="106">
        <v>0.20856103841198301</v>
      </c>
      <c r="P174" s="106">
        <v>0.77618789210222139</v>
      </c>
      <c r="Q174" s="106">
        <v>0.72415875022600051</v>
      </c>
      <c r="R174" s="106">
        <v>0.80220246304033171</v>
      </c>
      <c r="S174" s="106">
        <v>0.69814417928789019</v>
      </c>
      <c r="AA174" s="106">
        <v>857</v>
      </c>
      <c r="AB174" s="106">
        <v>893.19242658423502</v>
      </c>
    </row>
    <row r="175" spans="1:28" x14ac:dyDescent="0.2">
      <c r="A175" s="14">
        <v>43682</v>
      </c>
      <c r="B175" s="106">
        <v>885</v>
      </c>
      <c r="C175" s="106">
        <v>870</v>
      </c>
      <c r="D175" s="106">
        <v>1190</v>
      </c>
      <c r="E175" s="106">
        <v>1187</v>
      </c>
      <c r="F175" s="106">
        <v>0.73294018534119598</v>
      </c>
      <c r="G175" s="106">
        <v>0.75083833634835695</v>
      </c>
      <c r="H175" s="106">
        <v>2.5985454986454701E-2</v>
      </c>
      <c r="I175" s="106">
        <v>-0.68877574075539005</v>
      </c>
      <c r="J175" s="106">
        <v>-2.44</v>
      </c>
      <c r="K175" s="106">
        <v>0.73174042430465402</v>
      </c>
      <c r="L175" s="106">
        <v>0.98156270216080499</v>
      </c>
      <c r="M175" s="106">
        <v>0.94824099975629506</v>
      </c>
      <c r="N175" s="106">
        <v>0.198594343938198</v>
      </c>
      <c r="P175" s="106">
        <v>0.77682379133481161</v>
      </c>
      <c r="Q175" s="106">
        <v>0.72485288136190229</v>
      </c>
      <c r="R175" s="106">
        <v>0.80280924632126638</v>
      </c>
      <c r="S175" s="106">
        <v>0.69886742637544752</v>
      </c>
      <c r="AA175" s="106">
        <v>870</v>
      </c>
      <c r="AB175" s="106">
        <v>896.21251931993822</v>
      </c>
    </row>
    <row r="176" spans="1:28" x14ac:dyDescent="0.2">
      <c r="A176" s="14">
        <v>43679</v>
      </c>
      <c r="B176" s="106">
        <v>908</v>
      </c>
      <c r="C176" s="106">
        <v>893</v>
      </c>
      <c r="D176" s="106">
        <v>1238</v>
      </c>
      <c r="E176" s="106">
        <v>1211</v>
      </c>
      <c r="F176" s="106">
        <v>0.73740710156895095</v>
      </c>
      <c r="G176" s="106">
        <v>0.751412541181811</v>
      </c>
      <c r="H176" s="106">
        <v>2.60593186659402E-2</v>
      </c>
      <c r="I176" s="106">
        <v>-0.53744458143354901</v>
      </c>
      <c r="J176" s="106">
        <v>-1.9</v>
      </c>
      <c r="K176" s="106">
        <v>0.72795577542922996</v>
      </c>
      <c r="L176" s="106">
        <v>0.98408165123297697</v>
      </c>
      <c r="M176" s="106">
        <v>0.94790563425470398</v>
      </c>
      <c r="N176" s="106">
        <v>0.17229727465460501</v>
      </c>
      <c r="P176" s="106">
        <v>0.77747185984775125</v>
      </c>
      <c r="Q176" s="106">
        <v>0.72535322251587075</v>
      </c>
      <c r="R176" s="106">
        <v>0.80353117851369138</v>
      </c>
      <c r="S176" s="106">
        <v>0.69929390384993062</v>
      </c>
      <c r="AA176" s="106">
        <v>893</v>
      </c>
      <c r="AB176" s="106">
        <v>914.33307573415766</v>
      </c>
    </row>
    <row r="177" spans="1:28" x14ac:dyDescent="0.2">
      <c r="A177" s="14">
        <v>43678</v>
      </c>
      <c r="B177" s="106">
        <v>915</v>
      </c>
      <c r="C177" s="106">
        <v>938</v>
      </c>
      <c r="D177" s="106">
        <v>1248</v>
      </c>
      <c r="E177" s="106">
        <v>1268</v>
      </c>
      <c r="F177" s="106">
        <v>0.73974763406940003</v>
      </c>
      <c r="G177" s="106">
        <v>0.75186457677835505</v>
      </c>
      <c r="H177" s="106">
        <v>2.61064561400563E-2</v>
      </c>
      <c r="I177" s="106">
        <v>-0.464135869071989</v>
      </c>
      <c r="J177" s="106">
        <v>-1.64</v>
      </c>
      <c r="K177" s="106">
        <v>0.72816318671342695</v>
      </c>
      <c r="L177" s="106">
        <v>0.988791991084078</v>
      </c>
      <c r="M177" s="106">
        <v>0.94785120094616904</v>
      </c>
      <c r="N177" s="106">
        <v>0.13385391641393499</v>
      </c>
      <c r="P177" s="106">
        <v>0.7779710329184113</v>
      </c>
      <c r="Q177" s="106">
        <v>0.72575812063829881</v>
      </c>
      <c r="R177" s="106">
        <v>0.80407748905846765</v>
      </c>
      <c r="S177" s="106">
        <v>0.69965166449824245</v>
      </c>
      <c r="AA177" s="106">
        <v>938</v>
      </c>
      <c r="AB177" s="106">
        <v>957.36939721792896</v>
      </c>
    </row>
    <row r="178" spans="1:28" x14ac:dyDescent="0.2">
      <c r="A178" s="14">
        <v>43677</v>
      </c>
      <c r="B178" s="106">
        <v>925</v>
      </c>
      <c r="C178" s="106">
        <v>927</v>
      </c>
      <c r="D178" s="106">
        <v>1305</v>
      </c>
      <c r="E178" s="106">
        <v>1298</v>
      </c>
      <c r="F178" s="106">
        <v>0.714175654853621</v>
      </c>
      <c r="G178" s="106">
        <v>0.75237469996212603</v>
      </c>
      <c r="H178" s="106">
        <v>2.62381684658455E-2</v>
      </c>
      <c r="I178" s="106">
        <v>-1.45585791013688</v>
      </c>
      <c r="J178" s="106">
        <v>-5.35</v>
      </c>
      <c r="K178" s="106">
        <v>0.73461198323310495</v>
      </c>
      <c r="L178" s="106">
        <v>0.99154986650299004</v>
      </c>
      <c r="M178" s="106">
        <v>0.94847423495581396</v>
      </c>
      <c r="N178" s="106">
        <v>7.5877515448984398E-2</v>
      </c>
      <c r="P178" s="106">
        <v>0.77861286842797151</v>
      </c>
      <c r="Q178" s="106">
        <v>0.72613653149628055</v>
      </c>
      <c r="R178" s="106">
        <v>0.80485103689381698</v>
      </c>
      <c r="S178" s="106">
        <v>0.69989836303043507</v>
      </c>
      <c r="AA178" s="106">
        <v>927</v>
      </c>
      <c r="AB178" s="106">
        <v>980.02009273570332</v>
      </c>
    </row>
    <row r="179" spans="1:28" x14ac:dyDescent="0.2">
      <c r="A179" s="14">
        <v>43676</v>
      </c>
      <c r="B179" s="106">
        <v>922</v>
      </c>
      <c r="C179" s="106">
        <v>934</v>
      </c>
      <c r="D179" s="106">
        <v>1299</v>
      </c>
      <c r="E179" s="106">
        <v>1321</v>
      </c>
      <c r="F179" s="106">
        <v>0.70704012112036296</v>
      </c>
      <c r="G179" s="106">
        <v>0.75317256061567905</v>
      </c>
      <c r="H179" s="106">
        <v>2.59729377297881E-2</v>
      </c>
      <c r="I179" s="106">
        <v>-1.7761733376200599</v>
      </c>
      <c r="J179" s="106">
        <v>-6.52</v>
      </c>
      <c r="K179" s="106">
        <v>0.74427948972795699</v>
      </c>
      <c r="L179" s="106">
        <v>0.99211466087493905</v>
      </c>
      <c r="M179" s="106">
        <v>0.94895004585170994</v>
      </c>
      <c r="N179" s="106">
        <v>6.4638793622323595E-2</v>
      </c>
      <c r="P179" s="106">
        <v>0.7791454983454672</v>
      </c>
      <c r="Q179" s="106">
        <v>0.72719962288589091</v>
      </c>
      <c r="R179" s="106">
        <v>0.80511843607525524</v>
      </c>
      <c r="S179" s="106">
        <v>0.70122668515610287</v>
      </c>
      <c r="AA179" s="106">
        <v>934</v>
      </c>
      <c r="AB179" s="106">
        <v>997.38562596599695</v>
      </c>
    </row>
    <row r="180" spans="1:28" x14ac:dyDescent="0.2">
      <c r="A180" s="14">
        <v>43675</v>
      </c>
      <c r="B180" s="106">
        <v>950</v>
      </c>
      <c r="C180" s="106">
        <v>933</v>
      </c>
      <c r="D180" s="106">
        <v>1313</v>
      </c>
      <c r="E180" s="106">
        <v>1301</v>
      </c>
      <c r="F180" s="106">
        <v>0.71714066102997698</v>
      </c>
      <c r="G180" s="106">
        <v>0.754196795389249</v>
      </c>
      <c r="H180" s="106">
        <v>2.56461070214744E-2</v>
      </c>
      <c r="I180" s="106">
        <v>-1.44490289805951</v>
      </c>
      <c r="J180" s="106">
        <v>-5.17</v>
      </c>
      <c r="K180" s="106">
        <v>0.74997509529980499</v>
      </c>
      <c r="L180" s="106">
        <v>0.99254606948565205</v>
      </c>
      <c r="M180" s="106">
        <v>0.94909242900459201</v>
      </c>
      <c r="N180" s="106">
        <v>6.5035506065868803E-2</v>
      </c>
      <c r="P180" s="106">
        <v>0.7798429024107234</v>
      </c>
      <c r="Q180" s="106">
        <v>0.72855068836777459</v>
      </c>
      <c r="R180" s="106">
        <v>0.80548900943219781</v>
      </c>
      <c r="S180" s="106">
        <v>0.70290458134630018</v>
      </c>
      <c r="AA180" s="106">
        <v>933</v>
      </c>
      <c r="AB180" s="106">
        <v>982.28516228748072</v>
      </c>
    </row>
    <row r="181" spans="1:28" x14ac:dyDescent="0.2">
      <c r="A181" s="14">
        <v>43672</v>
      </c>
      <c r="B181" s="106">
        <v>983</v>
      </c>
      <c r="C181" s="106">
        <v>963</v>
      </c>
      <c r="D181" s="106">
        <v>1347</v>
      </c>
      <c r="E181" s="106">
        <v>1331</v>
      </c>
      <c r="F181" s="106">
        <v>0.72351615326821905</v>
      </c>
      <c r="G181" s="106">
        <v>0.75486172403256102</v>
      </c>
      <c r="H181" s="106">
        <v>2.5321158396026701E-2</v>
      </c>
      <c r="I181" s="106">
        <v>-1.2379200933106</v>
      </c>
      <c r="J181" s="106">
        <v>-4.33</v>
      </c>
      <c r="K181" s="106">
        <v>0.75059540646453404</v>
      </c>
      <c r="L181" s="106">
        <v>0.99101494935109102</v>
      </c>
      <c r="M181" s="106">
        <v>0.94927930710478603</v>
      </c>
      <c r="N181" s="106">
        <v>7.6064983398845806E-2</v>
      </c>
      <c r="P181" s="106">
        <v>0.78018288242858769</v>
      </c>
      <c r="Q181" s="106">
        <v>0.72954056563653435</v>
      </c>
      <c r="R181" s="106">
        <v>0.80550404082461446</v>
      </c>
      <c r="S181" s="106">
        <v>0.70421940724050758</v>
      </c>
      <c r="AA181" s="106">
        <v>963</v>
      </c>
      <c r="AB181" s="106">
        <v>1004.9358578052551</v>
      </c>
    </row>
    <row r="182" spans="1:28" x14ac:dyDescent="0.2">
      <c r="A182" s="14">
        <v>43671</v>
      </c>
      <c r="B182" s="106">
        <v>987</v>
      </c>
      <c r="C182" s="106">
        <v>982</v>
      </c>
      <c r="D182" s="106">
        <v>1347</v>
      </c>
      <c r="E182" s="106">
        <v>1349</v>
      </c>
      <c r="F182" s="106">
        <v>0.72794662713120795</v>
      </c>
      <c r="G182" s="106">
        <v>0.75533323907459504</v>
      </c>
      <c r="H182" s="106">
        <v>2.5060993644777398E-2</v>
      </c>
      <c r="I182" s="106">
        <v>-1.09279832761516</v>
      </c>
      <c r="J182" s="106">
        <v>-3.76</v>
      </c>
      <c r="K182" s="106">
        <v>0.78339093102216995</v>
      </c>
      <c r="L182" s="106">
        <v>0.99381513919072895</v>
      </c>
      <c r="M182" s="106">
        <v>0.94976851390545602</v>
      </c>
      <c r="N182" s="106">
        <v>6.7753429915710497E-2</v>
      </c>
      <c r="P182" s="106">
        <v>0.78039423271937247</v>
      </c>
      <c r="Q182" s="106">
        <v>0.73027224542981761</v>
      </c>
      <c r="R182" s="106">
        <v>0.80545522636414979</v>
      </c>
      <c r="S182" s="106">
        <v>0.70521125178504029</v>
      </c>
      <c r="AA182" s="106">
        <v>982</v>
      </c>
      <c r="AB182" s="106">
        <v>1018.5262751159197</v>
      </c>
    </row>
    <row r="183" spans="1:28" x14ac:dyDescent="0.2">
      <c r="A183" s="14">
        <v>43670</v>
      </c>
      <c r="B183" s="106">
        <v>990</v>
      </c>
      <c r="C183" s="106">
        <v>991</v>
      </c>
      <c r="D183" s="106">
        <v>1330</v>
      </c>
      <c r="E183" s="106">
        <v>1349</v>
      </c>
      <c r="F183" s="106">
        <v>0.73461823573017004</v>
      </c>
      <c r="G183" s="106">
        <v>0.75565946795422501</v>
      </c>
      <c r="H183" s="106">
        <v>2.48608178840161E-2</v>
      </c>
      <c r="I183" s="106">
        <v>-0.84636122279721804</v>
      </c>
      <c r="J183" s="106">
        <v>-2.86</v>
      </c>
      <c r="K183" s="106">
        <v>0.82390998646724001</v>
      </c>
      <c r="L183" s="106">
        <v>0.97679730347693505</v>
      </c>
      <c r="M183" s="106">
        <v>0.95018960148206899</v>
      </c>
      <c r="N183" s="106">
        <v>6.4593864318936003E-2</v>
      </c>
      <c r="P183" s="106">
        <v>0.78052028583824107</v>
      </c>
      <c r="Q183" s="106">
        <v>0.73079865007020894</v>
      </c>
      <c r="R183" s="106">
        <v>0.80538110372225724</v>
      </c>
      <c r="S183" s="106">
        <v>0.70593783218619277</v>
      </c>
      <c r="AA183" s="106">
        <v>991</v>
      </c>
      <c r="AB183" s="106">
        <v>1018.5262751159197</v>
      </c>
    </row>
    <row r="184" spans="1:28" x14ac:dyDescent="0.2">
      <c r="A184" s="14">
        <v>43669</v>
      </c>
      <c r="B184" s="106">
        <v>963</v>
      </c>
      <c r="C184" s="106">
        <v>983</v>
      </c>
      <c r="D184" s="106">
        <v>1285</v>
      </c>
      <c r="E184" s="106">
        <v>1315</v>
      </c>
      <c r="F184" s="106">
        <v>0.74752851711026602</v>
      </c>
      <c r="G184" s="106">
        <v>0.75599029954425201</v>
      </c>
      <c r="H184" s="106">
        <v>2.4743429901038699E-2</v>
      </c>
      <c r="I184" s="106">
        <v>-0.34198098112626901</v>
      </c>
      <c r="J184" s="106">
        <v>-1.1299999999999999</v>
      </c>
      <c r="K184" s="106">
        <v>0.85008091289460397</v>
      </c>
      <c r="L184" s="106">
        <v>0.96142648552155796</v>
      </c>
      <c r="M184" s="106">
        <v>0.95028349175790805</v>
      </c>
      <c r="N184" s="106">
        <v>6.4691208388223398E-2</v>
      </c>
      <c r="P184" s="106">
        <v>0.78073372944529074</v>
      </c>
      <c r="Q184" s="106">
        <v>0.73124686964321328</v>
      </c>
      <c r="R184" s="106">
        <v>0.80547715934632946</v>
      </c>
      <c r="S184" s="106">
        <v>0.70650343974217455</v>
      </c>
      <c r="AA184" s="106">
        <v>983</v>
      </c>
      <c r="AB184" s="106">
        <v>992.85548686244204</v>
      </c>
    </row>
    <row r="185" spans="1:28" x14ac:dyDescent="0.2">
      <c r="A185" s="14">
        <v>43668</v>
      </c>
      <c r="B185" s="106">
        <v>961</v>
      </c>
      <c r="C185" s="106">
        <v>969</v>
      </c>
      <c r="D185" s="106">
        <v>1296</v>
      </c>
      <c r="E185" s="106">
        <v>1296</v>
      </c>
      <c r="F185" s="106">
        <v>0.74768518518518501</v>
      </c>
      <c r="G185" s="106">
        <v>0.75617499029017299</v>
      </c>
      <c r="H185" s="106">
        <v>2.4731273463957398E-2</v>
      </c>
      <c r="I185" s="106">
        <v>-0.34328216528602301</v>
      </c>
      <c r="J185" s="106">
        <v>-1.1399999999999999</v>
      </c>
      <c r="K185" s="106">
        <v>0.873211897865527</v>
      </c>
      <c r="L185" s="106">
        <v>0.91656864253583403</v>
      </c>
      <c r="M185" s="106">
        <v>0.95027441297030601</v>
      </c>
      <c r="N185" s="106">
        <v>6.5142472661525994E-2</v>
      </c>
      <c r="P185" s="106">
        <v>0.78090626375413041</v>
      </c>
      <c r="Q185" s="106">
        <v>0.73144371682621556</v>
      </c>
      <c r="R185" s="106">
        <v>0.80563753721808773</v>
      </c>
      <c r="S185" s="106">
        <v>0.70671244336225825</v>
      </c>
      <c r="AA185" s="106">
        <v>969</v>
      </c>
      <c r="AB185" s="106">
        <v>978.51004636785171</v>
      </c>
    </row>
    <row r="186" spans="1:28" x14ac:dyDescent="0.2">
      <c r="A186" s="14">
        <v>43665</v>
      </c>
      <c r="B186" s="106">
        <v>932</v>
      </c>
      <c r="C186" s="106">
        <v>955</v>
      </c>
      <c r="D186" s="106">
        <v>1252</v>
      </c>
      <c r="E186" s="106">
        <v>1288</v>
      </c>
      <c r="F186" s="106">
        <v>0.74145962732919202</v>
      </c>
      <c r="G186" s="106">
        <v>0.75633482274167196</v>
      </c>
      <c r="H186" s="106">
        <v>2.4714619741208799E-2</v>
      </c>
      <c r="I186" s="106">
        <v>-0.60187838486858203</v>
      </c>
      <c r="J186" s="106">
        <v>-2.0099999999999998</v>
      </c>
      <c r="K186" s="106">
        <v>0.89202398541281802</v>
      </c>
      <c r="L186" s="106">
        <v>0.89821290892655004</v>
      </c>
      <c r="M186" s="106">
        <v>0.950292595601815</v>
      </c>
      <c r="N186" s="106">
        <v>5.3627848697244698E-2</v>
      </c>
      <c r="P186" s="106">
        <v>0.78104944248288077</v>
      </c>
      <c r="Q186" s="106">
        <v>0.73162020300046315</v>
      </c>
      <c r="R186" s="106">
        <v>0.80576406222408958</v>
      </c>
      <c r="S186" s="106">
        <v>0.70690558325925434</v>
      </c>
      <c r="AA186" s="106">
        <v>955</v>
      </c>
      <c r="AB186" s="106">
        <v>972.4698608964452</v>
      </c>
    </row>
    <row r="187" spans="1:28" x14ac:dyDescent="0.2">
      <c r="A187" s="14">
        <v>43664</v>
      </c>
      <c r="B187" s="106">
        <v>932</v>
      </c>
      <c r="C187" s="106">
        <v>928</v>
      </c>
      <c r="D187" s="106">
        <v>1277</v>
      </c>
      <c r="E187" s="106">
        <v>1256</v>
      </c>
      <c r="F187" s="106">
        <v>0.73885350318471299</v>
      </c>
      <c r="G187" s="106">
        <v>0.75643886153559203</v>
      </c>
      <c r="H187" s="106">
        <v>2.4668161978547602E-2</v>
      </c>
      <c r="I187" s="106">
        <v>-0.71287671802105002</v>
      </c>
      <c r="J187" s="106">
        <v>-2.38</v>
      </c>
      <c r="K187" s="106">
        <v>0.90556462607856003</v>
      </c>
      <c r="L187" s="106">
        <v>0.82037323725038003</v>
      </c>
      <c r="M187" s="106">
        <v>0.95014638492501202</v>
      </c>
      <c r="N187" s="106">
        <v>5.2933285271562699E-2</v>
      </c>
      <c r="P187" s="106">
        <v>0.78110702351413963</v>
      </c>
      <c r="Q187" s="106">
        <v>0.73177069955704444</v>
      </c>
      <c r="R187" s="106">
        <v>0.80577518549268723</v>
      </c>
      <c r="S187" s="106">
        <v>0.70710253757849684</v>
      </c>
      <c r="AA187" s="106">
        <v>928</v>
      </c>
      <c r="AB187" s="106">
        <v>948.30911901081924</v>
      </c>
    </row>
    <row r="188" spans="1:28" x14ac:dyDescent="0.2">
      <c r="A188" s="14">
        <v>43663</v>
      </c>
      <c r="B188" s="106">
        <v>940</v>
      </c>
      <c r="C188" s="106">
        <v>941</v>
      </c>
      <c r="D188" s="106">
        <v>1305</v>
      </c>
      <c r="E188" s="106">
        <v>1293</v>
      </c>
      <c r="F188" s="106">
        <v>0.727764887857695</v>
      </c>
      <c r="G188" s="106">
        <v>0.75651533142097904</v>
      </c>
      <c r="H188" s="106">
        <v>2.4622376821382599E-2</v>
      </c>
      <c r="I188" s="106">
        <v>-1.1676550875590599</v>
      </c>
      <c r="J188" s="106">
        <v>-3.95</v>
      </c>
      <c r="K188" s="106">
        <v>0.91389098559702797</v>
      </c>
      <c r="L188" s="106">
        <v>0.736517582570405</v>
      </c>
      <c r="M188" s="106">
        <v>0.950273832945144</v>
      </c>
      <c r="N188" s="106">
        <v>4.4888851535970498E-2</v>
      </c>
      <c r="P188" s="106">
        <v>0.78113770824236162</v>
      </c>
      <c r="Q188" s="106">
        <v>0.73189295459959647</v>
      </c>
      <c r="R188" s="106">
        <v>0.80576008506374419</v>
      </c>
      <c r="S188" s="106">
        <v>0.70727057777821389</v>
      </c>
      <c r="AA188" s="106">
        <v>941</v>
      </c>
      <c r="AB188" s="106">
        <v>976.2449768160742</v>
      </c>
    </row>
    <row r="189" spans="1:28" x14ac:dyDescent="0.2">
      <c r="A189" s="14">
        <v>43662</v>
      </c>
      <c r="B189" s="106">
        <v>945</v>
      </c>
      <c r="C189" s="106">
        <v>945</v>
      </c>
      <c r="D189" s="106">
        <v>1309</v>
      </c>
      <c r="E189" s="106">
        <v>1306</v>
      </c>
      <c r="F189" s="106">
        <v>0.72358346094946402</v>
      </c>
      <c r="G189" s="106">
        <v>0.75675029896787005</v>
      </c>
      <c r="H189" s="106">
        <v>2.44302296203039E-2</v>
      </c>
      <c r="I189" s="106">
        <v>-1.3576146656780199</v>
      </c>
      <c r="J189" s="106">
        <v>-4.58</v>
      </c>
      <c r="K189" s="106">
        <v>0.92160212595916002</v>
      </c>
      <c r="L189" s="106">
        <v>0.69272267919684205</v>
      </c>
      <c r="M189" s="106">
        <v>0.950458041334034</v>
      </c>
      <c r="N189" s="106">
        <v>3.30252261188414E-2</v>
      </c>
      <c r="P189" s="106">
        <v>0.78118052858817399</v>
      </c>
      <c r="Q189" s="106">
        <v>0.7323200693475661</v>
      </c>
      <c r="R189" s="106">
        <v>0.80561075820847783</v>
      </c>
      <c r="S189" s="106">
        <v>0.70788983972726227</v>
      </c>
      <c r="AA189" s="106">
        <v>945</v>
      </c>
      <c r="AB189" s="106">
        <v>986.06027820710983</v>
      </c>
    </row>
    <row r="190" spans="1:28" x14ac:dyDescent="0.2">
      <c r="A190" s="14">
        <v>43658</v>
      </c>
      <c r="B190" s="106">
        <v>952</v>
      </c>
      <c r="C190" s="106">
        <v>942</v>
      </c>
      <c r="D190" s="106">
        <v>1338</v>
      </c>
      <c r="E190" s="106">
        <v>1309</v>
      </c>
      <c r="F190" s="106">
        <v>0.71963330786860202</v>
      </c>
      <c r="G190" s="106">
        <v>0.75692757859019899</v>
      </c>
      <c r="H190" s="106">
        <v>2.42363814757438E-2</v>
      </c>
      <c r="I190" s="106">
        <v>-1.53877222797972</v>
      </c>
      <c r="J190" s="106">
        <v>-5.18</v>
      </c>
      <c r="K190" s="106">
        <v>0.93232505777087804</v>
      </c>
      <c r="L190" s="106">
        <v>0.49503510800182099</v>
      </c>
      <c r="M190" s="106">
        <v>0.95076044291386297</v>
      </c>
      <c r="N190" s="106">
        <v>3.6823486961755698E-2</v>
      </c>
      <c r="P190" s="106">
        <v>0.7811639600659428</v>
      </c>
      <c r="Q190" s="106">
        <v>0.73269119711445518</v>
      </c>
      <c r="R190" s="106">
        <v>0.8054003415416866</v>
      </c>
      <c r="S190" s="106">
        <v>0.70845481563871138</v>
      </c>
      <c r="AA190" s="106">
        <v>942</v>
      </c>
      <c r="AB190" s="106">
        <v>988.32534775888723</v>
      </c>
    </row>
    <row r="191" spans="1:28" x14ac:dyDescent="0.2">
      <c r="A191" s="14">
        <v>43657</v>
      </c>
      <c r="B191" s="106">
        <v>935</v>
      </c>
      <c r="C191" s="106">
        <v>942</v>
      </c>
      <c r="D191" s="106">
        <v>1315</v>
      </c>
      <c r="E191" s="106">
        <v>1327</v>
      </c>
      <c r="F191" s="106">
        <v>0.70987189148455099</v>
      </c>
      <c r="G191" s="106">
        <v>0.75709731630346599</v>
      </c>
      <c r="H191" s="106">
        <v>2.4018195280533901E-2</v>
      </c>
      <c r="I191" s="106">
        <v>-1.96623535895676</v>
      </c>
      <c r="J191" s="106">
        <v>-6.65</v>
      </c>
      <c r="K191" s="106">
        <v>0.93920185606452999</v>
      </c>
      <c r="L191" s="106">
        <v>0.53264335267132001</v>
      </c>
      <c r="M191" s="106">
        <v>0.95135495170705697</v>
      </c>
      <c r="N191" s="106">
        <v>5.93530137170446E-2</v>
      </c>
      <c r="P191" s="106">
        <v>0.78111551158399994</v>
      </c>
      <c r="Q191" s="106">
        <v>0.73307912102293205</v>
      </c>
      <c r="R191" s="106">
        <v>0.80513370686453378</v>
      </c>
      <c r="S191" s="106">
        <v>0.70906092574239821</v>
      </c>
      <c r="AA191" s="106">
        <v>942</v>
      </c>
      <c r="AB191" s="106">
        <v>1001.9157650695519</v>
      </c>
    </row>
    <row r="192" spans="1:28" x14ac:dyDescent="0.2">
      <c r="A192" s="14">
        <v>43656</v>
      </c>
      <c r="B192" s="106">
        <v>942</v>
      </c>
      <c r="C192" s="106">
        <v>940</v>
      </c>
      <c r="D192" s="106">
        <v>1310</v>
      </c>
      <c r="E192" s="106">
        <v>1315</v>
      </c>
      <c r="F192" s="106">
        <v>0.71482889733840305</v>
      </c>
      <c r="G192" s="106">
        <v>0.75751690700113605</v>
      </c>
      <c r="H192" s="106">
        <v>2.3457859595518001E-2</v>
      </c>
      <c r="I192" s="106">
        <v>-1.8197742845596101</v>
      </c>
      <c r="J192" s="106">
        <v>-5.97</v>
      </c>
      <c r="K192" s="106">
        <v>0.94471160122244702</v>
      </c>
      <c r="L192" s="106">
        <v>0.52959009847159799</v>
      </c>
      <c r="M192" s="106">
        <v>0.951739739792413</v>
      </c>
      <c r="N192" s="106">
        <v>3.7766334510866403E-2</v>
      </c>
      <c r="P192" s="106">
        <v>0.7809747665966541</v>
      </c>
      <c r="Q192" s="106">
        <v>0.734059047405618</v>
      </c>
      <c r="R192" s="106">
        <v>0.80443262619217204</v>
      </c>
      <c r="S192" s="106">
        <v>0.71060118781010007</v>
      </c>
      <c r="AA192" s="106">
        <v>940</v>
      </c>
      <c r="AB192" s="106">
        <v>992.85548686244204</v>
      </c>
    </row>
    <row r="193" spans="1:28" x14ac:dyDescent="0.2">
      <c r="A193" s="14">
        <v>43655</v>
      </c>
      <c r="B193" s="106">
        <v>957</v>
      </c>
      <c r="C193" s="106">
        <v>950</v>
      </c>
      <c r="D193" s="106">
        <v>1324</v>
      </c>
      <c r="E193" s="106">
        <v>1322</v>
      </c>
      <c r="F193" s="106">
        <v>0.71860816944024197</v>
      </c>
      <c r="G193" s="106">
        <v>0.75786350797045698</v>
      </c>
      <c r="H193" s="106">
        <v>2.3012378210676299E-2</v>
      </c>
      <c r="I193" s="106">
        <v>-1.70583579718864</v>
      </c>
      <c r="J193" s="106">
        <v>-5.46</v>
      </c>
      <c r="K193" s="106">
        <v>0.94945135042844697</v>
      </c>
      <c r="L193" s="106">
        <v>0.50162323417099097</v>
      </c>
      <c r="M193" s="106">
        <v>0.95192278634837302</v>
      </c>
      <c r="N193" s="106">
        <v>4.8575256898938303E-2</v>
      </c>
      <c r="P193" s="106">
        <v>0.78087588618113324</v>
      </c>
      <c r="Q193" s="106">
        <v>0.73485112975978073</v>
      </c>
      <c r="R193" s="106">
        <v>0.8038882643918096</v>
      </c>
      <c r="S193" s="106">
        <v>0.71183875154910436</v>
      </c>
      <c r="AA193" s="106">
        <v>950</v>
      </c>
      <c r="AB193" s="106">
        <v>998.14064914992275</v>
      </c>
    </row>
    <row r="194" spans="1:28" x14ac:dyDescent="0.2">
      <c r="A194" s="14">
        <v>43654</v>
      </c>
      <c r="B194" s="106">
        <v>960</v>
      </c>
      <c r="C194" s="106">
        <v>962</v>
      </c>
      <c r="D194" s="106">
        <v>1331</v>
      </c>
      <c r="E194" s="106">
        <v>1333</v>
      </c>
      <c r="F194" s="106">
        <v>0.72168042010502598</v>
      </c>
      <c r="G194" s="106">
        <v>0.75814065156984001</v>
      </c>
      <c r="H194" s="106">
        <v>2.26604204243201E-2</v>
      </c>
      <c r="I194" s="106">
        <v>-1.60898301011588</v>
      </c>
      <c r="J194" s="106">
        <v>-5.05</v>
      </c>
      <c r="K194" s="106">
        <v>0.95410166527612095</v>
      </c>
      <c r="L194" s="106">
        <v>0.51752057577727195</v>
      </c>
      <c r="M194" s="106">
        <v>0.95213804842113003</v>
      </c>
      <c r="N194" s="106">
        <v>7.4673119710512395E-2</v>
      </c>
      <c r="P194" s="106">
        <v>0.78080107199416016</v>
      </c>
      <c r="Q194" s="106">
        <v>0.73548023114551986</v>
      </c>
      <c r="R194" s="106">
        <v>0.80346149241848019</v>
      </c>
      <c r="S194" s="106">
        <v>0.71281981072119982</v>
      </c>
      <c r="AA194" s="106">
        <v>962</v>
      </c>
      <c r="AB194" s="106">
        <v>1006.4459041731067</v>
      </c>
    </row>
    <row r="195" spans="1:28" x14ac:dyDescent="0.2">
      <c r="A195" s="14">
        <v>43651</v>
      </c>
      <c r="B195" s="106">
        <v>971</v>
      </c>
      <c r="C195" s="106">
        <v>971</v>
      </c>
      <c r="D195" s="106">
        <v>1327</v>
      </c>
      <c r="E195" s="106">
        <v>1337</v>
      </c>
      <c r="F195" s="106">
        <v>0.72625280478683596</v>
      </c>
      <c r="G195" s="106">
        <v>0.75843356544495999</v>
      </c>
      <c r="H195" s="106">
        <v>2.2326762646301401E-2</v>
      </c>
      <c r="I195" s="106">
        <v>-1.4413536421705599</v>
      </c>
      <c r="J195" s="106">
        <v>-4.43</v>
      </c>
      <c r="K195" s="106">
        <v>0.95778171738906104</v>
      </c>
      <c r="L195" s="106">
        <v>0.46040554029004699</v>
      </c>
      <c r="M195" s="106">
        <v>0.95237851328284095</v>
      </c>
      <c r="N195" s="106">
        <v>3.7226526814112197E-2</v>
      </c>
      <c r="P195" s="106">
        <v>0.78076032809126139</v>
      </c>
      <c r="Q195" s="106">
        <v>0.73610680279865859</v>
      </c>
      <c r="R195" s="106">
        <v>0.80308709073756279</v>
      </c>
      <c r="S195" s="106">
        <v>0.71378004015235719</v>
      </c>
      <c r="AA195" s="106">
        <v>971</v>
      </c>
      <c r="AB195" s="106">
        <v>1009.46599690881</v>
      </c>
    </row>
    <row r="196" spans="1:28" x14ac:dyDescent="0.2">
      <c r="A196" s="14">
        <v>43650</v>
      </c>
      <c r="B196" s="106">
        <v>972</v>
      </c>
      <c r="C196" s="106">
        <v>967</v>
      </c>
      <c r="D196" s="106">
        <v>1335</v>
      </c>
      <c r="E196" s="106">
        <v>1333</v>
      </c>
      <c r="F196" s="106">
        <v>0.725431357839459</v>
      </c>
      <c r="G196" s="106">
        <v>0.75864299716469896</v>
      </c>
      <c r="H196" s="106">
        <v>2.2096396717954801E-2</v>
      </c>
      <c r="I196" s="106">
        <v>-1.5030341710986901</v>
      </c>
      <c r="J196" s="106">
        <v>-4.58</v>
      </c>
      <c r="K196" s="106">
        <v>0.96164990580676701</v>
      </c>
      <c r="L196" s="106">
        <v>0.43161871841531702</v>
      </c>
      <c r="M196" s="106">
        <v>0.95264433952071703</v>
      </c>
      <c r="N196" s="106">
        <v>3.5462971861243503E-2</v>
      </c>
      <c r="P196" s="106">
        <v>0.78073939388265379</v>
      </c>
      <c r="Q196" s="106">
        <v>0.73654660044674414</v>
      </c>
      <c r="R196" s="106">
        <v>0.80283579060060861</v>
      </c>
      <c r="S196" s="106">
        <v>0.71445020372878931</v>
      </c>
      <c r="AA196" s="106">
        <v>967</v>
      </c>
      <c r="AB196" s="106">
        <v>1006.4459041731067</v>
      </c>
    </row>
    <row r="197" spans="1:28" x14ac:dyDescent="0.2">
      <c r="A197" s="14">
        <v>43649</v>
      </c>
      <c r="B197" s="106">
        <v>978</v>
      </c>
      <c r="C197" s="106">
        <v>970</v>
      </c>
      <c r="D197" s="106">
        <v>1355</v>
      </c>
      <c r="E197" s="106">
        <v>1335</v>
      </c>
      <c r="F197" s="106">
        <v>0.72659176029962502</v>
      </c>
      <c r="G197" s="106">
        <v>0.75881565652144201</v>
      </c>
      <c r="H197" s="106">
        <v>2.18857985942832E-2</v>
      </c>
      <c r="I197" s="106">
        <v>-1.4723655654143599</v>
      </c>
      <c r="J197" s="106">
        <v>-4.43</v>
      </c>
      <c r="K197" s="106">
        <v>0.96472710951093399</v>
      </c>
      <c r="L197" s="106">
        <v>0.39279830246388397</v>
      </c>
      <c r="M197" s="106">
        <v>0.95289248480791999</v>
      </c>
      <c r="N197" s="106">
        <v>3.8987721557490598E-2</v>
      </c>
      <c r="P197" s="106">
        <v>0.7807014551157252</v>
      </c>
      <c r="Q197" s="106">
        <v>0.73692985792715882</v>
      </c>
      <c r="R197" s="106">
        <v>0.80258725371000839</v>
      </c>
      <c r="S197" s="106">
        <v>0.71504405933287563</v>
      </c>
      <c r="AA197" s="106">
        <v>970</v>
      </c>
      <c r="AB197" s="106">
        <v>1007.9559505409583</v>
      </c>
    </row>
    <row r="198" spans="1:28" x14ac:dyDescent="0.2">
      <c r="A198" s="14">
        <v>43648</v>
      </c>
      <c r="B198" s="106">
        <v>992</v>
      </c>
      <c r="C198" s="106">
        <v>991</v>
      </c>
      <c r="D198" s="106">
        <v>1351</v>
      </c>
      <c r="E198" s="106">
        <v>1356</v>
      </c>
      <c r="F198" s="106">
        <v>0.73082595870206402</v>
      </c>
      <c r="G198" s="106">
        <v>0.75898728107121405</v>
      </c>
      <c r="H198" s="106">
        <v>2.1681951612292999E-2</v>
      </c>
      <c r="I198" s="106">
        <v>-1.2988370637808699</v>
      </c>
      <c r="J198" s="106">
        <v>-3.85</v>
      </c>
      <c r="K198" s="106">
        <v>0.96702873780320298</v>
      </c>
      <c r="L198" s="106">
        <v>0.46472657375286602</v>
      </c>
      <c r="M198" s="106">
        <v>0.953181352816867</v>
      </c>
      <c r="N198" s="106">
        <v>4.1473829659372401E-2</v>
      </c>
      <c r="P198" s="106">
        <v>0.78066923268350707</v>
      </c>
      <c r="Q198" s="106">
        <v>0.73730532945892102</v>
      </c>
      <c r="R198" s="106">
        <v>0.80235118429579999</v>
      </c>
      <c r="S198" s="106">
        <v>0.71562337784662811</v>
      </c>
      <c r="AA198" s="106">
        <v>991</v>
      </c>
      <c r="AB198" s="106">
        <v>1023.8114374034003</v>
      </c>
    </row>
    <row r="199" spans="1:28" x14ac:dyDescent="0.2">
      <c r="A199" s="14">
        <v>43647</v>
      </c>
      <c r="B199" s="106">
        <v>992</v>
      </c>
      <c r="C199" s="106">
        <v>996</v>
      </c>
      <c r="D199" s="106">
        <v>1340</v>
      </c>
      <c r="E199" s="106">
        <v>1355</v>
      </c>
      <c r="F199" s="106">
        <v>0.73505535055350502</v>
      </c>
      <c r="G199" s="106">
        <v>0.75912443933437301</v>
      </c>
      <c r="H199" s="106">
        <v>2.1535413308927099E-2</v>
      </c>
      <c r="I199" s="106">
        <v>-1.1176515832593701</v>
      </c>
      <c r="J199" s="106">
        <v>-3.27</v>
      </c>
      <c r="K199" s="106">
        <v>0.96823168464961296</v>
      </c>
      <c r="L199" s="106">
        <v>0.55696142957281702</v>
      </c>
      <c r="M199" s="106">
        <v>0.95337850790148804</v>
      </c>
      <c r="N199" s="106">
        <v>4.14280859215371E-2</v>
      </c>
      <c r="P199" s="106">
        <v>0.78065985264330007</v>
      </c>
      <c r="Q199" s="106">
        <v>0.73758902602544596</v>
      </c>
      <c r="R199" s="106">
        <v>0.80219526595222723</v>
      </c>
      <c r="S199" s="106">
        <v>0.71605361271651879</v>
      </c>
      <c r="AA199" s="106">
        <v>996</v>
      </c>
      <c r="AB199" s="106">
        <v>1023.0564142194745</v>
      </c>
    </row>
    <row r="200" spans="1:28" x14ac:dyDescent="0.2">
      <c r="A200" s="14">
        <v>43644</v>
      </c>
      <c r="B200" s="106">
        <v>960</v>
      </c>
      <c r="C200" s="106">
        <v>960</v>
      </c>
      <c r="D200" s="106">
        <v>1297</v>
      </c>
      <c r="E200" s="106">
        <v>1306</v>
      </c>
      <c r="F200" s="106">
        <v>0.73506891271056596</v>
      </c>
      <c r="G200" s="106">
        <v>0.75918439784440594</v>
      </c>
      <c r="H200" s="106">
        <v>2.1474491022617798E-2</v>
      </c>
      <c r="I200" s="106">
        <v>-1.12298285013785</v>
      </c>
      <c r="J200" s="106">
        <v>-3.28</v>
      </c>
      <c r="K200" s="106">
        <v>0.96929344467526402</v>
      </c>
      <c r="L200" s="106">
        <v>0.42110405112682803</v>
      </c>
      <c r="M200" s="106">
        <v>0.95330302475239004</v>
      </c>
      <c r="N200" s="106">
        <v>4.4787127953800597E-2</v>
      </c>
      <c r="P200" s="106">
        <v>0.78065888886702373</v>
      </c>
      <c r="Q200" s="106">
        <v>0.73770990682178816</v>
      </c>
      <c r="R200" s="106">
        <v>0.80213337988964151</v>
      </c>
      <c r="S200" s="106">
        <v>0.71623541579917038</v>
      </c>
      <c r="AA200" s="106">
        <v>960</v>
      </c>
      <c r="AB200" s="106">
        <v>986.06027820710983</v>
      </c>
    </row>
    <row r="201" spans="1:28" x14ac:dyDescent="0.2">
      <c r="A201" s="14">
        <v>43643</v>
      </c>
      <c r="B201" s="106">
        <v>935</v>
      </c>
      <c r="C201" s="106">
        <v>958</v>
      </c>
      <c r="D201" s="106">
        <v>1285</v>
      </c>
      <c r="E201" s="106">
        <v>1304</v>
      </c>
      <c r="F201" s="106">
        <v>0.73466257668711599</v>
      </c>
      <c r="G201" s="106">
        <v>0.75932003342505305</v>
      </c>
      <c r="H201" s="106">
        <v>2.13535315069339E-2</v>
      </c>
      <c r="I201" s="106">
        <v>-1.15472500321224</v>
      </c>
      <c r="J201" s="106">
        <v>-3.36</v>
      </c>
      <c r="K201" s="106">
        <v>0.97033018063829601</v>
      </c>
      <c r="L201" s="106">
        <v>0.40019297929160702</v>
      </c>
      <c r="M201" s="106">
        <v>0.95320218223447695</v>
      </c>
      <c r="N201" s="106">
        <v>5.02883683820112E-2</v>
      </c>
      <c r="P201" s="106">
        <v>0.78067356493198692</v>
      </c>
      <c r="Q201" s="106">
        <v>0.73796650191811919</v>
      </c>
      <c r="R201" s="106">
        <v>0.80202709643892089</v>
      </c>
      <c r="S201" s="106">
        <v>0.71661297041118521</v>
      </c>
      <c r="AA201" s="106">
        <v>958</v>
      </c>
      <c r="AB201" s="106">
        <v>984.55023183925812</v>
      </c>
    </row>
    <row r="202" spans="1:28" x14ac:dyDescent="0.2">
      <c r="A202" s="14">
        <v>43642</v>
      </c>
      <c r="B202" s="106">
        <v>923</v>
      </c>
      <c r="C202" s="106">
        <v>935</v>
      </c>
      <c r="D202" s="106">
        <v>1252</v>
      </c>
      <c r="E202" s="106">
        <v>1277</v>
      </c>
      <c r="F202" s="106">
        <v>0.73218480814408704</v>
      </c>
      <c r="G202" s="106">
        <v>0.75940358416840303</v>
      </c>
      <c r="H202" s="106">
        <v>2.1268981731981301E-2</v>
      </c>
      <c r="I202" s="106">
        <v>-1.2797404392607801</v>
      </c>
      <c r="J202" s="106">
        <v>-3.72</v>
      </c>
      <c r="K202" s="106">
        <v>0.97078438018919999</v>
      </c>
      <c r="L202" s="106">
        <v>0.50701419064888198</v>
      </c>
      <c r="M202" s="106">
        <v>0.95295675461592899</v>
      </c>
      <c r="N202" s="106">
        <v>6.2600196011658102E-2</v>
      </c>
      <c r="P202" s="106">
        <v>0.78067256590038436</v>
      </c>
      <c r="Q202" s="106">
        <v>0.73813460243642171</v>
      </c>
      <c r="R202" s="106">
        <v>0.80194154763236569</v>
      </c>
      <c r="S202" s="106">
        <v>0.71686562070444038</v>
      </c>
      <c r="AA202" s="106">
        <v>935</v>
      </c>
      <c r="AB202" s="106">
        <v>964.16460587326128</v>
      </c>
    </row>
    <row r="203" spans="1:28" x14ac:dyDescent="0.2">
      <c r="A203" s="14">
        <v>43641</v>
      </c>
      <c r="B203" s="106">
        <v>922</v>
      </c>
      <c r="C203" s="106">
        <v>923</v>
      </c>
      <c r="D203" s="106">
        <v>1255</v>
      </c>
      <c r="E203" s="106">
        <v>1253</v>
      </c>
      <c r="F203" s="106">
        <v>0.73663208300079797</v>
      </c>
      <c r="G203" s="106">
        <v>0.75950034220250195</v>
      </c>
      <c r="H203" s="106">
        <v>2.1161169865298399E-2</v>
      </c>
      <c r="I203" s="106">
        <v>-1.08067083943241</v>
      </c>
      <c r="J203" s="106">
        <v>-3.1</v>
      </c>
      <c r="K203" s="106">
        <v>0.97022882544102595</v>
      </c>
      <c r="L203" s="106">
        <v>0.65166376991293595</v>
      </c>
      <c r="M203" s="106">
        <v>0.95265190494709295</v>
      </c>
      <c r="N203" s="106">
        <v>5.0006523156445597E-2</v>
      </c>
      <c r="P203" s="106">
        <v>0.78066151206780032</v>
      </c>
      <c r="Q203" s="106">
        <v>0.73833917233720359</v>
      </c>
      <c r="R203" s="106">
        <v>0.8018226819330988</v>
      </c>
      <c r="S203" s="106">
        <v>0.71717800247190511</v>
      </c>
      <c r="AA203" s="106">
        <v>923</v>
      </c>
      <c r="AB203" s="106">
        <v>946.04404945904173</v>
      </c>
    </row>
    <row r="204" spans="1:28" x14ac:dyDescent="0.2">
      <c r="A204" s="14">
        <v>43640</v>
      </c>
      <c r="B204" s="106">
        <v>924</v>
      </c>
      <c r="C204" s="106">
        <v>935</v>
      </c>
      <c r="D204" s="106">
        <v>1231</v>
      </c>
      <c r="E204" s="106">
        <v>1251</v>
      </c>
      <c r="F204" s="106">
        <v>0.74740207833732997</v>
      </c>
      <c r="G204" s="106">
        <v>0.75948278704216199</v>
      </c>
      <c r="H204" s="106">
        <v>2.1180671084089501E-2</v>
      </c>
      <c r="I204" s="106">
        <v>-0.57036477535912999</v>
      </c>
      <c r="J204" s="106">
        <v>-1.62</v>
      </c>
      <c r="K204" s="106">
        <v>0.96945194085025399</v>
      </c>
      <c r="L204" s="106">
        <v>0.54879133869699004</v>
      </c>
      <c r="M204" s="106">
        <v>0.952269778318794</v>
      </c>
      <c r="N204" s="106">
        <v>5.0121009570372001E-2</v>
      </c>
      <c r="P204" s="106">
        <v>0.78066345812625149</v>
      </c>
      <c r="Q204" s="106">
        <v>0.73830211595807249</v>
      </c>
      <c r="R204" s="106">
        <v>0.80184412921034098</v>
      </c>
      <c r="S204" s="106">
        <v>0.71712144487398299</v>
      </c>
      <c r="AA204" s="106">
        <v>935</v>
      </c>
      <c r="AB204" s="106">
        <v>944.53400309119013</v>
      </c>
    </row>
    <row r="205" spans="1:28" x14ac:dyDescent="0.2">
      <c r="A205" s="14">
        <v>43637</v>
      </c>
      <c r="B205" s="106">
        <v>934</v>
      </c>
      <c r="C205" s="106">
        <v>927</v>
      </c>
      <c r="D205" s="106">
        <v>1274</v>
      </c>
      <c r="E205" s="106">
        <v>1262</v>
      </c>
      <c r="F205" s="106">
        <v>0.73454833597464297</v>
      </c>
      <c r="G205" s="106">
        <v>0.75940148396867901</v>
      </c>
      <c r="H205" s="106">
        <v>2.1238511697140701E-2</v>
      </c>
      <c r="I205" s="106">
        <v>-1.1701925421347601</v>
      </c>
      <c r="J205" s="106">
        <v>-3.38</v>
      </c>
      <c r="K205" s="106">
        <v>0.96824766077625402</v>
      </c>
      <c r="L205" s="106">
        <v>0.67614495284762899</v>
      </c>
      <c r="M205" s="106">
        <v>0.95207171117994605</v>
      </c>
      <c r="N205" s="106">
        <v>4.8394260126276803E-2</v>
      </c>
      <c r="P205" s="106">
        <v>0.78063999566581976</v>
      </c>
      <c r="Q205" s="106">
        <v>0.73816297227153826</v>
      </c>
      <c r="R205" s="106">
        <v>0.8018785073629604</v>
      </c>
      <c r="S205" s="106">
        <v>0.71692446057439763</v>
      </c>
      <c r="AA205" s="106">
        <v>927</v>
      </c>
      <c r="AB205" s="106">
        <v>952.83925811437405</v>
      </c>
    </row>
    <row r="206" spans="1:28" x14ac:dyDescent="0.2">
      <c r="A206" s="14">
        <v>43636</v>
      </c>
      <c r="B206" s="106">
        <v>924</v>
      </c>
      <c r="C206" s="106">
        <v>928</v>
      </c>
      <c r="D206" s="106">
        <v>1274</v>
      </c>
      <c r="E206" s="106">
        <v>1264</v>
      </c>
      <c r="F206" s="106">
        <v>0.734177215189873</v>
      </c>
      <c r="G206" s="106">
        <v>0.75951391364308496</v>
      </c>
      <c r="H206" s="106">
        <v>2.1128684492427899E-2</v>
      </c>
      <c r="I206" s="106">
        <v>-1.1991611906691</v>
      </c>
      <c r="J206" s="106">
        <v>-3.45</v>
      </c>
      <c r="K206" s="106">
        <v>0.96894860579336595</v>
      </c>
      <c r="L206" s="106">
        <v>0.695895050953237</v>
      </c>
      <c r="M206" s="106">
        <v>0.95176524931824102</v>
      </c>
      <c r="N206" s="106">
        <v>5.5886477097936801E-2</v>
      </c>
      <c r="P206" s="106">
        <v>0.78064259813551284</v>
      </c>
      <c r="Q206" s="106">
        <v>0.73838522915065707</v>
      </c>
      <c r="R206" s="106">
        <v>0.80177128262794073</v>
      </c>
      <c r="S206" s="106">
        <v>0.71725654465822919</v>
      </c>
      <c r="AA206" s="106">
        <v>928</v>
      </c>
      <c r="AB206" s="106">
        <v>954.34930448222565</v>
      </c>
    </row>
    <row r="207" spans="1:28" x14ac:dyDescent="0.2">
      <c r="A207" s="14">
        <v>43635</v>
      </c>
      <c r="B207" s="106">
        <v>920</v>
      </c>
      <c r="C207" s="106">
        <v>925</v>
      </c>
      <c r="D207" s="106">
        <v>1245</v>
      </c>
      <c r="E207" s="106">
        <v>1256</v>
      </c>
      <c r="F207" s="106">
        <v>0.736464968152866</v>
      </c>
      <c r="G207" s="106">
        <v>0.75965840737407597</v>
      </c>
      <c r="H207" s="106">
        <v>2.09915298307062E-2</v>
      </c>
      <c r="I207" s="106">
        <v>-1.10489513666999</v>
      </c>
      <c r="J207" s="106">
        <v>-3.15</v>
      </c>
      <c r="K207" s="106">
        <v>0.96733009898840505</v>
      </c>
      <c r="L207" s="106">
        <v>0.71684850241716802</v>
      </c>
      <c r="M207" s="106">
        <v>0.95144755158183003</v>
      </c>
      <c r="N207" s="106">
        <v>5.9279151375691001E-2</v>
      </c>
      <c r="P207" s="106">
        <v>0.78064993720478215</v>
      </c>
      <c r="Q207" s="106">
        <v>0.73866687754336979</v>
      </c>
      <c r="R207" s="106">
        <v>0.80164146703548833</v>
      </c>
      <c r="S207" s="106">
        <v>0.71767534771266361</v>
      </c>
      <c r="AA207" s="106">
        <v>925</v>
      </c>
      <c r="AB207" s="106">
        <v>948.30911901081924</v>
      </c>
    </row>
    <row r="208" spans="1:28" x14ac:dyDescent="0.2">
      <c r="A208" s="14">
        <v>43634</v>
      </c>
      <c r="B208" s="106">
        <v>897</v>
      </c>
      <c r="C208" s="106">
        <v>890</v>
      </c>
      <c r="D208" s="106">
        <v>1213</v>
      </c>
      <c r="E208" s="106">
        <v>1217</v>
      </c>
      <c r="F208" s="106">
        <v>0.73130649137222603</v>
      </c>
      <c r="G208" s="106">
        <v>0.759898526099826</v>
      </c>
      <c r="H208" s="106">
        <v>2.08272077982634E-2</v>
      </c>
      <c r="I208" s="106">
        <v>-1.37282131164907</v>
      </c>
      <c r="J208" s="106">
        <v>-3.91</v>
      </c>
      <c r="K208" s="106">
        <v>0.96645306268002396</v>
      </c>
      <c r="L208" s="106">
        <v>0.64690266364119997</v>
      </c>
      <c r="M208" s="106">
        <v>0.95092353526358397</v>
      </c>
      <c r="N208" s="106">
        <v>6.5773762692666202E-2</v>
      </c>
      <c r="P208" s="106">
        <v>0.78072573389808941</v>
      </c>
      <c r="Q208" s="106">
        <v>0.73907131830156259</v>
      </c>
      <c r="R208" s="106">
        <v>0.80155294169635283</v>
      </c>
      <c r="S208" s="106">
        <v>0.71824411050329917</v>
      </c>
      <c r="AA208" s="106">
        <v>890</v>
      </c>
      <c r="AB208" s="106">
        <v>918.86321483771258</v>
      </c>
    </row>
    <row r="209" spans="1:28" x14ac:dyDescent="0.2">
      <c r="A209" s="14">
        <v>43633</v>
      </c>
      <c r="B209" s="106">
        <v>902</v>
      </c>
      <c r="C209" s="106">
        <v>897</v>
      </c>
      <c r="D209" s="106">
        <v>1215</v>
      </c>
      <c r="E209" s="106">
        <v>1217</v>
      </c>
      <c r="F209" s="106">
        <v>0.73705834018077199</v>
      </c>
      <c r="G209" s="106">
        <v>0.76022205996516301</v>
      </c>
      <c r="H209" s="106">
        <v>2.05673889843845E-2</v>
      </c>
      <c r="I209" s="106">
        <v>-1.1262353136792</v>
      </c>
      <c r="J209" s="106">
        <v>-3.14</v>
      </c>
      <c r="K209" s="106">
        <v>0.96537269257287095</v>
      </c>
      <c r="L209" s="106">
        <v>0.69254104247588999</v>
      </c>
      <c r="M209" s="106">
        <v>0.95028248482586597</v>
      </c>
      <c r="N209" s="106">
        <v>0.11763152742774299</v>
      </c>
      <c r="P209" s="106">
        <v>0.78078944894954749</v>
      </c>
      <c r="Q209" s="106">
        <v>0.73965467098077853</v>
      </c>
      <c r="R209" s="106">
        <v>0.80135683793393198</v>
      </c>
      <c r="S209" s="106">
        <v>0.71908728199639405</v>
      </c>
      <c r="AA209" s="106">
        <v>897</v>
      </c>
      <c r="AB209" s="106">
        <v>918.86321483771258</v>
      </c>
    </row>
    <row r="210" spans="1:28" x14ac:dyDescent="0.2">
      <c r="A210" s="14">
        <v>43630</v>
      </c>
      <c r="B210" s="106">
        <v>908</v>
      </c>
      <c r="C210" s="106">
        <v>913</v>
      </c>
      <c r="D210" s="106">
        <v>1226</v>
      </c>
      <c r="E210" s="106">
        <v>1225</v>
      </c>
      <c r="F210" s="106">
        <v>0.74530612244897898</v>
      </c>
      <c r="G210" s="106">
        <v>0.760394615429419</v>
      </c>
      <c r="H210" s="106">
        <v>2.0426130703647599E-2</v>
      </c>
      <c r="I210" s="106">
        <v>-0.73868581374275999</v>
      </c>
      <c r="J210" s="106">
        <v>-2.02</v>
      </c>
      <c r="K210" s="106">
        <v>0.96409071444936201</v>
      </c>
      <c r="L210" s="106">
        <v>0.65123410283274397</v>
      </c>
      <c r="M210" s="106">
        <v>0.949698744832571</v>
      </c>
      <c r="N210" s="106">
        <v>7.3926223025729501E-2</v>
      </c>
      <c r="P210" s="106">
        <v>0.78082074613306662</v>
      </c>
      <c r="Q210" s="106">
        <v>0.73996848472577137</v>
      </c>
      <c r="R210" s="106">
        <v>0.80124687683671425</v>
      </c>
      <c r="S210" s="106">
        <v>0.71954235402212374</v>
      </c>
      <c r="AA210" s="106">
        <v>913</v>
      </c>
      <c r="AB210" s="106">
        <v>924.90340030911909</v>
      </c>
    </row>
    <row r="211" spans="1:28" x14ac:dyDescent="0.2">
      <c r="A211" s="14">
        <v>43629</v>
      </c>
      <c r="B211" s="106">
        <v>918</v>
      </c>
      <c r="C211" s="106">
        <v>908</v>
      </c>
      <c r="D211" s="106">
        <v>1231</v>
      </c>
      <c r="E211" s="106">
        <v>1234</v>
      </c>
      <c r="F211" s="106">
        <v>0.73581847649918897</v>
      </c>
      <c r="G211" s="106">
        <v>0.76023250738953896</v>
      </c>
      <c r="H211" s="106">
        <v>2.0592799586118701E-2</v>
      </c>
      <c r="I211" s="106">
        <v>-1.18556152543759</v>
      </c>
      <c r="J211" s="106">
        <v>-3.32</v>
      </c>
      <c r="K211" s="106">
        <v>0.96373754464495698</v>
      </c>
      <c r="L211" s="106">
        <v>0.66730489350310496</v>
      </c>
      <c r="M211" s="106">
        <v>0.94929348763779897</v>
      </c>
      <c r="N211" s="106">
        <v>0.120117026617805</v>
      </c>
      <c r="P211" s="106">
        <v>0.78082530697565766</v>
      </c>
      <c r="Q211" s="106">
        <v>0.73963970780342025</v>
      </c>
      <c r="R211" s="106">
        <v>0.80141810656177637</v>
      </c>
      <c r="S211" s="106">
        <v>0.71904690821730155</v>
      </c>
      <c r="AA211" s="106">
        <v>908</v>
      </c>
      <c r="AB211" s="106">
        <v>931.69860896445141</v>
      </c>
    </row>
    <row r="212" spans="1:28" x14ac:dyDescent="0.2">
      <c r="A212" s="14">
        <v>43628</v>
      </c>
      <c r="B212" s="106">
        <v>921</v>
      </c>
      <c r="C212" s="106">
        <v>925</v>
      </c>
      <c r="D212" s="106">
        <v>1233</v>
      </c>
      <c r="E212" s="106">
        <v>1242</v>
      </c>
      <c r="F212" s="106">
        <v>0.74476650563607005</v>
      </c>
      <c r="G212" s="106">
        <v>0.76027339394612004</v>
      </c>
      <c r="H212" s="106">
        <v>2.0547279383436201E-2</v>
      </c>
      <c r="I212" s="106">
        <v>-0.75469301899646402</v>
      </c>
      <c r="J212" s="106">
        <v>-2.08</v>
      </c>
      <c r="K212" s="106">
        <v>0.96293003825904999</v>
      </c>
      <c r="L212" s="106">
        <v>0.67231283695396404</v>
      </c>
      <c r="M212" s="106">
        <v>0.94905908451588805</v>
      </c>
      <c r="N212" s="106">
        <v>6.4607686451906399E-2</v>
      </c>
      <c r="P212" s="106">
        <v>0.78082067332955618</v>
      </c>
      <c r="Q212" s="106">
        <v>0.73972611456268389</v>
      </c>
      <c r="R212" s="106">
        <v>0.80136795271299244</v>
      </c>
      <c r="S212" s="106">
        <v>0.71917883517924763</v>
      </c>
      <c r="AA212" s="106">
        <v>925</v>
      </c>
      <c r="AB212" s="106">
        <v>937.73879443585781</v>
      </c>
    </row>
    <row r="213" spans="1:28" x14ac:dyDescent="0.2">
      <c r="A213" s="14">
        <v>43627</v>
      </c>
      <c r="B213" s="106">
        <v>915</v>
      </c>
      <c r="C213" s="106">
        <v>930</v>
      </c>
      <c r="D213" s="106">
        <v>1235</v>
      </c>
      <c r="E213" s="106">
        <v>1252</v>
      </c>
      <c r="F213" s="106">
        <v>0.74281150159744402</v>
      </c>
      <c r="G213" s="106">
        <v>0.76029835197901596</v>
      </c>
      <c r="H213" s="106">
        <v>2.0529557765716602E-2</v>
      </c>
      <c r="I213" s="106">
        <v>-0.85178894650984005</v>
      </c>
      <c r="J213" s="106">
        <v>-2.35</v>
      </c>
      <c r="K213" s="106">
        <v>0.96178310577714499</v>
      </c>
      <c r="L213" s="106">
        <v>0.72512066553093901</v>
      </c>
      <c r="M213" s="106">
        <v>0.94888865437904102</v>
      </c>
      <c r="N213" s="106">
        <v>6.5779921070428293E-2</v>
      </c>
      <c r="P213" s="106">
        <v>0.7808279097447326</v>
      </c>
      <c r="Q213" s="106">
        <v>0.73976879421329933</v>
      </c>
      <c r="R213" s="106">
        <v>0.80135746751044912</v>
      </c>
      <c r="S213" s="106">
        <v>0.71923923644758281</v>
      </c>
      <c r="AA213" s="106">
        <v>930</v>
      </c>
      <c r="AB213" s="106">
        <v>945.28902627511593</v>
      </c>
    </row>
    <row r="214" spans="1:28" x14ac:dyDescent="0.2">
      <c r="A214" s="14">
        <v>43626</v>
      </c>
      <c r="B214" s="106">
        <v>915</v>
      </c>
      <c r="C214" s="106">
        <v>916</v>
      </c>
      <c r="D214" s="106">
        <v>1238</v>
      </c>
      <c r="E214" s="106">
        <v>1233</v>
      </c>
      <c r="F214" s="106">
        <v>0.742903487429034</v>
      </c>
      <c r="G214" s="106">
        <v>0.760486119282342</v>
      </c>
      <c r="H214" s="106">
        <v>2.0432934444933399E-2</v>
      </c>
      <c r="I214" s="106">
        <v>-0.86050449095762005</v>
      </c>
      <c r="J214" s="106">
        <v>-2.37</v>
      </c>
      <c r="K214" s="106">
        <v>0.96072113113534297</v>
      </c>
      <c r="L214" s="106">
        <v>0.71345106733364205</v>
      </c>
      <c r="M214" s="106">
        <v>0.94861384636716795</v>
      </c>
      <c r="N214" s="106">
        <v>6.9503814517121495E-2</v>
      </c>
      <c r="P214" s="106">
        <v>0.78091905372727544</v>
      </c>
      <c r="Q214" s="106">
        <v>0.74005318483740856</v>
      </c>
      <c r="R214" s="106">
        <v>0.80135198817220876</v>
      </c>
      <c r="S214" s="106">
        <v>0.71962025039247524</v>
      </c>
      <c r="AA214" s="106">
        <v>916</v>
      </c>
      <c r="AB214" s="106">
        <v>930.9435857805255</v>
      </c>
    </row>
    <row r="215" spans="1:28" x14ac:dyDescent="0.2">
      <c r="A215" s="14">
        <v>43623</v>
      </c>
      <c r="B215" s="106">
        <v>888</v>
      </c>
      <c r="C215" s="106">
        <v>900</v>
      </c>
      <c r="D215" s="106">
        <v>1198</v>
      </c>
      <c r="E215" s="106">
        <v>1212</v>
      </c>
      <c r="F215" s="106">
        <v>0.74257425742574201</v>
      </c>
      <c r="G215" s="106">
        <v>0.760743574698997</v>
      </c>
      <c r="H215" s="106">
        <v>2.0331165386848499E-2</v>
      </c>
      <c r="I215" s="106">
        <v>-0.893668263847199</v>
      </c>
      <c r="J215" s="106">
        <v>-2.4500000000000002</v>
      </c>
      <c r="K215" s="106">
        <v>0.95954027925541197</v>
      </c>
      <c r="L215" s="106">
        <v>0.70664293978283199</v>
      </c>
      <c r="M215" s="106">
        <v>0.94814579862799697</v>
      </c>
      <c r="N215" s="106">
        <v>8.1548634146666105E-2</v>
      </c>
      <c r="P215" s="106">
        <v>0.78107474008584554</v>
      </c>
      <c r="Q215" s="106">
        <v>0.74041240931214847</v>
      </c>
      <c r="R215" s="106">
        <v>0.80140590547269397</v>
      </c>
      <c r="S215" s="106">
        <v>0.72008124392530004</v>
      </c>
      <c r="AA215" s="106">
        <v>900</v>
      </c>
      <c r="AB215" s="106">
        <v>915.08809891808346</v>
      </c>
    </row>
    <row r="216" spans="1:28" x14ac:dyDescent="0.2">
      <c r="A216" s="14">
        <v>43622</v>
      </c>
      <c r="B216" s="106">
        <v>907</v>
      </c>
      <c r="C216" s="106">
        <v>893</v>
      </c>
      <c r="D216" s="106">
        <v>1215</v>
      </c>
      <c r="E216" s="106">
        <v>1202</v>
      </c>
      <c r="F216" s="106">
        <v>0.74292845257903495</v>
      </c>
      <c r="G216" s="106">
        <v>0.76107671445757896</v>
      </c>
      <c r="H216" s="106">
        <v>2.02351950164734E-2</v>
      </c>
      <c r="I216" s="106">
        <v>-0.89686617123133805</v>
      </c>
      <c r="J216" s="106">
        <v>-2.44</v>
      </c>
      <c r="K216" s="106">
        <v>0.95753343859486395</v>
      </c>
      <c r="L216" s="106">
        <v>0.75066355452389399</v>
      </c>
      <c r="M216" s="106">
        <v>0.94790640568235396</v>
      </c>
      <c r="N216" s="106">
        <v>0.11564440135468999</v>
      </c>
      <c r="P216" s="106">
        <v>0.78131190947405238</v>
      </c>
      <c r="Q216" s="106">
        <v>0.74084151944110554</v>
      </c>
      <c r="R216" s="106">
        <v>0.8015471044905258</v>
      </c>
      <c r="S216" s="106">
        <v>0.72060632442463213</v>
      </c>
      <c r="AA216" s="106">
        <v>893</v>
      </c>
      <c r="AB216" s="106">
        <v>907.53786707882534</v>
      </c>
    </row>
    <row r="217" spans="1:28" x14ac:dyDescent="0.2">
      <c r="A217" s="14">
        <v>43621</v>
      </c>
      <c r="B217" s="106">
        <v>912</v>
      </c>
      <c r="C217" s="106">
        <v>912</v>
      </c>
      <c r="D217" s="106">
        <v>1216</v>
      </c>
      <c r="E217" s="106">
        <v>1222</v>
      </c>
      <c r="F217" s="106">
        <v>0.74631751227495902</v>
      </c>
      <c r="G217" s="106">
        <v>0.76132879268354603</v>
      </c>
      <c r="H217" s="106">
        <v>2.01250035529375E-2</v>
      </c>
      <c r="I217" s="106">
        <v>-0.74590200041959798</v>
      </c>
      <c r="J217" s="106">
        <v>-2.0099999999999998</v>
      </c>
      <c r="K217" s="106">
        <v>0.95599137838876402</v>
      </c>
      <c r="L217" s="106">
        <v>0.758496961265542</v>
      </c>
      <c r="M217" s="106">
        <v>0.94786452234994201</v>
      </c>
      <c r="N217" s="106">
        <v>7.6533899333824901E-2</v>
      </c>
      <c r="P217" s="106">
        <v>0.78145379623648348</v>
      </c>
      <c r="Q217" s="106">
        <v>0.74120378913060858</v>
      </c>
      <c r="R217" s="106">
        <v>0.80157879978942104</v>
      </c>
      <c r="S217" s="106">
        <v>0.72107878557767102</v>
      </c>
      <c r="AA217" s="106">
        <v>912</v>
      </c>
      <c r="AB217" s="106">
        <v>922.63833075734158</v>
      </c>
    </row>
    <row r="218" spans="1:28" x14ac:dyDescent="0.2">
      <c r="A218" s="14">
        <v>43620</v>
      </c>
      <c r="B218" s="106">
        <v>865</v>
      </c>
      <c r="C218" s="106">
        <v>887</v>
      </c>
      <c r="D218" s="106">
        <v>1143</v>
      </c>
      <c r="E218" s="106">
        <v>1175</v>
      </c>
      <c r="F218" s="106">
        <v>0.754893617021276</v>
      </c>
      <c r="G218" s="106">
        <v>0.76183722020784495</v>
      </c>
      <c r="H218" s="106">
        <v>2.0220790396242E-2</v>
      </c>
      <c r="I218" s="106">
        <v>-0.34338930627853798</v>
      </c>
      <c r="J218" s="106">
        <v>-0.92</v>
      </c>
      <c r="K218" s="106">
        <v>0.95299171799257598</v>
      </c>
      <c r="L218" s="106">
        <v>0.79836513311443003</v>
      </c>
      <c r="M218" s="106">
        <v>0.94750836103869696</v>
      </c>
      <c r="N218" s="106">
        <v>7.17646552922412E-2</v>
      </c>
      <c r="P218" s="106">
        <v>0.78205801060408697</v>
      </c>
      <c r="Q218" s="106">
        <v>0.74161642981160292</v>
      </c>
      <c r="R218" s="106">
        <v>0.802278801000329</v>
      </c>
      <c r="S218" s="106">
        <v>0.72139563941536089</v>
      </c>
      <c r="AA218" s="106">
        <v>887</v>
      </c>
      <c r="AB218" s="106">
        <v>887.15224111282851</v>
      </c>
    </row>
    <row r="219" spans="1:28" x14ac:dyDescent="0.2">
      <c r="A219" s="14">
        <v>43619</v>
      </c>
      <c r="B219" s="106">
        <v>862</v>
      </c>
      <c r="C219" s="106">
        <v>869</v>
      </c>
      <c r="D219" s="106">
        <v>1136</v>
      </c>
      <c r="E219" s="106">
        <v>1137</v>
      </c>
      <c r="F219" s="106">
        <v>0.76429199648196999</v>
      </c>
      <c r="G219" s="106">
        <v>0.76220207950777696</v>
      </c>
      <c r="H219" s="106">
        <v>2.03387447670863E-2</v>
      </c>
      <c r="I219" s="106">
        <v>0.102755455074831</v>
      </c>
      <c r="J219" s="106">
        <v>0.27</v>
      </c>
      <c r="K219" s="106">
        <v>0.94889538353888003</v>
      </c>
      <c r="L219" s="106">
        <v>0.82233513674802505</v>
      </c>
      <c r="M219" s="106">
        <v>0.94697589355516398</v>
      </c>
      <c r="N219" s="106">
        <v>0.114762525542636</v>
      </c>
      <c r="P219" s="106">
        <v>0.78254082427486327</v>
      </c>
      <c r="Q219" s="106">
        <v>0.74186333474069066</v>
      </c>
      <c r="R219" s="106">
        <v>0.80287956904194957</v>
      </c>
      <c r="S219" s="106">
        <v>0.72152458997360436</v>
      </c>
      <c r="AA219" s="106">
        <v>869</v>
      </c>
      <c r="AB219" s="106">
        <v>858.46136012364764</v>
      </c>
    </row>
    <row r="220" spans="1:28" x14ac:dyDescent="0.2">
      <c r="A220" s="14">
        <v>43616</v>
      </c>
      <c r="B220" s="106">
        <v>883</v>
      </c>
      <c r="C220" s="106">
        <v>873</v>
      </c>
      <c r="D220" s="106">
        <v>1156</v>
      </c>
      <c r="E220" s="106">
        <v>1152</v>
      </c>
      <c r="F220" s="106">
        <v>0.7578125</v>
      </c>
      <c r="G220" s="106">
        <v>0.76237441308989196</v>
      </c>
      <c r="H220" s="106">
        <v>2.0410354733773499E-2</v>
      </c>
      <c r="I220" s="106">
        <v>-0.223509740491842</v>
      </c>
      <c r="J220" s="106">
        <v>-0.6</v>
      </c>
      <c r="K220" s="106">
        <v>0.94398820739190303</v>
      </c>
      <c r="L220" s="106">
        <v>0.84616912413899503</v>
      </c>
      <c r="M220" s="106">
        <v>0.94621570691765799</v>
      </c>
      <c r="N220" s="106">
        <v>0.115458419305504</v>
      </c>
      <c r="P220" s="106">
        <v>0.78278476782366546</v>
      </c>
      <c r="Q220" s="106">
        <v>0.74196405835611845</v>
      </c>
      <c r="R220" s="106">
        <v>0.80319512255743897</v>
      </c>
      <c r="S220" s="106">
        <v>0.72155370362234494</v>
      </c>
      <c r="AA220" s="106">
        <v>873</v>
      </c>
      <c r="AB220" s="106">
        <v>869.78670788253476</v>
      </c>
    </row>
    <row r="221" spans="1:28" x14ac:dyDescent="0.2">
      <c r="A221" s="14">
        <v>43615</v>
      </c>
      <c r="B221" s="106">
        <v>883</v>
      </c>
      <c r="C221" s="106">
        <v>893</v>
      </c>
      <c r="D221" s="106">
        <v>1168</v>
      </c>
      <c r="E221" s="106">
        <v>1174</v>
      </c>
      <c r="F221" s="106">
        <v>0.76064735945485495</v>
      </c>
      <c r="G221" s="106">
        <v>0.76257415380383298</v>
      </c>
      <c r="H221" s="106">
        <v>2.04380163154614E-2</v>
      </c>
      <c r="I221" s="106">
        <v>-9.4275017655235993E-2</v>
      </c>
      <c r="J221" s="106">
        <v>-0.25</v>
      </c>
      <c r="K221" s="106">
        <v>0.94137016163477705</v>
      </c>
      <c r="L221" s="106">
        <v>0.84795200580555996</v>
      </c>
      <c r="M221" s="106">
        <v>0.94559844525209902</v>
      </c>
      <c r="N221" s="106">
        <v>0.115176922898512</v>
      </c>
      <c r="P221" s="106">
        <v>0.78301217011929436</v>
      </c>
      <c r="Q221" s="106">
        <v>0.74213613748837159</v>
      </c>
      <c r="R221" s="106">
        <v>0.80345018643475574</v>
      </c>
      <c r="S221" s="106">
        <v>0.72169812117291021</v>
      </c>
      <c r="AA221" s="106">
        <v>893</v>
      </c>
      <c r="AB221" s="106">
        <v>886.39721792890271</v>
      </c>
    </row>
    <row r="222" spans="1:28" x14ac:dyDescent="0.2">
      <c r="A222" s="14">
        <v>43614</v>
      </c>
      <c r="B222" s="106">
        <v>894</v>
      </c>
      <c r="C222" s="106">
        <v>894</v>
      </c>
      <c r="D222" s="106">
        <v>1173</v>
      </c>
      <c r="E222" s="106">
        <v>1172</v>
      </c>
      <c r="F222" s="106">
        <v>0.76279863481228605</v>
      </c>
      <c r="G222" s="106">
        <v>0.76283490613870897</v>
      </c>
      <c r="H222" s="106">
        <v>2.0536286674836E-2</v>
      </c>
      <c r="I222" s="106">
        <v>-1.7662066661538901E-3</v>
      </c>
      <c r="J222" s="106">
        <v>0</v>
      </c>
      <c r="K222" s="106">
        <v>0.93845918204511902</v>
      </c>
      <c r="L222" s="106">
        <v>0.85096575087565496</v>
      </c>
      <c r="M222" s="106">
        <v>0.94496195723528997</v>
      </c>
      <c r="N222" s="106">
        <v>0.11515297731542901</v>
      </c>
      <c r="P222" s="106">
        <v>0.78337119281354495</v>
      </c>
      <c r="Q222" s="106">
        <v>0.74229861946387299</v>
      </c>
      <c r="R222" s="106">
        <v>0.80390747948838093</v>
      </c>
      <c r="S222" s="106">
        <v>0.72176233278903701</v>
      </c>
      <c r="AA222" s="106">
        <v>894</v>
      </c>
      <c r="AB222" s="106">
        <v>884.88717156105099</v>
      </c>
    </row>
    <row r="223" spans="1:28" x14ac:dyDescent="0.2">
      <c r="A223" s="14">
        <v>43613</v>
      </c>
      <c r="B223" s="106">
        <v>907</v>
      </c>
      <c r="C223" s="106">
        <v>903</v>
      </c>
      <c r="D223" s="106">
        <v>1172</v>
      </c>
      <c r="E223" s="106">
        <v>1186</v>
      </c>
      <c r="F223" s="106">
        <v>0.76138279932546304</v>
      </c>
      <c r="G223" s="106">
        <v>0.76307935201416799</v>
      </c>
      <c r="H223" s="106">
        <v>2.0643234189557099E-2</v>
      </c>
      <c r="I223" s="106">
        <v>-8.2184442279068196E-2</v>
      </c>
      <c r="J223" s="106">
        <v>-0.22</v>
      </c>
      <c r="K223" s="106">
        <v>0.93552688059503997</v>
      </c>
      <c r="L223" s="106">
        <v>0.84427457588855304</v>
      </c>
      <c r="M223" s="106">
        <v>0.94445078710438601</v>
      </c>
      <c r="N223" s="106">
        <v>7.4442280534224498E-2</v>
      </c>
      <c r="P223" s="106">
        <v>0.78372258620372504</v>
      </c>
      <c r="Q223" s="106">
        <v>0.74243611782461094</v>
      </c>
      <c r="R223" s="106">
        <v>0.80436582039328219</v>
      </c>
      <c r="S223" s="106">
        <v>0.72179288363505378</v>
      </c>
      <c r="AA223" s="106">
        <v>903</v>
      </c>
      <c r="AB223" s="106">
        <v>895.45749613601242</v>
      </c>
    </row>
    <row r="224" spans="1:28" x14ac:dyDescent="0.2">
      <c r="A224" s="14">
        <v>43612</v>
      </c>
      <c r="B224" s="106">
        <v>921</v>
      </c>
      <c r="C224" s="106">
        <v>911</v>
      </c>
      <c r="D224" s="106">
        <v>1183</v>
      </c>
      <c r="E224" s="106">
        <v>1179</v>
      </c>
      <c r="F224" s="106">
        <v>0.77268871925360405</v>
      </c>
      <c r="G224" s="106">
        <v>0.76294887305273396</v>
      </c>
      <c r="H224" s="106">
        <v>2.06844308325E-2</v>
      </c>
      <c r="I224" s="106">
        <v>0.47087813436794501</v>
      </c>
      <c r="J224" s="106">
        <v>1.26</v>
      </c>
      <c r="K224" s="106">
        <v>0.93157322374644003</v>
      </c>
      <c r="L224" s="106">
        <v>0.78690367636221004</v>
      </c>
      <c r="M224" s="106">
        <v>0.94415863958770896</v>
      </c>
      <c r="N224" s="106">
        <v>0.120963085052054</v>
      </c>
      <c r="P224" s="106">
        <v>0.783633303885234</v>
      </c>
      <c r="Q224" s="106">
        <v>0.74226444222023391</v>
      </c>
      <c r="R224" s="106">
        <v>0.80431773471773393</v>
      </c>
      <c r="S224" s="106">
        <v>0.72158001138773398</v>
      </c>
      <c r="AA224" s="106">
        <v>911</v>
      </c>
      <c r="AB224" s="106">
        <v>890.17233384853171</v>
      </c>
    </row>
    <row r="225" spans="1:28" x14ac:dyDescent="0.2">
      <c r="A225" s="14">
        <v>43609</v>
      </c>
      <c r="B225" s="106">
        <v>902</v>
      </c>
      <c r="C225" s="106">
        <v>914</v>
      </c>
      <c r="D225" s="106">
        <v>1146</v>
      </c>
      <c r="E225" s="106">
        <v>1176</v>
      </c>
      <c r="F225" s="106">
        <v>0.77721088435374097</v>
      </c>
      <c r="G225" s="106">
        <v>0.762646356796019</v>
      </c>
      <c r="H225" s="106">
        <v>2.0705674236059599E-2</v>
      </c>
      <c r="I225" s="106">
        <v>0.70340754865916599</v>
      </c>
      <c r="J225" s="106">
        <v>1.87</v>
      </c>
      <c r="K225" s="106">
        <v>0.92660956020434404</v>
      </c>
      <c r="L225" s="106">
        <v>0.75224498427448605</v>
      </c>
      <c r="M225" s="106">
        <v>0.94395697792004896</v>
      </c>
      <c r="N225" s="106">
        <v>0.107211041991016</v>
      </c>
      <c r="P225" s="106">
        <v>0.78335203103207862</v>
      </c>
      <c r="Q225" s="106">
        <v>0.74194068255995937</v>
      </c>
      <c r="R225" s="106">
        <v>0.80405770526813825</v>
      </c>
      <c r="S225" s="106">
        <v>0.72123500832389975</v>
      </c>
      <c r="AA225" s="106">
        <v>914</v>
      </c>
      <c r="AB225" s="106">
        <v>887.90726429675431</v>
      </c>
    </row>
    <row r="226" spans="1:28" x14ac:dyDescent="0.2">
      <c r="A226" s="14">
        <v>43608</v>
      </c>
      <c r="B226" s="106">
        <v>908</v>
      </c>
      <c r="C226" s="106">
        <v>908</v>
      </c>
      <c r="D226" s="106">
        <v>1197</v>
      </c>
      <c r="E226" s="106">
        <v>1185</v>
      </c>
      <c r="F226" s="106">
        <v>0.76624472573839597</v>
      </c>
      <c r="G226" s="106">
        <v>0.76212998960657297</v>
      </c>
      <c r="H226" s="106">
        <v>2.0818613132231802E-2</v>
      </c>
      <c r="I226" s="106">
        <v>0.197646985689578</v>
      </c>
      <c r="J226" s="106">
        <v>0.54</v>
      </c>
      <c r="K226" s="106">
        <v>0.92275590989917999</v>
      </c>
      <c r="L226" s="106">
        <v>0.76842641582767202</v>
      </c>
      <c r="M226" s="106">
        <v>0.94390276278840601</v>
      </c>
      <c r="N226" s="106">
        <v>0.111526359102466</v>
      </c>
      <c r="P226" s="106">
        <v>0.78294860273880473</v>
      </c>
      <c r="Q226" s="106">
        <v>0.7413113764743412</v>
      </c>
      <c r="R226" s="106">
        <v>0.80376721587103661</v>
      </c>
      <c r="S226" s="106">
        <v>0.72049276334210932</v>
      </c>
      <c r="AA226" s="106">
        <v>908</v>
      </c>
      <c r="AB226" s="106">
        <v>894.70247295208662</v>
      </c>
    </row>
    <row r="227" spans="1:28" x14ac:dyDescent="0.2">
      <c r="A227" s="14">
        <v>43607</v>
      </c>
      <c r="B227" s="106">
        <v>935</v>
      </c>
      <c r="C227" s="106">
        <v>922</v>
      </c>
      <c r="D227" s="106">
        <v>1207</v>
      </c>
      <c r="E227" s="106">
        <v>1214</v>
      </c>
      <c r="F227" s="106">
        <v>0.75947281713344295</v>
      </c>
      <c r="G227" s="106">
        <v>0.76187820677500595</v>
      </c>
      <c r="H227" s="106">
        <v>2.08814226741574E-2</v>
      </c>
      <c r="I227" s="106">
        <v>-0.115192804585106</v>
      </c>
      <c r="J227" s="106">
        <v>-0.32</v>
      </c>
      <c r="K227" s="106">
        <v>0.91894034399381397</v>
      </c>
      <c r="L227" s="106">
        <v>0.75439376855487295</v>
      </c>
      <c r="M227" s="106">
        <v>0.94450017624350002</v>
      </c>
      <c r="N227" s="106">
        <v>0.106829417182254</v>
      </c>
      <c r="P227" s="106">
        <v>0.78275962944916333</v>
      </c>
      <c r="Q227" s="106">
        <v>0.74099678410084857</v>
      </c>
      <c r="R227" s="106">
        <v>0.80364105212332071</v>
      </c>
      <c r="S227" s="106">
        <v>0.72011536142669119</v>
      </c>
      <c r="AA227" s="106">
        <v>922</v>
      </c>
      <c r="AB227" s="106">
        <v>916.59814528593517</v>
      </c>
    </row>
    <row r="228" spans="1:28" x14ac:dyDescent="0.2">
      <c r="A228" s="14">
        <v>43606</v>
      </c>
      <c r="B228" s="106">
        <v>928</v>
      </c>
      <c r="C228" s="106">
        <v>927</v>
      </c>
      <c r="D228" s="106">
        <v>1191</v>
      </c>
      <c r="E228" s="106">
        <v>1204</v>
      </c>
      <c r="F228" s="106">
        <v>0.76993355481727499</v>
      </c>
      <c r="G228" s="106">
        <v>0.76177319424279899</v>
      </c>
      <c r="H228" s="106">
        <v>2.0913035403148799E-2</v>
      </c>
      <c r="I228" s="106">
        <v>0.39020450246299898</v>
      </c>
      <c r="J228" s="106">
        <v>1.06</v>
      </c>
      <c r="K228" s="106">
        <v>0.91535482635478005</v>
      </c>
      <c r="L228" s="106">
        <v>0.752891765028185</v>
      </c>
      <c r="M228" s="106">
        <v>0.94557669876247596</v>
      </c>
      <c r="N228" s="106">
        <v>0.11404974167366499</v>
      </c>
      <c r="P228" s="106">
        <v>0.78268622964594781</v>
      </c>
      <c r="Q228" s="106">
        <v>0.74086015883965017</v>
      </c>
      <c r="R228" s="106">
        <v>0.80359926504909662</v>
      </c>
      <c r="S228" s="106">
        <v>0.71994712343650136</v>
      </c>
      <c r="AA228" s="106">
        <v>927</v>
      </c>
      <c r="AB228" s="106">
        <v>909.04791344667706</v>
      </c>
    </row>
    <row r="229" spans="1:28" x14ac:dyDescent="0.2">
      <c r="A229" s="14">
        <v>43605</v>
      </c>
      <c r="B229" s="106">
        <v>910</v>
      </c>
      <c r="C229" s="106">
        <v>922</v>
      </c>
      <c r="D229" s="106">
        <v>1205</v>
      </c>
      <c r="E229" s="106">
        <v>1204</v>
      </c>
      <c r="F229" s="106">
        <v>0.76578073089700904</v>
      </c>
      <c r="G229" s="106">
        <v>0.76163571174477496</v>
      </c>
      <c r="H229" s="106">
        <v>2.08928203605377E-2</v>
      </c>
      <c r="I229" s="106">
        <v>0.19839442835892701</v>
      </c>
      <c r="J229" s="106">
        <v>0.54</v>
      </c>
      <c r="K229" s="106">
        <v>0.91008024037086799</v>
      </c>
      <c r="L229" s="106">
        <v>0.79632787381808501</v>
      </c>
      <c r="M229" s="106">
        <v>0.94652957303283802</v>
      </c>
      <c r="N229" s="106">
        <v>0.103972304930824</v>
      </c>
      <c r="P229" s="106">
        <v>0.7825285321053127</v>
      </c>
      <c r="Q229" s="106">
        <v>0.74074289138423721</v>
      </c>
      <c r="R229" s="106">
        <v>0.80342135246585034</v>
      </c>
      <c r="S229" s="106">
        <v>0.71985007102369958</v>
      </c>
      <c r="AA229" s="106">
        <v>922</v>
      </c>
      <c r="AB229" s="106">
        <v>909.04791344667706</v>
      </c>
    </row>
    <row r="230" spans="1:28" x14ac:dyDescent="0.2">
      <c r="A230" s="14">
        <v>43602</v>
      </c>
      <c r="B230" s="106">
        <v>936</v>
      </c>
      <c r="C230" s="106">
        <v>910</v>
      </c>
      <c r="D230" s="106">
        <v>1219</v>
      </c>
      <c r="E230" s="106">
        <v>1213</v>
      </c>
      <c r="F230" s="106">
        <v>0.75020610057708104</v>
      </c>
      <c r="G230" s="106">
        <v>0.76154226106380896</v>
      </c>
      <c r="H230" s="106">
        <v>2.0889745740341401E-2</v>
      </c>
      <c r="I230" s="106">
        <v>-0.54266627404831103</v>
      </c>
      <c r="J230" s="106">
        <v>-1.51</v>
      </c>
      <c r="K230" s="106">
        <v>0.89513982289502902</v>
      </c>
      <c r="L230" s="106">
        <v>0.78889814385669799</v>
      </c>
      <c r="M230" s="106">
        <v>0.94729774879755702</v>
      </c>
      <c r="N230" s="106">
        <v>0.103837888455659</v>
      </c>
      <c r="P230" s="106">
        <v>0.78243200680415037</v>
      </c>
      <c r="Q230" s="106">
        <v>0.74065251532346754</v>
      </c>
      <c r="R230" s="106">
        <v>0.80332175254449179</v>
      </c>
      <c r="S230" s="106">
        <v>0.71976276958312613</v>
      </c>
      <c r="AA230" s="106">
        <v>910</v>
      </c>
      <c r="AB230" s="106">
        <v>915.84312210200926</v>
      </c>
    </row>
    <row r="231" spans="1:28" x14ac:dyDescent="0.2">
      <c r="A231" s="14">
        <v>43601</v>
      </c>
      <c r="B231" s="106">
        <v>933</v>
      </c>
      <c r="C231" s="106">
        <v>920</v>
      </c>
      <c r="D231" s="106">
        <v>1230</v>
      </c>
      <c r="E231" s="106">
        <v>1216</v>
      </c>
      <c r="F231" s="106">
        <v>0.75657894736842102</v>
      </c>
      <c r="G231" s="106">
        <v>0.76153227192649797</v>
      </c>
      <c r="H231" s="106">
        <v>2.0895342494331601E-2</v>
      </c>
      <c r="I231" s="106">
        <v>-0.23705400183899</v>
      </c>
      <c r="J231" s="106">
        <v>-0.65</v>
      </c>
      <c r="K231" s="106">
        <v>0.88703697020152705</v>
      </c>
      <c r="L231" s="106">
        <v>0.790342479319737</v>
      </c>
      <c r="M231" s="106">
        <v>0.94792902376518395</v>
      </c>
      <c r="N231" s="106">
        <v>9.9921198635293806E-2</v>
      </c>
      <c r="P231" s="106">
        <v>0.78242761442082953</v>
      </c>
      <c r="Q231" s="106">
        <v>0.74063692943216641</v>
      </c>
      <c r="R231" s="106">
        <v>0.8033229569151612</v>
      </c>
      <c r="S231" s="106">
        <v>0.71974158693783474</v>
      </c>
      <c r="AA231" s="106">
        <v>920</v>
      </c>
      <c r="AB231" s="106">
        <v>918.10819165378678</v>
      </c>
    </row>
    <row r="232" spans="1:28" x14ac:dyDescent="0.2">
      <c r="A232" s="14">
        <v>43600</v>
      </c>
      <c r="B232" s="106">
        <v>952</v>
      </c>
      <c r="C232" s="106">
        <v>941</v>
      </c>
      <c r="D232" s="106">
        <v>1224</v>
      </c>
      <c r="E232" s="106">
        <v>1240</v>
      </c>
      <c r="F232" s="106">
        <v>0.75887096774193497</v>
      </c>
      <c r="G232" s="106">
        <v>0.76148771809587801</v>
      </c>
      <c r="H232" s="106">
        <v>2.0909414395555E-2</v>
      </c>
      <c r="I232" s="106">
        <v>-0.125146993810579</v>
      </c>
      <c r="J232" s="106">
        <v>-0.34</v>
      </c>
      <c r="K232" s="106">
        <v>0.88021143091312004</v>
      </c>
      <c r="L232" s="106">
        <v>0.75869642100944901</v>
      </c>
      <c r="M232" s="106">
        <v>0.948616193842864</v>
      </c>
      <c r="N232" s="106">
        <v>0.102552055166238</v>
      </c>
      <c r="P232" s="106">
        <v>0.78239713249143306</v>
      </c>
      <c r="Q232" s="106">
        <v>0.74057830370032296</v>
      </c>
      <c r="R232" s="106">
        <v>0.80330654688698799</v>
      </c>
      <c r="S232" s="106">
        <v>0.71966888930476802</v>
      </c>
      <c r="AA232" s="106">
        <v>941</v>
      </c>
      <c r="AB232" s="106">
        <v>936.22874806800621</v>
      </c>
    </row>
    <row r="233" spans="1:28" x14ac:dyDescent="0.2">
      <c r="A233" s="14">
        <v>43599</v>
      </c>
      <c r="B233" s="106">
        <v>937</v>
      </c>
      <c r="C233" s="106">
        <v>946</v>
      </c>
      <c r="D233" s="106">
        <v>1201</v>
      </c>
      <c r="E233" s="106">
        <v>1222</v>
      </c>
      <c r="F233" s="106">
        <v>0.77414075286415696</v>
      </c>
      <c r="G233" s="106">
        <v>0.76142519610174397</v>
      </c>
      <c r="H233" s="106">
        <v>2.0924150765255702E-2</v>
      </c>
      <c r="I233" s="106">
        <v>0.60769762677905004</v>
      </c>
      <c r="J233" s="106">
        <v>1.64</v>
      </c>
      <c r="K233" s="106">
        <v>0.87509411689668903</v>
      </c>
      <c r="L233" s="106">
        <v>0.66566648871362899</v>
      </c>
      <c r="M233" s="106">
        <v>0.94889063408077301</v>
      </c>
      <c r="N233" s="106">
        <v>0.145287678234791</v>
      </c>
      <c r="P233" s="106">
        <v>0.78234934686699964</v>
      </c>
      <c r="Q233" s="106">
        <v>0.74050104533648831</v>
      </c>
      <c r="R233" s="106">
        <v>0.80327349763225542</v>
      </c>
      <c r="S233" s="106">
        <v>0.71957689457123253</v>
      </c>
      <c r="AA233" s="106">
        <v>946</v>
      </c>
      <c r="AB233" s="106">
        <v>922.63833075734158</v>
      </c>
    </row>
    <row r="234" spans="1:28" x14ac:dyDescent="0.2">
      <c r="A234" s="14">
        <v>43598</v>
      </c>
      <c r="B234" s="106">
        <v>975</v>
      </c>
      <c r="C234" s="106">
        <v>960</v>
      </c>
      <c r="D234" s="106">
        <v>1251</v>
      </c>
      <c r="E234" s="106">
        <v>1236</v>
      </c>
      <c r="F234" s="106">
        <v>0.77669902912621303</v>
      </c>
      <c r="G234" s="106">
        <v>0.76126204955561805</v>
      </c>
      <c r="H234" s="106">
        <v>2.0872008283329802E-2</v>
      </c>
      <c r="I234" s="106">
        <v>0.73960202396642405</v>
      </c>
      <c r="J234" s="106">
        <v>1.99</v>
      </c>
      <c r="K234" s="106">
        <v>0.87201474624369901</v>
      </c>
      <c r="L234" s="106">
        <v>0.56273629740159004</v>
      </c>
      <c r="M234" s="106">
        <v>0.94892367967159497</v>
      </c>
      <c r="N234" s="106">
        <v>0.16784380518624101</v>
      </c>
      <c r="P234" s="106">
        <v>0.78213405783894785</v>
      </c>
      <c r="Q234" s="106">
        <v>0.74039004127228825</v>
      </c>
      <c r="R234" s="106">
        <v>0.80300606612227765</v>
      </c>
      <c r="S234" s="106">
        <v>0.71951803298895844</v>
      </c>
      <c r="AA234" s="106">
        <v>960</v>
      </c>
      <c r="AB234" s="106">
        <v>933.20865533230301</v>
      </c>
    </row>
    <row r="235" spans="1:28" x14ac:dyDescent="0.2">
      <c r="A235" s="14">
        <v>43595</v>
      </c>
      <c r="B235" s="106">
        <v>994</v>
      </c>
      <c r="C235" s="106">
        <v>998</v>
      </c>
      <c r="D235" s="106">
        <v>1260</v>
      </c>
      <c r="E235" s="106">
        <v>1273</v>
      </c>
      <c r="F235" s="106">
        <v>0.78397486252945803</v>
      </c>
      <c r="G235" s="106">
        <v>0.76105099003683396</v>
      </c>
      <c r="H235" s="106">
        <v>2.0794732499717899E-2</v>
      </c>
      <c r="I235" s="106">
        <v>1.1023884290377099</v>
      </c>
      <c r="J235" s="106">
        <v>2.92</v>
      </c>
      <c r="K235" s="106">
        <v>0.87506546981021105</v>
      </c>
      <c r="L235" s="106">
        <v>4.6853480059243502E-2</v>
      </c>
      <c r="M235" s="106">
        <v>0.94897418735837002</v>
      </c>
      <c r="N235" s="106">
        <v>8.2033964787084607E-2</v>
      </c>
      <c r="P235" s="106">
        <v>0.78184572253655182</v>
      </c>
      <c r="Q235" s="106">
        <v>0.7402562575371161</v>
      </c>
      <c r="R235" s="106">
        <v>0.8026404550362698</v>
      </c>
      <c r="S235" s="106">
        <v>0.71946152503739813</v>
      </c>
      <c r="AA235" s="106">
        <v>998</v>
      </c>
      <c r="AB235" s="106">
        <v>961.14451313755796</v>
      </c>
    </row>
    <row r="236" spans="1:28" x14ac:dyDescent="0.2">
      <c r="A236" s="14">
        <v>43594</v>
      </c>
      <c r="B236" s="106">
        <v>1048</v>
      </c>
      <c r="C236" s="106">
        <v>1032</v>
      </c>
      <c r="D236" s="106">
        <v>1300</v>
      </c>
      <c r="E236" s="106">
        <v>1260</v>
      </c>
      <c r="F236" s="106">
        <v>0.81904761904761902</v>
      </c>
      <c r="G236" s="106">
        <v>0.76081118474662401</v>
      </c>
      <c r="H236" s="106">
        <v>2.0632058904939798E-2</v>
      </c>
      <c r="I236" s="106">
        <v>2.8226186523270802</v>
      </c>
      <c r="J236" s="106">
        <v>7.11</v>
      </c>
      <c r="K236" s="106">
        <v>0.90043043230725495</v>
      </c>
      <c r="L236" s="106">
        <v>4.0593698661183598E-4</v>
      </c>
      <c r="M236" s="106">
        <v>0.95030366631782104</v>
      </c>
      <c r="N236" s="106">
        <v>2.8971358953673601E-2</v>
      </c>
      <c r="P236" s="106">
        <v>0.78144324365156381</v>
      </c>
      <c r="Q236" s="106">
        <v>0.74017912584168422</v>
      </c>
      <c r="R236" s="106">
        <v>0.80207530255650361</v>
      </c>
      <c r="S236" s="106">
        <v>0.71954706693674442</v>
      </c>
      <c r="AA236" s="106">
        <v>1032</v>
      </c>
      <c r="AB236" s="106">
        <v>951.32921174652245</v>
      </c>
    </row>
    <row r="237" spans="1:28" x14ac:dyDescent="0.2">
      <c r="A237" s="14">
        <v>43593</v>
      </c>
      <c r="B237" s="106">
        <v>1077</v>
      </c>
      <c r="C237" s="106">
        <v>1062</v>
      </c>
      <c r="D237" s="106">
        <v>1324</v>
      </c>
      <c r="E237" s="106">
        <v>1302</v>
      </c>
      <c r="F237" s="106">
        <v>0.81566820276497698</v>
      </c>
      <c r="G237" s="106">
        <v>0.76008058577873705</v>
      </c>
      <c r="H237" s="106">
        <v>1.9495800473650501E-2</v>
      </c>
      <c r="I237" s="106">
        <v>2.85126107344853</v>
      </c>
      <c r="J237" s="106">
        <v>6.81</v>
      </c>
      <c r="K237" s="106">
        <v>0.92510655623948201</v>
      </c>
      <c r="L237" s="106">
        <v>1.3448658832064499E-2</v>
      </c>
      <c r="M237" s="106">
        <v>0.95076910558306404</v>
      </c>
      <c r="N237" s="106">
        <v>0.122707293327373</v>
      </c>
      <c r="P237" s="106">
        <v>0.77957638625238757</v>
      </c>
      <c r="Q237" s="106">
        <v>0.74058478530508653</v>
      </c>
      <c r="R237" s="106">
        <v>0.79907218672603808</v>
      </c>
      <c r="S237" s="106">
        <v>0.72108898483143602</v>
      </c>
      <c r="AA237" s="106">
        <v>1062</v>
      </c>
      <c r="AB237" s="106">
        <v>983.04018547140652</v>
      </c>
    </row>
    <row r="238" spans="1:28" x14ac:dyDescent="0.2">
      <c r="A238" s="14">
        <v>43592</v>
      </c>
      <c r="B238" s="106">
        <v>1137</v>
      </c>
      <c r="C238" s="106">
        <v>1105</v>
      </c>
      <c r="D238" s="106">
        <v>1428</v>
      </c>
      <c r="E238" s="106">
        <v>1343</v>
      </c>
      <c r="F238" s="106">
        <v>0.822784810126582</v>
      </c>
      <c r="G238" s="106">
        <v>0.75940047494906404</v>
      </c>
      <c r="H238" s="106">
        <v>1.84038993232283E-2</v>
      </c>
      <c r="I238" s="106">
        <v>3.4440709582407698</v>
      </c>
      <c r="J238" s="106">
        <v>7.7</v>
      </c>
      <c r="K238" s="106">
        <v>0.94211706335002099</v>
      </c>
      <c r="L238" s="106">
        <v>0.15267848609137499</v>
      </c>
      <c r="M238" s="106">
        <v>0.94998751187527697</v>
      </c>
      <c r="N238" s="106">
        <v>0.34798966493000899</v>
      </c>
      <c r="P238" s="106">
        <v>0.77780437427229232</v>
      </c>
      <c r="Q238" s="106">
        <v>0.74099657562583576</v>
      </c>
      <c r="R238" s="106">
        <v>0.7962082735955206</v>
      </c>
      <c r="S238" s="106">
        <v>0.72259267630260748</v>
      </c>
      <c r="AA238" s="106">
        <v>1105</v>
      </c>
      <c r="AB238" s="106">
        <v>1013.9961360123648</v>
      </c>
    </row>
    <row r="239" spans="1:28" x14ac:dyDescent="0.2">
      <c r="A239" s="14">
        <v>43581</v>
      </c>
      <c r="B239" s="106">
        <v>1150</v>
      </c>
      <c r="C239" s="106">
        <v>1150</v>
      </c>
      <c r="D239" s="106">
        <v>1412</v>
      </c>
      <c r="E239" s="106">
        <v>1429</v>
      </c>
      <c r="F239" s="106">
        <v>0.80475857242827098</v>
      </c>
      <c r="G239" s="106">
        <v>0.75854172814321896</v>
      </c>
      <c r="H239" s="106">
        <v>1.6864528727940899E-2</v>
      </c>
      <c r="I239" s="106">
        <v>2.7404764776189801</v>
      </c>
      <c r="J239" s="106">
        <v>5.74</v>
      </c>
      <c r="K239" s="106">
        <v>0.92742227774319297</v>
      </c>
      <c r="L239" s="106">
        <v>9.2413185581701099E-2</v>
      </c>
      <c r="M239" s="106">
        <v>0.95055916682893105</v>
      </c>
      <c r="N239" s="106">
        <v>4.7316513432344602E-2</v>
      </c>
      <c r="P239" s="106">
        <v>0.77540625687115983</v>
      </c>
      <c r="Q239" s="106">
        <v>0.7416771994152781</v>
      </c>
      <c r="R239" s="106">
        <v>0.7922707855991008</v>
      </c>
      <c r="S239" s="106">
        <v>0.72481267068733712</v>
      </c>
      <c r="AA239" s="106">
        <v>1150</v>
      </c>
      <c r="AB239" s="106">
        <v>1078.9281298299845</v>
      </c>
    </row>
    <row r="240" spans="1:28" x14ac:dyDescent="0.2">
      <c r="A240" s="14">
        <v>43580</v>
      </c>
      <c r="B240" s="106">
        <v>1156</v>
      </c>
      <c r="C240" s="106">
        <v>1167</v>
      </c>
      <c r="D240" s="106">
        <v>1468</v>
      </c>
      <c r="E240" s="106">
        <v>1472</v>
      </c>
      <c r="F240" s="106">
        <v>0.79279891304347805</v>
      </c>
      <c r="G240" s="106">
        <v>0.75805667313271297</v>
      </c>
      <c r="H240" s="106">
        <v>1.6030829807378001E-2</v>
      </c>
      <c r="I240" s="106">
        <v>2.1672140699026499</v>
      </c>
      <c r="J240" s="106">
        <v>4.38</v>
      </c>
      <c r="K240" s="106">
        <v>0.92655899204404202</v>
      </c>
      <c r="L240" s="106">
        <v>6.9095223188665705E-2</v>
      </c>
      <c r="M240" s="106">
        <v>0.94921616449545498</v>
      </c>
      <c r="N240" s="106">
        <v>0.33567737376420198</v>
      </c>
      <c r="P240" s="106">
        <v>0.77408750294009099</v>
      </c>
      <c r="Q240" s="106">
        <v>0.74202584332533494</v>
      </c>
      <c r="R240" s="106">
        <v>0.79011833274746901</v>
      </c>
      <c r="S240" s="106">
        <v>0.72599501351795692</v>
      </c>
      <c r="AA240" s="106">
        <v>1167</v>
      </c>
      <c r="AB240" s="106">
        <v>1111.3941267387945</v>
      </c>
    </row>
    <row r="241" spans="1:28" x14ac:dyDescent="0.2">
      <c r="A241" s="14">
        <v>43579</v>
      </c>
      <c r="B241" s="106">
        <v>1185</v>
      </c>
      <c r="C241" s="106">
        <v>1165</v>
      </c>
      <c r="D241" s="106">
        <v>1499</v>
      </c>
      <c r="E241" s="106">
        <v>1465</v>
      </c>
      <c r="F241" s="106">
        <v>0.79522184300341203</v>
      </c>
      <c r="G241" s="106">
        <v>0.757716090514713</v>
      </c>
      <c r="H241" s="106">
        <v>1.55533289273298E-2</v>
      </c>
      <c r="I241" s="106">
        <v>2.4114292614744199</v>
      </c>
      <c r="J241" s="106">
        <v>4.72</v>
      </c>
      <c r="K241" s="106">
        <v>0.92683003355542604</v>
      </c>
      <c r="L241" s="106">
        <v>9.0070941363756193E-2</v>
      </c>
      <c r="M241" s="106">
        <v>0.94743907847546105</v>
      </c>
      <c r="N241" s="106">
        <v>0.465308783840786</v>
      </c>
      <c r="P241" s="106">
        <v>0.77326941944204275</v>
      </c>
      <c r="Q241" s="106">
        <v>0.74216276158738326</v>
      </c>
      <c r="R241" s="106">
        <v>0.78882274836937261</v>
      </c>
      <c r="S241" s="106">
        <v>0.7266094326600534</v>
      </c>
      <c r="AA241" s="106">
        <v>1165</v>
      </c>
      <c r="AB241" s="106">
        <v>1106.1089644513138</v>
      </c>
    </row>
    <row r="242" spans="1:28" x14ac:dyDescent="0.2">
      <c r="A242" s="14">
        <v>43578</v>
      </c>
      <c r="B242" s="106">
        <v>1191</v>
      </c>
      <c r="C242" s="106">
        <v>1174</v>
      </c>
      <c r="D242" s="106">
        <v>1504</v>
      </c>
      <c r="E242" s="106">
        <v>1488</v>
      </c>
      <c r="F242" s="106">
        <v>0.78897849462365499</v>
      </c>
      <c r="G242" s="106">
        <v>0.75739948234389198</v>
      </c>
      <c r="H242" s="106">
        <v>1.5019141108723599E-2</v>
      </c>
      <c r="I242" s="106">
        <v>2.1025844321698002</v>
      </c>
      <c r="J242" s="106">
        <v>4</v>
      </c>
      <c r="K242" s="106">
        <v>0.92367184260465796</v>
      </c>
      <c r="L242" s="106">
        <v>7.2994240636082494E-2</v>
      </c>
      <c r="M242" s="106">
        <v>0.94628160529687999</v>
      </c>
      <c r="N242" s="106">
        <v>0.36864176620815198</v>
      </c>
      <c r="P242" s="106">
        <v>0.77241862345261558</v>
      </c>
      <c r="Q242" s="106">
        <v>0.74238034123516838</v>
      </c>
      <c r="R242" s="106">
        <v>0.78743776456133918</v>
      </c>
      <c r="S242" s="106">
        <v>0.72736120012644478</v>
      </c>
      <c r="AA242" s="106">
        <v>1174</v>
      </c>
      <c r="AB242" s="106">
        <v>1123.4744976816075</v>
      </c>
    </row>
    <row r="243" spans="1:28" x14ac:dyDescent="0.2">
      <c r="A243" s="14">
        <v>43577</v>
      </c>
      <c r="B243" s="106">
        <v>1205</v>
      </c>
      <c r="C243" s="106">
        <v>1188</v>
      </c>
      <c r="D243" s="106">
        <v>1512</v>
      </c>
      <c r="E243" s="106">
        <v>1502</v>
      </c>
      <c r="F243" s="106">
        <v>0.79094540612516595</v>
      </c>
      <c r="G243" s="106">
        <v>0.75720059561840403</v>
      </c>
      <c r="H243" s="106">
        <v>1.4694912239935199E-2</v>
      </c>
      <c r="I243" s="106">
        <v>2.2963601249047501</v>
      </c>
      <c r="J243" s="106">
        <v>4.2699999999999996</v>
      </c>
      <c r="K243" s="106">
        <v>0.91861199703608598</v>
      </c>
      <c r="L243" s="106">
        <v>0.104989535291695</v>
      </c>
      <c r="M243" s="106">
        <v>0.94524358457180602</v>
      </c>
      <c r="N243" s="106">
        <v>0.31725740855656898</v>
      </c>
      <c r="P243" s="106">
        <v>0.77189550785833927</v>
      </c>
      <c r="Q243" s="106">
        <v>0.74250568337846878</v>
      </c>
      <c r="R243" s="106">
        <v>0.7865904200982744</v>
      </c>
      <c r="S243" s="106">
        <v>0.72781077113853365</v>
      </c>
      <c r="AA243" s="106">
        <v>1188</v>
      </c>
      <c r="AB243" s="106">
        <v>1134.0448222565688</v>
      </c>
    </row>
    <row r="244" spans="1:28" x14ac:dyDescent="0.2">
      <c r="A244" s="14">
        <v>43574</v>
      </c>
      <c r="B244" s="106">
        <v>1146</v>
      </c>
      <c r="C244" s="106">
        <v>1182</v>
      </c>
      <c r="D244" s="106">
        <v>1498</v>
      </c>
      <c r="E244" s="106">
        <v>1507</v>
      </c>
      <c r="F244" s="106">
        <v>0.78433974784339699</v>
      </c>
      <c r="G244" s="106">
        <v>0.75713718598820501</v>
      </c>
      <c r="H244" s="106">
        <v>1.45587943057658E-2</v>
      </c>
      <c r="I244" s="106">
        <v>1.86846254462287</v>
      </c>
      <c r="J244" s="106">
        <v>3.47</v>
      </c>
      <c r="K244" s="106">
        <v>0.91094720202947499</v>
      </c>
      <c r="L244" s="106">
        <v>0.15131673923907199</v>
      </c>
      <c r="M244" s="106">
        <v>0.94445494045838896</v>
      </c>
      <c r="N244" s="106">
        <v>0.26479837505620801</v>
      </c>
      <c r="P244" s="106">
        <v>0.7716959802939708</v>
      </c>
      <c r="Q244" s="106">
        <v>0.74257839168243922</v>
      </c>
      <c r="R244" s="106">
        <v>0.78625477459973658</v>
      </c>
      <c r="S244" s="106">
        <v>0.72801959737667343</v>
      </c>
      <c r="AA244" s="106">
        <v>1182</v>
      </c>
      <c r="AB244" s="106">
        <v>1137.8199381761979</v>
      </c>
    </row>
    <row r="245" spans="1:28" x14ac:dyDescent="0.2">
      <c r="A245" s="14">
        <v>43573</v>
      </c>
      <c r="B245" s="106">
        <v>1142</v>
      </c>
      <c r="C245" s="106">
        <v>1133</v>
      </c>
      <c r="D245" s="106">
        <v>1506</v>
      </c>
      <c r="E245" s="106">
        <v>1471</v>
      </c>
      <c r="F245" s="106">
        <v>0.77022433718558803</v>
      </c>
      <c r="G245" s="106">
        <v>0.75721173009103304</v>
      </c>
      <c r="H245" s="106">
        <v>1.47113995831669E-2</v>
      </c>
      <c r="I245" s="106">
        <v>0.88452543355857505</v>
      </c>
      <c r="J245" s="106">
        <v>1.69</v>
      </c>
      <c r="K245" s="106">
        <v>0.90651036209656199</v>
      </c>
      <c r="L245" s="106">
        <v>0.19526311312644201</v>
      </c>
      <c r="M245" s="106">
        <v>0.94392507223877598</v>
      </c>
      <c r="N245" s="106">
        <v>0.234272823570328</v>
      </c>
      <c r="P245" s="106">
        <v>0.77192312967419996</v>
      </c>
      <c r="Q245" s="106">
        <v>0.74250033050786612</v>
      </c>
      <c r="R245" s="106">
        <v>0.78663452925736688</v>
      </c>
      <c r="S245" s="106">
        <v>0.72778893092469921</v>
      </c>
      <c r="AA245" s="106">
        <v>1133</v>
      </c>
      <c r="AB245" s="106">
        <v>1110.6391035548686</v>
      </c>
    </row>
    <row r="246" spans="1:28" x14ac:dyDescent="0.2">
      <c r="A246" s="14">
        <v>43572</v>
      </c>
      <c r="B246" s="106">
        <v>1134</v>
      </c>
      <c r="C246" s="106">
        <v>1136</v>
      </c>
      <c r="D246" s="106">
        <v>1475</v>
      </c>
      <c r="E246" s="106">
        <v>1496</v>
      </c>
      <c r="F246" s="106">
        <v>0.75935828877005296</v>
      </c>
      <c r="G246" s="106">
        <v>0.75728006759988797</v>
      </c>
      <c r="H246" s="106">
        <v>1.47834149342869E-2</v>
      </c>
      <c r="I246" s="106">
        <v>0.14057788267483101</v>
      </c>
      <c r="J246" s="106">
        <v>0.27</v>
      </c>
      <c r="K246" s="106">
        <v>0.90037831795971501</v>
      </c>
      <c r="L246" s="106">
        <v>0.19296959119587401</v>
      </c>
      <c r="M246" s="106">
        <v>0.94349925834336501</v>
      </c>
      <c r="N246" s="106">
        <v>0.21871700553909701</v>
      </c>
      <c r="P246" s="106">
        <v>0.77206348253417489</v>
      </c>
      <c r="Q246" s="106">
        <v>0.74249665266560105</v>
      </c>
      <c r="R246" s="106">
        <v>0.78684689746846181</v>
      </c>
      <c r="S246" s="106">
        <v>0.72771323773131413</v>
      </c>
      <c r="AA246" s="106">
        <v>1136</v>
      </c>
      <c r="AB246" s="106">
        <v>1129.5146831530139</v>
      </c>
    </row>
    <row r="247" spans="1:28" x14ac:dyDescent="0.2">
      <c r="A247" s="14">
        <v>43571</v>
      </c>
      <c r="B247" s="106">
        <v>1131</v>
      </c>
      <c r="C247" s="106">
        <v>1122</v>
      </c>
      <c r="D247" s="106">
        <v>1473</v>
      </c>
      <c r="E247" s="106">
        <v>1470</v>
      </c>
      <c r="F247" s="106">
        <v>0.76326530612244903</v>
      </c>
      <c r="G247" s="106">
        <v>0.75738151009467303</v>
      </c>
      <c r="H247" s="106">
        <v>1.48233768049359E-2</v>
      </c>
      <c r="I247" s="106">
        <v>0.39692683422956698</v>
      </c>
      <c r="J247" s="106">
        <v>0.77</v>
      </c>
      <c r="K247" s="106">
        <v>0.89452972418101495</v>
      </c>
      <c r="L247" s="106">
        <v>0.21639130997025099</v>
      </c>
      <c r="M247" s="106">
        <v>0.94286543902539</v>
      </c>
      <c r="N247" s="106">
        <v>0.22917733905302801</v>
      </c>
      <c r="P247" s="106">
        <v>0.77220488689960898</v>
      </c>
      <c r="Q247" s="106">
        <v>0.74255813328973708</v>
      </c>
      <c r="R247" s="106">
        <v>0.78702826370454482</v>
      </c>
      <c r="S247" s="106">
        <v>0.72773475648480124</v>
      </c>
      <c r="AA247" s="106">
        <v>1122</v>
      </c>
      <c r="AB247" s="106">
        <v>1109.8840803709429</v>
      </c>
    </row>
    <row r="248" spans="1:28" x14ac:dyDescent="0.2">
      <c r="A248" s="14">
        <v>43570</v>
      </c>
      <c r="B248" s="106">
        <v>1132</v>
      </c>
      <c r="C248" s="106">
        <v>1139</v>
      </c>
      <c r="D248" s="106">
        <v>1469</v>
      </c>
      <c r="E248" s="106">
        <v>1490</v>
      </c>
      <c r="F248" s="106">
        <v>0.76442953020134197</v>
      </c>
      <c r="G248" s="106">
        <v>0.75730018074764804</v>
      </c>
      <c r="H248" s="106">
        <v>1.4807596684204101E-2</v>
      </c>
      <c r="I248" s="106">
        <v>0.48146566966529197</v>
      </c>
      <c r="J248" s="106">
        <v>0.93</v>
      </c>
      <c r="K248" s="106">
        <v>0.88503915517491705</v>
      </c>
      <c r="L248" s="106">
        <v>0.19769767450987999</v>
      </c>
      <c r="M248" s="106">
        <v>0.94277099378957496</v>
      </c>
      <c r="N248" s="106">
        <v>0.176374952080775</v>
      </c>
      <c r="P248" s="106">
        <v>0.7721077774318521</v>
      </c>
      <c r="Q248" s="106">
        <v>0.74249258406344398</v>
      </c>
      <c r="R248" s="106">
        <v>0.78691537411605628</v>
      </c>
      <c r="S248" s="106">
        <v>0.72768498737923981</v>
      </c>
      <c r="AA248" s="106">
        <v>1139</v>
      </c>
      <c r="AB248" s="106">
        <v>1124.9845440494591</v>
      </c>
    </row>
    <row r="249" spans="1:28" x14ac:dyDescent="0.2">
      <c r="A249" s="14">
        <v>43567</v>
      </c>
      <c r="B249" s="106">
        <v>1119</v>
      </c>
      <c r="C249" s="106">
        <v>1115</v>
      </c>
      <c r="D249" s="106">
        <v>1436</v>
      </c>
      <c r="E249" s="106">
        <v>1440</v>
      </c>
      <c r="F249" s="106">
        <v>0.77430555555555503</v>
      </c>
      <c r="G249" s="106">
        <v>0.757174762797308</v>
      </c>
      <c r="H249" s="106">
        <v>1.4786501201378499E-2</v>
      </c>
      <c r="I249" s="106">
        <v>1.15854268193278</v>
      </c>
      <c r="J249" s="106">
        <v>2.21</v>
      </c>
      <c r="K249" s="106">
        <v>0.88007397877485305</v>
      </c>
      <c r="L249" s="106">
        <v>0.22259660028567901</v>
      </c>
      <c r="M249" s="106">
        <v>0.94246345874943704</v>
      </c>
      <c r="N249" s="106">
        <v>0.19834644247701499</v>
      </c>
      <c r="P249" s="106">
        <v>0.77196126399868648</v>
      </c>
      <c r="Q249" s="106">
        <v>0.74238826159592952</v>
      </c>
      <c r="R249" s="106">
        <v>0.78674776520006495</v>
      </c>
      <c r="S249" s="106">
        <v>0.72760176039455104</v>
      </c>
      <c r="AA249" s="106">
        <v>1115</v>
      </c>
      <c r="AB249" s="106">
        <v>1087.2333848531684</v>
      </c>
    </row>
    <row r="250" spans="1:28" x14ac:dyDescent="0.2">
      <c r="A250" s="14">
        <v>43566</v>
      </c>
      <c r="B250" s="106">
        <v>1116</v>
      </c>
      <c r="C250" s="106">
        <v>1119</v>
      </c>
      <c r="D250" s="106">
        <v>1450</v>
      </c>
      <c r="E250" s="106">
        <v>1442</v>
      </c>
      <c r="F250" s="106">
        <v>0.77600554785020803</v>
      </c>
      <c r="G250" s="106">
        <v>0.75681743213587105</v>
      </c>
      <c r="H250" s="106">
        <v>1.46917190172727E-2</v>
      </c>
      <c r="I250" s="106">
        <v>1.3060497339880599</v>
      </c>
      <c r="J250" s="106">
        <v>2.4700000000000002</v>
      </c>
      <c r="K250" s="106">
        <v>0.87615936931336402</v>
      </c>
      <c r="L250" s="106">
        <v>0.27077712818148603</v>
      </c>
      <c r="M250" s="106">
        <v>0.94181718651897195</v>
      </c>
      <c r="N250" s="106">
        <v>0.22154892881412899</v>
      </c>
      <c r="P250" s="106">
        <v>0.77150915115314378</v>
      </c>
      <c r="Q250" s="106">
        <v>0.74212571311859832</v>
      </c>
      <c r="R250" s="106">
        <v>0.7862008701704164</v>
      </c>
      <c r="S250" s="106">
        <v>0.7274339941013257</v>
      </c>
      <c r="AA250" s="106">
        <v>1119</v>
      </c>
      <c r="AB250" s="106">
        <v>1088.74343122102</v>
      </c>
    </row>
    <row r="251" spans="1:28" x14ac:dyDescent="0.2">
      <c r="A251" s="14">
        <v>43565</v>
      </c>
      <c r="B251" s="106">
        <v>1105</v>
      </c>
      <c r="C251" s="106">
        <v>1113</v>
      </c>
      <c r="D251" s="106">
        <v>1428</v>
      </c>
      <c r="E251" s="106">
        <v>1443</v>
      </c>
      <c r="F251" s="106">
        <v>0.77130977130977096</v>
      </c>
      <c r="G251" s="106">
        <v>0.75659830762854696</v>
      </c>
      <c r="H251" s="106">
        <v>1.45255149842019E-2</v>
      </c>
      <c r="I251" s="106">
        <v>1.0128015218203199</v>
      </c>
      <c r="J251" s="106">
        <v>1.91</v>
      </c>
      <c r="K251" s="106">
        <v>0.87244853864181304</v>
      </c>
      <c r="L251" s="106">
        <v>0.22275201108857701</v>
      </c>
      <c r="M251" s="106">
        <v>0.94168978085567001</v>
      </c>
      <c r="N251" s="106">
        <v>0.17285416900210299</v>
      </c>
      <c r="P251" s="106">
        <v>0.77112382261274881</v>
      </c>
      <c r="Q251" s="106">
        <v>0.74207279264434511</v>
      </c>
      <c r="R251" s="106">
        <v>0.78564933759695077</v>
      </c>
      <c r="S251" s="106">
        <v>0.72754727766014315</v>
      </c>
      <c r="AA251" s="106">
        <v>1113</v>
      </c>
      <c r="AB251" s="106">
        <v>1089.498454404946</v>
      </c>
    </row>
    <row r="252" spans="1:28" x14ac:dyDescent="0.2">
      <c r="A252" s="14">
        <v>43564</v>
      </c>
      <c r="B252" s="106">
        <v>1121</v>
      </c>
      <c r="C252" s="106">
        <v>1132</v>
      </c>
      <c r="D252" s="106">
        <v>1446</v>
      </c>
      <c r="E252" s="106">
        <v>1455</v>
      </c>
      <c r="F252" s="106">
        <v>0.77800687285223302</v>
      </c>
      <c r="G252" s="106">
        <v>0.75640481178550401</v>
      </c>
      <c r="H252" s="106">
        <v>1.44245616528138E-2</v>
      </c>
      <c r="I252" s="106">
        <v>1.49758873695234</v>
      </c>
      <c r="J252" s="106">
        <v>2.78</v>
      </c>
      <c r="K252" s="106">
        <v>0.86930006259876602</v>
      </c>
      <c r="L252" s="106">
        <v>0.265978900176571</v>
      </c>
      <c r="M252" s="106">
        <v>0.94125546121714998</v>
      </c>
      <c r="N252" s="106">
        <v>0.213300296137372</v>
      </c>
      <c r="P252" s="106">
        <v>0.77082937343831781</v>
      </c>
      <c r="Q252" s="106">
        <v>0.7419802501326902</v>
      </c>
      <c r="R252" s="106">
        <v>0.78525393509113162</v>
      </c>
      <c r="S252" s="106">
        <v>0.72755568847987639</v>
      </c>
      <c r="AA252" s="106">
        <v>1132</v>
      </c>
      <c r="AB252" s="106">
        <v>1098.5587326120558</v>
      </c>
    </row>
    <row r="253" spans="1:28" x14ac:dyDescent="0.2">
      <c r="A253" s="14">
        <v>43563</v>
      </c>
      <c r="B253" s="106">
        <v>1145</v>
      </c>
      <c r="C253" s="106">
        <v>1120</v>
      </c>
      <c r="D253" s="106">
        <v>1466</v>
      </c>
      <c r="E253" s="106">
        <v>1447</v>
      </c>
      <c r="F253" s="106">
        <v>0.77401520387007605</v>
      </c>
      <c r="G253" s="106">
        <v>0.75602166864115805</v>
      </c>
      <c r="H253" s="106">
        <v>1.42259522417062E-2</v>
      </c>
      <c r="I253" s="106">
        <v>1.2648387203329701</v>
      </c>
      <c r="J253" s="106">
        <v>2.3199999999999998</v>
      </c>
      <c r="K253" s="106">
        <v>0.86943040458901399</v>
      </c>
      <c r="L253" s="106">
        <v>9.58875193497086E-2</v>
      </c>
      <c r="M253" s="106">
        <v>0.94045713901253203</v>
      </c>
      <c r="N253" s="106">
        <v>0.24649794823257101</v>
      </c>
      <c r="P253" s="106">
        <v>0.77024762088286425</v>
      </c>
      <c r="Q253" s="106">
        <v>0.74179571639945185</v>
      </c>
      <c r="R253" s="106">
        <v>0.78447357312457044</v>
      </c>
      <c r="S253" s="106">
        <v>0.72756976415774566</v>
      </c>
      <c r="AA253" s="106">
        <v>1120</v>
      </c>
      <c r="AB253" s="106">
        <v>1092.5185471406492</v>
      </c>
    </row>
    <row r="254" spans="1:28" x14ac:dyDescent="0.2">
      <c r="A254" s="14">
        <v>43560</v>
      </c>
      <c r="B254" s="106">
        <v>1117</v>
      </c>
      <c r="C254" s="106">
        <v>1146</v>
      </c>
      <c r="D254" s="106">
        <v>1435</v>
      </c>
      <c r="E254" s="106">
        <v>1462</v>
      </c>
      <c r="F254" s="106">
        <v>0.78385772913816598</v>
      </c>
      <c r="G254" s="106">
        <v>0.75563474983690104</v>
      </c>
      <c r="H254" s="106">
        <v>1.4125576053157601E-2</v>
      </c>
      <c r="I254" s="106">
        <v>1.9980055464680799</v>
      </c>
      <c r="J254" s="106">
        <v>3.6</v>
      </c>
      <c r="K254" s="106">
        <v>0.87738177019778896</v>
      </c>
      <c r="L254" s="106">
        <v>0.32239403499996799</v>
      </c>
      <c r="M254" s="106">
        <v>0.93915614099886002</v>
      </c>
      <c r="N254" s="106">
        <v>0.360295254474994</v>
      </c>
      <c r="P254" s="106">
        <v>0.76976032589005861</v>
      </c>
      <c r="Q254" s="106">
        <v>0.74150917378374348</v>
      </c>
      <c r="R254" s="106">
        <v>0.78388590194321628</v>
      </c>
      <c r="S254" s="106">
        <v>0.72738359773058581</v>
      </c>
      <c r="AA254" s="106">
        <v>1146</v>
      </c>
      <c r="AB254" s="106">
        <v>1103.8438948995363</v>
      </c>
    </row>
    <row r="255" spans="1:28" x14ac:dyDescent="0.2">
      <c r="A255" s="14">
        <v>43559</v>
      </c>
      <c r="B255" s="106">
        <v>1119</v>
      </c>
      <c r="C255" s="106">
        <v>1116</v>
      </c>
      <c r="D255" s="106">
        <v>1462</v>
      </c>
      <c r="E255" s="106">
        <v>1455</v>
      </c>
      <c r="F255" s="106">
        <v>0.76701030927835001</v>
      </c>
      <c r="G255" s="106">
        <v>0.75513493045883195</v>
      </c>
      <c r="H255" s="106">
        <v>1.37770008093781E-2</v>
      </c>
      <c r="I255" s="106">
        <v>0.86197126528687196</v>
      </c>
      <c r="J255" s="106">
        <v>1.55</v>
      </c>
      <c r="K255" s="106">
        <v>0.86956312702097305</v>
      </c>
      <c r="L255" s="106">
        <v>0.42408458169543101</v>
      </c>
      <c r="M255" s="106">
        <v>0.93718943074746797</v>
      </c>
      <c r="N255" s="106">
        <v>0.50301760315616595</v>
      </c>
      <c r="P255" s="106">
        <v>0.76891193126821</v>
      </c>
      <c r="Q255" s="106">
        <v>0.74135792964945391</v>
      </c>
      <c r="R255" s="106">
        <v>0.78268893207758816</v>
      </c>
      <c r="S255" s="106">
        <v>0.72758092884007575</v>
      </c>
      <c r="AA255" s="106">
        <v>1116</v>
      </c>
      <c r="AB255" s="106">
        <v>1098.5587326120558</v>
      </c>
    </row>
    <row r="256" spans="1:28" x14ac:dyDescent="0.2">
      <c r="A256" s="14">
        <v>43558</v>
      </c>
      <c r="B256" s="106">
        <v>1095</v>
      </c>
      <c r="C256" s="106">
        <v>1111</v>
      </c>
      <c r="D256" s="106">
        <v>1451</v>
      </c>
      <c r="E256" s="106">
        <v>1464</v>
      </c>
      <c r="F256" s="106">
        <v>0.75887978142076495</v>
      </c>
      <c r="G256" s="106">
        <v>0.75482442372556902</v>
      </c>
      <c r="H256" s="106">
        <v>1.3768284172630801E-2</v>
      </c>
      <c r="I256" s="106">
        <v>0.29454343361514301</v>
      </c>
      <c r="J256" s="106">
        <v>0.53</v>
      </c>
      <c r="K256" s="106">
        <v>0.877925736332547</v>
      </c>
      <c r="L256" s="106">
        <v>0.50086887691653303</v>
      </c>
      <c r="M256" s="106">
        <v>0.93491096801192497</v>
      </c>
      <c r="N256" s="106">
        <v>0.57235909986716405</v>
      </c>
      <c r="P256" s="106">
        <v>0.76859270789819978</v>
      </c>
      <c r="Q256" s="106">
        <v>0.74105613955293825</v>
      </c>
      <c r="R256" s="106">
        <v>0.78236099207083065</v>
      </c>
      <c r="S256" s="106">
        <v>0.72728785538030738</v>
      </c>
      <c r="AA256" s="106">
        <v>1111</v>
      </c>
      <c r="AB256" s="106">
        <v>1105.3539412673879</v>
      </c>
    </row>
    <row r="257" spans="1:28" x14ac:dyDescent="0.2">
      <c r="A257" s="14">
        <v>43557</v>
      </c>
      <c r="B257" s="106">
        <v>1085</v>
      </c>
      <c r="C257" s="106">
        <v>1091</v>
      </c>
      <c r="D257" s="106">
        <v>1433</v>
      </c>
      <c r="E257" s="106">
        <v>1450</v>
      </c>
      <c r="F257" s="106">
        <v>0.75241379310344803</v>
      </c>
      <c r="G257" s="106">
        <v>0.754706026639959</v>
      </c>
      <c r="H257" s="106">
        <v>1.37710815248866E-2</v>
      </c>
      <c r="I257" s="106">
        <v>-0.16645268800191301</v>
      </c>
      <c r="J257" s="106">
        <v>-0.3</v>
      </c>
      <c r="K257" s="106">
        <v>0.87042686307093997</v>
      </c>
      <c r="L257" s="106">
        <v>0.48450573210972803</v>
      </c>
      <c r="M257" s="106">
        <v>0.93225135496979805</v>
      </c>
      <c r="N257" s="106">
        <v>0.68684725706267402</v>
      </c>
      <c r="P257" s="106">
        <v>0.7684771081648456</v>
      </c>
      <c r="Q257" s="106">
        <v>0.74093494511507241</v>
      </c>
      <c r="R257" s="106">
        <v>0.7822481896897322</v>
      </c>
      <c r="S257" s="106">
        <v>0.72716386359018581</v>
      </c>
      <c r="AA257" s="106">
        <v>1091</v>
      </c>
      <c r="AB257" s="106">
        <v>1094.7836166924267</v>
      </c>
    </row>
    <row r="258" spans="1:28" x14ac:dyDescent="0.2">
      <c r="A258" s="14">
        <v>43556</v>
      </c>
      <c r="B258" s="106">
        <v>1060</v>
      </c>
      <c r="C258" s="106">
        <v>1067</v>
      </c>
      <c r="D258" s="106">
        <v>1394</v>
      </c>
      <c r="E258" s="106">
        <v>1405</v>
      </c>
      <c r="F258" s="106">
        <v>0.75943060498220605</v>
      </c>
      <c r="G258" s="106">
        <v>0.75457666100207799</v>
      </c>
      <c r="H258" s="106">
        <v>1.38374196844598E-2</v>
      </c>
      <c r="I258" s="106">
        <v>0.35078389546710798</v>
      </c>
      <c r="J258" s="106">
        <v>0.64</v>
      </c>
      <c r="K258" s="106">
        <v>0.86834214650055097</v>
      </c>
      <c r="L258" s="106">
        <v>0.50859062038138103</v>
      </c>
      <c r="M258" s="106">
        <v>0.92974684838236199</v>
      </c>
      <c r="N258" s="106">
        <v>0.68478290631425998</v>
      </c>
      <c r="P258" s="106">
        <v>0.76841408068653783</v>
      </c>
      <c r="Q258" s="106">
        <v>0.74073924131761815</v>
      </c>
      <c r="R258" s="106">
        <v>0.78225150037099755</v>
      </c>
      <c r="S258" s="106">
        <v>0.72690182163315842</v>
      </c>
      <c r="AA258" s="106">
        <v>1067</v>
      </c>
      <c r="AB258" s="106">
        <v>1060.8075734157651</v>
      </c>
    </row>
    <row r="259" spans="1:28" x14ac:dyDescent="0.2">
      <c r="A259" s="14">
        <v>43553</v>
      </c>
      <c r="B259" s="106">
        <v>1036</v>
      </c>
      <c r="C259" s="106">
        <v>1037</v>
      </c>
      <c r="D259" s="106">
        <v>1366</v>
      </c>
      <c r="E259" s="106">
        <v>1362</v>
      </c>
      <c r="F259" s="106">
        <v>0.76138032305433101</v>
      </c>
      <c r="G259" s="106">
        <v>0.754443678472699</v>
      </c>
      <c r="H259" s="106">
        <v>1.38380578897067E-2</v>
      </c>
      <c r="I259" s="106">
        <v>0.50127298475838</v>
      </c>
      <c r="J259" s="106">
        <v>0.91</v>
      </c>
      <c r="K259" s="106">
        <v>0.869106570268107</v>
      </c>
      <c r="L259" s="106">
        <v>0.53785277855176405</v>
      </c>
      <c r="M259" s="106">
        <v>0.92726054899686605</v>
      </c>
      <c r="N259" s="106">
        <v>0.68795490271135196</v>
      </c>
      <c r="P259" s="106">
        <v>0.76828173636240571</v>
      </c>
      <c r="Q259" s="106">
        <v>0.74060562058299229</v>
      </c>
      <c r="R259" s="106">
        <v>0.78211979425211242</v>
      </c>
      <c r="S259" s="106">
        <v>0.72676756269328557</v>
      </c>
      <c r="AA259" s="106">
        <v>1037</v>
      </c>
      <c r="AB259" s="106">
        <v>1028.3415765069553</v>
      </c>
    </row>
    <row r="260" spans="1:28" x14ac:dyDescent="0.2">
      <c r="A260" s="14">
        <v>43552</v>
      </c>
      <c r="B260" s="106">
        <v>1016</v>
      </c>
      <c r="C260" s="106">
        <v>1021</v>
      </c>
      <c r="D260" s="106">
        <v>1345</v>
      </c>
      <c r="E260" s="106">
        <v>1344</v>
      </c>
      <c r="F260" s="106">
        <v>0.75967261904761896</v>
      </c>
      <c r="G260" s="106">
        <v>0.75424007850288399</v>
      </c>
      <c r="H260" s="106">
        <v>1.38468322382569E-2</v>
      </c>
      <c r="I260" s="106">
        <v>0.39233092820499299</v>
      </c>
      <c r="J260" s="106">
        <v>0.72</v>
      </c>
      <c r="K260" s="106">
        <v>0.86954738300130796</v>
      </c>
      <c r="L260" s="106">
        <v>0.570492929447032</v>
      </c>
      <c r="M260" s="106">
        <v>0.92389449823909797</v>
      </c>
      <c r="N260" s="106">
        <v>0.77921113972656697</v>
      </c>
      <c r="P260" s="106">
        <v>0.76808691074114088</v>
      </c>
      <c r="Q260" s="106">
        <v>0.7403932462646271</v>
      </c>
      <c r="R260" s="106">
        <v>0.78193374297939777</v>
      </c>
      <c r="S260" s="106">
        <v>0.72654641402637021</v>
      </c>
      <c r="AA260" s="106">
        <v>1021</v>
      </c>
      <c r="AB260" s="106">
        <v>1014.7511591962906</v>
      </c>
    </row>
    <row r="261" spans="1:28" x14ac:dyDescent="0.2">
      <c r="A261" s="14">
        <v>43551</v>
      </c>
      <c r="B261" s="106">
        <v>1013</v>
      </c>
      <c r="C261" s="106">
        <v>1016</v>
      </c>
      <c r="D261" s="106">
        <v>1355</v>
      </c>
      <c r="E261" s="106">
        <v>1356</v>
      </c>
      <c r="F261" s="106">
        <v>0.74926253687315603</v>
      </c>
      <c r="G261" s="106">
        <v>0.75414101593099603</v>
      </c>
      <c r="H261" s="106">
        <v>1.38341834327499E-2</v>
      </c>
      <c r="I261" s="106">
        <v>-0.35263946596883899</v>
      </c>
      <c r="J261" s="106">
        <v>-0.65</v>
      </c>
      <c r="K261" s="106">
        <v>0.87916804248493696</v>
      </c>
      <c r="L261" s="106">
        <v>0.57726927815012596</v>
      </c>
      <c r="M261" s="106">
        <v>0.919798424235579</v>
      </c>
      <c r="N261" s="106">
        <v>0.86101205106245005</v>
      </c>
      <c r="P261" s="106">
        <v>0.76797519936374592</v>
      </c>
      <c r="Q261" s="106">
        <v>0.74030683249824614</v>
      </c>
      <c r="R261" s="106">
        <v>0.78180938279649581</v>
      </c>
      <c r="S261" s="106">
        <v>0.72647264906549625</v>
      </c>
      <c r="AA261" s="106">
        <v>1016</v>
      </c>
      <c r="AB261" s="106">
        <v>1023.8114374034003</v>
      </c>
    </row>
    <row r="262" spans="1:28" x14ac:dyDescent="0.2">
      <c r="A262" s="14">
        <v>43550</v>
      </c>
      <c r="B262" s="106">
        <v>1024</v>
      </c>
      <c r="C262" s="106">
        <v>1032</v>
      </c>
      <c r="D262" s="106">
        <v>1380</v>
      </c>
      <c r="E262" s="106">
        <v>1386</v>
      </c>
      <c r="F262" s="106">
        <v>0.74458874458874402</v>
      </c>
      <c r="G262" s="106">
        <v>0.75400311100722095</v>
      </c>
      <c r="H262" s="106">
        <v>1.3933322599017599E-2</v>
      </c>
      <c r="I262" s="106">
        <v>-0.67567275153310302</v>
      </c>
      <c r="J262" s="106">
        <v>-1.26</v>
      </c>
      <c r="K262" s="106">
        <v>0.88649187902126503</v>
      </c>
      <c r="L262" s="106">
        <v>0.60921868304756099</v>
      </c>
      <c r="M262" s="106">
        <v>0.91688067520547401</v>
      </c>
      <c r="N262" s="106">
        <v>0.79513386303000499</v>
      </c>
      <c r="P262" s="106">
        <v>0.76793643360623853</v>
      </c>
      <c r="Q262" s="106">
        <v>0.74006978840820337</v>
      </c>
      <c r="R262" s="106">
        <v>0.78186975620525612</v>
      </c>
      <c r="S262" s="106">
        <v>0.72613646580918578</v>
      </c>
      <c r="AA262" s="106">
        <v>1032</v>
      </c>
      <c r="AB262" s="106">
        <v>1046.4621329211748</v>
      </c>
    </row>
    <row r="263" spans="1:28" x14ac:dyDescent="0.2">
      <c r="A263" s="14">
        <v>43549</v>
      </c>
      <c r="B263" s="106">
        <v>1013</v>
      </c>
      <c r="C263" s="106">
        <v>1010</v>
      </c>
      <c r="D263" s="106">
        <v>1372</v>
      </c>
      <c r="E263" s="106">
        <v>1355</v>
      </c>
      <c r="F263" s="106">
        <v>0.74538745387453798</v>
      </c>
      <c r="G263" s="106">
        <v>0.75388866812843802</v>
      </c>
      <c r="H263" s="106">
        <v>1.4044980733461099E-2</v>
      </c>
      <c r="I263" s="106">
        <v>-0.60528486405438597</v>
      </c>
      <c r="J263" s="106">
        <v>-1.1399999999999999</v>
      </c>
      <c r="K263" s="106">
        <v>0.90211575616303596</v>
      </c>
      <c r="L263" s="106">
        <v>0.54844631391659104</v>
      </c>
      <c r="M263" s="106">
        <v>0.91376585589876502</v>
      </c>
      <c r="N263" s="106">
        <v>0.73603776951423705</v>
      </c>
      <c r="P263" s="106">
        <v>0.76793364886189908</v>
      </c>
      <c r="Q263" s="106">
        <v>0.73984368739497697</v>
      </c>
      <c r="R263" s="106">
        <v>0.78197862959536024</v>
      </c>
      <c r="S263" s="106">
        <v>0.7257987066615158</v>
      </c>
      <c r="AA263" s="106">
        <v>1010</v>
      </c>
      <c r="AB263" s="106">
        <v>1023.0564142194745</v>
      </c>
    </row>
    <row r="264" spans="1:28" x14ac:dyDescent="0.2">
      <c r="A264" s="14">
        <v>43546</v>
      </c>
      <c r="B264" s="106">
        <v>1030</v>
      </c>
      <c r="C264" s="106">
        <v>1039</v>
      </c>
      <c r="D264" s="106">
        <v>1400</v>
      </c>
      <c r="E264" s="106">
        <v>1410</v>
      </c>
      <c r="F264" s="106">
        <v>0.73687943262411304</v>
      </c>
      <c r="G264" s="106">
        <v>0.75391302853917297</v>
      </c>
      <c r="H264" s="106">
        <v>1.40317928809036E-2</v>
      </c>
      <c r="I264" s="106">
        <v>-1.2139286874909201</v>
      </c>
      <c r="J264" s="106">
        <v>-2.31</v>
      </c>
      <c r="K264" s="106">
        <v>0.91855052205978205</v>
      </c>
      <c r="L264" s="106">
        <v>0.38226137413659</v>
      </c>
      <c r="M264" s="106">
        <v>0.91099883858881603</v>
      </c>
      <c r="N264" s="106">
        <v>0.73902095393582801</v>
      </c>
      <c r="P264" s="106">
        <v>0.76794482142007658</v>
      </c>
      <c r="Q264" s="106">
        <v>0.73988123565826935</v>
      </c>
      <c r="R264" s="106">
        <v>0.7819766143009802</v>
      </c>
      <c r="S264" s="106">
        <v>0.72584944277736574</v>
      </c>
      <c r="AA264" s="106">
        <v>1039</v>
      </c>
      <c r="AB264" s="106">
        <v>1064.5826893353942</v>
      </c>
    </row>
    <row r="265" spans="1:28" x14ac:dyDescent="0.2">
      <c r="A265" s="14">
        <v>43544</v>
      </c>
      <c r="B265" s="106">
        <v>1003</v>
      </c>
      <c r="C265" s="106">
        <v>1007</v>
      </c>
      <c r="D265" s="106">
        <v>1355</v>
      </c>
      <c r="E265" s="106">
        <v>1375</v>
      </c>
      <c r="F265" s="106">
        <v>0.73236363636363599</v>
      </c>
      <c r="G265" s="106">
        <v>0.75410664357383905</v>
      </c>
      <c r="H265" s="106">
        <v>1.3894938386600299E-2</v>
      </c>
      <c r="I265" s="106">
        <v>-1.56481494233694</v>
      </c>
      <c r="J265" s="106">
        <v>-2.97</v>
      </c>
      <c r="K265" s="106">
        <v>0.92636494497668198</v>
      </c>
      <c r="L265" s="106">
        <v>0.459616966520629</v>
      </c>
      <c r="M265" s="106">
        <v>0.90790329309347395</v>
      </c>
      <c r="N265" s="106">
        <v>0.84689300883062302</v>
      </c>
      <c r="P265" s="106">
        <v>0.76800158196043933</v>
      </c>
      <c r="Q265" s="106">
        <v>0.74021170518723878</v>
      </c>
      <c r="R265" s="106">
        <v>0.7818965203470396</v>
      </c>
      <c r="S265" s="106">
        <v>0.7263167668006385</v>
      </c>
      <c r="AA265" s="106">
        <v>1007</v>
      </c>
      <c r="AB265" s="106">
        <v>1038.1568778979909</v>
      </c>
    </row>
    <row r="266" spans="1:28" x14ac:dyDescent="0.2">
      <c r="A266" s="14">
        <v>43543</v>
      </c>
      <c r="B266" s="106">
        <v>1001</v>
      </c>
      <c r="C266" s="106">
        <v>1006</v>
      </c>
      <c r="D266" s="106">
        <v>1341</v>
      </c>
      <c r="E266" s="106">
        <v>1357</v>
      </c>
      <c r="F266" s="106">
        <v>0.74134119380987396</v>
      </c>
      <c r="G266" s="106">
        <v>0.75435362380912296</v>
      </c>
      <c r="H266" s="106">
        <v>1.3669055205253E-2</v>
      </c>
      <c r="I266" s="106">
        <v>-0.95196264876070902</v>
      </c>
      <c r="J266" s="106">
        <v>-1.76</v>
      </c>
      <c r="K266" s="106">
        <v>0.92978184978036504</v>
      </c>
      <c r="L266" s="106">
        <v>0.42966521021575799</v>
      </c>
      <c r="M266" s="106">
        <v>0.90488243196360096</v>
      </c>
      <c r="N266" s="106">
        <v>0.83503892361828702</v>
      </c>
      <c r="P266" s="106">
        <v>0.76802267901437593</v>
      </c>
      <c r="Q266" s="106">
        <v>0.74068456860387</v>
      </c>
      <c r="R266" s="106">
        <v>0.78169173421962901</v>
      </c>
      <c r="S266" s="106">
        <v>0.72701551339861692</v>
      </c>
      <c r="AA266" s="106">
        <v>1006</v>
      </c>
      <c r="AB266" s="106">
        <v>1024.5664605873262</v>
      </c>
    </row>
    <row r="267" spans="1:28" x14ac:dyDescent="0.2">
      <c r="A267" s="14">
        <v>43542</v>
      </c>
      <c r="B267" s="106">
        <v>991</v>
      </c>
      <c r="C267" s="106">
        <v>989</v>
      </c>
      <c r="D267" s="106">
        <v>1328</v>
      </c>
      <c r="E267" s="106">
        <v>1335</v>
      </c>
      <c r="F267" s="106">
        <v>0.74082397003745304</v>
      </c>
      <c r="G267" s="106">
        <v>0.75460705567669795</v>
      </c>
      <c r="H267" s="106">
        <v>1.3601484918296399E-2</v>
      </c>
      <c r="I267" s="106">
        <v>-1.0133515363976799</v>
      </c>
      <c r="J267" s="106">
        <v>-1.86</v>
      </c>
      <c r="K267" s="106">
        <v>0.93198972919276701</v>
      </c>
      <c r="L267" s="106">
        <v>0.35752482359903498</v>
      </c>
      <c r="M267" s="106">
        <v>0.90119549437338398</v>
      </c>
      <c r="N267" s="106">
        <v>0.87169225142784801</v>
      </c>
      <c r="P267" s="106">
        <v>0.76820854059499433</v>
      </c>
      <c r="Q267" s="106">
        <v>0.74100557075840157</v>
      </c>
      <c r="R267" s="106">
        <v>0.78181002551329071</v>
      </c>
      <c r="S267" s="106">
        <v>0.72740408584010519</v>
      </c>
      <c r="AA267" s="106">
        <v>989</v>
      </c>
      <c r="AB267" s="106">
        <v>1007.9559505409583</v>
      </c>
    </row>
    <row r="268" spans="1:28" x14ac:dyDescent="0.2">
      <c r="A268" s="14">
        <v>43539</v>
      </c>
      <c r="B268" s="106">
        <v>965</v>
      </c>
      <c r="C268" s="106">
        <v>976</v>
      </c>
      <c r="D268" s="106">
        <v>1315</v>
      </c>
      <c r="E268" s="106">
        <v>1320</v>
      </c>
      <c r="F268" s="106">
        <v>0.73939393939393905</v>
      </c>
      <c r="G268" s="106">
        <v>0.75485500660759997</v>
      </c>
      <c r="H268" s="106">
        <v>1.35172049366257E-2</v>
      </c>
      <c r="I268" s="106">
        <v>-1.14380652554643</v>
      </c>
      <c r="J268" s="106">
        <v>-2.09</v>
      </c>
      <c r="K268" s="106">
        <v>0.93393910886536502</v>
      </c>
      <c r="L268" s="106">
        <v>0.31637467809550102</v>
      </c>
      <c r="M268" s="106">
        <v>0.89648924287318998</v>
      </c>
      <c r="N268" s="106">
        <v>0.93724558366567101</v>
      </c>
      <c r="P268" s="106">
        <v>0.76837221154422564</v>
      </c>
      <c r="Q268" s="106">
        <v>0.74133780167097429</v>
      </c>
      <c r="R268" s="106">
        <v>0.78188941648085142</v>
      </c>
      <c r="S268" s="106">
        <v>0.72782059673434851</v>
      </c>
      <c r="AA268" s="106">
        <v>976</v>
      </c>
      <c r="AB268" s="106">
        <v>996.63060278207115</v>
      </c>
    </row>
    <row r="269" spans="1:28" x14ac:dyDescent="0.2">
      <c r="A269" s="14">
        <v>43538</v>
      </c>
      <c r="B269" s="106">
        <v>979</v>
      </c>
      <c r="C269" s="106">
        <v>966</v>
      </c>
      <c r="D269" s="106">
        <v>1324</v>
      </c>
      <c r="E269" s="106">
        <v>1299</v>
      </c>
      <c r="F269" s="106">
        <v>0.74364896073902997</v>
      </c>
      <c r="G269" s="106">
        <v>0.75521767044510002</v>
      </c>
      <c r="H269" s="106">
        <v>1.3462293405355E-2</v>
      </c>
      <c r="I269" s="106">
        <v>-0.85934167067464295</v>
      </c>
      <c r="J269" s="106">
        <v>-1.56</v>
      </c>
      <c r="K269" s="106">
        <v>0.934981734385399</v>
      </c>
      <c r="L269" s="106">
        <v>0.28781266719887</v>
      </c>
      <c r="M269" s="106">
        <v>0.89168070409716504</v>
      </c>
      <c r="N269" s="106">
        <v>0.94353321312196303</v>
      </c>
      <c r="P269" s="106">
        <v>0.76867996385045501</v>
      </c>
      <c r="Q269" s="106">
        <v>0.74175537703974503</v>
      </c>
      <c r="R269" s="106">
        <v>0.78214225725580999</v>
      </c>
      <c r="S269" s="106">
        <v>0.72829308363439005</v>
      </c>
      <c r="AA269" s="106">
        <v>966</v>
      </c>
      <c r="AB269" s="106">
        <v>980.77511591962912</v>
      </c>
    </row>
    <row r="270" spans="1:28" x14ac:dyDescent="0.2">
      <c r="A270" s="14">
        <v>43537</v>
      </c>
      <c r="B270" s="106">
        <v>978</v>
      </c>
      <c r="C270" s="106">
        <v>969</v>
      </c>
      <c r="D270" s="106">
        <v>1316</v>
      </c>
      <c r="E270" s="106">
        <v>1306</v>
      </c>
      <c r="F270" s="106">
        <v>0.74196018376722805</v>
      </c>
      <c r="G270" s="106">
        <v>0.75560849840918698</v>
      </c>
      <c r="H270" s="106">
        <v>1.35459895919312E-2</v>
      </c>
      <c r="I270" s="106">
        <v>-1.0075538999445599</v>
      </c>
      <c r="J270" s="106">
        <v>-1.84</v>
      </c>
      <c r="K270" s="106">
        <v>0.93663179913657102</v>
      </c>
      <c r="L270" s="106">
        <v>0.247554561528123</v>
      </c>
      <c r="M270" s="106">
        <v>0.88780416556198904</v>
      </c>
      <c r="N270" s="106">
        <v>0.93387169470251996</v>
      </c>
      <c r="P270" s="106">
        <v>0.76915448800111819</v>
      </c>
      <c r="Q270" s="106">
        <v>0.74206250881725577</v>
      </c>
      <c r="R270" s="106">
        <v>0.78270047759304939</v>
      </c>
      <c r="S270" s="106">
        <v>0.72851651922532457</v>
      </c>
      <c r="AA270" s="106">
        <v>969</v>
      </c>
      <c r="AB270" s="106">
        <v>986.06027820710983</v>
      </c>
    </row>
    <row r="271" spans="1:28" x14ac:dyDescent="0.2">
      <c r="A271" s="14">
        <v>43536</v>
      </c>
      <c r="B271" s="106">
        <v>976</v>
      </c>
      <c r="C271" s="106">
        <v>985</v>
      </c>
      <c r="D271" s="106">
        <v>1320</v>
      </c>
      <c r="E271" s="106">
        <v>1334</v>
      </c>
      <c r="F271" s="106">
        <v>0.73838080959520203</v>
      </c>
      <c r="G271" s="106">
        <v>0.75609926438261399</v>
      </c>
      <c r="H271" s="106">
        <v>1.37084123439881E-2</v>
      </c>
      <c r="I271" s="106">
        <v>-1.2925242065090601</v>
      </c>
      <c r="J271" s="106">
        <v>-2.4</v>
      </c>
      <c r="K271" s="106">
        <v>0.93920159141786796</v>
      </c>
      <c r="L271" s="106">
        <v>0.19685594251028399</v>
      </c>
      <c r="M271" s="106">
        <v>0.88493432136712202</v>
      </c>
      <c r="N271" s="106">
        <v>0.92168765554520904</v>
      </c>
      <c r="P271" s="106">
        <v>0.76980767672660211</v>
      </c>
      <c r="Q271" s="106">
        <v>0.74239085203862587</v>
      </c>
      <c r="R271" s="106">
        <v>0.78351608907059023</v>
      </c>
      <c r="S271" s="106">
        <v>0.72868243969463775</v>
      </c>
      <c r="AA271" s="106">
        <v>985</v>
      </c>
      <c r="AB271" s="106">
        <v>1007.2009273570325</v>
      </c>
    </row>
    <row r="272" spans="1:28" x14ac:dyDescent="0.2">
      <c r="A272" s="14">
        <v>43535</v>
      </c>
      <c r="B272" s="106">
        <v>972</v>
      </c>
      <c r="C272" s="106">
        <v>965</v>
      </c>
      <c r="D272" s="106">
        <v>1310</v>
      </c>
      <c r="E272" s="106">
        <v>1305</v>
      </c>
      <c r="F272" s="106">
        <v>0.73946360153256696</v>
      </c>
      <c r="G272" s="106">
        <v>0.75674938278239501</v>
      </c>
      <c r="H272" s="106">
        <v>1.4005669321495801E-2</v>
      </c>
      <c r="I272" s="106">
        <v>-1.2341988699745901</v>
      </c>
      <c r="J272" s="106">
        <v>-2.34</v>
      </c>
      <c r="K272" s="106">
        <v>0.94062484412633096</v>
      </c>
      <c r="L272" s="106">
        <v>0.201965932632825</v>
      </c>
      <c r="M272" s="106">
        <v>0.88142997026096104</v>
      </c>
      <c r="N272" s="106">
        <v>0.93507699044963</v>
      </c>
      <c r="P272" s="106">
        <v>0.77075505210389084</v>
      </c>
      <c r="Q272" s="106">
        <v>0.74274371346089918</v>
      </c>
      <c r="R272" s="106">
        <v>0.78476072142538666</v>
      </c>
      <c r="S272" s="106">
        <v>0.72873804413940335</v>
      </c>
      <c r="AA272" s="106">
        <v>965</v>
      </c>
      <c r="AB272" s="106">
        <v>985.30525502318392</v>
      </c>
    </row>
    <row r="273" spans="1:28" x14ac:dyDescent="0.2">
      <c r="A273" s="14">
        <v>43532</v>
      </c>
      <c r="B273" s="106">
        <v>982</v>
      </c>
      <c r="C273" s="106">
        <v>959</v>
      </c>
      <c r="D273" s="106">
        <v>1321</v>
      </c>
      <c r="E273" s="106">
        <v>1294</v>
      </c>
      <c r="F273" s="106">
        <v>0.74111282843894899</v>
      </c>
      <c r="G273" s="106">
        <v>0.75729613339142698</v>
      </c>
      <c r="H273" s="106">
        <v>1.41201285829313E-2</v>
      </c>
      <c r="I273" s="106">
        <v>-1.14611597602878</v>
      </c>
      <c r="J273" s="106">
        <v>-2.1800000000000002</v>
      </c>
      <c r="K273" s="106">
        <v>0.940464226768847</v>
      </c>
      <c r="L273" s="106">
        <v>0.23923961389252299</v>
      </c>
      <c r="M273" s="106">
        <v>0.87681848863727596</v>
      </c>
      <c r="N273" s="106">
        <v>0.94210624685983502</v>
      </c>
      <c r="P273" s="106">
        <v>0.77141626197435831</v>
      </c>
      <c r="Q273" s="106">
        <v>0.74317600480849566</v>
      </c>
      <c r="R273" s="106">
        <v>0.78553639055728963</v>
      </c>
      <c r="S273" s="106">
        <v>0.72905587622556434</v>
      </c>
      <c r="AA273" s="106">
        <v>959</v>
      </c>
      <c r="AB273" s="106">
        <v>977</v>
      </c>
    </row>
    <row r="274" spans="1:28" x14ac:dyDescent="0.2">
      <c r="A274" s="14">
        <v>43531</v>
      </c>
      <c r="B274" s="106">
        <v>999</v>
      </c>
      <c r="C274" s="106">
        <v>991</v>
      </c>
      <c r="D274" s="106">
        <v>1369</v>
      </c>
      <c r="E274" s="106">
        <v>1340</v>
      </c>
      <c r="F274" s="106">
        <v>0.73955223880596999</v>
      </c>
      <c r="G274" s="106">
        <v>0.75806718633146497</v>
      </c>
      <c r="H274" s="106">
        <v>1.4778915270123399E-2</v>
      </c>
      <c r="I274" s="106">
        <v>-1.2527947543568501</v>
      </c>
      <c r="J274" s="106">
        <v>-2.5</v>
      </c>
      <c r="K274" s="106">
        <v>0.94292832613731803</v>
      </c>
      <c r="L274" s="106">
        <v>0.34176083486305697</v>
      </c>
      <c r="M274" s="106">
        <v>0.87321160859574598</v>
      </c>
      <c r="N274" s="106">
        <v>0.91337504007864001</v>
      </c>
      <c r="P274" s="106">
        <v>0.7728461016015884</v>
      </c>
      <c r="Q274" s="106">
        <v>0.74328827106134154</v>
      </c>
      <c r="R274" s="106">
        <v>0.78762501687171182</v>
      </c>
      <c r="S274" s="106">
        <v>0.72850935579121812</v>
      </c>
      <c r="AA274" s="106">
        <v>991</v>
      </c>
      <c r="AB274" s="106">
        <v>1011.7310664605874</v>
      </c>
    </row>
    <row r="275" spans="1:28" x14ac:dyDescent="0.2">
      <c r="A275" s="14">
        <v>43530</v>
      </c>
      <c r="B275" s="106">
        <v>1021</v>
      </c>
      <c r="C275" s="106">
        <v>1018</v>
      </c>
      <c r="D275" s="106">
        <v>1368</v>
      </c>
      <c r="E275" s="106">
        <v>1366</v>
      </c>
      <c r="F275" s="106">
        <v>0.74524158125914997</v>
      </c>
      <c r="G275" s="106">
        <v>0.75876447137640002</v>
      </c>
      <c r="H275" s="106">
        <v>1.51187043305572E-2</v>
      </c>
      <c r="I275" s="106">
        <v>-0.89444768689059295</v>
      </c>
      <c r="J275" s="106">
        <v>-1.81</v>
      </c>
      <c r="K275" s="106">
        <v>0.94354572152528904</v>
      </c>
      <c r="L275" s="106">
        <v>0.24263829722047101</v>
      </c>
      <c r="M275" s="106">
        <v>0.86839255036934504</v>
      </c>
      <c r="N275" s="106">
        <v>0.95270094010678197</v>
      </c>
      <c r="P275" s="106">
        <v>0.77388317570695719</v>
      </c>
      <c r="Q275" s="106">
        <v>0.74364576704584284</v>
      </c>
      <c r="R275" s="106">
        <v>0.78900188003751437</v>
      </c>
      <c r="S275" s="106">
        <v>0.72852706271528567</v>
      </c>
      <c r="AA275" s="106">
        <v>1018</v>
      </c>
      <c r="AB275" s="106">
        <v>1031.3616692426585</v>
      </c>
    </row>
    <row r="276" spans="1:28" x14ac:dyDescent="0.2">
      <c r="A276" s="14">
        <v>43529</v>
      </c>
      <c r="B276" s="106">
        <v>1019</v>
      </c>
      <c r="C276" s="106">
        <v>1021</v>
      </c>
      <c r="D276" s="106">
        <v>1378</v>
      </c>
      <c r="E276" s="106">
        <v>1378</v>
      </c>
      <c r="F276" s="106">
        <v>0.74092888243831601</v>
      </c>
      <c r="G276" s="106">
        <v>0.75936649046761695</v>
      </c>
      <c r="H276" s="106">
        <v>1.5463270726946201E-2</v>
      </c>
      <c r="I276" s="106">
        <v>-1.1923485241173399</v>
      </c>
      <c r="J276" s="106">
        <v>-2.4900000000000002</v>
      </c>
      <c r="K276" s="106">
        <v>0.94379564915749903</v>
      </c>
      <c r="L276" s="106">
        <v>0.27330592756148903</v>
      </c>
      <c r="M276" s="106">
        <v>0.86388878683473302</v>
      </c>
      <c r="N276" s="106">
        <v>0.95871518391052701</v>
      </c>
      <c r="P276" s="106">
        <v>0.77482976119456315</v>
      </c>
      <c r="Q276" s="106">
        <v>0.74390321974067075</v>
      </c>
      <c r="R276" s="106">
        <v>0.79029303192150935</v>
      </c>
      <c r="S276" s="106">
        <v>0.72843994901372455</v>
      </c>
      <c r="AA276" s="106">
        <v>1021</v>
      </c>
      <c r="AB276" s="106">
        <v>1040.4219474497681</v>
      </c>
    </row>
    <row r="277" spans="1:28" x14ac:dyDescent="0.2">
      <c r="A277" s="14">
        <v>43528</v>
      </c>
      <c r="B277" s="106">
        <v>1026</v>
      </c>
      <c r="C277" s="106">
        <v>1033</v>
      </c>
      <c r="D277" s="106">
        <v>1407</v>
      </c>
      <c r="E277" s="106">
        <v>1397</v>
      </c>
      <c r="F277" s="106">
        <v>0.73944166070150297</v>
      </c>
      <c r="G277" s="106">
        <v>0.76015410536843997</v>
      </c>
      <c r="H277" s="106">
        <v>1.5999194576723198E-2</v>
      </c>
      <c r="I277" s="106">
        <v>-1.2945929601400501</v>
      </c>
      <c r="J277" s="106">
        <v>-2.8</v>
      </c>
      <c r="K277" s="106">
        <v>0.94508856942723596</v>
      </c>
      <c r="L277" s="106">
        <v>0.14381043577525199</v>
      </c>
      <c r="M277" s="106">
        <v>0.85928347821698803</v>
      </c>
      <c r="N277" s="106">
        <v>0.95876271222873199</v>
      </c>
      <c r="P277" s="106">
        <v>0.77615329994516313</v>
      </c>
      <c r="Q277" s="106">
        <v>0.74415491079171681</v>
      </c>
      <c r="R277" s="106">
        <v>0.79215249452188641</v>
      </c>
      <c r="S277" s="106">
        <v>0.72815571621499353</v>
      </c>
      <c r="AA277" s="106">
        <v>1033</v>
      </c>
      <c r="AB277" s="106">
        <v>1054.7673879443587</v>
      </c>
    </row>
    <row r="278" spans="1:28" x14ac:dyDescent="0.2">
      <c r="A278" s="14">
        <v>43525</v>
      </c>
      <c r="B278" s="106">
        <v>1012</v>
      </c>
      <c r="C278" s="106">
        <v>1014</v>
      </c>
      <c r="D278" s="106">
        <v>1373</v>
      </c>
      <c r="E278" s="106">
        <v>1379</v>
      </c>
      <c r="F278" s="106">
        <v>0.73531544597534404</v>
      </c>
      <c r="G278" s="106">
        <v>0.76097520509846694</v>
      </c>
      <c r="H278" s="106">
        <v>1.64879172240632E-2</v>
      </c>
      <c r="I278" s="106">
        <v>-1.5562765614612499</v>
      </c>
      <c r="J278" s="106">
        <v>-3.49</v>
      </c>
      <c r="K278" s="106">
        <v>0.95086450965717395</v>
      </c>
      <c r="L278" s="106">
        <v>0.163473287884704</v>
      </c>
      <c r="M278" s="106">
        <v>0.85503614948148798</v>
      </c>
      <c r="N278" s="106">
        <v>0.96000849063319404</v>
      </c>
      <c r="P278" s="106">
        <v>0.77746312232253012</v>
      </c>
      <c r="Q278" s="106">
        <v>0.74448728787440377</v>
      </c>
      <c r="R278" s="106">
        <v>0.7939510395465933</v>
      </c>
      <c r="S278" s="106">
        <v>0.72799937065034059</v>
      </c>
      <c r="AA278" s="106">
        <v>1014</v>
      </c>
      <c r="AB278" s="106">
        <v>1041.1769706336941</v>
      </c>
    </row>
    <row r="279" spans="1:28" x14ac:dyDescent="0.2">
      <c r="A279" s="14">
        <v>43524</v>
      </c>
      <c r="B279" s="106">
        <v>1028</v>
      </c>
      <c r="C279" s="106">
        <v>1023</v>
      </c>
      <c r="D279" s="106">
        <v>1391</v>
      </c>
      <c r="E279" s="106">
        <v>1380</v>
      </c>
      <c r="F279" s="106">
        <v>0.74130434782608701</v>
      </c>
      <c r="G279" s="106">
        <v>0.76178756947968196</v>
      </c>
      <c r="H279" s="106">
        <v>1.6703188959158299E-2</v>
      </c>
      <c r="I279" s="106">
        <v>-1.2263060487239701</v>
      </c>
      <c r="J279" s="106">
        <v>-2.76</v>
      </c>
      <c r="K279" s="106">
        <v>0.95225206645982796</v>
      </c>
      <c r="L279" s="106">
        <v>0.176536887853258</v>
      </c>
      <c r="M279" s="106">
        <v>0.85306241393256499</v>
      </c>
      <c r="N279" s="106">
        <v>0.91832685909670497</v>
      </c>
      <c r="P279" s="106">
        <v>0.7784907584388403</v>
      </c>
      <c r="Q279" s="106">
        <v>0.74508438052052361</v>
      </c>
      <c r="R279" s="106">
        <v>0.79519394739799854</v>
      </c>
      <c r="S279" s="106">
        <v>0.72838119156136538</v>
      </c>
      <c r="AA279" s="106">
        <v>1023</v>
      </c>
      <c r="AB279" s="106">
        <v>1041.9319938176197</v>
      </c>
    </row>
    <row r="280" spans="1:28" x14ac:dyDescent="0.2">
      <c r="A280" s="14">
        <v>43523</v>
      </c>
      <c r="B280" s="106">
        <v>1043</v>
      </c>
      <c r="C280" s="106">
        <v>1032</v>
      </c>
      <c r="D280" s="106">
        <v>1400</v>
      </c>
      <c r="E280" s="106">
        <v>1389</v>
      </c>
      <c r="F280" s="106">
        <v>0.74298056155507497</v>
      </c>
      <c r="G280" s="106">
        <v>0.76273256506699505</v>
      </c>
      <c r="H280" s="106">
        <v>1.7503332428287902E-2</v>
      </c>
      <c r="I280" s="106">
        <v>-1.1284710264656399</v>
      </c>
      <c r="J280" s="106">
        <v>-2.66</v>
      </c>
      <c r="K280" s="106">
        <v>0.95408908722833696</v>
      </c>
      <c r="L280" s="106">
        <v>0.13734971336726101</v>
      </c>
      <c r="M280" s="106">
        <v>0.85122273352189504</v>
      </c>
      <c r="N280" s="106">
        <v>0.93637036997171197</v>
      </c>
      <c r="P280" s="106">
        <v>0.78023589749528299</v>
      </c>
      <c r="Q280" s="106">
        <v>0.74522923263870711</v>
      </c>
      <c r="R280" s="106">
        <v>0.79773922992357083</v>
      </c>
      <c r="S280" s="106">
        <v>0.72772590021041927</v>
      </c>
      <c r="AA280" s="106">
        <v>1032</v>
      </c>
      <c r="AB280" s="106">
        <v>1048.7272024729521</v>
      </c>
    </row>
    <row r="281" spans="1:28" x14ac:dyDescent="0.2">
      <c r="A281" s="14">
        <v>43522</v>
      </c>
      <c r="B281" s="106">
        <v>1048</v>
      </c>
      <c r="C281" s="106">
        <v>1046</v>
      </c>
      <c r="D281" s="106">
        <v>1394</v>
      </c>
      <c r="E281" s="106">
        <v>1404</v>
      </c>
      <c r="F281" s="106">
        <v>0.74501424501424496</v>
      </c>
      <c r="G281" s="106">
        <v>0.76367620533508596</v>
      </c>
      <c r="H281" s="106">
        <v>1.83025377756241E-2</v>
      </c>
      <c r="I281" s="106">
        <v>-1.01963785293728</v>
      </c>
      <c r="J281" s="106">
        <v>-2.5</v>
      </c>
      <c r="K281" s="106">
        <v>0.95516384290723599</v>
      </c>
      <c r="L281" s="106">
        <v>0.15717932035795401</v>
      </c>
      <c r="M281" s="106">
        <v>0.85136121128757603</v>
      </c>
      <c r="N281" s="106">
        <v>0.90299687407411</v>
      </c>
      <c r="P281" s="106">
        <v>0.78197874311071003</v>
      </c>
      <c r="Q281" s="106">
        <v>0.74537366755946188</v>
      </c>
      <c r="R281" s="106">
        <v>0.80028128088633421</v>
      </c>
      <c r="S281" s="106">
        <v>0.7270711297838377</v>
      </c>
      <c r="AA281" s="106">
        <v>1046</v>
      </c>
      <c r="AB281" s="106">
        <v>1060.0525502318394</v>
      </c>
    </row>
    <row r="282" spans="1:28" x14ac:dyDescent="0.2">
      <c r="A282" s="14">
        <v>43521</v>
      </c>
      <c r="B282" s="106">
        <v>1053</v>
      </c>
      <c r="C282" s="106">
        <v>1054</v>
      </c>
      <c r="D282" s="106">
        <v>1409</v>
      </c>
      <c r="E282" s="106">
        <v>1397</v>
      </c>
      <c r="F282" s="106">
        <v>0.75447387258410803</v>
      </c>
      <c r="G282" s="106">
        <v>0.76469506302060997</v>
      </c>
      <c r="H282" s="106">
        <v>1.9333193693658601E-2</v>
      </c>
      <c r="I282" s="106">
        <v>-0.52868608252003702</v>
      </c>
      <c r="J282" s="106">
        <v>-1.35</v>
      </c>
      <c r="K282" s="106">
        <v>0.95530465728795799</v>
      </c>
      <c r="L282" s="106">
        <v>0.15367263709215501</v>
      </c>
      <c r="M282" s="106">
        <v>0.85035197240827498</v>
      </c>
      <c r="N282" s="106">
        <v>0.91875913602215498</v>
      </c>
      <c r="P282" s="106">
        <v>0.78402825671426857</v>
      </c>
      <c r="Q282" s="106">
        <v>0.74536186932695137</v>
      </c>
      <c r="R282" s="106">
        <v>0.80336145040792717</v>
      </c>
      <c r="S282" s="106">
        <v>0.72602867563329276</v>
      </c>
      <c r="AA282" s="106">
        <v>1054</v>
      </c>
      <c r="AB282" s="106">
        <v>1054.7673879443587</v>
      </c>
    </row>
    <row r="283" spans="1:28" x14ac:dyDescent="0.2">
      <c r="A283" s="14">
        <v>43518</v>
      </c>
      <c r="B283" s="106">
        <v>1047</v>
      </c>
      <c r="C283" s="106">
        <v>1051</v>
      </c>
      <c r="D283" s="106">
        <v>1392</v>
      </c>
      <c r="E283" s="106">
        <v>1391</v>
      </c>
      <c r="F283" s="106">
        <v>0.75557153127246501</v>
      </c>
      <c r="G283" s="106">
        <v>0.76521501867264696</v>
      </c>
      <c r="H283" s="106">
        <v>1.9574203280001101E-2</v>
      </c>
      <c r="I283" s="106">
        <v>-0.49266308632004202</v>
      </c>
      <c r="J283" s="106">
        <v>-1.28</v>
      </c>
      <c r="K283" s="106">
        <v>0.955031994953492</v>
      </c>
      <c r="L283" s="106">
        <v>0.1655320014694</v>
      </c>
      <c r="M283" s="106">
        <v>0.84896798304799204</v>
      </c>
      <c r="N283" s="106">
        <v>0.92521981059910197</v>
      </c>
      <c r="P283" s="106">
        <v>0.78478922195264811</v>
      </c>
      <c r="Q283" s="106">
        <v>0.74564081539264582</v>
      </c>
      <c r="R283" s="106">
        <v>0.80436342523264914</v>
      </c>
      <c r="S283" s="106">
        <v>0.72606661211264478</v>
      </c>
      <c r="AA283" s="106">
        <v>1051</v>
      </c>
      <c r="AB283" s="106">
        <v>1050.2372488408037</v>
      </c>
    </row>
    <row r="284" spans="1:28" x14ac:dyDescent="0.2">
      <c r="A284" s="14">
        <v>43517</v>
      </c>
      <c r="B284" s="106">
        <v>1052</v>
      </c>
      <c r="C284" s="106">
        <v>1059</v>
      </c>
      <c r="D284" s="106">
        <v>1428</v>
      </c>
      <c r="E284" s="106">
        <v>1412</v>
      </c>
      <c r="F284" s="106">
        <v>0.75</v>
      </c>
      <c r="G284" s="106">
        <v>0.76525062169890401</v>
      </c>
      <c r="H284" s="106">
        <v>1.9559053145844999E-2</v>
      </c>
      <c r="I284" s="106">
        <v>-0.77972188046046298</v>
      </c>
      <c r="J284" s="106">
        <v>-2.0299999999999998</v>
      </c>
      <c r="K284" s="106">
        <v>0.95446166105835095</v>
      </c>
      <c r="L284" s="106">
        <v>0.12536549600741601</v>
      </c>
      <c r="M284" s="106">
        <v>0.84661437679777496</v>
      </c>
      <c r="N284" s="106">
        <v>0.94401508528211697</v>
      </c>
      <c r="P284" s="106">
        <v>0.78480967484474906</v>
      </c>
      <c r="Q284" s="106">
        <v>0.74569156855305896</v>
      </c>
      <c r="R284" s="106">
        <v>0.804368727990594</v>
      </c>
      <c r="S284" s="106">
        <v>0.72613251540721402</v>
      </c>
      <c r="AA284" s="106">
        <v>1059</v>
      </c>
      <c r="AB284" s="106">
        <v>1066.0927357032458</v>
      </c>
    </row>
    <row r="285" spans="1:28" x14ac:dyDescent="0.2">
      <c r="A285" s="14">
        <v>43516</v>
      </c>
      <c r="B285" s="106">
        <v>1045</v>
      </c>
      <c r="C285" s="106">
        <v>1055</v>
      </c>
      <c r="D285" s="106">
        <v>1423</v>
      </c>
      <c r="E285" s="106">
        <v>1439</v>
      </c>
      <c r="F285" s="106">
        <v>0.73314801945795605</v>
      </c>
      <c r="G285" s="106">
        <v>0.76542387187215399</v>
      </c>
      <c r="H285" s="106">
        <v>1.9480589578508199E-2</v>
      </c>
      <c r="I285" s="106">
        <v>-1.65682112875093</v>
      </c>
      <c r="J285" s="106">
        <v>-4.4000000000000004</v>
      </c>
      <c r="K285" s="106">
        <v>0.956162285826758</v>
      </c>
      <c r="L285" s="106">
        <v>0.13145026938525201</v>
      </c>
      <c r="M285" s="106">
        <v>0.84703900794799403</v>
      </c>
      <c r="N285" s="106">
        <v>0.85173866502252105</v>
      </c>
      <c r="P285" s="106">
        <v>0.78490446145066217</v>
      </c>
      <c r="Q285" s="106">
        <v>0.74594328229364582</v>
      </c>
      <c r="R285" s="106">
        <v>0.80438505102917035</v>
      </c>
      <c r="S285" s="106">
        <v>0.72646269271513764</v>
      </c>
      <c r="AA285" s="106">
        <v>1055</v>
      </c>
      <c r="AB285" s="106">
        <v>1086.4783616692428</v>
      </c>
    </row>
    <row r="286" spans="1:28" x14ac:dyDescent="0.2">
      <c r="A286" s="14">
        <v>43515</v>
      </c>
      <c r="B286" s="106">
        <v>1040</v>
      </c>
      <c r="C286" s="106">
        <v>1047</v>
      </c>
      <c r="D286" s="106">
        <v>1407</v>
      </c>
      <c r="E286" s="106">
        <v>1417</v>
      </c>
      <c r="F286" s="106">
        <v>0.73888496824276595</v>
      </c>
      <c r="G286" s="106">
        <v>0.765918583568022</v>
      </c>
      <c r="H286" s="106">
        <v>1.9122489951613801E-2</v>
      </c>
      <c r="I286" s="106">
        <v>-1.4137079111381301</v>
      </c>
      <c r="J286" s="106">
        <v>-3.66</v>
      </c>
      <c r="K286" s="106">
        <v>0.95665106216608398</v>
      </c>
      <c r="L286" s="106">
        <v>0.19777845526971699</v>
      </c>
      <c r="M286" s="106">
        <v>0.84712205199022494</v>
      </c>
      <c r="N286" s="106">
        <v>0.83857013618086995</v>
      </c>
      <c r="P286" s="106">
        <v>0.78504107351963581</v>
      </c>
      <c r="Q286" s="106">
        <v>0.7467960936164082</v>
      </c>
      <c r="R286" s="106">
        <v>0.80416356347124962</v>
      </c>
      <c r="S286" s="106">
        <v>0.72767360366479439</v>
      </c>
      <c r="AA286" s="106">
        <v>1047</v>
      </c>
      <c r="AB286" s="106">
        <v>1069.8678516228749</v>
      </c>
    </row>
    <row r="287" spans="1:28" x14ac:dyDescent="0.2">
      <c r="A287" s="14">
        <v>43514</v>
      </c>
      <c r="B287" s="106">
        <v>1071</v>
      </c>
      <c r="C287" s="106">
        <v>1055</v>
      </c>
      <c r="D287" s="106">
        <v>1425</v>
      </c>
      <c r="E287" s="106">
        <v>1413</v>
      </c>
      <c r="F287" s="106">
        <v>0.74663835810332602</v>
      </c>
      <c r="G287" s="106">
        <v>0.76635885631412204</v>
      </c>
      <c r="H287" s="106">
        <v>1.8873512141834501E-2</v>
      </c>
      <c r="I287" s="106">
        <v>-1.04487697163075</v>
      </c>
      <c r="J287" s="106">
        <v>-2.64</v>
      </c>
      <c r="K287" s="106">
        <v>0.95493997815933696</v>
      </c>
      <c r="L287" s="106">
        <v>0.28004148361473702</v>
      </c>
      <c r="M287" s="106">
        <v>0.847670246438608</v>
      </c>
      <c r="N287" s="106">
        <v>0.83117634694836795</v>
      </c>
      <c r="P287" s="106">
        <v>0.78523236845595656</v>
      </c>
      <c r="Q287" s="106">
        <v>0.74748534417228751</v>
      </c>
      <c r="R287" s="106">
        <v>0.80410588059779109</v>
      </c>
      <c r="S287" s="106">
        <v>0.72861183203045299</v>
      </c>
      <c r="AA287" s="106">
        <v>1055</v>
      </c>
      <c r="AB287" s="106">
        <v>1066.8477588871715</v>
      </c>
    </row>
    <row r="288" spans="1:28" x14ac:dyDescent="0.2">
      <c r="A288" s="14">
        <v>43511</v>
      </c>
      <c r="B288" s="106">
        <v>1051</v>
      </c>
      <c r="C288" s="106">
        <v>1043</v>
      </c>
      <c r="D288" s="106">
        <v>1365</v>
      </c>
      <c r="E288" s="106">
        <v>1378</v>
      </c>
      <c r="F288" s="106">
        <v>0.75689404934687898</v>
      </c>
      <c r="G288" s="106">
        <v>0.76670670850910805</v>
      </c>
      <c r="H288" s="106">
        <v>1.8746837292126801E-2</v>
      </c>
      <c r="I288" s="106">
        <v>-0.52343011300098596</v>
      </c>
      <c r="J288" s="106">
        <v>-1.3</v>
      </c>
      <c r="K288" s="106">
        <v>0.95209361721049901</v>
      </c>
      <c r="L288" s="106">
        <v>0.35459945405408699</v>
      </c>
      <c r="M288" s="106">
        <v>0.84696564860252699</v>
      </c>
      <c r="N288" s="106">
        <v>0.83189806974191705</v>
      </c>
      <c r="P288" s="106">
        <v>0.78545354580123483</v>
      </c>
      <c r="Q288" s="106">
        <v>0.74795987121698126</v>
      </c>
      <c r="R288" s="106">
        <v>0.80420038309336161</v>
      </c>
      <c r="S288" s="106">
        <v>0.72921303392485448</v>
      </c>
      <c r="AA288" s="106">
        <v>1043</v>
      </c>
      <c r="AB288" s="106">
        <v>1040.4219474497681</v>
      </c>
    </row>
    <row r="289" spans="1:28" x14ac:dyDescent="0.2">
      <c r="A289" s="14">
        <v>43510</v>
      </c>
      <c r="B289" s="106">
        <v>1061</v>
      </c>
      <c r="C289" s="106">
        <v>1061</v>
      </c>
      <c r="D289" s="106">
        <v>1388</v>
      </c>
      <c r="E289" s="106">
        <v>1392</v>
      </c>
      <c r="F289" s="106">
        <v>0.76221264367816</v>
      </c>
      <c r="G289" s="106">
        <v>0.767011026937785</v>
      </c>
      <c r="H289" s="106">
        <v>1.8770313813814901E-2</v>
      </c>
      <c r="I289" s="106">
        <v>-0.25563681605008898</v>
      </c>
      <c r="J289" s="106">
        <v>-0.63</v>
      </c>
      <c r="K289" s="106">
        <v>0.94644301955196997</v>
      </c>
      <c r="L289" s="106">
        <v>0.54417715548268997</v>
      </c>
      <c r="M289" s="106">
        <v>0.84630417148298998</v>
      </c>
      <c r="N289" s="106">
        <v>0.828141458549006</v>
      </c>
      <c r="P289" s="106">
        <v>0.78578134075159989</v>
      </c>
      <c r="Q289" s="106">
        <v>0.74824071312397011</v>
      </c>
      <c r="R289" s="106">
        <v>0.80455165456541478</v>
      </c>
      <c r="S289" s="106">
        <v>0.72947039931015523</v>
      </c>
      <c r="AA289" s="106">
        <v>1061</v>
      </c>
      <c r="AB289" s="106">
        <v>1050.9922720247296</v>
      </c>
    </row>
    <row r="290" spans="1:28" x14ac:dyDescent="0.2">
      <c r="A290" s="14">
        <v>43509</v>
      </c>
      <c r="B290" s="106">
        <v>1044</v>
      </c>
      <c r="C290" s="106">
        <v>1060</v>
      </c>
      <c r="D290" s="106">
        <v>1371</v>
      </c>
      <c r="E290" s="106">
        <v>1381</v>
      </c>
      <c r="F290" s="106">
        <v>0.76755973931933297</v>
      </c>
      <c r="G290" s="106">
        <v>0.76716150761563595</v>
      </c>
      <c r="H290" s="106">
        <v>1.87764810570079E-2</v>
      </c>
      <c r="I290" s="106">
        <v>2.1209070138774901E-2</v>
      </c>
      <c r="J290" s="106">
        <v>0.05</v>
      </c>
      <c r="K290" s="106">
        <v>0.94366916880146001</v>
      </c>
      <c r="L290" s="106">
        <v>0.53070107323339899</v>
      </c>
      <c r="M290" s="106">
        <v>0.84552850239335797</v>
      </c>
      <c r="N290" s="106">
        <v>0.80343485317074903</v>
      </c>
      <c r="P290" s="106">
        <v>0.78593798867264386</v>
      </c>
      <c r="Q290" s="106">
        <v>0.74838502655862804</v>
      </c>
      <c r="R290" s="106">
        <v>0.80471446972965177</v>
      </c>
      <c r="S290" s="106">
        <v>0.72960854550162013</v>
      </c>
      <c r="AA290" s="106">
        <v>1060</v>
      </c>
      <c r="AB290" s="106">
        <v>1042.6870170015457</v>
      </c>
    </row>
    <row r="291" spans="1:28" x14ac:dyDescent="0.2">
      <c r="A291" s="14">
        <v>43508</v>
      </c>
      <c r="B291" s="106">
        <v>1014</v>
      </c>
      <c r="C291" s="106">
        <v>1030</v>
      </c>
      <c r="D291" s="106">
        <v>1300</v>
      </c>
      <c r="E291" s="106">
        <v>1352</v>
      </c>
      <c r="F291" s="106">
        <v>0.76183431952662695</v>
      </c>
      <c r="G291" s="106">
        <v>0.76722803135281603</v>
      </c>
      <c r="H291" s="106">
        <v>1.87866097199464E-2</v>
      </c>
      <c r="I291" s="106">
        <v>-0.28710405478124101</v>
      </c>
      <c r="J291" s="106">
        <v>-0.71</v>
      </c>
      <c r="K291" s="106">
        <v>0.93451339347870099</v>
      </c>
      <c r="L291" s="106">
        <v>0.77975617829337296</v>
      </c>
      <c r="M291" s="106">
        <v>0.84461850041044595</v>
      </c>
      <c r="N291" s="106">
        <v>0.82025972559188498</v>
      </c>
      <c r="P291" s="106">
        <v>0.78601464107276242</v>
      </c>
      <c r="Q291" s="106">
        <v>0.74844142163286964</v>
      </c>
      <c r="R291" s="106">
        <v>0.80480125079270881</v>
      </c>
      <c r="S291" s="106">
        <v>0.72965481191292325</v>
      </c>
      <c r="AA291" s="106">
        <v>1030</v>
      </c>
      <c r="AB291" s="106">
        <v>1020.7913446676971</v>
      </c>
    </row>
    <row r="292" spans="1:28" x14ac:dyDescent="0.2">
      <c r="A292" s="14">
        <v>43504</v>
      </c>
      <c r="B292" s="106">
        <v>1049</v>
      </c>
      <c r="C292" s="106">
        <v>1019</v>
      </c>
      <c r="D292" s="106">
        <v>1339</v>
      </c>
      <c r="E292" s="106">
        <v>1299</v>
      </c>
      <c r="F292" s="106">
        <v>0.78444957659738201</v>
      </c>
      <c r="G292" s="106">
        <v>0.76757922894647901</v>
      </c>
      <c r="H292" s="106">
        <v>1.8928162325641699E-2</v>
      </c>
      <c r="I292" s="106">
        <v>0.89128291276587801</v>
      </c>
      <c r="J292" s="106">
        <v>2.15</v>
      </c>
      <c r="K292" s="106">
        <v>0.92473494411718204</v>
      </c>
      <c r="L292" s="106">
        <v>0.70138401394009098</v>
      </c>
      <c r="M292" s="106">
        <v>0.84443743800266202</v>
      </c>
      <c r="N292" s="106">
        <v>0.80353816148131596</v>
      </c>
      <c r="P292" s="106">
        <v>0.78650739127212066</v>
      </c>
      <c r="Q292" s="106">
        <v>0.74865106662083736</v>
      </c>
      <c r="R292" s="106">
        <v>0.80543555359776242</v>
      </c>
      <c r="S292" s="106">
        <v>0.7297229042951956</v>
      </c>
      <c r="AA292" s="106">
        <v>1019</v>
      </c>
      <c r="AB292" s="106">
        <v>980.77511591962912</v>
      </c>
    </row>
    <row r="293" spans="1:28" x14ac:dyDescent="0.2">
      <c r="A293" s="14">
        <v>43503</v>
      </c>
      <c r="B293" s="106">
        <v>1075</v>
      </c>
      <c r="C293" s="106">
        <v>1067</v>
      </c>
      <c r="D293" s="106">
        <v>1376</v>
      </c>
      <c r="E293" s="106">
        <v>1364</v>
      </c>
      <c r="F293" s="106">
        <v>0.782258064516129</v>
      </c>
      <c r="G293" s="106">
        <v>0.76742978400558204</v>
      </c>
      <c r="H293" s="106">
        <v>1.8838408990603898E-2</v>
      </c>
      <c r="I293" s="106">
        <v>0.78713019331633205</v>
      </c>
      <c r="J293" s="106">
        <v>1.9</v>
      </c>
      <c r="K293" s="106">
        <v>0.91808812821513397</v>
      </c>
      <c r="L293" s="106">
        <v>0.95322515370274297</v>
      </c>
      <c r="M293" s="106">
        <v>0.84614715117151196</v>
      </c>
      <c r="N293" s="106">
        <v>0.79792979092665195</v>
      </c>
      <c r="P293" s="106">
        <v>0.78626819299618589</v>
      </c>
      <c r="Q293" s="106">
        <v>0.74859137501497819</v>
      </c>
      <c r="R293" s="106">
        <v>0.80510660198678985</v>
      </c>
      <c r="S293" s="106">
        <v>0.72975296602437423</v>
      </c>
      <c r="AA293" s="106">
        <v>1067</v>
      </c>
      <c r="AB293" s="106">
        <v>1029.8516228748069</v>
      </c>
    </row>
    <row r="294" spans="1:28" x14ac:dyDescent="0.2">
      <c r="A294" s="14">
        <v>43502</v>
      </c>
      <c r="B294" s="106">
        <v>1076</v>
      </c>
      <c r="C294" s="106">
        <v>1078</v>
      </c>
      <c r="D294" s="106">
        <v>1408</v>
      </c>
      <c r="E294" s="106">
        <v>1387</v>
      </c>
      <c r="F294" s="106">
        <v>0.77721701514059105</v>
      </c>
      <c r="G294" s="106">
        <v>0.76722049666797498</v>
      </c>
      <c r="H294" s="106">
        <v>1.8759536205223599E-2</v>
      </c>
      <c r="I294" s="106">
        <v>0.53287663209029401</v>
      </c>
      <c r="J294" s="106">
        <v>1.29</v>
      </c>
      <c r="K294" s="106">
        <v>0.90979661052449201</v>
      </c>
      <c r="L294" s="106">
        <v>0.94790414490074104</v>
      </c>
      <c r="M294" s="106">
        <v>0.84704847244368997</v>
      </c>
      <c r="N294" s="106">
        <v>0.80408166571113004</v>
      </c>
      <c r="P294" s="106">
        <v>0.78598003287319862</v>
      </c>
      <c r="Q294" s="106">
        <v>0.74846096046275135</v>
      </c>
      <c r="R294" s="106">
        <v>0.80473956907842215</v>
      </c>
      <c r="S294" s="106">
        <v>0.72970142425752782</v>
      </c>
      <c r="AA294" s="106">
        <v>1078</v>
      </c>
      <c r="AB294" s="106">
        <v>1047.2171561051005</v>
      </c>
    </row>
    <row r="295" spans="1:28" x14ac:dyDescent="0.2">
      <c r="A295" s="14">
        <v>43501</v>
      </c>
      <c r="B295" s="106">
        <v>1075</v>
      </c>
      <c r="C295" s="106">
        <v>1068</v>
      </c>
      <c r="D295" s="106">
        <v>1377</v>
      </c>
      <c r="E295" s="106">
        <v>1382</v>
      </c>
      <c r="F295" s="106">
        <v>0.77279305354558603</v>
      </c>
      <c r="G295" s="106">
        <v>0.76703818524451595</v>
      </c>
      <c r="H295" s="106">
        <v>1.87279152948077E-2</v>
      </c>
      <c r="I295" s="106">
        <v>0.30728824914460501</v>
      </c>
      <c r="J295" s="106">
        <v>0.74</v>
      </c>
      <c r="K295" s="106">
        <v>0.90367036010278401</v>
      </c>
      <c r="L295" s="106">
        <v>0.94070475988935598</v>
      </c>
      <c r="M295" s="106">
        <v>0.84871252060523805</v>
      </c>
      <c r="N295" s="106">
        <v>0.70924160192569496</v>
      </c>
      <c r="P295" s="106">
        <v>0.78576610053932361</v>
      </c>
      <c r="Q295" s="106">
        <v>0.74831026994970828</v>
      </c>
      <c r="R295" s="106">
        <v>0.80449401583413138</v>
      </c>
      <c r="S295" s="106">
        <v>0.72958235465490051</v>
      </c>
      <c r="AA295" s="106">
        <v>1068</v>
      </c>
      <c r="AB295" s="106">
        <v>1043.4420401854713</v>
      </c>
    </row>
    <row r="296" spans="1:28" x14ac:dyDescent="0.2">
      <c r="A296" s="14">
        <v>43500</v>
      </c>
      <c r="B296" s="106">
        <v>1054</v>
      </c>
      <c r="C296" s="106">
        <v>1072</v>
      </c>
      <c r="D296" s="106">
        <v>1347</v>
      </c>
      <c r="E296" s="106">
        <v>1374</v>
      </c>
      <c r="F296" s="106">
        <v>0.78020378457059603</v>
      </c>
      <c r="G296" s="106">
        <v>0.76681942843504003</v>
      </c>
      <c r="H296" s="106">
        <v>1.87552183169836E-2</v>
      </c>
      <c r="I296" s="106">
        <v>0.71363371565962896</v>
      </c>
      <c r="J296" s="106">
        <v>1.72</v>
      </c>
      <c r="K296" s="106">
        <v>0.89151897123605395</v>
      </c>
      <c r="L296" s="106">
        <v>0.99269184658472298</v>
      </c>
      <c r="M296" s="106">
        <v>0.85270895215626197</v>
      </c>
      <c r="N296" s="106">
        <v>0.67466692965555297</v>
      </c>
      <c r="P296" s="106">
        <v>0.7855746467520236</v>
      </c>
      <c r="Q296" s="106">
        <v>0.74806421011805646</v>
      </c>
      <c r="R296" s="106">
        <v>0.80432986506900728</v>
      </c>
      <c r="S296" s="106">
        <v>0.72930899180107278</v>
      </c>
      <c r="AA296" s="106">
        <v>1072</v>
      </c>
      <c r="AB296" s="106">
        <v>1037.4018547140649</v>
      </c>
    </row>
    <row r="297" spans="1:28" x14ac:dyDescent="0.2">
      <c r="A297" s="14">
        <v>43497</v>
      </c>
      <c r="B297" s="106">
        <v>1055</v>
      </c>
      <c r="C297" s="106">
        <v>1035</v>
      </c>
      <c r="D297" s="106">
        <v>1409</v>
      </c>
      <c r="E297" s="106">
        <v>1325</v>
      </c>
      <c r="F297" s="106">
        <v>0.78113207547169805</v>
      </c>
      <c r="G297" s="106">
        <v>0.76662122321972404</v>
      </c>
      <c r="H297" s="106">
        <v>1.8691164449661599E-2</v>
      </c>
      <c r="I297" s="106">
        <v>0.77634822009372895</v>
      </c>
      <c r="J297" s="106">
        <v>1.86</v>
      </c>
      <c r="K297" s="106">
        <v>0.88149635229946899</v>
      </c>
      <c r="L297" s="15">
        <v>0.99389460604442004</v>
      </c>
      <c r="M297" s="106">
        <v>0.85747136253327005</v>
      </c>
      <c r="N297" s="106">
        <v>0.61471662769483704</v>
      </c>
      <c r="P297" s="106">
        <v>0.7853123876693856</v>
      </c>
      <c r="Q297" s="106">
        <v>0.74793005877006247</v>
      </c>
      <c r="R297" s="106">
        <v>0.80400355211904728</v>
      </c>
      <c r="S297" s="106">
        <v>0.72923889432040079</v>
      </c>
      <c r="AA297" s="106">
        <v>1035</v>
      </c>
      <c r="AB297" s="106">
        <v>1000.4057187017002</v>
      </c>
    </row>
    <row r="298" spans="1:28" x14ac:dyDescent="0.2">
      <c r="A298" s="14">
        <v>43496</v>
      </c>
      <c r="B298" s="106">
        <v>1075</v>
      </c>
      <c r="C298" s="106">
        <v>1059</v>
      </c>
      <c r="D298" s="106">
        <v>1431</v>
      </c>
      <c r="E298" s="106">
        <v>1409</v>
      </c>
      <c r="F298" s="106">
        <v>0.75159687721788504</v>
      </c>
      <c r="G298" s="106">
        <v>0.76649695662059303</v>
      </c>
      <c r="H298" s="106">
        <v>1.86251421968107E-2</v>
      </c>
      <c r="I298" s="106">
        <v>-0.79999815546428099</v>
      </c>
      <c r="J298" s="106">
        <v>-1.98</v>
      </c>
      <c r="K298" s="106">
        <v>0.86544327402628296</v>
      </c>
      <c r="L298" s="106">
        <v>0.99359282282612504</v>
      </c>
      <c r="M298" s="106">
        <v>0.86265804049140105</v>
      </c>
      <c r="N298" s="106">
        <v>0.62317544927523105</v>
      </c>
      <c r="P298" s="106">
        <v>0.78512209881740369</v>
      </c>
      <c r="Q298" s="106">
        <v>0.74787181442378237</v>
      </c>
      <c r="R298" s="106">
        <v>0.80374724101421446</v>
      </c>
      <c r="S298" s="106">
        <v>0.72924667222697159</v>
      </c>
      <c r="AA298" s="106">
        <v>1059</v>
      </c>
      <c r="AB298" s="106">
        <v>1063.8276661514683</v>
      </c>
    </row>
    <row r="299" spans="1:28" x14ac:dyDescent="0.2">
      <c r="A299" s="14">
        <v>43495</v>
      </c>
      <c r="B299" s="106">
        <v>1055</v>
      </c>
      <c r="C299" s="106">
        <v>1047</v>
      </c>
      <c r="D299" s="106">
        <v>1423</v>
      </c>
      <c r="E299" s="106">
        <v>1396</v>
      </c>
      <c r="F299" s="106">
        <v>0.75</v>
      </c>
      <c r="G299" s="106">
        <v>0.76670637295935895</v>
      </c>
      <c r="H299" s="106">
        <v>1.8544556255609398E-2</v>
      </c>
      <c r="I299" s="106">
        <v>-0.90087747202393897</v>
      </c>
      <c r="J299" s="106">
        <v>-2.23</v>
      </c>
      <c r="K299" s="106">
        <v>0.86581017871959498</v>
      </c>
      <c r="L299" s="106">
        <v>0.87817816869741006</v>
      </c>
      <c r="M299" s="106">
        <v>0.86656098037493101</v>
      </c>
      <c r="N299" s="106">
        <v>0.61987408147601397</v>
      </c>
      <c r="P299" s="106">
        <v>0.78525092921496831</v>
      </c>
      <c r="Q299" s="106">
        <v>0.74816181670374959</v>
      </c>
      <c r="R299" s="106">
        <v>0.80379548547057778</v>
      </c>
      <c r="S299" s="106">
        <v>0.72961726044814013</v>
      </c>
      <c r="AA299" s="106">
        <v>1047</v>
      </c>
      <c r="AB299" s="106">
        <v>1054.0123647604328</v>
      </c>
    </row>
    <row r="300" spans="1:28" x14ac:dyDescent="0.2">
      <c r="A300" s="14">
        <v>43494</v>
      </c>
      <c r="B300" s="106">
        <v>1026</v>
      </c>
      <c r="C300" s="106">
        <v>1042</v>
      </c>
      <c r="D300" s="106">
        <v>1400</v>
      </c>
      <c r="E300" s="106">
        <v>1411</v>
      </c>
      <c r="F300" s="106">
        <v>0.73848334514528702</v>
      </c>
      <c r="G300" s="106">
        <v>0.76693511196229103</v>
      </c>
      <c r="H300" s="106">
        <v>1.8442601819130801E-2</v>
      </c>
      <c r="I300" s="106">
        <v>-1.5427197906257999</v>
      </c>
      <c r="J300" s="106">
        <v>-3.85</v>
      </c>
      <c r="K300" s="106">
        <v>0.87368476293451003</v>
      </c>
      <c r="L300" s="106">
        <v>0.68169755480213001</v>
      </c>
      <c r="M300" s="106">
        <v>0.87051259457214702</v>
      </c>
      <c r="N300" s="106">
        <v>0.63048918963146305</v>
      </c>
      <c r="P300" s="106">
        <v>0.78537771378142185</v>
      </c>
      <c r="Q300" s="106">
        <v>0.74849251014316021</v>
      </c>
      <c r="R300" s="106">
        <v>0.80382031560055267</v>
      </c>
      <c r="S300" s="106">
        <v>0.73004990832402938</v>
      </c>
      <c r="AA300" s="106">
        <v>1042</v>
      </c>
      <c r="AB300" s="106">
        <v>1065.3377125193199</v>
      </c>
    </row>
    <row r="301" spans="1:28" x14ac:dyDescent="0.2">
      <c r="A301" s="14">
        <v>43493</v>
      </c>
      <c r="B301" s="106">
        <v>1065</v>
      </c>
      <c r="C301" s="106">
        <v>1062</v>
      </c>
      <c r="D301" s="106">
        <v>1419</v>
      </c>
      <c r="E301" s="106">
        <v>1421</v>
      </c>
      <c r="F301" s="106">
        <v>0.74736101337086502</v>
      </c>
      <c r="G301" s="106">
        <v>0.767223230989727</v>
      </c>
      <c r="H301" s="106">
        <v>1.8162530153162298E-2</v>
      </c>
      <c r="I301" s="106">
        <v>-1.0935820863815</v>
      </c>
      <c r="J301" s="106">
        <v>-2.66</v>
      </c>
      <c r="K301" s="106">
        <v>0.87797496886519999</v>
      </c>
      <c r="L301" s="106">
        <v>0.68897058274791501</v>
      </c>
      <c r="M301" s="106">
        <v>0.874695032659074</v>
      </c>
      <c r="N301" s="106">
        <v>0.61837845659392499</v>
      </c>
      <c r="P301" s="106">
        <v>0.78538576114288927</v>
      </c>
      <c r="Q301" s="106">
        <v>0.74906070083656473</v>
      </c>
      <c r="R301" s="106">
        <v>0.80354829129605165</v>
      </c>
      <c r="S301" s="106">
        <v>0.73089817068340235</v>
      </c>
      <c r="AA301" s="106">
        <v>1062</v>
      </c>
      <c r="AB301" s="106">
        <v>1072.8879443585781</v>
      </c>
    </row>
    <row r="302" spans="1:28" x14ac:dyDescent="0.2">
      <c r="A302" s="14">
        <v>43490</v>
      </c>
      <c r="B302" s="106">
        <v>1044</v>
      </c>
      <c r="C302" s="106">
        <v>1059</v>
      </c>
      <c r="D302" s="106">
        <v>1387</v>
      </c>
      <c r="E302" s="106">
        <v>1409</v>
      </c>
      <c r="F302" s="106">
        <v>0.75159687721788504</v>
      </c>
      <c r="G302" s="106">
        <v>0.76738529175723902</v>
      </c>
      <c r="H302" s="106">
        <v>1.8038382475600599E-2</v>
      </c>
      <c r="I302" s="106">
        <v>-0.87526775533840795</v>
      </c>
      <c r="J302" s="106">
        <v>-2.1</v>
      </c>
      <c r="K302" s="106">
        <v>0.88146342042746295</v>
      </c>
      <c r="L302" s="106">
        <v>0.71213681439278598</v>
      </c>
      <c r="M302" s="106">
        <v>0.87839498688136997</v>
      </c>
      <c r="N302" s="106">
        <v>0.63052991012902804</v>
      </c>
      <c r="P302" s="106">
        <v>0.78542367423283965</v>
      </c>
      <c r="Q302" s="106">
        <v>0.74934690928163838</v>
      </c>
      <c r="R302" s="106">
        <v>0.80346205670844018</v>
      </c>
      <c r="S302" s="106">
        <v>0.73130852680603786</v>
      </c>
      <c r="AA302" s="106">
        <v>1059</v>
      </c>
      <c r="AB302" s="106">
        <v>1063.8276661514683</v>
      </c>
    </row>
    <row r="303" spans="1:28" x14ac:dyDescent="0.2">
      <c r="A303" s="14">
        <v>43489</v>
      </c>
      <c r="B303" s="106">
        <v>1037</v>
      </c>
      <c r="C303" s="106">
        <v>1046</v>
      </c>
      <c r="D303" s="106">
        <v>1360</v>
      </c>
      <c r="E303" s="106">
        <v>1377</v>
      </c>
      <c r="F303" s="106">
        <v>0.75962236746550404</v>
      </c>
      <c r="G303" s="106">
        <v>0.76744143160018896</v>
      </c>
      <c r="H303" s="106">
        <v>1.79956591592597E-2</v>
      </c>
      <c r="I303" s="106">
        <v>-0.434497234332266</v>
      </c>
      <c r="J303" s="106">
        <v>-1.03</v>
      </c>
      <c r="K303" s="106">
        <v>0.88497813362280298</v>
      </c>
      <c r="L303" s="106">
        <v>0.70951318069565805</v>
      </c>
      <c r="M303" s="106">
        <v>0.88160574134858605</v>
      </c>
      <c r="N303" s="106">
        <v>0.63776774050757301</v>
      </c>
      <c r="P303" s="106">
        <v>0.78543709075944868</v>
      </c>
      <c r="Q303" s="106">
        <v>0.74944577244092925</v>
      </c>
      <c r="R303" s="106">
        <v>0.80343274991870839</v>
      </c>
      <c r="S303" s="106">
        <v>0.73145011328166953</v>
      </c>
      <c r="AA303" s="106">
        <v>1046</v>
      </c>
      <c r="AB303" s="106">
        <v>1039.6669242658425</v>
      </c>
    </row>
    <row r="304" spans="1:28" x14ac:dyDescent="0.2">
      <c r="A304" s="14">
        <v>43488</v>
      </c>
      <c r="B304" s="106">
        <v>1020</v>
      </c>
      <c r="C304" s="106">
        <v>1038</v>
      </c>
      <c r="D304" s="106">
        <v>1351</v>
      </c>
      <c r="E304" s="106">
        <v>1368</v>
      </c>
      <c r="F304" s="106">
        <v>0.75877192982456099</v>
      </c>
      <c r="G304" s="106">
        <v>0.76745322164211904</v>
      </c>
      <c r="H304" s="106">
        <v>1.7990821570034302E-2</v>
      </c>
      <c r="I304" s="106">
        <v>-0.482540043197213</v>
      </c>
      <c r="J304" s="106">
        <v>-1.1399999999999999</v>
      </c>
      <c r="K304" s="106">
        <v>0.89322602063661904</v>
      </c>
      <c r="L304" s="106">
        <v>0.677655952034249</v>
      </c>
      <c r="M304" s="106">
        <v>0.88515887679154504</v>
      </c>
      <c r="N304" s="106">
        <v>0.58626297504609004</v>
      </c>
      <c r="P304" s="106">
        <v>0.78544404321215333</v>
      </c>
      <c r="Q304" s="106">
        <v>0.74946240007208476</v>
      </c>
      <c r="R304" s="106">
        <v>0.80343486478218762</v>
      </c>
      <c r="S304" s="106">
        <v>0.73147157850205047</v>
      </c>
      <c r="AA304" s="106">
        <v>1038</v>
      </c>
      <c r="AB304" s="106">
        <v>1032.8717156105101</v>
      </c>
    </row>
    <row r="305" spans="1:28" x14ac:dyDescent="0.2">
      <c r="A305" s="14">
        <v>43487</v>
      </c>
      <c r="B305" s="106">
        <v>1050</v>
      </c>
      <c r="C305" s="106">
        <v>1035</v>
      </c>
      <c r="D305" s="106">
        <v>1395</v>
      </c>
      <c r="E305" s="106">
        <v>1381</v>
      </c>
      <c r="F305" s="106">
        <v>0.749456915278783</v>
      </c>
      <c r="G305" s="106">
        <v>0.76777522830238498</v>
      </c>
      <c r="H305" s="106">
        <v>1.80485934798204E-2</v>
      </c>
      <c r="I305" s="106">
        <v>-1.0149440755083401</v>
      </c>
      <c r="J305" s="106">
        <v>-2.44</v>
      </c>
      <c r="K305" s="106">
        <v>0.90093301199699405</v>
      </c>
      <c r="L305" s="106">
        <v>0.70889047442434105</v>
      </c>
      <c r="M305" s="106">
        <v>0.88920320687977705</v>
      </c>
      <c r="N305" s="106">
        <v>0.58378285891123705</v>
      </c>
      <c r="P305" s="106">
        <v>0.78582382178220533</v>
      </c>
      <c r="Q305" s="106">
        <v>0.74972663482256463</v>
      </c>
      <c r="R305" s="106">
        <v>0.8038724152620258</v>
      </c>
      <c r="S305" s="106">
        <v>0.73167804134274417</v>
      </c>
      <c r="AA305" s="106">
        <v>1035</v>
      </c>
      <c r="AB305" s="106">
        <v>1042.6870170015457</v>
      </c>
    </row>
    <row r="306" spans="1:28" x14ac:dyDescent="0.2">
      <c r="A306" s="14">
        <v>43486</v>
      </c>
      <c r="B306" s="106">
        <v>1058</v>
      </c>
      <c r="C306" s="106">
        <v>1047</v>
      </c>
      <c r="D306" s="106">
        <v>1382</v>
      </c>
      <c r="E306" s="106">
        <v>1390</v>
      </c>
      <c r="F306" s="106">
        <v>0.753237410071942</v>
      </c>
      <c r="G306" s="106">
        <v>0.76825226808972003</v>
      </c>
      <c r="H306" s="106">
        <v>1.8030933232792201E-2</v>
      </c>
      <c r="I306" s="106">
        <v>-0.83272772539974105</v>
      </c>
      <c r="J306" s="106">
        <v>-1.99</v>
      </c>
      <c r="K306" s="106">
        <v>0.91034449460417599</v>
      </c>
      <c r="L306" s="106">
        <v>0.66381624020906904</v>
      </c>
      <c r="M306" s="106">
        <v>0.89249735562062504</v>
      </c>
      <c r="N306" s="106">
        <v>0.59196111371890203</v>
      </c>
      <c r="P306" s="106">
        <v>0.78628320132251228</v>
      </c>
      <c r="Q306" s="106">
        <v>0.75022133485692777</v>
      </c>
      <c r="R306" s="106">
        <v>0.80431413455530443</v>
      </c>
      <c r="S306" s="106">
        <v>0.73219040162413562</v>
      </c>
      <c r="AA306" s="106">
        <v>1047</v>
      </c>
      <c r="AB306" s="106">
        <v>1049.482225656878</v>
      </c>
    </row>
    <row r="307" spans="1:28" x14ac:dyDescent="0.2">
      <c r="A307" s="14">
        <v>43483</v>
      </c>
      <c r="B307" s="106">
        <v>1026</v>
      </c>
      <c r="C307" s="106">
        <v>1037</v>
      </c>
      <c r="D307" s="106">
        <v>1356</v>
      </c>
      <c r="E307" s="106">
        <v>1375</v>
      </c>
      <c r="F307" s="106">
        <v>0.75418181818181795</v>
      </c>
      <c r="G307" s="106">
        <v>0.76871194122712205</v>
      </c>
      <c r="H307" s="106">
        <v>1.8081671785554001E-2</v>
      </c>
      <c r="I307" s="106">
        <v>-0.80358294396831997</v>
      </c>
      <c r="J307" s="106">
        <v>-1.93</v>
      </c>
      <c r="K307" s="106">
        <v>0.91786661905092903</v>
      </c>
      <c r="L307" s="106">
        <v>0.67864583014741497</v>
      </c>
      <c r="M307" s="106">
        <v>0.89529363736010203</v>
      </c>
      <c r="N307" s="106">
        <v>0.61459769103842798</v>
      </c>
      <c r="P307" s="106">
        <v>0.78679361301267603</v>
      </c>
      <c r="Q307" s="106">
        <v>0.75063026944156808</v>
      </c>
      <c r="R307" s="106">
        <v>0.80487528479823001</v>
      </c>
      <c r="S307" s="106">
        <v>0.7325485976560141</v>
      </c>
      <c r="AA307" s="106">
        <v>1037</v>
      </c>
      <c r="AB307" s="106">
        <v>1038.1568778979909</v>
      </c>
    </row>
    <row r="308" spans="1:28" x14ac:dyDescent="0.2">
      <c r="A308" s="14">
        <v>43482</v>
      </c>
      <c r="B308" s="106">
        <v>1025</v>
      </c>
      <c r="C308" s="106">
        <v>1024</v>
      </c>
      <c r="D308" s="106">
        <v>1342</v>
      </c>
      <c r="E308" s="106">
        <v>1344</v>
      </c>
      <c r="F308" s="106">
        <v>0.76190476190476097</v>
      </c>
      <c r="G308" s="106">
        <v>0.76921700513635705</v>
      </c>
      <c r="H308" s="106">
        <v>1.8197422892956401E-2</v>
      </c>
      <c r="I308" s="106">
        <v>-0.40182850476181903</v>
      </c>
      <c r="J308" s="106">
        <v>-0.96</v>
      </c>
      <c r="K308" s="106">
        <v>0.92419066809975403</v>
      </c>
      <c r="L308" s="106">
        <v>0.71894367913925505</v>
      </c>
      <c r="M308" s="106">
        <v>0.897517385129734</v>
      </c>
      <c r="N308" s="106">
        <v>0.62240535240941497</v>
      </c>
      <c r="P308" s="106">
        <v>0.7874144280293135</v>
      </c>
      <c r="Q308" s="106">
        <v>0.7510195822434006</v>
      </c>
      <c r="R308" s="106">
        <v>0.80561185092226983</v>
      </c>
      <c r="S308" s="106">
        <v>0.73282215935044426</v>
      </c>
      <c r="AA308" s="106">
        <v>1024</v>
      </c>
      <c r="AB308" s="106">
        <v>1014.7511591962906</v>
      </c>
    </row>
    <row r="309" spans="1:28" x14ac:dyDescent="0.2">
      <c r="A309" s="14">
        <v>43481</v>
      </c>
      <c r="B309" s="106">
        <v>1023</v>
      </c>
      <c r="C309" s="106">
        <v>1015</v>
      </c>
      <c r="D309" s="106">
        <v>1348</v>
      </c>
      <c r="E309" s="106">
        <v>1334</v>
      </c>
      <c r="F309" s="106">
        <v>0.76086956521739102</v>
      </c>
      <c r="G309" s="106">
        <v>0.76954578984088495</v>
      </c>
      <c r="H309" s="106">
        <v>1.82848912150811E-2</v>
      </c>
      <c r="I309" s="106">
        <v>-0.47450239224488999</v>
      </c>
      <c r="J309" s="106">
        <v>-1.1399999999999999</v>
      </c>
      <c r="K309" s="106">
        <v>0.93218460513548196</v>
      </c>
      <c r="L309" s="106">
        <v>0.62211232681708895</v>
      </c>
      <c r="M309" s="106">
        <v>0.89979279968926595</v>
      </c>
      <c r="N309" s="106">
        <v>0.60864926371857397</v>
      </c>
      <c r="P309" s="106">
        <v>0.7878306810559661</v>
      </c>
      <c r="Q309" s="106">
        <v>0.75126089862580381</v>
      </c>
      <c r="R309" s="106">
        <v>0.80611557227104713</v>
      </c>
      <c r="S309" s="106">
        <v>0.73297600741072277</v>
      </c>
      <c r="AA309" s="106">
        <v>1015</v>
      </c>
      <c r="AB309" s="106">
        <v>1007.2009273570325</v>
      </c>
    </row>
    <row r="310" spans="1:28" x14ac:dyDescent="0.2">
      <c r="A310" s="14">
        <v>43480</v>
      </c>
      <c r="B310" s="106">
        <v>979</v>
      </c>
      <c r="C310" s="106">
        <v>1018</v>
      </c>
      <c r="D310" s="106">
        <v>1288</v>
      </c>
      <c r="E310" s="106">
        <v>1329</v>
      </c>
      <c r="F310" s="106">
        <v>0.76598946576373195</v>
      </c>
      <c r="G310" s="106">
        <v>0.76987646957144196</v>
      </c>
      <c r="H310" s="106">
        <v>1.8349141008144099E-2</v>
      </c>
      <c r="I310" s="106">
        <v>-0.21183573694184299</v>
      </c>
      <c r="J310" s="106">
        <v>-0.51</v>
      </c>
      <c r="K310" s="106">
        <v>0.93740392876855805</v>
      </c>
      <c r="L310" s="106">
        <v>0.60710693118341896</v>
      </c>
      <c r="M310" s="106">
        <v>0.90189153069671801</v>
      </c>
      <c r="N310" s="106">
        <v>0.58207209959886996</v>
      </c>
      <c r="P310" s="106">
        <v>0.78822561057958607</v>
      </c>
      <c r="Q310" s="106">
        <v>0.75152732856329785</v>
      </c>
      <c r="R310" s="106">
        <v>0.80657475158773018</v>
      </c>
      <c r="S310" s="106">
        <v>0.73317818755515374</v>
      </c>
      <c r="AA310" s="106">
        <v>1018</v>
      </c>
      <c r="AB310" s="106">
        <v>1003.4258114374035</v>
      </c>
    </row>
    <row r="311" spans="1:28" x14ac:dyDescent="0.2">
      <c r="A311" s="14">
        <v>43476</v>
      </c>
      <c r="B311" s="106">
        <v>989</v>
      </c>
      <c r="C311" s="106">
        <v>992</v>
      </c>
      <c r="D311" s="106">
        <v>1291</v>
      </c>
      <c r="E311" s="106">
        <v>1298</v>
      </c>
      <c r="F311" s="106">
        <v>0.76425269645608596</v>
      </c>
      <c r="G311" s="106">
        <v>0.77002910542951897</v>
      </c>
      <c r="H311" s="106">
        <v>1.8363779937592799E-2</v>
      </c>
      <c r="I311" s="106">
        <v>-0.31455446498836398</v>
      </c>
      <c r="J311" s="106">
        <v>-0.76</v>
      </c>
      <c r="K311" s="106">
        <v>0.94390402573960996</v>
      </c>
      <c r="L311" s="106">
        <v>0.62442531379847399</v>
      </c>
      <c r="M311" s="106">
        <v>0.90631906257134298</v>
      </c>
      <c r="N311" s="106">
        <v>0.56663670167098601</v>
      </c>
      <c r="P311" s="106">
        <v>0.78839288536711172</v>
      </c>
      <c r="Q311" s="106">
        <v>0.75166532549192622</v>
      </c>
      <c r="R311" s="106">
        <v>0.80675666530470458</v>
      </c>
      <c r="S311" s="106">
        <v>0.73330154555433336</v>
      </c>
      <c r="AA311" s="106">
        <v>992</v>
      </c>
      <c r="AB311" s="106">
        <v>980.02009273570332</v>
      </c>
    </row>
    <row r="312" spans="1:28" x14ac:dyDescent="0.2">
      <c r="A312" s="14">
        <v>43475</v>
      </c>
      <c r="B312" s="106">
        <v>969</v>
      </c>
      <c r="C312" s="106">
        <v>978</v>
      </c>
      <c r="D312" s="106">
        <v>1267</v>
      </c>
      <c r="E312" s="106">
        <v>1279</v>
      </c>
      <c r="F312" s="106">
        <v>0.76465989053948402</v>
      </c>
      <c r="G312" s="106">
        <v>0.77024291965463298</v>
      </c>
      <c r="H312" s="106">
        <v>1.8388618204499701E-2</v>
      </c>
      <c r="I312" s="106">
        <v>-0.30361330324338598</v>
      </c>
      <c r="J312" s="106">
        <v>-0.73</v>
      </c>
      <c r="K312" s="106">
        <v>0.94618957574815499</v>
      </c>
      <c r="L312" s="106">
        <v>0.578616484722004</v>
      </c>
      <c r="M312" s="106">
        <v>0.90794934576552</v>
      </c>
      <c r="N312" s="106">
        <v>0.56893083396673705</v>
      </c>
      <c r="P312" s="106">
        <v>0.78863153785913265</v>
      </c>
      <c r="Q312" s="106">
        <v>0.75185430145013332</v>
      </c>
      <c r="R312" s="106">
        <v>0.80702015606363242</v>
      </c>
      <c r="S312" s="106">
        <v>0.73346568324563355</v>
      </c>
      <c r="AA312" s="106">
        <v>978</v>
      </c>
      <c r="AB312" s="106">
        <v>965.67465224111288</v>
      </c>
    </row>
    <row r="313" spans="1:28" x14ac:dyDescent="0.2">
      <c r="A313" s="14">
        <v>43474</v>
      </c>
      <c r="B313" s="106">
        <v>977</v>
      </c>
      <c r="C313" s="106">
        <v>973</v>
      </c>
      <c r="D313" s="106">
        <v>1281</v>
      </c>
      <c r="E313" s="106">
        <v>1283</v>
      </c>
      <c r="F313" s="106">
        <v>0.75837879968822997</v>
      </c>
      <c r="G313" s="106">
        <v>0.77078293831840805</v>
      </c>
      <c r="H313" s="106">
        <v>1.8806682090691799E-2</v>
      </c>
      <c r="I313" s="106">
        <v>-0.65956018027852104</v>
      </c>
      <c r="J313" s="106">
        <v>-1.64</v>
      </c>
      <c r="K313" s="106">
        <v>0.95034514567253003</v>
      </c>
      <c r="L313" s="106">
        <v>0.60956472096113701</v>
      </c>
      <c r="M313" s="106">
        <v>0.90935032952171202</v>
      </c>
      <c r="N313" s="106">
        <v>0.56491729548211</v>
      </c>
      <c r="P313" s="106">
        <v>0.78958962040909986</v>
      </c>
      <c r="Q313" s="106">
        <v>0.75197625622771624</v>
      </c>
      <c r="R313" s="106">
        <v>0.80839630249979166</v>
      </c>
      <c r="S313" s="106">
        <v>0.73316957413702444</v>
      </c>
      <c r="AA313" s="106">
        <v>973</v>
      </c>
      <c r="AB313" s="106">
        <v>968.69474497681608</v>
      </c>
    </row>
    <row r="314" spans="1:28" x14ac:dyDescent="0.2">
      <c r="A314" s="14">
        <v>43473</v>
      </c>
      <c r="B314" s="106">
        <v>964</v>
      </c>
      <c r="C314" s="106">
        <v>972</v>
      </c>
      <c r="D314" s="106">
        <v>1260</v>
      </c>
      <c r="E314" s="106">
        <v>1265</v>
      </c>
      <c r="F314" s="106">
        <v>0.76837944664031599</v>
      </c>
      <c r="G314" s="106">
        <v>0.77140010987812002</v>
      </c>
      <c r="H314" s="106">
        <v>1.91459390580489E-2</v>
      </c>
      <c r="I314" s="106">
        <v>-0.15777044043889299</v>
      </c>
      <c r="J314" s="106">
        <v>-0.39</v>
      </c>
      <c r="K314" s="106">
        <v>0.95430053238882495</v>
      </c>
      <c r="L314" s="106">
        <v>0.59699315535261199</v>
      </c>
      <c r="M314" s="106">
        <v>0.91056885699072798</v>
      </c>
      <c r="N314" s="106">
        <v>0.56177648898938404</v>
      </c>
      <c r="P314" s="106">
        <v>0.79054604893616887</v>
      </c>
      <c r="Q314" s="106">
        <v>0.75225417082007118</v>
      </c>
      <c r="R314" s="106">
        <v>0.80969198799421782</v>
      </c>
      <c r="S314" s="106">
        <v>0.73310823176202222</v>
      </c>
      <c r="AA314" s="106">
        <v>972</v>
      </c>
      <c r="AB314" s="106">
        <v>955.10432766615156</v>
      </c>
    </row>
    <row r="315" spans="1:28" x14ac:dyDescent="0.2">
      <c r="A315" s="14">
        <v>43472</v>
      </c>
      <c r="B315" s="106">
        <v>955</v>
      </c>
      <c r="C315" s="106">
        <v>956</v>
      </c>
      <c r="D315" s="106">
        <v>1245</v>
      </c>
      <c r="E315" s="106">
        <v>1246</v>
      </c>
      <c r="F315" s="106">
        <v>0.76725521669341801</v>
      </c>
      <c r="G315" s="106">
        <v>0.77178242277087294</v>
      </c>
      <c r="H315" s="106">
        <v>1.93668112595488E-2</v>
      </c>
      <c r="I315" s="106">
        <v>-0.233761047019172</v>
      </c>
      <c r="J315" s="106">
        <v>-0.59</v>
      </c>
      <c r="K315" s="106">
        <v>0.95294787225914002</v>
      </c>
      <c r="L315" s="106">
        <v>0.60994314385230697</v>
      </c>
      <c r="M315" s="106">
        <v>0.90971395166689795</v>
      </c>
      <c r="N315" s="106">
        <v>0.54557396334382902</v>
      </c>
      <c r="P315" s="106">
        <v>0.7911492340304217</v>
      </c>
      <c r="Q315" s="106">
        <v>0.75241561151132419</v>
      </c>
      <c r="R315" s="106">
        <v>0.81051604528997057</v>
      </c>
      <c r="S315" s="106">
        <v>0.73304880025177532</v>
      </c>
      <c r="AA315" s="106">
        <v>956</v>
      </c>
      <c r="AB315" s="106">
        <v>940.75888717156113</v>
      </c>
    </row>
    <row r="316" spans="1:28" x14ac:dyDescent="0.2">
      <c r="A316" s="14">
        <v>43469</v>
      </c>
      <c r="B316" s="106">
        <v>921</v>
      </c>
      <c r="C316" s="106">
        <v>925</v>
      </c>
      <c r="D316" s="106">
        <v>1196</v>
      </c>
      <c r="E316" s="106">
        <v>1199</v>
      </c>
      <c r="F316" s="106">
        <v>0.77147623019182598</v>
      </c>
      <c r="G316" s="106">
        <v>0.77230390051823194</v>
      </c>
      <c r="H316" s="106">
        <v>1.9760445160524599E-2</v>
      </c>
      <c r="I316" s="106">
        <v>-4.1885206516487E-2</v>
      </c>
      <c r="J316" s="106">
        <v>-0.11</v>
      </c>
      <c r="K316" s="106">
        <v>0.95582571367402402</v>
      </c>
      <c r="L316" s="106">
        <v>0.60998630435244405</v>
      </c>
      <c r="M316" s="106">
        <v>0.910787763007053</v>
      </c>
      <c r="N316" s="106">
        <v>0.54350760102470996</v>
      </c>
      <c r="P316" s="106">
        <v>0.7920643456787565</v>
      </c>
      <c r="Q316" s="106">
        <v>0.75254345535770739</v>
      </c>
      <c r="R316" s="106">
        <v>0.81182479083928116</v>
      </c>
      <c r="S316" s="106">
        <v>0.73278301019718273</v>
      </c>
      <c r="AA316" s="106">
        <v>925</v>
      </c>
      <c r="AB316" s="106">
        <v>905.27279752704794</v>
      </c>
    </row>
    <row r="317" spans="1:28" x14ac:dyDescent="0.2">
      <c r="A317" s="14">
        <v>43462</v>
      </c>
      <c r="B317" s="106">
        <v>940</v>
      </c>
      <c r="C317" s="106">
        <v>949</v>
      </c>
      <c r="D317" s="106">
        <v>1187</v>
      </c>
      <c r="E317" s="106">
        <v>1226</v>
      </c>
      <c r="F317" s="106">
        <v>0.774061990212071</v>
      </c>
      <c r="G317" s="106">
        <v>0.772872136912095</v>
      </c>
      <c r="H317" s="106">
        <v>2.0332944215924499E-2</v>
      </c>
      <c r="I317" s="106">
        <v>5.85184952725262E-2</v>
      </c>
      <c r="J317" s="106">
        <v>0.15</v>
      </c>
      <c r="K317" s="106">
        <v>0.96836366012202202</v>
      </c>
      <c r="L317" s="106">
        <v>0.57844706431510096</v>
      </c>
      <c r="M317" s="106">
        <v>0.91299931130058698</v>
      </c>
      <c r="N317" s="106">
        <v>0.51922365930456804</v>
      </c>
      <c r="P317" s="106">
        <v>0.79320508112801946</v>
      </c>
      <c r="Q317" s="106">
        <v>0.75253919269617053</v>
      </c>
      <c r="R317" s="106">
        <v>0.81353802534394404</v>
      </c>
      <c r="S317" s="106">
        <v>0.73220624848024596</v>
      </c>
      <c r="AA317" s="106">
        <v>949</v>
      </c>
      <c r="AB317" s="106">
        <v>925.65842349304489</v>
      </c>
    </row>
    <row r="318" spans="1:28" x14ac:dyDescent="0.2">
      <c r="A318" s="14">
        <v>43461</v>
      </c>
      <c r="B318" s="106">
        <v>955</v>
      </c>
      <c r="C318" s="106">
        <v>945</v>
      </c>
      <c r="D318" s="106">
        <v>1200</v>
      </c>
      <c r="E318" s="106">
        <v>1202</v>
      </c>
      <c r="F318" s="106">
        <v>0.78618968386023202</v>
      </c>
      <c r="G318" s="106">
        <v>0.77349008588613799</v>
      </c>
      <c r="H318" s="106">
        <v>2.10512913355549E-2</v>
      </c>
      <c r="I318" s="106">
        <v>0.60326930883545304</v>
      </c>
      <c r="J318" s="106">
        <v>1.62</v>
      </c>
      <c r="K318" s="106">
        <v>0.96853737101449799</v>
      </c>
      <c r="L318" s="106">
        <v>0.57397477746782599</v>
      </c>
      <c r="M318" s="106">
        <v>0.91351696749468303</v>
      </c>
      <c r="N318" s="106">
        <v>0.48810814185978302</v>
      </c>
      <c r="P318" s="106">
        <v>0.79454137722169293</v>
      </c>
      <c r="Q318" s="106">
        <v>0.75243879455058305</v>
      </c>
      <c r="R318" s="106">
        <v>0.81559266855724777</v>
      </c>
      <c r="S318" s="106">
        <v>0.73138750321502821</v>
      </c>
      <c r="AA318" s="106">
        <v>945</v>
      </c>
      <c r="AB318" s="106">
        <v>907.53786707882534</v>
      </c>
    </row>
    <row r="319" spans="1:28" x14ac:dyDescent="0.2">
      <c r="A319" s="14">
        <v>43460</v>
      </c>
      <c r="B319" s="106">
        <v>902</v>
      </c>
      <c r="C319" s="106">
        <v>910</v>
      </c>
      <c r="D319" s="106">
        <v>1151</v>
      </c>
      <c r="E319" s="106">
        <v>1152</v>
      </c>
      <c r="F319" s="106">
        <v>0.78993055555555503</v>
      </c>
      <c r="G319" s="106">
        <v>0.77394658658553594</v>
      </c>
      <c r="H319" s="106">
        <v>2.1683465852157399E-2</v>
      </c>
      <c r="I319" s="106">
        <v>0.73715009763664696</v>
      </c>
      <c r="J319" s="106">
        <v>2.02</v>
      </c>
      <c r="K319" s="106">
        <v>0.96776055357822099</v>
      </c>
      <c r="L319" s="106">
        <v>0.61434637594236097</v>
      </c>
      <c r="M319" s="106">
        <v>0.91416790643146595</v>
      </c>
      <c r="N319" s="106">
        <v>0.47459590969447402</v>
      </c>
      <c r="P319" s="106">
        <v>0.79563005243769336</v>
      </c>
      <c r="Q319" s="106">
        <v>0.75226312073337853</v>
      </c>
      <c r="R319" s="106">
        <v>0.81731351828985077</v>
      </c>
      <c r="S319" s="106">
        <v>0.73057965488122112</v>
      </c>
      <c r="AA319" s="106">
        <v>910</v>
      </c>
      <c r="AB319" s="106">
        <v>869.78670788253476</v>
      </c>
    </row>
    <row r="320" spans="1:28" x14ac:dyDescent="0.2">
      <c r="A320" s="14">
        <v>43459</v>
      </c>
      <c r="B320" s="106">
        <v>926</v>
      </c>
      <c r="C320" s="106">
        <v>887</v>
      </c>
      <c r="D320" s="106">
        <v>1164</v>
      </c>
      <c r="E320" s="106">
        <v>1144</v>
      </c>
      <c r="F320" s="106">
        <v>0.77534965034964998</v>
      </c>
      <c r="G320" s="106">
        <v>0.77435866048757396</v>
      </c>
      <c r="H320" s="106">
        <v>2.2269068389663301E-2</v>
      </c>
      <c r="I320" s="106">
        <v>4.45007327983293E-2</v>
      </c>
      <c r="J320" s="106">
        <v>0.13</v>
      </c>
      <c r="K320" s="106">
        <v>0.96599400588607998</v>
      </c>
      <c r="L320" s="106">
        <v>0.63139839433756595</v>
      </c>
      <c r="M320" s="106">
        <v>0.91455986312670201</v>
      </c>
      <c r="N320" s="106">
        <v>0.51126574247536205</v>
      </c>
      <c r="P320" s="106">
        <v>0.79662772887723721</v>
      </c>
      <c r="Q320" s="106">
        <v>0.75208959209791071</v>
      </c>
      <c r="R320" s="106">
        <v>0.81889679726690057</v>
      </c>
      <c r="S320" s="106">
        <v>0.72982052370824735</v>
      </c>
      <c r="AA320" s="106">
        <v>887</v>
      </c>
      <c r="AB320" s="106">
        <v>863.74652241112835</v>
      </c>
    </row>
    <row r="321" spans="1:28" x14ac:dyDescent="0.2">
      <c r="A321" s="14">
        <v>43455</v>
      </c>
      <c r="B321" s="106">
        <v>945</v>
      </c>
      <c r="C321" s="106">
        <v>938</v>
      </c>
      <c r="D321" s="106">
        <v>1250</v>
      </c>
      <c r="E321" s="106">
        <v>1223</v>
      </c>
      <c r="F321" s="106">
        <v>0.76696647587898603</v>
      </c>
      <c r="G321" s="106">
        <v>0.77485181125631497</v>
      </c>
      <c r="H321" s="106">
        <v>2.2691087460512901E-2</v>
      </c>
      <c r="I321" s="106">
        <v>-0.34750804213554398</v>
      </c>
      <c r="J321" s="106">
        <v>-1.03</v>
      </c>
      <c r="K321" s="106">
        <v>0.96546782158064204</v>
      </c>
      <c r="L321" s="106">
        <v>0.65548422564183595</v>
      </c>
      <c r="M321" s="106">
        <v>0.91611062474946703</v>
      </c>
      <c r="N321" s="106">
        <v>0.521579013935356</v>
      </c>
      <c r="P321" s="106">
        <v>0.79754289871682782</v>
      </c>
      <c r="Q321" s="106">
        <v>0.75216072379580212</v>
      </c>
      <c r="R321" s="106">
        <v>0.82023398617734078</v>
      </c>
      <c r="S321" s="106">
        <v>0.72946963633528916</v>
      </c>
      <c r="AA321" s="106">
        <v>938</v>
      </c>
      <c r="AB321" s="106">
        <v>923.39335394126738</v>
      </c>
    </row>
    <row r="322" spans="1:28" x14ac:dyDescent="0.2">
      <c r="A322" s="14">
        <v>43454</v>
      </c>
      <c r="B322" s="106">
        <v>964</v>
      </c>
      <c r="C322" s="106">
        <v>951</v>
      </c>
      <c r="D322" s="106">
        <v>1273</v>
      </c>
      <c r="E322" s="106">
        <v>1256</v>
      </c>
      <c r="F322" s="106">
        <v>0.75716560509554098</v>
      </c>
      <c r="G322" s="106">
        <v>0.77543875922562899</v>
      </c>
      <c r="H322" s="106">
        <v>2.3046094527032199E-2</v>
      </c>
      <c r="I322" s="106">
        <v>-0.792895911654523</v>
      </c>
      <c r="J322" s="106">
        <v>-2.41</v>
      </c>
      <c r="K322" s="106">
        <v>0.96538742133317301</v>
      </c>
      <c r="L322" s="106">
        <v>0.58785828097666404</v>
      </c>
      <c r="M322" s="106">
        <v>0.91622768147187506</v>
      </c>
      <c r="N322" s="106">
        <v>0.52746303482099999</v>
      </c>
      <c r="P322" s="106">
        <v>0.79848485375266121</v>
      </c>
      <c r="Q322" s="106">
        <v>0.75239266469859678</v>
      </c>
      <c r="R322" s="106">
        <v>0.82153094827969342</v>
      </c>
      <c r="S322" s="106">
        <v>0.72934657017156457</v>
      </c>
      <c r="AA322" s="106">
        <v>951</v>
      </c>
      <c r="AB322" s="106">
        <v>948.30911901081924</v>
      </c>
    </row>
    <row r="323" spans="1:28" x14ac:dyDescent="0.2">
      <c r="A323" s="14">
        <v>43453</v>
      </c>
      <c r="B323" s="106">
        <v>974</v>
      </c>
      <c r="C323" s="106">
        <v>977</v>
      </c>
      <c r="D323" s="106">
        <v>1301</v>
      </c>
      <c r="E323" s="106">
        <v>1294</v>
      </c>
      <c r="F323" s="106">
        <v>0.75502318392581103</v>
      </c>
      <c r="G323" s="106">
        <v>0.77614176203330298</v>
      </c>
      <c r="H323" s="106">
        <v>2.32809379912873E-2</v>
      </c>
      <c r="I323" s="106">
        <v>-0.90711886760730398</v>
      </c>
      <c r="J323" s="106">
        <v>-2.8</v>
      </c>
      <c r="K323" s="106">
        <v>0.96507732549147596</v>
      </c>
      <c r="L323" s="106">
        <v>0.53528634775716799</v>
      </c>
      <c r="M323" s="106">
        <v>0.91633067207098096</v>
      </c>
      <c r="N323" s="106">
        <v>0.52878856251565998</v>
      </c>
      <c r="P323" s="106">
        <v>0.79942270002459026</v>
      </c>
      <c r="Q323" s="106">
        <v>0.75286082404201571</v>
      </c>
      <c r="R323" s="106">
        <v>0.82270363801587754</v>
      </c>
      <c r="S323" s="106">
        <v>0.72957988605072843</v>
      </c>
      <c r="AA323" s="106">
        <v>977</v>
      </c>
      <c r="AB323" s="106">
        <v>977</v>
      </c>
    </row>
    <row r="324" spans="1:28" x14ac:dyDescent="0.2">
      <c r="A324" s="14"/>
    </row>
    <row r="325" spans="1:28" x14ac:dyDescent="0.2">
      <c r="A325" s="14"/>
    </row>
    <row r="326" spans="1:28" x14ac:dyDescent="0.2">
      <c r="A326" s="14"/>
    </row>
    <row r="327" spans="1:28" x14ac:dyDescent="0.2">
      <c r="A327" s="14"/>
    </row>
    <row r="328" spans="1:28" x14ac:dyDescent="0.2">
      <c r="A328" s="14"/>
    </row>
    <row r="329" spans="1:28" x14ac:dyDescent="0.2">
      <c r="A329" s="14"/>
    </row>
    <row r="330" spans="1:28" x14ac:dyDescent="0.2">
      <c r="A330" s="14"/>
    </row>
    <row r="331" spans="1:28" x14ac:dyDescent="0.2">
      <c r="A331" s="14"/>
    </row>
    <row r="332" spans="1:28" x14ac:dyDescent="0.2">
      <c r="A332" s="14"/>
    </row>
    <row r="333" spans="1:28" x14ac:dyDescent="0.2">
      <c r="A333" s="14"/>
    </row>
    <row r="334" spans="1:28" x14ac:dyDescent="0.2">
      <c r="A334" s="14"/>
    </row>
    <row r="335" spans="1:28" x14ac:dyDescent="0.2">
      <c r="A335" s="14"/>
    </row>
    <row r="336" spans="1:28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</sheetData>
  <mergeCells count="8">
    <mergeCell ref="X3:X4"/>
    <mergeCell ref="Y3:Y4"/>
    <mergeCell ref="Z3:Z4"/>
    <mergeCell ref="P3:P4"/>
    <mergeCell ref="Q3:Q4"/>
    <mergeCell ref="R3:R4"/>
    <mergeCell ref="U2:W2"/>
    <mergeCell ref="U3:W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2"/>
  <sheetViews>
    <sheetView showGridLines="0" zoomScale="115" zoomScaleNormal="115" workbookViewId="0">
      <selection activeCell="F35" sqref="F35"/>
    </sheetView>
  </sheetViews>
  <sheetFormatPr defaultRowHeight="14.25" x14ac:dyDescent="0.2"/>
  <cols>
    <col min="2" max="2" width="24.62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15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16</v>
      </c>
      <c r="G4" s="24">
        <v>8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17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18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44</v>
      </c>
      <c r="G8" s="150">
        <v>-2.5</v>
      </c>
    </row>
    <row r="9" spans="1:8" x14ac:dyDescent="0.2">
      <c r="B9" s="4" t="s">
        <v>8</v>
      </c>
      <c r="C9" s="19">
        <v>0.9</v>
      </c>
      <c r="D9" s="18">
        <v>1</v>
      </c>
      <c r="E9" s="1"/>
      <c r="F9" s="4" t="s">
        <v>45</v>
      </c>
      <c r="G9" s="20">
        <v>15</v>
      </c>
      <c r="H9" s="1"/>
    </row>
    <row r="10" spans="1:8" x14ac:dyDescent="0.2">
      <c r="B10" s="4" t="s">
        <v>9</v>
      </c>
      <c r="C10" s="3">
        <v>2</v>
      </c>
      <c r="D10" s="3">
        <v>3</v>
      </c>
      <c r="E10" s="12"/>
      <c r="F10" s="4" t="s">
        <v>46</v>
      </c>
      <c r="G10" s="19">
        <v>2</v>
      </c>
      <c r="H10" s="1"/>
    </row>
    <row r="11" spans="1:8" x14ac:dyDescent="0.2">
      <c r="B11" s="4" t="s">
        <v>10</v>
      </c>
      <c r="C11" s="2" t="s">
        <v>14</v>
      </c>
      <c r="D11" s="6"/>
      <c r="E11" s="1" t="s">
        <v>19</v>
      </c>
    </row>
    <row r="12" spans="1:8" x14ac:dyDescent="0.2">
      <c r="B12" s="4" t="s">
        <v>11</v>
      </c>
      <c r="C12" s="2" t="s">
        <v>13</v>
      </c>
      <c r="D12" s="6"/>
    </row>
    <row r="13" spans="1:8" x14ac:dyDescent="0.2">
      <c r="B13" s="4" t="s">
        <v>12</v>
      </c>
      <c r="C13" s="3">
        <v>200</v>
      </c>
      <c r="D13" s="6"/>
    </row>
    <row r="16" spans="1:8" x14ac:dyDescent="0.2">
      <c r="B16" s="1"/>
    </row>
    <row r="17" spans="2:9" x14ac:dyDescent="0.2">
      <c r="B17" s="4" t="s">
        <v>40</v>
      </c>
      <c r="C17" s="334" t="s">
        <v>1727</v>
      </c>
      <c r="D17" s="335"/>
      <c r="E17" s="335"/>
      <c r="F17" s="335"/>
      <c r="G17" s="336"/>
    </row>
    <row r="18" spans="2:9" x14ac:dyDescent="0.2">
      <c r="B18" s="4" t="s">
        <v>39</v>
      </c>
      <c r="C18" s="339" t="str">
        <f>C17 &amp; "\master\" &amp; H18</f>
        <v>G:\Stock\pairs_trade\pair_trade\stock_data\master\master.csv</v>
      </c>
      <c r="D18" s="340"/>
      <c r="E18" s="340"/>
      <c r="F18" s="340"/>
      <c r="G18" s="340"/>
      <c r="H18" s="337" t="s">
        <v>857</v>
      </c>
      <c r="I18" s="338"/>
    </row>
    <row r="19" spans="2:9" x14ac:dyDescent="0.2">
      <c r="B19" s="4" t="s">
        <v>260</v>
      </c>
      <c r="C19" s="341" t="str">
        <f>C17 &amp; "\master\" &amp; H19</f>
        <v>G:\Stock\pairs_trade\pair_trade\stock_data\master\fiscal_data.csv</v>
      </c>
      <c r="D19" s="342"/>
      <c r="E19" s="342"/>
      <c r="F19" s="342"/>
      <c r="G19" s="342"/>
      <c r="H19" s="337" t="s">
        <v>856</v>
      </c>
      <c r="I19" s="338"/>
    </row>
    <row r="20" spans="2:9" x14ac:dyDescent="0.2">
      <c r="B20" s="4" t="s">
        <v>934</v>
      </c>
      <c r="C20" s="186" t="str">
        <f>C17 &amp; "\master\" &amp; H20</f>
        <v>G:\Stock\pairs_trade\pair_trade\stock_data\master\gyakunipo_data.csv</v>
      </c>
      <c r="D20" s="187"/>
      <c r="E20" s="187"/>
      <c r="F20" s="187"/>
      <c r="G20" s="187"/>
      <c r="H20" s="337" t="s">
        <v>935</v>
      </c>
      <c r="I20" s="338"/>
    </row>
    <row r="21" spans="2:9" x14ac:dyDescent="0.2">
      <c r="B21" s="4" t="s">
        <v>1725</v>
      </c>
      <c r="C21" s="186" t="str">
        <f>C17 &amp; "\" &amp; H21</f>
        <v>G:\Stock\pairs_trade\pair_trade\stock_data\trade</v>
      </c>
      <c r="D21" s="187"/>
      <c r="E21" s="187"/>
      <c r="F21" s="187"/>
      <c r="G21" s="187"/>
      <c r="H21" s="337" t="s">
        <v>1726</v>
      </c>
      <c r="I21" s="338"/>
    </row>
    <row r="22" spans="2:9" x14ac:dyDescent="0.2">
      <c r="B22" s="4" t="s">
        <v>2236</v>
      </c>
      <c r="C22" s="266" t="str">
        <f>C17 &amp; "\" &amp; H22</f>
        <v>G:\Stock\pairs_trade\pair_trade\stock_data\result</v>
      </c>
      <c r="D22" s="267"/>
      <c r="E22" s="267"/>
      <c r="F22" s="267"/>
      <c r="G22" s="267"/>
      <c r="H22" s="337" t="s">
        <v>2235</v>
      </c>
      <c r="I22" s="338"/>
    </row>
  </sheetData>
  <mergeCells count="8"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P300"/>
  <sheetViews>
    <sheetView showGridLines="0" zoomScaleNormal="100" workbookViewId="0">
      <selection activeCell="P37" sqref="P37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68" ht="15" thickBot="1" x14ac:dyDescent="0.25">
      <c r="L1" s="100"/>
      <c r="M1" s="100"/>
      <c r="N1" s="100"/>
    </row>
    <row r="2" spans="1:68" x14ac:dyDescent="0.2">
      <c r="A2" s="106"/>
      <c r="E2" s="349" t="s">
        <v>912</v>
      </c>
      <c r="F2" s="347" t="s">
        <v>1710</v>
      </c>
      <c r="G2" s="344"/>
      <c r="H2" s="344"/>
      <c r="I2" s="344"/>
      <c r="J2" s="344"/>
      <c r="K2" s="344"/>
      <c r="L2" s="183"/>
      <c r="M2" s="183"/>
      <c r="N2" s="182"/>
      <c r="O2" s="348" t="s">
        <v>211</v>
      </c>
      <c r="P2" s="344"/>
      <c r="Q2" s="344"/>
      <c r="R2" s="344"/>
      <c r="S2" s="344"/>
      <c r="T2" s="344"/>
      <c r="U2" s="344"/>
      <c r="V2" s="344"/>
      <c r="W2" s="345"/>
      <c r="X2" s="343" t="s">
        <v>897</v>
      </c>
      <c r="Y2" s="344"/>
      <c r="Z2" s="344"/>
      <c r="AA2" s="344"/>
      <c r="AB2" s="344"/>
      <c r="AC2" s="344"/>
      <c r="AD2" s="344"/>
      <c r="AE2" s="345"/>
      <c r="AF2" s="346" t="s">
        <v>212</v>
      </c>
      <c r="AG2" s="344"/>
      <c r="AH2" s="344"/>
      <c r="AI2" s="344"/>
      <c r="AJ2" s="344"/>
      <c r="AK2" s="344"/>
      <c r="AL2" s="344"/>
      <c r="AM2" s="344"/>
      <c r="AN2" s="344"/>
      <c r="AO2" s="345"/>
      <c r="AP2" s="111" t="s">
        <v>2159</v>
      </c>
      <c r="AQ2" s="112"/>
      <c r="AR2" s="112"/>
      <c r="AS2" s="113"/>
    </row>
    <row r="3" spans="1:68" s="17" customFormat="1" ht="28.5" customHeight="1" thickBot="1" x14ac:dyDescent="0.25">
      <c r="A3" s="107"/>
      <c r="B3" s="107"/>
      <c r="C3" s="107"/>
      <c r="D3" s="107"/>
      <c r="E3" s="350"/>
      <c r="F3" s="109" t="s">
        <v>213</v>
      </c>
      <c r="G3" s="125" t="s">
        <v>214</v>
      </c>
      <c r="H3" s="125" t="s">
        <v>215</v>
      </c>
      <c r="I3" s="125" t="s">
        <v>216</v>
      </c>
      <c r="J3" s="125" t="s">
        <v>217</v>
      </c>
      <c r="K3" s="181" t="s">
        <v>259</v>
      </c>
      <c r="L3" s="181" t="s">
        <v>911</v>
      </c>
      <c r="M3" s="181"/>
      <c r="N3" s="126"/>
      <c r="O3" s="110" t="s">
        <v>213</v>
      </c>
      <c r="P3" s="114" t="s">
        <v>214</v>
      </c>
      <c r="Q3" s="114" t="s">
        <v>215</v>
      </c>
      <c r="R3" s="114" t="s">
        <v>216</v>
      </c>
      <c r="S3" s="114" t="s">
        <v>217</v>
      </c>
      <c r="T3" s="184" t="s">
        <v>259</v>
      </c>
      <c r="U3" s="184" t="s">
        <v>911</v>
      </c>
      <c r="V3" s="184"/>
      <c r="W3" s="115"/>
      <c r="X3" s="116" t="s">
        <v>898</v>
      </c>
      <c r="Y3" s="117" t="s">
        <v>899</v>
      </c>
      <c r="Z3" s="185" t="s">
        <v>1716</v>
      </c>
      <c r="AA3" s="185" t="s">
        <v>1717</v>
      </c>
      <c r="AB3" s="185" t="s">
        <v>1705</v>
      </c>
      <c r="AC3" s="185" t="s">
        <v>2329</v>
      </c>
      <c r="AD3" s="117" t="s">
        <v>2330</v>
      </c>
      <c r="AE3" s="118"/>
      <c r="AF3" s="119" t="s">
        <v>1706</v>
      </c>
      <c r="AG3" s="120" t="s">
        <v>218</v>
      </c>
      <c r="AH3" s="108" t="s">
        <v>219</v>
      </c>
      <c r="AI3" s="108" t="s">
        <v>220</v>
      </c>
      <c r="AJ3" s="108" t="s">
        <v>221</v>
      </c>
      <c r="AK3" s="120" t="s">
        <v>222</v>
      </c>
      <c r="AL3" s="120" t="s">
        <v>223</v>
      </c>
      <c r="AM3" s="108"/>
      <c r="AN3" s="120"/>
      <c r="AO3" s="121"/>
      <c r="AP3" s="122" t="s">
        <v>900</v>
      </c>
      <c r="AQ3" s="123" t="s">
        <v>224</v>
      </c>
      <c r="AR3" s="123" t="s">
        <v>901</v>
      </c>
      <c r="AS3" s="149" t="s">
        <v>225</v>
      </c>
    </row>
    <row r="4" spans="1:68" s="133" customFormat="1" x14ac:dyDescent="0.2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68" s="133" customFormat="1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68" s="133" customFormat="1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68" s="133" customFormat="1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68" s="133" customFormat="1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68" s="133" customFormat="1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8" s="133" customForma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8" s="133" customForma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68" s="133" customFormat="1" ht="17.25" hidden="1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68" s="133" customFormat="1" ht="17.25" hidden="1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68" s="133" customFormat="1" ht="17.25" hidden="1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68" s="133" customForma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33" customForma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68" s="133" customForma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 x14ac:dyDescent="0.2">
      <c r="B18"/>
      <c r="C18"/>
      <c r="D18"/>
      <c r="E18"/>
      <c r="F18"/>
      <c r="G18"/>
      <c r="H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68" x14ac:dyDescent="0.2">
      <c r="B19"/>
      <c r="C19"/>
      <c r="D19"/>
      <c r="E19"/>
      <c r="F19"/>
      <c r="G19"/>
      <c r="H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68" x14ac:dyDescent="0.2">
      <c r="B20"/>
      <c r="C20"/>
      <c r="D20"/>
      <c r="E20"/>
      <c r="F20"/>
      <c r="G20"/>
      <c r="H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68" s="133" customForma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68" s="133" customForma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33" customForma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 x14ac:dyDescent="0.2">
      <c r="B24"/>
      <c r="C24"/>
      <c r="D24"/>
      <c r="E24"/>
      <c r="F24"/>
      <c r="G24"/>
      <c r="H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68" x14ac:dyDescent="0.2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68" x14ac:dyDescent="0.2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68" x14ac:dyDescent="0.2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68" x14ac:dyDescent="0.2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68" x14ac:dyDescent="0.2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68" x14ac:dyDescent="0.2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68" x14ac:dyDescent="0.2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68" x14ac:dyDescent="0.2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 x14ac:dyDescent="0.2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 x14ac:dyDescent="0.2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 x14ac:dyDescent="0.2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 x14ac:dyDescent="0.2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 x14ac:dyDescent="0.2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 x14ac:dyDescent="0.2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 x14ac:dyDescent="0.2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 x14ac:dyDescent="0.2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 x14ac:dyDescent="0.2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 x14ac:dyDescent="0.2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 x14ac:dyDescent="0.2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 x14ac:dyDescent="0.2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 x14ac:dyDescent="0.2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 x14ac:dyDescent="0.2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 x14ac:dyDescent="0.2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 x14ac:dyDescent="0.2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2"/>
  <sheetViews>
    <sheetView showGridLines="0" zoomScaleNormal="100" workbookViewId="0">
      <selection activeCell="A33" sqref="A33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92" t="s">
        <v>2216</v>
      </c>
      <c r="C1" s="190">
        <v>8795</v>
      </c>
      <c r="D1" s="191" t="s">
        <v>2217</v>
      </c>
      <c r="E1" s="189"/>
      <c r="F1" s="189"/>
      <c r="G1" s="189"/>
      <c r="H1" s="193" t="s">
        <v>2218</v>
      </c>
      <c r="I1" s="136">
        <v>6752</v>
      </c>
      <c r="J1" s="137" t="s">
        <v>2219</v>
      </c>
      <c r="N1" s="173"/>
      <c r="O1" s="194">
        <v>13</v>
      </c>
      <c r="P1" s="135" t="s">
        <v>2228</v>
      </c>
      <c r="Q1" s="195">
        <v>14</v>
      </c>
      <c r="R1" s="135"/>
      <c r="T1" s="173"/>
      <c r="U1" s="135" t="s">
        <v>1707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5" t="s">
        <v>2220</v>
      </c>
      <c r="X2" s="174">
        <v>-2.8140612143613999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6" t="s">
        <v>2221</v>
      </c>
      <c r="X3" s="174">
        <v>-8.11</v>
      </c>
    </row>
    <row r="4" spans="1:24" x14ac:dyDescent="0.2">
      <c r="A4" s="205" t="s">
        <v>2210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6" t="s">
        <v>2222</v>
      </c>
      <c r="X4" s="174">
        <v>1.34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5" t="s">
        <v>2223</v>
      </c>
      <c r="X5" s="174">
        <v>-86216</v>
      </c>
    </row>
    <row r="6" spans="1:24" ht="15" customHeight="1" x14ac:dyDescent="0.2">
      <c r="A6" s="205" t="s">
        <v>1708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7" t="s">
        <v>2224</v>
      </c>
      <c r="X6" s="174">
        <v>0.90524543736923602</v>
      </c>
    </row>
    <row r="7" spans="1:24" x14ac:dyDescent="0.2">
      <c r="A7" s="206">
        <v>0.86120224196219175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7" t="s">
        <v>2225</v>
      </c>
      <c r="X7" s="174">
        <v>0.91052373189302604</v>
      </c>
    </row>
    <row r="8" spans="1:24" x14ac:dyDescent="0.2">
      <c r="A8" s="205" t="s">
        <v>1709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5" t="s">
        <v>2226</v>
      </c>
      <c r="X8" s="174">
        <v>4.6756204401709599E-2</v>
      </c>
    </row>
    <row r="9" spans="1:24" x14ac:dyDescent="0.2">
      <c r="A9" s="206">
        <v>0.49517257575023244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5" t="s">
        <v>2227</v>
      </c>
      <c r="X9" s="174">
        <v>6.1995489679687E-3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858</v>
      </c>
      <c r="B41" s="106" t="s">
        <v>2212</v>
      </c>
      <c r="C41" s="106" t="s">
        <v>2213</v>
      </c>
      <c r="D41" s="106" t="s">
        <v>2214</v>
      </c>
      <c r="E41" s="106" t="s">
        <v>2215</v>
      </c>
      <c r="F41" s="106" t="s">
        <v>859</v>
      </c>
      <c r="G41" s="106" t="s">
        <v>860</v>
      </c>
      <c r="H41" s="106" t="s">
        <v>861</v>
      </c>
      <c r="I41" s="106" t="s">
        <v>862</v>
      </c>
      <c r="J41" s="106" t="s">
        <v>863</v>
      </c>
      <c r="L41" s="106" t="s">
        <v>206</v>
      </c>
      <c r="M41" s="106" t="s">
        <v>207</v>
      </c>
      <c r="N41" s="106" t="s">
        <v>208</v>
      </c>
      <c r="O41" s="106" t="s">
        <v>209</v>
      </c>
    </row>
    <row r="42" spans="1:20" x14ac:dyDescent="0.2">
      <c r="A42" s="14">
        <v>43819</v>
      </c>
      <c r="B42">
        <v>1020</v>
      </c>
      <c r="C42">
        <v>1016.5</v>
      </c>
      <c r="D42">
        <v>1429</v>
      </c>
      <c r="E42">
        <v>1433</v>
      </c>
      <c r="F42">
        <v>0.70935101186322402</v>
      </c>
      <c r="G42">
        <v>0.76685632855334696</v>
      </c>
      <c r="H42">
        <v>2.0434991391320101E-2</v>
      </c>
      <c r="I42">
        <v>-2.8140612143613999</v>
      </c>
      <c r="J42">
        <v>-8.11</v>
      </c>
      <c r="L42">
        <v>0.78729131994466706</v>
      </c>
      <c r="M42">
        <v>0.74642133716202685</v>
      </c>
      <c r="N42">
        <v>0.80772631133598716</v>
      </c>
      <c r="O42">
        <v>0.72598634577070675</v>
      </c>
    </row>
    <row r="43" spans="1:20" x14ac:dyDescent="0.2">
      <c r="A43" s="14">
        <v>43818</v>
      </c>
      <c r="B43">
        <v>1025</v>
      </c>
      <c r="C43">
        <v>1026.5</v>
      </c>
      <c r="D43">
        <v>1414</v>
      </c>
      <c r="E43">
        <v>1429</v>
      </c>
      <c r="F43">
        <v>0.71833449965010499</v>
      </c>
      <c r="G43">
        <v>0.76796321039195004</v>
      </c>
      <c r="H43">
        <v>1.9517929187571701E-2</v>
      </c>
      <c r="I43">
        <v>-2.5427241929664799</v>
      </c>
      <c r="J43">
        <v>-6.91</v>
      </c>
      <c r="L43">
        <v>0.78748113957952171</v>
      </c>
      <c r="M43">
        <v>0.74844528120437837</v>
      </c>
      <c r="N43">
        <v>0.80699906876709349</v>
      </c>
      <c r="O43">
        <v>0.72892735201680658</v>
      </c>
    </row>
    <row r="44" spans="1:20" x14ac:dyDescent="0.2">
      <c r="A44" s="14">
        <v>43817</v>
      </c>
      <c r="B44">
        <v>1040.5</v>
      </c>
      <c r="C44">
        <v>1025.5</v>
      </c>
      <c r="D44">
        <v>1415</v>
      </c>
      <c r="E44">
        <v>1424</v>
      </c>
      <c r="F44">
        <v>0.72015449438202195</v>
      </c>
      <c r="G44">
        <v>0.76902326906066198</v>
      </c>
      <c r="H44">
        <v>1.8944299245301902E-2</v>
      </c>
      <c r="I44">
        <v>-2.5796031854152299</v>
      </c>
      <c r="J44">
        <v>-6.79</v>
      </c>
      <c r="L44">
        <v>0.78796756830596393</v>
      </c>
      <c r="M44">
        <v>0.75007896981536004</v>
      </c>
      <c r="N44">
        <v>0.80691186755126576</v>
      </c>
      <c r="O44">
        <v>0.73113467057005821</v>
      </c>
    </row>
    <row r="45" spans="1:20" x14ac:dyDescent="0.2">
      <c r="A45" s="14">
        <v>43816</v>
      </c>
      <c r="B45">
        <v>1044</v>
      </c>
      <c r="C45">
        <v>1046.5</v>
      </c>
      <c r="D45">
        <v>1392</v>
      </c>
      <c r="E45">
        <v>1412</v>
      </c>
      <c r="F45">
        <v>0.74114730878186896</v>
      </c>
      <c r="G45">
        <v>0.77017483232397499</v>
      </c>
      <c r="H45">
        <v>1.8559815485771802E-2</v>
      </c>
      <c r="I45">
        <v>-1.5639984979569499</v>
      </c>
      <c r="J45">
        <v>-3.92</v>
      </c>
      <c r="L45">
        <v>0.78873464780974678</v>
      </c>
      <c r="M45">
        <v>0.7516150168382032</v>
      </c>
      <c r="N45">
        <v>0.80729446329551857</v>
      </c>
      <c r="O45">
        <v>0.73305520135243141</v>
      </c>
    </row>
    <row r="46" spans="1:20" x14ac:dyDescent="0.2">
      <c r="A46" s="14">
        <v>43815</v>
      </c>
      <c r="B46">
        <v>1058</v>
      </c>
      <c r="C46">
        <v>1036.5</v>
      </c>
      <c r="D46">
        <v>1369</v>
      </c>
      <c r="E46">
        <v>1374</v>
      </c>
      <c r="F46">
        <v>0.75436681222707402</v>
      </c>
      <c r="G46">
        <v>0.77098332080021004</v>
      </c>
      <c r="H46">
        <v>1.8598394605723101E-2</v>
      </c>
      <c r="I46">
        <v>-0.89343778994895695</v>
      </c>
      <c r="J46">
        <v>-2.2000000000000002</v>
      </c>
      <c r="L46">
        <v>0.78958171540593314</v>
      </c>
      <c r="M46">
        <v>0.75238492619448694</v>
      </c>
      <c r="N46">
        <v>0.80818011001165624</v>
      </c>
      <c r="O46">
        <v>0.73378653158876384</v>
      </c>
    </row>
    <row r="47" spans="1:20" x14ac:dyDescent="0.2">
      <c r="A47" s="14">
        <v>43812</v>
      </c>
      <c r="B47">
        <v>1059</v>
      </c>
      <c r="C47">
        <v>1058</v>
      </c>
      <c r="D47">
        <v>1384</v>
      </c>
      <c r="E47">
        <v>1373</v>
      </c>
      <c r="F47">
        <v>0.77057538237436196</v>
      </c>
      <c r="G47">
        <v>0.77156670560520102</v>
      </c>
      <c r="H47">
        <v>1.8753603497846098E-2</v>
      </c>
      <c r="I47">
        <v>-5.2860413250826001E-2</v>
      </c>
      <c r="J47">
        <v>-0.13</v>
      </c>
      <c r="L47">
        <v>0.79032030910304707</v>
      </c>
      <c r="M47">
        <v>0.75281310210735497</v>
      </c>
      <c r="N47">
        <v>0.80907391260089323</v>
      </c>
      <c r="O47">
        <v>0.73405949860950881</v>
      </c>
    </row>
    <row r="48" spans="1:20" x14ac:dyDescent="0.2">
      <c r="A48" s="14">
        <v>43811</v>
      </c>
      <c r="B48">
        <v>1058.5</v>
      </c>
      <c r="C48">
        <v>1036.5</v>
      </c>
      <c r="D48">
        <v>1338</v>
      </c>
      <c r="E48">
        <v>1335</v>
      </c>
      <c r="F48">
        <v>0.77640449438202197</v>
      </c>
      <c r="G48">
        <v>0.77192282304163196</v>
      </c>
      <c r="H48">
        <v>1.8983578210926898E-2</v>
      </c>
      <c r="I48">
        <v>0.23608148530242801</v>
      </c>
      <c r="J48">
        <v>0.57999999999999996</v>
      </c>
      <c r="L48">
        <v>0.79090640125255884</v>
      </c>
      <c r="M48">
        <v>0.75293924483070507</v>
      </c>
      <c r="N48">
        <v>0.80988997946348573</v>
      </c>
      <c r="O48">
        <v>0.73395566661977818</v>
      </c>
    </row>
    <row r="49" spans="1:15" x14ac:dyDescent="0.2">
      <c r="A49" s="14">
        <v>43810</v>
      </c>
      <c r="B49">
        <v>1059</v>
      </c>
      <c r="C49">
        <v>1060.5</v>
      </c>
      <c r="D49">
        <v>1362</v>
      </c>
      <c r="E49">
        <v>1348</v>
      </c>
      <c r="F49">
        <v>0.78672106824925803</v>
      </c>
      <c r="G49">
        <v>0.77229625331261598</v>
      </c>
      <c r="H49">
        <v>1.9340184527451801E-2</v>
      </c>
      <c r="I49">
        <v>0.74584681010495801</v>
      </c>
      <c r="J49">
        <v>1.83</v>
      </c>
      <c r="L49">
        <v>0.79163643784006776</v>
      </c>
      <c r="M49">
        <v>0.75295606878516419</v>
      </c>
      <c r="N49">
        <v>0.81097662236751955</v>
      </c>
      <c r="O49">
        <v>0.7336158842577124</v>
      </c>
    </row>
    <row r="50" spans="1:15" x14ac:dyDescent="0.2">
      <c r="A50" s="14">
        <v>43809</v>
      </c>
      <c r="B50">
        <v>1057.5</v>
      </c>
      <c r="C50">
        <v>1057.5</v>
      </c>
      <c r="D50">
        <v>1362</v>
      </c>
      <c r="E50">
        <v>1362</v>
      </c>
      <c r="F50">
        <v>0.77643171806167399</v>
      </c>
      <c r="G50">
        <v>0.77271452508652305</v>
      </c>
      <c r="H50">
        <v>1.99763890106846E-2</v>
      </c>
      <c r="I50">
        <v>0.186079324604777</v>
      </c>
      <c r="J50">
        <v>0.48</v>
      </c>
      <c r="L50">
        <v>0.7926909140972076</v>
      </c>
      <c r="M50">
        <v>0.7527381360758385</v>
      </c>
      <c r="N50">
        <v>0.81266730310789226</v>
      </c>
      <c r="O50">
        <v>0.73276174706515385</v>
      </c>
    </row>
    <row r="51" spans="1:15" x14ac:dyDescent="0.2">
      <c r="A51" s="14">
        <v>43808</v>
      </c>
      <c r="B51">
        <v>1045</v>
      </c>
      <c r="C51">
        <v>1057.5</v>
      </c>
      <c r="D51">
        <v>1380</v>
      </c>
      <c r="E51">
        <v>1374</v>
      </c>
      <c r="F51">
        <v>0.76965065502183405</v>
      </c>
      <c r="G51">
        <v>0.77316752008455103</v>
      </c>
      <c r="H51">
        <v>2.0435483556910002E-2</v>
      </c>
      <c r="I51">
        <v>-0.17209600413533299</v>
      </c>
      <c r="J51">
        <v>-0.46</v>
      </c>
      <c r="L51">
        <v>0.79360300364146108</v>
      </c>
      <c r="M51">
        <v>0.75273203652764098</v>
      </c>
      <c r="N51">
        <v>0.81403848719837102</v>
      </c>
      <c r="O51">
        <v>0.73229655297073104</v>
      </c>
    </row>
    <row r="52" spans="1:15" x14ac:dyDescent="0.2">
      <c r="A52" s="14">
        <v>43805</v>
      </c>
      <c r="B52">
        <v>1040.5</v>
      </c>
      <c r="C52">
        <v>1034.5</v>
      </c>
      <c r="D52">
        <v>1363</v>
      </c>
      <c r="E52">
        <v>1361</v>
      </c>
      <c r="F52">
        <v>0.76010286554004403</v>
      </c>
      <c r="G52">
        <v>0.77358939086102296</v>
      </c>
      <c r="H52">
        <v>2.0683612099104999E-2</v>
      </c>
      <c r="I52">
        <v>-0.65203917267247802</v>
      </c>
      <c r="J52">
        <v>-1.77</v>
      </c>
      <c r="L52">
        <v>0.79427300296012793</v>
      </c>
      <c r="M52">
        <v>0.752905778761918</v>
      </c>
      <c r="N52">
        <v>0.814956615059233</v>
      </c>
      <c r="O52">
        <v>0.73222216666281292</v>
      </c>
    </row>
    <row r="53" spans="1:15" x14ac:dyDescent="0.2">
      <c r="A53" s="14">
        <v>43804</v>
      </c>
      <c r="B53">
        <v>1040</v>
      </c>
      <c r="C53">
        <v>1044.5</v>
      </c>
      <c r="D53">
        <v>1329</v>
      </c>
      <c r="E53">
        <v>1343</v>
      </c>
      <c r="F53">
        <v>0.77773641102010405</v>
      </c>
      <c r="G53">
        <v>0.77434041959094202</v>
      </c>
      <c r="H53">
        <v>2.11965454929499E-2</v>
      </c>
      <c r="I53">
        <v>0.160214381644949</v>
      </c>
      <c r="J53">
        <v>0.44</v>
      </c>
      <c r="L53">
        <v>0.79553696508389193</v>
      </c>
      <c r="M53">
        <v>0.75314387409799211</v>
      </c>
      <c r="N53">
        <v>0.81673351057684185</v>
      </c>
      <c r="O53">
        <v>0.73194732860504219</v>
      </c>
    </row>
    <row r="54" spans="1:15" x14ac:dyDescent="0.2">
      <c r="A54" s="14">
        <v>43803</v>
      </c>
      <c r="B54">
        <v>1021.5</v>
      </c>
      <c r="C54">
        <v>1034.5</v>
      </c>
      <c r="D54">
        <v>1283</v>
      </c>
      <c r="E54">
        <v>1310</v>
      </c>
      <c r="F54">
        <v>0.78969465648854897</v>
      </c>
      <c r="G54">
        <v>0.774747593713768</v>
      </c>
      <c r="H54">
        <v>2.1548261581933899E-2</v>
      </c>
      <c r="I54">
        <v>0.69365515718968995</v>
      </c>
      <c r="J54">
        <v>1.89</v>
      </c>
      <c r="L54">
        <v>0.7962958552957019</v>
      </c>
      <c r="M54">
        <v>0.7531993321318341</v>
      </c>
      <c r="N54">
        <v>0.81784411687763581</v>
      </c>
      <c r="O54">
        <v>0.7316510705499002</v>
      </c>
    </row>
    <row r="55" spans="1:15" x14ac:dyDescent="0.2">
      <c r="A55" s="14">
        <v>43802</v>
      </c>
      <c r="B55">
        <v>1018.5</v>
      </c>
      <c r="C55">
        <v>1029.5</v>
      </c>
      <c r="D55">
        <v>1276</v>
      </c>
      <c r="E55">
        <v>1302</v>
      </c>
      <c r="F55">
        <v>0.79070660522273395</v>
      </c>
      <c r="G55">
        <v>0.77517966496058799</v>
      </c>
      <c r="H55">
        <v>2.2159844334166599E-2</v>
      </c>
      <c r="I55">
        <v>0.70067912156794498</v>
      </c>
      <c r="J55">
        <v>1.96</v>
      </c>
      <c r="L55">
        <v>0.79733950929475461</v>
      </c>
      <c r="M55">
        <v>0.75301982062642137</v>
      </c>
      <c r="N55">
        <v>0.81949935362892123</v>
      </c>
      <c r="O55">
        <v>0.73085997629225474</v>
      </c>
    </row>
    <row r="56" spans="1:15" x14ac:dyDescent="0.2">
      <c r="A56" s="14">
        <v>43801</v>
      </c>
      <c r="B56">
        <v>1030</v>
      </c>
      <c r="C56">
        <v>1032</v>
      </c>
      <c r="D56">
        <v>1285</v>
      </c>
      <c r="E56">
        <v>1295</v>
      </c>
      <c r="F56">
        <v>0.79691119691119605</v>
      </c>
      <c r="G56">
        <v>0.77569184787173995</v>
      </c>
      <c r="H56">
        <v>2.2942896212014102E-2</v>
      </c>
      <c r="I56">
        <v>0.92487665216151005</v>
      </c>
      <c r="J56">
        <v>2.66</v>
      </c>
      <c r="L56">
        <v>0.79863474408375401</v>
      </c>
      <c r="M56">
        <v>0.75274895165972588</v>
      </c>
      <c r="N56">
        <v>0.82157764029576819</v>
      </c>
      <c r="O56">
        <v>0.72980605544771171</v>
      </c>
    </row>
    <row r="57" spans="1:15" x14ac:dyDescent="0.2">
      <c r="A57" s="14">
        <v>43798</v>
      </c>
      <c r="B57">
        <v>1025</v>
      </c>
      <c r="C57">
        <v>1032</v>
      </c>
      <c r="D57">
        <v>1282</v>
      </c>
      <c r="E57">
        <v>1288</v>
      </c>
      <c r="F57">
        <v>0.80124223602484401</v>
      </c>
      <c r="G57">
        <v>0.77555584058398896</v>
      </c>
      <c r="H57">
        <v>2.28467364204527E-2</v>
      </c>
      <c r="I57">
        <v>1.1242916698535701</v>
      </c>
      <c r="J57">
        <v>3.21</v>
      </c>
      <c r="L57">
        <v>0.79840257700444162</v>
      </c>
      <c r="M57">
        <v>0.75270910416353631</v>
      </c>
      <c r="N57">
        <v>0.82124931342489438</v>
      </c>
      <c r="O57">
        <v>0.72986236774308355</v>
      </c>
    </row>
    <row r="58" spans="1:15" x14ac:dyDescent="0.2">
      <c r="A58" s="14">
        <v>43797</v>
      </c>
      <c r="B58">
        <v>988.5</v>
      </c>
      <c r="C58">
        <v>1009</v>
      </c>
      <c r="D58">
        <v>1285</v>
      </c>
      <c r="E58">
        <v>1279</v>
      </c>
      <c r="F58">
        <v>0.78889757623142998</v>
      </c>
      <c r="G58">
        <v>0.77510881181873603</v>
      </c>
      <c r="H58">
        <v>2.26670690395889E-2</v>
      </c>
      <c r="I58">
        <v>0.60831704304651402</v>
      </c>
      <c r="J58">
        <v>1.75</v>
      </c>
      <c r="L58">
        <v>0.79777588085832496</v>
      </c>
      <c r="M58">
        <v>0.7524417427791471</v>
      </c>
      <c r="N58">
        <v>0.82044294989791378</v>
      </c>
      <c r="O58">
        <v>0.72977467373955829</v>
      </c>
    </row>
    <row r="59" spans="1:15" x14ac:dyDescent="0.2">
      <c r="A59" s="14">
        <v>43796</v>
      </c>
      <c r="B59">
        <v>984.6</v>
      </c>
      <c r="C59">
        <v>981.3</v>
      </c>
      <c r="D59">
        <v>1266</v>
      </c>
      <c r="E59">
        <v>1274</v>
      </c>
      <c r="F59">
        <v>0.77025117739403404</v>
      </c>
      <c r="G59">
        <v>0.77469805625686305</v>
      </c>
      <c r="H59">
        <v>2.2692590976723701E-2</v>
      </c>
      <c r="I59">
        <v>-0.19596170694611001</v>
      </c>
      <c r="J59">
        <v>-0.57999999999999996</v>
      </c>
      <c r="L59">
        <v>0.79739064723358677</v>
      </c>
      <c r="M59">
        <v>0.75200546528013934</v>
      </c>
      <c r="N59">
        <v>0.82008323821031048</v>
      </c>
      <c r="O59">
        <v>0.72931287430341563</v>
      </c>
    </row>
    <row r="60" spans="1:15" x14ac:dyDescent="0.2">
      <c r="A60" s="14">
        <v>43795</v>
      </c>
      <c r="B60">
        <v>978.8</v>
      </c>
      <c r="C60">
        <v>981</v>
      </c>
      <c r="D60">
        <v>1275</v>
      </c>
      <c r="E60">
        <v>1251</v>
      </c>
      <c r="F60">
        <v>0.78417266187050305</v>
      </c>
      <c r="G60">
        <v>0.774300659605895</v>
      </c>
      <c r="H60">
        <v>2.3025516672561901E-2</v>
      </c>
      <c r="I60">
        <v>0.42874183476509398</v>
      </c>
      <c r="J60">
        <v>1.26</v>
      </c>
      <c r="L60">
        <v>0.79732617627845692</v>
      </c>
      <c r="M60">
        <v>0.75127514293333308</v>
      </c>
      <c r="N60">
        <v>0.82035169295101884</v>
      </c>
      <c r="O60">
        <v>0.72824962626077117</v>
      </c>
    </row>
    <row r="61" spans="1:15" x14ac:dyDescent="0.2">
      <c r="A61" s="14">
        <v>43794</v>
      </c>
      <c r="B61">
        <v>995</v>
      </c>
      <c r="C61">
        <v>967.7</v>
      </c>
      <c r="D61">
        <v>1258</v>
      </c>
      <c r="E61">
        <v>1269</v>
      </c>
      <c r="F61">
        <v>0.76256895193065399</v>
      </c>
      <c r="G61">
        <v>0.77382321450627101</v>
      </c>
      <c r="H61">
        <v>2.31865547838058E-2</v>
      </c>
      <c r="I61">
        <v>-0.48537881891267898</v>
      </c>
      <c r="J61">
        <v>-1.48</v>
      </c>
      <c r="L61">
        <v>0.79700976929007683</v>
      </c>
      <c r="M61">
        <v>0.75063665972246518</v>
      </c>
      <c r="N61">
        <v>0.82019632407388265</v>
      </c>
      <c r="O61">
        <v>0.72745010493865936</v>
      </c>
    </row>
    <row r="62" spans="1:15" x14ac:dyDescent="0.2">
      <c r="A62" s="14">
        <v>43791</v>
      </c>
      <c r="B62">
        <v>1005.5</v>
      </c>
      <c r="C62">
        <v>990.4</v>
      </c>
      <c r="D62">
        <v>1260</v>
      </c>
      <c r="E62">
        <v>1250</v>
      </c>
      <c r="F62">
        <v>0.79232000000000002</v>
      </c>
      <c r="G62">
        <v>0.77370708645651598</v>
      </c>
      <c r="H62">
        <v>2.3264310379692801E-2</v>
      </c>
      <c r="I62">
        <v>0.80006298229802197</v>
      </c>
      <c r="J62">
        <v>2.35</v>
      </c>
      <c r="L62">
        <v>0.79697139683620877</v>
      </c>
      <c r="M62">
        <v>0.75044277607682319</v>
      </c>
      <c r="N62">
        <v>0.82023570721590155</v>
      </c>
      <c r="O62">
        <v>0.72717846569713041</v>
      </c>
    </row>
    <row r="63" spans="1:15" x14ac:dyDescent="0.2">
      <c r="A63" s="14">
        <v>43790</v>
      </c>
      <c r="B63">
        <v>998.1</v>
      </c>
      <c r="C63">
        <v>1005</v>
      </c>
      <c r="D63">
        <v>1254</v>
      </c>
      <c r="E63">
        <v>1243</v>
      </c>
      <c r="F63">
        <v>0.80852775543041</v>
      </c>
      <c r="G63">
        <v>0.77300905320441704</v>
      </c>
      <c r="H63">
        <v>2.34797743484839E-2</v>
      </c>
      <c r="I63">
        <v>1.5127360978358799</v>
      </c>
      <c r="J63">
        <v>4.3899999999999997</v>
      </c>
      <c r="L63">
        <v>0.79648882755290096</v>
      </c>
      <c r="M63">
        <v>0.74952927885593312</v>
      </c>
      <c r="N63">
        <v>0.81996860190138487</v>
      </c>
      <c r="O63">
        <v>0.72604950450744921</v>
      </c>
    </row>
    <row r="64" spans="1:15" x14ac:dyDescent="0.2">
      <c r="A64" s="14">
        <v>43789</v>
      </c>
      <c r="B64">
        <v>990.6</v>
      </c>
      <c r="C64">
        <v>1002</v>
      </c>
      <c r="D64">
        <v>1298</v>
      </c>
      <c r="E64">
        <v>1266</v>
      </c>
      <c r="F64">
        <v>0.79146919431279605</v>
      </c>
      <c r="G64">
        <v>0.77228523560618201</v>
      </c>
      <c r="H64">
        <v>2.32088595525182E-2</v>
      </c>
      <c r="I64">
        <v>0.826579120064168</v>
      </c>
      <c r="J64">
        <v>2.42</v>
      </c>
      <c r="L64">
        <v>0.79549409515870018</v>
      </c>
      <c r="M64">
        <v>0.74907637605366384</v>
      </c>
      <c r="N64">
        <v>0.81870295471121846</v>
      </c>
      <c r="O64">
        <v>0.72586751650114556</v>
      </c>
    </row>
    <row r="65" spans="1:15" x14ac:dyDescent="0.2">
      <c r="A65" s="14">
        <v>43788</v>
      </c>
      <c r="B65">
        <v>993</v>
      </c>
      <c r="C65">
        <v>1001.5</v>
      </c>
      <c r="D65">
        <v>1323</v>
      </c>
      <c r="E65">
        <v>1319</v>
      </c>
      <c r="F65">
        <v>0.75928733889309996</v>
      </c>
      <c r="G65">
        <v>0.77192184469578595</v>
      </c>
      <c r="H65">
        <v>2.31188349158831E-2</v>
      </c>
      <c r="I65">
        <v>-0.54650270433849801</v>
      </c>
      <c r="J65">
        <v>-1.66</v>
      </c>
      <c r="L65">
        <v>0.79504067961166902</v>
      </c>
      <c r="M65">
        <v>0.74880300977990288</v>
      </c>
      <c r="N65">
        <v>0.8181595145275522</v>
      </c>
      <c r="O65">
        <v>0.7256841748640197</v>
      </c>
    </row>
    <row r="66" spans="1:15" x14ac:dyDescent="0.2">
      <c r="A66" s="14">
        <v>43787</v>
      </c>
      <c r="B66">
        <v>998.9</v>
      </c>
      <c r="C66">
        <v>990.4</v>
      </c>
      <c r="D66">
        <v>1346</v>
      </c>
      <c r="E66">
        <v>1320</v>
      </c>
      <c r="F66">
        <v>0.75030303030303003</v>
      </c>
      <c r="G66">
        <v>0.77187504315864597</v>
      </c>
      <c r="H66">
        <v>2.31478993617131E-2</v>
      </c>
      <c r="I66">
        <v>-0.93192097125223206</v>
      </c>
      <c r="J66">
        <v>-2.88</v>
      </c>
      <c r="L66">
        <v>0.7950229425203591</v>
      </c>
      <c r="M66">
        <v>0.74872714379693284</v>
      </c>
      <c r="N66">
        <v>0.81817084188207212</v>
      </c>
      <c r="O66">
        <v>0.72557924443521982</v>
      </c>
    </row>
    <row r="67" spans="1:15" x14ac:dyDescent="0.2">
      <c r="A67" s="14">
        <v>43784</v>
      </c>
      <c r="B67">
        <v>997.9</v>
      </c>
      <c r="C67">
        <v>998.3</v>
      </c>
      <c r="D67">
        <v>1319</v>
      </c>
      <c r="E67">
        <v>1342</v>
      </c>
      <c r="F67">
        <v>0.74388971684053595</v>
      </c>
      <c r="G67">
        <v>0.77174895230708795</v>
      </c>
      <c r="H67">
        <v>2.32903806454995E-2</v>
      </c>
      <c r="I67">
        <v>-1.19616917776459</v>
      </c>
      <c r="J67">
        <v>-3.75</v>
      </c>
      <c r="L67">
        <v>0.79503933295258744</v>
      </c>
      <c r="M67">
        <v>0.74845857166158847</v>
      </c>
      <c r="N67">
        <v>0.81832971359808693</v>
      </c>
      <c r="O67">
        <v>0.72516819101608898</v>
      </c>
    </row>
    <row r="68" spans="1:15" x14ac:dyDescent="0.2">
      <c r="A68" s="14">
        <v>43783</v>
      </c>
      <c r="B68">
        <v>1007</v>
      </c>
      <c r="C68">
        <v>997.4</v>
      </c>
      <c r="D68">
        <v>1338</v>
      </c>
      <c r="E68">
        <v>1318</v>
      </c>
      <c r="F68">
        <v>0.75675265553869497</v>
      </c>
      <c r="G68">
        <v>0.77179826139734697</v>
      </c>
      <c r="H68">
        <v>2.3235195847941498E-2</v>
      </c>
      <c r="I68">
        <v>-0.64753514268249102</v>
      </c>
      <c r="J68">
        <v>-1.99</v>
      </c>
      <c r="L68">
        <v>0.79503345724528851</v>
      </c>
      <c r="M68">
        <v>0.74856306554940544</v>
      </c>
      <c r="N68">
        <v>0.81826865309322994</v>
      </c>
      <c r="O68">
        <v>0.72532786970146401</v>
      </c>
    </row>
    <row r="69" spans="1:15" x14ac:dyDescent="0.2">
      <c r="A69" s="14">
        <v>43782</v>
      </c>
      <c r="B69">
        <v>1023.5</v>
      </c>
      <c r="C69">
        <v>1016.5</v>
      </c>
      <c r="D69">
        <v>1356</v>
      </c>
      <c r="E69">
        <v>1333</v>
      </c>
      <c r="F69">
        <v>0.76256564141035199</v>
      </c>
      <c r="G69">
        <v>0.77181180725738197</v>
      </c>
      <c r="H69">
        <v>2.32267150719591E-2</v>
      </c>
      <c r="I69">
        <v>-0.39808323382725502</v>
      </c>
      <c r="J69">
        <v>-1.21</v>
      </c>
      <c r="L69">
        <v>0.79503852232934102</v>
      </c>
      <c r="M69">
        <v>0.74858509218542291</v>
      </c>
      <c r="N69">
        <v>0.81826523740130019</v>
      </c>
      <c r="O69">
        <v>0.72535837711346374</v>
      </c>
    </row>
    <row r="70" spans="1:15" x14ac:dyDescent="0.2">
      <c r="A70" s="14">
        <v>43781</v>
      </c>
      <c r="B70">
        <v>1034</v>
      </c>
      <c r="C70">
        <v>1021</v>
      </c>
      <c r="D70">
        <v>1344</v>
      </c>
      <c r="E70">
        <v>1358</v>
      </c>
      <c r="F70">
        <v>0.75184094256259204</v>
      </c>
      <c r="G70">
        <v>0.77179082184573999</v>
      </c>
      <c r="H70">
        <v>2.3235768782244499E-2</v>
      </c>
      <c r="I70">
        <v>-0.85858485983870703</v>
      </c>
      <c r="J70">
        <v>-2.65</v>
      </c>
      <c r="L70">
        <v>0.79502659062798453</v>
      </c>
      <c r="M70">
        <v>0.74855505306349546</v>
      </c>
      <c r="N70">
        <v>0.81826235941022896</v>
      </c>
      <c r="O70">
        <v>0.72531928428125103</v>
      </c>
    </row>
    <row r="71" spans="1:15" x14ac:dyDescent="0.2">
      <c r="A71" s="14">
        <v>43780</v>
      </c>
      <c r="B71">
        <v>1020</v>
      </c>
      <c r="C71">
        <v>1020</v>
      </c>
      <c r="D71">
        <v>1342</v>
      </c>
      <c r="E71">
        <v>1343</v>
      </c>
      <c r="F71">
        <v>0.759493670886076</v>
      </c>
      <c r="G71">
        <v>0.77193833680244295</v>
      </c>
      <c r="H71">
        <v>2.31435828852391E-2</v>
      </c>
      <c r="I71">
        <v>-0.53771561551538105</v>
      </c>
      <c r="J71">
        <v>-1.64</v>
      </c>
      <c r="L71">
        <v>0.79508191968768205</v>
      </c>
      <c r="M71">
        <v>0.74879475391720385</v>
      </c>
      <c r="N71">
        <v>0.81822550257292115</v>
      </c>
      <c r="O71">
        <v>0.72565117103196475</v>
      </c>
    </row>
    <row r="72" spans="1:15" x14ac:dyDescent="0.2">
      <c r="A72" s="14">
        <v>43777</v>
      </c>
      <c r="B72">
        <v>1022.5</v>
      </c>
      <c r="C72">
        <v>1022</v>
      </c>
      <c r="D72">
        <v>1341</v>
      </c>
      <c r="E72">
        <v>1329</v>
      </c>
      <c r="F72">
        <v>0.76899924755455196</v>
      </c>
      <c r="G72">
        <v>0.77199256428547103</v>
      </c>
      <c r="H72">
        <v>2.3119112197923002E-2</v>
      </c>
      <c r="I72">
        <v>-0.129473688491717</v>
      </c>
      <c r="J72">
        <v>-0.39</v>
      </c>
      <c r="L72">
        <v>0.79511167648339398</v>
      </c>
      <c r="M72">
        <v>0.74887345208754807</v>
      </c>
      <c r="N72">
        <v>0.81823078868131704</v>
      </c>
      <c r="O72">
        <v>0.72575433988962501</v>
      </c>
    </row>
    <row r="73" spans="1:15" x14ac:dyDescent="0.2">
      <c r="A73" s="14">
        <v>43776</v>
      </c>
      <c r="B73">
        <v>1009</v>
      </c>
      <c r="C73">
        <v>1021</v>
      </c>
      <c r="D73">
        <v>1283</v>
      </c>
      <c r="E73">
        <v>1297</v>
      </c>
      <c r="F73">
        <v>0.787201233616037</v>
      </c>
      <c r="G73">
        <v>0.77168633093183303</v>
      </c>
      <c r="H73">
        <v>2.3308073532818899E-2</v>
      </c>
      <c r="I73">
        <v>0.66564500332288001</v>
      </c>
      <c r="J73">
        <v>1.97</v>
      </c>
      <c r="L73">
        <v>0.79499440446465197</v>
      </c>
      <c r="M73">
        <v>0.74837825739901409</v>
      </c>
      <c r="N73">
        <v>0.8183024779974708</v>
      </c>
      <c r="O73">
        <v>0.72507018386619526</v>
      </c>
    </row>
    <row r="74" spans="1:15" x14ac:dyDescent="0.2">
      <c r="A74" s="14">
        <v>43775</v>
      </c>
      <c r="B74">
        <v>1020</v>
      </c>
      <c r="C74">
        <v>1015</v>
      </c>
      <c r="D74">
        <v>1271</v>
      </c>
      <c r="E74">
        <v>1300</v>
      </c>
      <c r="F74">
        <v>0.78076923076922999</v>
      </c>
      <c r="G74">
        <v>0.77139591160193499</v>
      </c>
      <c r="H74">
        <v>2.3248570863185099E-2</v>
      </c>
      <c r="I74">
        <v>0.40317829523613802</v>
      </c>
      <c r="J74">
        <v>1.2</v>
      </c>
      <c r="L74">
        <v>0.79464448246512009</v>
      </c>
      <c r="M74">
        <v>0.74814734073874989</v>
      </c>
      <c r="N74">
        <v>0.8178930533283052</v>
      </c>
      <c r="O74">
        <v>0.72489876987556479</v>
      </c>
    </row>
    <row r="75" spans="1:15" x14ac:dyDescent="0.2">
      <c r="A75" s="14">
        <v>43774</v>
      </c>
      <c r="B75">
        <v>995.8</v>
      </c>
      <c r="C75">
        <v>1009.5</v>
      </c>
      <c r="D75">
        <v>1257</v>
      </c>
      <c r="E75">
        <v>1248</v>
      </c>
      <c r="F75">
        <v>0.80889423076922995</v>
      </c>
      <c r="G75">
        <v>0.77126850037996297</v>
      </c>
      <c r="H75">
        <v>2.3223023121986298E-2</v>
      </c>
      <c r="I75">
        <v>1.6201908852101701</v>
      </c>
      <c r="J75">
        <v>4.6500000000000004</v>
      </c>
      <c r="L75">
        <v>0.79449152350194929</v>
      </c>
      <c r="M75">
        <v>0.74804547725797665</v>
      </c>
      <c r="N75">
        <v>0.81771454662393561</v>
      </c>
      <c r="O75">
        <v>0.72482245413599034</v>
      </c>
    </row>
    <row r="76" spans="1:15" x14ac:dyDescent="0.2">
      <c r="A76" s="14">
        <v>43770</v>
      </c>
      <c r="B76">
        <v>915</v>
      </c>
      <c r="C76">
        <v>980.8</v>
      </c>
      <c r="D76">
        <v>1200</v>
      </c>
      <c r="E76">
        <v>1202</v>
      </c>
      <c r="F76">
        <v>0.81597337770382605</v>
      </c>
      <c r="G76">
        <v>0.77089354343794003</v>
      </c>
      <c r="H76">
        <v>2.2836300175981001E-2</v>
      </c>
      <c r="I76">
        <v>1.97404281422524</v>
      </c>
      <c r="J76">
        <v>5.52</v>
      </c>
      <c r="L76">
        <v>0.79372984361392107</v>
      </c>
      <c r="M76">
        <v>0.74805724326195899</v>
      </c>
      <c r="N76">
        <v>0.816566143789902</v>
      </c>
      <c r="O76">
        <v>0.72522094308597806</v>
      </c>
    </row>
    <row r="77" spans="1:15" x14ac:dyDescent="0.2">
      <c r="A77" s="14">
        <v>43769</v>
      </c>
      <c r="B77">
        <v>915</v>
      </c>
      <c r="C77">
        <v>916.9</v>
      </c>
      <c r="D77">
        <v>1220</v>
      </c>
      <c r="E77">
        <v>1220</v>
      </c>
      <c r="F77">
        <v>0.75155737704918002</v>
      </c>
      <c r="G77">
        <v>0.77030883440634101</v>
      </c>
      <c r="H77">
        <v>2.22278855825714E-2</v>
      </c>
      <c r="I77">
        <v>-0.84360058843671404</v>
      </c>
      <c r="J77">
        <v>-2.5</v>
      </c>
      <c r="L77">
        <v>0.7925367199889124</v>
      </c>
      <c r="M77">
        <v>0.74808094882376963</v>
      </c>
      <c r="N77">
        <v>0.81476460557148378</v>
      </c>
      <c r="O77">
        <v>0.72585306324119825</v>
      </c>
    </row>
    <row r="78" spans="1:15" x14ac:dyDescent="0.2">
      <c r="A78" s="14">
        <v>43768</v>
      </c>
      <c r="B78">
        <v>918</v>
      </c>
      <c r="C78">
        <v>912.1</v>
      </c>
      <c r="D78">
        <v>1259</v>
      </c>
      <c r="E78">
        <v>1222</v>
      </c>
      <c r="F78">
        <v>0.746399345335515</v>
      </c>
      <c r="G78">
        <v>0.77061945339461302</v>
      </c>
      <c r="H78">
        <v>2.2126219911698199E-2</v>
      </c>
      <c r="I78">
        <v>-1.0946337944644999</v>
      </c>
      <c r="J78">
        <v>-3.24</v>
      </c>
      <c r="L78">
        <v>0.79274567330631118</v>
      </c>
      <c r="M78">
        <v>0.74849323348291485</v>
      </c>
      <c r="N78">
        <v>0.81487189321800946</v>
      </c>
      <c r="O78">
        <v>0.72636701357121658</v>
      </c>
    </row>
    <row r="79" spans="1:15" x14ac:dyDescent="0.2">
      <c r="A79" s="14">
        <v>43767</v>
      </c>
      <c r="B79">
        <v>914.9</v>
      </c>
      <c r="C79">
        <v>918</v>
      </c>
      <c r="D79">
        <v>1223</v>
      </c>
      <c r="E79">
        <v>1259</v>
      </c>
      <c r="F79">
        <v>0.72915011914217598</v>
      </c>
      <c r="G79">
        <v>0.77104928534320105</v>
      </c>
      <c r="H79">
        <v>2.1964069804904601E-2</v>
      </c>
      <c r="I79">
        <v>-1.9076230668174901</v>
      </c>
      <c r="J79">
        <v>-5.75</v>
      </c>
      <c r="L79">
        <v>0.79301335514810567</v>
      </c>
      <c r="M79">
        <v>0.74908521553829643</v>
      </c>
      <c r="N79">
        <v>0.81497742495301029</v>
      </c>
      <c r="O79">
        <v>0.72712114573339182</v>
      </c>
    </row>
    <row r="80" spans="1:15" x14ac:dyDescent="0.2">
      <c r="A80" s="14">
        <v>43766</v>
      </c>
      <c r="B80">
        <v>907.1</v>
      </c>
      <c r="C80">
        <v>912</v>
      </c>
      <c r="D80">
        <v>1213</v>
      </c>
      <c r="E80">
        <v>1222</v>
      </c>
      <c r="F80">
        <v>0.74631751227495902</v>
      </c>
      <c r="G80">
        <v>0.77175293328476602</v>
      </c>
      <c r="H80">
        <v>2.1449819341731399E-2</v>
      </c>
      <c r="I80">
        <v>-1.1858105005258499</v>
      </c>
      <c r="J80">
        <v>-3.41</v>
      </c>
      <c r="L80">
        <v>0.79320275262649742</v>
      </c>
      <c r="M80">
        <v>0.75030311394303462</v>
      </c>
      <c r="N80">
        <v>0.81465257196822882</v>
      </c>
      <c r="O80">
        <v>0.72885329460130321</v>
      </c>
    </row>
    <row r="81" spans="1:15" x14ac:dyDescent="0.2">
      <c r="A81" s="14">
        <v>43763</v>
      </c>
      <c r="B81">
        <v>906.3</v>
      </c>
      <c r="C81">
        <v>907.1</v>
      </c>
      <c r="D81">
        <v>1221</v>
      </c>
      <c r="E81">
        <v>1212</v>
      </c>
      <c r="F81">
        <v>0.74843234323432295</v>
      </c>
      <c r="G81">
        <v>0.7722820331211</v>
      </c>
      <c r="H81">
        <v>2.1304812759796801E-2</v>
      </c>
      <c r="I81">
        <v>-1.1194508093393201</v>
      </c>
      <c r="J81">
        <v>-3.19</v>
      </c>
      <c r="L81">
        <v>0.79358684588089679</v>
      </c>
      <c r="M81">
        <v>0.75097722036130321</v>
      </c>
      <c r="N81">
        <v>0.81489165864069357</v>
      </c>
      <c r="O81">
        <v>0.72967240760150642</v>
      </c>
    </row>
    <row r="82" spans="1:15" x14ac:dyDescent="0.2">
      <c r="A82" s="14">
        <v>43762</v>
      </c>
      <c r="B82">
        <v>912.4</v>
      </c>
      <c r="C82">
        <v>909.1</v>
      </c>
      <c r="D82">
        <v>1230</v>
      </c>
      <c r="E82">
        <v>1223</v>
      </c>
      <c r="F82">
        <v>0.74333605887162701</v>
      </c>
      <c r="G82">
        <v>0.77282527770367704</v>
      </c>
      <c r="H82">
        <v>2.1208986376926701E-2</v>
      </c>
      <c r="I82">
        <v>-1.39041151274119</v>
      </c>
      <c r="J82">
        <v>-3.97</v>
      </c>
      <c r="L82">
        <v>0.79403426408060374</v>
      </c>
      <c r="M82">
        <v>0.75161629132675034</v>
      </c>
      <c r="N82">
        <v>0.81524325045753043</v>
      </c>
      <c r="O82">
        <v>0.73040730494982364</v>
      </c>
    </row>
    <row r="83" spans="1:15" x14ac:dyDescent="0.2">
      <c r="A83" s="14">
        <v>43761</v>
      </c>
      <c r="B83">
        <v>897.9</v>
      </c>
      <c r="C83">
        <v>903</v>
      </c>
      <c r="D83">
        <v>1202</v>
      </c>
      <c r="E83">
        <v>1223</v>
      </c>
      <c r="F83">
        <v>0.73834832379394899</v>
      </c>
      <c r="G83">
        <v>0.77324022930603398</v>
      </c>
      <c r="H83">
        <v>2.09305896599578E-2</v>
      </c>
      <c r="I83">
        <v>-1.66702926572759</v>
      </c>
      <c r="J83">
        <v>-4.7300000000000004</v>
      </c>
      <c r="L83">
        <v>0.79417081896599173</v>
      </c>
      <c r="M83">
        <v>0.75230963964607622</v>
      </c>
      <c r="N83">
        <v>0.8151014086259496</v>
      </c>
      <c r="O83">
        <v>0.73137904998611836</v>
      </c>
    </row>
    <row r="84" spans="1:15" x14ac:dyDescent="0.2">
      <c r="A84" s="14">
        <v>43759</v>
      </c>
      <c r="B84">
        <v>893.2</v>
      </c>
      <c r="C84">
        <v>894.6</v>
      </c>
      <c r="D84">
        <v>1192</v>
      </c>
      <c r="E84">
        <v>1186</v>
      </c>
      <c r="F84">
        <v>0.75430016863406402</v>
      </c>
      <c r="G84">
        <v>0.77366214082142204</v>
      </c>
      <c r="H84">
        <v>2.0538249200923401E-2</v>
      </c>
      <c r="I84">
        <v>-0.94272749336821104</v>
      </c>
      <c r="J84">
        <v>-2.57</v>
      </c>
      <c r="L84">
        <v>0.79420039002234544</v>
      </c>
      <c r="M84">
        <v>0.75312389162049864</v>
      </c>
      <c r="N84">
        <v>0.81473863922326883</v>
      </c>
      <c r="O84">
        <v>0.73258564241957524</v>
      </c>
    </row>
    <row r="85" spans="1:15" x14ac:dyDescent="0.2">
      <c r="A85" s="14">
        <v>43756</v>
      </c>
      <c r="B85">
        <v>896.4</v>
      </c>
      <c r="C85">
        <v>888.2</v>
      </c>
      <c r="D85">
        <v>1189</v>
      </c>
      <c r="E85">
        <v>1190</v>
      </c>
      <c r="F85">
        <v>0.746386554621848</v>
      </c>
      <c r="G85">
        <v>0.77384662442987295</v>
      </c>
      <c r="H85">
        <v>2.04253342244325E-2</v>
      </c>
      <c r="I85">
        <v>-1.3444122630403299</v>
      </c>
      <c r="J85">
        <v>-3.68</v>
      </c>
      <c r="L85">
        <v>0.79427195865430544</v>
      </c>
      <c r="M85">
        <v>0.75342129020544046</v>
      </c>
      <c r="N85">
        <v>0.81469729287873793</v>
      </c>
      <c r="O85">
        <v>0.73299595598100797</v>
      </c>
    </row>
    <row r="86" spans="1:15" x14ac:dyDescent="0.2">
      <c r="A86" s="14">
        <v>43755</v>
      </c>
      <c r="B86">
        <v>910.6</v>
      </c>
      <c r="C86">
        <v>907</v>
      </c>
      <c r="D86">
        <v>1197</v>
      </c>
      <c r="E86">
        <v>1188</v>
      </c>
      <c r="F86">
        <v>0.76346801346801296</v>
      </c>
      <c r="G86">
        <v>0.774123863530641</v>
      </c>
      <c r="H86">
        <v>2.0190493318989599E-2</v>
      </c>
      <c r="I86">
        <v>-0.52776571103422598</v>
      </c>
      <c r="J86">
        <v>-1.4</v>
      </c>
      <c r="L86">
        <v>0.79431435684963059</v>
      </c>
      <c r="M86">
        <v>0.75393337021165141</v>
      </c>
      <c r="N86">
        <v>0.81450485016862018</v>
      </c>
      <c r="O86">
        <v>0.73374287689266182</v>
      </c>
    </row>
    <row r="87" spans="1:15" x14ac:dyDescent="0.2">
      <c r="A87" s="14">
        <v>43754</v>
      </c>
      <c r="B87">
        <v>910</v>
      </c>
      <c r="C87">
        <v>904.8</v>
      </c>
      <c r="D87">
        <v>1214</v>
      </c>
      <c r="E87">
        <v>1205</v>
      </c>
      <c r="F87">
        <v>0.75087136929460496</v>
      </c>
      <c r="G87">
        <v>0.77404274290099795</v>
      </c>
      <c r="H87">
        <v>2.02452908149547E-2</v>
      </c>
      <c r="I87">
        <v>-1.1445315267724401</v>
      </c>
      <c r="J87">
        <v>-3.09</v>
      </c>
      <c r="L87">
        <v>0.79428803371595269</v>
      </c>
      <c r="M87">
        <v>0.75379745208604321</v>
      </c>
      <c r="N87">
        <v>0.81453332453090732</v>
      </c>
      <c r="O87">
        <v>0.73355216127108858</v>
      </c>
    </row>
    <row r="88" spans="1:15" x14ac:dyDescent="0.2">
      <c r="A88" s="14">
        <v>43753</v>
      </c>
      <c r="B88">
        <v>890.3</v>
      </c>
      <c r="C88">
        <v>896.9</v>
      </c>
      <c r="D88">
        <v>1193</v>
      </c>
      <c r="E88">
        <v>1196</v>
      </c>
      <c r="F88">
        <v>0.74991638795986604</v>
      </c>
      <c r="G88">
        <v>0.77439055003218504</v>
      </c>
      <c r="H88">
        <v>2.0067516723800801E-2</v>
      </c>
      <c r="I88">
        <v>-1.2195909643016301</v>
      </c>
      <c r="J88">
        <v>-3.26</v>
      </c>
      <c r="L88">
        <v>0.79445806675598585</v>
      </c>
      <c r="M88">
        <v>0.75432303330838424</v>
      </c>
      <c r="N88">
        <v>0.81452558347978665</v>
      </c>
      <c r="O88">
        <v>0.73425551658458343</v>
      </c>
    </row>
    <row r="89" spans="1:15" x14ac:dyDescent="0.2">
      <c r="A89" s="14">
        <v>43749</v>
      </c>
      <c r="B89">
        <v>874.4</v>
      </c>
      <c r="C89">
        <v>877.9</v>
      </c>
      <c r="D89">
        <v>1151</v>
      </c>
      <c r="E89">
        <v>1165</v>
      </c>
      <c r="F89">
        <v>0.75356223175965598</v>
      </c>
      <c r="G89">
        <v>0.77472324687923499</v>
      </c>
      <c r="H89">
        <v>1.98648213321806E-2</v>
      </c>
      <c r="I89">
        <v>-1.0652507146036301</v>
      </c>
      <c r="J89">
        <v>-2.81</v>
      </c>
      <c r="L89">
        <v>0.79458806821141559</v>
      </c>
      <c r="M89">
        <v>0.7548584255470544</v>
      </c>
      <c r="N89">
        <v>0.81445288954359618</v>
      </c>
      <c r="O89">
        <v>0.73499360421487381</v>
      </c>
    </row>
    <row r="90" spans="1:15" x14ac:dyDescent="0.2">
      <c r="A90" s="14">
        <v>43748</v>
      </c>
      <c r="B90">
        <v>864.3</v>
      </c>
      <c r="C90">
        <v>861.6</v>
      </c>
      <c r="D90">
        <v>1132</v>
      </c>
      <c r="E90">
        <v>1130</v>
      </c>
      <c r="F90">
        <v>0.762477876106194</v>
      </c>
      <c r="G90">
        <v>0.77507057246224598</v>
      </c>
      <c r="H90">
        <v>1.9718990775845002E-2</v>
      </c>
      <c r="I90">
        <v>-0.63860754838817402</v>
      </c>
      <c r="J90">
        <v>-1.65</v>
      </c>
      <c r="L90">
        <v>0.79478956323809102</v>
      </c>
      <c r="M90">
        <v>0.75535158168640093</v>
      </c>
      <c r="N90">
        <v>0.81450855401393596</v>
      </c>
      <c r="O90">
        <v>0.73563259091055599</v>
      </c>
    </row>
    <row r="91" spans="1:15" x14ac:dyDescent="0.2">
      <c r="A91" s="14">
        <v>43747</v>
      </c>
      <c r="B91">
        <v>863.7</v>
      </c>
      <c r="C91">
        <v>869.3</v>
      </c>
      <c r="D91">
        <v>1135</v>
      </c>
      <c r="E91">
        <v>1143</v>
      </c>
      <c r="F91">
        <v>0.76054243219597495</v>
      </c>
      <c r="G91">
        <v>0.77534923467413897</v>
      </c>
      <c r="H91">
        <v>1.9686713145527099E-2</v>
      </c>
      <c r="I91">
        <v>-0.75212161464995297</v>
      </c>
      <c r="J91">
        <v>-1.95</v>
      </c>
      <c r="L91">
        <v>0.79503594781966602</v>
      </c>
      <c r="M91">
        <v>0.75566252152861191</v>
      </c>
      <c r="N91">
        <v>0.81472266096519319</v>
      </c>
      <c r="O91">
        <v>0.73597580838308474</v>
      </c>
    </row>
    <row r="92" spans="1:15" x14ac:dyDescent="0.2">
      <c r="A92" s="14">
        <v>43746</v>
      </c>
      <c r="B92">
        <v>877.2</v>
      </c>
      <c r="C92">
        <v>874.4</v>
      </c>
      <c r="D92">
        <v>1157</v>
      </c>
      <c r="E92">
        <v>1162</v>
      </c>
      <c r="F92">
        <v>0.75249569707400998</v>
      </c>
      <c r="G92">
        <v>0.77548722369008105</v>
      </c>
      <c r="H92">
        <v>1.96185971450147E-2</v>
      </c>
      <c r="I92">
        <v>-1.1719251099415899</v>
      </c>
      <c r="J92">
        <v>-3.06</v>
      </c>
      <c r="L92">
        <v>0.79510582083509573</v>
      </c>
      <c r="M92">
        <v>0.75586862654506637</v>
      </c>
      <c r="N92">
        <v>0.81472441798011042</v>
      </c>
      <c r="O92">
        <v>0.73625002940005169</v>
      </c>
    </row>
    <row r="93" spans="1:15" x14ac:dyDescent="0.2">
      <c r="A93" s="14">
        <v>43745</v>
      </c>
      <c r="B93">
        <v>887.2</v>
      </c>
      <c r="C93">
        <v>875.7</v>
      </c>
      <c r="D93">
        <v>1155</v>
      </c>
      <c r="E93">
        <v>1145</v>
      </c>
      <c r="F93">
        <v>0.76480349344978105</v>
      </c>
      <c r="G93">
        <v>0.775712427261258</v>
      </c>
      <c r="H93">
        <v>1.9449597376905398E-2</v>
      </c>
      <c r="I93">
        <v>-0.56088224347667803</v>
      </c>
      <c r="J93">
        <v>-1.43</v>
      </c>
      <c r="L93">
        <v>0.79516202463816343</v>
      </c>
      <c r="M93">
        <v>0.75626282988435256</v>
      </c>
      <c r="N93">
        <v>0.81461162201506876</v>
      </c>
      <c r="O93">
        <v>0.73681323250744724</v>
      </c>
    </row>
    <row r="94" spans="1:15" x14ac:dyDescent="0.2">
      <c r="A94" s="14">
        <v>43742</v>
      </c>
      <c r="B94">
        <v>880.4</v>
      </c>
      <c r="C94">
        <v>883.6</v>
      </c>
      <c r="D94">
        <v>1137</v>
      </c>
      <c r="E94">
        <v>1135</v>
      </c>
      <c r="F94">
        <v>0.77850220264317105</v>
      </c>
      <c r="G94">
        <v>0.77571866860119199</v>
      </c>
      <c r="H94">
        <v>1.9446170523145598E-2</v>
      </c>
      <c r="I94">
        <v>0.14314047275615299</v>
      </c>
      <c r="J94">
        <v>0.36</v>
      </c>
      <c r="L94">
        <v>0.79516483912433755</v>
      </c>
      <c r="M94">
        <v>0.75627249807804642</v>
      </c>
      <c r="N94">
        <v>0.81461100964748323</v>
      </c>
      <c r="O94">
        <v>0.73682632755490074</v>
      </c>
    </row>
    <row r="95" spans="1:15" x14ac:dyDescent="0.2">
      <c r="A95" s="14">
        <v>43741</v>
      </c>
      <c r="B95">
        <v>881.6</v>
      </c>
      <c r="C95">
        <v>880.4</v>
      </c>
      <c r="D95">
        <v>1125</v>
      </c>
      <c r="E95">
        <v>1152</v>
      </c>
      <c r="F95">
        <v>0.76423611111111101</v>
      </c>
      <c r="G95">
        <v>0.77540436693214598</v>
      </c>
      <c r="H95">
        <v>1.9588617590911201E-2</v>
      </c>
      <c r="I95">
        <v>-0.57014007084489804</v>
      </c>
      <c r="J95">
        <v>-1.46</v>
      </c>
      <c r="L95">
        <v>0.79499298452305722</v>
      </c>
      <c r="M95">
        <v>0.75581574934123474</v>
      </c>
      <c r="N95">
        <v>0.81458160211396835</v>
      </c>
      <c r="O95">
        <v>0.73622713175032362</v>
      </c>
    </row>
    <row r="96" spans="1:15" x14ac:dyDescent="0.2">
      <c r="A96" s="14">
        <v>43740</v>
      </c>
      <c r="B96">
        <v>894.9</v>
      </c>
      <c r="C96">
        <v>901.7</v>
      </c>
      <c r="D96">
        <v>1170</v>
      </c>
      <c r="E96">
        <v>1180</v>
      </c>
      <c r="F96">
        <v>0.76415254237288099</v>
      </c>
      <c r="G96">
        <v>0.77531012733857096</v>
      </c>
      <c r="H96">
        <v>1.9658996016475801E-2</v>
      </c>
      <c r="I96">
        <v>-0.56755619444342698</v>
      </c>
      <c r="J96">
        <v>-1.46</v>
      </c>
      <c r="L96">
        <v>0.79496912335504677</v>
      </c>
      <c r="M96">
        <v>0.75565113132209516</v>
      </c>
      <c r="N96">
        <v>0.81462811937152257</v>
      </c>
      <c r="O96">
        <v>0.73599213530561935</v>
      </c>
    </row>
    <row r="97" spans="1:15" x14ac:dyDescent="0.2">
      <c r="A97" s="14">
        <v>43739</v>
      </c>
      <c r="B97">
        <v>886.5</v>
      </c>
      <c r="C97">
        <v>900.9</v>
      </c>
      <c r="D97">
        <v>1155</v>
      </c>
      <c r="E97">
        <v>1183</v>
      </c>
      <c r="F97">
        <v>0.76153846153846105</v>
      </c>
      <c r="G97">
        <v>0.77526496176766801</v>
      </c>
      <c r="H97">
        <v>1.9688447285054901E-2</v>
      </c>
      <c r="I97">
        <v>-0.69718551343690605</v>
      </c>
      <c r="J97">
        <v>-1.8</v>
      </c>
      <c r="L97">
        <v>0.79495340905272294</v>
      </c>
      <c r="M97">
        <v>0.75557651448261309</v>
      </c>
      <c r="N97">
        <v>0.81464185633777786</v>
      </c>
      <c r="O97">
        <v>0.73588806719755817</v>
      </c>
    </row>
    <row r="98" spans="1:15" x14ac:dyDescent="0.2">
      <c r="A98" s="14">
        <v>43738</v>
      </c>
      <c r="B98">
        <v>886.5</v>
      </c>
      <c r="C98">
        <v>875.6</v>
      </c>
      <c r="D98">
        <v>1155</v>
      </c>
      <c r="E98">
        <v>1145</v>
      </c>
      <c r="F98">
        <v>0.76471615720524</v>
      </c>
      <c r="G98">
        <v>0.77536716281146201</v>
      </c>
      <c r="H98">
        <v>1.9636755463730501E-2</v>
      </c>
      <c r="I98">
        <v>-0.54240149936655102</v>
      </c>
      <c r="J98">
        <v>-1.39</v>
      </c>
      <c r="L98">
        <v>0.79500391827519246</v>
      </c>
      <c r="M98">
        <v>0.75573040734773156</v>
      </c>
      <c r="N98">
        <v>0.81464067373892302</v>
      </c>
      <c r="O98">
        <v>0.736093651884001</v>
      </c>
    </row>
    <row r="99" spans="1:15" x14ac:dyDescent="0.2">
      <c r="A99" s="14">
        <v>43735</v>
      </c>
      <c r="B99">
        <v>894</v>
      </c>
      <c r="C99">
        <v>890.9</v>
      </c>
      <c r="D99">
        <v>1159</v>
      </c>
      <c r="E99">
        <v>1165</v>
      </c>
      <c r="F99">
        <v>0.76472103004291803</v>
      </c>
      <c r="G99">
        <v>0.77542519459939896</v>
      </c>
      <c r="H99">
        <v>1.9611608304457399E-2</v>
      </c>
      <c r="I99">
        <v>-0.54580758448289401</v>
      </c>
      <c r="J99">
        <v>-1.4</v>
      </c>
      <c r="L99">
        <v>0.79503680290385637</v>
      </c>
      <c r="M99">
        <v>0.75581358629494155</v>
      </c>
      <c r="N99">
        <v>0.81464841120831377</v>
      </c>
      <c r="O99">
        <v>0.73620197799048415</v>
      </c>
    </row>
    <row r="100" spans="1:15" x14ac:dyDescent="0.2">
      <c r="A100" s="14">
        <v>43734</v>
      </c>
      <c r="B100">
        <v>906</v>
      </c>
      <c r="C100">
        <v>901.9</v>
      </c>
      <c r="D100">
        <v>1182</v>
      </c>
      <c r="E100">
        <v>1169</v>
      </c>
      <c r="F100">
        <v>0.77151411462788699</v>
      </c>
      <c r="G100">
        <v>0.77568291658831301</v>
      </c>
      <c r="H100">
        <v>1.95962473262946E-2</v>
      </c>
      <c r="I100">
        <v>-0.21273470838634601</v>
      </c>
      <c r="J100">
        <v>-0.54</v>
      </c>
      <c r="L100">
        <v>0.79527916391460762</v>
      </c>
      <c r="M100">
        <v>0.7560866692620184</v>
      </c>
      <c r="N100">
        <v>0.81487541124090224</v>
      </c>
      <c r="O100">
        <v>0.73649042193572378</v>
      </c>
    </row>
    <row r="101" spans="1:15" x14ac:dyDescent="0.2">
      <c r="A101" s="14">
        <v>43733</v>
      </c>
      <c r="B101">
        <v>884</v>
      </c>
      <c r="C101">
        <v>895.6</v>
      </c>
      <c r="D101">
        <v>1162</v>
      </c>
      <c r="E101">
        <v>1167</v>
      </c>
      <c r="F101">
        <v>0.76743787489288695</v>
      </c>
      <c r="G101">
        <v>0.77574725220279805</v>
      </c>
      <c r="H101">
        <v>1.9590375077503601E-2</v>
      </c>
      <c r="I101">
        <v>-0.42415611120446101</v>
      </c>
      <c r="J101">
        <v>-1.08</v>
      </c>
      <c r="L101">
        <v>0.79533762728030166</v>
      </c>
      <c r="M101">
        <v>0.75615687712529445</v>
      </c>
      <c r="N101">
        <v>0.81492800235780527</v>
      </c>
      <c r="O101">
        <v>0.73656650204779084</v>
      </c>
    </row>
    <row r="102" spans="1:15" x14ac:dyDescent="0.2">
      <c r="A102" s="14">
        <v>43732</v>
      </c>
      <c r="B102">
        <v>890</v>
      </c>
      <c r="C102">
        <v>886</v>
      </c>
      <c r="D102">
        <v>1162</v>
      </c>
      <c r="E102">
        <v>1170</v>
      </c>
      <c r="F102">
        <v>0.75726495726495702</v>
      </c>
      <c r="G102">
        <v>0.77589202672589996</v>
      </c>
      <c r="H102">
        <v>1.95685420619565E-2</v>
      </c>
      <c r="I102">
        <v>-0.95188846475981304</v>
      </c>
      <c r="J102">
        <v>-2.46</v>
      </c>
      <c r="L102">
        <v>0.79546056878785643</v>
      </c>
      <c r="M102">
        <v>0.7563234846639435</v>
      </c>
      <c r="N102">
        <v>0.815029110849813</v>
      </c>
      <c r="O102">
        <v>0.73675494260198693</v>
      </c>
    </row>
    <row r="103" spans="1:15" x14ac:dyDescent="0.2">
      <c r="A103" s="14">
        <v>43728</v>
      </c>
      <c r="B103">
        <v>893.8</v>
      </c>
      <c r="C103">
        <v>894.7</v>
      </c>
      <c r="D103">
        <v>1155</v>
      </c>
      <c r="E103">
        <v>1147</v>
      </c>
      <c r="F103">
        <v>0.78003487358325996</v>
      </c>
      <c r="G103">
        <v>0.776163690649738</v>
      </c>
      <c r="H103">
        <v>1.9449126668000999E-2</v>
      </c>
      <c r="I103">
        <v>0.19904147880795001</v>
      </c>
      <c r="J103">
        <v>0.5</v>
      </c>
      <c r="L103">
        <v>0.79561281731773903</v>
      </c>
      <c r="M103">
        <v>0.75671456398173698</v>
      </c>
      <c r="N103">
        <v>0.81506194398574006</v>
      </c>
      <c r="O103">
        <v>0.73726543731373595</v>
      </c>
    </row>
    <row r="104" spans="1:15" x14ac:dyDescent="0.2">
      <c r="A104" s="14">
        <v>43727</v>
      </c>
      <c r="B104">
        <v>902.5</v>
      </c>
      <c r="C104">
        <v>892.6</v>
      </c>
      <c r="D104">
        <v>1167</v>
      </c>
      <c r="E104">
        <v>1153</v>
      </c>
      <c r="F104">
        <v>0.77415437987857705</v>
      </c>
      <c r="G104">
        <v>0.776271162176565</v>
      </c>
      <c r="H104">
        <v>1.9492442678657001E-2</v>
      </c>
      <c r="I104">
        <v>-0.108595024896758</v>
      </c>
      <c r="J104">
        <v>-0.27</v>
      </c>
      <c r="L104">
        <v>0.79576360485522202</v>
      </c>
      <c r="M104">
        <v>0.75677871949790798</v>
      </c>
      <c r="N104">
        <v>0.81525604753387904</v>
      </c>
      <c r="O104">
        <v>0.73728627681925096</v>
      </c>
    </row>
    <row r="105" spans="1:15" x14ac:dyDescent="0.2">
      <c r="A105" s="14">
        <v>43726</v>
      </c>
      <c r="B105">
        <v>903.7</v>
      </c>
      <c r="C105">
        <v>900.8</v>
      </c>
      <c r="D105">
        <v>1170</v>
      </c>
      <c r="E105">
        <v>1155</v>
      </c>
      <c r="F105">
        <v>0.779913419913419</v>
      </c>
      <c r="G105">
        <v>0.77617609216066796</v>
      </c>
      <c r="H105">
        <v>1.9519903724671401E-2</v>
      </c>
      <c r="I105">
        <v>0.19146240706237899</v>
      </c>
      <c r="J105">
        <v>0.48</v>
      </c>
      <c r="L105">
        <v>0.79569599588533935</v>
      </c>
      <c r="M105">
        <v>0.75665618843599658</v>
      </c>
      <c r="N105">
        <v>0.81521589961001073</v>
      </c>
      <c r="O105">
        <v>0.7371362847113252</v>
      </c>
    </row>
    <row r="106" spans="1:15" x14ac:dyDescent="0.2">
      <c r="A106" s="14">
        <v>43725</v>
      </c>
      <c r="B106">
        <v>900</v>
      </c>
      <c r="C106">
        <v>901.5</v>
      </c>
      <c r="D106">
        <v>1183</v>
      </c>
      <c r="E106">
        <v>1181</v>
      </c>
      <c r="F106">
        <v>0.763336155800169</v>
      </c>
      <c r="G106">
        <v>0.775927481303606</v>
      </c>
      <c r="H106">
        <v>1.9589336523205499E-2</v>
      </c>
      <c r="I106">
        <v>-0.64276426557488797</v>
      </c>
      <c r="J106">
        <v>-1.65</v>
      </c>
      <c r="L106">
        <v>0.7955168178268115</v>
      </c>
      <c r="M106">
        <v>0.75633814478040051</v>
      </c>
      <c r="N106">
        <v>0.81510615435001699</v>
      </c>
      <c r="O106">
        <v>0.73674880825719502</v>
      </c>
    </row>
    <row r="107" spans="1:15" x14ac:dyDescent="0.2">
      <c r="A107" s="14">
        <v>43721</v>
      </c>
      <c r="B107">
        <v>903.4</v>
      </c>
      <c r="C107">
        <v>907.6</v>
      </c>
      <c r="D107">
        <v>1178</v>
      </c>
      <c r="E107">
        <v>1189</v>
      </c>
      <c r="F107">
        <v>0.76333052985702199</v>
      </c>
      <c r="G107">
        <v>0.77599708857335004</v>
      </c>
      <c r="H107">
        <v>1.9553714546499502E-2</v>
      </c>
      <c r="I107">
        <v>-0.64778273643127904</v>
      </c>
      <c r="J107">
        <v>-1.66</v>
      </c>
      <c r="L107">
        <v>0.79555080311984949</v>
      </c>
      <c r="M107">
        <v>0.75644337402685058</v>
      </c>
      <c r="N107">
        <v>0.81510451766634906</v>
      </c>
      <c r="O107">
        <v>0.73688965948035101</v>
      </c>
    </row>
    <row r="108" spans="1:15" x14ac:dyDescent="0.2">
      <c r="A108" s="14">
        <v>43720</v>
      </c>
      <c r="B108">
        <v>899.1</v>
      </c>
      <c r="C108">
        <v>902.3</v>
      </c>
      <c r="D108">
        <v>1194</v>
      </c>
      <c r="E108">
        <v>1183</v>
      </c>
      <c r="F108">
        <v>0.76272189349112396</v>
      </c>
      <c r="G108">
        <v>0.77612659455206801</v>
      </c>
      <c r="H108">
        <v>1.95014890582654E-2</v>
      </c>
      <c r="I108">
        <v>-0.68736807845258896</v>
      </c>
      <c r="J108">
        <v>-1.76</v>
      </c>
      <c r="L108">
        <v>0.79562808361033344</v>
      </c>
      <c r="M108">
        <v>0.75662510549380257</v>
      </c>
      <c r="N108">
        <v>0.81512957266859876</v>
      </c>
      <c r="O108">
        <v>0.73712361643553725</v>
      </c>
    </row>
    <row r="109" spans="1:15" x14ac:dyDescent="0.2">
      <c r="A109" s="14">
        <v>43719</v>
      </c>
      <c r="B109">
        <v>890.4</v>
      </c>
      <c r="C109">
        <v>901.6</v>
      </c>
      <c r="D109">
        <v>1150</v>
      </c>
      <c r="E109">
        <v>1186</v>
      </c>
      <c r="F109">
        <v>0.76020236087689697</v>
      </c>
      <c r="G109">
        <v>0.77621346744890696</v>
      </c>
      <c r="H109">
        <v>1.9456041110153401E-2</v>
      </c>
      <c r="I109">
        <v>-0.82293753808192804</v>
      </c>
      <c r="J109">
        <v>-2.11</v>
      </c>
      <c r="L109">
        <v>0.79566950855906038</v>
      </c>
      <c r="M109">
        <v>0.75675742633875354</v>
      </c>
      <c r="N109">
        <v>0.8151255496692138</v>
      </c>
      <c r="O109">
        <v>0.73730138522860011</v>
      </c>
    </row>
    <row r="110" spans="1:15" x14ac:dyDescent="0.2">
      <c r="A110" s="14">
        <v>43718</v>
      </c>
      <c r="B110">
        <v>863</v>
      </c>
      <c r="C110">
        <v>881.4</v>
      </c>
      <c r="D110">
        <v>1110</v>
      </c>
      <c r="E110">
        <v>1121</v>
      </c>
      <c r="F110">
        <v>0.78626226583407599</v>
      </c>
      <c r="G110">
        <v>0.776250573732987</v>
      </c>
      <c r="H110">
        <v>1.9428103334853002E-2</v>
      </c>
      <c r="I110">
        <v>0.51532009731121697</v>
      </c>
      <c r="J110">
        <v>1.27</v>
      </c>
      <c r="L110">
        <v>0.79567867706784001</v>
      </c>
      <c r="M110">
        <v>0.756822470398134</v>
      </c>
      <c r="N110">
        <v>0.81510678040269302</v>
      </c>
      <c r="O110">
        <v>0.73739436706328099</v>
      </c>
    </row>
    <row r="111" spans="1:15" x14ac:dyDescent="0.2">
      <c r="A111" s="14">
        <v>43717</v>
      </c>
      <c r="B111">
        <v>853.1</v>
      </c>
      <c r="C111">
        <v>852.2</v>
      </c>
      <c r="D111">
        <v>1076</v>
      </c>
      <c r="E111">
        <v>1084</v>
      </c>
      <c r="F111">
        <v>0.78616236162361597</v>
      </c>
      <c r="G111">
        <v>0.77603712643233602</v>
      </c>
      <c r="H111">
        <v>1.9404862364710701E-2</v>
      </c>
      <c r="I111">
        <v>0.52178856005149898</v>
      </c>
      <c r="J111">
        <v>1.29</v>
      </c>
      <c r="L111">
        <v>0.79544198879704675</v>
      </c>
      <c r="M111">
        <v>0.75663226406762529</v>
      </c>
      <c r="N111">
        <v>0.81484685116175748</v>
      </c>
      <c r="O111">
        <v>0.73722740170291456</v>
      </c>
    </row>
    <row r="112" spans="1:15" x14ac:dyDescent="0.2">
      <c r="A112" s="14">
        <v>43714</v>
      </c>
      <c r="B112">
        <v>843.3</v>
      </c>
      <c r="C112">
        <v>850.3</v>
      </c>
      <c r="D112">
        <v>1087</v>
      </c>
      <c r="E112">
        <v>1073</v>
      </c>
      <c r="F112">
        <v>0.79245107176141605</v>
      </c>
      <c r="G112">
        <v>0.77582529379854603</v>
      </c>
      <c r="H112">
        <v>1.93798756370464E-2</v>
      </c>
      <c r="I112">
        <v>0.85788878495632204</v>
      </c>
      <c r="J112">
        <v>2.1</v>
      </c>
      <c r="L112">
        <v>0.79520516943559238</v>
      </c>
      <c r="M112">
        <v>0.75644541816149968</v>
      </c>
      <c r="N112">
        <v>0.81458504507263885</v>
      </c>
      <c r="O112">
        <v>0.73706554252445322</v>
      </c>
    </row>
    <row r="113" spans="1:15" x14ac:dyDescent="0.2">
      <c r="A113" s="14">
        <v>43713</v>
      </c>
      <c r="B113">
        <v>826.1</v>
      </c>
      <c r="C113">
        <v>835</v>
      </c>
      <c r="D113">
        <v>1045</v>
      </c>
      <c r="E113">
        <v>1069</v>
      </c>
      <c r="F113">
        <v>0.78110383536014905</v>
      </c>
      <c r="G113">
        <v>0.77566595192714505</v>
      </c>
      <c r="H113">
        <v>1.9291450493050699E-2</v>
      </c>
      <c r="I113">
        <v>0.28188048560490397</v>
      </c>
      <c r="J113">
        <v>0.7</v>
      </c>
      <c r="L113">
        <v>0.79495740242019575</v>
      </c>
      <c r="M113">
        <v>0.75637450143409435</v>
      </c>
      <c r="N113">
        <v>0.81424885291324645</v>
      </c>
      <c r="O113">
        <v>0.73708305094104365</v>
      </c>
    </row>
    <row r="114" spans="1:15" x14ac:dyDescent="0.2">
      <c r="A114" s="14">
        <v>43712</v>
      </c>
      <c r="B114">
        <v>815</v>
      </c>
      <c r="C114">
        <v>818</v>
      </c>
      <c r="D114">
        <v>1048</v>
      </c>
      <c r="E114">
        <v>1039</v>
      </c>
      <c r="F114">
        <v>0.78729547641963404</v>
      </c>
      <c r="G114">
        <v>0.77570845872892402</v>
      </c>
      <c r="H114">
        <v>1.9306891554023001E-2</v>
      </c>
      <c r="I114">
        <v>0.60014931239904201</v>
      </c>
      <c r="J114">
        <v>1.47</v>
      </c>
      <c r="L114">
        <v>0.79501535028294701</v>
      </c>
      <c r="M114">
        <v>0.75640156717490103</v>
      </c>
      <c r="N114">
        <v>0.81432224183697</v>
      </c>
      <c r="O114">
        <v>0.73709467562087805</v>
      </c>
    </row>
    <row r="115" spans="1:15" x14ac:dyDescent="0.2">
      <c r="A115" s="14">
        <v>43711</v>
      </c>
      <c r="B115">
        <v>815.5</v>
      </c>
      <c r="C115">
        <v>819.3</v>
      </c>
      <c r="D115">
        <v>1043</v>
      </c>
      <c r="E115">
        <v>1051</v>
      </c>
      <c r="F115">
        <v>0.77954329210275897</v>
      </c>
      <c r="G115">
        <v>0.77567912331831401</v>
      </c>
      <c r="H115">
        <v>1.9290928529823701E-2</v>
      </c>
      <c r="I115">
        <v>0.200310149844279</v>
      </c>
      <c r="J115">
        <v>0.5</v>
      </c>
      <c r="L115">
        <v>0.79497005184813774</v>
      </c>
      <c r="M115">
        <v>0.75638819478849029</v>
      </c>
      <c r="N115">
        <v>0.81426098037796146</v>
      </c>
      <c r="O115">
        <v>0.73709726625866656</v>
      </c>
    </row>
    <row r="116" spans="1:15" x14ac:dyDescent="0.2">
      <c r="A116" s="14">
        <v>43710</v>
      </c>
      <c r="B116">
        <v>817</v>
      </c>
      <c r="C116">
        <v>814.1</v>
      </c>
      <c r="D116">
        <v>1029</v>
      </c>
      <c r="E116">
        <v>1047</v>
      </c>
      <c r="F116">
        <v>0.77755491881566297</v>
      </c>
      <c r="G116">
        <v>0.77583343908353497</v>
      </c>
      <c r="H116">
        <v>1.9367362137572099E-2</v>
      </c>
      <c r="I116">
        <v>8.8885606614905993E-2</v>
      </c>
      <c r="J116">
        <v>0.22</v>
      </c>
      <c r="L116">
        <v>0.79520080122110703</v>
      </c>
      <c r="M116">
        <v>0.75646607694596291</v>
      </c>
      <c r="N116">
        <v>0.81456816335867921</v>
      </c>
      <c r="O116">
        <v>0.73709871480839073</v>
      </c>
    </row>
    <row r="117" spans="1:15" x14ac:dyDescent="0.2">
      <c r="A117" s="14">
        <v>43707</v>
      </c>
      <c r="B117">
        <v>817.4</v>
      </c>
      <c r="C117">
        <v>820.1</v>
      </c>
      <c r="D117">
        <v>1034</v>
      </c>
      <c r="E117">
        <v>1035</v>
      </c>
      <c r="F117">
        <v>0.79236714975845401</v>
      </c>
      <c r="G117">
        <v>0.77638048358825595</v>
      </c>
      <c r="H117">
        <v>1.9978068908017999E-2</v>
      </c>
      <c r="I117">
        <v>0.80021078332460505</v>
      </c>
      <c r="J117">
        <v>2.02</v>
      </c>
      <c r="L117">
        <v>0.79635855249627396</v>
      </c>
      <c r="M117">
        <v>0.75640241468023794</v>
      </c>
      <c r="N117">
        <v>0.81633662140429197</v>
      </c>
      <c r="O117">
        <v>0.73642434577221993</v>
      </c>
    </row>
    <row r="118" spans="1:15" x14ac:dyDescent="0.2">
      <c r="A118" s="14">
        <v>43706</v>
      </c>
      <c r="B118">
        <v>815</v>
      </c>
      <c r="C118">
        <v>812.2</v>
      </c>
      <c r="D118">
        <v>1008</v>
      </c>
      <c r="E118">
        <v>1018</v>
      </c>
      <c r="F118">
        <v>0.79783889980353595</v>
      </c>
      <c r="G118">
        <v>0.775964488427348</v>
      </c>
      <c r="H118">
        <v>1.9965678847219899E-2</v>
      </c>
      <c r="I118">
        <v>1.09560068273031</v>
      </c>
      <c r="J118">
        <v>2.74</v>
      </c>
      <c r="L118">
        <v>0.79593016727456789</v>
      </c>
      <c r="M118">
        <v>0.75599880958012811</v>
      </c>
      <c r="N118">
        <v>0.81589584612178778</v>
      </c>
      <c r="O118">
        <v>0.73603313073290821</v>
      </c>
    </row>
    <row r="119" spans="1:15" x14ac:dyDescent="0.2">
      <c r="A119" s="14">
        <v>43705</v>
      </c>
      <c r="B119">
        <v>808.1</v>
      </c>
      <c r="C119">
        <v>816.2</v>
      </c>
      <c r="D119">
        <v>1013</v>
      </c>
      <c r="E119">
        <v>1012</v>
      </c>
      <c r="F119">
        <v>0.80652173913043401</v>
      </c>
      <c r="G119">
        <v>0.77550636654768201</v>
      </c>
      <c r="H119">
        <v>1.9852376117441301E-2</v>
      </c>
      <c r="I119">
        <v>1.56230027072195</v>
      </c>
      <c r="J119">
        <v>3.85</v>
      </c>
      <c r="L119">
        <v>0.7953587426651233</v>
      </c>
      <c r="M119">
        <v>0.75565399043024073</v>
      </c>
      <c r="N119">
        <v>0.81521111878256458</v>
      </c>
      <c r="O119">
        <v>0.73580161431279945</v>
      </c>
    </row>
    <row r="120" spans="1:15" x14ac:dyDescent="0.2">
      <c r="A120" s="14">
        <v>43704</v>
      </c>
      <c r="B120">
        <v>813.6</v>
      </c>
      <c r="C120">
        <v>809</v>
      </c>
      <c r="D120">
        <v>1027</v>
      </c>
      <c r="E120">
        <v>1009</v>
      </c>
      <c r="F120">
        <v>0.80178394449950396</v>
      </c>
      <c r="G120">
        <v>0.77494411725244905</v>
      </c>
      <c r="H120">
        <v>1.95610145630414E-2</v>
      </c>
      <c r="I120">
        <v>1.3721081368532699</v>
      </c>
      <c r="J120">
        <v>3.35</v>
      </c>
      <c r="L120">
        <v>0.79450513181549043</v>
      </c>
      <c r="M120">
        <v>0.75538310268940767</v>
      </c>
      <c r="N120">
        <v>0.81406614637853181</v>
      </c>
      <c r="O120">
        <v>0.73582208812636629</v>
      </c>
    </row>
    <row r="121" spans="1:15" x14ac:dyDescent="0.2">
      <c r="A121" s="14">
        <v>43703</v>
      </c>
      <c r="B121">
        <v>792</v>
      </c>
      <c r="C121">
        <v>806.9</v>
      </c>
      <c r="D121">
        <v>990</v>
      </c>
      <c r="E121">
        <v>1011</v>
      </c>
      <c r="F121">
        <v>0.79812067260138397</v>
      </c>
      <c r="G121">
        <v>0.77468899229444999</v>
      </c>
      <c r="H121">
        <v>1.9332740059486202E-2</v>
      </c>
      <c r="I121">
        <v>1.2120206569185401</v>
      </c>
      <c r="J121">
        <v>2.94</v>
      </c>
      <c r="L121">
        <v>0.79402173235393614</v>
      </c>
      <c r="M121">
        <v>0.75535625223496383</v>
      </c>
      <c r="N121">
        <v>0.8133544724134224</v>
      </c>
      <c r="O121">
        <v>0.73602351217547757</v>
      </c>
    </row>
    <row r="122" spans="1:15" x14ac:dyDescent="0.2">
      <c r="A122" s="14">
        <v>43700</v>
      </c>
      <c r="B122">
        <v>821.6</v>
      </c>
      <c r="C122">
        <v>822</v>
      </c>
      <c r="D122">
        <v>1030</v>
      </c>
      <c r="E122">
        <v>1031</v>
      </c>
      <c r="F122">
        <v>0.79728419010669205</v>
      </c>
      <c r="G122">
        <v>0.77500264059712498</v>
      </c>
      <c r="H122">
        <v>1.9893044533125102E-2</v>
      </c>
      <c r="I122">
        <v>1.1200673417517499</v>
      </c>
      <c r="J122">
        <v>2.79</v>
      </c>
      <c r="L122">
        <v>0.79489568513025011</v>
      </c>
      <c r="M122">
        <v>0.75510959606399985</v>
      </c>
      <c r="N122">
        <v>0.81478872966337523</v>
      </c>
      <c r="O122">
        <v>0.73521655153087473</v>
      </c>
    </row>
    <row r="123" spans="1:15" x14ac:dyDescent="0.2">
      <c r="A123" s="14">
        <v>43699</v>
      </c>
      <c r="B123">
        <v>821.4</v>
      </c>
      <c r="C123">
        <v>820.5</v>
      </c>
      <c r="D123">
        <v>1007</v>
      </c>
      <c r="E123">
        <v>1020</v>
      </c>
      <c r="F123">
        <v>0.80441176470588205</v>
      </c>
      <c r="G123">
        <v>0.77537667406685895</v>
      </c>
      <c r="H123">
        <v>2.0560982176070299E-2</v>
      </c>
      <c r="I123">
        <v>1.41214511983845</v>
      </c>
      <c r="J123">
        <v>3.61</v>
      </c>
      <c r="L123">
        <v>0.79593765624292923</v>
      </c>
      <c r="M123">
        <v>0.75481569189078868</v>
      </c>
      <c r="N123">
        <v>0.8164986384189995</v>
      </c>
      <c r="O123">
        <v>0.7342547097147184</v>
      </c>
    </row>
    <row r="124" spans="1:15" x14ac:dyDescent="0.2">
      <c r="A124" s="14">
        <v>43698</v>
      </c>
      <c r="B124">
        <v>812</v>
      </c>
      <c r="C124">
        <v>823</v>
      </c>
      <c r="D124">
        <v>993</v>
      </c>
      <c r="E124">
        <v>1006</v>
      </c>
      <c r="F124">
        <v>0.81809145129224603</v>
      </c>
      <c r="G124">
        <v>0.77581617829664395</v>
      </c>
      <c r="H124">
        <v>2.1507445500866699E-2</v>
      </c>
      <c r="I124">
        <v>1.9656110714727999</v>
      </c>
      <c r="J124">
        <v>5.17</v>
      </c>
      <c r="L124">
        <v>0.79732362379751065</v>
      </c>
      <c r="M124">
        <v>0.75430873279577726</v>
      </c>
      <c r="N124">
        <v>0.81883106929837735</v>
      </c>
      <c r="O124">
        <v>0.73280128729491056</v>
      </c>
    </row>
    <row r="125" spans="1:15" x14ac:dyDescent="0.2">
      <c r="A125" s="14">
        <v>43697</v>
      </c>
      <c r="B125">
        <v>810</v>
      </c>
      <c r="C125">
        <v>817.7</v>
      </c>
      <c r="D125">
        <v>1005</v>
      </c>
      <c r="E125">
        <v>1009</v>
      </c>
      <c r="F125">
        <v>0.810406342913776</v>
      </c>
      <c r="G125">
        <v>0.77628116891544896</v>
      </c>
      <c r="H125">
        <v>2.2757096191432499E-2</v>
      </c>
      <c r="I125">
        <v>1.4995399110354899</v>
      </c>
      <c r="J125">
        <v>4.21</v>
      </c>
      <c r="L125">
        <v>0.79903826510688147</v>
      </c>
      <c r="M125">
        <v>0.75352407272401645</v>
      </c>
      <c r="N125">
        <v>0.82179536129831399</v>
      </c>
      <c r="O125">
        <v>0.73076697653258393</v>
      </c>
    </row>
    <row r="126" spans="1:15" x14ac:dyDescent="0.2">
      <c r="A126" s="14">
        <v>43696</v>
      </c>
      <c r="B126">
        <v>810</v>
      </c>
      <c r="C126">
        <v>806.9</v>
      </c>
      <c r="D126">
        <v>993</v>
      </c>
      <c r="E126">
        <v>1007</v>
      </c>
      <c r="F126">
        <v>0.80129096325719895</v>
      </c>
      <c r="G126">
        <v>0.77667991083478105</v>
      </c>
      <c r="H126">
        <v>2.3597994418395801E-2</v>
      </c>
      <c r="I126">
        <v>1.0429298348859799</v>
      </c>
      <c r="J126">
        <v>3.07</v>
      </c>
      <c r="L126">
        <v>0.80027790525317688</v>
      </c>
      <c r="M126">
        <v>0.75308191641638522</v>
      </c>
      <c r="N126">
        <v>0.82387589967157271</v>
      </c>
      <c r="O126">
        <v>0.72948392199798939</v>
      </c>
    </row>
    <row r="127" spans="1:15" x14ac:dyDescent="0.2">
      <c r="A127" s="14">
        <v>43693</v>
      </c>
      <c r="B127">
        <v>797.3</v>
      </c>
      <c r="C127">
        <v>805</v>
      </c>
      <c r="D127">
        <v>984</v>
      </c>
      <c r="E127">
        <v>986</v>
      </c>
      <c r="F127">
        <v>0.81643002028397504</v>
      </c>
      <c r="G127">
        <v>0.77729047576913002</v>
      </c>
      <c r="H127">
        <v>2.47892125262958E-2</v>
      </c>
      <c r="I127">
        <v>1.5788942255962</v>
      </c>
      <c r="J127">
        <v>4.79</v>
      </c>
      <c r="L127">
        <v>0.80207968829542586</v>
      </c>
      <c r="M127">
        <v>0.75250126324283417</v>
      </c>
      <c r="N127">
        <v>0.8268689008217216</v>
      </c>
      <c r="O127">
        <v>0.72771205071653844</v>
      </c>
    </row>
    <row r="128" spans="1:15" x14ac:dyDescent="0.2">
      <c r="A128" s="14">
        <v>43692</v>
      </c>
      <c r="B128">
        <v>800</v>
      </c>
      <c r="C128">
        <v>801</v>
      </c>
      <c r="D128">
        <v>970</v>
      </c>
      <c r="E128">
        <v>991</v>
      </c>
      <c r="F128">
        <v>0.80827447023208798</v>
      </c>
      <c r="G128">
        <v>0.77751766733541094</v>
      </c>
      <c r="H128">
        <v>2.5221201222266201E-2</v>
      </c>
      <c r="I128">
        <v>1.2194820788124701</v>
      </c>
      <c r="J128">
        <v>3.81</v>
      </c>
      <c r="L128">
        <v>0.80273886855767718</v>
      </c>
      <c r="M128">
        <v>0.75229646611314471</v>
      </c>
      <c r="N128">
        <v>0.8279600697799433</v>
      </c>
      <c r="O128">
        <v>0.72707526489087859</v>
      </c>
    </row>
    <row r="129" spans="1:15" x14ac:dyDescent="0.2">
      <c r="A129" s="14">
        <v>43691</v>
      </c>
      <c r="B129">
        <v>826</v>
      </c>
      <c r="C129">
        <v>822.1</v>
      </c>
      <c r="D129">
        <v>1004</v>
      </c>
      <c r="E129">
        <v>1000</v>
      </c>
      <c r="F129">
        <v>0.82210000000000005</v>
      </c>
      <c r="G129">
        <v>0.778060806412185</v>
      </c>
      <c r="H129">
        <v>2.6293524646779601E-2</v>
      </c>
      <c r="I129">
        <v>1.6749064334061601</v>
      </c>
      <c r="J129">
        <v>5.36</v>
      </c>
      <c r="L129">
        <v>0.80435433105896459</v>
      </c>
      <c r="M129">
        <v>0.75176728176540542</v>
      </c>
      <c r="N129">
        <v>0.83064785570574418</v>
      </c>
      <c r="O129">
        <v>0.72547375711862583</v>
      </c>
    </row>
    <row r="130" spans="1:15" x14ac:dyDescent="0.2">
      <c r="A130" s="14">
        <v>43690</v>
      </c>
      <c r="B130">
        <v>824.1</v>
      </c>
      <c r="C130">
        <v>820</v>
      </c>
      <c r="D130">
        <v>1045</v>
      </c>
      <c r="E130">
        <v>989</v>
      </c>
      <c r="F130">
        <v>0.82912032355915</v>
      </c>
      <c r="G130">
        <v>0.77829382704193495</v>
      </c>
      <c r="H130">
        <v>2.67561510129103E-2</v>
      </c>
      <c r="I130">
        <v>1.8996191377709899</v>
      </c>
      <c r="J130">
        <v>6.13</v>
      </c>
      <c r="L130">
        <v>0.80504997805484524</v>
      </c>
      <c r="M130">
        <v>0.75153767602902466</v>
      </c>
      <c r="N130">
        <v>0.83180612906775553</v>
      </c>
      <c r="O130">
        <v>0.72478152501611437</v>
      </c>
    </row>
    <row r="131" spans="1:15" x14ac:dyDescent="0.2">
      <c r="A131" s="14">
        <v>43686</v>
      </c>
      <c r="B131">
        <v>828</v>
      </c>
      <c r="C131">
        <v>834.7</v>
      </c>
      <c r="D131">
        <v>1084</v>
      </c>
      <c r="E131">
        <v>1061</v>
      </c>
      <c r="F131">
        <v>0.78671065032987697</v>
      </c>
      <c r="G131">
        <v>0.77817672433552998</v>
      </c>
      <c r="H131">
        <v>2.6551883957110702E-2</v>
      </c>
      <c r="I131">
        <v>0.32140566779110502</v>
      </c>
      <c r="J131">
        <v>1.08</v>
      </c>
      <c r="L131">
        <v>0.8047286082926407</v>
      </c>
      <c r="M131">
        <v>0.75162484037841926</v>
      </c>
      <c r="N131">
        <v>0.83128049224975142</v>
      </c>
      <c r="O131">
        <v>0.72507295642130853</v>
      </c>
    </row>
    <row r="132" spans="1:15" x14ac:dyDescent="0.2">
      <c r="A132" s="14">
        <v>43685</v>
      </c>
      <c r="B132">
        <v>835.3</v>
      </c>
      <c r="C132">
        <v>829.9</v>
      </c>
      <c r="D132">
        <v>1094</v>
      </c>
      <c r="E132">
        <v>1081</v>
      </c>
      <c r="F132">
        <v>0.76771507863089705</v>
      </c>
      <c r="G132">
        <v>0.77864534881098202</v>
      </c>
      <c r="H132">
        <v>2.7004666511228001E-2</v>
      </c>
      <c r="I132" s="15">
        <v>-0.404754866183617</v>
      </c>
      <c r="J132">
        <v>-1.42</v>
      </c>
      <c r="L132">
        <v>0.80565001532221003</v>
      </c>
      <c r="M132">
        <v>0.751640682299754</v>
      </c>
      <c r="N132">
        <v>0.83265468183343805</v>
      </c>
      <c r="O132">
        <v>0.72463601578852599</v>
      </c>
    </row>
    <row r="133" spans="1:15" x14ac:dyDescent="0.2">
      <c r="A133" s="14">
        <v>43684</v>
      </c>
      <c r="B133">
        <v>833.5</v>
      </c>
      <c r="C133">
        <v>833.9</v>
      </c>
      <c r="D133">
        <v>1115</v>
      </c>
      <c r="E133">
        <v>1100</v>
      </c>
      <c r="F133">
        <v>0.75809090909090904</v>
      </c>
      <c r="G133">
        <v>0.77958561835080498</v>
      </c>
      <c r="H133">
        <v>2.7823032130131601E-2</v>
      </c>
      <c r="I133" s="15">
        <v>-0.77255092684950599</v>
      </c>
      <c r="J133">
        <v>-2.84</v>
      </c>
      <c r="L133">
        <v>0.80740865048093657</v>
      </c>
      <c r="M133">
        <v>0.75176258622067338</v>
      </c>
      <c r="N133">
        <v>0.83523168261106817</v>
      </c>
      <c r="O133">
        <v>0.72393955409054178</v>
      </c>
    </row>
    <row r="134" spans="1:15" x14ac:dyDescent="0.2">
      <c r="A134" s="14">
        <v>43683</v>
      </c>
      <c r="B134">
        <v>811.9</v>
      </c>
      <c r="C134">
        <v>829.3</v>
      </c>
      <c r="D134">
        <v>1082</v>
      </c>
      <c r="E134">
        <v>1120</v>
      </c>
      <c r="F134">
        <v>0.74044642857142795</v>
      </c>
      <c r="G134">
        <v>0.78051315453994696</v>
      </c>
      <c r="H134">
        <v>2.8247315018732198E-2</v>
      </c>
      <c r="I134">
        <v>-1.41842599701773</v>
      </c>
      <c r="J134">
        <v>-5.41</v>
      </c>
      <c r="L134">
        <v>0.8087604695586792</v>
      </c>
      <c r="M134">
        <v>0.75226583952121473</v>
      </c>
      <c r="N134">
        <v>0.83700778457741132</v>
      </c>
      <c r="O134">
        <v>0.72401852450248261</v>
      </c>
    </row>
    <row r="135" spans="1:15" x14ac:dyDescent="0.2">
      <c r="A135" s="14">
        <v>43682</v>
      </c>
      <c r="B135">
        <v>864</v>
      </c>
      <c r="C135">
        <v>846.4</v>
      </c>
      <c r="D135">
        <v>1150</v>
      </c>
      <c r="E135">
        <v>1131</v>
      </c>
      <c r="F135">
        <v>0.74836427939876204</v>
      </c>
      <c r="G135">
        <v>0.78202264931346699</v>
      </c>
      <c r="H135">
        <v>2.9078588166541498E-2</v>
      </c>
      <c r="I135">
        <v>-1.1574967024510701</v>
      </c>
      <c r="J135">
        <v>-4.5</v>
      </c>
      <c r="L135">
        <v>0.81110123748000851</v>
      </c>
      <c r="M135">
        <v>0.75294406114692547</v>
      </c>
      <c r="N135">
        <v>0.84017982564655003</v>
      </c>
      <c r="O135">
        <v>0.72386547298038395</v>
      </c>
    </row>
    <row r="136" spans="1:15" x14ac:dyDescent="0.2">
      <c r="A136" s="14">
        <v>43679</v>
      </c>
      <c r="B136">
        <v>892.2</v>
      </c>
      <c r="C136">
        <v>879</v>
      </c>
      <c r="D136">
        <v>1190</v>
      </c>
      <c r="E136">
        <v>1166</v>
      </c>
      <c r="F136">
        <v>0.75385934819897005</v>
      </c>
      <c r="G136">
        <v>0.78328222911488499</v>
      </c>
      <c r="H136">
        <v>2.96340604441457E-2</v>
      </c>
      <c r="I136">
        <v>-0.99287375658055799</v>
      </c>
      <c r="J136">
        <v>-3.9</v>
      </c>
      <c r="L136">
        <v>0.81291628955903072</v>
      </c>
      <c r="M136">
        <v>0.75364816867073925</v>
      </c>
      <c r="N136">
        <v>0.84255035000317635</v>
      </c>
      <c r="O136">
        <v>0.72401410822659362</v>
      </c>
    </row>
    <row r="137" spans="1:15" x14ac:dyDescent="0.2">
      <c r="A137" s="14">
        <v>43678</v>
      </c>
      <c r="B137">
        <v>900</v>
      </c>
      <c r="C137">
        <v>910.9</v>
      </c>
      <c r="D137">
        <v>1211</v>
      </c>
      <c r="E137">
        <v>1231</v>
      </c>
      <c r="F137">
        <v>0.73996750609260697</v>
      </c>
      <c r="G137">
        <v>0.78418844748744598</v>
      </c>
      <c r="H137">
        <v>2.9759394761263599E-2</v>
      </c>
      <c r="I137">
        <v>-1.48594894988922</v>
      </c>
      <c r="J137">
        <v>-5.98</v>
      </c>
      <c r="L137">
        <v>0.81394784224870953</v>
      </c>
      <c r="M137">
        <v>0.75442905272618244</v>
      </c>
      <c r="N137">
        <v>0.84370723700997319</v>
      </c>
      <c r="O137">
        <v>0.72466965796491878</v>
      </c>
    </row>
    <row r="138" spans="1:15" x14ac:dyDescent="0.2">
      <c r="A138" s="14">
        <v>43677</v>
      </c>
      <c r="B138">
        <v>916</v>
      </c>
      <c r="C138">
        <v>924.7</v>
      </c>
      <c r="D138">
        <v>1194</v>
      </c>
      <c r="E138">
        <v>1226</v>
      </c>
      <c r="F138">
        <v>0.75424143556280498</v>
      </c>
      <c r="G138">
        <v>0.78528664748892396</v>
      </c>
      <c r="H138">
        <v>2.96267092459933E-2</v>
      </c>
      <c r="I138">
        <v>-1.0478791845677999</v>
      </c>
      <c r="J138">
        <v>-4.12</v>
      </c>
      <c r="L138">
        <v>0.81491335673491727</v>
      </c>
      <c r="M138">
        <v>0.75565993824293065</v>
      </c>
      <c r="N138">
        <v>0.84454006598091058</v>
      </c>
      <c r="O138">
        <v>0.72603322899693734</v>
      </c>
    </row>
    <row r="139" spans="1:15" x14ac:dyDescent="0.2">
      <c r="A139" s="14">
        <v>43676</v>
      </c>
      <c r="B139">
        <v>918.9</v>
      </c>
      <c r="C139">
        <v>924.7</v>
      </c>
      <c r="D139">
        <v>1194</v>
      </c>
      <c r="E139">
        <v>1210</v>
      </c>
      <c r="F139">
        <v>0.76421487603305704</v>
      </c>
      <c r="G139">
        <v>0.78618671410235497</v>
      </c>
      <c r="H139">
        <v>2.96952059508062E-2</v>
      </c>
      <c r="I139">
        <v>-0.73991196106525203</v>
      </c>
      <c r="J139">
        <v>-2.88</v>
      </c>
      <c r="L139">
        <v>0.81588192005316118</v>
      </c>
      <c r="M139">
        <v>0.75649150815154875</v>
      </c>
      <c r="N139">
        <v>0.84557712600396739</v>
      </c>
      <c r="O139">
        <v>0.72679630220074254</v>
      </c>
    </row>
    <row r="140" spans="1:15" x14ac:dyDescent="0.2">
      <c r="A140" s="14">
        <v>43675</v>
      </c>
      <c r="B140">
        <v>905.8</v>
      </c>
      <c r="C140">
        <v>909.2</v>
      </c>
      <c r="D140">
        <v>1231</v>
      </c>
      <c r="E140">
        <v>1203</v>
      </c>
      <c r="F140">
        <v>0.75577722360764699</v>
      </c>
      <c r="G140">
        <v>0.78691157823804403</v>
      </c>
      <c r="H140">
        <v>2.98133147228383E-2</v>
      </c>
      <c r="I140">
        <v>-1.0443104002302299</v>
      </c>
      <c r="J140">
        <v>-4.12</v>
      </c>
      <c r="L140">
        <v>0.81672489296088235</v>
      </c>
      <c r="M140">
        <v>0.7570982635152057</v>
      </c>
      <c r="N140">
        <v>0.84653820768372068</v>
      </c>
      <c r="O140">
        <v>0.72728494879236738</v>
      </c>
    </row>
    <row r="141" spans="1:15" x14ac:dyDescent="0.2">
      <c r="A141" s="14">
        <v>43672</v>
      </c>
      <c r="B141">
        <v>913.2</v>
      </c>
      <c r="C141">
        <v>910.5</v>
      </c>
      <c r="D141">
        <v>1226</v>
      </c>
      <c r="E141">
        <v>1229</v>
      </c>
      <c r="F141">
        <v>0.74084621643612603</v>
      </c>
      <c r="G141">
        <v>0.78791225129264497</v>
      </c>
      <c r="H141">
        <v>3.0010377552840899E-2</v>
      </c>
      <c r="I141">
        <v>-1.56832531592269</v>
      </c>
      <c r="J141">
        <v>-6.35</v>
      </c>
      <c r="L141">
        <v>0.81792262884548583</v>
      </c>
      <c r="M141">
        <v>0.75790187373980411</v>
      </c>
      <c r="N141">
        <v>0.84793300639832681</v>
      </c>
      <c r="O141">
        <v>0.72789149618696314</v>
      </c>
    </row>
    <row r="142" spans="1:15" x14ac:dyDescent="0.2">
      <c r="A142" s="14">
        <v>43671</v>
      </c>
      <c r="B142">
        <v>914</v>
      </c>
      <c r="C142">
        <v>914.3</v>
      </c>
      <c r="D142">
        <v>1218</v>
      </c>
      <c r="E142">
        <v>1223</v>
      </c>
      <c r="F142">
        <v>0.74758789860997499</v>
      </c>
      <c r="G142">
        <v>0.78904179549536702</v>
      </c>
      <c r="H142">
        <v>2.9811253161621799E-2</v>
      </c>
      <c r="I142">
        <v>-1.39054526358385</v>
      </c>
      <c r="J142">
        <v>-5.55</v>
      </c>
      <c r="L142">
        <v>0.81885304865698882</v>
      </c>
      <c r="M142">
        <v>0.75923054233374521</v>
      </c>
      <c r="N142">
        <v>0.84866430181861063</v>
      </c>
      <c r="O142">
        <v>0.7294192891721234</v>
      </c>
    </row>
    <row r="143" spans="1:15" x14ac:dyDescent="0.2">
      <c r="A143" s="14">
        <v>43670</v>
      </c>
      <c r="B143">
        <v>920.8</v>
      </c>
      <c r="C143">
        <v>916.9</v>
      </c>
      <c r="D143">
        <v>1219</v>
      </c>
      <c r="E143">
        <v>1210</v>
      </c>
      <c r="F143">
        <v>0.75776859504132199</v>
      </c>
      <c r="G143">
        <v>0.79004729018056796</v>
      </c>
      <c r="H143">
        <v>2.9667539780938799E-2</v>
      </c>
      <c r="I143">
        <v>-1.0880138824313399</v>
      </c>
      <c r="J143">
        <v>-4.26</v>
      </c>
      <c r="L143">
        <v>0.8197148299615068</v>
      </c>
      <c r="M143">
        <v>0.76037975039962913</v>
      </c>
      <c r="N143">
        <v>0.84938236974244552</v>
      </c>
      <c r="O143">
        <v>0.73071221061869041</v>
      </c>
    </row>
    <row r="144" spans="1:15" x14ac:dyDescent="0.2">
      <c r="A144" s="14">
        <v>43669</v>
      </c>
      <c r="B144">
        <v>916.5</v>
      </c>
      <c r="C144">
        <v>920.8</v>
      </c>
      <c r="D144">
        <v>1203</v>
      </c>
      <c r="E144">
        <v>1210</v>
      </c>
      <c r="F144">
        <v>0.76099173553719002</v>
      </c>
      <c r="G144">
        <v>0.79098534017928002</v>
      </c>
      <c r="H144">
        <v>2.9744247410083101E-2</v>
      </c>
      <c r="I144">
        <v>-1.00838337674407</v>
      </c>
      <c r="J144">
        <v>-3.94</v>
      </c>
      <c r="L144">
        <v>0.8207295875893631</v>
      </c>
      <c r="M144">
        <v>0.76124109276919694</v>
      </c>
      <c r="N144">
        <v>0.85047383499944618</v>
      </c>
      <c r="O144">
        <v>0.73149684535911386</v>
      </c>
    </row>
    <row r="145" spans="1:15" x14ac:dyDescent="0.2">
      <c r="A145" s="14">
        <v>43668</v>
      </c>
      <c r="B145">
        <v>911.5</v>
      </c>
      <c r="C145">
        <v>919.3</v>
      </c>
      <c r="D145">
        <v>1201</v>
      </c>
      <c r="E145">
        <v>1205</v>
      </c>
      <c r="F145">
        <v>0.76290456431535203</v>
      </c>
      <c r="G145">
        <v>0.79176890970774205</v>
      </c>
      <c r="H145">
        <v>2.9717851771936501E-2</v>
      </c>
      <c r="I145">
        <v>-0.97127967438236296</v>
      </c>
      <c r="J145">
        <v>-3.78</v>
      </c>
      <c r="L145">
        <v>0.82148676147967858</v>
      </c>
      <c r="M145">
        <v>0.76205105793580552</v>
      </c>
      <c r="N145">
        <v>0.85120461325161501</v>
      </c>
      <c r="O145">
        <v>0.7323332061638691</v>
      </c>
    </row>
    <row r="146" spans="1:15" x14ac:dyDescent="0.2">
      <c r="A146" s="14">
        <v>43665</v>
      </c>
      <c r="B146">
        <v>897.7</v>
      </c>
      <c r="C146">
        <v>917.8</v>
      </c>
      <c r="D146">
        <v>1203</v>
      </c>
      <c r="E146">
        <v>1202</v>
      </c>
      <c r="F146">
        <v>0.76356073211314401</v>
      </c>
      <c r="G146">
        <v>0.79248038298675005</v>
      </c>
      <c r="H146">
        <v>2.9656983423677001E-2</v>
      </c>
      <c r="I146">
        <v>-0.97513797881809094</v>
      </c>
      <c r="J146">
        <v>-3.79</v>
      </c>
      <c r="L146">
        <v>0.82213736641042701</v>
      </c>
      <c r="M146">
        <v>0.7628233995630731</v>
      </c>
      <c r="N146">
        <v>0.85179434983410407</v>
      </c>
      <c r="O146">
        <v>0.73316641613939604</v>
      </c>
    </row>
    <row r="147" spans="1:15" x14ac:dyDescent="0.2">
      <c r="A147" s="14">
        <v>43664</v>
      </c>
      <c r="B147">
        <v>914.1</v>
      </c>
      <c r="C147">
        <v>893</v>
      </c>
      <c r="D147">
        <v>1196</v>
      </c>
      <c r="E147">
        <v>1197</v>
      </c>
      <c r="F147">
        <v>0.74603174603174605</v>
      </c>
      <c r="G147">
        <v>0.79330698063264904</v>
      </c>
      <c r="H147">
        <v>2.97033389802355E-2</v>
      </c>
      <c r="I147">
        <v>-1.5915798096759499</v>
      </c>
      <c r="J147">
        <v>-6.34</v>
      </c>
      <c r="L147">
        <v>0.82301031961288451</v>
      </c>
      <c r="M147">
        <v>0.76360364165241357</v>
      </c>
      <c r="N147">
        <v>0.85271365859312009</v>
      </c>
      <c r="O147">
        <v>0.73390030267217798</v>
      </c>
    </row>
    <row r="148" spans="1:15" x14ac:dyDescent="0.2">
      <c r="A148" s="14">
        <v>43663</v>
      </c>
      <c r="B148">
        <v>915.7</v>
      </c>
      <c r="C148">
        <v>920.8</v>
      </c>
      <c r="D148">
        <v>1203</v>
      </c>
      <c r="E148">
        <v>1203</v>
      </c>
      <c r="F148">
        <v>0.76541978387364895</v>
      </c>
      <c r="G148">
        <v>0.79455028519670801</v>
      </c>
      <c r="H148">
        <v>2.9650008066929901E-2</v>
      </c>
      <c r="I148">
        <v>-0.98247869805978905</v>
      </c>
      <c r="J148">
        <v>-3.81</v>
      </c>
      <c r="L148">
        <v>0.82420029326363786</v>
      </c>
      <c r="M148">
        <v>0.76490027712977815</v>
      </c>
      <c r="N148">
        <v>0.85385030133056783</v>
      </c>
      <c r="O148">
        <v>0.73525026906284818</v>
      </c>
    </row>
    <row r="149" spans="1:15" x14ac:dyDescent="0.2">
      <c r="A149" s="14">
        <v>43662</v>
      </c>
      <c r="B149">
        <v>925</v>
      </c>
      <c r="C149">
        <v>921.6</v>
      </c>
      <c r="D149">
        <v>1191</v>
      </c>
      <c r="E149">
        <v>1195</v>
      </c>
      <c r="F149">
        <v>0.77121338912133897</v>
      </c>
      <c r="G149">
        <v>0.79534000971581997</v>
      </c>
      <c r="H149">
        <v>2.9652386623368301E-2</v>
      </c>
      <c r="I149">
        <v>-0.81364852350427097</v>
      </c>
      <c r="J149">
        <v>-3.13</v>
      </c>
      <c r="L149">
        <v>0.82499239633918831</v>
      </c>
      <c r="M149">
        <v>0.76568762309245164</v>
      </c>
      <c r="N149">
        <v>0.85464478296255653</v>
      </c>
      <c r="O149">
        <v>0.73603523646908342</v>
      </c>
    </row>
    <row r="150" spans="1:15" x14ac:dyDescent="0.2">
      <c r="A150" s="14">
        <v>43658</v>
      </c>
      <c r="B150">
        <v>934.9</v>
      </c>
      <c r="C150">
        <v>929.9</v>
      </c>
      <c r="D150">
        <v>1202</v>
      </c>
      <c r="E150">
        <v>1191</v>
      </c>
      <c r="F150">
        <v>0.78077246011754797</v>
      </c>
      <c r="G150">
        <v>0.79596635894825896</v>
      </c>
      <c r="H150">
        <v>2.9632277006544399E-2</v>
      </c>
      <c r="I150">
        <v>-0.51274827200606299</v>
      </c>
      <c r="J150">
        <v>-1.95</v>
      </c>
      <c r="L150">
        <v>0.82559863595480332</v>
      </c>
      <c r="M150">
        <v>0.7663340819417146</v>
      </c>
      <c r="N150">
        <v>0.85523091296134779</v>
      </c>
      <c r="O150">
        <v>0.73670180493517012</v>
      </c>
    </row>
    <row r="151" spans="1:15" x14ac:dyDescent="0.2">
      <c r="A151" s="14">
        <v>43657</v>
      </c>
      <c r="B151">
        <v>927.4</v>
      </c>
      <c r="C151">
        <v>925</v>
      </c>
      <c r="D151">
        <v>1189</v>
      </c>
      <c r="E151">
        <v>1198</v>
      </c>
      <c r="F151">
        <v>0.77212020033388895</v>
      </c>
      <c r="G151">
        <v>0.796272317580898</v>
      </c>
      <c r="H151">
        <v>2.95922561196806E-2</v>
      </c>
      <c r="I151">
        <v>-0.81616342969355604</v>
      </c>
      <c r="J151">
        <v>-3.13</v>
      </c>
      <c r="L151">
        <v>0.82586457370057864</v>
      </c>
      <c r="M151">
        <v>0.76668006146121737</v>
      </c>
      <c r="N151">
        <v>0.85545682982025917</v>
      </c>
      <c r="O151">
        <v>0.73708780534153684</v>
      </c>
    </row>
    <row r="152" spans="1:15" x14ac:dyDescent="0.2">
      <c r="A152" s="14">
        <v>43656</v>
      </c>
      <c r="B152">
        <v>930.1</v>
      </c>
      <c r="C152">
        <v>927.5</v>
      </c>
      <c r="D152">
        <v>1190</v>
      </c>
      <c r="E152">
        <v>1197</v>
      </c>
      <c r="F152">
        <v>0.77485380116959002</v>
      </c>
      <c r="G152">
        <v>0.79688080836772401</v>
      </c>
      <c r="H152">
        <v>2.95585564157777E-2</v>
      </c>
      <c r="I152">
        <v>-0.74519901744510497</v>
      </c>
      <c r="J152">
        <v>-2.84</v>
      </c>
      <c r="L152">
        <v>0.82643936478350166</v>
      </c>
      <c r="M152">
        <v>0.76732225195194637</v>
      </c>
      <c r="N152">
        <v>0.85599792119927942</v>
      </c>
      <c r="O152">
        <v>0.73776369553616861</v>
      </c>
    </row>
    <row r="153" spans="1:15" x14ac:dyDescent="0.2">
      <c r="A153" s="14">
        <v>43655</v>
      </c>
      <c r="B153">
        <v>943.5</v>
      </c>
      <c r="C153">
        <v>936.7</v>
      </c>
      <c r="D153">
        <v>1199</v>
      </c>
      <c r="E153">
        <v>1203</v>
      </c>
      <c r="F153">
        <v>0.77863674147963402</v>
      </c>
      <c r="G153">
        <v>0.79751578002077494</v>
      </c>
      <c r="H153">
        <v>2.95900522651311E-2</v>
      </c>
      <c r="I153">
        <v>-0.63801977678112898</v>
      </c>
      <c r="J153">
        <v>-2.42</v>
      </c>
      <c r="L153">
        <v>0.82710583228590606</v>
      </c>
      <c r="M153">
        <v>0.76792572775564383</v>
      </c>
      <c r="N153">
        <v>0.85669588455103718</v>
      </c>
      <c r="O153">
        <v>0.73833567549051271</v>
      </c>
    </row>
    <row r="154" spans="1:15" x14ac:dyDescent="0.2">
      <c r="A154" s="14">
        <v>43654</v>
      </c>
      <c r="B154">
        <v>939.2</v>
      </c>
      <c r="C154">
        <v>943</v>
      </c>
      <c r="D154">
        <v>1205</v>
      </c>
      <c r="E154">
        <v>1206</v>
      </c>
      <c r="F154">
        <v>0.78192371475953504</v>
      </c>
      <c r="G154">
        <v>0.79807570161491403</v>
      </c>
      <c r="H154">
        <v>2.96248127845361E-2</v>
      </c>
      <c r="I154">
        <v>-0.54521819168456298</v>
      </c>
      <c r="J154">
        <v>-2.0699999999999998</v>
      </c>
      <c r="L154">
        <v>0.82770051439945014</v>
      </c>
      <c r="M154">
        <v>0.76845088883037793</v>
      </c>
      <c r="N154">
        <v>0.85732532718398624</v>
      </c>
      <c r="O154">
        <v>0.73882607604584183</v>
      </c>
    </row>
    <row r="155" spans="1:15" x14ac:dyDescent="0.2">
      <c r="A155" s="14">
        <v>43651</v>
      </c>
      <c r="B155">
        <v>948.3</v>
      </c>
      <c r="C155">
        <v>943.2</v>
      </c>
      <c r="D155">
        <v>1195</v>
      </c>
      <c r="E155">
        <v>1200</v>
      </c>
      <c r="F155">
        <v>0.78600000000000003</v>
      </c>
      <c r="G155">
        <v>0.79838021081494503</v>
      </c>
      <c r="H155">
        <v>2.9574556436930698E-2</v>
      </c>
      <c r="I155">
        <v>-0.41861019425083201</v>
      </c>
      <c r="J155">
        <v>-1.58</v>
      </c>
      <c r="L155">
        <v>0.82795476725187578</v>
      </c>
      <c r="M155">
        <v>0.76880565437801429</v>
      </c>
      <c r="N155">
        <v>0.85752932368880641</v>
      </c>
      <c r="O155">
        <v>0.73923109794108366</v>
      </c>
    </row>
    <row r="156" spans="1:15" x14ac:dyDescent="0.2">
      <c r="A156" s="14">
        <v>43650</v>
      </c>
      <c r="B156">
        <v>932.3</v>
      </c>
      <c r="C156">
        <v>947.8</v>
      </c>
      <c r="D156">
        <v>1210</v>
      </c>
      <c r="E156">
        <v>1201</v>
      </c>
      <c r="F156">
        <v>0.78917568692756002</v>
      </c>
      <c r="G156">
        <v>0.79874199524276501</v>
      </c>
      <c r="H156">
        <v>2.95868579510058E-2</v>
      </c>
      <c r="I156">
        <v>-0.32332964625868799</v>
      </c>
      <c r="J156">
        <v>-1.21</v>
      </c>
      <c r="L156">
        <v>0.82832885319377081</v>
      </c>
      <c r="M156">
        <v>0.76915513729175922</v>
      </c>
      <c r="N156">
        <v>0.8579157111447766</v>
      </c>
      <c r="O156">
        <v>0.73956827934075342</v>
      </c>
    </row>
    <row r="157" spans="1:15" x14ac:dyDescent="0.2">
      <c r="A157" s="14">
        <v>43649</v>
      </c>
      <c r="B157">
        <v>929.5</v>
      </c>
      <c r="C157">
        <v>927.8</v>
      </c>
      <c r="D157">
        <v>1191</v>
      </c>
      <c r="E157">
        <v>1198</v>
      </c>
      <c r="F157">
        <v>0.77445742904841397</v>
      </c>
      <c r="G157">
        <v>0.79878220255119403</v>
      </c>
      <c r="H157">
        <v>2.9575877380751701E-2</v>
      </c>
      <c r="I157">
        <v>-0.82245314955935001</v>
      </c>
      <c r="J157">
        <v>-3.14</v>
      </c>
      <c r="L157">
        <v>0.82835807993194577</v>
      </c>
      <c r="M157">
        <v>0.7692063251704423</v>
      </c>
      <c r="N157">
        <v>0.85793395731269739</v>
      </c>
      <c r="O157">
        <v>0.73963044778969067</v>
      </c>
    </row>
    <row r="158" spans="1:15" x14ac:dyDescent="0.2">
      <c r="A158" s="14">
        <v>43648</v>
      </c>
      <c r="B158">
        <v>928</v>
      </c>
      <c r="C158">
        <v>926.3</v>
      </c>
      <c r="D158">
        <v>1211</v>
      </c>
      <c r="E158">
        <v>1203</v>
      </c>
      <c r="F158">
        <v>0.76999168744804602</v>
      </c>
      <c r="G158">
        <v>0.79897570338907797</v>
      </c>
      <c r="H158">
        <v>2.9463359367668598E-2</v>
      </c>
      <c r="I158">
        <v>-0.98373086311526403</v>
      </c>
      <c r="J158">
        <v>-3.76</v>
      </c>
      <c r="L158">
        <v>0.82843906275674661</v>
      </c>
      <c r="M158">
        <v>0.76951234402140933</v>
      </c>
      <c r="N158">
        <v>0.85790242212441514</v>
      </c>
      <c r="O158">
        <v>0.7400489846537408</v>
      </c>
    </row>
    <row r="159" spans="1:15" x14ac:dyDescent="0.2">
      <c r="A159" s="14">
        <v>43647</v>
      </c>
      <c r="B159">
        <v>920</v>
      </c>
      <c r="C159">
        <v>923.3</v>
      </c>
      <c r="D159">
        <v>1200</v>
      </c>
      <c r="E159">
        <v>1202</v>
      </c>
      <c r="F159">
        <v>0.768136439267886</v>
      </c>
      <c r="G159">
        <v>0.79928944445252403</v>
      </c>
      <c r="H159">
        <v>2.9277750407465698E-2</v>
      </c>
      <c r="I159">
        <v>-1.0640505076747</v>
      </c>
      <c r="J159">
        <v>-4.0599999999999996</v>
      </c>
      <c r="L159">
        <v>0.82856719485998975</v>
      </c>
      <c r="M159">
        <v>0.77001169404505831</v>
      </c>
      <c r="N159">
        <v>0.85784494526745547</v>
      </c>
      <c r="O159">
        <v>0.7407339436375926</v>
      </c>
    </row>
    <row r="160" spans="1:15" x14ac:dyDescent="0.2">
      <c r="A160" s="14">
        <v>43644</v>
      </c>
      <c r="B160">
        <v>902.8</v>
      </c>
      <c r="C160">
        <v>897.6</v>
      </c>
      <c r="D160">
        <v>1178</v>
      </c>
      <c r="E160">
        <v>1170</v>
      </c>
      <c r="F160">
        <v>0.76717948717948703</v>
      </c>
      <c r="G160">
        <v>0.799176856031516</v>
      </c>
      <c r="H160">
        <v>2.9413256187252702E-2</v>
      </c>
      <c r="I160">
        <v>-1.0878553754240901</v>
      </c>
      <c r="J160">
        <v>-4.17</v>
      </c>
      <c r="L160">
        <v>0.82859011221876866</v>
      </c>
      <c r="M160">
        <v>0.76976359984426335</v>
      </c>
      <c r="N160">
        <v>0.85800336840602143</v>
      </c>
      <c r="O160">
        <v>0.74035034365701058</v>
      </c>
    </row>
    <row r="161" spans="1:15" x14ac:dyDescent="0.2">
      <c r="A161" s="14">
        <v>43643</v>
      </c>
      <c r="B161">
        <v>890</v>
      </c>
      <c r="C161">
        <v>897.5</v>
      </c>
      <c r="D161">
        <v>1132</v>
      </c>
      <c r="E161">
        <v>1185</v>
      </c>
      <c r="F161">
        <v>0.75738396624472504</v>
      </c>
      <c r="G161">
        <v>0.79904004252506899</v>
      </c>
      <c r="H161">
        <v>2.9585133280531899E-2</v>
      </c>
      <c r="I161">
        <v>-1.4080070515604</v>
      </c>
      <c r="J161">
        <v>-5.5</v>
      </c>
      <c r="L161">
        <v>0.82862517580560091</v>
      </c>
      <c r="M161">
        <v>0.76945490924453708</v>
      </c>
      <c r="N161">
        <v>0.85821030908613283</v>
      </c>
      <c r="O161">
        <v>0.73986977596400516</v>
      </c>
    </row>
    <row r="162" spans="1:15" x14ac:dyDescent="0.2">
      <c r="A162" s="14">
        <v>43642</v>
      </c>
      <c r="B162">
        <v>883.9</v>
      </c>
      <c r="C162">
        <v>883.4</v>
      </c>
      <c r="D162">
        <v>1136</v>
      </c>
      <c r="E162">
        <v>1137</v>
      </c>
      <c r="F162">
        <v>0.77695690413368501</v>
      </c>
      <c r="G162">
        <v>0.79912622038032899</v>
      </c>
      <c r="H162">
        <v>2.9472869196680199E-2</v>
      </c>
      <c r="I162">
        <v>-0.75219402965834103</v>
      </c>
      <c r="J162">
        <v>-2.85</v>
      </c>
      <c r="L162">
        <v>0.82859908957700923</v>
      </c>
      <c r="M162">
        <v>0.76965335118364875</v>
      </c>
      <c r="N162">
        <v>0.85807195877368936</v>
      </c>
      <c r="O162">
        <v>0.74018048198696862</v>
      </c>
    </row>
    <row r="163" spans="1:15" x14ac:dyDescent="0.2">
      <c r="A163" s="14">
        <v>43641</v>
      </c>
      <c r="B163">
        <v>879.5</v>
      </c>
      <c r="C163">
        <v>884.9</v>
      </c>
      <c r="D163">
        <v>1136</v>
      </c>
      <c r="E163">
        <v>1142</v>
      </c>
      <c r="F163">
        <v>0.77486865148861594</v>
      </c>
      <c r="G163">
        <v>0.79871566277858497</v>
      </c>
      <c r="H163">
        <v>2.9988778561113601E-2</v>
      </c>
      <c r="I163">
        <v>-0.79519781845639104</v>
      </c>
      <c r="J163">
        <v>-3.08</v>
      </c>
      <c r="L163">
        <v>0.82870444133969856</v>
      </c>
      <c r="M163">
        <v>0.76872688421747137</v>
      </c>
      <c r="N163">
        <v>0.85869321990081215</v>
      </c>
      <c r="O163">
        <v>0.73873810565635778</v>
      </c>
    </row>
    <row r="164" spans="1:15" x14ac:dyDescent="0.2">
      <c r="A164" s="14">
        <v>43640</v>
      </c>
      <c r="B164">
        <v>864</v>
      </c>
      <c r="C164">
        <v>883.3</v>
      </c>
      <c r="D164">
        <v>1120</v>
      </c>
      <c r="E164">
        <v>1133</v>
      </c>
      <c r="F164">
        <v>0.77961165048543601</v>
      </c>
      <c r="G164">
        <v>0.79849833808610904</v>
      </c>
      <c r="H164">
        <v>3.02189832721531E-2</v>
      </c>
      <c r="I164">
        <v>-0.62499414459376201</v>
      </c>
      <c r="J164">
        <v>-2.42</v>
      </c>
      <c r="L164">
        <v>0.82871732135826215</v>
      </c>
      <c r="M164">
        <v>0.76827935481395593</v>
      </c>
      <c r="N164">
        <v>0.85893630463041526</v>
      </c>
      <c r="O164">
        <v>0.73806037154180282</v>
      </c>
    </row>
    <row r="165" spans="1:15" x14ac:dyDescent="0.2">
      <c r="A165" s="14">
        <v>43637</v>
      </c>
      <c r="B165">
        <v>883.8</v>
      </c>
      <c r="C165">
        <v>886</v>
      </c>
      <c r="D165">
        <v>1146</v>
      </c>
      <c r="E165">
        <v>1131</v>
      </c>
      <c r="F165">
        <v>0.78337754199823095</v>
      </c>
      <c r="G165">
        <v>0.79832540588267797</v>
      </c>
      <c r="H165">
        <v>3.0363336336510099E-2</v>
      </c>
      <c r="I165">
        <v>-0.49229978282963199</v>
      </c>
      <c r="J165">
        <v>-1.91</v>
      </c>
      <c r="L165">
        <v>0.82868874221918809</v>
      </c>
      <c r="M165">
        <v>0.76796206954616786</v>
      </c>
      <c r="N165">
        <v>0.85905207855569821</v>
      </c>
      <c r="O165">
        <v>0.73759873320965774</v>
      </c>
    </row>
    <row r="166" spans="1:15" x14ac:dyDescent="0.2">
      <c r="A166" s="14">
        <v>43636</v>
      </c>
      <c r="B166">
        <v>874.8</v>
      </c>
      <c r="C166">
        <v>881.9</v>
      </c>
      <c r="D166">
        <v>1132</v>
      </c>
      <c r="E166">
        <v>1144</v>
      </c>
      <c r="F166">
        <v>0.77089160839160797</v>
      </c>
      <c r="G166">
        <v>0.79815691519924503</v>
      </c>
      <c r="H166">
        <v>3.0480651883734802E-2</v>
      </c>
      <c r="I166">
        <v>-0.89451193208194701</v>
      </c>
      <c r="J166">
        <v>-3.54</v>
      </c>
      <c r="L166">
        <v>0.82863756708297986</v>
      </c>
      <c r="M166">
        <v>0.7676762633155102</v>
      </c>
      <c r="N166">
        <v>0.85911821896671459</v>
      </c>
      <c r="O166">
        <v>0.73719561143177548</v>
      </c>
    </row>
    <row r="167" spans="1:15" x14ac:dyDescent="0.2">
      <c r="A167" s="14">
        <v>43635</v>
      </c>
      <c r="B167">
        <v>869.5</v>
      </c>
      <c r="C167">
        <v>877.1</v>
      </c>
      <c r="D167">
        <v>1145</v>
      </c>
      <c r="E167">
        <v>1140</v>
      </c>
      <c r="F167">
        <v>0.76938596491227995</v>
      </c>
      <c r="G167">
        <v>0.79806750313746699</v>
      </c>
      <c r="H167">
        <v>3.0570204907611E-2</v>
      </c>
      <c r="I167">
        <v>-0.93821871040341998</v>
      </c>
      <c r="J167">
        <v>-3.73</v>
      </c>
      <c r="L167">
        <v>0.82863770804507797</v>
      </c>
      <c r="M167">
        <v>0.76749729822985602</v>
      </c>
      <c r="N167">
        <v>0.85920791295268895</v>
      </c>
      <c r="O167">
        <v>0.73692709332224504</v>
      </c>
    </row>
    <row r="168" spans="1:15" x14ac:dyDescent="0.2">
      <c r="A168" s="14">
        <v>43634</v>
      </c>
      <c r="B168">
        <v>861.8</v>
      </c>
      <c r="C168">
        <v>859.4</v>
      </c>
      <c r="D168">
        <v>1123</v>
      </c>
      <c r="E168">
        <v>1123</v>
      </c>
      <c r="F168">
        <v>0.76527159394479005</v>
      </c>
      <c r="G168">
        <v>0.79790001977388603</v>
      </c>
      <c r="H168">
        <v>3.0760697963249602E-2</v>
      </c>
      <c r="I168">
        <v>-1.0607179937229401</v>
      </c>
      <c r="J168">
        <v>-4.26</v>
      </c>
      <c r="L168">
        <v>0.82866071773713568</v>
      </c>
      <c r="M168">
        <v>0.76713932181063638</v>
      </c>
      <c r="N168">
        <v>0.85942141570038522</v>
      </c>
      <c r="O168">
        <v>0.73637862384738684</v>
      </c>
    </row>
    <row r="169" spans="1:15" x14ac:dyDescent="0.2">
      <c r="A169" s="14">
        <v>43633</v>
      </c>
      <c r="B169">
        <v>855.6</v>
      </c>
      <c r="C169">
        <v>857.6</v>
      </c>
      <c r="D169">
        <v>1129</v>
      </c>
      <c r="E169">
        <v>1136</v>
      </c>
      <c r="F169">
        <v>0.75492957746478795</v>
      </c>
      <c r="G169">
        <v>0.79792155760107297</v>
      </c>
      <c r="H169">
        <v>3.0738402290367301E-2</v>
      </c>
      <c r="I169">
        <v>-1.3986406882883999</v>
      </c>
      <c r="J169">
        <v>-5.69</v>
      </c>
      <c r="L169">
        <v>0.82865995989144026</v>
      </c>
      <c r="M169">
        <v>0.76718315531070569</v>
      </c>
      <c r="N169">
        <v>0.85939836218180754</v>
      </c>
      <c r="O169">
        <v>0.73644475302033841</v>
      </c>
    </row>
    <row r="170" spans="1:15" x14ac:dyDescent="0.2">
      <c r="A170" s="14">
        <v>43630</v>
      </c>
      <c r="B170">
        <v>846.6</v>
      </c>
      <c r="C170">
        <v>855.6</v>
      </c>
      <c r="D170">
        <v>1117</v>
      </c>
      <c r="E170">
        <v>1130</v>
      </c>
      <c r="F170">
        <v>0.75716814159292001</v>
      </c>
      <c r="G170">
        <v>0.79796726401007001</v>
      </c>
      <c r="H170">
        <v>3.0676928609624898E-2</v>
      </c>
      <c r="I170">
        <v>-1.3299611227816801</v>
      </c>
      <c r="J170">
        <v>-5.39</v>
      </c>
      <c r="L170">
        <v>0.82864419261969491</v>
      </c>
      <c r="M170">
        <v>0.76729033540044511</v>
      </c>
      <c r="N170">
        <v>0.85932112122931981</v>
      </c>
      <c r="O170">
        <v>0.73661340679082021</v>
      </c>
    </row>
    <row r="171" spans="1:15" x14ac:dyDescent="0.2">
      <c r="A171" s="14">
        <v>43629</v>
      </c>
      <c r="B171">
        <v>865</v>
      </c>
      <c r="C171">
        <v>855.1</v>
      </c>
      <c r="D171">
        <v>1124</v>
      </c>
      <c r="E171">
        <v>1124</v>
      </c>
      <c r="F171">
        <v>0.76076512455515999</v>
      </c>
      <c r="G171">
        <v>0.79799047666761902</v>
      </c>
      <c r="H171">
        <v>3.0646691665478398E-2</v>
      </c>
      <c r="I171">
        <v>-1.2146613578649701</v>
      </c>
      <c r="J171">
        <v>-4.8899999999999997</v>
      </c>
      <c r="L171">
        <v>0.82863716833309742</v>
      </c>
      <c r="M171">
        <v>0.76734378500214062</v>
      </c>
      <c r="N171">
        <v>0.85928385999857582</v>
      </c>
      <c r="O171">
        <v>0.73669709333666222</v>
      </c>
    </row>
    <row r="172" spans="1:15" x14ac:dyDescent="0.2">
      <c r="A172" s="14">
        <v>43628</v>
      </c>
      <c r="B172">
        <v>863.4</v>
      </c>
      <c r="C172">
        <v>869.2</v>
      </c>
      <c r="D172">
        <v>1115</v>
      </c>
      <c r="E172">
        <v>1130</v>
      </c>
      <c r="F172">
        <v>0.76920353982300804</v>
      </c>
      <c r="G172">
        <v>0.79792729229444104</v>
      </c>
      <c r="H172">
        <v>3.0728150916204101E-2</v>
      </c>
      <c r="I172">
        <v>-0.93476996223309206</v>
      </c>
      <c r="J172">
        <v>-3.73</v>
      </c>
      <c r="L172">
        <v>0.8286554432106451</v>
      </c>
      <c r="M172">
        <v>0.76719914137823697</v>
      </c>
      <c r="N172">
        <v>0.85938359412684928</v>
      </c>
      <c r="O172">
        <v>0.73647099046203279</v>
      </c>
    </row>
    <row r="173" spans="1:15" x14ac:dyDescent="0.2">
      <c r="A173" s="14">
        <v>43627</v>
      </c>
      <c r="B173">
        <v>865.1</v>
      </c>
      <c r="C173">
        <v>875.2</v>
      </c>
      <c r="D173">
        <v>1124</v>
      </c>
      <c r="E173">
        <v>1138</v>
      </c>
      <c r="F173">
        <v>0.76906854130052704</v>
      </c>
      <c r="G173">
        <v>0.79774617862351105</v>
      </c>
      <c r="H173">
        <v>3.09362432626848E-2</v>
      </c>
      <c r="I173">
        <v>-0.92699158975050699</v>
      </c>
      <c r="J173">
        <v>-3.73</v>
      </c>
      <c r="L173">
        <v>0.8286824218861959</v>
      </c>
      <c r="M173">
        <v>0.7668099353608262</v>
      </c>
      <c r="N173">
        <v>0.85961866514888063</v>
      </c>
      <c r="O173">
        <v>0.73587369209814146</v>
      </c>
    </row>
    <row r="174" spans="1:15" x14ac:dyDescent="0.2">
      <c r="A174" s="14">
        <v>43626</v>
      </c>
      <c r="B174">
        <v>875.1</v>
      </c>
      <c r="C174">
        <v>875</v>
      </c>
      <c r="D174">
        <v>1131</v>
      </c>
      <c r="E174">
        <v>1116</v>
      </c>
      <c r="F174">
        <v>0.78405017921146902</v>
      </c>
      <c r="G174">
        <v>0.79769093638129496</v>
      </c>
      <c r="H174">
        <v>3.09910536667669E-2</v>
      </c>
      <c r="I174">
        <v>-0.44015144875354301</v>
      </c>
      <c r="J174">
        <v>-1.74</v>
      </c>
      <c r="L174">
        <v>0.82868199004806187</v>
      </c>
      <c r="M174">
        <v>0.76669988271452805</v>
      </c>
      <c r="N174">
        <v>0.85967304371482878</v>
      </c>
      <c r="O174">
        <v>0.73570882904776114</v>
      </c>
    </row>
    <row r="175" spans="1:15" x14ac:dyDescent="0.2">
      <c r="A175" s="14">
        <v>43623</v>
      </c>
      <c r="B175">
        <v>866.6</v>
      </c>
      <c r="C175">
        <v>869.5</v>
      </c>
      <c r="D175">
        <v>1119</v>
      </c>
      <c r="E175">
        <v>1120</v>
      </c>
      <c r="F175">
        <v>0.77633928571428501</v>
      </c>
      <c r="G175">
        <v>0.79724893303188604</v>
      </c>
      <c r="H175">
        <v>3.1415936770965699E-2</v>
      </c>
      <c r="I175">
        <v>-0.66557452894179403</v>
      </c>
      <c r="J175">
        <v>-2.69</v>
      </c>
      <c r="L175">
        <v>0.8286648698028517</v>
      </c>
      <c r="M175">
        <v>0.76583299626092038</v>
      </c>
      <c r="N175">
        <v>0.86008080657381747</v>
      </c>
      <c r="O175">
        <v>0.73441705948995462</v>
      </c>
    </row>
    <row r="176" spans="1:15" x14ac:dyDescent="0.2">
      <c r="A176" s="14">
        <v>43622</v>
      </c>
      <c r="B176">
        <v>871</v>
      </c>
      <c r="C176">
        <v>867.8</v>
      </c>
      <c r="D176">
        <v>1118</v>
      </c>
      <c r="E176">
        <v>1115</v>
      </c>
      <c r="F176">
        <v>0.77829596412556001</v>
      </c>
      <c r="G176">
        <v>0.79699875265670606</v>
      </c>
      <c r="H176">
        <v>3.1655254323859197E-2</v>
      </c>
      <c r="I176">
        <v>-0.59082730278521001</v>
      </c>
      <c r="J176">
        <v>-2.4</v>
      </c>
      <c r="L176">
        <v>0.82865400698056524</v>
      </c>
      <c r="M176">
        <v>0.76534349833284687</v>
      </c>
      <c r="N176">
        <v>0.86030926130442442</v>
      </c>
      <c r="O176">
        <v>0.73368824400898769</v>
      </c>
    </row>
    <row r="177" spans="1:15" x14ac:dyDescent="0.2">
      <c r="A177" s="14">
        <v>43621</v>
      </c>
      <c r="B177">
        <v>880</v>
      </c>
      <c r="C177">
        <v>876.4</v>
      </c>
      <c r="D177">
        <v>1122</v>
      </c>
      <c r="E177">
        <v>1127</v>
      </c>
      <c r="F177">
        <v>0.77763975155279497</v>
      </c>
      <c r="G177">
        <v>0.79658055857426102</v>
      </c>
      <c r="H177">
        <v>3.2103574610778701E-2</v>
      </c>
      <c r="I177">
        <v>-0.58999059298236101</v>
      </c>
      <c r="J177">
        <v>-2.44</v>
      </c>
      <c r="L177">
        <v>0.82868413318503975</v>
      </c>
      <c r="M177">
        <v>0.76447698396348229</v>
      </c>
      <c r="N177">
        <v>0.86078770779581837</v>
      </c>
      <c r="O177">
        <v>0.73237340935270367</v>
      </c>
    </row>
    <row r="178" spans="1:15" x14ac:dyDescent="0.2">
      <c r="A178" s="14">
        <v>43620</v>
      </c>
      <c r="B178">
        <v>860.8</v>
      </c>
      <c r="C178">
        <v>860.6</v>
      </c>
      <c r="D178">
        <v>1115</v>
      </c>
      <c r="E178">
        <v>1092</v>
      </c>
      <c r="F178">
        <v>0.78809523809523796</v>
      </c>
      <c r="G178">
        <v>0.79643119267180396</v>
      </c>
      <c r="H178">
        <v>3.2217210882482403E-2</v>
      </c>
      <c r="I178">
        <v>-0.25874227930447402</v>
      </c>
      <c r="J178">
        <v>-1.06</v>
      </c>
      <c r="L178">
        <v>0.82864840355428637</v>
      </c>
      <c r="M178">
        <v>0.76421398178932154</v>
      </c>
      <c r="N178">
        <v>0.86086561443676879</v>
      </c>
      <c r="O178">
        <v>0.73199677090683912</v>
      </c>
    </row>
    <row r="179" spans="1:15" x14ac:dyDescent="0.2">
      <c r="A179" s="14">
        <v>43619</v>
      </c>
      <c r="B179">
        <v>850</v>
      </c>
      <c r="C179">
        <v>858.3</v>
      </c>
      <c r="D179">
        <v>1117</v>
      </c>
      <c r="E179">
        <v>1119</v>
      </c>
      <c r="F179">
        <v>0.76702412868632697</v>
      </c>
      <c r="G179">
        <v>0.79608832145088404</v>
      </c>
      <c r="H179">
        <v>3.2440167767425997E-2</v>
      </c>
      <c r="I179">
        <v>-0.89593225820926603</v>
      </c>
      <c r="J179">
        <v>-3.79</v>
      </c>
      <c r="L179">
        <v>0.82852848921831002</v>
      </c>
      <c r="M179">
        <v>0.76364815368345806</v>
      </c>
      <c r="N179">
        <v>0.86096865698573599</v>
      </c>
      <c r="O179">
        <v>0.73120798591603209</v>
      </c>
    </row>
    <row r="180" spans="1:15" x14ac:dyDescent="0.2">
      <c r="A180" s="14">
        <v>43616</v>
      </c>
      <c r="B180">
        <v>881.8</v>
      </c>
      <c r="C180">
        <v>864.8</v>
      </c>
      <c r="D180">
        <v>1143</v>
      </c>
      <c r="E180">
        <v>1136</v>
      </c>
      <c r="F180">
        <v>0.76126760563380202</v>
      </c>
      <c r="G180">
        <v>0.79618641797863698</v>
      </c>
      <c r="H180">
        <v>3.2363164071556198E-2</v>
      </c>
      <c r="I180">
        <v>-1.07896781252995</v>
      </c>
      <c r="J180">
        <v>-4.59</v>
      </c>
      <c r="L180">
        <v>0.82854958205019313</v>
      </c>
      <c r="M180">
        <v>0.76382325390708083</v>
      </c>
      <c r="N180">
        <v>0.86091274612174939</v>
      </c>
      <c r="O180">
        <v>0.73146008983552457</v>
      </c>
    </row>
    <row r="181" spans="1:15" x14ac:dyDescent="0.2">
      <c r="A181" s="14">
        <v>43615</v>
      </c>
      <c r="B181">
        <v>881</v>
      </c>
      <c r="C181">
        <v>894.6</v>
      </c>
      <c r="D181">
        <v>1148</v>
      </c>
      <c r="E181">
        <v>1164</v>
      </c>
      <c r="F181">
        <v>0.76855670103092699</v>
      </c>
      <c r="G181">
        <v>0.79602171145682399</v>
      </c>
      <c r="H181">
        <v>3.2571223351496002E-2</v>
      </c>
      <c r="I181">
        <v>-0.84322931716457905</v>
      </c>
      <c r="J181">
        <v>-3.57</v>
      </c>
      <c r="L181">
        <v>0.82859293480831997</v>
      </c>
      <c r="M181">
        <v>0.76345048810532801</v>
      </c>
      <c r="N181">
        <v>0.86116415815981595</v>
      </c>
      <c r="O181">
        <v>0.73087926475383203</v>
      </c>
    </row>
    <row r="182" spans="1:15" x14ac:dyDescent="0.2">
      <c r="A182" s="14">
        <v>43614</v>
      </c>
      <c r="B182">
        <v>883.1</v>
      </c>
      <c r="C182">
        <v>889</v>
      </c>
      <c r="D182">
        <v>1142</v>
      </c>
      <c r="E182">
        <v>1150</v>
      </c>
      <c r="F182">
        <v>0.77304347826086905</v>
      </c>
      <c r="G182">
        <v>0.79597376005735399</v>
      </c>
      <c r="H182">
        <v>3.2614240952418903E-2</v>
      </c>
      <c r="I182">
        <v>-0.703075746264894</v>
      </c>
      <c r="J182">
        <v>-2.97</v>
      </c>
      <c r="L182">
        <v>0.82858800100977292</v>
      </c>
      <c r="M182">
        <v>0.76335951910493505</v>
      </c>
      <c r="N182">
        <v>0.86120224196219175</v>
      </c>
      <c r="O182">
        <v>0.73074527815251622</v>
      </c>
    </row>
    <row r="183" spans="1:15" x14ac:dyDescent="0.2">
      <c r="A183" s="14">
        <v>43613</v>
      </c>
      <c r="B183">
        <v>887.9</v>
      </c>
      <c r="C183">
        <v>897.7</v>
      </c>
      <c r="D183">
        <v>1153</v>
      </c>
      <c r="E183">
        <v>1167</v>
      </c>
      <c r="F183">
        <v>0.76923736075407001</v>
      </c>
      <c r="G183">
        <v>0.79613417537208497</v>
      </c>
      <c r="H183">
        <v>3.2530542933937603E-2</v>
      </c>
      <c r="I183">
        <v>-0.826817267471879</v>
      </c>
      <c r="J183">
        <v>-3.5</v>
      </c>
      <c r="L183">
        <v>0.82866471830602262</v>
      </c>
      <c r="M183">
        <v>0.76360363243814733</v>
      </c>
      <c r="N183">
        <v>0.86119526123996015</v>
      </c>
      <c r="O183">
        <v>0.73107308950420979</v>
      </c>
    </row>
    <row r="184" spans="1:15" x14ac:dyDescent="0.2">
      <c r="A184" s="14">
        <v>43612</v>
      </c>
      <c r="B184">
        <v>873.4</v>
      </c>
      <c r="C184">
        <v>884.3</v>
      </c>
      <c r="D184">
        <v>1154</v>
      </c>
      <c r="E184">
        <v>1159</v>
      </c>
      <c r="F184">
        <v>0.76298533218291598</v>
      </c>
      <c r="G184">
        <v>0.796389926671904</v>
      </c>
      <c r="H184">
        <v>3.2393188771749903E-2</v>
      </c>
      <c r="I184">
        <v>-1.03122278959213</v>
      </c>
      <c r="J184">
        <v>-4.38</v>
      </c>
      <c r="L184">
        <v>0.82878311544365391</v>
      </c>
      <c r="M184">
        <v>0.7639967379001541</v>
      </c>
      <c r="N184">
        <v>0.86117630421540381</v>
      </c>
      <c r="O184">
        <v>0.7316035491284042</v>
      </c>
    </row>
    <row r="185" spans="1:15" x14ac:dyDescent="0.2">
      <c r="A185" s="14">
        <v>43609</v>
      </c>
      <c r="B185">
        <v>876</v>
      </c>
      <c r="C185">
        <v>880.4</v>
      </c>
      <c r="D185">
        <v>1145</v>
      </c>
      <c r="E185">
        <v>1143</v>
      </c>
      <c r="F185">
        <v>0.77025371828521405</v>
      </c>
      <c r="G185">
        <v>0.79669511476895705</v>
      </c>
      <c r="H185">
        <v>3.2184183271779902E-2</v>
      </c>
      <c r="I185">
        <v>-0.82156493643037598</v>
      </c>
      <c r="J185">
        <v>-3.43</v>
      </c>
      <c r="L185">
        <v>0.8288792980407369</v>
      </c>
      <c r="M185">
        <v>0.76451093149717719</v>
      </c>
      <c r="N185">
        <v>0.86106348131251687</v>
      </c>
      <c r="O185">
        <v>0.73232674822539723</v>
      </c>
    </row>
    <row r="186" spans="1:15" x14ac:dyDescent="0.2">
      <c r="A186" s="14">
        <v>43608</v>
      </c>
      <c r="B186">
        <v>895</v>
      </c>
      <c r="C186">
        <v>896.6</v>
      </c>
      <c r="D186">
        <v>1157</v>
      </c>
      <c r="E186">
        <v>1164</v>
      </c>
      <c r="F186">
        <v>0.77027491408934701</v>
      </c>
      <c r="G186">
        <v>0.79681312489331402</v>
      </c>
      <c r="H186">
        <v>3.2103138487014897E-2</v>
      </c>
      <c r="I186">
        <v>-0.82665471522982603</v>
      </c>
      <c r="J186">
        <v>-3.45</v>
      </c>
      <c r="L186">
        <v>0.82891626338032887</v>
      </c>
      <c r="M186">
        <v>0.76470998640629917</v>
      </c>
      <c r="N186">
        <v>0.86101940186734383</v>
      </c>
      <c r="O186">
        <v>0.73260684791928421</v>
      </c>
    </row>
    <row r="187" spans="1:15" x14ac:dyDescent="0.2">
      <c r="A187" s="14">
        <v>43607</v>
      </c>
      <c r="B187">
        <v>913.8</v>
      </c>
      <c r="C187">
        <v>904.6</v>
      </c>
      <c r="D187">
        <v>1165</v>
      </c>
      <c r="E187">
        <v>1159</v>
      </c>
      <c r="F187">
        <v>0.78050043140638403</v>
      </c>
      <c r="G187">
        <v>0.79697202988965998</v>
      </c>
      <c r="H187">
        <v>3.20007179790813E-2</v>
      </c>
      <c r="I187">
        <v>-0.51472590377637295</v>
      </c>
      <c r="J187">
        <v>-2.11</v>
      </c>
      <c r="L187">
        <v>0.82897274786874131</v>
      </c>
      <c r="M187">
        <v>0.76497131191057866</v>
      </c>
      <c r="N187">
        <v>0.86097346584782253</v>
      </c>
      <c r="O187">
        <v>0.73297059393149744</v>
      </c>
    </row>
    <row r="188" spans="1:15" x14ac:dyDescent="0.2">
      <c r="A188" s="14">
        <v>43606</v>
      </c>
      <c r="B188">
        <v>895.2</v>
      </c>
      <c r="C188">
        <v>913.7</v>
      </c>
      <c r="D188">
        <v>1147</v>
      </c>
      <c r="E188">
        <v>1165</v>
      </c>
      <c r="F188">
        <v>0.78429184549356201</v>
      </c>
      <c r="G188">
        <v>0.79701646695639905</v>
      </c>
      <c r="H188">
        <v>3.1980121582775703E-2</v>
      </c>
      <c r="I188">
        <v>-0.39789159118428702</v>
      </c>
      <c r="J188">
        <v>-1.62</v>
      </c>
      <c r="L188">
        <v>0.82899658853917479</v>
      </c>
      <c r="M188">
        <v>0.76503634537362331</v>
      </c>
      <c r="N188">
        <v>0.86097671012195043</v>
      </c>
      <c r="O188">
        <v>0.73305622379084767</v>
      </c>
    </row>
    <row r="189" spans="1:15" x14ac:dyDescent="0.2">
      <c r="A189" s="14">
        <v>43605</v>
      </c>
      <c r="B189">
        <v>901.1</v>
      </c>
      <c r="C189">
        <v>906</v>
      </c>
      <c r="D189">
        <v>1140</v>
      </c>
      <c r="E189">
        <v>1154</v>
      </c>
      <c r="F189">
        <v>0.78509532062391596</v>
      </c>
      <c r="G189">
        <v>0.79698081097727003</v>
      </c>
      <c r="H189">
        <v>3.1995775876488303E-2</v>
      </c>
      <c r="I189">
        <v>-0.37147060909646601</v>
      </c>
      <c r="J189">
        <v>-1.51</v>
      </c>
      <c r="L189">
        <v>0.8289765868537583</v>
      </c>
      <c r="M189">
        <v>0.76498503510078175</v>
      </c>
      <c r="N189">
        <v>0.86097236273024658</v>
      </c>
      <c r="O189">
        <v>0.73298925922429348</v>
      </c>
    </row>
    <row r="190" spans="1:15" x14ac:dyDescent="0.2">
      <c r="A190" s="14">
        <v>43602</v>
      </c>
      <c r="B190">
        <v>895.8</v>
      </c>
      <c r="C190">
        <v>899.5</v>
      </c>
      <c r="D190">
        <v>1098</v>
      </c>
      <c r="E190">
        <v>1137</v>
      </c>
      <c r="F190">
        <v>0.79111697449428298</v>
      </c>
      <c r="G190">
        <v>0.79692923207799204</v>
      </c>
      <c r="H190">
        <v>3.2018004673761501E-2</v>
      </c>
      <c r="I190">
        <v>-0.18153091183950601</v>
      </c>
      <c r="J190">
        <v>-0.73</v>
      </c>
      <c r="L190">
        <v>0.82894723675175352</v>
      </c>
      <c r="M190">
        <v>0.76491122740423056</v>
      </c>
      <c r="N190">
        <v>0.860965241425515</v>
      </c>
      <c r="O190">
        <v>0.73289322273046908</v>
      </c>
    </row>
    <row r="191" spans="1:15" x14ac:dyDescent="0.2">
      <c r="A191" s="14">
        <v>43601</v>
      </c>
      <c r="B191">
        <v>897.4</v>
      </c>
      <c r="C191">
        <v>889.8</v>
      </c>
      <c r="D191">
        <v>1120</v>
      </c>
      <c r="E191">
        <v>1087</v>
      </c>
      <c r="F191">
        <v>0.81858325666973297</v>
      </c>
      <c r="G191">
        <v>0.79684806573173605</v>
      </c>
      <c r="H191">
        <v>3.2040344144823603E-2</v>
      </c>
      <c r="I191">
        <v>0.67836945944627003</v>
      </c>
      <c r="J191">
        <v>2.66</v>
      </c>
      <c r="L191">
        <v>0.82888840987655965</v>
      </c>
      <c r="M191">
        <v>0.76480772158691246</v>
      </c>
      <c r="N191">
        <v>0.86092875402138325</v>
      </c>
      <c r="O191">
        <v>0.73276737744208886</v>
      </c>
    </row>
    <row r="192" spans="1:15" x14ac:dyDescent="0.2">
      <c r="A192" s="14">
        <v>43600</v>
      </c>
      <c r="B192">
        <v>892</v>
      </c>
      <c r="C192">
        <v>899.7</v>
      </c>
      <c r="D192">
        <v>1172</v>
      </c>
      <c r="E192">
        <v>1182</v>
      </c>
      <c r="F192">
        <v>0.76116751269035499</v>
      </c>
      <c r="G192">
        <v>0.79633305169606405</v>
      </c>
      <c r="H192">
        <v>3.19972423175824E-2</v>
      </c>
      <c r="I192">
        <v>-1.0990178046182799</v>
      </c>
      <c r="J192">
        <v>-4.62</v>
      </c>
      <c r="L192">
        <v>0.82833029401364644</v>
      </c>
      <c r="M192">
        <v>0.76433580937848167</v>
      </c>
      <c r="N192">
        <v>0.86032753633122883</v>
      </c>
      <c r="O192">
        <v>0.73233856706089928</v>
      </c>
    </row>
    <row r="193" spans="1:15" x14ac:dyDescent="0.2">
      <c r="A193" s="14">
        <v>43599</v>
      </c>
      <c r="B193">
        <v>871.9</v>
      </c>
      <c r="C193">
        <v>886.4</v>
      </c>
      <c r="D193">
        <v>1136</v>
      </c>
      <c r="E193">
        <v>1161</v>
      </c>
      <c r="F193">
        <v>0.76347975882859598</v>
      </c>
      <c r="G193">
        <v>0.79638164670990297</v>
      </c>
      <c r="H193">
        <v>3.1946526030198603E-2</v>
      </c>
      <c r="I193">
        <v>-1.0299050309947899</v>
      </c>
      <c r="J193">
        <v>-4.3099999999999996</v>
      </c>
      <c r="L193">
        <v>0.82832817274010162</v>
      </c>
      <c r="M193">
        <v>0.76443512067970432</v>
      </c>
      <c r="N193">
        <v>0.86027469877030016</v>
      </c>
      <c r="O193">
        <v>0.73248859464950578</v>
      </c>
    </row>
    <row r="194" spans="1:15" x14ac:dyDescent="0.2">
      <c r="A194" s="14">
        <v>43598</v>
      </c>
      <c r="B194">
        <v>908.5</v>
      </c>
      <c r="C194">
        <v>892</v>
      </c>
      <c r="D194">
        <v>1157</v>
      </c>
      <c r="E194">
        <v>1167</v>
      </c>
      <c r="F194">
        <v>0.76435304198800302</v>
      </c>
      <c r="G194">
        <v>0.79636481472007603</v>
      </c>
      <c r="H194">
        <v>3.1964184633080102E-2</v>
      </c>
      <c r="I194">
        <v>-1.00148879439719</v>
      </c>
      <c r="J194">
        <v>-4.1900000000000004</v>
      </c>
      <c r="L194">
        <v>0.82832899935315618</v>
      </c>
      <c r="M194">
        <v>0.76440063008699588</v>
      </c>
      <c r="N194">
        <v>0.86029318398623622</v>
      </c>
      <c r="O194">
        <v>0.73243644545391584</v>
      </c>
    </row>
    <row r="195" spans="1:15" x14ac:dyDescent="0.2">
      <c r="A195" s="14">
        <v>43595</v>
      </c>
      <c r="B195">
        <v>950</v>
      </c>
      <c r="C195">
        <v>915.7</v>
      </c>
      <c r="D195">
        <v>1177</v>
      </c>
      <c r="E195">
        <v>1170</v>
      </c>
      <c r="F195">
        <v>0.78264957264957202</v>
      </c>
      <c r="G195">
        <v>0.79643853655591601</v>
      </c>
      <c r="H195">
        <v>3.1896572687687398E-2</v>
      </c>
      <c r="I195">
        <v>-0.432302368074369</v>
      </c>
      <c r="J195">
        <v>-1.76</v>
      </c>
      <c r="L195">
        <v>0.82833510924360343</v>
      </c>
      <c r="M195">
        <v>0.76454196386822859</v>
      </c>
      <c r="N195">
        <v>0.86023168193129085</v>
      </c>
      <c r="O195">
        <v>0.73264539118054117</v>
      </c>
    </row>
    <row r="196" spans="1:15" x14ac:dyDescent="0.2">
      <c r="A196" s="14">
        <v>43594</v>
      </c>
      <c r="B196">
        <v>978.8</v>
      </c>
      <c r="C196">
        <v>979.4</v>
      </c>
      <c r="D196">
        <v>1177</v>
      </c>
      <c r="E196">
        <v>1192</v>
      </c>
      <c r="F196">
        <v>0.82164429530201299</v>
      </c>
      <c r="G196">
        <v>0.79616402763403804</v>
      </c>
      <c r="H196">
        <v>3.2101993978855603E-2</v>
      </c>
      <c r="I196">
        <v>0.79372850436509901</v>
      </c>
      <c r="J196">
        <v>3.1</v>
      </c>
      <c r="L196">
        <v>0.82826602161289364</v>
      </c>
      <c r="M196">
        <v>0.76406203365518244</v>
      </c>
      <c r="N196">
        <v>0.86036801559174925</v>
      </c>
      <c r="O196">
        <v>0.73196003967632683</v>
      </c>
    </row>
    <row r="197" spans="1:15" x14ac:dyDescent="0.2">
      <c r="A197" s="14">
        <v>43593</v>
      </c>
      <c r="B197">
        <v>990</v>
      </c>
      <c r="C197">
        <v>980.5</v>
      </c>
      <c r="D197">
        <v>1180</v>
      </c>
      <c r="E197">
        <v>1188</v>
      </c>
      <c r="F197">
        <v>0.82533670033670004</v>
      </c>
      <c r="G197">
        <v>0.79580986325951997</v>
      </c>
      <c r="H197">
        <v>3.1965162430453498E-2</v>
      </c>
      <c r="I197">
        <v>0.92371928787853397</v>
      </c>
      <c r="J197">
        <v>3.58</v>
      </c>
      <c r="L197">
        <v>0.82777502568997341</v>
      </c>
      <c r="M197">
        <v>0.76384470082906653</v>
      </c>
      <c r="N197">
        <v>0.85974018812042696</v>
      </c>
      <c r="O197">
        <v>0.73187953839861297</v>
      </c>
    </row>
    <row r="198" spans="1:15" x14ac:dyDescent="0.2">
      <c r="A198" s="14">
        <v>43592</v>
      </c>
      <c r="B198">
        <v>1020</v>
      </c>
      <c r="C198">
        <v>1001.5</v>
      </c>
      <c r="D198">
        <v>1221</v>
      </c>
      <c r="E198">
        <v>1196</v>
      </c>
      <c r="F198">
        <v>0.83737458193979897</v>
      </c>
      <c r="G198">
        <v>0.795218597062193</v>
      </c>
      <c r="H198">
        <v>3.1823344432057199E-2</v>
      </c>
      <c r="I198">
        <v>1.32468744658842</v>
      </c>
      <c r="J198">
        <v>5.03</v>
      </c>
      <c r="L198">
        <v>0.82704194149425025</v>
      </c>
      <c r="M198">
        <v>0.76339525263013575</v>
      </c>
      <c r="N198">
        <v>0.8588652859263074</v>
      </c>
      <c r="O198">
        <v>0.7315719081980786</v>
      </c>
    </row>
    <row r="199" spans="1:15" x14ac:dyDescent="0.2">
      <c r="A199" s="14">
        <v>43581</v>
      </c>
      <c r="B199">
        <v>1014.5</v>
      </c>
      <c r="C199">
        <v>1021</v>
      </c>
      <c r="D199">
        <v>1206</v>
      </c>
      <c r="E199">
        <v>1197</v>
      </c>
      <c r="F199">
        <v>0.85296574770258904</v>
      </c>
      <c r="G199">
        <v>0.79449838024752395</v>
      </c>
      <c r="H199">
        <v>3.1470415627944198E-2</v>
      </c>
      <c r="I199">
        <v>1.8578517724802299</v>
      </c>
      <c r="J199">
        <v>6.85</v>
      </c>
      <c r="L199">
        <v>0.82596879587546812</v>
      </c>
      <c r="M199">
        <v>0.76302796461957978</v>
      </c>
      <c r="N199">
        <v>0.8574392115034124</v>
      </c>
      <c r="O199">
        <v>0.7315575489916355</v>
      </c>
    </row>
    <row r="200" spans="1:15" x14ac:dyDescent="0.2">
      <c r="A200" s="14">
        <v>43580</v>
      </c>
      <c r="B200">
        <v>1017</v>
      </c>
      <c r="C200">
        <v>1023.5</v>
      </c>
      <c r="D200">
        <v>1214</v>
      </c>
      <c r="E200">
        <v>1218</v>
      </c>
      <c r="F200">
        <v>0.840311986863711</v>
      </c>
      <c r="G200">
        <v>0.793352776338762</v>
      </c>
      <c r="H200">
        <v>3.0879514014625999E-2</v>
      </c>
      <c r="I200">
        <v>1.52072375564934</v>
      </c>
      <c r="J200">
        <v>5.59</v>
      </c>
      <c r="L200">
        <v>0.82423229035338796</v>
      </c>
      <c r="M200">
        <v>0.76247326232413604</v>
      </c>
      <c r="N200">
        <v>0.85511180436801404</v>
      </c>
      <c r="O200">
        <v>0.73159374830950996</v>
      </c>
    </row>
    <row r="201" spans="1:15" x14ac:dyDescent="0.2">
      <c r="A201" s="14">
        <v>43579</v>
      </c>
      <c r="B201">
        <v>1025</v>
      </c>
      <c r="C201">
        <v>1016.5</v>
      </c>
      <c r="D201">
        <v>1223</v>
      </c>
      <c r="E201">
        <v>1200</v>
      </c>
      <c r="F201">
        <v>0.84708333333333297</v>
      </c>
      <c r="G201">
        <v>0.79243023453746597</v>
      </c>
      <c r="H201">
        <v>3.0493948353886201E-2</v>
      </c>
      <c r="I201">
        <v>1.7922604892489</v>
      </c>
      <c r="J201">
        <v>6.45</v>
      </c>
      <c r="L201">
        <v>0.82292418289135216</v>
      </c>
      <c r="M201">
        <v>0.76193628618357978</v>
      </c>
      <c r="N201">
        <v>0.85341813124523835</v>
      </c>
      <c r="O201">
        <v>0.73144233782969359</v>
      </c>
    </row>
    <row r="202" spans="1:15" x14ac:dyDescent="0.2">
      <c r="A202" s="14">
        <v>43578</v>
      </c>
      <c r="B202">
        <v>1024</v>
      </c>
      <c r="C202">
        <v>1021</v>
      </c>
      <c r="D202">
        <v>1215</v>
      </c>
      <c r="E202">
        <v>1225</v>
      </c>
      <c r="F202">
        <v>0.83346938775510204</v>
      </c>
      <c r="G202">
        <v>0.79135872513712702</v>
      </c>
      <c r="H202">
        <v>2.99619769909414E-2</v>
      </c>
      <c r="I202">
        <v>1.40547009400301</v>
      </c>
      <c r="J202">
        <v>5.05</v>
      </c>
      <c r="L202">
        <v>0.8213207021280684</v>
      </c>
      <c r="M202">
        <v>0.76139674814618563</v>
      </c>
      <c r="N202">
        <v>0.85128267911900979</v>
      </c>
      <c r="O202">
        <v>0.73143477115524425</v>
      </c>
    </row>
    <row r="203" spans="1:15" x14ac:dyDescent="0.2">
      <c r="A203" s="14">
        <v>43577</v>
      </c>
      <c r="B203">
        <v>1028</v>
      </c>
      <c r="C203">
        <v>1029</v>
      </c>
      <c r="D203">
        <v>1227</v>
      </c>
      <c r="E203">
        <v>1212</v>
      </c>
      <c r="F203">
        <v>0.84900990099009899</v>
      </c>
      <c r="G203">
        <v>0.79057261779348598</v>
      </c>
      <c r="H203">
        <v>2.9618279066655699E-2</v>
      </c>
      <c r="I203">
        <v>1.9730141331000299</v>
      </c>
      <c r="J203">
        <v>6.88</v>
      </c>
      <c r="L203">
        <v>0.82019089686014168</v>
      </c>
      <c r="M203">
        <v>0.76095433872683027</v>
      </c>
      <c r="N203">
        <v>0.84980917592679739</v>
      </c>
      <c r="O203">
        <v>0.73133605966017456</v>
      </c>
    </row>
    <row r="204" spans="1:15" x14ac:dyDescent="0.2">
      <c r="A204" s="14">
        <v>43574</v>
      </c>
      <c r="B204">
        <v>1030</v>
      </c>
      <c r="C204">
        <v>1031</v>
      </c>
      <c r="D204">
        <v>1250</v>
      </c>
      <c r="E204">
        <v>1228</v>
      </c>
      <c r="F204">
        <v>0.83957654723126995</v>
      </c>
      <c r="G204">
        <v>0.78953953726234405</v>
      </c>
      <c r="H204">
        <v>2.89046452001545E-2</v>
      </c>
      <c r="I204">
        <v>1.7311061811150801</v>
      </c>
      <c r="J204">
        <v>5.96</v>
      </c>
      <c r="L204">
        <v>0.8184441824624985</v>
      </c>
      <c r="M204">
        <v>0.76063489206218959</v>
      </c>
      <c r="N204">
        <v>0.84734882766265307</v>
      </c>
      <c r="O204">
        <v>0.73173024686203503</v>
      </c>
    </row>
    <row r="205" spans="1:15" x14ac:dyDescent="0.2">
      <c r="A205" s="14">
        <v>43573</v>
      </c>
      <c r="B205">
        <v>1028</v>
      </c>
      <c r="C205">
        <v>1020.5</v>
      </c>
      <c r="D205">
        <v>1264</v>
      </c>
      <c r="E205">
        <v>1244</v>
      </c>
      <c r="F205">
        <v>0.82033762057877802</v>
      </c>
      <c r="G205">
        <v>0.78848024542783901</v>
      </c>
      <c r="H205">
        <v>2.8504495471566402E-2</v>
      </c>
      <c r="I205">
        <v>1.1176263471393899</v>
      </c>
      <c r="J205">
        <v>3.88</v>
      </c>
      <c r="L205">
        <v>0.81698474089940543</v>
      </c>
      <c r="M205">
        <v>0.75997574995627259</v>
      </c>
      <c r="N205">
        <v>0.84548923637097184</v>
      </c>
      <c r="O205">
        <v>0.73147125448470618</v>
      </c>
    </row>
    <row r="206" spans="1:15" x14ac:dyDescent="0.2">
      <c r="A206" s="14">
        <v>43572</v>
      </c>
      <c r="B206">
        <v>1029</v>
      </c>
      <c r="C206">
        <v>1026.5</v>
      </c>
      <c r="D206">
        <v>1231</v>
      </c>
      <c r="E206">
        <v>1249</v>
      </c>
      <c r="F206">
        <v>0.82185748598879105</v>
      </c>
      <c r="G206">
        <v>0.78735574382012197</v>
      </c>
      <c r="H206">
        <v>2.8886540274060301E-2</v>
      </c>
      <c r="I206">
        <v>1.1943881766848401</v>
      </c>
      <c r="J206">
        <v>4.2</v>
      </c>
      <c r="L206">
        <v>0.81624228409418231</v>
      </c>
      <c r="M206">
        <v>0.75846920354606162</v>
      </c>
      <c r="N206">
        <v>0.84512882436824255</v>
      </c>
      <c r="O206">
        <v>0.72958266327200139</v>
      </c>
    </row>
    <row r="207" spans="1:15" x14ac:dyDescent="0.2">
      <c r="A207" s="14">
        <v>43571</v>
      </c>
      <c r="B207">
        <v>1015.5</v>
      </c>
      <c r="C207">
        <v>1026</v>
      </c>
      <c r="D207">
        <v>1229</v>
      </c>
      <c r="E207">
        <v>1224</v>
      </c>
      <c r="F207">
        <v>0.83823529411764697</v>
      </c>
      <c r="G207">
        <v>0.78620831872999997</v>
      </c>
      <c r="H207">
        <v>2.9200738359519699E-2</v>
      </c>
      <c r="I207">
        <v>1.78170067986261</v>
      </c>
      <c r="J207">
        <v>6.21</v>
      </c>
      <c r="L207">
        <v>0.81540905708951972</v>
      </c>
      <c r="M207">
        <v>0.75700758037048022</v>
      </c>
      <c r="N207">
        <v>0.84460979544903936</v>
      </c>
      <c r="O207">
        <v>0.72780684201096058</v>
      </c>
    </row>
    <row r="208" spans="1:15" x14ac:dyDescent="0.2">
      <c r="A208" s="14">
        <v>43570</v>
      </c>
      <c r="B208">
        <v>1026.5</v>
      </c>
      <c r="C208">
        <v>1020.5</v>
      </c>
      <c r="D208">
        <v>1217</v>
      </c>
      <c r="E208">
        <v>1233</v>
      </c>
      <c r="F208">
        <v>0.82765612327656102</v>
      </c>
      <c r="G208">
        <v>0.78477207635249502</v>
      </c>
      <c r="H208">
        <v>2.9255478930354701E-2</v>
      </c>
      <c r="I208">
        <v>1.4658466889622499</v>
      </c>
      <c r="J208">
        <v>5.18</v>
      </c>
      <c r="L208">
        <v>0.81402755528284976</v>
      </c>
      <c r="M208">
        <v>0.75551659742214028</v>
      </c>
      <c r="N208">
        <v>0.84328303421320439</v>
      </c>
      <c r="O208">
        <v>0.72626111849178565</v>
      </c>
    </row>
    <row r="209" spans="1:15" x14ac:dyDescent="0.2">
      <c r="A209" s="14">
        <v>43567</v>
      </c>
      <c r="B209">
        <v>993.8</v>
      </c>
      <c r="C209">
        <v>1015</v>
      </c>
      <c r="D209">
        <v>1192</v>
      </c>
      <c r="E209">
        <v>1189</v>
      </c>
      <c r="F209">
        <v>0.85365853658536495</v>
      </c>
      <c r="G209">
        <v>0.783635935210096</v>
      </c>
      <c r="H209">
        <v>2.9222573856213699E-2</v>
      </c>
      <c r="I209">
        <v>2.3961818599486402</v>
      </c>
      <c r="J209">
        <v>8.1999999999999993</v>
      </c>
      <c r="L209">
        <v>0.81285850906630974</v>
      </c>
      <c r="M209">
        <v>0.75441336135388226</v>
      </c>
      <c r="N209">
        <v>0.84208108292252337</v>
      </c>
      <c r="O209">
        <v>0.72519078749766863</v>
      </c>
    </row>
    <row r="210" spans="1:15" x14ac:dyDescent="0.2">
      <c r="A210" s="14">
        <v>43566</v>
      </c>
      <c r="B210">
        <v>981.2</v>
      </c>
      <c r="C210">
        <v>987.8</v>
      </c>
      <c r="D210">
        <v>1191</v>
      </c>
      <c r="E210">
        <v>1172</v>
      </c>
      <c r="F210">
        <v>0.84283276450511901</v>
      </c>
      <c r="G210">
        <v>0.78228199040304303</v>
      </c>
      <c r="H210">
        <v>2.8284265445040601E-2</v>
      </c>
      <c r="I210">
        <v>2.1407935878601099</v>
      </c>
      <c r="J210">
        <v>7.18</v>
      </c>
      <c r="L210">
        <v>0.81056625584808362</v>
      </c>
      <c r="M210">
        <v>0.75399772495800244</v>
      </c>
      <c r="N210">
        <v>0.83885052129312421</v>
      </c>
      <c r="O210">
        <v>0.72571345951296184</v>
      </c>
    </row>
    <row r="211" spans="1:15" x14ac:dyDescent="0.2">
      <c r="A211" s="14">
        <v>43565</v>
      </c>
      <c r="B211">
        <v>987.6</v>
      </c>
      <c r="C211">
        <v>990.3</v>
      </c>
      <c r="D211">
        <v>1188</v>
      </c>
      <c r="E211">
        <v>1205</v>
      </c>
      <c r="F211">
        <v>0.82182572614107796</v>
      </c>
      <c r="G211">
        <v>0.78102585473673003</v>
      </c>
      <c r="H211">
        <v>2.7652171378069201E-2</v>
      </c>
      <c r="I211">
        <v>1.4754671829029</v>
      </c>
      <c r="J211">
        <v>4.96</v>
      </c>
      <c r="L211">
        <v>0.80867802611479922</v>
      </c>
      <c r="M211">
        <v>0.75337368335866084</v>
      </c>
      <c r="N211">
        <v>0.83633019749286841</v>
      </c>
      <c r="O211">
        <v>0.72572151198059165</v>
      </c>
    </row>
    <row r="212" spans="1:15" x14ac:dyDescent="0.2">
      <c r="A212" s="14">
        <v>43564</v>
      </c>
      <c r="B212">
        <v>980.2</v>
      </c>
      <c r="C212">
        <v>994.2</v>
      </c>
      <c r="D212">
        <v>1196</v>
      </c>
      <c r="E212">
        <v>1209</v>
      </c>
      <c r="F212">
        <v>0.82233250620347398</v>
      </c>
      <c r="G212">
        <v>0.78012576880513695</v>
      </c>
      <c r="H212">
        <v>2.7407065658932198E-2</v>
      </c>
      <c r="I212">
        <v>1.5399947562274201</v>
      </c>
      <c r="J212">
        <v>5.13</v>
      </c>
      <c r="L212">
        <v>0.8075328344640692</v>
      </c>
      <c r="M212">
        <v>0.7527187031462047</v>
      </c>
      <c r="N212">
        <v>0.83493990012300134</v>
      </c>
      <c r="O212">
        <v>0.72531163748727256</v>
      </c>
    </row>
    <row r="213" spans="1:15" x14ac:dyDescent="0.2">
      <c r="A213" s="14">
        <v>43563</v>
      </c>
      <c r="B213">
        <v>995</v>
      </c>
      <c r="C213">
        <v>978.7</v>
      </c>
      <c r="D213">
        <v>1210</v>
      </c>
      <c r="E213">
        <v>1191</v>
      </c>
      <c r="F213">
        <v>0.82174643157010896</v>
      </c>
      <c r="G213">
        <v>0.77908245326152703</v>
      </c>
      <c r="H213">
        <v>2.7269523274699E-2</v>
      </c>
      <c r="I213">
        <v>1.56452967214743</v>
      </c>
      <c r="J213">
        <v>5.19</v>
      </c>
      <c r="L213">
        <v>0.80635197653622603</v>
      </c>
      <c r="M213">
        <v>0.75181292998682803</v>
      </c>
      <c r="N213">
        <v>0.83362149981092504</v>
      </c>
      <c r="O213">
        <v>0.72454340671212902</v>
      </c>
    </row>
    <row r="214" spans="1:15" x14ac:dyDescent="0.2">
      <c r="A214" s="14">
        <v>43560</v>
      </c>
      <c r="B214">
        <v>979.9</v>
      </c>
      <c r="C214">
        <v>991.3</v>
      </c>
      <c r="D214">
        <v>1180</v>
      </c>
      <c r="E214">
        <v>1211</v>
      </c>
      <c r="F214">
        <v>0.81857968620974397</v>
      </c>
      <c r="G214">
        <v>0.77793135203914499</v>
      </c>
      <c r="H214">
        <v>2.7266431784384901E-2</v>
      </c>
      <c r="I214">
        <v>1.49078304385531</v>
      </c>
      <c r="J214">
        <v>4.97</v>
      </c>
      <c r="L214">
        <v>0.80519778382352991</v>
      </c>
      <c r="M214">
        <v>0.75066492025476006</v>
      </c>
      <c r="N214">
        <v>0.83246421560791484</v>
      </c>
      <c r="O214">
        <v>0.72339848847037513</v>
      </c>
    </row>
    <row r="215" spans="1:15" x14ac:dyDescent="0.2">
      <c r="A215" s="14">
        <v>43559</v>
      </c>
      <c r="B215">
        <v>988</v>
      </c>
      <c r="C215">
        <v>983.7</v>
      </c>
      <c r="D215">
        <v>1200</v>
      </c>
      <c r="E215">
        <v>1184</v>
      </c>
      <c r="F215">
        <v>0.83082770270270201</v>
      </c>
      <c r="G215">
        <v>0.77666342086948004</v>
      </c>
      <c r="H215">
        <v>2.7556229456284699E-2</v>
      </c>
      <c r="I215">
        <v>1.96559118943137</v>
      </c>
      <c r="J215">
        <v>6.52</v>
      </c>
      <c r="L215">
        <v>0.8042196503257647</v>
      </c>
      <c r="M215">
        <v>0.74910719141319537</v>
      </c>
      <c r="N215">
        <v>0.83177587978204948</v>
      </c>
      <c r="O215">
        <v>0.7215509619569106</v>
      </c>
    </row>
    <row r="216" spans="1:15" x14ac:dyDescent="0.2">
      <c r="A216" s="14">
        <v>43558</v>
      </c>
      <c r="B216">
        <v>993.8</v>
      </c>
      <c r="C216">
        <v>991.5</v>
      </c>
      <c r="D216">
        <v>1215</v>
      </c>
      <c r="E216">
        <v>1201</v>
      </c>
      <c r="F216">
        <v>0.82556203164029895</v>
      </c>
      <c r="G216">
        <v>0.77527781990707101</v>
      </c>
      <c r="H216">
        <v>2.74101711372777E-2</v>
      </c>
      <c r="I216">
        <v>1.8345092221931201</v>
      </c>
      <c r="J216">
        <v>6.09</v>
      </c>
      <c r="L216">
        <v>0.80268799104434874</v>
      </c>
      <c r="M216">
        <v>0.74786764876979328</v>
      </c>
      <c r="N216">
        <v>0.83009816218162635</v>
      </c>
      <c r="O216">
        <v>0.72045747763251566</v>
      </c>
    </row>
    <row r="217" spans="1:15" x14ac:dyDescent="0.2">
      <c r="A217" s="14">
        <v>43557</v>
      </c>
      <c r="B217">
        <v>999</v>
      </c>
      <c r="C217">
        <v>987.6</v>
      </c>
      <c r="D217">
        <v>1200</v>
      </c>
      <c r="E217">
        <v>1200</v>
      </c>
      <c r="F217">
        <v>0.82299999999999995</v>
      </c>
      <c r="G217">
        <v>0.77396411442833302</v>
      </c>
      <c r="H217">
        <v>2.73296730159561E-2</v>
      </c>
      <c r="I217" s="15">
        <v>1.7942360870193199</v>
      </c>
      <c r="J217">
        <v>5.96</v>
      </c>
      <c r="L217">
        <v>0.80129378744428914</v>
      </c>
      <c r="M217">
        <v>0.74663444141237689</v>
      </c>
      <c r="N217">
        <v>0.82862346046024526</v>
      </c>
      <c r="O217">
        <v>0.71930476839642077</v>
      </c>
    </row>
    <row r="218" spans="1:15" x14ac:dyDescent="0.2">
      <c r="A218" s="14">
        <v>43556</v>
      </c>
      <c r="B218">
        <v>964.1</v>
      </c>
      <c r="C218">
        <v>974.7</v>
      </c>
      <c r="D218">
        <v>1178</v>
      </c>
      <c r="E218">
        <v>1177</v>
      </c>
      <c r="F218">
        <v>0.82812234494477399</v>
      </c>
      <c r="G218">
        <v>0.77275144253973405</v>
      </c>
      <c r="H218">
        <v>2.7144144070570701E-2</v>
      </c>
      <c r="I218">
        <v>2.0398838976496898</v>
      </c>
      <c r="J218">
        <v>6.69</v>
      </c>
      <c r="L218">
        <v>0.7998955866103048</v>
      </c>
      <c r="M218">
        <v>0.74560729846916329</v>
      </c>
      <c r="N218">
        <v>0.82703973068087544</v>
      </c>
      <c r="O218">
        <v>0.71846315439859265</v>
      </c>
    </row>
    <row r="219" spans="1:15" x14ac:dyDescent="0.2">
      <c r="A219" s="14">
        <v>43553</v>
      </c>
      <c r="B219">
        <v>963.5</v>
      </c>
      <c r="C219">
        <v>954.2</v>
      </c>
      <c r="D219">
        <v>1172</v>
      </c>
      <c r="E219">
        <v>1164</v>
      </c>
      <c r="F219">
        <v>0.81975945017182095</v>
      </c>
      <c r="G219">
        <v>0.77154762604119598</v>
      </c>
      <c r="H219">
        <v>2.6659531759108599E-2</v>
      </c>
      <c r="I219">
        <v>1.80842726594973</v>
      </c>
      <c r="J219">
        <v>5.88</v>
      </c>
      <c r="L219">
        <v>0.7982071578003046</v>
      </c>
      <c r="M219">
        <v>0.74488809428208735</v>
      </c>
      <c r="N219">
        <v>0.82486668955941322</v>
      </c>
      <c r="O219">
        <v>0.71822856252297873</v>
      </c>
    </row>
    <row r="220" spans="1:15" x14ac:dyDescent="0.2">
      <c r="A220" s="14">
        <v>43552</v>
      </c>
      <c r="B220">
        <v>955.1</v>
      </c>
      <c r="C220">
        <v>948.5</v>
      </c>
      <c r="D220">
        <v>1162</v>
      </c>
      <c r="E220">
        <v>1162</v>
      </c>
      <c r="F220">
        <v>0.81626506024096301</v>
      </c>
      <c r="G220">
        <v>0.77030232575378699</v>
      </c>
      <c r="H220">
        <v>2.65595825334831E-2</v>
      </c>
      <c r="I220">
        <v>1.7305518424181501</v>
      </c>
      <c r="J220">
        <v>5.63</v>
      </c>
      <c r="L220">
        <v>0.7968619082872701</v>
      </c>
      <c r="M220">
        <v>0.74374274322030387</v>
      </c>
      <c r="N220">
        <v>0.82342149082075322</v>
      </c>
      <c r="O220">
        <v>0.71718316068682075</v>
      </c>
    </row>
    <row r="221" spans="1:15" x14ac:dyDescent="0.2">
      <c r="A221" s="14">
        <v>43551</v>
      </c>
      <c r="B221">
        <v>969.8</v>
      </c>
      <c r="C221">
        <v>965.9</v>
      </c>
      <c r="D221">
        <v>1155</v>
      </c>
      <c r="E221">
        <v>1170</v>
      </c>
      <c r="F221">
        <v>0.82555555555555504</v>
      </c>
      <c r="G221">
        <v>0.76896333010978402</v>
      </c>
      <c r="H221">
        <v>2.6739463580783801E-2</v>
      </c>
      <c r="I221">
        <v>2.1164308429298702</v>
      </c>
      <c r="J221">
        <v>6.86</v>
      </c>
      <c r="L221">
        <v>0.79570279369056784</v>
      </c>
      <c r="M221">
        <v>0.74222386652900019</v>
      </c>
      <c r="N221">
        <v>0.82244225727135167</v>
      </c>
      <c r="O221">
        <v>0.71548440294821636</v>
      </c>
    </row>
    <row r="222" spans="1:15" x14ac:dyDescent="0.2">
      <c r="A222" s="14">
        <v>43550</v>
      </c>
      <c r="B222">
        <v>948.5</v>
      </c>
      <c r="C222">
        <v>978.6</v>
      </c>
      <c r="D222">
        <v>1141</v>
      </c>
      <c r="E222">
        <v>1166</v>
      </c>
      <c r="F222">
        <v>0.83927958833619198</v>
      </c>
      <c r="G222">
        <v>0.76758187847836301</v>
      </c>
      <c r="H222">
        <v>2.6454910799115199E-2</v>
      </c>
      <c r="I222">
        <v>2.7101852809961402</v>
      </c>
      <c r="J222">
        <v>8.5399999999999991</v>
      </c>
      <c r="L222">
        <v>0.79403678927747823</v>
      </c>
      <c r="M222">
        <v>0.74112696767924779</v>
      </c>
      <c r="N222">
        <v>0.82049170007659344</v>
      </c>
      <c r="O222">
        <v>0.71467205688013258</v>
      </c>
    </row>
    <row r="223" spans="1:15" x14ac:dyDescent="0.2">
      <c r="A223" s="14">
        <v>43549</v>
      </c>
      <c r="B223">
        <v>944.9</v>
      </c>
      <c r="C223">
        <v>940.1</v>
      </c>
      <c r="D223">
        <v>1141</v>
      </c>
      <c r="E223">
        <v>1140</v>
      </c>
      <c r="F223">
        <v>0.82464912280701697</v>
      </c>
      <c r="G223">
        <v>0.76592880660756002</v>
      </c>
      <c r="H223">
        <v>2.57882767900115E-2</v>
      </c>
      <c r="I223">
        <v>2.2770158967039298</v>
      </c>
      <c r="J223">
        <v>7.12</v>
      </c>
      <c r="L223">
        <v>0.79171708339757152</v>
      </c>
      <c r="M223">
        <v>0.74014052981754852</v>
      </c>
      <c r="N223">
        <v>0.81750536018758302</v>
      </c>
      <c r="O223">
        <v>0.71435225302753702</v>
      </c>
    </row>
    <row r="224" spans="1:15" x14ac:dyDescent="0.2">
      <c r="A224" s="14">
        <v>43546</v>
      </c>
      <c r="B224">
        <v>954.9</v>
      </c>
      <c r="C224">
        <v>958.1</v>
      </c>
      <c r="D224">
        <v>1178</v>
      </c>
      <c r="E224">
        <v>1171</v>
      </c>
      <c r="F224">
        <v>0.81818958155422705</v>
      </c>
      <c r="G224">
        <v>0.76425477011069498</v>
      </c>
      <c r="H224">
        <v>2.5996399389480399E-2</v>
      </c>
      <c r="I224">
        <v>2.0747031400570202</v>
      </c>
      <c r="J224">
        <v>6.59</v>
      </c>
      <c r="L224">
        <v>0.79025116950017538</v>
      </c>
      <c r="M224">
        <v>0.73825837072121459</v>
      </c>
      <c r="N224">
        <v>0.81624756888965577</v>
      </c>
      <c r="O224">
        <v>0.71226197133173419</v>
      </c>
    </row>
    <row r="225" spans="1:15" x14ac:dyDescent="0.2">
      <c r="A225" s="14">
        <v>43544</v>
      </c>
      <c r="B225">
        <v>961</v>
      </c>
      <c r="C225">
        <v>950.8</v>
      </c>
      <c r="D225">
        <v>1168</v>
      </c>
      <c r="E225">
        <v>1183</v>
      </c>
      <c r="F225">
        <v>0.80371935756551105</v>
      </c>
      <c r="G225">
        <v>0.76251624876689506</v>
      </c>
      <c r="H225">
        <v>2.6682221004468799E-2</v>
      </c>
      <c r="I225">
        <v>1.5442158578820999</v>
      </c>
      <c r="J225">
        <v>5.13</v>
      </c>
      <c r="L225">
        <v>0.78919846977136388</v>
      </c>
      <c r="M225">
        <v>0.73583402776242623</v>
      </c>
      <c r="N225">
        <v>0.8158806907758327</v>
      </c>
      <c r="O225">
        <v>0.70915180675795741</v>
      </c>
    </row>
    <row r="226" spans="1:15" x14ac:dyDescent="0.2">
      <c r="A226" s="14">
        <v>43543</v>
      </c>
      <c r="B226">
        <v>966.6</v>
      </c>
      <c r="C226">
        <v>962.5</v>
      </c>
      <c r="D226">
        <v>1174</v>
      </c>
      <c r="E226">
        <v>1177</v>
      </c>
      <c r="F226">
        <v>0.81775700934579398</v>
      </c>
      <c r="G226">
        <v>0.76091246510364996</v>
      </c>
      <c r="H226">
        <v>2.77509676056087E-2</v>
      </c>
      <c r="I226">
        <v>2.0483806204528698</v>
      </c>
      <c r="J226">
        <v>6.95</v>
      </c>
      <c r="L226">
        <v>0.78866343270925865</v>
      </c>
      <c r="M226">
        <v>0.73316149749804127</v>
      </c>
      <c r="N226">
        <v>0.81641440031486734</v>
      </c>
      <c r="O226">
        <v>0.70541052989243258</v>
      </c>
    </row>
    <row r="227" spans="1:15" x14ac:dyDescent="0.2">
      <c r="A227" s="14">
        <v>43542</v>
      </c>
      <c r="B227">
        <v>968.1</v>
      </c>
      <c r="C227">
        <v>969.7</v>
      </c>
      <c r="D227">
        <v>1180</v>
      </c>
      <c r="E227">
        <v>1179</v>
      </c>
      <c r="F227">
        <v>0.82247667514843004</v>
      </c>
      <c r="G227">
        <v>0.75906132589407105</v>
      </c>
      <c r="H227">
        <v>2.8517343587238599E-2</v>
      </c>
      <c r="I227">
        <v>2.2237467196186098</v>
      </c>
      <c r="J227">
        <v>7.71</v>
      </c>
      <c r="L227">
        <v>0.78757866948130961</v>
      </c>
      <c r="M227">
        <v>0.73054398230683248</v>
      </c>
      <c r="N227">
        <v>0.81609601306854829</v>
      </c>
      <c r="O227">
        <v>0.70202663871959381</v>
      </c>
    </row>
    <row r="228" spans="1:15" x14ac:dyDescent="0.2">
      <c r="A228" s="14">
        <v>43539</v>
      </c>
      <c r="B228">
        <v>960.4</v>
      </c>
      <c r="C228">
        <v>962.6</v>
      </c>
      <c r="D228">
        <v>1199</v>
      </c>
      <c r="E228">
        <v>1173</v>
      </c>
      <c r="F228">
        <v>0.82063086104006799</v>
      </c>
      <c r="G228">
        <v>0.75707481139830302</v>
      </c>
      <c r="H228">
        <v>2.9211463716785801E-2</v>
      </c>
      <c r="I228">
        <v>2.17572286886957</v>
      </c>
      <c r="J228">
        <v>7.74</v>
      </c>
      <c r="L228">
        <v>0.78628627511508886</v>
      </c>
      <c r="M228">
        <v>0.72786334768151717</v>
      </c>
      <c r="N228">
        <v>0.8154977388318746</v>
      </c>
      <c r="O228">
        <v>0.69865188396473143</v>
      </c>
    </row>
    <row r="229" spans="1:15" x14ac:dyDescent="0.2">
      <c r="A229" s="14">
        <v>43538</v>
      </c>
      <c r="B229">
        <v>978.7</v>
      </c>
      <c r="C229">
        <v>963.3</v>
      </c>
      <c r="D229">
        <v>1207</v>
      </c>
      <c r="E229">
        <v>1197</v>
      </c>
      <c r="F229">
        <v>0.80476190476190401</v>
      </c>
      <c r="G229">
        <v>0.75498205920362604</v>
      </c>
      <c r="H229">
        <v>3.0189182783037598E-2</v>
      </c>
      <c r="I229">
        <v>1.64892988048184</v>
      </c>
      <c r="J229">
        <v>6.19</v>
      </c>
      <c r="L229">
        <v>0.78517124198666366</v>
      </c>
      <c r="M229">
        <v>0.72479287642058843</v>
      </c>
      <c r="N229">
        <v>0.81536042476970128</v>
      </c>
      <c r="O229">
        <v>0.69460369363755081</v>
      </c>
    </row>
    <row r="230" spans="1:15" x14ac:dyDescent="0.2">
      <c r="A230" s="14">
        <v>43537</v>
      </c>
      <c r="B230">
        <v>991.5</v>
      </c>
      <c r="C230">
        <v>978.2</v>
      </c>
      <c r="D230">
        <v>1225</v>
      </c>
      <c r="E230">
        <v>1203</v>
      </c>
      <c r="F230">
        <v>0.81313383208644996</v>
      </c>
      <c r="G230">
        <v>0.75308533283631096</v>
      </c>
      <c r="H230">
        <v>3.1444705649245598E-2</v>
      </c>
      <c r="I230">
        <v>1.9096537242217699</v>
      </c>
      <c r="J230">
        <v>7.38</v>
      </c>
      <c r="L230">
        <v>0.78453003848555658</v>
      </c>
      <c r="M230">
        <v>0.72164062718706534</v>
      </c>
      <c r="N230">
        <v>0.8159747441348022</v>
      </c>
      <c r="O230">
        <v>0.69019592153781972</v>
      </c>
    </row>
    <row r="231" spans="1:15" x14ac:dyDescent="0.2">
      <c r="A231" s="14">
        <v>43536</v>
      </c>
      <c r="B231">
        <v>987</v>
      </c>
      <c r="C231">
        <v>994.2</v>
      </c>
      <c r="D231">
        <v>1247</v>
      </c>
      <c r="E231">
        <v>1255</v>
      </c>
      <c r="F231">
        <v>0.79219123505976097</v>
      </c>
      <c r="G231">
        <v>0.75074230534098396</v>
      </c>
      <c r="H231">
        <v>3.3370982967556098E-2</v>
      </c>
      <c r="I231">
        <v>1.2420649927835301</v>
      </c>
      <c r="J231">
        <v>5.23</v>
      </c>
      <c r="L231">
        <v>0.7841132883085401</v>
      </c>
      <c r="M231">
        <v>0.71737132237342782</v>
      </c>
      <c r="N231">
        <v>0.81748427127609613</v>
      </c>
      <c r="O231">
        <v>0.68400033940587179</v>
      </c>
    </row>
    <row r="232" spans="1:15" x14ac:dyDescent="0.2">
      <c r="A232" s="14">
        <v>43535</v>
      </c>
      <c r="B232">
        <v>978.2</v>
      </c>
      <c r="C232">
        <v>972.8</v>
      </c>
      <c r="D232">
        <v>1238</v>
      </c>
      <c r="E232">
        <v>1233</v>
      </c>
      <c r="F232">
        <v>0.78896999188969896</v>
      </c>
      <c r="G232">
        <v>0.74866907299150098</v>
      </c>
      <c r="H232">
        <v>3.5494078605843603E-2</v>
      </c>
      <c r="I232">
        <v>1.1354265410220701</v>
      </c>
      <c r="J232">
        <v>5.1100000000000003</v>
      </c>
      <c r="L232">
        <v>0.78416315159734462</v>
      </c>
      <c r="M232">
        <v>0.71317499438565735</v>
      </c>
      <c r="N232">
        <v>0.81965723020318815</v>
      </c>
      <c r="O232">
        <v>0.67768091577981382</v>
      </c>
    </row>
    <row r="233" spans="1:15" x14ac:dyDescent="0.2">
      <c r="A233" s="14">
        <v>43532</v>
      </c>
      <c r="B233">
        <v>979</v>
      </c>
      <c r="C233">
        <v>980</v>
      </c>
      <c r="D233">
        <v>1274</v>
      </c>
      <c r="E233">
        <v>1235</v>
      </c>
      <c r="F233">
        <v>0.79352226720647701</v>
      </c>
      <c r="G233">
        <v>0.74642810183778496</v>
      </c>
      <c r="H233">
        <v>3.8089731546857401E-2</v>
      </c>
      <c r="I233">
        <v>1.2364005587899001</v>
      </c>
      <c r="J233">
        <v>5.93</v>
      </c>
      <c r="L233">
        <v>0.78451783338464232</v>
      </c>
      <c r="M233">
        <v>0.70833837029092761</v>
      </c>
      <c r="N233">
        <v>0.82260756493149978</v>
      </c>
      <c r="O233">
        <v>0.67024863874407015</v>
      </c>
    </row>
    <row r="234" spans="1:15" x14ac:dyDescent="0.2">
      <c r="A234" s="14">
        <v>43531</v>
      </c>
      <c r="B234">
        <v>1003.5</v>
      </c>
      <c r="C234">
        <v>987.6</v>
      </c>
      <c r="D234">
        <v>1323</v>
      </c>
      <c r="E234">
        <v>1300</v>
      </c>
      <c r="F234">
        <v>0.759692307692307</v>
      </c>
      <c r="G234">
        <v>0.74416557905848502</v>
      </c>
      <c r="H234">
        <v>4.0206107691012197E-2</v>
      </c>
      <c r="I234">
        <v>0.38617835760543701</v>
      </c>
      <c r="J234">
        <v>2.04</v>
      </c>
      <c r="L234">
        <v>0.7843716867494972</v>
      </c>
      <c r="M234">
        <v>0.70395947136747283</v>
      </c>
      <c r="N234">
        <v>0.82457779444050938</v>
      </c>
      <c r="O234">
        <v>0.66375336367646065</v>
      </c>
    </row>
    <row r="235" spans="1:15" x14ac:dyDescent="0.2">
      <c r="A235" s="14">
        <v>43530</v>
      </c>
      <c r="B235">
        <v>1014.5</v>
      </c>
      <c r="C235">
        <v>1012</v>
      </c>
      <c r="D235">
        <v>1322</v>
      </c>
      <c r="E235">
        <v>1337</v>
      </c>
      <c r="F235">
        <v>0.75691847419596103</v>
      </c>
      <c r="G235">
        <v>0.74230287242964199</v>
      </c>
      <c r="H235">
        <v>4.2608023163017303E-2</v>
      </c>
      <c r="I235">
        <v>0.34302463905446301</v>
      </c>
      <c r="J235">
        <v>1.93</v>
      </c>
      <c r="L235">
        <v>0.78491089559265925</v>
      </c>
      <c r="M235">
        <v>0.69969484926662473</v>
      </c>
      <c r="N235">
        <v>0.82751891875567662</v>
      </c>
      <c r="O235">
        <v>0.65708682610360736</v>
      </c>
    </row>
    <row r="236" spans="1:15" x14ac:dyDescent="0.2">
      <c r="A236" s="14">
        <v>43529</v>
      </c>
      <c r="B236">
        <v>1013.5</v>
      </c>
      <c r="C236">
        <v>1020.5</v>
      </c>
      <c r="D236">
        <v>1355</v>
      </c>
      <c r="E236">
        <v>1336</v>
      </c>
      <c r="F236">
        <v>0.76384730538922097</v>
      </c>
      <c r="G236">
        <v>0.74056788288533903</v>
      </c>
      <c r="H236">
        <v>4.4581181798579603E-2</v>
      </c>
      <c r="I236">
        <v>0.52218047087804698</v>
      </c>
      <c r="J236">
        <v>3.05</v>
      </c>
      <c r="L236">
        <v>0.78514906468391865</v>
      </c>
      <c r="M236">
        <v>0.69598670108675942</v>
      </c>
      <c r="N236">
        <v>0.82973024648249827</v>
      </c>
      <c r="O236">
        <v>0.6514055192881798</v>
      </c>
    </row>
    <row r="237" spans="1:15" x14ac:dyDescent="0.2">
      <c r="A237" s="14">
        <v>43528</v>
      </c>
      <c r="B237">
        <v>1026</v>
      </c>
      <c r="C237">
        <v>1021.5</v>
      </c>
      <c r="D237">
        <v>1356</v>
      </c>
      <c r="E237">
        <v>1369</v>
      </c>
      <c r="F237">
        <v>0.74616508400292103</v>
      </c>
      <c r="G237">
        <v>0.73872895734299804</v>
      </c>
      <c r="H237">
        <v>4.6390790146014098E-2</v>
      </c>
      <c r="I237">
        <v>0.16029316673671401</v>
      </c>
      <c r="J237">
        <v>1</v>
      </c>
      <c r="L237">
        <v>0.78511974748901214</v>
      </c>
      <c r="M237">
        <v>0.69233816719698393</v>
      </c>
      <c r="N237">
        <v>0.83151053763502625</v>
      </c>
      <c r="O237">
        <v>0.64594737705096983</v>
      </c>
    </row>
    <row r="238" spans="1:15" x14ac:dyDescent="0.2">
      <c r="A238" s="14">
        <v>43525</v>
      </c>
      <c r="B238">
        <v>1025</v>
      </c>
      <c r="C238">
        <v>1018</v>
      </c>
      <c r="D238">
        <v>1338</v>
      </c>
      <c r="E238">
        <v>1342</v>
      </c>
      <c r="F238">
        <v>0.75856929955290597</v>
      </c>
      <c r="G238">
        <v>0.73730101307721596</v>
      </c>
      <c r="H238">
        <v>4.7767734912402E-2</v>
      </c>
      <c r="I238">
        <v>0.44524377207108301</v>
      </c>
      <c r="J238">
        <v>2.8</v>
      </c>
      <c r="L238">
        <v>0.78506874798961801</v>
      </c>
      <c r="M238">
        <v>0.68953327816481391</v>
      </c>
      <c r="N238">
        <v>0.83283648290201995</v>
      </c>
      <c r="O238">
        <v>0.64176554325241197</v>
      </c>
    </row>
    <row r="239" spans="1:15" x14ac:dyDescent="0.2">
      <c r="A239" s="14">
        <v>43524</v>
      </c>
      <c r="B239">
        <v>1032.5</v>
      </c>
      <c r="C239">
        <v>1025</v>
      </c>
      <c r="D239">
        <v>1360</v>
      </c>
      <c r="E239">
        <v>1337</v>
      </c>
      <c r="F239">
        <v>0.76664173522812196</v>
      </c>
      <c r="G239">
        <v>0.73548665015322301</v>
      </c>
      <c r="H239">
        <v>4.9479099289112698E-2</v>
      </c>
      <c r="I239">
        <v>0.62966152420956101</v>
      </c>
      <c r="J239">
        <v>4.0599999999999996</v>
      </c>
      <c r="L239">
        <v>0.78496574944233566</v>
      </c>
      <c r="M239">
        <v>0.68600755086411036</v>
      </c>
      <c r="N239">
        <v>0.83444484873144842</v>
      </c>
      <c r="O239">
        <v>0.6365284515749976</v>
      </c>
    </row>
    <row r="240" spans="1:15" x14ac:dyDescent="0.2">
      <c r="A240" s="14">
        <v>43523</v>
      </c>
      <c r="B240">
        <v>1038</v>
      </c>
      <c r="C240">
        <v>1040.5</v>
      </c>
      <c r="D240">
        <v>1351</v>
      </c>
      <c r="E240">
        <v>1350</v>
      </c>
      <c r="F240">
        <v>0.77074074074073995</v>
      </c>
      <c r="G240">
        <v>0.73369466020712004</v>
      </c>
      <c r="H240">
        <v>5.0736110784791399E-2</v>
      </c>
      <c r="I240">
        <v>0.73017186301014103</v>
      </c>
      <c r="J240">
        <v>4.8099999999999996</v>
      </c>
      <c r="L240">
        <v>0.78443077099191139</v>
      </c>
      <c r="M240">
        <v>0.6829585494223287</v>
      </c>
      <c r="N240">
        <v>0.83516688177670284</v>
      </c>
      <c r="O240">
        <v>0.63222243863753724</v>
      </c>
    </row>
    <row r="241" spans="1:15" x14ac:dyDescent="0.2">
      <c r="A241" s="14">
        <v>43522</v>
      </c>
      <c r="B241">
        <v>1046</v>
      </c>
      <c r="C241">
        <v>1037</v>
      </c>
      <c r="D241">
        <v>1383</v>
      </c>
      <c r="E241">
        <v>1357</v>
      </c>
      <c r="F241">
        <v>0.76418570375828998</v>
      </c>
      <c r="G241">
        <v>0.73182530688868297</v>
      </c>
      <c r="H241">
        <v>5.1906070606072399E-2</v>
      </c>
      <c r="I241">
        <v>0.62344146824746605</v>
      </c>
      <c r="J241">
        <v>4.2300000000000004</v>
      </c>
      <c r="L241">
        <v>0.78373137749475541</v>
      </c>
      <c r="M241">
        <v>0.67991923628261053</v>
      </c>
      <c r="N241">
        <v>0.83563744810082774</v>
      </c>
      <c r="O241">
        <v>0.6280131656765382</v>
      </c>
    </row>
    <row r="242" spans="1:15" x14ac:dyDescent="0.2">
      <c r="A242" s="14">
        <v>43521</v>
      </c>
      <c r="B242">
        <v>1055</v>
      </c>
      <c r="C242">
        <v>1053.5</v>
      </c>
      <c r="D242">
        <v>1362</v>
      </c>
      <c r="E242">
        <v>1392</v>
      </c>
      <c r="F242">
        <v>0.75682471264367801</v>
      </c>
      <c r="G242">
        <v>0.73016110994197103</v>
      </c>
      <c r="H242">
        <v>5.2834447359312801E-2</v>
      </c>
      <c r="I242">
        <v>0.504663227011244</v>
      </c>
      <c r="J242">
        <v>3.52</v>
      </c>
      <c r="L242">
        <v>0.78299555730128378</v>
      </c>
      <c r="M242">
        <v>0.67732666258265828</v>
      </c>
      <c r="N242">
        <v>0.83583000466059665</v>
      </c>
      <c r="O242">
        <v>0.62449221522334541</v>
      </c>
    </row>
    <row r="243" spans="1:15" x14ac:dyDescent="0.2">
      <c r="A243" s="14">
        <v>43518</v>
      </c>
      <c r="B243">
        <v>1038.5</v>
      </c>
      <c r="C243">
        <v>1044.5</v>
      </c>
      <c r="D243">
        <v>1364</v>
      </c>
      <c r="E243">
        <v>1362</v>
      </c>
      <c r="F243">
        <v>0.76688693098384697</v>
      </c>
      <c r="G243">
        <v>0.72922899227806204</v>
      </c>
      <c r="H243">
        <v>5.2972313568071298E-2</v>
      </c>
      <c r="I243">
        <v>0.710898508470718</v>
      </c>
      <c r="J243">
        <v>4.91</v>
      </c>
      <c r="L243">
        <v>0.78220130584613334</v>
      </c>
      <c r="M243">
        <v>0.67625667870999073</v>
      </c>
      <c r="N243">
        <v>0.83517361941420465</v>
      </c>
      <c r="O243">
        <v>0.62328436514191943</v>
      </c>
    </row>
    <row r="244" spans="1:15" x14ac:dyDescent="0.2">
      <c r="A244" s="14">
        <v>43517</v>
      </c>
      <c r="B244">
        <v>1040</v>
      </c>
      <c r="C244">
        <v>1043.5</v>
      </c>
      <c r="D244">
        <v>1376</v>
      </c>
      <c r="E244">
        <v>1376</v>
      </c>
      <c r="F244">
        <v>0.75835755813953398</v>
      </c>
      <c r="G244">
        <v>0.72818876855521897</v>
      </c>
      <c r="H244">
        <v>5.2988616527397898E-2</v>
      </c>
      <c r="I244">
        <v>0.56934473027270605</v>
      </c>
      <c r="J244">
        <v>3.98</v>
      </c>
      <c r="L244">
        <v>0.78117738508261692</v>
      </c>
      <c r="M244">
        <v>0.67520015202782102</v>
      </c>
      <c r="N244">
        <v>0.83416600161001475</v>
      </c>
      <c r="O244">
        <v>0.62221153550042319</v>
      </c>
    </row>
    <row r="245" spans="1:15" x14ac:dyDescent="0.2">
      <c r="A245" s="14">
        <v>43516</v>
      </c>
      <c r="B245">
        <v>1040.5</v>
      </c>
      <c r="C245">
        <v>1043.5</v>
      </c>
      <c r="D245">
        <v>1369</v>
      </c>
      <c r="E245">
        <v>1375</v>
      </c>
      <c r="F245">
        <v>0.75890909090908998</v>
      </c>
      <c r="G245">
        <v>0.72735120522999697</v>
      </c>
      <c r="H245">
        <v>5.30015929006038E-2</v>
      </c>
      <c r="I245">
        <v>0.59541391026257195</v>
      </c>
      <c r="J245">
        <v>4.16</v>
      </c>
      <c r="L245">
        <v>0.78035279813060077</v>
      </c>
      <c r="M245">
        <v>0.67434961232939317</v>
      </c>
      <c r="N245">
        <v>0.83335439103120457</v>
      </c>
      <c r="O245">
        <v>0.62134801942878937</v>
      </c>
    </row>
    <row r="246" spans="1:15" x14ac:dyDescent="0.2">
      <c r="A246" s="14">
        <v>43515</v>
      </c>
      <c r="B246">
        <v>1035</v>
      </c>
      <c r="C246">
        <v>1035</v>
      </c>
      <c r="D246">
        <v>1372</v>
      </c>
      <c r="E246">
        <v>1369</v>
      </c>
      <c r="F246">
        <v>0.75602629656683695</v>
      </c>
      <c r="G246">
        <v>0.726445223377574</v>
      </c>
      <c r="H246">
        <v>5.3035144359199898E-2</v>
      </c>
      <c r="I246">
        <v>0.55776360273319103</v>
      </c>
      <c r="J246">
        <v>3.91</v>
      </c>
      <c r="L246">
        <v>0.77948036773677387</v>
      </c>
      <c r="M246">
        <v>0.67341007901837413</v>
      </c>
      <c r="N246">
        <v>0.83251551209597374</v>
      </c>
      <c r="O246">
        <v>0.62037493465917426</v>
      </c>
    </row>
    <row r="247" spans="1:15" x14ac:dyDescent="0.2">
      <c r="A247" s="14">
        <v>43514</v>
      </c>
      <c r="B247">
        <v>1041.5</v>
      </c>
      <c r="C247">
        <v>1042</v>
      </c>
      <c r="D247">
        <v>1380</v>
      </c>
      <c r="E247">
        <v>1379</v>
      </c>
      <c r="F247">
        <v>0.75562001450326299</v>
      </c>
      <c r="G247">
        <v>0.72556871239530496</v>
      </c>
      <c r="H247">
        <v>5.3082222610932601E-2</v>
      </c>
      <c r="I247">
        <v>0.566127427033699</v>
      </c>
      <c r="J247">
        <v>3.98</v>
      </c>
      <c r="L247">
        <v>0.77865093500623761</v>
      </c>
      <c r="M247">
        <v>0.67248648978437231</v>
      </c>
      <c r="N247">
        <v>0.83173315761717015</v>
      </c>
      <c r="O247">
        <v>0.61940426717343977</v>
      </c>
    </row>
    <row r="248" spans="1:15" x14ac:dyDescent="0.2">
      <c r="A248" s="14">
        <v>43511</v>
      </c>
      <c r="B248">
        <v>1025.5</v>
      </c>
      <c r="C248">
        <v>1025</v>
      </c>
      <c r="D248">
        <v>1366</v>
      </c>
      <c r="E248">
        <v>1340</v>
      </c>
      <c r="F248">
        <v>0.76492537313432796</v>
      </c>
      <c r="G248">
        <v>0.72427558720644003</v>
      </c>
      <c r="H248">
        <v>5.3513950981873303E-2</v>
      </c>
      <c r="I248">
        <v>0.75961100202929899</v>
      </c>
      <c r="J248">
        <v>5.31</v>
      </c>
      <c r="L248">
        <v>0.77778953818831331</v>
      </c>
      <c r="M248">
        <v>0.67076163622456675</v>
      </c>
      <c r="N248">
        <v>0.83130348917018659</v>
      </c>
      <c r="O248">
        <v>0.61724768524269347</v>
      </c>
    </row>
    <row r="249" spans="1:15" x14ac:dyDescent="0.2">
      <c r="A249" s="14">
        <v>43510</v>
      </c>
      <c r="B249">
        <v>1057</v>
      </c>
      <c r="C249">
        <v>1043</v>
      </c>
      <c r="D249">
        <v>1385</v>
      </c>
      <c r="E249">
        <v>1389</v>
      </c>
      <c r="F249">
        <v>0.750899928005759</v>
      </c>
      <c r="G249">
        <v>0.72261005725788396</v>
      </c>
      <c r="H249">
        <v>5.4162822476913501E-2</v>
      </c>
      <c r="I249">
        <v>0.52231160515931196</v>
      </c>
      <c r="J249">
        <v>3.77</v>
      </c>
      <c r="L249">
        <v>0.77677287973479747</v>
      </c>
      <c r="M249">
        <v>0.66844723478097046</v>
      </c>
      <c r="N249">
        <v>0.83093570221171098</v>
      </c>
      <c r="O249">
        <v>0.61428441230405695</v>
      </c>
    </row>
    <row r="250" spans="1:15" x14ac:dyDescent="0.2">
      <c r="A250" s="14">
        <v>43509</v>
      </c>
      <c r="B250">
        <v>1041.5</v>
      </c>
      <c r="C250">
        <v>1050</v>
      </c>
      <c r="D250">
        <v>1384</v>
      </c>
      <c r="E250">
        <v>1386</v>
      </c>
      <c r="F250">
        <v>0.75757575757575701</v>
      </c>
      <c r="G250">
        <v>0.72108510484993105</v>
      </c>
      <c r="H250">
        <v>5.4949207767472398E-2</v>
      </c>
      <c r="I250">
        <v>0.66407968755878599</v>
      </c>
      <c r="J250">
        <v>4.82</v>
      </c>
      <c r="L250">
        <v>0.77603431261740341</v>
      </c>
      <c r="M250">
        <v>0.66613589708245868</v>
      </c>
      <c r="N250">
        <v>0.83098352038487588</v>
      </c>
      <c r="O250">
        <v>0.61118668931498621</v>
      </c>
    </row>
    <row r="251" spans="1:15" x14ac:dyDescent="0.2">
      <c r="A251" s="14">
        <v>43508</v>
      </c>
      <c r="B251">
        <v>1010</v>
      </c>
      <c r="C251">
        <v>1034.5</v>
      </c>
      <c r="D251">
        <v>1322</v>
      </c>
      <c r="E251">
        <v>1385</v>
      </c>
      <c r="F251">
        <v>0.746931407942238</v>
      </c>
      <c r="G251">
        <v>0.71948746088045901</v>
      </c>
      <c r="H251">
        <v>5.5603055621700398E-2</v>
      </c>
      <c r="I251">
        <v>0.49356904499090098</v>
      </c>
      <c r="J251">
        <v>3.67</v>
      </c>
      <c r="L251">
        <v>0.77509051650215943</v>
      </c>
      <c r="M251">
        <v>0.66388440525875858</v>
      </c>
      <c r="N251">
        <v>0.83069357212385975</v>
      </c>
      <c r="O251">
        <v>0.60828134963705827</v>
      </c>
    </row>
    <row r="252" spans="1:15" x14ac:dyDescent="0.2">
      <c r="A252" s="14">
        <v>43504</v>
      </c>
      <c r="B252">
        <v>1022.5</v>
      </c>
      <c r="C252">
        <v>1002.5</v>
      </c>
      <c r="D252">
        <v>1323</v>
      </c>
      <c r="E252">
        <v>1308</v>
      </c>
      <c r="F252">
        <v>0.76643730886850103</v>
      </c>
      <c r="G252">
        <v>0.71813544404829799</v>
      </c>
      <c r="H252">
        <v>5.61494318920688E-2</v>
      </c>
      <c r="I252">
        <v>0.86023781884471395</v>
      </c>
      <c r="J252">
        <v>6.3</v>
      </c>
      <c r="L252">
        <v>0.77428487594036677</v>
      </c>
      <c r="M252">
        <v>0.66198601215622921</v>
      </c>
      <c r="N252">
        <v>0.83043430783243555</v>
      </c>
      <c r="O252">
        <v>0.60583658026416043</v>
      </c>
    </row>
    <row r="253" spans="1:15" x14ac:dyDescent="0.2">
      <c r="A253" s="14">
        <v>43503</v>
      </c>
      <c r="B253">
        <v>1046</v>
      </c>
      <c r="C253">
        <v>1031.5</v>
      </c>
      <c r="D253">
        <v>1372</v>
      </c>
      <c r="E253">
        <v>1353</v>
      </c>
      <c r="F253">
        <v>0.76237989652623706</v>
      </c>
      <c r="G253">
        <v>0.71664577382184902</v>
      </c>
      <c r="H253">
        <v>5.6329971492775702E-2</v>
      </c>
      <c r="I253">
        <v>0.81189678411703303</v>
      </c>
      <c r="J253">
        <v>6</v>
      </c>
      <c r="L253">
        <v>0.77297574531462476</v>
      </c>
      <c r="M253">
        <v>0.66031580232907328</v>
      </c>
      <c r="N253">
        <v>0.82930571680740039</v>
      </c>
      <c r="O253">
        <v>0.60398583083629764</v>
      </c>
    </row>
    <row r="254" spans="1:15" x14ac:dyDescent="0.2">
      <c r="A254" s="14">
        <v>43502</v>
      </c>
      <c r="B254">
        <v>1043.5</v>
      </c>
      <c r="C254">
        <v>1064</v>
      </c>
      <c r="D254">
        <v>1378</v>
      </c>
      <c r="E254">
        <v>1374</v>
      </c>
      <c r="F254">
        <v>0.77438136826783099</v>
      </c>
      <c r="G254">
        <v>0.71513826198733799</v>
      </c>
      <c r="H254">
        <v>5.6598127432356503E-2</v>
      </c>
      <c r="I254">
        <v>1.0467326211683701</v>
      </c>
      <c r="J254">
        <v>7.65</v>
      </c>
      <c r="L254">
        <v>0.77173638941969447</v>
      </c>
      <c r="M254">
        <v>0.6585401345549815</v>
      </c>
      <c r="N254">
        <v>0.82833451685205095</v>
      </c>
      <c r="O254">
        <v>0.60194200712262502</v>
      </c>
    </row>
    <row r="255" spans="1:15" x14ac:dyDescent="0.2">
      <c r="A255" s="14">
        <v>43501</v>
      </c>
      <c r="B255">
        <v>1007</v>
      </c>
      <c r="C255">
        <v>1035</v>
      </c>
      <c r="D255">
        <v>1391</v>
      </c>
      <c r="E255">
        <v>1382</v>
      </c>
      <c r="F255">
        <v>0.74891461649782898</v>
      </c>
      <c r="G255">
        <v>0.71350283224951405</v>
      </c>
      <c r="H255">
        <v>5.6634749093904001E-2</v>
      </c>
      <c r="I255">
        <v>0.62526602156565403</v>
      </c>
      <c r="J255">
        <v>4.7300000000000004</v>
      </c>
      <c r="L255">
        <v>0.77013758134341803</v>
      </c>
      <c r="M255">
        <v>0.65686808315561007</v>
      </c>
      <c r="N255">
        <v>0.82677233043732201</v>
      </c>
      <c r="O255">
        <v>0.60023333406170609</v>
      </c>
    </row>
    <row r="256" spans="1:15" x14ac:dyDescent="0.2">
      <c r="A256" s="14">
        <v>43500</v>
      </c>
      <c r="B256">
        <v>1059.5</v>
      </c>
      <c r="C256">
        <v>1061</v>
      </c>
      <c r="D256">
        <v>1358</v>
      </c>
      <c r="E256">
        <v>1387</v>
      </c>
      <c r="F256">
        <v>0.76496034607065599</v>
      </c>
      <c r="G256">
        <v>0.71235081410377399</v>
      </c>
      <c r="H256">
        <v>5.6781278240945997E-2</v>
      </c>
      <c r="I256">
        <v>0.92652954629935502</v>
      </c>
      <c r="J256">
        <v>6.88</v>
      </c>
      <c r="L256">
        <v>0.76913209234472002</v>
      </c>
      <c r="M256">
        <v>0.65556953586282796</v>
      </c>
      <c r="N256">
        <v>0.82591337058566594</v>
      </c>
      <c r="O256">
        <v>0.59878825762188204</v>
      </c>
    </row>
    <row r="257" spans="1:15" x14ac:dyDescent="0.2">
      <c r="A257" s="14">
        <v>43497</v>
      </c>
      <c r="B257">
        <v>1058</v>
      </c>
      <c r="C257">
        <v>1052</v>
      </c>
      <c r="D257">
        <v>1343</v>
      </c>
      <c r="E257">
        <v>1340</v>
      </c>
      <c r="F257">
        <v>0.78507462686567098</v>
      </c>
      <c r="G257">
        <v>0.71081905169898296</v>
      </c>
      <c r="H257">
        <v>5.6890850416080399E-2</v>
      </c>
      <c r="I257">
        <v>1.3052287779776099</v>
      </c>
      <c r="J257">
        <v>9.4600000000000009</v>
      </c>
      <c r="L257">
        <v>0.7677099021150634</v>
      </c>
      <c r="M257">
        <v>0.65392820128290252</v>
      </c>
      <c r="N257">
        <v>0.82460075253114373</v>
      </c>
      <c r="O257">
        <v>0.59703735086682219</v>
      </c>
    </row>
    <row r="258" spans="1:15" x14ac:dyDescent="0.2">
      <c r="A258" s="14">
        <v>43496</v>
      </c>
      <c r="B258">
        <v>1070</v>
      </c>
      <c r="C258">
        <v>1062</v>
      </c>
      <c r="D258">
        <v>1359</v>
      </c>
      <c r="E258">
        <v>1347</v>
      </c>
      <c r="F258">
        <v>0.78841870824053395</v>
      </c>
      <c r="G258">
        <v>0.709091534278536</v>
      </c>
      <c r="H258">
        <v>5.6576078674130698E-2</v>
      </c>
      <c r="I258">
        <v>1.4021327709703899</v>
      </c>
      <c r="J258">
        <v>10.06</v>
      </c>
      <c r="L258">
        <v>0.76566761295266672</v>
      </c>
      <c r="M258">
        <v>0.65251545560440527</v>
      </c>
      <c r="N258">
        <v>0.82224369162679745</v>
      </c>
      <c r="O258">
        <v>0.59593937693027454</v>
      </c>
    </row>
    <row r="259" spans="1:15" x14ac:dyDescent="0.2">
      <c r="A259" s="14">
        <v>43495</v>
      </c>
      <c r="B259">
        <v>1058.5</v>
      </c>
      <c r="C259">
        <v>1051.5</v>
      </c>
      <c r="D259">
        <v>1339</v>
      </c>
      <c r="E259">
        <v>1338</v>
      </c>
      <c r="F259">
        <v>0.78587443946188296</v>
      </c>
      <c r="G259">
        <v>0.70753547922273496</v>
      </c>
      <c r="H259">
        <v>5.5974588170384101E-2</v>
      </c>
      <c r="I259">
        <v>1.39954509358224</v>
      </c>
      <c r="J259">
        <v>9.9700000000000006</v>
      </c>
      <c r="L259">
        <v>0.76351006739311911</v>
      </c>
      <c r="M259">
        <v>0.65156089105235082</v>
      </c>
      <c r="N259">
        <v>0.81948465556350314</v>
      </c>
      <c r="O259">
        <v>0.59558630288196679</v>
      </c>
    </row>
    <row r="260" spans="1:15" x14ac:dyDescent="0.2">
      <c r="A260" s="14">
        <v>43494</v>
      </c>
      <c r="B260">
        <v>1050</v>
      </c>
      <c r="C260">
        <v>1044</v>
      </c>
      <c r="D260">
        <v>1348</v>
      </c>
      <c r="E260">
        <v>1340</v>
      </c>
      <c r="F260">
        <v>0.77910447761194002</v>
      </c>
      <c r="G260">
        <v>0.705971649021226</v>
      </c>
      <c r="H260">
        <v>5.53995366354968E-2</v>
      </c>
      <c r="I260">
        <v>1.32009819995235</v>
      </c>
      <c r="J260">
        <v>9.39</v>
      </c>
      <c r="L260">
        <v>0.76137118565672279</v>
      </c>
      <c r="M260">
        <v>0.65057211238572921</v>
      </c>
      <c r="N260">
        <v>0.81677072229221959</v>
      </c>
      <c r="O260">
        <v>0.59517257575023241</v>
      </c>
    </row>
    <row r="261" spans="1:15" x14ac:dyDescent="0.2">
      <c r="A261" s="14">
        <v>43493</v>
      </c>
      <c r="B261">
        <v>1077</v>
      </c>
      <c r="C261">
        <v>1063</v>
      </c>
      <c r="D261">
        <v>1359</v>
      </c>
      <c r="E261">
        <v>1359</v>
      </c>
      <c r="F261">
        <v>0.78219278881530496</v>
      </c>
      <c r="G261">
        <v>0.70477864100588805</v>
      </c>
      <c r="H261">
        <v>5.4771656897217497E-2</v>
      </c>
      <c r="I261">
        <v>1.41339795425012</v>
      </c>
      <c r="J261">
        <v>9.9</v>
      </c>
      <c r="L261">
        <v>0.75955029790310558</v>
      </c>
      <c r="M261">
        <v>0.65000698410867053</v>
      </c>
      <c r="N261">
        <v>0.8143219548003231</v>
      </c>
      <c r="O261">
        <v>0.595235327211453</v>
      </c>
    </row>
    <row r="262" spans="1:15" x14ac:dyDescent="0.2">
      <c r="A262" s="14">
        <v>43490</v>
      </c>
      <c r="B262">
        <v>1053</v>
      </c>
      <c r="C262">
        <v>1071.5</v>
      </c>
      <c r="D262">
        <v>1361</v>
      </c>
      <c r="E262">
        <v>1367</v>
      </c>
      <c r="F262">
        <v>0.78383321141185003</v>
      </c>
      <c r="G262">
        <v>0.70382846049187098</v>
      </c>
      <c r="H262">
        <v>5.4033600217208599E-2</v>
      </c>
      <c r="I262">
        <v>1.4806481633348501</v>
      </c>
      <c r="J262">
        <v>10.210000000000001</v>
      </c>
      <c r="L262">
        <v>0.75786206070907958</v>
      </c>
      <c r="M262">
        <v>0.64979486027466238</v>
      </c>
      <c r="N262">
        <v>0.81189566092628818</v>
      </c>
      <c r="O262">
        <v>0.59576126005745378</v>
      </c>
    </row>
    <row r="263" spans="1:15" x14ac:dyDescent="0.2">
      <c r="A263" s="14">
        <v>43489</v>
      </c>
      <c r="B263">
        <v>1050</v>
      </c>
      <c r="C263">
        <v>1063</v>
      </c>
      <c r="D263">
        <v>1346</v>
      </c>
      <c r="E263">
        <v>1360</v>
      </c>
      <c r="F263">
        <v>0.78161764705882297</v>
      </c>
      <c r="G263">
        <v>0.70288679805092802</v>
      </c>
      <c r="H263">
        <v>5.3240707148336799E-2</v>
      </c>
      <c r="I263">
        <v>1.4787716622271501</v>
      </c>
      <c r="J263">
        <v>10.07</v>
      </c>
      <c r="L263">
        <v>0.75612750519926486</v>
      </c>
      <c r="M263">
        <v>0.64964609090259118</v>
      </c>
      <c r="N263">
        <v>0.80936821234760159</v>
      </c>
      <c r="O263">
        <v>0.59640538375425445</v>
      </c>
    </row>
    <row r="264" spans="1:15" x14ac:dyDescent="0.2">
      <c r="A264" s="14">
        <v>43488</v>
      </c>
      <c r="B264">
        <v>1059</v>
      </c>
      <c r="C264">
        <v>1057</v>
      </c>
      <c r="D264">
        <v>1340</v>
      </c>
      <c r="E264">
        <v>1353</v>
      </c>
      <c r="F264">
        <v>0.78122690317812205</v>
      </c>
      <c r="G264">
        <v>0.70177833960478797</v>
      </c>
      <c r="H264">
        <v>5.2449551741939902E-2</v>
      </c>
      <c r="I264">
        <v>1.51476153627077</v>
      </c>
      <c r="J264">
        <v>10.17</v>
      </c>
      <c r="L264">
        <v>0.75422789134672785</v>
      </c>
      <c r="M264">
        <v>0.64932878786284809</v>
      </c>
      <c r="N264">
        <v>0.80667744308866773</v>
      </c>
      <c r="O264">
        <v>0.59687923612090821</v>
      </c>
    </row>
    <row r="265" spans="1:15" x14ac:dyDescent="0.2">
      <c r="A265" s="14">
        <v>43487</v>
      </c>
      <c r="B265">
        <v>1108.5</v>
      </c>
      <c r="C265">
        <v>1064.5</v>
      </c>
      <c r="D265">
        <v>1393</v>
      </c>
      <c r="E265">
        <v>1356</v>
      </c>
      <c r="F265">
        <v>0.78502949852507298</v>
      </c>
      <c r="G265">
        <v>0.70077353645130203</v>
      </c>
      <c r="H265">
        <v>5.1633397306496201E-2</v>
      </c>
      <c r="I265">
        <v>1.6318113172686901</v>
      </c>
      <c r="J265">
        <v>10.73</v>
      </c>
      <c r="L265">
        <v>0.75240693375779821</v>
      </c>
      <c r="M265">
        <v>0.64914013914480584</v>
      </c>
      <c r="N265">
        <v>0.8040403310642944</v>
      </c>
      <c r="O265">
        <v>0.59750674183830965</v>
      </c>
    </row>
    <row r="266" spans="1:15" x14ac:dyDescent="0.2">
      <c r="A266" s="14">
        <v>43486</v>
      </c>
      <c r="B266">
        <v>1105</v>
      </c>
      <c r="C266">
        <v>1093.5</v>
      </c>
      <c r="D266">
        <v>1404</v>
      </c>
      <c r="E266">
        <v>1402</v>
      </c>
      <c r="F266">
        <v>0.77995720399429302</v>
      </c>
      <c r="G266">
        <v>0.69992172278524301</v>
      </c>
      <c r="H266">
        <v>5.0755889905826697E-2</v>
      </c>
      <c r="I266">
        <v>1.57687080962524</v>
      </c>
      <c r="J266">
        <v>10.26</v>
      </c>
      <c r="L266">
        <v>0.7506776126910697</v>
      </c>
      <c r="M266">
        <v>0.64916583287941632</v>
      </c>
      <c r="N266">
        <v>0.80143350259689639</v>
      </c>
      <c r="O266">
        <v>0.59840994297358963</v>
      </c>
    </row>
    <row r="267" spans="1:15" x14ac:dyDescent="0.2">
      <c r="A267" s="14">
        <v>43483</v>
      </c>
      <c r="B267">
        <v>1051.5</v>
      </c>
      <c r="C267">
        <v>1058.5</v>
      </c>
      <c r="D267">
        <v>1384</v>
      </c>
      <c r="E267">
        <v>1384</v>
      </c>
      <c r="F267">
        <v>0.76481213872832299</v>
      </c>
      <c r="G267">
        <v>0.69910140900866802</v>
      </c>
      <c r="H267">
        <v>4.9946447637866098E-2</v>
      </c>
      <c r="I267">
        <v>1.3156236895181599</v>
      </c>
      <c r="J267">
        <v>8.59</v>
      </c>
      <c r="L267">
        <v>0.74904785664653417</v>
      </c>
      <c r="M267">
        <v>0.64915496137080186</v>
      </c>
      <c r="N267">
        <v>0.79899430428440021</v>
      </c>
      <c r="O267">
        <v>0.59920851373293582</v>
      </c>
    </row>
    <row r="268" spans="1:15" x14ac:dyDescent="0.2">
      <c r="A268" s="14">
        <v>43482</v>
      </c>
      <c r="B268">
        <v>1054.5</v>
      </c>
      <c r="C268">
        <v>1045</v>
      </c>
      <c r="D268">
        <v>1382</v>
      </c>
      <c r="E268">
        <v>1371</v>
      </c>
      <c r="F268">
        <v>0.76221735959153902</v>
      </c>
      <c r="G268">
        <v>0.698563345623753</v>
      </c>
      <c r="H268">
        <v>4.9450565816616297E-2</v>
      </c>
      <c r="I268">
        <v>1.2872251897752001</v>
      </c>
      <c r="J268">
        <v>8.35</v>
      </c>
      <c r="L268">
        <v>0.74801391144036933</v>
      </c>
      <c r="M268">
        <v>0.64911277980713666</v>
      </c>
      <c r="N268">
        <v>0.79746447725698555</v>
      </c>
      <c r="O268">
        <v>0.59966221399052044</v>
      </c>
    </row>
    <row r="269" spans="1:15" x14ac:dyDescent="0.2">
      <c r="A269" s="14">
        <v>43481</v>
      </c>
      <c r="B269">
        <v>1050.5</v>
      </c>
      <c r="C269">
        <v>1045.5</v>
      </c>
      <c r="D269">
        <v>1369</v>
      </c>
      <c r="E269">
        <v>1358</v>
      </c>
      <c r="F269">
        <v>0.76988217967599404</v>
      </c>
      <c r="G269">
        <v>0.69819782960094101</v>
      </c>
      <c r="H269">
        <v>4.9078629573342698E-2</v>
      </c>
      <c r="I269">
        <v>1.4606021133481</v>
      </c>
      <c r="J269">
        <v>9.31</v>
      </c>
      <c r="L269">
        <v>0.74727645917428376</v>
      </c>
      <c r="M269">
        <v>0.64911920002759826</v>
      </c>
      <c r="N269">
        <v>0.79635508874762639</v>
      </c>
      <c r="O269">
        <v>0.60004057045425563</v>
      </c>
    </row>
    <row r="270" spans="1:15" x14ac:dyDescent="0.2">
      <c r="A270" s="14">
        <v>43480</v>
      </c>
      <c r="B270">
        <v>1049</v>
      </c>
      <c r="C270">
        <v>1042.5</v>
      </c>
      <c r="D270">
        <v>1334</v>
      </c>
      <c r="E270">
        <v>1368</v>
      </c>
      <c r="F270">
        <v>0.76206140350877105</v>
      </c>
      <c r="G270">
        <v>0.697858659797853</v>
      </c>
      <c r="H270">
        <v>4.86682465524775E-2</v>
      </c>
      <c r="I270">
        <v>1.3191916343583501</v>
      </c>
      <c r="J270">
        <v>8.42</v>
      </c>
      <c r="L270">
        <v>0.74652690635033048</v>
      </c>
      <c r="M270">
        <v>0.64919041324537552</v>
      </c>
      <c r="N270">
        <v>0.79519515290280796</v>
      </c>
      <c r="O270">
        <v>0.60052216669289804</v>
      </c>
    </row>
    <row r="271" spans="1:15" x14ac:dyDescent="0.2">
      <c r="A271" s="14">
        <v>43476</v>
      </c>
      <c r="B271">
        <v>1050.5</v>
      </c>
      <c r="C271">
        <v>1067</v>
      </c>
      <c r="D271">
        <v>1345</v>
      </c>
      <c r="E271">
        <v>1342</v>
      </c>
      <c r="F271">
        <v>0.79508196721311397</v>
      </c>
      <c r="G271">
        <v>0.69775193546977898</v>
      </c>
      <c r="H271">
        <v>4.8535936162904997E-2</v>
      </c>
      <c r="I271">
        <v>2.0053189335147201</v>
      </c>
      <c r="J271">
        <v>12.24</v>
      </c>
      <c r="L271">
        <v>0.74628787163268395</v>
      </c>
      <c r="M271">
        <v>0.64921599930687401</v>
      </c>
      <c r="N271">
        <v>0.79482380779558892</v>
      </c>
      <c r="O271">
        <v>0.60068006314396905</v>
      </c>
    </row>
    <row r="272" spans="1:15" x14ac:dyDescent="0.2">
      <c r="A272" s="14">
        <v>43475</v>
      </c>
      <c r="B272">
        <v>1045</v>
      </c>
      <c r="C272">
        <v>1039.5</v>
      </c>
      <c r="D272">
        <v>1306</v>
      </c>
      <c r="E272">
        <v>1331</v>
      </c>
      <c r="F272">
        <v>0.78099173553719003</v>
      </c>
      <c r="G272">
        <v>0.69737280744524999</v>
      </c>
      <c r="H272">
        <v>4.78808169338205E-2</v>
      </c>
      <c r="I272">
        <v>1.7463972723672301</v>
      </c>
      <c r="J272">
        <v>10.71</v>
      </c>
      <c r="L272">
        <v>0.7452536243790705</v>
      </c>
      <c r="M272">
        <v>0.64949199051142947</v>
      </c>
      <c r="N272">
        <v>0.79313444131289101</v>
      </c>
      <c r="O272">
        <v>0.60161117357760896</v>
      </c>
    </row>
    <row r="273" spans="1:15" x14ac:dyDescent="0.2">
      <c r="A273" s="14">
        <v>43474</v>
      </c>
      <c r="B273">
        <v>1033.5</v>
      </c>
      <c r="C273">
        <v>1045</v>
      </c>
      <c r="D273">
        <v>1332</v>
      </c>
      <c r="E273">
        <v>1334</v>
      </c>
      <c r="F273">
        <v>0.78335832083958001</v>
      </c>
      <c r="G273">
        <v>0.69732366197465701</v>
      </c>
      <c r="H273">
        <v>4.7796782084420897E-2</v>
      </c>
      <c r="I273">
        <v>1.8000094381450999</v>
      </c>
      <c r="J273">
        <v>10.98</v>
      </c>
      <c r="L273">
        <v>0.74512044405907796</v>
      </c>
      <c r="M273">
        <v>0.64952687989023605</v>
      </c>
      <c r="N273">
        <v>0.7929172261434988</v>
      </c>
      <c r="O273">
        <v>0.60173009780581521</v>
      </c>
    </row>
    <row r="274" spans="1:15" x14ac:dyDescent="0.2">
      <c r="A274" s="14">
        <v>43473</v>
      </c>
      <c r="B274">
        <v>1009.5</v>
      </c>
      <c r="C274">
        <v>1012.5</v>
      </c>
      <c r="D274">
        <v>1312</v>
      </c>
      <c r="E274">
        <v>1320</v>
      </c>
      <c r="F274">
        <v>0.76704545454545403</v>
      </c>
      <c r="G274">
        <v>0.69717486313464105</v>
      </c>
      <c r="H274">
        <v>4.7545421480511198E-2</v>
      </c>
      <c r="I274">
        <v>1.46955456982231</v>
      </c>
      <c r="J274">
        <v>9.11</v>
      </c>
      <c r="L274">
        <v>0.74472028461515227</v>
      </c>
      <c r="M274">
        <v>0.64962944165412984</v>
      </c>
      <c r="N274">
        <v>0.79226570609566349</v>
      </c>
      <c r="O274">
        <v>0.60208402017361862</v>
      </c>
    </row>
    <row r="275" spans="1:15" x14ac:dyDescent="0.2">
      <c r="A275" s="14">
        <v>43472</v>
      </c>
      <c r="B275">
        <v>994.8</v>
      </c>
      <c r="C275">
        <v>1004</v>
      </c>
      <c r="D275">
        <v>1310</v>
      </c>
      <c r="E275">
        <v>1302</v>
      </c>
      <c r="F275">
        <v>0.77112135176651297</v>
      </c>
      <c r="G275">
        <v>0.697255472180767</v>
      </c>
      <c r="H275">
        <v>4.7668777472961797E-2</v>
      </c>
      <c r="I275">
        <v>1.54956521860966</v>
      </c>
      <c r="J275">
        <v>9.58</v>
      </c>
      <c r="L275">
        <v>0.74492424965372883</v>
      </c>
      <c r="M275">
        <v>0.64958669470780517</v>
      </c>
      <c r="N275">
        <v>0.79259302712669055</v>
      </c>
      <c r="O275">
        <v>0.60191791723484345</v>
      </c>
    </row>
    <row r="276" spans="1:15" x14ac:dyDescent="0.2">
      <c r="A276" s="14">
        <v>43469</v>
      </c>
      <c r="B276">
        <v>960</v>
      </c>
      <c r="C276">
        <v>956.1</v>
      </c>
      <c r="D276">
        <v>1255</v>
      </c>
      <c r="E276">
        <v>1247</v>
      </c>
      <c r="F276">
        <v>0.76672012830793901</v>
      </c>
      <c r="G276">
        <v>0.69732526589802202</v>
      </c>
      <c r="H276">
        <v>4.7780577230246903E-2</v>
      </c>
      <c r="I276">
        <v>1.45236550984961</v>
      </c>
      <c r="J276">
        <v>9.0500000000000007</v>
      </c>
      <c r="L276">
        <v>0.74510584312826889</v>
      </c>
      <c r="M276">
        <v>0.64954468866777515</v>
      </c>
      <c r="N276">
        <v>0.79288642035851586</v>
      </c>
      <c r="O276">
        <v>0.60176411143752817</v>
      </c>
    </row>
    <row r="277" spans="1:15" x14ac:dyDescent="0.2">
      <c r="A277" s="14">
        <v>43462</v>
      </c>
      <c r="B277">
        <v>982.5</v>
      </c>
      <c r="C277">
        <v>990.6</v>
      </c>
      <c r="D277">
        <v>1266</v>
      </c>
      <c r="E277">
        <v>1279</v>
      </c>
      <c r="F277">
        <v>0.77451133698201702</v>
      </c>
      <c r="G277">
        <v>0.69731647226805804</v>
      </c>
      <c r="H277">
        <v>4.7767863854680903E-2</v>
      </c>
      <c r="I277">
        <v>1.61604180058796</v>
      </c>
      <c r="J277">
        <v>9.9700000000000006</v>
      </c>
      <c r="L277">
        <v>0.74508433612273894</v>
      </c>
      <c r="M277">
        <v>0.64954860841337714</v>
      </c>
      <c r="N277">
        <v>0.79285219997741985</v>
      </c>
      <c r="O277">
        <v>0.60178074455869623</v>
      </c>
    </row>
    <row r="278" spans="1:15" x14ac:dyDescent="0.2">
      <c r="A278" s="14">
        <v>43461</v>
      </c>
      <c r="B278">
        <v>983</v>
      </c>
      <c r="C278">
        <v>989.1</v>
      </c>
      <c r="D278">
        <v>1294</v>
      </c>
      <c r="E278">
        <v>1282</v>
      </c>
      <c r="F278">
        <v>0.77152886115444597</v>
      </c>
      <c r="G278">
        <v>0.69751010053828499</v>
      </c>
      <c r="H278">
        <v>4.8108600422477901E-2</v>
      </c>
      <c r="I278">
        <v>1.5385764700312601</v>
      </c>
      <c r="J278">
        <v>9.59</v>
      </c>
      <c r="L278">
        <v>0.74561870096076288</v>
      </c>
      <c r="M278">
        <v>0.64940150011580711</v>
      </c>
      <c r="N278">
        <v>0.79372730138324077</v>
      </c>
      <c r="O278">
        <v>0.60129289969332922</v>
      </c>
    </row>
    <row r="279" spans="1:15" x14ac:dyDescent="0.2">
      <c r="A279" s="14">
        <v>43460</v>
      </c>
      <c r="B279">
        <v>930</v>
      </c>
      <c r="C279">
        <v>938</v>
      </c>
      <c r="D279">
        <v>1246</v>
      </c>
      <c r="E279">
        <v>1234</v>
      </c>
      <c r="F279">
        <v>0.76012965964343504</v>
      </c>
      <c r="G279">
        <v>0.69787571531111603</v>
      </c>
      <c r="H279">
        <v>4.87693964213387E-2</v>
      </c>
      <c r="I279">
        <v>1.2764961000231101</v>
      </c>
      <c r="J279">
        <v>8.19</v>
      </c>
      <c r="L279">
        <v>0.74664511173245474</v>
      </c>
      <c r="M279">
        <v>0.64910631888977732</v>
      </c>
      <c r="N279">
        <v>0.79541450815379344</v>
      </c>
      <c r="O279">
        <v>0.60033692246843862</v>
      </c>
    </row>
    <row r="280" spans="1:15" x14ac:dyDescent="0.2">
      <c r="A280" s="14">
        <v>43459</v>
      </c>
      <c r="B280">
        <v>930</v>
      </c>
      <c r="C280">
        <v>920</v>
      </c>
      <c r="D280">
        <v>1272</v>
      </c>
      <c r="E280">
        <v>1250</v>
      </c>
      <c r="F280">
        <v>0.73599999999999999</v>
      </c>
      <c r="G280">
        <v>0.69840001613648195</v>
      </c>
      <c r="H280">
        <v>4.9639455843097098E-2</v>
      </c>
      <c r="I280">
        <v>0.75746164467163002</v>
      </c>
      <c r="J280">
        <v>5.1100000000000003</v>
      </c>
      <c r="L280">
        <v>0.7480394719795791</v>
      </c>
      <c r="M280">
        <v>0.6487605602933848</v>
      </c>
      <c r="N280">
        <v>0.79767892782267613</v>
      </c>
      <c r="O280">
        <v>0.59912110445028777</v>
      </c>
    </row>
    <row r="281" spans="1:15" x14ac:dyDescent="0.2">
      <c r="A281" s="14">
        <v>43455</v>
      </c>
      <c r="B281">
        <v>981.1</v>
      </c>
      <c r="C281">
        <v>974.2</v>
      </c>
      <c r="D281">
        <v>1353</v>
      </c>
      <c r="E281">
        <v>1324</v>
      </c>
      <c r="F281">
        <v>0.73580060422960702</v>
      </c>
      <c r="G281">
        <v>0.69912509780617405</v>
      </c>
      <c r="H281">
        <v>5.0571797557636002E-2</v>
      </c>
      <c r="I281">
        <v>0.72521658700452996</v>
      </c>
      <c r="J281">
        <v>4.9800000000000004</v>
      </c>
      <c r="L281">
        <v>0.74969689536381001</v>
      </c>
      <c r="M281">
        <v>0.64855330024853808</v>
      </c>
      <c r="N281">
        <v>0.80026869292144609</v>
      </c>
      <c r="O281">
        <v>0.597981502690902</v>
      </c>
    </row>
    <row r="282" spans="1:15" x14ac:dyDescent="0.2">
      <c r="A282" s="14">
        <v>43454</v>
      </c>
      <c r="B282">
        <v>1035</v>
      </c>
      <c r="C282">
        <v>1003</v>
      </c>
      <c r="D282">
        <v>1402</v>
      </c>
      <c r="E282">
        <v>1373</v>
      </c>
      <c r="F282">
        <v>0.73051711580480605</v>
      </c>
      <c r="G282">
        <v>0.69996094876287096</v>
      </c>
      <c r="H282">
        <v>5.1677046038713197E-2</v>
      </c>
      <c r="I282">
        <v>0.59129089962001602</v>
      </c>
      <c r="J282">
        <v>4.18</v>
      </c>
      <c r="L282">
        <v>0.75163799480158411</v>
      </c>
      <c r="M282">
        <v>0.64828390272415781</v>
      </c>
      <c r="N282">
        <v>0.80331504084029737</v>
      </c>
      <c r="O282">
        <v>0.59660685668544455</v>
      </c>
    </row>
    <row r="283" spans="1:15" x14ac:dyDescent="0.2">
      <c r="A283" s="14"/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P782"/>
  <sheetViews>
    <sheetView showGridLines="0" zoomScaleNormal="100" workbookViewId="0">
      <selection activeCell="E35" sqref="E35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6" s="106" customFormat="1" ht="18.75" customHeight="1" x14ac:dyDescent="0.2">
      <c r="E1" s="268">
        <v>13</v>
      </c>
      <c r="F1" s="269" t="s">
        <v>2167</v>
      </c>
      <c r="G1" s="270">
        <v>14</v>
      </c>
      <c r="N1" s="253" t="s">
        <v>2166</v>
      </c>
      <c r="O1" s="254" t="s">
        <v>2164</v>
      </c>
      <c r="P1" s="255" t="s">
        <v>2165</v>
      </c>
    </row>
    <row r="2" spans="1:16" s="106" customFormat="1" x14ac:dyDescent="0.2">
      <c r="B2" s="211"/>
      <c r="C2" s="209" t="s">
        <v>1711</v>
      </c>
      <c r="D2" s="209" t="s">
        <v>1712</v>
      </c>
      <c r="E2" s="209" t="s">
        <v>1713</v>
      </c>
      <c r="F2" s="209" t="s">
        <v>1714</v>
      </c>
      <c r="G2" s="210" t="s">
        <v>1718</v>
      </c>
      <c r="H2" s="210" t="s">
        <v>1715</v>
      </c>
      <c r="I2" s="210" t="s">
        <v>911</v>
      </c>
      <c r="J2" s="256" t="s">
        <v>1721</v>
      </c>
      <c r="K2" s="257"/>
      <c r="M2" s="249" t="s">
        <v>2156</v>
      </c>
      <c r="N2" s="251">
        <v>-2.8140612143613999</v>
      </c>
      <c r="O2" s="247">
        <f>MAX(I42:I1000)</f>
        <v>1.97404281422524</v>
      </c>
      <c r="P2" s="248">
        <f>MIN(I42:I1000)</f>
        <v>-2.8140612143613999</v>
      </c>
    </row>
    <row r="3" spans="1:16" s="106" customFormat="1" x14ac:dyDescent="0.2">
      <c r="B3" s="212" t="s">
        <v>1722</v>
      </c>
      <c r="C3" s="259">
        <v>8795</v>
      </c>
      <c r="D3" s="260" t="s">
        <v>2229</v>
      </c>
      <c r="E3" s="259" t="s">
        <v>2231</v>
      </c>
      <c r="F3" s="259">
        <v>1433</v>
      </c>
      <c r="G3" s="259">
        <v>700</v>
      </c>
      <c r="H3" s="259"/>
      <c r="I3" s="261">
        <v>0.05</v>
      </c>
      <c r="J3" s="262">
        <v>1003100</v>
      </c>
      <c r="K3" s="258"/>
      <c r="M3" s="249" t="s">
        <v>2157</v>
      </c>
      <c r="N3" s="251">
        <v>-8.11</v>
      </c>
      <c r="O3" s="248">
        <f>MAX(J42:J1000)</f>
        <v>5.52</v>
      </c>
      <c r="P3" s="248">
        <f>MIN(J42:J1000)</f>
        <v>-8.11</v>
      </c>
    </row>
    <row r="4" spans="1:16" s="106" customFormat="1" x14ac:dyDescent="0.2">
      <c r="B4" s="213" t="s">
        <v>1723</v>
      </c>
      <c r="C4" s="263">
        <v>6752</v>
      </c>
      <c r="D4" s="263" t="s">
        <v>2230</v>
      </c>
      <c r="E4" s="263" t="s">
        <v>2232</v>
      </c>
      <c r="F4" s="263">
        <v>1016.5</v>
      </c>
      <c r="G4" s="263">
        <v>1000</v>
      </c>
      <c r="H4" s="263"/>
      <c r="I4" s="264"/>
      <c r="J4" s="265">
        <v>1016500</v>
      </c>
      <c r="K4" s="258"/>
      <c r="M4" s="250" t="s">
        <v>2158</v>
      </c>
      <c r="N4" s="251">
        <v>1.34</v>
      </c>
      <c r="O4" s="271"/>
      <c r="P4" s="272"/>
    </row>
    <row r="5" spans="1:16" s="106" customFormat="1" x14ac:dyDescent="0.2">
      <c r="M5" s="250" t="s">
        <v>2160</v>
      </c>
      <c r="N5" s="251">
        <v>0.90524543736923602</v>
      </c>
      <c r="O5" s="271"/>
      <c r="P5" s="272"/>
    </row>
    <row r="6" spans="1:16" s="106" customFormat="1" ht="15" thickBot="1" x14ac:dyDescent="0.25">
      <c r="M6" s="250" t="s">
        <v>2161</v>
      </c>
      <c r="N6" s="251">
        <v>0.91052373189302604</v>
      </c>
      <c r="O6" s="271"/>
      <c r="P6" s="272"/>
    </row>
    <row r="7" spans="1:16" s="106" customFormat="1" x14ac:dyDescent="0.2">
      <c r="A7" s="10"/>
      <c r="B7" s="94"/>
      <c r="C7" s="95"/>
      <c r="D7" s="95"/>
      <c r="E7" s="95"/>
      <c r="F7" s="95"/>
      <c r="G7" s="95"/>
      <c r="H7" s="96"/>
      <c r="M7" s="250" t="s">
        <v>2162</v>
      </c>
      <c r="N7" s="251">
        <v>4.6756204401709599E-2</v>
      </c>
      <c r="O7" s="271"/>
      <c r="P7" s="272"/>
    </row>
    <row r="8" spans="1:16" s="106" customFormat="1" ht="15" thickBot="1" x14ac:dyDescent="0.25">
      <c r="A8" s="10"/>
      <c r="B8" s="97"/>
      <c r="C8" s="10"/>
      <c r="D8" s="10"/>
      <c r="E8" s="10"/>
      <c r="F8" s="10"/>
      <c r="G8" s="10"/>
      <c r="H8" s="98"/>
      <c r="M8" s="250" t="s">
        <v>2163</v>
      </c>
      <c r="N8" s="252">
        <v>6.1995489679687E-3</v>
      </c>
      <c r="O8" s="273"/>
      <c r="P8" s="274"/>
    </row>
    <row r="9" spans="1:16" s="106" customFormat="1" x14ac:dyDescent="0.2">
      <c r="A9" s="204" t="s">
        <v>1720</v>
      </c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 x14ac:dyDescent="0.25">
      <c r="A10" s="276" t="s">
        <v>2152</v>
      </c>
      <c r="B10" s="97"/>
      <c r="C10" s="10"/>
      <c r="D10" s="10"/>
      <c r="E10" s="197"/>
      <c r="F10" s="198"/>
      <c r="G10" s="198"/>
      <c r="H10" s="214"/>
      <c r="I10" s="200"/>
      <c r="J10" s="200"/>
      <c r="K10" s="199"/>
    </row>
    <row r="11" spans="1:16" x14ac:dyDescent="0.2">
      <c r="A11" s="207" t="s">
        <v>1708</v>
      </c>
      <c r="B11" s="197"/>
      <c r="C11" s="351"/>
      <c r="D11" s="352"/>
      <c r="E11" s="197"/>
      <c r="F11" s="197"/>
      <c r="G11" s="198"/>
      <c r="H11" s="204"/>
      <c r="I11" s="197"/>
      <c r="J11" s="201"/>
      <c r="K11" s="202"/>
      <c r="L11" s="95"/>
      <c r="M11" s="95"/>
      <c r="N11" s="95"/>
      <c r="O11" s="95"/>
      <c r="P11" s="96"/>
    </row>
    <row r="12" spans="1:16" x14ac:dyDescent="0.2">
      <c r="A12" s="275">
        <v>1433</v>
      </c>
      <c r="B12" s="197"/>
      <c r="C12" s="351"/>
      <c r="D12" s="352"/>
      <c r="E12" s="197"/>
      <c r="F12" s="197"/>
      <c r="G12" s="197"/>
      <c r="H12" s="204"/>
      <c r="I12" s="197"/>
      <c r="J12" s="203"/>
      <c r="K12" s="10"/>
      <c r="L12" s="10"/>
      <c r="M12" s="10"/>
      <c r="N12" s="10"/>
      <c r="O12" s="10"/>
      <c r="P12" s="98"/>
    </row>
    <row r="13" spans="1:16" x14ac:dyDescent="0.2">
      <c r="A13" s="207" t="s">
        <v>1709</v>
      </c>
      <c r="B13" s="197"/>
      <c r="C13" s="351"/>
      <c r="D13" s="352"/>
      <c r="E13" s="197"/>
      <c r="F13" s="197"/>
      <c r="G13" s="197"/>
      <c r="H13" s="204"/>
      <c r="I13" s="197"/>
      <c r="J13" s="203"/>
      <c r="K13" s="10"/>
      <c r="L13" s="10"/>
      <c r="M13" s="10"/>
      <c r="N13" s="10"/>
      <c r="O13" s="10"/>
      <c r="P13" s="98"/>
    </row>
    <row r="14" spans="1:16" x14ac:dyDescent="0.2">
      <c r="A14" s="275">
        <v>1112.956307416536</v>
      </c>
      <c r="B14" s="197"/>
      <c r="C14" s="351"/>
      <c r="D14" s="352"/>
      <c r="E14" s="197"/>
      <c r="F14" s="197"/>
      <c r="G14" s="197"/>
      <c r="H14" s="204"/>
      <c r="I14" s="197"/>
      <c r="J14" s="203"/>
      <c r="K14" s="10"/>
      <c r="L14" s="10"/>
      <c r="M14" s="10"/>
      <c r="N14" s="10"/>
      <c r="O14" s="10"/>
      <c r="P14" s="98"/>
    </row>
    <row r="15" spans="1:16" x14ac:dyDescent="0.2">
      <c r="A15" s="207" t="s">
        <v>1719</v>
      </c>
      <c r="B15" s="197"/>
      <c r="C15" s="351"/>
      <c r="D15" s="352"/>
      <c r="E15" s="197"/>
      <c r="F15" s="197"/>
      <c r="G15" s="197"/>
      <c r="H15" s="204"/>
      <c r="I15" s="197"/>
      <c r="J15" s="203"/>
      <c r="K15" s="10"/>
      <c r="L15" s="10"/>
      <c r="M15" s="10"/>
      <c r="N15" s="10"/>
      <c r="O15" s="10"/>
      <c r="P15" s="98"/>
    </row>
    <row r="16" spans="1:16" x14ac:dyDescent="0.2">
      <c r="A16" s="275">
        <v>1.2917320188214205</v>
      </c>
      <c r="B16" s="197"/>
      <c r="C16" s="351"/>
      <c r="D16" s="352"/>
      <c r="E16" s="197"/>
      <c r="F16" s="197"/>
      <c r="G16" s="197"/>
      <c r="H16" s="204"/>
      <c r="I16" s="197"/>
      <c r="J16" s="203"/>
      <c r="K16" s="10"/>
      <c r="L16" s="10"/>
      <c r="M16" s="10"/>
      <c r="N16" s="10"/>
      <c r="O16" s="10"/>
      <c r="P16" s="98"/>
    </row>
    <row r="17" spans="1:16" x14ac:dyDescent="0.2">
      <c r="A17" s="277"/>
      <c r="B17" s="197"/>
      <c r="C17" s="351"/>
      <c r="D17" s="352"/>
      <c r="E17" s="197"/>
      <c r="F17" s="197"/>
      <c r="G17" s="197"/>
      <c r="H17" s="204"/>
      <c r="I17" s="197"/>
      <c r="J17" s="203"/>
      <c r="K17" s="196"/>
      <c r="L17" s="10"/>
      <c r="M17" s="10"/>
      <c r="N17" s="10"/>
      <c r="O17" s="10"/>
      <c r="P17" s="98"/>
    </row>
    <row r="18" spans="1:16" x14ac:dyDescent="0.2">
      <c r="A18" s="278"/>
      <c r="B18" s="197"/>
      <c r="C18" s="351"/>
      <c r="D18" s="352"/>
      <c r="E18" s="197"/>
      <c r="F18" s="197"/>
      <c r="G18" s="197"/>
      <c r="H18" s="204"/>
      <c r="I18" s="197"/>
      <c r="J18" s="203"/>
      <c r="K18" s="196"/>
      <c r="L18" s="10"/>
      <c r="M18" s="10"/>
      <c r="N18" s="10"/>
      <c r="O18" s="10"/>
      <c r="P18" s="98"/>
    </row>
    <row r="19" spans="1:16" x14ac:dyDescent="0.2">
      <c r="A19" s="197"/>
      <c r="B19" s="203"/>
      <c r="C19" s="351"/>
      <c r="D19" s="352"/>
      <c r="E19" s="197"/>
      <c r="F19" s="197"/>
      <c r="G19" s="197"/>
      <c r="H19" s="204"/>
      <c r="I19" s="197"/>
      <c r="J19" s="203"/>
      <c r="K19" s="196"/>
      <c r="L19" s="10"/>
      <c r="M19" s="10"/>
      <c r="N19" s="10"/>
      <c r="O19" s="10"/>
      <c r="P19" s="98"/>
    </row>
    <row r="20" spans="1:16" x14ac:dyDescent="0.2">
      <c r="A20" s="197"/>
      <c r="B20" s="203"/>
      <c r="C20" s="197"/>
      <c r="D20" s="197"/>
      <c r="E20" s="197"/>
      <c r="F20" s="197"/>
      <c r="G20" s="197"/>
      <c r="H20" s="204"/>
      <c r="I20" s="197"/>
      <c r="J20" s="203"/>
      <c r="K20" s="196"/>
      <c r="L20" s="10"/>
      <c r="M20" s="10"/>
      <c r="N20" s="10"/>
      <c r="O20" s="10"/>
      <c r="P20" s="98"/>
    </row>
    <row r="21" spans="1:16" x14ac:dyDescent="0.2">
      <c r="A21" s="197"/>
      <c r="B21" s="203"/>
      <c r="C21" s="197"/>
      <c r="E21" s="197"/>
      <c r="F21" s="197"/>
      <c r="G21" s="197"/>
      <c r="H21" s="204"/>
      <c r="I21" s="197"/>
      <c r="J21" s="203"/>
      <c r="K21" s="10"/>
      <c r="L21" s="10"/>
      <c r="M21" s="10"/>
      <c r="N21" s="10"/>
      <c r="O21" s="10"/>
      <c r="P21" s="98"/>
    </row>
    <row r="22" spans="1:16" x14ac:dyDescent="0.2">
      <c r="A22" s="197"/>
      <c r="B22" s="203"/>
      <c r="C22" s="197"/>
      <c r="D22" s="197"/>
      <c r="E22" s="197"/>
      <c r="F22" s="197"/>
      <c r="G22" s="197"/>
      <c r="H22" s="204"/>
      <c r="I22" s="197"/>
      <c r="J22" s="203"/>
      <c r="K22" s="10"/>
      <c r="L22" s="10"/>
      <c r="M22" s="10"/>
      <c r="N22" s="10"/>
      <c r="O22" s="10"/>
      <c r="P22" s="98"/>
    </row>
    <row r="23" spans="1:16" x14ac:dyDescent="0.2">
      <c r="A23" s="197"/>
      <c r="B23" s="203"/>
      <c r="C23" s="197"/>
      <c r="D23" s="197"/>
      <c r="E23" s="197"/>
      <c r="F23" s="197"/>
      <c r="G23" s="197"/>
      <c r="H23" s="204"/>
      <c r="I23" s="197"/>
      <c r="J23" s="203"/>
      <c r="K23" s="10"/>
      <c r="L23" s="10"/>
      <c r="M23" s="10"/>
      <c r="N23" s="10"/>
      <c r="O23" s="10"/>
      <c r="P23" s="98"/>
    </row>
    <row r="24" spans="1:16" x14ac:dyDescent="0.2">
      <c r="A24" s="197"/>
      <c r="B24" s="203"/>
      <c r="C24" s="197"/>
      <c r="D24" s="197"/>
      <c r="E24" s="197"/>
      <c r="F24" s="197"/>
      <c r="G24" s="197"/>
      <c r="H24" s="204"/>
      <c r="I24" s="197"/>
      <c r="J24" s="203"/>
      <c r="K24" s="10"/>
      <c r="L24" s="10"/>
      <c r="M24" s="10"/>
      <c r="N24" s="10"/>
      <c r="O24" s="10"/>
      <c r="P24" s="98"/>
    </row>
    <row r="25" spans="1:16" x14ac:dyDescent="0.2">
      <c r="A25" s="197"/>
      <c r="B25" s="203"/>
      <c r="C25" s="198"/>
      <c r="D25" s="198"/>
      <c r="E25" s="198"/>
      <c r="F25" s="197"/>
      <c r="G25" s="197"/>
      <c r="H25" s="204"/>
      <c r="I25" s="197"/>
      <c r="J25" s="203"/>
      <c r="K25" s="10"/>
      <c r="L25" s="10"/>
      <c r="M25" s="10"/>
      <c r="N25" s="10"/>
      <c r="O25" s="10"/>
      <c r="P25" s="98"/>
    </row>
    <row r="26" spans="1:16" x14ac:dyDescent="0.2">
      <c r="A26" s="197"/>
      <c r="B26" s="203"/>
      <c r="C26" s="197"/>
      <c r="D26" s="197"/>
      <c r="E26" s="197"/>
      <c r="F26" s="197"/>
      <c r="G26" s="197"/>
      <c r="H26" s="204"/>
      <c r="I26" s="197"/>
      <c r="J26" s="203"/>
      <c r="K26" s="10"/>
      <c r="L26" s="10"/>
      <c r="M26" s="10"/>
      <c r="N26" s="10"/>
      <c r="O26" s="10"/>
      <c r="P26" s="98"/>
    </row>
    <row r="27" spans="1:16" x14ac:dyDescent="0.2">
      <c r="A27" s="197"/>
      <c r="B27" s="203"/>
      <c r="C27" s="197"/>
      <c r="D27" s="197"/>
      <c r="E27" s="197"/>
      <c r="F27" s="197"/>
      <c r="G27" s="197"/>
      <c r="H27" s="204"/>
      <c r="I27" s="197"/>
      <c r="J27" s="203"/>
      <c r="K27" s="10"/>
      <c r="L27" s="10"/>
      <c r="M27" s="10"/>
      <c r="N27" s="10"/>
      <c r="O27" s="10"/>
      <c r="P27" s="98"/>
    </row>
    <row r="28" spans="1:16" x14ac:dyDescent="0.2">
      <c r="A28" s="197"/>
      <c r="B28" s="203"/>
      <c r="C28" s="197"/>
      <c r="D28" s="197"/>
      <c r="E28" s="197"/>
      <c r="F28" s="197"/>
      <c r="G28" s="197"/>
      <c r="H28" s="204"/>
      <c r="I28" s="197"/>
      <c r="J28" s="203"/>
      <c r="K28" s="10"/>
      <c r="L28" s="10"/>
      <c r="M28" s="10"/>
      <c r="N28" s="10"/>
      <c r="O28" s="10"/>
      <c r="P28" s="98"/>
    </row>
    <row r="29" spans="1:16" x14ac:dyDescent="0.2">
      <c r="A29" s="197"/>
      <c r="B29" s="203"/>
      <c r="C29" s="197"/>
      <c r="D29" s="197"/>
      <c r="E29" s="197"/>
      <c r="F29" s="197"/>
      <c r="G29" s="197"/>
      <c r="H29" s="204"/>
      <c r="I29" s="197"/>
      <c r="J29" s="203"/>
      <c r="K29" s="10"/>
      <c r="L29" s="10"/>
      <c r="M29" s="10"/>
      <c r="N29" s="10"/>
      <c r="O29" s="10"/>
      <c r="P29" s="98"/>
    </row>
    <row r="30" spans="1:16" ht="15" thickBot="1" x14ac:dyDescent="0.25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 x14ac:dyDescent="0.2"/>
    <row r="34" spans="1:13" s="106" customFormat="1" x14ac:dyDescent="0.2"/>
    <row r="35" spans="1:13" s="106" customFormat="1" x14ac:dyDescent="0.2"/>
    <row r="36" spans="1:13" s="106" customFormat="1" x14ac:dyDescent="0.2"/>
    <row r="37" spans="1:13" s="106" customFormat="1" x14ac:dyDescent="0.2"/>
    <row r="38" spans="1:13" s="106" customFormat="1" x14ac:dyDescent="0.2"/>
    <row r="39" spans="1:13" s="106" customFormat="1" x14ac:dyDescent="0.2"/>
    <row r="40" spans="1:13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 x14ac:dyDescent="0.2">
      <c r="A41" s="106" t="s">
        <v>858</v>
      </c>
      <c r="B41" s="106" t="s">
        <v>2212</v>
      </c>
      <c r="C41" s="106" t="s">
        <v>2213</v>
      </c>
      <c r="D41" s="106" t="s">
        <v>2214</v>
      </c>
      <c r="E41" s="106" t="s">
        <v>2215</v>
      </c>
      <c r="F41" s="106" t="s">
        <v>859</v>
      </c>
      <c r="G41" s="106" t="s">
        <v>860</v>
      </c>
      <c r="H41" s="106" t="s">
        <v>861</v>
      </c>
      <c r="I41" s="106" t="s">
        <v>862</v>
      </c>
      <c r="J41" s="106" t="s">
        <v>863</v>
      </c>
      <c r="K41" s="106" t="s">
        <v>2233</v>
      </c>
      <c r="L41" s="106" t="s">
        <v>2234</v>
      </c>
    </row>
    <row r="42" spans="1:13" x14ac:dyDescent="0.2">
      <c r="A42" s="14">
        <v>43819</v>
      </c>
      <c r="B42">
        <v>1020</v>
      </c>
      <c r="C42">
        <v>1016.5</v>
      </c>
      <c r="D42">
        <v>1429</v>
      </c>
      <c r="E42">
        <v>1433</v>
      </c>
      <c r="F42">
        <v>0.70935101186322402</v>
      </c>
      <c r="G42">
        <v>0.76685632855334696</v>
      </c>
      <c r="H42">
        <v>2.0434991391320101E-2</v>
      </c>
      <c r="I42">
        <v>-2.8140612143613999</v>
      </c>
      <c r="J42">
        <v>-8.11</v>
      </c>
      <c r="K42">
        <v>1433</v>
      </c>
      <c r="L42">
        <v>1313.0455971319739</v>
      </c>
    </row>
    <row r="43" spans="1:13" x14ac:dyDescent="0.2">
      <c r="A43" s="208">
        <v>43818</v>
      </c>
      <c r="B43" s="10">
        <v>1025</v>
      </c>
      <c r="C43" s="10">
        <v>1026.5</v>
      </c>
      <c r="D43" s="10">
        <v>1414</v>
      </c>
      <c r="E43" s="10">
        <v>1429</v>
      </c>
      <c r="F43" s="10">
        <v>0.71833449965010499</v>
      </c>
      <c r="G43" s="10">
        <v>0.76796321039195004</v>
      </c>
      <c r="H43" s="10">
        <v>1.9517929187571701E-2</v>
      </c>
      <c r="I43" s="10">
        <v>-2.5427241929664799</v>
      </c>
      <c r="J43" s="10">
        <v>-6.91</v>
      </c>
      <c r="K43" s="10">
        <v>1429</v>
      </c>
      <c r="L43" s="10">
        <v>1325.9629173201881</v>
      </c>
      <c r="M43" s="10"/>
    </row>
    <row r="44" spans="1:13" x14ac:dyDescent="0.2">
      <c r="A44" s="14">
        <v>43817</v>
      </c>
      <c r="B44" s="106">
        <v>1040.5</v>
      </c>
      <c r="C44" s="106">
        <v>1025.5</v>
      </c>
      <c r="D44" s="106">
        <v>1415</v>
      </c>
      <c r="E44" s="106">
        <v>1424</v>
      </c>
      <c r="F44" s="106">
        <v>0.72015449438202195</v>
      </c>
      <c r="G44" s="106">
        <v>0.76902326906066198</v>
      </c>
      <c r="H44" s="106">
        <v>1.8944299245301902E-2</v>
      </c>
      <c r="I44" s="106">
        <v>-2.5796031854152299</v>
      </c>
      <c r="J44" s="106">
        <v>-6.79</v>
      </c>
      <c r="K44">
        <v>1424</v>
      </c>
      <c r="L44" s="106">
        <v>1324.6711853013667</v>
      </c>
    </row>
    <row r="45" spans="1:13" x14ac:dyDescent="0.2">
      <c r="A45" s="14">
        <v>43816</v>
      </c>
      <c r="B45">
        <v>1044</v>
      </c>
      <c r="C45">
        <v>1046.5</v>
      </c>
      <c r="D45">
        <v>1392</v>
      </c>
      <c r="E45">
        <v>1412</v>
      </c>
      <c r="F45">
        <v>0.74114730878186896</v>
      </c>
      <c r="G45">
        <v>0.77017483232397499</v>
      </c>
      <c r="H45">
        <v>1.8559815485771802E-2</v>
      </c>
      <c r="I45">
        <v>-1.5639984979569499</v>
      </c>
      <c r="J45">
        <v>-3.92</v>
      </c>
      <c r="K45">
        <v>1412</v>
      </c>
      <c r="L45">
        <v>1351.7975576966166</v>
      </c>
    </row>
    <row r="46" spans="1:13" x14ac:dyDescent="0.2">
      <c r="A46" s="14">
        <v>43815</v>
      </c>
      <c r="B46">
        <v>1058</v>
      </c>
      <c r="C46">
        <v>1036.5</v>
      </c>
      <c r="D46">
        <v>1369</v>
      </c>
      <c r="E46">
        <v>1374</v>
      </c>
      <c r="F46">
        <v>0.75436681222707402</v>
      </c>
      <c r="G46">
        <v>0.77098332080021004</v>
      </c>
      <c r="H46">
        <v>1.8598394605723101E-2</v>
      </c>
      <c r="I46">
        <v>-0.89343778994895695</v>
      </c>
      <c r="J46">
        <v>-2.2000000000000002</v>
      </c>
      <c r="K46">
        <v>1374</v>
      </c>
      <c r="L46">
        <v>1338.8802375084024</v>
      </c>
    </row>
    <row r="47" spans="1:13" x14ac:dyDescent="0.2">
      <c r="A47" s="14">
        <v>43812</v>
      </c>
      <c r="B47">
        <v>1059</v>
      </c>
      <c r="C47">
        <v>1058</v>
      </c>
      <c r="D47">
        <v>1384</v>
      </c>
      <c r="E47">
        <v>1373</v>
      </c>
      <c r="F47">
        <v>0.77057538237436196</v>
      </c>
      <c r="G47">
        <v>0.77156670560520102</v>
      </c>
      <c r="H47">
        <v>1.8753603497846098E-2</v>
      </c>
      <c r="I47">
        <v>-5.2860413250826001E-2</v>
      </c>
      <c r="J47">
        <v>-0.13</v>
      </c>
      <c r="K47">
        <v>1373</v>
      </c>
      <c r="L47">
        <v>1366.652475913063</v>
      </c>
    </row>
    <row r="48" spans="1:13" x14ac:dyDescent="0.2">
      <c r="A48" s="14">
        <v>43811</v>
      </c>
      <c r="B48">
        <v>1058.5</v>
      </c>
      <c r="C48">
        <v>1036.5</v>
      </c>
      <c r="D48">
        <v>1338</v>
      </c>
      <c r="E48">
        <v>1335</v>
      </c>
      <c r="F48">
        <v>0.77640449438202197</v>
      </c>
      <c r="G48">
        <v>0.77192282304163196</v>
      </c>
      <c r="H48">
        <v>1.8983578210926898E-2</v>
      </c>
      <c r="I48">
        <v>0.23608148530242801</v>
      </c>
      <c r="J48">
        <v>0.57999999999999996</v>
      </c>
      <c r="K48">
        <v>1335</v>
      </c>
      <c r="L48">
        <v>1338.8802375084024</v>
      </c>
    </row>
    <row r="49" spans="1:12" x14ac:dyDescent="0.2">
      <c r="A49" s="14">
        <v>43810</v>
      </c>
      <c r="B49">
        <v>1059</v>
      </c>
      <c r="C49">
        <v>1060.5</v>
      </c>
      <c r="D49">
        <v>1362</v>
      </c>
      <c r="E49">
        <v>1348</v>
      </c>
      <c r="F49">
        <v>0.78672106824925803</v>
      </c>
      <c r="G49">
        <v>0.77229625331261598</v>
      </c>
      <c r="H49">
        <v>1.9340184527451801E-2</v>
      </c>
      <c r="I49">
        <v>0.74584681010495801</v>
      </c>
      <c r="J49">
        <v>1.83</v>
      </c>
      <c r="K49">
        <v>1348</v>
      </c>
      <c r="L49">
        <v>1369.8818059601165</v>
      </c>
    </row>
    <row r="50" spans="1:12" x14ac:dyDescent="0.2">
      <c r="A50" s="14">
        <v>43809</v>
      </c>
      <c r="B50">
        <v>1057.5</v>
      </c>
      <c r="C50">
        <v>1057.5</v>
      </c>
      <c r="D50">
        <v>1362</v>
      </c>
      <c r="E50">
        <v>1362</v>
      </c>
      <c r="F50">
        <v>0.77643171806167399</v>
      </c>
      <c r="G50">
        <v>0.77271452508652305</v>
      </c>
      <c r="H50">
        <v>1.99763890106846E-2</v>
      </c>
      <c r="I50">
        <v>0.186079324604777</v>
      </c>
      <c r="J50">
        <v>0.48</v>
      </c>
      <c r="K50">
        <v>1362</v>
      </c>
      <c r="L50">
        <v>1366.0066099036521</v>
      </c>
    </row>
    <row r="51" spans="1:12" x14ac:dyDescent="0.2">
      <c r="A51" s="14">
        <v>43808</v>
      </c>
      <c r="B51">
        <v>1045</v>
      </c>
      <c r="C51">
        <v>1057.5</v>
      </c>
      <c r="D51">
        <v>1380</v>
      </c>
      <c r="E51">
        <v>1374</v>
      </c>
      <c r="F51">
        <v>0.76965065502183405</v>
      </c>
      <c r="G51">
        <v>0.77316752008455103</v>
      </c>
      <c r="H51">
        <v>2.0435483556910002E-2</v>
      </c>
      <c r="I51">
        <v>-0.17209600413533299</v>
      </c>
      <c r="J51">
        <v>-0.46</v>
      </c>
      <c r="K51">
        <v>1374</v>
      </c>
      <c r="L51">
        <v>1366.0066099036521</v>
      </c>
    </row>
    <row r="52" spans="1:12" x14ac:dyDescent="0.2">
      <c r="A52" s="14">
        <v>43805</v>
      </c>
      <c r="B52">
        <v>1040.5</v>
      </c>
      <c r="C52">
        <v>1034.5</v>
      </c>
      <c r="D52">
        <v>1363</v>
      </c>
      <c r="E52">
        <v>1361</v>
      </c>
      <c r="F52">
        <v>0.76010286554004403</v>
      </c>
      <c r="G52">
        <v>0.77358939086102296</v>
      </c>
      <c r="H52">
        <v>2.0683612099104999E-2</v>
      </c>
      <c r="I52">
        <v>-0.65203917267247802</v>
      </c>
      <c r="J52">
        <v>-1.77</v>
      </c>
      <c r="K52">
        <v>1361</v>
      </c>
      <c r="L52">
        <v>1336.2967734707595</v>
      </c>
    </row>
    <row r="53" spans="1:12" x14ac:dyDescent="0.2">
      <c r="A53" s="14">
        <v>43804</v>
      </c>
      <c r="B53">
        <v>1040</v>
      </c>
      <c r="C53">
        <v>1044.5</v>
      </c>
      <c r="D53">
        <v>1329</v>
      </c>
      <c r="E53">
        <v>1343</v>
      </c>
      <c r="F53">
        <v>0.77773641102010405</v>
      </c>
      <c r="G53">
        <v>0.77434041959094202</v>
      </c>
      <c r="H53">
        <v>2.11965454929499E-2</v>
      </c>
      <c r="I53">
        <v>0.160214381644949</v>
      </c>
      <c r="J53">
        <v>0.44</v>
      </c>
      <c r="K53">
        <v>1343</v>
      </c>
      <c r="L53">
        <v>1349.2140936589738</v>
      </c>
    </row>
    <row r="54" spans="1:12" x14ac:dyDescent="0.2">
      <c r="A54" s="14">
        <v>43803</v>
      </c>
      <c r="B54">
        <v>1021.5</v>
      </c>
      <c r="C54">
        <v>1034.5</v>
      </c>
      <c r="D54">
        <v>1283</v>
      </c>
      <c r="E54">
        <v>1310</v>
      </c>
      <c r="F54">
        <v>0.78969465648854897</v>
      </c>
      <c r="G54">
        <v>0.774747593713768</v>
      </c>
      <c r="H54">
        <v>2.1548261581933899E-2</v>
      </c>
      <c r="I54">
        <v>0.69365515718968995</v>
      </c>
      <c r="J54">
        <v>1.89</v>
      </c>
      <c r="K54">
        <v>1310</v>
      </c>
      <c r="L54">
        <v>1336.2967734707595</v>
      </c>
    </row>
    <row r="55" spans="1:12" x14ac:dyDescent="0.2">
      <c r="A55" s="14">
        <v>43802</v>
      </c>
      <c r="B55">
        <v>1018.5</v>
      </c>
      <c r="C55">
        <v>1029.5</v>
      </c>
      <c r="D55">
        <v>1276</v>
      </c>
      <c r="E55">
        <v>1302</v>
      </c>
      <c r="F55">
        <v>0.79070660522273395</v>
      </c>
      <c r="G55">
        <v>0.77517966496058799</v>
      </c>
      <c r="H55">
        <v>2.2159844334166599E-2</v>
      </c>
      <c r="I55">
        <v>0.70067912156794498</v>
      </c>
      <c r="J55">
        <v>1.96</v>
      </c>
      <c r="K55">
        <v>1302</v>
      </c>
      <c r="L55">
        <v>1329.8381133766525</v>
      </c>
    </row>
    <row r="56" spans="1:12" x14ac:dyDescent="0.2">
      <c r="A56" s="14">
        <v>43801</v>
      </c>
      <c r="B56">
        <v>1030</v>
      </c>
      <c r="C56">
        <v>1032</v>
      </c>
      <c r="D56">
        <v>1285</v>
      </c>
      <c r="E56">
        <v>1295</v>
      </c>
      <c r="F56">
        <v>0.79691119691119605</v>
      </c>
      <c r="G56">
        <v>0.77569184787173995</v>
      </c>
      <c r="H56">
        <v>2.2942896212014102E-2</v>
      </c>
      <c r="I56">
        <v>0.92487665216151005</v>
      </c>
      <c r="J56">
        <v>2.66</v>
      </c>
      <c r="K56">
        <v>1295</v>
      </c>
      <c r="L56">
        <v>1333.067443423706</v>
      </c>
    </row>
    <row r="57" spans="1:12" x14ac:dyDescent="0.2">
      <c r="A57" s="14">
        <v>43798</v>
      </c>
      <c r="B57">
        <v>1025</v>
      </c>
      <c r="C57">
        <v>1032</v>
      </c>
      <c r="D57">
        <v>1282</v>
      </c>
      <c r="E57">
        <v>1288</v>
      </c>
      <c r="F57">
        <v>0.80124223602484401</v>
      </c>
      <c r="G57">
        <v>0.77555584058398896</v>
      </c>
      <c r="H57">
        <v>2.28467364204527E-2</v>
      </c>
      <c r="I57">
        <v>1.1242916698535701</v>
      </c>
      <c r="J57">
        <v>3.21</v>
      </c>
      <c r="K57">
        <v>1288</v>
      </c>
      <c r="L57">
        <v>1333.067443423706</v>
      </c>
    </row>
    <row r="58" spans="1:12" x14ac:dyDescent="0.2">
      <c r="A58" s="14">
        <v>43797</v>
      </c>
      <c r="B58">
        <v>988.5</v>
      </c>
      <c r="C58">
        <v>1009</v>
      </c>
      <c r="D58">
        <v>1285</v>
      </c>
      <c r="E58">
        <v>1279</v>
      </c>
      <c r="F58">
        <v>0.78889757623142998</v>
      </c>
      <c r="G58">
        <v>0.77510881181873603</v>
      </c>
      <c r="H58">
        <v>2.26670690395889E-2</v>
      </c>
      <c r="I58">
        <v>0.60831704304651402</v>
      </c>
      <c r="J58">
        <v>1.75</v>
      </c>
      <c r="K58">
        <v>1279</v>
      </c>
      <c r="L58">
        <v>1303.3576069908133</v>
      </c>
    </row>
    <row r="59" spans="1:12" x14ac:dyDescent="0.2">
      <c r="A59" s="14">
        <v>43796</v>
      </c>
      <c r="B59">
        <v>984.6</v>
      </c>
      <c r="C59">
        <v>981.3</v>
      </c>
      <c r="D59">
        <v>1266</v>
      </c>
      <c r="E59">
        <v>1274</v>
      </c>
      <c r="F59">
        <v>0.77025117739403404</v>
      </c>
      <c r="G59">
        <v>0.77469805625686305</v>
      </c>
      <c r="H59">
        <v>2.2692590976723701E-2</v>
      </c>
      <c r="I59">
        <v>-0.19596170694611001</v>
      </c>
      <c r="J59">
        <v>-0.57999999999999996</v>
      </c>
      <c r="K59">
        <v>1274</v>
      </c>
      <c r="L59">
        <v>1267.57663006946</v>
      </c>
    </row>
    <row r="60" spans="1:12" x14ac:dyDescent="0.2">
      <c r="A60" s="14">
        <v>43795</v>
      </c>
      <c r="B60">
        <v>978.8</v>
      </c>
      <c r="C60">
        <v>981</v>
      </c>
      <c r="D60">
        <v>1275</v>
      </c>
      <c r="E60">
        <v>1251</v>
      </c>
      <c r="F60">
        <v>0.78417266187050305</v>
      </c>
      <c r="G60">
        <v>0.774300659605895</v>
      </c>
      <c r="H60">
        <v>2.3025516672561901E-2</v>
      </c>
      <c r="I60">
        <v>0.42874183476509398</v>
      </c>
      <c r="J60">
        <v>1.26</v>
      </c>
      <c r="K60">
        <v>1251</v>
      </c>
      <c r="L60">
        <v>1267.1891104638134</v>
      </c>
    </row>
    <row r="61" spans="1:12" x14ac:dyDescent="0.2">
      <c r="A61" s="14">
        <v>43794</v>
      </c>
      <c r="B61">
        <v>995</v>
      </c>
      <c r="C61">
        <v>967.7</v>
      </c>
      <c r="D61">
        <v>1258</v>
      </c>
      <c r="E61">
        <v>1269</v>
      </c>
      <c r="F61">
        <v>0.76256895193065399</v>
      </c>
      <c r="G61">
        <v>0.77382321450627101</v>
      </c>
      <c r="H61">
        <v>2.31865547838058E-2</v>
      </c>
      <c r="I61">
        <v>-0.48537881891267898</v>
      </c>
      <c r="J61">
        <v>-1.48</v>
      </c>
      <c r="K61">
        <v>1269</v>
      </c>
      <c r="L61">
        <v>1250.0090746134888</v>
      </c>
    </row>
    <row r="62" spans="1:12" x14ac:dyDescent="0.2">
      <c r="A62" s="14">
        <v>43791</v>
      </c>
      <c r="B62">
        <v>1005.5</v>
      </c>
      <c r="C62">
        <v>990.4</v>
      </c>
      <c r="D62">
        <v>1260</v>
      </c>
      <c r="E62">
        <v>1250</v>
      </c>
      <c r="F62">
        <v>0.79232000000000002</v>
      </c>
      <c r="G62">
        <v>0.77370708645651598</v>
      </c>
      <c r="H62">
        <v>2.3264310379692801E-2</v>
      </c>
      <c r="I62">
        <v>0.80006298229802197</v>
      </c>
      <c r="J62">
        <v>2.35</v>
      </c>
      <c r="K62">
        <v>1250</v>
      </c>
      <c r="L62">
        <v>1279.3313914407349</v>
      </c>
    </row>
    <row r="63" spans="1:12" x14ac:dyDescent="0.2">
      <c r="A63" s="14">
        <v>43790</v>
      </c>
      <c r="B63">
        <v>998.1</v>
      </c>
      <c r="C63">
        <v>1005</v>
      </c>
      <c r="D63">
        <v>1254</v>
      </c>
      <c r="E63">
        <v>1243</v>
      </c>
      <c r="F63">
        <v>0.80852775543041</v>
      </c>
      <c r="G63">
        <v>0.77300905320441704</v>
      </c>
      <c r="H63">
        <v>2.34797743484839E-2</v>
      </c>
      <c r="I63">
        <v>1.5127360978358799</v>
      </c>
      <c r="J63">
        <v>4.3899999999999997</v>
      </c>
      <c r="K63">
        <v>1243</v>
      </c>
      <c r="L63">
        <v>1298.1906789155275</v>
      </c>
    </row>
    <row r="64" spans="1:12" x14ac:dyDescent="0.2">
      <c r="A64" s="14">
        <v>43789</v>
      </c>
      <c r="B64">
        <v>990.6</v>
      </c>
      <c r="C64">
        <v>1002</v>
      </c>
      <c r="D64">
        <v>1298</v>
      </c>
      <c r="E64">
        <v>1266</v>
      </c>
      <c r="F64">
        <v>0.79146919431279605</v>
      </c>
      <c r="G64">
        <v>0.77228523560618201</v>
      </c>
      <c r="H64">
        <v>2.32088595525182E-2</v>
      </c>
      <c r="I64">
        <v>0.826579120064168</v>
      </c>
      <c r="J64">
        <v>2.42</v>
      </c>
      <c r="K64">
        <v>1266</v>
      </c>
      <c r="L64">
        <v>1294.3154828590634</v>
      </c>
    </row>
    <row r="65" spans="1:12" x14ac:dyDescent="0.2">
      <c r="A65" s="14">
        <v>43788</v>
      </c>
      <c r="B65">
        <v>993</v>
      </c>
      <c r="C65">
        <v>1001.5</v>
      </c>
      <c r="D65">
        <v>1323</v>
      </c>
      <c r="E65">
        <v>1319</v>
      </c>
      <c r="F65">
        <v>0.75928733889309996</v>
      </c>
      <c r="G65">
        <v>0.77192184469578595</v>
      </c>
      <c r="H65">
        <v>2.31188349158831E-2</v>
      </c>
      <c r="I65">
        <v>-0.54650270433849801</v>
      </c>
      <c r="J65">
        <v>-1.66</v>
      </c>
      <c r="K65">
        <v>1319</v>
      </c>
      <c r="L65">
        <v>1293.6696168496526</v>
      </c>
    </row>
    <row r="66" spans="1:12" x14ac:dyDescent="0.2">
      <c r="A66" s="14">
        <v>43787</v>
      </c>
      <c r="B66">
        <v>998.9</v>
      </c>
      <c r="C66">
        <v>990.4</v>
      </c>
      <c r="D66">
        <v>1346</v>
      </c>
      <c r="E66">
        <v>1320</v>
      </c>
      <c r="F66">
        <v>0.75030303030303003</v>
      </c>
      <c r="G66">
        <v>0.77187504315864597</v>
      </c>
      <c r="H66">
        <v>2.31478993617131E-2</v>
      </c>
      <c r="I66">
        <v>-0.93192097125223206</v>
      </c>
      <c r="J66">
        <v>-2.88</v>
      </c>
      <c r="K66">
        <v>1320</v>
      </c>
      <c r="L66">
        <v>1279.3313914407349</v>
      </c>
    </row>
    <row r="67" spans="1:12" x14ac:dyDescent="0.2">
      <c r="A67" s="14">
        <v>43784</v>
      </c>
      <c r="B67">
        <v>997.9</v>
      </c>
      <c r="C67">
        <v>998.3</v>
      </c>
      <c r="D67">
        <v>1319</v>
      </c>
      <c r="E67">
        <v>1342</v>
      </c>
      <c r="F67">
        <v>0.74388971684053595</v>
      </c>
      <c r="G67">
        <v>0.77174895230708795</v>
      </c>
      <c r="H67">
        <v>2.32903806454995E-2</v>
      </c>
      <c r="I67">
        <v>-1.19616917776459</v>
      </c>
      <c r="J67">
        <v>-3.75</v>
      </c>
      <c r="K67">
        <v>1342</v>
      </c>
      <c r="L67">
        <v>1289.5360743894241</v>
      </c>
    </row>
    <row r="68" spans="1:12" x14ac:dyDescent="0.2">
      <c r="A68" s="14">
        <v>43783</v>
      </c>
      <c r="B68">
        <v>1007</v>
      </c>
      <c r="C68">
        <v>997.4</v>
      </c>
      <c r="D68">
        <v>1338</v>
      </c>
      <c r="E68">
        <v>1318</v>
      </c>
      <c r="F68">
        <v>0.75675265553869497</v>
      </c>
      <c r="G68">
        <v>0.77179826139734697</v>
      </c>
      <c r="H68">
        <v>2.3235195847941498E-2</v>
      </c>
      <c r="I68">
        <v>-0.64753514268249102</v>
      </c>
      <c r="J68">
        <v>-1.99</v>
      </c>
      <c r="K68">
        <v>1318</v>
      </c>
      <c r="L68">
        <v>1288.3735155724848</v>
      </c>
    </row>
    <row r="69" spans="1:12" x14ac:dyDescent="0.2">
      <c r="A69" s="14">
        <v>43782</v>
      </c>
      <c r="B69">
        <v>1023.5</v>
      </c>
      <c r="C69">
        <v>1016.5</v>
      </c>
      <c r="D69">
        <v>1356</v>
      </c>
      <c r="E69">
        <v>1333</v>
      </c>
      <c r="F69">
        <v>0.76256564141035199</v>
      </c>
      <c r="G69">
        <v>0.77181180725738197</v>
      </c>
      <c r="H69">
        <v>2.32267150719591E-2</v>
      </c>
      <c r="I69">
        <v>-0.39808323382725502</v>
      </c>
      <c r="J69">
        <v>-1.21</v>
      </c>
      <c r="K69">
        <v>1333</v>
      </c>
      <c r="L69">
        <v>1313.0455971319739</v>
      </c>
    </row>
    <row r="70" spans="1:12" x14ac:dyDescent="0.2">
      <c r="A70" s="14">
        <v>43781</v>
      </c>
      <c r="B70">
        <v>1034</v>
      </c>
      <c r="C70">
        <v>1021</v>
      </c>
      <c r="D70">
        <v>1344</v>
      </c>
      <c r="E70">
        <v>1358</v>
      </c>
      <c r="F70">
        <v>0.75184094256259204</v>
      </c>
      <c r="G70">
        <v>0.77179082184573999</v>
      </c>
      <c r="H70">
        <v>2.3235768782244499E-2</v>
      </c>
      <c r="I70">
        <v>-0.85858485983870703</v>
      </c>
      <c r="J70">
        <v>-2.65</v>
      </c>
      <c r="K70">
        <v>1358</v>
      </c>
      <c r="L70">
        <v>1318.8583912166703</v>
      </c>
    </row>
    <row r="71" spans="1:12" x14ac:dyDescent="0.2">
      <c r="A71" s="14">
        <v>43780</v>
      </c>
      <c r="B71">
        <v>1020</v>
      </c>
      <c r="C71">
        <v>1020</v>
      </c>
      <c r="D71">
        <v>1342</v>
      </c>
      <c r="E71">
        <v>1343</v>
      </c>
      <c r="F71">
        <v>0.759493670886076</v>
      </c>
      <c r="G71">
        <v>0.77193833680244295</v>
      </c>
      <c r="H71">
        <v>2.31435828852391E-2</v>
      </c>
      <c r="I71">
        <v>-0.53771561551538105</v>
      </c>
      <c r="J71">
        <v>-1.64</v>
      </c>
      <c r="K71">
        <v>1343</v>
      </c>
      <c r="L71">
        <v>1317.5666591978488</v>
      </c>
    </row>
    <row r="72" spans="1:12" x14ac:dyDescent="0.2">
      <c r="A72" s="14">
        <v>43777</v>
      </c>
      <c r="B72">
        <v>1022.5</v>
      </c>
      <c r="C72">
        <v>1022</v>
      </c>
      <c r="D72">
        <v>1341</v>
      </c>
      <c r="E72">
        <v>1329</v>
      </c>
      <c r="F72">
        <v>0.76899924755455196</v>
      </c>
      <c r="G72">
        <v>0.77199256428547103</v>
      </c>
      <c r="H72">
        <v>2.3119112197923002E-2</v>
      </c>
      <c r="I72">
        <v>-0.129473688491717</v>
      </c>
      <c r="J72">
        <v>-0.39</v>
      </c>
      <c r="K72">
        <v>1329</v>
      </c>
      <c r="L72">
        <v>1320.1501232354917</v>
      </c>
    </row>
    <row r="73" spans="1:12" x14ac:dyDescent="0.2">
      <c r="A73" s="14">
        <v>43776</v>
      </c>
      <c r="B73">
        <v>1009</v>
      </c>
      <c r="C73">
        <v>1021</v>
      </c>
      <c r="D73">
        <v>1283</v>
      </c>
      <c r="E73">
        <v>1297</v>
      </c>
      <c r="F73">
        <v>0.787201233616037</v>
      </c>
      <c r="G73">
        <v>0.77168633093183303</v>
      </c>
      <c r="H73">
        <v>2.3308073532818899E-2</v>
      </c>
      <c r="I73">
        <v>0.66564500332288001</v>
      </c>
      <c r="J73">
        <v>1.97</v>
      </c>
      <c r="K73">
        <v>1297</v>
      </c>
      <c r="L73">
        <v>1318.8583912166703</v>
      </c>
    </row>
    <row r="74" spans="1:12" x14ac:dyDescent="0.2">
      <c r="A74" s="14">
        <v>43775</v>
      </c>
      <c r="B74">
        <v>1020</v>
      </c>
      <c r="C74">
        <v>1015</v>
      </c>
      <c r="D74">
        <v>1271</v>
      </c>
      <c r="E74">
        <v>1300</v>
      </c>
      <c r="F74">
        <v>0.78076923076922999</v>
      </c>
      <c r="G74">
        <v>0.77139591160193499</v>
      </c>
      <c r="H74">
        <v>2.3248570863185099E-2</v>
      </c>
      <c r="I74">
        <v>0.40317829523613802</v>
      </c>
      <c r="J74">
        <v>1.2</v>
      </c>
      <c r="K74">
        <v>1300</v>
      </c>
      <c r="L74">
        <v>1311.1079991037418</v>
      </c>
    </row>
    <row r="75" spans="1:12" x14ac:dyDescent="0.2">
      <c r="A75" s="14">
        <v>43774</v>
      </c>
      <c r="B75">
        <v>995.8</v>
      </c>
      <c r="C75">
        <v>1009.5</v>
      </c>
      <c r="D75">
        <v>1257</v>
      </c>
      <c r="E75">
        <v>1248</v>
      </c>
      <c r="F75">
        <v>0.80889423076922995</v>
      </c>
      <c r="G75">
        <v>0.77126850037996297</v>
      </c>
      <c r="H75">
        <v>2.3223023121986298E-2</v>
      </c>
      <c r="I75">
        <v>1.6201908852101701</v>
      </c>
      <c r="J75">
        <v>4.6500000000000004</v>
      </c>
      <c r="K75">
        <v>1248</v>
      </c>
      <c r="L75">
        <v>1304.0034730002239</v>
      </c>
    </row>
    <row r="76" spans="1:12" x14ac:dyDescent="0.2">
      <c r="A76" s="14">
        <v>43770</v>
      </c>
      <c r="B76">
        <v>915</v>
      </c>
      <c r="C76">
        <v>980.8</v>
      </c>
      <c r="D76">
        <v>1200</v>
      </c>
      <c r="E76">
        <v>1202</v>
      </c>
      <c r="F76">
        <v>0.81597337770382605</v>
      </c>
      <c r="G76">
        <v>0.77089354343794003</v>
      </c>
      <c r="H76">
        <v>2.2836300175981001E-2</v>
      </c>
      <c r="I76">
        <v>1.97404281422524</v>
      </c>
      <c r="J76">
        <v>5.52</v>
      </c>
      <c r="K76">
        <v>1202</v>
      </c>
      <c r="L76">
        <v>1266.9307640600491</v>
      </c>
    </row>
    <row r="77" spans="1:12" x14ac:dyDescent="0.2">
      <c r="A77" s="14">
        <v>43769</v>
      </c>
      <c r="B77">
        <v>915</v>
      </c>
      <c r="C77">
        <v>916.9</v>
      </c>
      <c r="D77">
        <v>1220</v>
      </c>
      <c r="E77">
        <v>1220</v>
      </c>
      <c r="F77">
        <v>0.75155737704918002</v>
      </c>
      <c r="G77">
        <v>0.77030883440634101</v>
      </c>
      <c r="H77">
        <v>2.22278855825714E-2</v>
      </c>
      <c r="I77">
        <v>-0.84360058843671404</v>
      </c>
      <c r="J77">
        <v>-2.5</v>
      </c>
      <c r="K77">
        <v>1220</v>
      </c>
      <c r="L77">
        <v>1184.3890880573604</v>
      </c>
    </row>
    <row r="78" spans="1:12" x14ac:dyDescent="0.2">
      <c r="A78" s="14">
        <v>43768</v>
      </c>
      <c r="B78">
        <v>918</v>
      </c>
      <c r="C78">
        <v>912.1</v>
      </c>
      <c r="D78">
        <v>1259</v>
      </c>
      <c r="E78">
        <v>1222</v>
      </c>
      <c r="F78">
        <v>0.746399345335515</v>
      </c>
      <c r="G78">
        <v>0.77061945339461302</v>
      </c>
      <c r="H78">
        <v>2.2126219911698199E-2</v>
      </c>
      <c r="I78">
        <v>-1.0946337944644999</v>
      </c>
      <c r="J78">
        <v>-3.24</v>
      </c>
      <c r="K78">
        <v>1222</v>
      </c>
      <c r="L78">
        <v>1178.1887743670177</v>
      </c>
    </row>
    <row r="79" spans="1:12" x14ac:dyDescent="0.2">
      <c r="A79" s="14">
        <v>43767</v>
      </c>
      <c r="B79">
        <v>914.9</v>
      </c>
      <c r="C79">
        <v>918</v>
      </c>
      <c r="D79">
        <v>1223</v>
      </c>
      <c r="E79">
        <v>1259</v>
      </c>
      <c r="F79">
        <v>0.72915011914217598</v>
      </c>
      <c r="G79">
        <v>0.77104928534320105</v>
      </c>
      <c r="H79">
        <v>2.1964069804904601E-2</v>
      </c>
      <c r="I79">
        <v>-1.9076230668174901</v>
      </c>
      <c r="J79">
        <v>-5.75</v>
      </c>
      <c r="K79">
        <v>1259</v>
      </c>
      <c r="L79">
        <v>1185.809993278064</v>
      </c>
    </row>
    <row r="80" spans="1:12" x14ac:dyDescent="0.2">
      <c r="A80" s="14">
        <v>43766</v>
      </c>
      <c r="B80">
        <v>907.1</v>
      </c>
      <c r="C80">
        <v>912</v>
      </c>
      <c r="D80">
        <v>1213</v>
      </c>
      <c r="E80">
        <v>1222</v>
      </c>
      <c r="F80">
        <v>0.74631751227495902</v>
      </c>
      <c r="G80">
        <v>0.77175293328476602</v>
      </c>
      <c r="H80">
        <v>2.1449819341731399E-2</v>
      </c>
      <c r="I80">
        <v>-1.1858105005258499</v>
      </c>
      <c r="J80">
        <v>-3.41</v>
      </c>
      <c r="K80">
        <v>1222</v>
      </c>
      <c r="L80">
        <v>1178.0596011651355</v>
      </c>
    </row>
    <row r="81" spans="1:12" x14ac:dyDescent="0.2">
      <c r="A81" s="14">
        <v>43763</v>
      </c>
      <c r="B81">
        <v>906.3</v>
      </c>
      <c r="C81">
        <v>907.1</v>
      </c>
      <c r="D81">
        <v>1221</v>
      </c>
      <c r="E81">
        <v>1212</v>
      </c>
      <c r="F81">
        <v>0.74843234323432295</v>
      </c>
      <c r="G81">
        <v>0.7722820331211</v>
      </c>
      <c r="H81">
        <v>2.1304812759796801E-2</v>
      </c>
      <c r="I81">
        <v>-1.1194508093393201</v>
      </c>
      <c r="J81">
        <v>-3.19</v>
      </c>
      <c r="K81">
        <v>1212</v>
      </c>
      <c r="L81">
        <v>1171.7301142729107</v>
      </c>
    </row>
    <row r="82" spans="1:12" x14ac:dyDescent="0.2">
      <c r="A82" s="14">
        <v>43762</v>
      </c>
      <c r="B82">
        <v>912.4</v>
      </c>
      <c r="C82">
        <v>909.1</v>
      </c>
      <c r="D82">
        <v>1230</v>
      </c>
      <c r="E82">
        <v>1223</v>
      </c>
      <c r="F82">
        <v>0.74333605887162701</v>
      </c>
      <c r="G82">
        <v>0.77282527770367704</v>
      </c>
      <c r="H82">
        <v>2.1208986376926701E-2</v>
      </c>
      <c r="I82">
        <v>-1.39041151274119</v>
      </c>
      <c r="J82">
        <v>-3.97</v>
      </c>
      <c r="K82">
        <v>1223</v>
      </c>
      <c r="L82">
        <v>1174.3135783105533</v>
      </c>
    </row>
    <row r="83" spans="1:12" x14ac:dyDescent="0.2">
      <c r="A83" s="14">
        <v>43761</v>
      </c>
      <c r="B83">
        <v>897.9</v>
      </c>
      <c r="C83">
        <v>903</v>
      </c>
      <c r="D83">
        <v>1202</v>
      </c>
      <c r="E83">
        <v>1223</v>
      </c>
      <c r="F83">
        <v>0.73834832379394899</v>
      </c>
      <c r="G83">
        <v>0.77324022930603398</v>
      </c>
      <c r="H83">
        <v>2.09305896599578E-2</v>
      </c>
      <c r="I83">
        <v>-1.66702926572759</v>
      </c>
      <c r="J83">
        <v>-4.7300000000000004</v>
      </c>
      <c r="K83">
        <v>1223</v>
      </c>
      <c r="L83">
        <v>1166.4340129957427</v>
      </c>
    </row>
    <row r="84" spans="1:12" x14ac:dyDescent="0.2">
      <c r="A84" s="14">
        <v>43759</v>
      </c>
      <c r="B84">
        <v>893.2</v>
      </c>
      <c r="C84">
        <v>894.6</v>
      </c>
      <c r="D84">
        <v>1192</v>
      </c>
      <c r="E84">
        <v>1186</v>
      </c>
      <c r="F84">
        <v>0.75430016863406402</v>
      </c>
      <c r="G84">
        <v>0.77366214082142204</v>
      </c>
      <c r="H84">
        <v>2.0538249200923401E-2</v>
      </c>
      <c r="I84">
        <v>-0.94272749336821104</v>
      </c>
      <c r="J84">
        <v>-2.57</v>
      </c>
      <c r="K84">
        <v>1186</v>
      </c>
      <c r="L84">
        <v>1155.5834640376429</v>
      </c>
    </row>
    <row r="85" spans="1:12" x14ac:dyDescent="0.2">
      <c r="A85" s="14">
        <v>43756</v>
      </c>
      <c r="B85">
        <v>896.4</v>
      </c>
      <c r="C85">
        <v>888.2</v>
      </c>
      <c r="D85">
        <v>1189</v>
      </c>
      <c r="E85">
        <v>1190</v>
      </c>
      <c r="F85">
        <v>0.746386554621848</v>
      </c>
      <c r="G85">
        <v>0.77384662442987295</v>
      </c>
      <c r="H85">
        <v>2.04253342244325E-2</v>
      </c>
      <c r="I85">
        <v>-1.3444122630403299</v>
      </c>
      <c r="J85">
        <v>-3.68</v>
      </c>
      <c r="K85">
        <v>1190</v>
      </c>
      <c r="L85">
        <v>1147.3163791171858</v>
      </c>
    </row>
    <row r="86" spans="1:12" x14ac:dyDescent="0.2">
      <c r="A86" s="14">
        <v>43755</v>
      </c>
      <c r="B86">
        <v>910.6</v>
      </c>
      <c r="C86">
        <v>907</v>
      </c>
      <c r="D86">
        <v>1197</v>
      </c>
      <c r="E86">
        <v>1188</v>
      </c>
      <c r="F86">
        <v>0.76346801346801296</v>
      </c>
      <c r="G86">
        <v>0.774123863530641</v>
      </c>
      <c r="H86">
        <v>2.0190493318989599E-2</v>
      </c>
      <c r="I86">
        <v>-0.52776571103422598</v>
      </c>
      <c r="J86">
        <v>-1.4</v>
      </c>
      <c r="K86">
        <v>1188</v>
      </c>
      <c r="L86">
        <v>1171.6009410710285</v>
      </c>
    </row>
    <row r="87" spans="1:12" x14ac:dyDescent="0.2">
      <c r="A87" s="14">
        <v>43754</v>
      </c>
      <c r="B87">
        <v>910</v>
      </c>
      <c r="C87">
        <v>904.8</v>
      </c>
      <c r="D87">
        <v>1214</v>
      </c>
      <c r="E87">
        <v>1205</v>
      </c>
      <c r="F87">
        <v>0.75087136929460496</v>
      </c>
      <c r="G87">
        <v>0.77404274290099795</v>
      </c>
      <c r="H87">
        <v>2.02452908149547E-2</v>
      </c>
      <c r="I87">
        <v>-1.1445315267724401</v>
      </c>
      <c r="J87">
        <v>-3.09</v>
      </c>
      <c r="K87">
        <v>1205</v>
      </c>
      <c r="L87">
        <v>1168.7591306296213</v>
      </c>
    </row>
    <row r="88" spans="1:12" x14ac:dyDescent="0.2">
      <c r="A88" s="14">
        <v>43753</v>
      </c>
      <c r="B88">
        <v>890.3</v>
      </c>
      <c r="C88">
        <v>896.9</v>
      </c>
      <c r="D88">
        <v>1193</v>
      </c>
      <c r="E88">
        <v>1196</v>
      </c>
      <c r="F88">
        <v>0.74991638795986604</v>
      </c>
      <c r="G88">
        <v>0.77439055003218504</v>
      </c>
      <c r="H88">
        <v>2.0067516723800801E-2</v>
      </c>
      <c r="I88">
        <v>-1.2195909643016301</v>
      </c>
      <c r="J88">
        <v>-3.26</v>
      </c>
      <c r="K88">
        <v>1196</v>
      </c>
      <c r="L88">
        <v>1158.5544476809321</v>
      </c>
    </row>
    <row r="89" spans="1:12" x14ac:dyDescent="0.2">
      <c r="A89" s="14">
        <v>43749</v>
      </c>
      <c r="B89">
        <v>874.4</v>
      </c>
      <c r="C89">
        <v>877.9</v>
      </c>
      <c r="D89">
        <v>1151</v>
      </c>
      <c r="E89">
        <v>1165</v>
      </c>
      <c r="F89">
        <v>0.75356223175965598</v>
      </c>
      <c r="G89">
        <v>0.77472324687923499</v>
      </c>
      <c r="H89">
        <v>1.98648213321806E-2</v>
      </c>
      <c r="I89">
        <v>-1.0652507146036301</v>
      </c>
      <c r="J89">
        <v>-2.81</v>
      </c>
      <c r="K89">
        <v>1165</v>
      </c>
      <c r="L89">
        <v>1134.011539323325</v>
      </c>
    </row>
    <row r="90" spans="1:12" x14ac:dyDescent="0.2">
      <c r="A90" s="14">
        <v>43748</v>
      </c>
      <c r="B90">
        <v>864.3</v>
      </c>
      <c r="C90">
        <v>861.6</v>
      </c>
      <c r="D90">
        <v>1132</v>
      </c>
      <c r="E90">
        <v>1130</v>
      </c>
      <c r="F90">
        <v>0.762477876106194</v>
      </c>
      <c r="G90">
        <v>0.77507057246224598</v>
      </c>
      <c r="H90">
        <v>1.9718990775845002E-2</v>
      </c>
      <c r="I90">
        <v>-0.63860754838817402</v>
      </c>
      <c r="J90">
        <v>-1.65</v>
      </c>
      <c r="K90">
        <v>1130</v>
      </c>
      <c r="L90">
        <v>1112.956307416536</v>
      </c>
    </row>
    <row r="91" spans="1:12" x14ac:dyDescent="0.2">
      <c r="A91" s="14">
        <v>43747</v>
      </c>
      <c r="B91">
        <v>863.7</v>
      </c>
      <c r="C91">
        <v>869.3</v>
      </c>
      <c r="D91">
        <v>1135</v>
      </c>
      <c r="E91">
        <v>1143</v>
      </c>
      <c r="F91">
        <v>0.76054243219597495</v>
      </c>
      <c r="G91">
        <v>0.77534923467413897</v>
      </c>
      <c r="H91">
        <v>1.9686713145527099E-2</v>
      </c>
      <c r="I91">
        <v>-0.75212161464995297</v>
      </c>
      <c r="J91">
        <v>-1.95</v>
      </c>
      <c r="K91">
        <v>1143</v>
      </c>
      <c r="L91">
        <v>1122.9026439614609</v>
      </c>
    </row>
    <row r="92" spans="1:12" x14ac:dyDescent="0.2">
      <c r="A92" s="14">
        <v>43746</v>
      </c>
      <c r="B92">
        <v>877.2</v>
      </c>
      <c r="C92">
        <v>874.4</v>
      </c>
      <c r="D92">
        <v>1157</v>
      </c>
      <c r="E92">
        <v>1162</v>
      </c>
      <c r="F92">
        <v>0.75249569707400998</v>
      </c>
      <c r="G92">
        <v>0.77548722369008105</v>
      </c>
      <c r="H92">
        <v>1.96185971450147E-2</v>
      </c>
      <c r="I92">
        <v>-1.1719251099415899</v>
      </c>
      <c r="J92">
        <v>-3.06</v>
      </c>
      <c r="K92">
        <v>1162</v>
      </c>
      <c r="L92">
        <v>1129.49047725745</v>
      </c>
    </row>
    <row r="93" spans="1:12" x14ac:dyDescent="0.2">
      <c r="A93" s="14">
        <v>43745</v>
      </c>
      <c r="B93">
        <v>887.2</v>
      </c>
      <c r="C93">
        <v>875.7</v>
      </c>
      <c r="D93">
        <v>1155</v>
      </c>
      <c r="E93">
        <v>1145</v>
      </c>
      <c r="F93">
        <v>0.76480349344978105</v>
      </c>
      <c r="G93">
        <v>0.775712427261258</v>
      </c>
      <c r="H93">
        <v>1.9449597376905398E-2</v>
      </c>
      <c r="I93">
        <v>-0.56088224347667803</v>
      </c>
      <c r="J93">
        <v>-1.43</v>
      </c>
      <c r="K93">
        <v>1145</v>
      </c>
      <c r="L93">
        <v>1131.169728881918</v>
      </c>
    </row>
    <row r="94" spans="1:12" x14ac:dyDescent="0.2">
      <c r="A94" s="14">
        <v>43742</v>
      </c>
      <c r="B94">
        <v>880.4</v>
      </c>
      <c r="C94">
        <v>883.6</v>
      </c>
      <c r="D94">
        <v>1137</v>
      </c>
      <c r="E94">
        <v>1135</v>
      </c>
      <c r="F94">
        <v>0.77850220264317105</v>
      </c>
      <c r="G94">
        <v>0.77571866860119199</v>
      </c>
      <c r="H94">
        <v>1.9446170523145598E-2</v>
      </c>
      <c r="I94">
        <v>0.14314047275615299</v>
      </c>
      <c r="J94">
        <v>0.36</v>
      </c>
      <c r="K94">
        <v>1135</v>
      </c>
      <c r="L94">
        <v>1141.3744118306072</v>
      </c>
    </row>
    <row r="95" spans="1:12" x14ac:dyDescent="0.2">
      <c r="A95" s="14">
        <v>43741</v>
      </c>
      <c r="B95">
        <v>881.6</v>
      </c>
      <c r="C95">
        <v>880.4</v>
      </c>
      <c r="D95">
        <v>1125</v>
      </c>
      <c r="E95">
        <v>1152</v>
      </c>
      <c r="F95">
        <v>0.76423611111111101</v>
      </c>
      <c r="G95">
        <v>0.77540436693214598</v>
      </c>
      <c r="H95">
        <v>1.9588617590911201E-2</v>
      </c>
      <c r="I95">
        <v>-0.57014007084489804</v>
      </c>
      <c r="J95">
        <v>-1.46</v>
      </c>
      <c r="K95">
        <v>1152</v>
      </c>
      <c r="L95">
        <v>1137.2408693703785</v>
      </c>
    </row>
    <row r="96" spans="1:12" x14ac:dyDescent="0.2">
      <c r="A96" s="14">
        <v>43740</v>
      </c>
      <c r="B96">
        <v>894.9</v>
      </c>
      <c r="C96">
        <v>901.7</v>
      </c>
      <c r="D96">
        <v>1170</v>
      </c>
      <c r="E96">
        <v>1180</v>
      </c>
      <c r="F96">
        <v>0.76415254237288099</v>
      </c>
      <c r="G96">
        <v>0.77531012733857096</v>
      </c>
      <c r="H96">
        <v>1.9658996016475801E-2</v>
      </c>
      <c r="I96">
        <v>-0.56755619444342698</v>
      </c>
      <c r="J96">
        <v>-1.46</v>
      </c>
      <c r="K96">
        <v>1180</v>
      </c>
      <c r="L96">
        <v>1164.754761371275</v>
      </c>
    </row>
    <row r="97" spans="1:12" x14ac:dyDescent="0.2">
      <c r="A97" s="14">
        <v>43739</v>
      </c>
      <c r="B97">
        <v>886.5</v>
      </c>
      <c r="C97">
        <v>900.9</v>
      </c>
      <c r="D97">
        <v>1155</v>
      </c>
      <c r="E97">
        <v>1183</v>
      </c>
      <c r="F97">
        <v>0.76153846153846105</v>
      </c>
      <c r="G97">
        <v>0.77526496176766801</v>
      </c>
      <c r="H97">
        <v>1.9688447285054901E-2</v>
      </c>
      <c r="I97">
        <v>-0.69718551343690605</v>
      </c>
      <c r="J97">
        <v>-1.8</v>
      </c>
      <c r="K97">
        <v>1183</v>
      </c>
      <c r="L97">
        <v>1163.7213757562176</v>
      </c>
    </row>
    <row r="98" spans="1:12" x14ac:dyDescent="0.2">
      <c r="A98" s="14">
        <v>43738</v>
      </c>
      <c r="B98">
        <v>886.5</v>
      </c>
      <c r="C98">
        <v>875.6</v>
      </c>
      <c r="D98">
        <v>1155</v>
      </c>
      <c r="E98">
        <v>1145</v>
      </c>
      <c r="F98">
        <v>0.76471615720524</v>
      </c>
      <c r="G98">
        <v>0.77536716281146201</v>
      </c>
      <c r="H98">
        <v>1.9636755463730501E-2</v>
      </c>
      <c r="I98">
        <v>-0.54240149936655102</v>
      </c>
      <c r="J98">
        <v>-1.39</v>
      </c>
      <c r="K98">
        <v>1145</v>
      </c>
      <c r="L98">
        <v>1131.0405556800358</v>
      </c>
    </row>
    <row r="99" spans="1:12" x14ac:dyDescent="0.2">
      <c r="A99" s="14">
        <v>43735</v>
      </c>
      <c r="B99">
        <v>894</v>
      </c>
      <c r="C99">
        <v>890.9</v>
      </c>
      <c r="D99">
        <v>1159</v>
      </c>
      <c r="E99">
        <v>1165</v>
      </c>
      <c r="F99">
        <v>0.76472103004291803</v>
      </c>
      <c r="G99">
        <v>0.77542519459939896</v>
      </c>
      <c r="H99">
        <v>1.9611608304457399E-2</v>
      </c>
      <c r="I99">
        <v>-0.54580758448289401</v>
      </c>
      <c r="J99">
        <v>-1.4</v>
      </c>
      <c r="K99">
        <v>1165</v>
      </c>
      <c r="L99">
        <v>1150.8040555680036</v>
      </c>
    </row>
    <row r="100" spans="1:12" x14ac:dyDescent="0.2">
      <c r="A100" s="14">
        <v>43734</v>
      </c>
      <c r="B100">
        <v>906</v>
      </c>
      <c r="C100">
        <v>901.9</v>
      </c>
      <c r="D100">
        <v>1182</v>
      </c>
      <c r="E100">
        <v>1169</v>
      </c>
      <c r="F100">
        <v>0.77151411462788699</v>
      </c>
      <c r="G100">
        <v>0.77568291658831301</v>
      </c>
      <c r="H100">
        <v>1.95962473262946E-2</v>
      </c>
      <c r="I100">
        <v>-0.21273470838634601</v>
      </c>
      <c r="J100">
        <v>-0.54</v>
      </c>
      <c r="K100">
        <v>1169</v>
      </c>
      <c r="L100">
        <v>1165.0131077750391</v>
      </c>
    </row>
    <row r="101" spans="1:12" x14ac:dyDescent="0.2">
      <c r="A101" s="14">
        <v>43733</v>
      </c>
      <c r="B101">
        <v>884</v>
      </c>
      <c r="C101">
        <v>895.6</v>
      </c>
      <c r="D101">
        <v>1162</v>
      </c>
      <c r="E101">
        <v>1167</v>
      </c>
      <c r="F101">
        <v>0.76743787489288695</v>
      </c>
      <c r="G101">
        <v>0.77574725220279805</v>
      </c>
      <c r="H101">
        <v>1.9590375077503601E-2</v>
      </c>
      <c r="I101">
        <v>-0.42415611120446101</v>
      </c>
      <c r="J101">
        <v>-1.08</v>
      </c>
      <c r="K101">
        <v>1167</v>
      </c>
      <c r="L101">
        <v>1156.8751960564643</v>
      </c>
    </row>
    <row r="102" spans="1:12" x14ac:dyDescent="0.2">
      <c r="A102" s="14">
        <v>43732</v>
      </c>
      <c r="B102">
        <v>890</v>
      </c>
      <c r="C102">
        <v>886</v>
      </c>
      <c r="D102">
        <v>1162</v>
      </c>
      <c r="E102">
        <v>1170</v>
      </c>
      <c r="F102">
        <v>0.75726495726495702</v>
      </c>
      <c r="G102">
        <v>0.77589202672589996</v>
      </c>
      <c r="H102">
        <v>1.95685420619565E-2</v>
      </c>
      <c r="I102">
        <v>-0.95188846475981304</v>
      </c>
      <c r="J102">
        <v>-2.46</v>
      </c>
      <c r="K102">
        <v>1170</v>
      </c>
      <c r="L102">
        <v>1144.4745686757785</v>
      </c>
    </row>
    <row r="103" spans="1:12" x14ac:dyDescent="0.2">
      <c r="A103" s="14">
        <v>43728</v>
      </c>
      <c r="B103">
        <v>893.8</v>
      </c>
      <c r="C103">
        <v>894.7</v>
      </c>
      <c r="D103">
        <v>1155</v>
      </c>
      <c r="E103">
        <v>1147</v>
      </c>
      <c r="F103">
        <v>0.78003487358325996</v>
      </c>
      <c r="G103">
        <v>0.776163690649738</v>
      </c>
      <c r="H103">
        <v>1.9449126668000999E-2</v>
      </c>
      <c r="I103">
        <v>0.19904147880795001</v>
      </c>
      <c r="J103">
        <v>0.5</v>
      </c>
      <c r="K103">
        <v>1147</v>
      </c>
      <c r="L103">
        <v>1155.7126372395251</v>
      </c>
    </row>
    <row r="104" spans="1:12" x14ac:dyDescent="0.2">
      <c r="A104" s="14">
        <v>43727</v>
      </c>
      <c r="B104">
        <v>902.5</v>
      </c>
      <c r="C104">
        <v>892.6</v>
      </c>
      <c r="D104">
        <v>1167</v>
      </c>
      <c r="E104">
        <v>1153</v>
      </c>
      <c r="F104">
        <v>0.77415437987857705</v>
      </c>
      <c r="G104">
        <v>0.776271162176565</v>
      </c>
      <c r="H104">
        <v>1.9492442678657001E-2</v>
      </c>
      <c r="I104">
        <v>-0.108595024896758</v>
      </c>
      <c r="J104">
        <v>-0.27</v>
      </c>
      <c r="K104">
        <v>1153</v>
      </c>
      <c r="L104">
        <v>1153</v>
      </c>
    </row>
    <row r="105" spans="1:12" x14ac:dyDescent="0.2">
      <c r="A105" s="14"/>
    </row>
    <row r="106" spans="1:12" x14ac:dyDescent="0.2">
      <c r="A106" s="14"/>
    </row>
    <row r="107" spans="1:12" x14ac:dyDescent="0.2">
      <c r="A107" s="14"/>
    </row>
    <row r="108" spans="1:12" x14ac:dyDescent="0.2">
      <c r="A108" s="14"/>
    </row>
    <row r="109" spans="1:12" x14ac:dyDescent="0.2">
      <c r="A109" s="14"/>
    </row>
    <row r="110" spans="1:12" x14ac:dyDescent="0.2">
      <c r="A110" s="14"/>
    </row>
    <row r="111" spans="1:12" x14ac:dyDescent="0.2">
      <c r="A111" s="14"/>
    </row>
    <row r="112" spans="1:12" x14ac:dyDescent="0.2">
      <c r="A112" s="14"/>
    </row>
    <row r="113" spans="1:1" x14ac:dyDescent="0.2">
      <c r="A113" s="14"/>
    </row>
    <row r="114" spans="1:1" x14ac:dyDescent="0.2">
      <c r="A114" s="14"/>
    </row>
    <row r="115" spans="1:1" x14ac:dyDescent="0.2">
      <c r="A115" s="14"/>
    </row>
    <row r="116" spans="1:1" x14ac:dyDescent="0.2">
      <c r="A116" s="14"/>
    </row>
    <row r="117" spans="1:1" x14ac:dyDescent="0.2">
      <c r="A117" s="14"/>
    </row>
    <row r="118" spans="1:1" x14ac:dyDescent="0.2">
      <c r="A118" s="14"/>
    </row>
    <row r="119" spans="1:1" x14ac:dyDescent="0.2">
      <c r="A119" s="14"/>
    </row>
    <row r="120" spans="1:1" x14ac:dyDescent="0.2">
      <c r="A120" s="14"/>
    </row>
    <row r="121" spans="1:1" x14ac:dyDescent="0.2">
      <c r="A121" s="14"/>
    </row>
    <row r="122" spans="1:1" x14ac:dyDescent="0.2">
      <c r="A122" s="14"/>
    </row>
    <row r="123" spans="1:1" x14ac:dyDescent="0.2">
      <c r="A123" s="14"/>
    </row>
    <row r="124" spans="1:1" x14ac:dyDescent="0.2">
      <c r="A124" s="14"/>
    </row>
    <row r="125" spans="1:1" x14ac:dyDescent="0.2">
      <c r="A125" s="14"/>
    </row>
    <row r="126" spans="1:1" x14ac:dyDescent="0.2">
      <c r="A126" s="14"/>
    </row>
    <row r="127" spans="1:1" x14ac:dyDescent="0.2">
      <c r="A127" s="14"/>
    </row>
    <row r="128" spans="1:1" x14ac:dyDescent="0.2">
      <c r="A128" s="14"/>
    </row>
    <row r="129" spans="1:1" x14ac:dyDescent="0.2">
      <c r="A129" s="14"/>
    </row>
    <row r="130" spans="1:1" x14ac:dyDescent="0.2">
      <c r="A130" s="14"/>
    </row>
    <row r="131" spans="1:1" x14ac:dyDescent="0.2">
      <c r="A131" s="14"/>
    </row>
    <row r="132" spans="1:1" x14ac:dyDescent="0.2">
      <c r="A132" s="14"/>
    </row>
    <row r="133" spans="1:1" x14ac:dyDescent="0.2">
      <c r="A133" s="14"/>
    </row>
    <row r="134" spans="1:1" x14ac:dyDescent="0.2">
      <c r="A134" s="14"/>
    </row>
    <row r="135" spans="1:1" x14ac:dyDescent="0.2">
      <c r="A135" s="14"/>
    </row>
    <row r="136" spans="1:1" x14ac:dyDescent="0.2">
      <c r="A136" s="14"/>
    </row>
    <row r="137" spans="1:1" x14ac:dyDescent="0.2">
      <c r="A137" s="14"/>
    </row>
    <row r="138" spans="1:1" x14ac:dyDescent="0.2">
      <c r="A138" s="14"/>
    </row>
    <row r="139" spans="1:1" x14ac:dyDescent="0.2">
      <c r="A139" s="14"/>
    </row>
    <row r="140" spans="1:1" x14ac:dyDescent="0.2">
      <c r="A140" s="14"/>
    </row>
    <row r="141" spans="1:1" x14ac:dyDescent="0.2">
      <c r="A141" s="14"/>
    </row>
    <row r="142" spans="1:1" x14ac:dyDescent="0.2">
      <c r="A142" s="14"/>
    </row>
    <row r="143" spans="1:1" x14ac:dyDescent="0.2">
      <c r="A143" s="14"/>
    </row>
    <row r="144" spans="1:1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1" x14ac:dyDescent="0.2">
      <c r="A161" s="14"/>
    </row>
    <row r="162" spans="1:1" x14ac:dyDescent="0.2">
      <c r="A162" s="14"/>
    </row>
    <row r="163" spans="1:1" x14ac:dyDescent="0.2">
      <c r="A163" s="14"/>
    </row>
    <row r="164" spans="1:1" x14ac:dyDescent="0.2">
      <c r="A164" s="14"/>
    </row>
    <row r="165" spans="1:1" x14ac:dyDescent="0.2">
      <c r="A165" s="14"/>
    </row>
    <row r="166" spans="1:1" x14ac:dyDescent="0.2">
      <c r="A166" s="14"/>
    </row>
    <row r="167" spans="1:1" x14ac:dyDescent="0.2">
      <c r="A167" s="14"/>
    </row>
    <row r="168" spans="1:1" x14ac:dyDescent="0.2">
      <c r="A168" s="14"/>
    </row>
    <row r="169" spans="1:1" x14ac:dyDescent="0.2">
      <c r="A169" s="14"/>
    </row>
    <row r="170" spans="1:1" x14ac:dyDescent="0.2">
      <c r="A170" s="14"/>
    </row>
    <row r="171" spans="1:1" x14ac:dyDescent="0.2">
      <c r="A171" s="14"/>
    </row>
    <row r="172" spans="1:1" x14ac:dyDescent="0.2">
      <c r="A172" s="14"/>
    </row>
    <row r="173" spans="1:1" x14ac:dyDescent="0.2">
      <c r="A173" s="14"/>
    </row>
    <row r="174" spans="1:1" x14ac:dyDescent="0.2">
      <c r="A174" s="14"/>
    </row>
    <row r="175" spans="1:1" x14ac:dyDescent="0.2">
      <c r="A175" s="14"/>
    </row>
    <row r="176" spans="1:1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20</v>
      </c>
    </row>
    <row r="2" spans="1:1" x14ac:dyDescent="0.2">
      <c r="A2" s="1" t="s">
        <v>21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I25" sqref="I25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79" t="s">
        <v>2211</v>
      </c>
    </row>
    <row r="2" spans="2:23" s="106" customFormat="1" ht="24.75" thickBot="1" x14ac:dyDescent="0.25">
      <c r="C2" s="58" t="s">
        <v>78</v>
      </c>
      <c r="D2" s="68" t="s">
        <v>102</v>
      </c>
      <c r="E2" s="60"/>
      <c r="F2" s="59" t="s">
        <v>42</v>
      </c>
      <c r="G2" s="61" t="s">
        <v>43</v>
      </c>
      <c r="H2" s="62" t="s">
        <v>79</v>
      </c>
      <c r="I2" s="62" t="s">
        <v>80</v>
      </c>
      <c r="J2" s="60" t="s">
        <v>22</v>
      </c>
      <c r="K2" s="60" t="s">
        <v>81</v>
      </c>
      <c r="L2" s="62" t="s">
        <v>82</v>
      </c>
      <c r="M2" s="63" t="s">
        <v>103</v>
      </c>
      <c r="N2" s="60" t="s">
        <v>83</v>
      </c>
      <c r="O2" s="63" t="s">
        <v>97</v>
      </c>
      <c r="P2" s="60" t="s">
        <v>190</v>
      </c>
      <c r="Q2" s="60" t="s">
        <v>84</v>
      </c>
      <c r="R2" s="63" t="s">
        <v>99</v>
      </c>
      <c r="S2" s="66" t="s">
        <v>100</v>
      </c>
      <c r="T2" s="65"/>
      <c r="U2" s="67" t="s">
        <v>196</v>
      </c>
      <c r="V2" s="67" t="s">
        <v>101</v>
      </c>
      <c r="W2" s="64" t="s">
        <v>98</v>
      </c>
    </row>
    <row r="3" spans="2:23" s="106" customFormat="1" x14ac:dyDescent="0.2">
      <c r="B3" s="124" t="s">
        <v>205</v>
      </c>
      <c r="C3" s="285">
        <f>ROW()/2-1</f>
        <v>0.5</v>
      </c>
      <c r="D3" s="287">
        <v>43807</v>
      </c>
      <c r="E3" s="33" t="s">
        <v>193</v>
      </c>
      <c r="F3" s="33">
        <v>3105</v>
      </c>
      <c r="G3" s="55" t="s">
        <v>902</v>
      </c>
      <c r="H3" s="49"/>
      <c r="I3" s="49">
        <v>1000</v>
      </c>
      <c r="J3" s="50">
        <f>H3*I3</f>
        <v>0</v>
      </c>
      <c r="K3" s="52" t="s">
        <v>904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289">
        <f>P3+P4</f>
        <v>0</v>
      </c>
      <c r="S3" s="290" t="e">
        <f>R3/(J3+J4)</f>
        <v>#DIV/0!</v>
      </c>
      <c r="U3" s="292">
        <f>$P$1</f>
        <v>0</v>
      </c>
      <c r="V3" s="283">
        <f>IF(U3&gt;D3,DATEDIF(D3,U3,"d"),0)</f>
        <v>0</v>
      </c>
      <c r="W3" s="284"/>
    </row>
    <row r="4" spans="2:23" s="106" customFormat="1" x14ac:dyDescent="0.2">
      <c r="B4" s="124" t="s">
        <v>755</v>
      </c>
      <c r="C4" s="286"/>
      <c r="D4" s="288">
        <v>43748</v>
      </c>
      <c r="E4" s="29" t="s">
        <v>195</v>
      </c>
      <c r="F4" s="29">
        <v>7762</v>
      </c>
      <c r="G4" s="54" t="s">
        <v>903</v>
      </c>
      <c r="H4" s="46"/>
      <c r="I4" s="46">
        <v>1700</v>
      </c>
      <c r="J4" s="47">
        <f>H4*I4</f>
        <v>0</v>
      </c>
      <c r="K4" s="145" t="s">
        <v>904</v>
      </c>
      <c r="L4" s="41"/>
      <c r="M4" s="31"/>
      <c r="N4" s="146">
        <f>IF(OR(K4="現物",J4=0),0,IF(E4="売",J4*Fee_Refer!$B$12/365*V4, J4*Fee_Refer!$B$11/365*V3))</f>
        <v>0</v>
      </c>
      <c r="O4" s="169">
        <v>0</v>
      </c>
      <c r="P4" s="148">
        <f>IF(L4&gt;0,(L4-H4)*I4-M4-N4-O4,0)</f>
        <v>0</v>
      </c>
      <c r="Q4" s="48" t="e">
        <f>P4/J4</f>
        <v>#DIV/0!</v>
      </c>
      <c r="R4" s="289"/>
      <c r="S4" s="291"/>
      <c r="U4" s="283"/>
      <c r="V4" s="283"/>
      <c r="W4" s="283"/>
    </row>
    <row r="6" spans="2:23" x14ac:dyDescent="0.2">
      <c r="C6" s="14">
        <v>43806</v>
      </c>
      <c r="D6" s="106" t="s">
        <v>905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431"/>
  <sheetViews>
    <sheetView workbookViewId="0">
      <selection activeCell="I37" sqref="I37"/>
    </sheetView>
  </sheetViews>
  <sheetFormatPr defaultRowHeight="14.25" x14ac:dyDescent="0.2"/>
  <cols>
    <col min="1" max="1" width="9" style="102"/>
    <col min="4" max="4" width="9.875" customWidth="1"/>
    <col min="19" max="19" width="15" customWidth="1"/>
    <col min="22" max="22" width="11.25" customWidth="1"/>
  </cols>
  <sheetData>
    <row r="1" spans="2:34" x14ac:dyDescent="0.2"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</row>
    <row r="2" spans="2:34" x14ac:dyDescent="0.2"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5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  <c r="AH2" s="106"/>
    </row>
    <row r="3" spans="2:34" x14ac:dyDescent="0.2">
      <c r="C3" s="106"/>
      <c r="D3" s="106"/>
      <c r="H3" s="106"/>
      <c r="J3" s="106"/>
      <c r="K3" s="106"/>
      <c r="O3" s="106"/>
      <c r="R3" s="15"/>
      <c r="S3" s="106"/>
    </row>
    <row r="4" spans="2:34" x14ac:dyDescent="0.2">
      <c r="C4" s="106"/>
      <c r="D4" s="106"/>
      <c r="H4" s="106"/>
      <c r="J4" s="106"/>
      <c r="K4" s="106"/>
      <c r="O4" s="106"/>
    </row>
    <row r="5" spans="2:34" x14ac:dyDescent="0.2">
      <c r="C5" s="106"/>
      <c r="D5" s="106"/>
      <c r="H5" s="106"/>
      <c r="J5" s="106"/>
      <c r="K5" s="106"/>
      <c r="O5" s="106"/>
    </row>
    <row r="6" spans="2:34" x14ac:dyDescent="0.2">
      <c r="C6" s="106"/>
      <c r="D6" s="106"/>
      <c r="H6" s="106"/>
      <c r="J6" s="106"/>
      <c r="K6" s="106"/>
      <c r="O6" s="106"/>
      <c r="S6" s="15"/>
    </row>
    <row r="7" spans="2:34" x14ac:dyDescent="0.2">
      <c r="C7" s="106"/>
      <c r="D7" s="106"/>
      <c r="H7" s="106"/>
      <c r="J7" s="106"/>
      <c r="K7" s="106"/>
      <c r="O7" s="106"/>
    </row>
    <row r="8" spans="2:34" x14ac:dyDescent="0.2">
      <c r="C8" s="106"/>
      <c r="D8" s="106"/>
      <c r="H8" s="106"/>
      <c r="J8" s="106"/>
      <c r="K8" s="106"/>
      <c r="O8" s="106"/>
      <c r="S8" s="15"/>
    </row>
    <row r="9" spans="2:34" x14ac:dyDescent="0.2">
      <c r="C9" s="106"/>
      <c r="D9" s="106"/>
      <c r="H9" s="106"/>
      <c r="J9" s="106"/>
      <c r="K9" s="106"/>
      <c r="O9" s="106"/>
      <c r="S9" s="15"/>
    </row>
    <row r="10" spans="2:34" x14ac:dyDescent="0.2">
      <c r="C10" s="106"/>
      <c r="D10" s="106"/>
      <c r="H10" s="106"/>
      <c r="J10" s="106"/>
      <c r="K10" s="106"/>
      <c r="O10" s="106"/>
    </row>
    <row r="11" spans="2:34" x14ac:dyDescent="0.2">
      <c r="C11" s="106"/>
      <c r="D11" s="106"/>
      <c r="H11" s="106"/>
      <c r="J11" s="106"/>
      <c r="K11" s="106"/>
      <c r="O11" s="106"/>
    </row>
    <row r="12" spans="2:34" x14ac:dyDescent="0.2">
      <c r="C12" s="106"/>
      <c r="D12" s="106"/>
      <c r="H12" s="106"/>
      <c r="J12" s="106"/>
      <c r="K12" s="106"/>
      <c r="O12" s="106"/>
      <c r="S12" s="15"/>
    </row>
    <row r="13" spans="2:34" x14ac:dyDescent="0.2">
      <c r="C13" s="106"/>
      <c r="D13" s="106"/>
      <c r="H13" s="106"/>
      <c r="J13" s="106"/>
      <c r="K13" s="106"/>
      <c r="O13" s="106"/>
      <c r="S13" s="15"/>
    </row>
    <row r="14" spans="2:34" x14ac:dyDescent="0.2">
      <c r="C14" s="106"/>
      <c r="D14" s="106"/>
      <c r="H14" s="106"/>
      <c r="J14" s="106"/>
      <c r="K14" s="106"/>
      <c r="O14" s="106"/>
      <c r="S14" s="15"/>
    </row>
    <row r="15" spans="2:34" x14ac:dyDescent="0.2">
      <c r="C15" s="106"/>
      <c r="D15" s="106"/>
      <c r="H15" s="106"/>
      <c r="J15" s="106"/>
      <c r="K15" s="106"/>
      <c r="O15" s="106"/>
      <c r="R15" s="106"/>
      <c r="S15" s="15"/>
    </row>
    <row r="16" spans="2:34" x14ac:dyDescent="0.2">
      <c r="C16" s="106"/>
      <c r="D16" s="106"/>
      <c r="H16" s="106"/>
      <c r="J16" s="106"/>
      <c r="K16" s="106"/>
      <c r="O16" s="106"/>
      <c r="S16" s="15"/>
    </row>
    <row r="17" spans="3:19" x14ac:dyDescent="0.2">
      <c r="C17" s="106"/>
      <c r="D17" s="106"/>
      <c r="H17" s="106"/>
      <c r="J17" s="106"/>
      <c r="K17" s="106"/>
      <c r="O17" s="106"/>
      <c r="S17" s="15"/>
    </row>
    <row r="18" spans="3:19" x14ac:dyDescent="0.2">
      <c r="C18" s="106"/>
      <c r="D18" s="106"/>
      <c r="H18" s="106"/>
      <c r="J18" s="106"/>
      <c r="K18" s="106"/>
      <c r="O18" s="106"/>
      <c r="R18" s="106"/>
      <c r="S18" s="15"/>
    </row>
    <row r="19" spans="3:19" x14ac:dyDescent="0.2">
      <c r="C19" s="106"/>
      <c r="D19" s="106"/>
      <c r="H19" s="106"/>
      <c r="J19" s="106"/>
      <c r="K19" s="106"/>
      <c r="O19" s="106"/>
      <c r="R19" s="15"/>
    </row>
    <row r="20" spans="3:19" x14ac:dyDescent="0.2">
      <c r="C20" s="106"/>
      <c r="D20" s="106"/>
      <c r="H20" s="106"/>
      <c r="J20" s="106"/>
      <c r="K20" s="106"/>
      <c r="O20" s="106"/>
    </row>
    <row r="21" spans="3:19" x14ac:dyDescent="0.2">
      <c r="C21" s="106"/>
      <c r="D21" s="106"/>
      <c r="H21" s="106"/>
      <c r="J21" s="106"/>
      <c r="K21" s="106"/>
      <c r="O21" s="106"/>
      <c r="S21" s="106"/>
    </row>
    <row r="22" spans="3:19" x14ac:dyDescent="0.2">
      <c r="C22" s="106"/>
      <c r="D22" s="106"/>
      <c r="H22" s="106"/>
      <c r="J22" s="106"/>
      <c r="K22" s="106"/>
      <c r="O22" s="106"/>
      <c r="R22" s="15"/>
      <c r="S22" s="15"/>
    </row>
    <row r="23" spans="3:19" x14ac:dyDescent="0.2">
      <c r="C23" s="106"/>
      <c r="D23" s="106"/>
      <c r="H23" s="106"/>
      <c r="J23" s="106"/>
      <c r="K23" s="106"/>
      <c r="O23" s="106"/>
      <c r="R23" s="106"/>
      <c r="S23" s="15"/>
    </row>
    <row r="24" spans="3:19" x14ac:dyDescent="0.2">
      <c r="C24" s="106"/>
      <c r="D24" s="106"/>
      <c r="H24" s="106"/>
      <c r="J24" s="106"/>
      <c r="K24" s="106"/>
      <c r="O24" s="106"/>
      <c r="R24" s="106"/>
    </row>
    <row r="25" spans="3:19" x14ac:dyDescent="0.2">
      <c r="C25" s="106"/>
      <c r="D25" s="106"/>
      <c r="H25" s="106"/>
      <c r="J25" s="106"/>
      <c r="K25" s="106"/>
      <c r="O25" s="106"/>
      <c r="S25" s="106"/>
    </row>
    <row r="26" spans="3:19" x14ac:dyDescent="0.2">
      <c r="C26" s="106"/>
      <c r="D26" s="106"/>
      <c r="H26" s="106"/>
      <c r="J26" s="106"/>
      <c r="K26" s="106"/>
      <c r="O26" s="106"/>
      <c r="R26" s="15"/>
      <c r="S26" s="15"/>
    </row>
    <row r="27" spans="3:19" x14ac:dyDescent="0.2">
      <c r="C27" s="106"/>
      <c r="D27" s="106"/>
      <c r="H27" s="106"/>
      <c r="J27" s="106"/>
      <c r="K27" s="106"/>
      <c r="O27" s="106"/>
      <c r="R27" s="106"/>
      <c r="S27" s="15"/>
    </row>
    <row r="28" spans="3:19" x14ac:dyDescent="0.2">
      <c r="C28" s="106"/>
      <c r="D28" s="106"/>
      <c r="H28" s="106"/>
      <c r="J28" s="106"/>
      <c r="K28" s="106"/>
      <c r="O28" s="106"/>
    </row>
    <row r="29" spans="3:19" x14ac:dyDescent="0.2">
      <c r="C29" s="106"/>
      <c r="D29" s="106"/>
      <c r="H29" s="106"/>
      <c r="J29" s="106"/>
      <c r="K29" s="106"/>
      <c r="O29" s="106"/>
      <c r="R29" s="15"/>
      <c r="S29" s="15"/>
    </row>
    <row r="30" spans="3:19" x14ac:dyDescent="0.2">
      <c r="C30" s="106"/>
      <c r="D30" s="106"/>
      <c r="H30" s="106"/>
      <c r="J30" s="106"/>
      <c r="K30" s="106"/>
      <c r="O30" s="106"/>
      <c r="S30" s="15"/>
    </row>
    <row r="31" spans="3:19" x14ac:dyDescent="0.2">
      <c r="C31" s="106"/>
      <c r="D31" s="106"/>
      <c r="H31" s="106"/>
      <c r="J31" s="106"/>
      <c r="K31" s="106"/>
      <c r="O31" s="106"/>
    </row>
    <row r="32" spans="3:19" x14ac:dyDescent="0.2">
      <c r="C32" s="106"/>
      <c r="D32" s="106"/>
      <c r="H32" s="106"/>
      <c r="J32" s="106"/>
      <c r="K32" s="106"/>
      <c r="O32" s="106"/>
      <c r="S32" s="106"/>
    </row>
    <row r="33" spans="3:19" x14ac:dyDescent="0.2">
      <c r="C33" s="106"/>
      <c r="D33" s="106"/>
      <c r="H33" s="106"/>
      <c r="J33" s="106"/>
      <c r="K33" s="106"/>
      <c r="O33" s="106"/>
      <c r="S33" s="106"/>
    </row>
    <row r="34" spans="3:19" x14ac:dyDescent="0.2">
      <c r="C34" s="106"/>
      <c r="D34" s="106"/>
      <c r="H34" s="106"/>
      <c r="J34" s="106"/>
      <c r="K34" s="106"/>
      <c r="O34" s="106"/>
      <c r="R34" s="15"/>
    </row>
    <row r="35" spans="3:19" x14ac:dyDescent="0.2">
      <c r="C35" s="106"/>
      <c r="D35" s="106"/>
      <c r="H35" s="106"/>
      <c r="J35" s="106"/>
      <c r="K35" s="106"/>
      <c r="O35" s="106"/>
      <c r="R35" s="106"/>
      <c r="S35" s="15"/>
    </row>
    <row r="36" spans="3:19" x14ac:dyDescent="0.2">
      <c r="C36" s="106"/>
      <c r="D36" s="106"/>
      <c r="H36" s="106"/>
      <c r="J36" s="106"/>
      <c r="K36" s="106"/>
      <c r="O36" s="106"/>
    </row>
    <row r="37" spans="3:19" x14ac:dyDescent="0.2">
      <c r="C37" s="106"/>
      <c r="D37" s="106"/>
      <c r="H37" s="106"/>
      <c r="J37" s="106"/>
      <c r="K37" s="106"/>
      <c r="O37" s="106"/>
      <c r="S37" s="15"/>
    </row>
    <row r="38" spans="3:19" x14ac:dyDescent="0.2">
      <c r="C38" s="106"/>
      <c r="D38" s="106"/>
      <c r="H38" s="106"/>
      <c r="J38" s="106"/>
      <c r="K38" s="106"/>
      <c r="O38" s="106"/>
      <c r="S38" s="15"/>
    </row>
    <row r="39" spans="3:19" x14ac:dyDescent="0.2">
      <c r="C39" s="106"/>
      <c r="D39" s="106"/>
      <c r="H39" s="106"/>
      <c r="J39" s="106"/>
      <c r="K39" s="106"/>
      <c r="O39" s="106"/>
      <c r="S39" s="15"/>
    </row>
    <row r="40" spans="3:19" x14ac:dyDescent="0.2">
      <c r="C40" s="106"/>
      <c r="D40" s="106"/>
      <c r="H40" s="106"/>
      <c r="J40" s="106"/>
      <c r="K40" s="106"/>
      <c r="O40" s="106"/>
      <c r="S40" s="106"/>
    </row>
    <row r="41" spans="3:19" x14ac:dyDescent="0.2">
      <c r="C41" s="106"/>
      <c r="D41" s="106"/>
      <c r="H41" s="106"/>
      <c r="J41" s="106"/>
      <c r="K41" s="106"/>
      <c r="O41" s="106"/>
    </row>
    <row r="42" spans="3:19" x14ac:dyDescent="0.2">
      <c r="C42" s="106"/>
      <c r="D42" s="106"/>
      <c r="H42" s="106"/>
      <c r="J42" s="106"/>
      <c r="K42" s="106"/>
      <c r="O42" s="106"/>
      <c r="S42" s="15"/>
    </row>
    <row r="43" spans="3:19" x14ac:dyDescent="0.2">
      <c r="C43" s="106"/>
      <c r="D43" s="106"/>
      <c r="H43" s="106"/>
      <c r="J43" s="106"/>
      <c r="K43" s="106"/>
      <c r="O43" s="106"/>
    </row>
    <row r="44" spans="3:19" x14ac:dyDescent="0.2">
      <c r="C44" s="106"/>
      <c r="D44" s="106"/>
      <c r="H44" s="106"/>
      <c r="J44" s="106"/>
      <c r="K44" s="106"/>
      <c r="O44" s="106"/>
      <c r="R44" s="15"/>
      <c r="S44" s="15"/>
    </row>
    <row r="45" spans="3:19" x14ac:dyDescent="0.2">
      <c r="C45" s="106"/>
      <c r="D45" s="106"/>
      <c r="H45" s="106"/>
      <c r="J45" s="106"/>
      <c r="K45" s="106"/>
      <c r="O45" s="106"/>
      <c r="R45" s="106"/>
      <c r="S45" s="15"/>
    </row>
    <row r="46" spans="3:19" x14ac:dyDescent="0.2">
      <c r="C46" s="106"/>
      <c r="D46" s="106"/>
      <c r="H46" s="106"/>
      <c r="J46" s="106"/>
      <c r="K46" s="106"/>
      <c r="O46" s="106"/>
      <c r="S46" s="15"/>
    </row>
    <row r="47" spans="3:19" x14ac:dyDescent="0.2">
      <c r="C47" s="106"/>
      <c r="D47" s="106"/>
      <c r="H47" s="106"/>
      <c r="J47" s="106"/>
      <c r="K47" s="106"/>
      <c r="O47" s="106"/>
      <c r="R47" s="15"/>
      <c r="S47" s="15"/>
    </row>
    <row r="48" spans="3:19" x14ac:dyDescent="0.2">
      <c r="C48" s="106"/>
      <c r="D48" s="106"/>
      <c r="H48" s="106"/>
      <c r="J48" s="106"/>
      <c r="K48" s="106"/>
      <c r="O48" s="106"/>
      <c r="S48" s="15"/>
    </row>
    <row r="49" spans="3:19" x14ac:dyDescent="0.2">
      <c r="C49" s="106"/>
      <c r="D49" s="106"/>
      <c r="H49" s="106"/>
      <c r="J49" s="106"/>
      <c r="K49" s="106"/>
      <c r="O49" s="106"/>
      <c r="S49" s="15"/>
    </row>
    <row r="50" spans="3:19" x14ac:dyDescent="0.2">
      <c r="C50" s="106"/>
      <c r="D50" s="106"/>
      <c r="H50" s="106"/>
      <c r="J50" s="106"/>
      <c r="K50" s="106"/>
      <c r="O50" s="106"/>
    </row>
    <row r="51" spans="3:19" x14ac:dyDescent="0.2">
      <c r="C51" s="106"/>
      <c r="D51" s="106"/>
      <c r="H51" s="106"/>
      <c r="J51" s="106"/>
      <c r="K51" s="106"/>
      <c r="O51" s="106"/>
      <c r="S51" s="15"/>
    </row>
    <row r="52" spans="3:19" x14ac:dyDescent="0.2">
      <c r="C52" s="106"/>
      <c r="D52" s="106"/>
      <c r="H52" s="106"/>
      <c r="J52" s="106"/>
      <c r="K52" s="106"/>
      <c r="O52" s="106"/>
      <c r="S52" s="15"/>
    </row>
    <row r="53" spans="3:19" x14ac:dyDescent="0.2">
      <c r="C53" s="106"/>
      <c r="D53" s="106"/>
      <c r="H53" s="106"/>
      <c r="J53" s="106"/>
      <c r="K53" s="106"/>
      <c r="O53" s="106"/>
      <c r="R53" s="106"/>
      <c r="S53" s="15"/>
    </row>
    <row r="54" spans="3:19" x14ac:dyDescent="0.2">
      <c r="C54" s="106"/>
      <c r="D54" s="106"/>
      <c r="H54" s="106"/>
      <c r="J54" s="106"/>
      <c r="K54" s="106"/>
      <c r="O54" s="106"/>
      <c r="R54" s="106"/>
      <c r="S54" s="15"/>
    </row>
    <row r="55" spans="3:19" x14ac:dyDescent="0.2">
      <c r="C55" s="106"/>
      <c r="D55" s="106"/>
      <c r="H55" s="106"/>
      <c r="J55" s="106"/>
      <c r="K55" s="106"/>
      <c r="O55" s="106"/>
      <c r="R55" s="106"/>
    </row>
    <row r="56" spans="3:19" x14ac:dyDescent="0.2">
      <c r="C56" s="106"/>
      <c r="D56" s="106"/>
      <c r="H56" s="106"/>
      <c r="J56" s="106"/>
      <c r="K56" s="106"/>
      <c r="O56" s="106"/>
      <c r="R56" s="15"/>
    </row>
    <row r="57" spans="3:19" x14ac:dyDescent="0.2">
      <c r="C57" s="106"/>
      <c r="D57" s="106"/>
      <c r="H57" s="106"/>
      <c r="J57" s="106"/>
      <c r="K57" s="106"/>
      <c r="O57" s="106"/>
      <c r="S57" s="15"/>
    </row>
    <row r="58" spans="3:19" x14ac:dyDescent="0.2">
      <c r="C58" s="106"/>
      <c r="D58" s="106"/>
      <c r="H58" s="106"/>
      <c r="J58" s="106"/>
      <c r="K58" s="106"/>
      <c r="O58" s="106"/>
      <c r="S58" s="15"/>
    </row>
    <row r="59" spans="3:19" x14ac:dyDescent="0.2">
      <c r="C59" s="106"/>
      <c r="D59" s="106"/>
      <c r="H59" s="106"/>
      <c r="J59" s="106"/>
      <c r="K59" s="106"/>
      <c r="O59" s="106"/>
      <c r="S59" s="15"/>
    </row>
    <row r="60" spans="3:19" x14ac:dyDescent="0.2">
      <c r="C60" s="106"/>
      <c r="D60" s="106"/>
      <c r="H60" s="106"/>
      <c r="J60" s="106"/>
      <c r="K60" s="106"/>
      <c r="O60" s="106"/>
      <c r="R60" s="15"/>
      <c r="S60" s="15"/>
    </row>
    <row r="61" spans="3:19" x14ac:dyDescent="0.2">
      <c r="C61" s="106"/>
      <c r="D61" s="106"/>
      <c r="H61" s="106"/>
      <c r="J61" s="106"/>
      <c r="K61" s="106"/>
      <c r="O61" s="106"/>
      <c r="S61" s="15"/>
    </row>
    <row r="62" spans="3:19" x14ac:dyDescent="0.2">
      <c r="C62" s="106"/>
      <c r="D62" s="106"/>
      <c r="H62" s="106"/>
      <c r="J62" s="106"/>
      <c r="K62" s="106"/>
      <c r="O62" s="106"/>
      <c r="R62" s="15"/>
    </row>
    <row r="63" spans="3:19" x14ac:dyDescent="0.2">
      <c r="C63" s="106"/>
      <c r="D63" s="106"/>
      <c r="H63" s="106"/>
      <c r="J63" s="106"/>
      <c r="K63" s="106"/>
      <c r="O63" s="106"/>
      <c r="R63" s="15"/>
    </row>
    <row r="64" spans="3:19" x14ac:dyDescent="0.2">
      <c r="C64" s="106"/>
      <c r="D64" s="106"/>
      <c r="H64" s="106"/>
      <c r="J64" s="106"/>
      <c r="K64" s="106"/>
      <c r="O64" s="106"/>
      <c r="R64" s="15"/>
      <c r="S64" s="106"/>
    </row>
    <row r="65" spans="3:19" x14ac:dyDescent="0.2">
      <c r="C65" s="106"/>
      <c r="D65" s="106"/>
      <c r="H65" s="106"/>
      <c r="J65" s="106"/>
      <c r="K65" s="106"/>
      <c r="O65" s="106"/>
    </row>
    <row r="66" spans="3:19" x14ac:dyDescent="0.2">
      <c r="C66" s="106"/>
      <c r="D66" s="106"/>
      <c r="H66" s="106"/>
      <c r="J66" s="106"/>
      <c r="K66" s="106"/>
      <c r="O66" s="106"/>
    </row>
    <row r="67" spans="3:19" x14ac:dyDescent="0.2">
      <c r="C67" s="106"/>
      <c r="D67" s="106"/>
      <c r="H67" s="106"/>
      <c r="J67" s="106"/>
      <c r="K67" s="106"/>
      <c r="O67" s="106"/>
    </row>
    <row r="68" spans="3:19" x14ac:dyDescent="0.2">
      <c r="C68" s="106"/>
      <c r="D68" s="106"/>
      <c r="H68" s="106"/>
      <c r="J68" s="106"/>
      <c r="K68" s="106"/>
      <c r="O68" s="106"/>
    </row>
    <row r="69" spans="3:19" x14ac:dyDescent="0.2">
      <c r="C69" s="106"/>
      <c r="D69" s="106"/>
      <c r="H69" s="106"/>
      <c r="J69" s="106"/>
      <c r="K69" s="106"/>
      <c r="O69" s="106"/>
      <c r="R69" s="106"/>
      <c r="S69" s="106"/>
    </row>
    <row r="70" spans="3:19" x14ac:dyDescent="0.2">
      <c r="C70" s="106"/>
      <c r="D70" s="106"/>
      <c r="H70" s="106"/>
      <c r="J70" s="106"/>
      <c r="K70" s="106"/>
      <c r="O70" s="106"/>
      <c r="R70" s="106"/>
      <c r="S70" s="15"/>
    </row>
    <row r="71" spans="3:19" x14ac:dyDescent="0.2">
      <c r="C71" s="106"/>
      <c r="D71" s="106"/>
      <c r="H71" s="106"/>
      <c r="J71" s="106"/>
      <c r="K71" s="106"/>
      <c r="O71" s="106"/>
      <c r="S71" s="15"/>
    </row>
    <row r="72" spans="3:19" x14ac:dyDescent="0.2">
      <c r="C72" s="106"/>
      <c r="D72" s="106"/>
      <c r="H72" s="106"/>
      <c r="J72" s="106"/>
      <c r="K72" s="106"/>
      <c r="O72" s="106"/>
      <c r="S72" s="15"/>
    </row>
    <row r="73" spans="3:19" x14ac:dyDescent="0.2">
      <c r="C73" s="106"/>
      <c r="D73" s="106"/>
      <c r="H73" s="106"/>
      <c r="J73" s="106"/>
      <c r="K73" s="106"/>
      <c r="O73" s="106"/>
      <c r="R73" s="15"/>
    </row>
    <row r="74" spans="3:19" x14ac:dyDescent="0.2">
      <c r="C74" s="106"/>
      <c r="D74" s="106"/>
      <c r="H74" s="106"/>
      <c r="J74" s="106"/>
      <c r="K74" s="106"/>
      <c r="O74" s="106"/>
      <c r="R74" s="15"/>
      <c r="S74" s="15"/>
    </row>
    <row r="75" spans="3:19" x14ac:dyDescent="0.2">
      <c r="C75" s="106"/>
      <c r="D75" s="106"/>
      <c r="H75" s="106"/>
      <c r="J75" s="106"/>
      <c r="K75" s="106"/>
      <c r="O75" s="106"/>
      <c r="S75" s="106"/>
    </row>
    <row r="76" spans="3:19" x14ac:dyDescent="0.2">
      <c r="C76" s="106"/>
      <c r="D76" s="106"/>
      <c r="H76" s="106"/>
      <c r="J76" s="106"/>
      <c r="K76" s="106"/>
      <c r="O76" s="106"/>
    </row>
    <row r="77" spans="3:19" x14ac:dyDescent="0.2">
      <c r="C77" s="106"/>
      <c r="D77" s="106"/>
      <c r="H77" s="106"/>
      <c r="J77" s="106"/>
      <c r="K77" s="106"/>
      <c r="O77" s="106"/>
      <c r="S77" s="15"/>
    </row>
    <row r="78" spans="3:19" x14ac:dyDescent="0.2">
      <c r="C78" s="106"/>
      <c r="D78" s="106"/>
      <c r="H78" s="106"/>
      <c r="J78" s="106"/>
      <c r="K78" s="106"/>
      <c r="O78" s="106"/>
      <c r="S78" s="15"/>
    </row>
    <row r="79" spans="3:19" x14ac:dyDescent="0.2">
      <c r="C79" s="106"/>
      <c r="D79" s="106"/>
      <c r="H79" s="106"/>
      <c r="J79" s="106"/>
      <c r="K79" s="106"/>
      <c r="O79" s="106"/>
      <c r="R79" s="106"/>
    </row>
    <row r="80" spans="3:19" x14ac:dyDescent="0.2">
      <c r="C80" s="106"/>
      <c r="D80" s="106"/>
      <c r="H80" s="106"/>
      <c r="J80" s="106"/>
      <c r="K80" s="106"/>
      <c r="O80" s="106"/>
      <c r="S80" s="15"/>
    </row>
    <row r="81" spans="3:21" x14ac:dyDescent="0.2">
      <c r="C81" s="106"/>
      <c r="D81" s="106"/>
      <c r="H81" s="106"/>
      <c r="J81" s="106"/>
      <c r="K81" s="106"/>
      <c r="O81" s="106"/>
      <c r="R81" s="106"/>
      <c r="S81" s="15"/>
    </row>
    <row r="82" spans="3:21" x14ac:dyDescent="0.2">
      <c r="C82" s="106"/>
      <c r="D82" s="106"/>
      <c r="H82" s="106"/>
      <c r="J82" s="106"/>
      <c r="K82" s="106"/>
      <c r="O82" s="106"/>
      <c r="S82" s="15"/>
      <c r="T82" s="15"/>
      <c r="U82" s="15"/>
    </row>
    <row r="83" spans="3:21" x14ac:dyDescent="0.2">
      <c r="C83" s="106"/>
      <c r="D83" s="106"/>
      <c r="H83" s="106"/>
      <c r="J83" s="106"/>
      <c r="K83" s="106"/>
      <c r="O83" s="106"/>
      <c r="R83" s="15"/>
    </row>
    <row r="84" spans="3:21" x14ac:dyDescent="0.2">
      <c r="C84" s="106"/>
      <c r="D84" s="106"/>
      <c r="H84" s="106"/>
      <c r="J84" s="106"/>
      <c r="K84" s="106"/>
      <c r="O84" s="106"/>
      <c r="S84" s="106"/>
    </row>
    <row r="85" spans="3:21" x14ac:dyDescent="0.2">
      <c r="C85" s="106"/>
      <c r="D85" s="106"/>
      <c r="H85" s="106"/>
      <c r="J85" s="106"/>
      <c r="K85" s="106"/>
      <c r="O85" s="106"/>
      <c r="S85" s="15"/>
    </row>
    <row r="86" spans="3:21" x14ac:dyDescent="0.2">
      <c r="C86" s="106"/>
      <c r="D86" s="106"/>
      <c r="H86" s="106"/>
      <c r="J86" s="106"/>
      <c r="K86" s="106"/>
      <c r="O86" s="106"/>
      <c r="S86" s="15"/>
    </row>
    <row r="87" spans="3:21" x14ac:dyDescent="0.2">
      <c r="C87" s="106"/>
      <c r="D87" s="106"/>
      <c r="H87" s="106"/>
      <c r="J87" s="106"/>
      <c r="K87" s="106"/>
      <c r="O87" s="106"/>
    </row>
    <row r="88" spans="3:21" x14ac:dyDescent="0.2">
      <c r="C88" s="106"/>
      <c r="D88" s="106"/>
      <c r="H88" s="106"/>
      <c r="J88" s="106"/>
      <c r="K88" s="106"/>
      <c r="O88" s="106"/>
      <c r="S88" s="106"/>
    </row>
    <row r="89" spans="3:21" x14ac:dyDescent="0.2">
      <c r="C89" s="106"/>
      <c r="D89" s="106"/>
      <c r="H89" s="106"/>
      <c r="J89" s="106"/>
      <c r="K89" s="106"/>
      <c r="O89" s="106"/>
      <c r="R89" s="15"/>
    </row>
    <row r="90" spans="3:21" x14ac:dyDescent="0.2">
      <c r="C90" s="106"/>
      <c r="D90" s="106"/>
      <c r="H90" s="106"/>
      <c r="J90" s="106"/>
      <c r="K90" s="106"/>
      <c r="O90" s="106"/>
      <c r="S90" s="15"/>
    </row>
    <row r="91" spans="3:21" x14ac:dyDescent="0.2">
      <c r="C91" s="106"/>
      <c r="D91" s="106"/>
      <c r="H91" s="106"/>
      <c r="J91" s="106"/>
      <c r="K91" s="106"/>
      <c r="O91" s="106"/>
      <c r="R91" s="15"/>
      <c r="S91" s="15"/>
    </row>
    <row r="92" spans="3:21" x14ac:dyDescent="0.2">
      <c r="C92" s="106"/>
      <c r="D92" s="106"/>
      <c r="H92" s="106"/>
      <c r="J92" s="106"/>
      <c r="K92" s="106"/>
      <c r="O92" s="106"/>
    </row>
    <row r="93" spans="3:21" x14ac:dyDescent="0.2">
      <c r="C93" s="106"/>
      <c r="D93" s="106"/>
      <c r="H93" s="106"/>
      <c r="J93" s="106"/>
      <c r="K93" s="106"/>
      <c r="O93" s="106"/>
      <c r="R93" s="106"/>
    </row>
    <row r="94" spans="3:21" x14ac:dyDescent="0.2">
      <c r="C94" s="106"/>
      <c r="D94" s="106"/>
      <c r="H94" s="106"/>
      <c r="J94" s="106"/>
      <c r="K94" s="106"/>
      <c r="O94" s="106"/>
      <c r="R94" s="15"/>
      <c r="S94" s="15"/>
    </row>
    <row r="95" spans="3:21" x14ac:dyDescent="0.2">
      <c r="C95" s="106"/>
      <c r="D95" s="106"/>
      <c r="H95" s="106"/>
      <c r="J95" s="106"/>
      <c r="K95" s="106"/>
      <c r="O95" s="106"/>
      <c r="S95" s="15"/>
    </row>
    <row r="96" spans="3:21" x14ac:dyDescent="0.2">
      <c r="C96" s="106"/>
      <c r="D96" s="106"/>
      <c r="H96" s="106"/>
      <c r="J96" s="106"/>
      <c r="K96" s="106"/>
      <c r="O96" s="106"/>
      <c r="S96" s="15"/>
    </row>
    <row r="97" spans="3:19" x14ac:dyDescent="0.2">
      <c r="C97" s="106"/>
      <c r="D97" s="106"/>
      <c r="H97" s="106"/>
      <c r="J97" s="106"/>
      <c r="K97" s="106"/>
      <c r="O97" s="106"/>
      <c r="S97" s="15"/>
    </row>
    <row r="98" spans="3:19" x14ac:dyDescent="0.2">
      <c r="C98" s="106"/>
      <c r="D98" s="106"/>
      <c r="H98" s="106"/>
      <c r="J98" s="106"/>
      <c r="K98" s="106"/>
      <c r="O98" s="106"/>
      <c r="R98" s="15"/>
    </row>
    <row r="99" spans="3:19" x14ac:dyDescent="0.2">
      <c r="C99" s="106"/>
      <c r="D99" s="106"/>
      <c r="H99" s="106"/>
      <c r="J99" s="106"/>
      <c r="K99" s="106"/>
      <c r="O99" s="106"/>
      <c r="S99" s="15"/>
    </row>
    <row r="100" spans="3:19" x14ac:dyDescent="0.2">
      <c r="C100" s="106"/>
      <c r="D100" s="106"/>
      <c r="H100" s="106"/>
      <c r="J100" s="106"/>
      <c r="K100" s="106"/>
      <c r="O100" s="106"/>
    </row>
    <row r="101" spans="3:19" x14ac:dyDescent="0.2">
      <c r="C101" s="106"/>
      <c r="D101" s="106"/>
      <c r="H101" s="106"/>
      <c r="J101" s="106"/>
      <c r="K101" s="106"/>
      <c r="O101" s="106"/>
    </row>
    <row r="102" spans="3:19" x14ac:dyDescent="0.2">
      <c r="C102" s="106"/>
      <c r="D102" s="106"/>
      <c r="H102" s="106"/>
      <c r="J102" s="106"/>
      <c r="K102" s="106"/>
      <c r="O102" s="106"/>
      <c r="S102" s="15"/>
    </row>
    <row r="103" spans="3:19" x14ac:dyDescent="0.2">
      <c r="C103" s="106"/>
      <c r="D103" s="106"/>
      <c r="H103" s="106"/>
      <c r="J103" s="106"/>
      <c r="K103" s="106"/>
      <c r="O103" s="106"/>
      <c r="R103" s="106"/>
      <c r="S103" s="106"/>
    </row>
    <row r="104" spans="3:19" x14ac:dyDescent="0.2">
      <c r="C104" s="106"/>
      <c r="D104" s="106"/>
      <c r="H104" s="106"/>
      <c r="J104" s="106"/>
      <c r="K104" s="106"/>
      <c r="O104" s="106"/>
      <c r="S104" s="15"/>
    </row>
    <row r="105" spans="3:19" x14ac:dyDescent="0.2">
      <c r="C105" s="106"/>
      <c r="D105" s="106"/>
      <c r="H105" s="106"/>
      <c r="J105" s="106"/>
      <c r="K105" s="106"/>
      <c r="O105" s="106"/>
      <c r="R105" s="106"/>
      <c r="S105" s="106"/>
    </row>
    <row r="106" spans="3:19" x14ac:dyDescent="0.2">
      <c r="C106" s="106"/>
      <c r="D106" s="106"/>
      <c r="H106" s="106"/>
      <c r="J106" s="106"/>
      <c r="K106" s="106"/>
      <c r="O106" s="106"/>
      <c r="S106" s="15"/>
    </row>
    <row r="107" spans="3:19" x14ac:dyDescent="0.2">
      <c r="C107" s="106"/>
      <c r="D107" s="106"/>
      <c r="H107" s="106"/>
      <c r="J107" s="106"/>
      <c r="K107" s="106"/>
      <c r="O107" s="106"/>
      <c r="R107" s="15"/>
      <c r="S107" s="106"/>
    </row>
    <row r="108" spans="3:19" x14ac:dyDescent="0.2">
      <c r="C108" s="106"/>
      <c r="D108" s="106"/>
      <c r="H108" s="106"/>
      <c r="J108" s="106"/>
      <c r="K108" s="106"/>
      <c r="O108" s="106"/>
      <c r="S108" s="106"/>
    </row>
    <row r="109" spans="3:19" x14ac:dyDescent="0.2">
      <c r="C109" s="106"/>
      <c r="D109" s="106"/>
      <c r="H109" s="106"/>
      <c r="J109" s="106"/>
      <c r="K109" s="106"/>
      <c r="O109" s="106"/>
      <c r="S109" s="15"/>
    </row>
    <row r="110" spans="3:19" x14ac:dyDescent="0.2">
      <c r="C110" s="106"/>
      <c r="D110" s="106"/>
      <c r="H110" s="106"/>
      <c r="J110" s="106"/>
      <c r="K110" s="106"/>
      <c r="O110" s="106"/>
      <c r="R110" s="15"/>
    </row>
    <row r="111" spans="3:19" x14ac:dyDescent="0.2">
      <c r="C111" s="106"/>
      <c r="D111" s="106"/>
      <c r="H111" s="106"/>
      <c r="J111" s="106"/>
      <c r="K111" s="106"/>
      <c r="O111" s="106"/>
      <c r="R111" s="106"/>
    </row>
    <row r="112" spans="3:19" x14ac:dyDescent="0.2">
      <c r="C112" s="106"/>
      <c r="D112" s="106"/>
      <c r="H112" s="106"/>
      <c r="J112" s="106"/>
      <c r="K112" s="106"/>
      <c r="O112" s="106"/>
    </row>
    <row r="113" spans="3:19" x14ac:dyDescent="0.2">
      <c r="C113" s="106"/>
      <c r="D113" s="106"/>
      <c r="H113" s="106"/>
      <c r="J113" s="106"/>
      <c r="K113" s="106"/>
      <c r="O113" s="106"/>
      <c r="S113" s="15"/>
    </row>
    <row r="114" spans="3:19" x14ac:dyDescent="0.2">
      <c r="C114" s="106"/>
      <c r="D114" s="106"/>
      <c r="H114" s="106"/>
      <c r="J114" s="106"/>
      <c r="K114" s="106"/>
      <c r="O114" s="106"/>
      <c r="S114" s="15"/>
    </row>
    <row r="115" spans="3:19" x14ac:dyDescent="0.2">
      <c r="C115" s="106"/>
      <c r="D115" s="106"/>
      <c r="H115" s="106"/>
      <c r="J115" s="106"/>
      <c r="K115" s="106"/>
      <c r="O115" s="106"/>
    </row>
    <row r="116" spans="3:19" x14ac:dyDescent="0.2">
      <c r="C116" s="106"/>
      <c r="D116" s="106"/>
      <c r="H116" s="106"/>
      <c r="J116" s="106"/>
      <c r="K116" s="106"/>
      <c r="O116" s="106"/>
    </row>
    <row r="117" spans="3:19" x14ac:dyDescent="0.2">
      <c r="C117" s="106"/>
      <c r="D117" s="106"/>
      <c r="H117" s="106"/>
      <c r="J117" s="106"/>
      <c r="K117" s="106"/>
      <c r="O117" s="106"/>
      <c r="R117" s="15"/>
      <c r="S117" s="15"/>
    </row>
    <row r="118" spans="3:19" x14ac:dyDescent="0.2">
      <c r="C118" s="106"/>
      <c r="D118" s="106"/>
      <c r="H118" s="106"/>
      <c r="J118" s="106"/>
      <c r="K118" s="106"/>
      <c r="O118" s="106"/>
    </row>
    <row r="119" spans="3:19" x14ac:dyDescent="0.2">
      <c r="C119" s="106"/>
      <c r="D119" s="106"/>
      <c r="H119" s="106"/>
      <c r="J119" s="106"/>
      <c r="K119" s="106"/>
      <c r="O119" s="106"/>
      <c r="R119" s="15"/>
    </row>
    <row r="120" spans="3:19" x14ac:dyDescent="0.2">
      <c r="C120" s="106"/>
      <c r="D120" s="106"/>
      <c r="H120" s="106"/>
      <c r="J120" s="106"/>
      <c r="K120" s="106"/>
      <c r="O120" s="106"/>
      <c r="S120" s="106"/>
    </row>
    <row r="121" spans="3:19" x14ac:dyDescent="0.2">
      <c r="C121" s="106"/>
      <c r="D121" s="106"/>
      <c r="H121" s="106"/>
      <c r="J121" s="106"/>
      <c r="K121" s="106"/>
      <c r="O121" s="106"/>
      <c r="R121" s="15"/>
      <c r="S121" s="15"/>
    </row>
    <row r="122" spans="3:19" x14ac:dyDescent="0.2">
      <c r="C122" s="106"/>
      <c r="D122" s="106"/>
      <c r="H122" s="106"/>
      <c r="J122" s="106"/>
      <c r="K122" s="106"/>
      <c r="O122" s="106"/>
      <c r="R122" s="106"/>
    </row>
    <row r="123" spans="3:19" x14ac:dyDescent="0.2">
      <c r="C123" s="106"/>
      <c r="D123" s="106"/>
      <c r="H123" s="106"/>
      <c r="J123" s="106"/>
      <c r="K123" s="106"/>
      <c r="O123" s="106"/>
      <c r="R123" s="106"/>
    </row>
    <row r="124" spans="3:19" x14ac:dyDescent="0.2">
      <c r="C124" s="106"/>
      <c r="D124" s="106"/>
      <c r="H124" s="106"/>
      <c r="J124" s="106"/>
      <c r="K124" s="106"/>
      <c r="O124" s="106"/>
      <c r="R124" s="15"/>
    </row>
    <row r="125" spans="3:19" x14ac:dyDescent="0.2">
      <c r="C125" s="106"/>
      <c r="D125" s="106"/>
      <c r="H125" s="106"/>
      <c r="J125" s="106"/>
      <c r="K125" s="106"/>
      <c r="O125" s="106"/>
      <c r="R125" s="15"/>
      <c r="S125" s="15"/>
    </row>
    <row r="126" spans="3:19" x14ac:dyDescent="0.2">
      <c r="C126" s="106"/>
      <c r="D126" s="106"/>
      <c r="H126" s="106"/>
      <c r="J126" s="106"/>
      <c r="K126" s="106"/>
      <c r="O126" s="106"/>
      <c r="S126" s="15"/>
    </row>
    <row r="127" spans="3:19" x14ac:dyDescent="0.2">
      <c r="C127" s="106"/>
      <c r="D127" s="106"/>
      <c r="H127" s="106"/>
      <c r="J127" s="106"/>
      <c r="K127" s="106"/>
      <c r="O127" s="106"/>
      <c r="S127" s="106"/>
    </row>
    <row r="128" spans="3:19" x14ac:dyDescent="0.2">
      <c r="C128" s="106"/>
      <c r="D128" s="106"/>
      <c r="H128" s="106"/>
      <c r="J128" s="106"/>
      <c r="K128" s="106"/>
      <c r="O128" s="106"/>
      <c r="R128" s="15"/>
    </row>
    <row r="129" spans="3:21" x14ac:dyDescent="0.2">
      <c r="C129" s="106"/>
      <c r="D129" s="106"/>
      <c r="H129" s="106"/>
      <c r="J129" s="106"/>
      <c r="K129" s="106"/>
      <c r="O129" s="106"/>
      <c r="S129" s="106"/>
    </row>
    <row r="130" spans="3:21" x14ac:dyDescent="0.2">
      <c r="C130" s="106"/>
      <c r="D130" s="106"/>
      <c r="H130" s="106"/>
      <c r="J130" s="106"/>
      <c r="K130" s="106"/>
      <c r="O130" s="106"/>
      <c r="R130" s="15"/>
    </row>
    <row r="131" spans="3:21" x14ac:dyDescent="0.2">
      <c r="C131" s="106"/>
      <c r="D131" s="106"/>
      <c r="H131" s="106"/>
      <c r="J131" s="106"/>
      <c r="K131" s="106"/>
      <c r="O131" s="106"/>
      <c r="R131" s="15"/>
      <c r="S131" s="106"/>
    </row>
    <row r="132" spans="3:21" x14ac:dyDescent="0.2">
      <c r="C132" s="106"/>
      <c r="D132" s="106"/>
      <c r="H132" s="106"/>
      <c r="J132" s="106"/>
      <c r="K132" s="106"/>
      <c r="O132" s="106"/>
      <c r="R132" s="15"/>
      <c r="S132" s="15"/>
    </row>
    <row r="133" spans="3:21" x14ac:dyDescent="0.2">
      <c r="C133" s="106"/>
      <c r="D133" s="106"/>
      <c r="H133" s="106"/>
      <c r="J133" s="106"/>
      <c r="K133" s="106"/>
      <c r="O133" s="106"/>
      <c r="S133" s="106"/>
    </row>
    <row r="134" spans="3:21" x14ac:dyDescent="0.2">
      <c r="C134" s="106"/>
      <c r="D134" s="106"/>
      <c r="H134" s="106"/>
      <c r="J134" s="106"/>
      <c r="K134" s="106"/>
      <c r="O134" s="106"/>
    </row>
    <row r="135" spans="3:21" x14ac:dyDescent="0.2">
      <c r="C135" s="106"/>
      <c r="D135" s="106"/>
      <c r="H135" s="106"/>
      <c r="J135" s="106"/>
      <c r="K135" s="106"/>
      <c r="O135" s="106"/>
      <c r="R135" s="15"/>
    </row>
    <row r="136" spans="3:21" x14ac:dyDescent="0.2">
      <c r="C136" s="106"/>
      <c r="D136" s="106"/>
      <c r="H136" s="106"/>
      <c r="J136" s="106"/>
      <c r="K136" s="106"/>
      <c r="O136" s="106"/>
      <c r="S136" s="106"/>
      <c r="T136" s="106"/>
      <c r="U136" s="106"/>
    </row>
    <row r="137" spans="3:21" x14ac:dyDescent="0.2">
      <c r="C137" s="106"/>
      <c r="D137" s="106"/>
      <c r="H137" s="106"/>
      <c r="J137" s="106"/>
      <c r="K137" s="106"/>
      <c r="O137" s="106"/>
      <c r="S137" s="106"/>
    </row>
    <row r="138" spans="3:21" x14ac:dyDescent="0.2">
      <c r="C138" s="106"/>
      <c r="D138" s="106"/>
      <c r="H138" s="106"/>
      <c r="J138" s="106"/>
      <c r="K138" s="106"/>
      <c r="O138" s="106"/>
    </row>
    <row r="139" spans="3:21" x14ac:dyDescent="0.2">
      <c r="C139" s="106"/>
      <c r="D139" s="106"/>
      <c r="H139" s="106"/>
      <c r="J139" s="106"/>
      <c r="K139" s="106"/>
      <c r="O139" s="106"/>
      <c r="R139" s="15"/>
      <c r="S139" s="15"/>
    </row>
    <row r="140" spans="3:21" x14ac:dyDescent="0.2">
      <c r="C140" s="106"/>
      <c r="D140" s="106"/>
      <c r="H140" s="106"/>
      <c r="J140" s="106"/>
      <c r="K140" s="106"/>
      <c r="O140" s="106"/>
      <c r="R140" s="15"/>
    </row>
    <row r="141" spans="3:21" x14ac:dyDescent="0.2">
      <c r="C141" s="106"/>
      <c r="D141" s="106"/>
      <c r="H141" s="106"/>
      <c r="J141" s="106"/>
      <c r="K141" s="106"/>
      <c r="O141" s="106"/>
      <c r="R141" s="15"/>
    </row>
    <row r="142" spans="3:21" x14ac:dyDescent="0.2">
      <c r="C142" s="106"/>
      <c r="D142" s="106"/>
      <c r="H142" s="106"/>
      <c r="J142" s="106"/>
      <c r="K142" s="106"/>
      <c r="O142" s="106"/>
      <c r="S142" s="15"/>
    </row>
    <row r="143" spans="3:21" x14ac:dyDescent="0.2">
      <c r="C143" s="106"/>
      <c r="D143" s="106"/>
      <c r="H143" s="106"/>
      <c r="J143" s="106"/>
      <c r="K143" s="106"/>
      <c r="O143" s="106"/>
    </row>
    <row r="144" spans="3:21" x14ac:dyDescent="0.2">
      <c r="C144" s="106"/>
      <c r="D144" s="106"/>
      <c r="H144" s="106"/>
      <c r="J144" s="106"/>
      <c r="K144" s="106"/>
      <c r="O144" s="106"/>
    </row>
    <row r="145" spans="3:19" x14ac:dyDescent="0.2">
      <c r="C145" s="106"/>
      <c r="D145" s="106"/>
      <c r="H145" s="106"/>
      <c r="J145" s="106"/>
      <c r="K145" s="106"/>
      <c r="O145" s="106"/>
      <c r="R145" s="106"/>
    </row>
    <row r="146" spans="3:19" x14ac:dyDescent="0.2">
      <c r="C146" s="106"/>
      <c r="D146" s="106"/>
      <c r="H146" s="106"/>
      <c r="J146" s="106"/>
      <c r="K146" s="106"/>
      <c r="O146" s="106"/>
      <c r="R146" s="15"/>
    </row>
    <row r="147" spans="3:19" x14ac:dyDescent="0.2">
      <c r="C147" s="106"/>
      <c r="D147" s="106"/>
      <c r="H147" s="106"/>
      <c r="J147" s="106"/>
      <c r="K147" s="106"/>
      <c r="O147" s="106"/>
      <c r="S147" s="15"/>
    </row>
    <row r="148" spans="3:19" x14ac:dyDescent="0.2">
      <c r="C148" s="106"/>
      <c r="D148" s="106"/>
      <c r="H148" s="106"/>
      <c r="J148" s="106"/>
      <c r="K148" s="106"/>
      <c r="O148" s="106"/>
      <c r="S148" s="15"/>
    </row>
    <row r="149" spans="3:19" x14ac:dyDescent="0.2">
      <c r="C149" s="106"/>
      <c r="D149" s="106"/>
      <c r="H149" s="106"/>
      <c r="J149" s="106"/>
      <c r="K149" s="106"/>
      <c r="O149" s="106"/>
    </row>
    <row r="150" spans="3:19" x14ac:dyDescent="0.2">
      <c r="C150" s="106"/>
      <c r="D150" s="106"/>
      <c r="H150" s="106"/>
      <c r="J150" s="106"/>
      <c r="K150" s="106"/>
      <c r="O150" s="106"/>
    </row>
    <row r="151" spans="3:19" x14ac:dyDescent="0.2">
      <c r="C151" s="106"/>
      <c r="D151" s="106"/>
      <c r="H151" s="106"/>
      <c r="J151" s="106"/>
      <c r="K151" s="106"/>
      <c r="O151" s="106"/>
    </row>
    <row r="152" spans="3:19" x14ac:dyDescent="0.2">
      <c r="C152" s="106"/>
      <c r="D152" s="106"/>
      <c r="H152" s="106"/>
      <c r="J152" s="106"/>
      <c r="K152" s="106"/>
      <c r="O152" s="106"/>
      <c r="R152" s="15"/>
      <c r="S152" s="15"/>
    </row>
    <row r="153" spans="3:19" x14ac:dyDescent="0.2">
      <c r="C153" s="106"/>
      <c r="D153" s="106"/>
      <c r="H153" s="106"/>
      <c r="J153" s="106"/>
      <c r="K153" s="106"/>
      <c r="O153" s="106"/>
      <c r="R153" s="106"/>
      <c r="S153" s="15"/>
    </row>
    <row r="154" spans="3:19" x14ac:dyDescent="0.2">
      <c r="C154" s="106"/>
      <c r="D154" s="106"/>
      <c r="H154" s="106"/>
      <c r="J154" s="106"/>
      <c r="K154" s="106"/>
      <c r="O154" s="106"/>
      <c r="S154" s="15"/>
    </row>
    <row r="155" spans="3:19" x14ac:dyDescent="0.2">
      <c r="C155" s="106"/>
      <c r="D155" s="106"/>
      <c r="H155" s="106"/>
      <c r="J155" s="106"/>
      <c r="K155" s="106"/>
      <c r="O155" s="106"/>
    </row>
    <row r="156" spans="3:19" x14ac:dyDescent="0.2">
      <c r="C156" s="106"/>
      <c r="D156" s="106"/>
      <c r="H156" s="106"/>
      <c r="J156" s="106"/>
      <c r="K156" s="106"/>
      <c r="O156" s="106"/>
      <c r="S156" s="15"/>
    </row>
    <row r="157" spans="3:19" x14ac:dyDescent="0.2">
      <c r="C157" s="106"/>
      <c r="D157" s="106"/>
      <c r="H157" s="106"/>
      <c r="J157" s="106"/>
      <c r="K157" s="106"/>
      <c r="O157" s="106"/>
      <c r="R157" s="106"/>
    </row>
    <row r="158" spans="3:19" x14ac:dyDescent="0.2">
      <c r="C158" s="106"/>
      <c r="D158" s="106"/>
      <c r="H158" s="106"/>
      <c r="J158" s="106"/>
      <c r="K158" s="106"/>
      <c r="O158" s="106"/>
      <c r="R158" s="15"/>
      <c r="S158" s="15"/>
    </row>
    <row r="159" spans="3:19" x14ac:dyDescent="0.2">
      <c r="C159" s="106"/>
      <c r="D159" s="106"/>
      <c r="H159" s="106"/>
      <c r="J159" s="106"/>
      <c r="K159" s="106"/>
      <c r="O159" s="106"/>
    </row>
    <row r="160" spans="3:19" x14ac:dyDescent="0.2">
      <c r="C160" s="106"/>
      <c r="D160" s="106"/>
      <c r="H160" s="106"/>
      <c r="J160" s="106"/>
      <c r="K160" s="106"/>
      <c r="O160" s="106"/>
      <c r="S160" s="15"/>
    </row>
    <row r="161" spans="3:19" x14ac:dyDescent="0.2">
      <c r="C161" s="106"/>
      <c r="D161" s="106"/>
      <c r="H161" s="106"/>
      <c r="J161" s="106"/>
      <c r="K161" s="106"/>
      <c r="O161" s="106"/>
    </row>
    <row r="162" spans="3:19" x14ac:dyDescent="0.2">
      <c r="C162" s="106"/>
      <c r="D162" s="106"/>
      <c r="H162" s="106"/>
      <c r="J162" s="106"/>
      <c r="K162" s="106"/>
      <c r="O162" s="106"/>
      <c r="R162" s="15"/>
    </row>
    <row r="163" spans="3:19" x14ac:dyDescent="0.2">
      <c r="C163" s="106"/>
      <c r="D163" s="106"/>
      <c r="H163" s="106"/>
      <c r="J163" s="106"/>
      <c r="K163" s="106"/>
      <c r="O163" s="106"/>
      <c r="S163" s="15"/>
    </row>
    <row r="164" spans="3:19" x14ac:dyDescent="0.2">
      <c r="C164" s="106"/>
      <c r="D164" s="106"/>
      <c r="H164" s="106"/>
      <c r="J164" s="106"/>
      <c r="K164" s="106"/>
      <c r="O164" s="106"/>
    </row>
    <row r="165" spans="3:19" x14ac:dyDescent="0.2">
      <c r="C165" s="106"/>
      <c r="D165" s="106"/>
      <c r="H165" s="106"/>
      <c r="J165" s="106"/>
      <c r="K165" s="106"/>
      <c r="O165" s="106"/>
      <c r="R165" s="15"/>
    </row>
    <row r="166" spans="3:19" x14ac:dyDescent="0.2">
      <c r="C166" s="106"/>
      <c r="D166" s="106"/>
      <c r="H166" s="106"/>
      <c r="J166" s="106"/>
      <c r="K166" s="106"/>
      <c r="O166" s="106"/>
      <c r="R166" s="15"/>
    </row>
    <row r="167" spans="3:19" x14ac:dyDescent="0.2">
      <c r="C167" s="106"/>
      <c r="D167" s="106"/>
      <c r="H167" s="106"/>
      <c r="J167" s="106"/>
      <c r="K167" s="106"/>
      <c r="O167" s="106"/>
    </row>
    <row r="168" spans="3:19" x14ac:dyDescent="0.2">
      <c r="C168" s="106"/>
      <c r="D168" s="106"/>
      <c r="H168" s="106"/>
      <c r="J168" s="106"/>
      <c r="K168" s="106"/>
      <c r="O168" s="106"/>
    </row>
    <row r="169" spans="3:19" x14ac:dyDescent="0.2">
      <c r="C169" s="106"/>
      <c r="D169" s="106"/>
      <c r="H169" s="106"/>
      <c r="J169" s="106"/>
      <c r="K169" s="106"/>
      <c r="O169" s="106"/>
    </row>
    <row r="170" spans="3:19" x14ac:dyDescent="0.2">
      <c r="C170" s="106"/>
      <c r="D170" s="106"/>
      <c r="H170" s="106"/>
      <c r="J170" s="106"/>
      <c r="K170" s="106"/>
      <c r="O170" s="106"/>
      <c r="R170" s="15"/>
    </row>
    <row r="171" spans="3:19" x14ac:dyDescent="0.2">
      <c r="C171" s="106"/>
      <c r="D171" s="106"/>
      <c r="H171" s="106"/>
      <c r="J171" s="106"/>
      <c r="K171" s="106"/>
      <c r="O171" s="106"/>
    </row>
    <row r="172" spans="3:19" x14ac:dyDescent="0.2">
      <c r="C172" s="106"/>
      <c r="D172" s="106"/>
      <c r="H172" s="106"/>
      <c r="J172" s="106"/>
      <c r="K172" s="106"/>
      <c r="O172" s="106"/>
    </row>
    <row r="173" spans="3:19" x14ac:dyDescent="0.2">
      <c r="C173" s="106"/>
      <c r="D173" s="106"/>
      <c r="H173" s="106"/>
      <c r="J173" s="106"/>
      <c r="K173" s="106"/>
      <c r="O173" s="106"/>
    </row>
    <row r="174" spans="3:19" x14ac:dyDescent="0.2">
      <c r="C174" s="106"/>
      <c r="D174" s="106"/>
      <c r="H174" s="106"/>
      <c r="J174" s="106"/>
      <c r="K174" s="106"/>
      <c r="O174" s="106"/>
      <c r="S174" s="15"/>
    </row>
    <row r="175" spans="3:19" x14ac:dyDescent="0.2">
      <c r="C175" s="106"/>
      <c r="D175" s="106"/>
      <c r="H175" s="106"/>
      <c r="J175" s="106"/>
      <c r="K175" s="106"/>
      <c r="O175" s="106"/>
      <c r="S175" s="15"/>
    </row>
    <row r="176" spans="3:19" x14ac:dyDescent="0.2">
      <c r="C176" s="106"/>
      <c r="D176" s="106"/>
      <c r="H176" s="106"/>
      <c r="J176" s="106"/>
      <c r="K176" s="106"/>
      <c r="O176" s="106"/>
    </row>
    <row r="177" spans="3:19" x14ac:dyDescent="0.2">
      <c r="C177" s="106"/>
      <c r="D177" s="106"/>
      <c r="H177" s="106"/>
      <c r="J177" s="106"/>
      <c r="K177" s="106"/>
      <c r="O177" s="106"/>
    </row>
    <row r="178" spans="3:19" x14ac:dyDescent="0.2">
      <c r="C178" s="106"/>
      <c r="D178" s="106"/>
      <c r="H178" s="106"/>
      <c r="J178" s="106"/>
      <c r="K178" s="106"/>
      <c r="O178" s="106"/>
    </row>
    <row r="179" spans="3:19" x14ac:dyDescent="0.2">
      <c r="C179" s="106"/>
      <c r="D179" s="106"/>
      <c r="H179" s="106"/>
      <c r="J179" s="106"/>
      <c r="K179" s="106"/>
      <c r="O179" s="106"/>
    </row>
    <row r="180" spans="3:19" x14ac:dyDescent="0.2">
      <c r="C180" s="106"/>
      <c r="D180" s="106"/>
      <c r="H180" s="106"/>
      <c r="J180" s="106"/>
      <c r="K180" s="106"/>
      <c r="O180" s="106"/>
    </row>
    <row r="181" spans="3:19" x14ac:dyDescent="0.2">
      <c r="C181" s="106"/>
      <c r="D181" s="106"/>
      <c r="H181" s="106"/>
      <c r="J181" s="106"/>
      <c r="K181" s="106"/>
      <c r="O181" s="106"/>
      <c r="S181" s="15"/>
    </row>
    <row r="182" spans="3:19" x14ac:dyDescent="0.2">
      <c r="C182" s="106"/>
      <c r="D182" s="106"/>
      <c r="H182" s="106"/>
      <c r="J182" s="106"/>
      <c r="K182" s="106"/>
      <c r="O182" s="106"/>
      <c r="R182" s="15"/>
    </row>
    <row r="183" spans="3:19" x14ac:dyDescent="0.2">
      <c r="C183" s="106"/>
      <c r="D183" s="106"/>
      <c r="H183" s="106"/>
      <c r="J183" s="106"/>
      <c r="K183" s="106"/>
      <c r="O183" s="106"/>
    </row>
    <row r="184" spans="3:19" x14ac:dyDescent="0.2">
      <c r="C184" s="106"/>
      <c r="D184" s="106"/>
      <c r="H184" s="106"/>
      <c r="J184" s="106"/>
      <c r="K184" s="106"/>
      <c r="O184" s="106"/>
      <c r="R184" s="15"/>
    </row>
    <row r="185" spans="3:19" x14ac:dyDescent="0.2">
      <c r="C185" s="106"/>
      <c r="D185" s="106"/>
      <c r="H185" s="106"/>
      <c r="J185" s="106"/>
      <c r="K185" s="106"/>
      <c r="O185" s="106"/>
    </row>
    <row r="186" spans="3:19" x14ac:dyDescent="0.2">
      <c r="C186" s="106"/>
      <c r="D186" s="106"/>
      <c r="H186" s="106"/>
      <c r="J186" s="106"/>
      <c r="K186" s="106"/>
      <c r="O186" s="106"/>
    </row>
    <row r="187" spans="3:19" x14ac:dyDescent="0.2">
      <c r="C187" s="106"/>
      <c r="D187" s="106"/>
      <c r="H187" s="106"/>
      <c r="J187" s="106"/>
      <c r="K187" s="106"/>
      <c r="O187" s="106"/>
    </row>
    <row r="188" spans="3:19" x14ac:dyDescent="0.2">
      <c r="C188" s="106"/>
      <c r="D188" s="106"/>
      <c r="H188" s="106"/>
      <c r="J188" s="106"/>
      <c r="K188" s="106"/>
      <c r="O188" s="106"/>
    </row>
    <row r="189" spans="3:19" x14ac:dyDescent="0.2">
      <c r="C189" s="106"/>
      <c r="D189" s="106"/>
      <c r="H189" s="106"/>
      <c r="J189" s="106"/>
      <c r="K189" s="106"/>
      <c r="O189" s="106"/>
    </row>
    <row r="190" spans="3:19" x14ac:dyDescent="0.2">
      <c r="C190" s="106"/>
      <c r="D190" s="106"/>
      <c r="H190" s="106"/>
      <c r="J190" s="106"/>
      <c r="K190" s="106"/>
      <c r="O190" s="106"/>
      <c r="S190" s="15"/>
    </row>
    <row r="191" spans="3:19" x14ac:dyDescent="0.2">
      <c r="C191" s="106"/>
      <c r="D191" s="106"/>
      <c r="H191" s="106"/>
      <c r="J191" s="106"/>
      <c r="K191" s="106"/>
      <c r="O191" s="106"/>
      <c r="R191" s="15"/>
      <c r="S191" s="15"/>
    </row>
    <row r="192" spans="3:19" x14ac:dyDescent="0.2">
      <c r="C192" s="106"/>
      <c r="D192" s="106"/>
      <c r="H192" s="106"/>
      <c r="J192" s="106"/>
      <c r="K192" s="106"/>
      <c r="O192" s="106"/>
    </row>
    <row r="193" spans="3:19" x14ac:dyDescent="0.2">
      <c r="C193" s="106"/>
      <c r="D193" s="106"/>
      <c r="H193" s="106"/>
      <c r="J193" s="106"/>
      <c r="K193" s="106"/>
      <c r="O193" s="106"/>
    </row>
    <row r="194" spans="3:19" x14ac:dyDescent="0.2">
      <c r="C194" s="106"/>
      <c r="D194" s="106"/>
      <c r="H194" s="106"/>
      <c r="J194" s="106"/>
      <c r="K194" s="106"/>
      <c r="O194" s="106"/>
    </row>
    <row r="195" spans="3:19" x14ac:dyDescent="0.2">
      <c r="C195" s="106"/>
      <c r="D195" s="106"/>
      <c r="H195" s="106"/>
      <c r="J195" s="106"/>
      <c r="K195" s="106"/>
      <c r="O195" s="106"/>
    </row>
    <row r="196" spans="3:19" x14ac:dyDescent="0.2">
      <c r="C196" s="106"/>
      <c r="D196" s="106"/>
      <c r="H196" s="106"/>
      <c r="J196" s="106"/>
      <c r="K196" s="106"/>
      <c r="O196" s="106"/>
    </row>
    <row r="197" spans="3:19" x14ac:dyDescent="0.2">
      <c r="C197" s="106"/>
      <c r="D197" s="106"/>
      <c r="H197" s="106"/>
      <c r="J197" s="106"/>
      <c r="K197" s="106"/>
      <c r="O197" s="106"/>
      <c r="R197" s="15"/>
      <c r="S197" s="15"/>
    </row>
    <row r="198" spans="3:19" x14ac:dyDescent="0.2">
      <c r="C198" s="106"/>
      <c r="D198" s="106"/>
      <c r="H198" s="106"/>
      <c r="J198" s="106"/>
      <c r="K198" s="106"/>
      <c r="O198" s="106"/>
    </row>
    <row r="199" spans="3:19" x14ac:dyDescent="0.2">
      <c r="C199" s="106"/>
      <c r="D199" s="106"/>
      <c r="H199" s="106"/>
      <c r="J199" s="106"/>
      <c r="K199" s="106"/>
      <c r="O199" s="106"/>
    </row>
    <row r="200" spans="3:19" x14ac:dyDescent="0.2">
      <c r="C200" s="106"/>
      <c r="D200" s="106"/>
      <c r="H200" s="106"/>
      <c r="J200" s="106"/>
      <c r="K200" s="106"/>
      <c r="O200" s="106"/>
    </row>
    <row r="201" spans="3:19" x14ac:dyDescent="0.2">
      <c r="C201" s="106"/>
      <c r="D201" s="106"/>
      <c r="H201" s="106"/>
      <c r="J201" s="106"/>
      <c r="K201" s="106"/>
      <c r="O201" s="106"/>
      <c r="R201" s="15"/>
    </row>
    <row r="202" spans="3:19" x14ac:dyDescent="0.2">
      <c r="C202" s="106"/>
      <c r="D202" s="106"/>
      <c r="H202" s="106"/>
      <c r="J202" s="106"/>
      <c r="K202" s="106"/>
      <c r="O202" s="106"/>
    </row>
    <row r="203" spans="3:19" x14ac:dyDescent="0.2">
      <c r="C203" s="106"/>
      <c r="D203" s="106"/>
      <c r="H203" s="106"/>
      <c r="J203" s="106"/>
      <c r="K203" s="106"/>
      <c r="O203" s="106"/>
    </row>
    <row r="204" spans="3:19" x14ac:dyDescent="0.2">
      <c r="C204" s="106"/>
      <c r="D204" s="106"/>
      <c r="H204" s="106"/>
      <c r="J204" s="106"/>
      <c r="K204" s="106"/>
      <c r="O204" s="106"/>
    </row>
    <row r="205" spans="3:19" x14ac:dyDescent="0.2">
      <c r="C205" s="106"/>
      <c r="D205" s="106"/>
      <c r="H205" s="106"/>
      <c r="J205" s="106"/>
      <c r="K205" s="106"/>
      <c r="O205" s="106"/>
    </row>
    <row r="206" spans="3:19" x14ac:dyDescent="0.2">
      <c r="C206" s="106"/>
      <c r="D206" s="106"/>
      <c r="H206" s="106"/>
      <c r="J206" s="106"/>
      <c r="K206" s="106"/>
      <c r="O206" s="106"/>
      <c r="R206" s="15"/>
    </row>
    <row r="207" spans="3:19" x14ac:dyDescent="0.2">
      <c r="C207" s="106"/>
      <c r="D207" s="106"/>
      <c r="H207" s="106"/>
      <c r="J207" s="106"/>
      <c r="K207" s="106"/>
      <c r="O207" s="106"/>
    </row>
    <row r="208" spans="3:19" x14ac:dyDescent="0.2">
      <c r="C208" s="106"/>
      <c r="D208" s="106"/>
      <c r="H208" s="106"/>
      <c r="J208" s="106"/>
      <c r="K208" s="106"/>
      <c r="O208" s="106"/>
    </row>
    <row r="209" spans="3:19" x14ac:dyDescent="0.2">
      <c r="C209" s="106"/>
      <c r="D209" s="106"/>
      <c r="H209" s="106"/>
      <c r="J209" s="106"/>
      <c r="K209" s="106"/>
      <c r="O209" s="106"/>
      <c r="S209" s="15"/>
    </row>
    <row r="210" spans="3:19" x14ac:dyDescent="0.2">
      <c r="C210" s="106"/>
      <c r="D210" s="106"/>
      <c r="H210" s="106"/>
      <c r="J210" s="106"/>
      <c r="K210" s="106"/>
      <c r="O210" s="106"/>
      <c r="S210" s="15"/>
    </row>
    <row r="211" spans="3:19" x14ac:dyDescent="0.2">
      <c r="C211" s="106"/>
      <c r="D211" s="106"/>
      <c r="H211" s="106"/>
      <c r="J211" s="106"/>
      <c r="K211" s="106"/>
      <c r="O211" s="106"/>
    </row>
    <row r="212" spans="3:19" x14ac:dyDescent="0.2">
      <c r="C212" s="106"/>
      <c r="D212" s="106"/>
      <c r="H212" s="106"/>
      <c r="J212" s="106"/>
      <c r="K212" s="106"/>
      <c r="O212" s="106"/>
    </row>
    <row r="213" spans="3:19" x14ac:dyDescent="0.2">
      <c r="C213" s="106"/>
      <c r="D213" s="106"/>
      <c r="H213" s="106"/>
      <c r="J213" s="106"/>
      <c r="K213" s="106"/>
      <c r="O213" s="106"/>
      <c r="S213" s="15"/>
    </row>
    <row r="214" spans="3:19" x14ac:dyDescent="0.2">
      <c r="C214" s="106"/>
      <c r="D214" s="106"/>
      <c r="H214" s="106"/>
      <c r="J214" s="106"/>
      <c r="K214" s="106"/>
      <c r="O214" s="106"/>
    </row>
    <row r="215" spans="3:19" x14ac:dyDescent="0.2">
      <c r="C215" s="106"/>
      <c r="D215" s="106"/>
      <c r="H215" s="106"/>
      <c r="J215" s="106"/>
      <c r="K215" s="106"/>
      <c r="O215" s="106"/>
      <c r="R215" s="15"/>
    </row>
    <row r="216" spans="3:19" x14ac:dyDescent="0.2">
      <c r="C216" s="106"/>
      <c r="D216" s="106"/>
      <c r="H216" s="106"/>
      <c r="J216" s="106"/>
      <c r="K216" s="106"/>
      <c r="O216" s="106"/>
    </row>
    <row r="217" spans="3:19" x14ac:dyDescent="0.2">
      <c r="C217" s="106"/>
      <c r="D217" s="106"/>
      <c r="H217" s="106"/>
      <c r="J217" s="106"/>
      <c r="K217" s="106"/>
      <c r="O217" s="106"/>
    </row>
    <row r="218" spans="3:19" x14ac:dyDescent="0.2">
      <c r="C218" s="106"/>
      <c r="D218" s="106"/>
      <c r="H218" s="106"/>
      <c r="J218" s="106"/>
      <c r="K218" s="106"/>
      <c r="O218" s="106"/>
    </row>
    <row r="219" spans="3:19" x14ac:dyDescent="0.2">
      <c r="C219" s="106"/>
      <c r="D219" s="106"/>
      <c r="H219" s="106"/>
      <c r="J219" s="106"/>
      <c r="K219" s="106"/>
      <c r="O219" s="106"/>
    </row>
    <row r="220" spans="3:19" x14ac:dyDescent="0.2">
      <c r="C220" s="106"/>
      <c r="D220" s="106"/>
      <c r="H220" s="106"/>
      <c r="J220" s="106"/>
      <c r="K220" s="106"/>
      <c r="O220" s="106"/>
    </row>
    <row r="221" spans="3:19" x14ac:dyDescent="0.2">
      <c r="C221" s="106"/>
      <c r="D221" s="106"/>
      <c r="H221" s="106"/>
      <c r="J221" s="106"/>
      <c r="K221" s="106"/>
      <c r="O221" s="106"/>
      <c r="R221" s="15"/>
    </row>
    <row r="222" spans="3:19" x14ac:dyDescent="0.2">
      <c r="C222" s="106"/>
      <c r="D222" s="106"/>
      <c r="H222" s="106"/>
      <c r="J222" s="106"/>
      <c r="K222" s="106"/>
      <c r="O222" s="106"/>
      <c r="R222" s="15"/>
    </row>
    <row r="223" spans="3:19" x14ac:dyDescent="0.2">
      <c r="C223" s="106"/>
      <c r="D223" s="106"/>
      <c r="H223" s="106"/>
      <c r="J223" s="106"/>
      <c r="K223" s="106"/>
      <c r="O223" s="106"/>
    </row>
    <row r="224" spans="3:19" x14ac:dyDescent="0.2">
      <c r="C224" s="106"/>
      <c r="D224" s="106"/>
      <c r="H224" s="106"/>
      <c r="J224" s="106"/>
      <c r="K224" s="106"/>
      <c r="O224" s="106"/>
    </row>
    <row r="225" spans="3:19" x14ac:dyDescent="0.2">
      <c r="C225" s="106"/>
      <c r="D225" s="106"/>
      <c r="H225" s="106"/>
      <c r="J225" s="106"/>
      <c r="K225" s="106"/>
      <c r="O225" s="106"/>
      <c r="R225" s="15"/>
    </row>
    <row r="226" spans="3:19" x14ac:dyDescent="0.2">
      <c r="C226" s="106"/>
      <c r="D226" s="106"/>
      <c r="H226" s="106"/>
      <c r="J226" s="106"/>
      <c r="K226" s="106"/>
      <c r="O226" s="106"/>
    </row>
    <row r="227" spans="3:19" x14ac:dyDescent="0.2">
      <c r="C227" s="106"/>
      <c r="D227" s="106"/>
      <c r="H227" s="106"/>
      <c r="J227" s="106"/>
      <c r="K227" s="106"/>
      <c r="O227" s="106"/>
    </row>
    <row r="228" spans="3:19" x14ac:dyDescent="0.2">
      <c r="C228" s="106"/>
      <c r="D228" s="106"/>
      <c r="H228" s="106"/>
      <c r="J228" s="106"/>
      <c r="K228" s="106"/>
      <c r="O228" s="106"/>
    </row>
    <row r="229" spans="3:19" x14ac:dyDescent="0.2">
      <c r="C229" s="106"/>
      <c r="D229" s="106"/>
      <c r="H229" s="106"/>
      <c r="J229" s="106"/>
      <c r="K229" s="106"/>
      <c r="O229" s="106"/>
    </row>
    <row r="230" spans="3:19" x14ac:dyDescent="0.2">
      <c r="C230" s="106"/>
      <c r="D230" s="106"/>
      <c r="H230" s="106"/>
      <c r="J230" s="106"/>
      <c r="K230" s="106"/>
      <c r="O230" s="106"/>
    </row>
    <row r="231" spans="3:19" x14ac:dyDescent="0.2">
      <c r="C231" s="106"/>
      <c r="D231" s="106"/>
      <c r="H231" s="106"/>
      <c r="J231" s="106"/>
      <c r="K231" s="106"/>
      <c r="O231" s="106"/>
    </row>
    <row r="232" spans="3:19" x14ac:dyDescent="0.2">
      <c r="C232" s="106"/>
      <c r="D232" s="106"/>
      <c r="H232" s="106"/>
      <c r="J232" s="106"/>
      <c r="K232" s="106"/>
      <c r="O232" s="106"/>
    </row>
    <row r="233" spans="3:19" x14ac:dyDescent="0.2">
      <c r="C233" s="106"/>
      <c r="D233" s="106"/>
      <c r="H233" s="106"/>
      <c r="J233" s="106"/>
      <c r="K233" s="106"/>
      <c r="O233" s="106"/>
      <c r="R233" s="15"/>
    </row>
    <row r="234" spans="3:19" x14ac:dyDescent="0.2">
      <c r="C234" s="106"/>
      <c r="D234" s="106"/>
      <c r="H234" s="106"/>
      <c r="J234" s="106"/>
      <c r="K234" s="106"/>
      <c r="O234" s="106"/>
    </row>
    <row r="235" spans="3:19" x14ac:dyDescent="0.2">
      <c r="C235" s="106"/>
      <c r="D235" s="106"/>
      <c r="H235" s="106"/>
      <c r="J235" s="106"/>
      <c r="K235" s="106"/>
      <c r="O235" s="106"/>
    </row>
    <row r="236" spans="3:19" x14ac:dyDescent="0.2">
      <c r="C236" s="106"/>
      <c r="D236" s="106"/>
      <c r="H236" s="106"/>
      <c r="J236" s="106"/>
      <c r="K236" s="106"/>
      <c r="O236" s="106"/>
    </row>
    <row r="237" spans="3:19" x14ac:dyDescent="0.2">
      <c r="C237" s="106"/>
      <c r="D237" s="106"/>
      <c r="H237" s="106"/>
      <c r="J237" s="106"/>
      <c r="K237" s="106"/>
      <c r="O237" s="106"/>
      <c r="R237" s="15"/>
      <c r="S237" s="15"/>
    </row>
    <row r="238" spans="3:19" x14ac:dyDescent="0.2">
      <c r="C238" s="106"/>
      <c r="D238" s="106"/>
      <c r="H238" s="106"/>
      <c r="J238" s="106"/>
      <c r="K238" s="106"/>
      <c r="O238" s="106"/>
    </row>
    <row r="239" spans="3:19" x14ac:dyDescent="0.2">
      <c r="C239" s="106"/>
      <c r="D239" s="106"/>
      <c r="H239" s="106"/>
      <c r="J239" s="106"/>
      <c r="K239" s="106"/>
      <c r="O239" s="106"/>
    </row>
    <row r="240" spans="3:19" x14ac:dyDescent="0.2">
      <c r="C240" s="106"/>
      <c r="D240" s="106"/>
      <c r="H240" s="106"/>
      <c r="J240" s="106"/>
      <c r="K240" s="106"/>
      <c r="O240" s="106"/>
      <c r="R240" s="15"/>
    </row>
    <row r="241" spans="3:19" x14ac:dyDescent="0.2">
      <c r="C241" s="106"/>
      <c r="D241" s="106"/>
      <c r="H241" s="106"/>
      <c r="J241" s="106"/>
      <c r="K241" s="106"/>
      <c r="O241" s="106"/>
    </row>
    <row r="242" spans="3:19" x14ac:dyDescent="0.2">
      <c r="C242" s="106"/>
      <c r="D242" s="106"/>
      <c r="H242" s="106"/>
      <c r="J242" s="106"/>
      <c r="K242" s="106"/>
      <c r="O242" s="106"/>
    </row>
    <row r="243" spans="3:19" x14ac:dyDescent="0.2">
      <c r="C243" s="106"/>
      <c r="D243" s="106"/>
      <c r="H243" s="106"/>
      <c r="J243" s="106"/>
      <c r="K243" s="106"/>
      <c r="O243" s="106"/>
      <c r="R243" s="15"/>
    </row>
    <row r="244" spans="3:19" x14ac:dyDescent="0.2">
      <c r="C244" s="106"/>
      <c r="D244" s="106"/>
      <c r="H244" s="106"/>
      <c r="J244" s="106"/>
      <c r="K244" s="106"/>
      <c r="O244" s="106"/>
      <c r="R244" s="15"/>
      <c r="S244" s="15"/>
    </row>
    <row r="245" spans="3:19" x14ac:dyDescent="0.2">
      <c r="C245" s="106"/>
      <c r="D245" s="106"/>
      <c r="H245" s="106"/>
      <c r="J245" s="106"/>
      <c r="K245" s="106"/>
      <c r="O245" s="106"/>
    </row>
    <row r="246" spans="3:19" x14ac:dyDescent="0.2">
      <c r="C246" s="106"/>
      <c r="D246" s="106"/>
      <c r="H246" s="106"/>
      <c r="J246" s="106"/>
      <c r="K246" s="106"/>
      <c r="O246" s="106"/>
    </row>
    <row r="247" spans="3:19" x14ac:dyDescent="0.2">
      <c r="C247" s="106"/>
      <c r="D247" s="106"/>
      <c r="H247" s="106"/>
      <c r="J247" s="106"/>
      <c r="K247" s="106"/>
      <c r="O247" s="106"/>
    </row>
    <row r="248" spans="3:19" x14ac:dyDescent="0.2">
      <c r="C248" s="106"/>
      <c r="D248" s="106"/>
      <c r="H248" s="106"/>
      <c r="J248" s="106"/>
      <c r="K248" s="106"/>
      <c r="O248" s="106"/>
    </row>
    <row r="249" spans="3:19" x14ac:dyDescent="0.2">
      <c r="C249" s="106"/>
      <c r="D249" s="106"/>
      <c r="H249" s="106"/>
      <c r="J249" s="106"/>
      <c r="K249" s="106"/>
      <c r="O249" s="106"/>
    </row>
    <row r="250" spans="3:19" x14ac:dyDescent="0.2">
      <c r="C250" s="106"/>
      <c r="D250" s="106"/>
      <c r="H250" s="106"/>
      <c r="J250" s="106"/>
      <c r="K250" s="106"/>
      <c r="O250" s="106"/>
    </row>
    <row r="251" spans="3:19" x14ac:dyDescent="0.2">
      <c r="C251" s="106"/>
      <c r="D251" s="106"/>
      <c r="H251" s="106"/>
      <c r="J251" s="106"/>
      <c r="K251" s="106"/>
      <c r="O251" s="106"/>
    </row>
    <row r="252" spans="3:19" x14ac:dyDescent="0.2">
      <c r="C252" s="106"/>
      <c r="D252" s="106"/>
      <c r="H252" s="106"/>
      <c r="J252" s="106"/>
      <c r="K252" s="106"/>
      <c r="O252" s="106"/>
    </row>
    <row r="253" spans="3:19" x14ac:dyDescent="0.2">
      <c r="C253" s="106"/>
      <c r="D253" s="106"/>
      <c r="H253" s="106"/>
      <c r="J253" s="106"/>
      <c r="K253" s="106"/>
      <c r="O253" s="106"/>
    </row>
    <row r="254" spans="3:19" x14ac:dyDescent="0.2">
      <c r="C254" s="106"/>
      <c r="D254" s="106"/>
      <c r="H254" s="106"/>
      <c r="J254" s="106"/>
      <c r="K254" s="106"/>
      <c r="O254" s="106"/>
    </row>
    <row r="255" spans="3:19" x14ac:dyDescent="0.2">
      <c r="C255" s="106"/>
      <c r="D255" s="106"/>
      <c r="H255" s="106"/>
      <c r="J255" s="106"/>
      <c r="K255" s="106"/>
      <c r="O255" s="106"/>
    </row>
    <row r="256" spans="3:19" x14ac:dyDescent="0.2">
      <c r="C256" s="106"/>
      <c r="D256" s="106"/>
      <c r="H256" s="106"/>
      <c r="J256" s="106"/>
      <c r="K256" s="106"/>
      <c r="O256" s="106"/>
    </row>
    <row r="257" spans="3:18" x14ac:dyDescent="0.2">
      <c r="C257" s="106"/>
      <c r="D257" s="106"/>
      <c r="H257" s="106"/>
      <c r="J257" s="106"/>
      <c r="K257" s="106"/>
      <c r="O257" s="106"/>
      <c r="R257" s="15"/>
    </row>
    <row r="258" spans="3:18" x14ac:dyDescent="0.2">
      <c r="C258" s="106"/>
      <c r="D258" s="106"/>
      <c r="H258" s="106"/>
      <c r="J258" s="106"/>
      <c r="K258" s="106"/>
      <c r="O258" s="106"/>
    </row>
    <row r="259" spans="3:18" x14ac:dyDescent="0.2">
      <c r="C259" s="106"/>
      <c r="D259" s="106"/>
      <c r="H259" s="106"/>
      <c r="J259" s="106"/>
      <c r="K259" s="106"/>
      <c r="O259" s="106"/>
      <c r="R259" s="15"/>
    </row>
    <row r="260" spans="3:18" x14ac:dyDescent="0.2">
      <c r="C260" s="106"/>
      <c r="D260" s="106"/>
      <c r="H260" s="106"/>
      <c r="J260" s="106"/>
      <c r="K260" s="106"/>
      <c r="O260" s="106"/>
    </row>
    <row r="261" spans="3:18" x14ac:dyDescent="0.2">
      <c r="C261" s="106"/>
      <c r="D261" s="106"/>
      <c r="H261" s="106"/>
      <c r="J261" s="106"/>
      <c r="K261" s="106"/>
      <c r="O261" s="106"/>
    </row>
    <row r="262" spans="3:18" x14ac:dyDescent="0.2">
      <c r="C262" s="106"/>
      <c r="D262" s="106"/>
      <c r="H262" s="106"/>
      <c r="J262" s="106"/>
      <c r="K262" s="106"/>
      <c r="O262" s="106"/>
      <c r="R262" s="15"/>
    </row>
    <row r="263" spans="3:18" x14ac:dyDescent="0.2">
      <c r="C263" s="106"/>
      <c r="D263" s="106"/>
      <c r="H263" s="106"/>
      <c r="J263" s="106"/>
      <c r="K263" s="106"/>
      <c r="O263" s="106"/>
    </row>
    <row r="264" spans="3:18" x14ac:dyDescent="0.2">
      <c r="C264" s="106"/>
      <c r="D264" s="106"/>
      <c r="H264" s="106"/>
      <c r="J264" s="106"/>
      <c r="K264" s="106"/>
      <c r="O264" s="106"/>
    </row>
    <row r="265" spans="3:18" x14ac:dyDescent="0.2">
      <c r="C265" s="106"/>
      <c r="D265" s="106"/>
      <c r="H265" s="106"/>
      <c r="J265" s="106"/>
      <c r="K265" s="106"/>
      <c r="O265" s="106"/>
    </row>
    <row r="266" spans="3:18" x14ac:dyDescent="0.2">
      <c r="C266" s="106"/>
      <c r="D266" s="106"/>
      <c r="H266" s="106"/>
      <c r="J266" s="106"/>
      <c r="K266" s="106"/>
      <c r="O266" s="106"/>
    </row>
    <row r="267" spans="3:18" x14ac:dyDescent="0.2">
      <c r="C267" s="106"/>
      <c r="D267" s="106"/>
      <c r="H267" s="106"/>
      <c r="J267" s="106"/>
      <c r="K267" s="106"/>
      <c r="O267" s="106"/>
    </row>
    <row r="268" spans="3:18" x14ac:dyDescent="0.2">
      <c r="C268" s="106"/>
      <c r="D268" s="106"/>
      <c r="H268" s="106"/>
      <c r="J268" s="106"/>
      <c r="K268" s="106"/>
      <c r="O268" s="106"/>
    </row>
    <row r="269" spans="3:18" x14ac:dyDescent="0.2">
      <c r="C269" s="106"/>
      <c r="D269" s="106"/>
      <c r="H269" s="106"/>
      <c r="J269" s="106"/>
      <c r="K269" s="106"/>
      <c r="O269" s="106"/>
    </row>
    <row r="270" spans="3:18" x14ac:dyDescent="0.2">
      <c r="C270" s="106"/>
      <c r="D270" s="106"/>
      <c r="H270" s="106"/>
      <c r="J270" s="106"/>
      <c r="K270" s="106"/>
      <c r="O270" s="106"/>
    </row>
    <row r="271" spans="3:18" x14ac:dyDescent="0.2">
      <c r="C271" s="106"/>
      <c r="D271" s="106"/>
      <c r="H271" s="106"/>
      <c r="J271" s="106"/>
      <c r="K271" s="106"/>
      <c r="O271" s="106"/>
    </row>
    <row r="272" spans="3:18" x14ac:dyDescent="0.2">
      <c r="C272" s="106"/>
      <c r="D272" s="106"/>
      <c r="H272" s="106"/>
      <c r="J272" s="106"/>
      <c r="K272" s="106"/>
      <c r="O272" s="106"/>
    </row>
    <row r="273" spans="3:18" x14ac:dyDescent="0.2">
      <c r="C273" s="106"/>
      <c r="D273" s="106"/>
      <c r="H273" s="106"/>
      <c r="J273" s="106"/>
      <c r="K273" s="106"/>
      <c r="O273" s="106"/>
    </row>
    <row r="274" spans="3:18" x14ac:dyDescent="0.2">
      <c r="C274" s="106"/>
      <c r="D274" s="106"/>
      <c r="H274" s="106"/>
      <c r="J274" s="106"/>
      <c r="K274" s="106"/>
      <c r="O274" s="106"/>
    </row>
    <row r="275" spans="3:18" x14ac:dyDescent="0.2">
      <c r="C275" s="106"/>
      <c r="D275" s="106"/>
      <c r="H275" s="106"/>
      <c r="J275" s="106"/>
      <c r="K275" s="106"/>
      <c r="O275" s="106"/>
    </row>
    <row r="276" spans="3:18" x14ac:dyDescent="0.2">
      <c r="C276" s="106"/>
      <c r="D276" s="106"/>
      <c r="H276" s="106"/>
      <c r="J276" s="106"/>
      <c r="K276" s="106"/>
      <c r="O276" s="106"/>
    </row>
    <row r="277" spans="3:18" x14ac:dyDescent="0.2">
      <c r="C277" s="106"/>
      <c r="D277" s="106"/>
      <c r="H277" s="106"/>
      <c r="J277" s="106"/>
      <c r="K277" s="106"/>
      <c r="O277" s="106"/>
    </row>
    <row r="278" spans="3:18" x14ac:dyDescent="0.2">
      <c r="C278" s="106"/>
      <c r="D278" s="106"/>
      <c r="H278" s="106"/>
      <c r="J278" s="106"/>
      <c r="K278" s="106"/>
      <c r="O278" s="106"/>
    </row>
    <row r="279" spans="3:18" x14ac:dyDescent="0.2">
      <c r="C279" s="106"/>
      <c r="D279" s="106"/>
      <c r="H279" s="106"/>
      <c r="J279" s="106"/>
      <c r="K279" s="106"/>
      <c r="O279" s="106"/>
    </row>
    <row r="280" spans="3:18" x14ac:dyDescent="0.2">
      <c r="C280" s="106"/>
      <c r="D280" s="106"/>
      <c r="H280" s="106"/>
      <c r="J280" s="106"/>
      <c r="K280" s="106"/>
      <c r="O280" s="106"/>
    </row>
    <row r="281" spans="3:18" x14ac:dyDescent="0.2">
      <c r="C281" s="106"/>
      <c r="D281" s="106"/>
      <c r="H281" s="106"/>
      <c r="J281" s="106"/>
      <c r="K281" s="106"/>
      <c r="O281" s="106"/>
      <c r="R281" s="15"/>
    </row>
    <row r="282" spans="3:18" x14ac:dyDescent="0.2">
      <c r="C282" s="106"/>
      <c r="D282" s="106"/>
      <c r="H282" s="106"/>
      <c r="J282" s="106"/>
      <c r="K282" s="106"/>
      <c r="O282" s="106"/>
    </row>
    <row r="283" spans="3:18" x14ac:dyDescent="0.2">
      <c r="C283" s="106"/>
      <c r="D283" s="106"/>
      <c r="H283" s="106"/>
      <c r="J283" s="106"/>
      <c r="K283" s="106"/>
      <c r="O283" s="106"/>
    </row>
    <row r="284" spans="3:18" x14ac:dyDescent="0.2">
      <c r="C284" s="106"/>
      <c r="D284" s="106"/>
      <c r="H284" s="106"/>
      <c r="J284" s="106"/>
      <c r="K284" s="106"/>
      <c r="O284" s="106"/>
    </row>
    <row r="285" spans="3:18" x14ac:dyDescent="0.2">
      <c r="C285" s="106"/>
      <c r="D285" s="106"/>
      <c r="H285" s="106"/>
      <c r="J285" s="106"/>
      <c r="K285" s="106"/>
      <c r="O285" s="106"/>
    </row>
    <row r="286" spans="3:18" x14ac:dyDescent="0.2">
      <c r="C286" s="106"/>
      <c r="D286" s="106"/>
      <c r="H286" s="106"/>
      <c r="J286" s="106"/>
      <c r="K286" s="106"/>
      <c r="O286" s="106"/>
    </row>
    <row r="287" spans="3:18" x14ac:dyDescent="0.2">
      <c r="C287" s="106"/>
      <c r="D287" s="106"/>
      <c r="H287" s="106"/>
      <c r="J287" s="106"/>
      <c r="K287" s="106"/>
      <c r="O287" s="106"/>
    </row>
    <row r="288" spans="3:18" x14ac:dyDescent="0.2">
      <c r="C288" s="106"/>
      <c r="D288" s="106"/>
      <c r="H288" s="106"/>
      <c r="J288" s="106"/>
      <c r="K288" s="106"/>
      <c r="O288" s="106"/>
    </row>
    <row r="289" spans="3:19" x14ac:dyDescent="0.2">
      <c r="C289" s="106"/>
      <c r="D289" s="106"/>
      <c r="H289" s="106"/>
      <c r="J289" s="106"/>
      <c r="K289" s="106"/>
      <c r="O289" s="106"/>
    </row>
    <row r="290" spans="3:19" x14ac:dyDescent="0.2">
      <c r="C290" s="106"/>
      <c r="D290" s="106"/>
      <c r="H290" s="106"/>
      <c r="J290" s="106"/>
      <c r="K290" s="106"/>
      <c r="O290" s="106"/>
    </row>
    <row r="291" spans="3:19" x14ac:dyDescent="0.2">
      <c r="C291" s="106"/>
      <c r="D291" s="106"/>
      <c r="H291" s="106"/>
      <c r="J291" s="106"/>
      <c r="K291" s="106"/>
      <c r="O291" s="106"/>
    </row>
    <row r="292" spans="3:19" x14ac:dyDescent="0.2">
      <c r="C292" s="106"/>
      <c r="D292" s="106"/>
      <c r="H292" s="106"/>
      <c r="J292" s="106"/>
      <c r="K292" s="106"/>
      <c r="O292" s="106"/>
    </row>
    <row r="293" spans="3:19" x14ac:dyDescent="0.2">
      <c r="C293" s="106"/>
      <c r="D293" s="106"/>
      <c r="H293" s="106"/>
      <c r="J293" s="106"/>
      <c r="K293" s="106"/>
      <c r="O293" s="106"/>
    </row>
    <row r="294" spans="3:19" x14ac:dyDescent="0.2">
      <c r="C294" s="106"/>
      <c r="D294" s="106"/>
      <c r="H294" s="106"/>
      <c r="J294" s="106"/>
      <c r="K294" s="106"/>
      <c r="O294" s="106"/>
    </row>
    <row r="295" spans="3:19" x14ac:dyDescent="0.2">
      <c r="C295" s="106"/>
      <c r="D295" s="106"/>
      <c r="H295" s="106"/>
      <c r="J295" s="106"/>
      <c r="K295" s="106"/>
      <c r="O295" s="106"/>
    </row>
    <row r="296" spans="3:19" x14ac:dyDescent="0.2">
      <c r="C296" s="106"/>
      <c r="D296" s="106"/>
      <c r="H296" s="106"/>
      <c r="J296" s="106"/>
      <c r="K296" s="106"/>
      <c r="O296" s="106"/>
      <c r="R296" s="15"/>
    </row>
    <row r="297" spans="3:19" x14ac:dyDescent="0.2">
      <c r="C297" s="106"/>
      <c r="D297" s="106"/>
      <c r="H297" s="106"/>
      <c r="J297" s="106"/>
      <c r="K297" s="106"/>
      <c r="O297" s="106"/>
      <c r="R297" s="15"/>
    </row>
    <row r="298" spans="3:19" x14ac:dyDescent="0.2">
      <c r="C298" s="106"/>
      <c r="D298" s="106"/>
      <c r="H298" s="106"/>
      <c r="J298" s="106"/>
      <c r="K298" s="106"/>
      <c r="O298" s="106"/>
    </row>
    <row r="299" spans="3:19" x14ac:dyDescent="0.2">
      <c r="C299" s="106"/>
      <c r="D299" s="106"/>
      <c r="H299" s="106"/>
      <c r="J299" s="106"/>
      <c r="K299" s="106"/>
      <c r="O299" s="106"/>
    </row>
    <row r="300" spans="3:19" x14ac:dyDescent="0.2">
      <c r="C300" s="106"/>
      <c r="D300" s="106"/>
      <c r="H300" s="106"/>
      <c r="J300" s="106"/>
      <c r="K300" s="106"/>
      <c r="O300" s="106"/>
    </row>
    <row r="301" spans="3:19" x14ac:dyDescent="0.2">
      <c r="C301" s="106"/>
      <c r="D301" s="106"/>
      <c r="H301" s="106"/>
      <c r="J301" s="106"/>
      <c r="K301" s="106"/>
      <c r="O301" s="106"/>
      <c r="S301" s="15"/>
    </row>
    <row r="302" spans="3:19" x14ac:dyDescent="0.2">
      <c r="C302" s="106"/>
      <c r="D302" s="106"/>
      <c r="H302" s="106"/>
      <c r="J302" s="106"/>
      <c r="K302" s="106"/>
      <c r="O302" s="106"/>
    </row>
    <row r="303" spans="3:19" x14ac:dyDescent="0.2">
      <c r="C303" s="106"/>
      <c r="D303" s="106"/>
      <c r="H303" s="106"/>
      <c r="J303" s="106"/>
      <c r="K303" s="106"/>
      <c r="O303" s="106"/>
    </row>
    <row r="304" spans="3:19" x14ac:dyDescent="0.2">
      <c r="C304" s="106"/>
      <c r="D304" s="106"/>
      <c r="H304" s="106"/>
      <c r="J304" s="106"/>
      <c r="K304" s="106"/>
      <c r="O304" s="106"/>
    </row>
    <row r="305" spans="3:19" x14ac:dyDescent="0.2">
      <c r="C305" s="106"/>
      <c r="D305" s="106"/>
      <c r="H305" s="106"/>
      <c r="J305" s="106"/>
      <c r="K305" s="106"/>
      <c r="O305" s="106"/>
    </row>
    <row r="306" spans="3:19" x14ac:dyDescent="0.2">
      <c r="C306" s="106"/>
      <c r="D306" s="106"/>
      <c r="H306" s="106"/>
      <c r="J306" s="106"/>
      <c r="K306" s="106"/>
      <c r="O306" s="106"/>
      <c r="S306" s="15"/>
    </row>
    <row r="307" spans="3:19" x14ac:dyDescent="0.2">
      <c r="C307" s="106"/>
      <c r="D307" s="106"/>
      <c r="H307" s="106"/>
      <c r="J307" s="106"/>
      <c r="K307" s="106"/>
      <c r="O307" s="106"/>
    </row>
    <row r="308" spans="3:19" x14ac:dyDescent="0.2">
      <c r="C308" s="106"/>
      <c r="D308" s="106"/>
      <c r="H308" s="106"/>
      <c r="J308" s="106"/>
      <c r="K308" s="106"/>
      <c r="O308" s="106"/>
    </row>
    <row r="309" spans="3:19" x14ac:dyDescent="0.2">
      <c r="C309" s="106"/>
      <c r="D309" s="106"/>
      <c r="H309" s="106"/>
      <c r="J309" s="106"/>
      <c r="K309" s="106"/>
      <c r="O309" s="106"/>
    </row>
    <row r="310" spans="3:19" x14ac:dyDescent="0.2">
      <c r="C310" s="106"/>
      <c r="D310" s="106"/>
      <c r="H310" s="106"/>
      <c r="J310" s="106"/>
      <c r="K310" s="106"/>
      <c r="O310" s="106"/>
    </row>
    <row r="311" spans="3:19" x14ac:dyDescent="0.2">
      <c r="C311" s="106"/>
      <c r="D311" s="106"/>
      <c r="H311" s="106"/>
      <c r="J311" s="106"/>
      <c r="K311" s="106"/>
      <c r="O311" s="106"/>
    </row>
    <row r="312" spans="3:19" x14ac:dyDescent="0.2">
      <c r="C312" s="106"/>
      <c r="D312" s="106"/>
      <c r="H312" s="106"/>
      <c r="J312" s="106"/>
      <c r="K312" s="106"/>
      <c r="O312" s="106"/>
    </row>
    <row r="313" spans="3:19" x14ac:dyDescent="0.2">
      <c r="C313" s="106"/>
      <c r="D313" s="106"/>
      <c r="H313" s="106"/>
      <c r="J313" s="106"/>
      <c r="K313" s="106"/>
      <c r="O313" s="106"/>
    </row>
    <row r="314" spans="3:19" x14ac:dyDescent="0.2">
      <c r="C314" s="106"/>
      <c r="D314" s="106"/>
      <c r="H314" s="106"/>
      <c r="J314" s="106"/>
      <c r="K314" s="106"/>
      <c r="O314" s="106"/>
    </row>
    <row r="315" spans="3:19" x14ac:dyDescent="0.2">
      <c r="C315" s="106"/>
      <c r="D315" s="106"/>
      <c r="H315" s="106"/>
      <c r="J315" s="106"/>
      <c r="K315" s="106"/>
      <c r="O315" s="106"/>
    </row>
    <row r="316" spans="3:19" x14ac:dyDescent="0.2">
      <c r="C316" s="106"/>
      <c r="D316" s="106"/>
      <c r="H316" s="106"/>
      <c r="J316" s="106"/>
      <c r="K316" s="106"/>
      <c r="O316" s="106"/>
    </row>
    <row r="317" spans="3:19" x14ac:dyDescent="0.2">
      <c r="C317" s="106"/>
      <c r="D317" s="106"/>
      <c r="H317" s="106"/>
      <c r="J317" s="106"/>
      <c r="K317" s="106"/>
      <c r="O317" s="106"/>
    </row>
    <row r="318" spans="3:19" x14ac:dyDescent="0.2">
      <c r="C318" s="106"/>
      <c r="D318" s="106"/>
      <c r="H318" s="106"/>
      <c r="J318" s="106"/>
      <c r="K318" s="106"/>
      <c r="O318" s="106"/>
    </row>
    <row r="319" spans="3:19" x14ac:dyDescent="0.2">
      <c r="C319" s="106"/>
      <c r="D319" s="106"/>
      <c r="H319" s="106"/>
      <c r="J319" s="106"/>
      <c r="K319" s="106"/>
      <c r="O319" s="106"/>
    </row>
    <row r="320" spans="3:19" x14ac:dyDescent="0.2">
      <c r="C320" s="106"/>
      <c r="D320" s="106"/>
      <c r="H320" s="106"/>
      <c r="J320" s="106"/>
      <c r="K320" s="106"/>
      <c r="O320" s="106"/>
    </row>
    <row r="321" spans="3:18" x14ac:dyDescent="0.2">
      <c r="C321" s="106"/>
      <c r="D321" s="106"/>
      <c r="H321" s="106"/>
      <c r="J321" s="106"/>
      <c r="K321" s="106"/>
      <c r="O321" s="106"/>
      <c r="R321" s="15"/>
    </row>
    <row r="322" spans="3:18" x14ac:dyDescent="0.2">
      <c r="C322" s="106"/>
      <c r="D322" s="106"/>
      <c r="H322" s="106"/>
      <c r="J322" s="106"/>
      <c r="K322" s="106"/>
      <c r="O322" s="106"/>
    </row>
    <row r="323" spans="3:18" x14ac:dyDescent="0.2">
      <c r="C323" s="106"/>
      <c r="D323" s="106"/>
      <c r="H323" s="106"/>
      <c r="J323" s="106"/>
      <c r="K323" s="106"/>
      <c r="O323" s="106"/>
    </row>
    <row r="324" spans="3:18" x14ac:dyDescent="0.2">
      <c r="C324" s="106"/>
      <c r="D324" s="106"/>
      <c r="H324" s="106"/>
      <c r="J324" s="106"/>
      <c r="K324" s="106"/>
      <c r="O324" s="106"/>
    </row>
    <row r="325" spans="3:18" x14ac:dyDescent="0.2">
      <c r="C325" s="106"/>
      <c r="D325" s="106"/>
      <c r="H325" s="106"/>
      <c r="J325" s="106"/>
      <c r="K325" s="106"/>
      <c r="O325" s="106"/>
    </row>
    <row r="326" spans="3:18" x14ac:dyDescent="0.2">
      <c r="C326" s="106"/>
      <c r="D326" s="106"/>
      <c r="H326" s="106"/>
      <c r="J326" s="106"/>
      <c r="K326" s="106"/>
      <c r="O326" s="106"/>
    </row>
    <row r="327" spans="3:18" x14ac:dyDescent="0.2">
      <c r="C327" s="106"/>
      <c r="D327" s="106"/>
      <c r="H327" s="106"/>
      <c r="J327" s="106"/>
      <c r="K327" s="106"/>
      <c r="O327" s="106"/>
    </row>
    <row r="328" spans="3:18" x14ac:dyDescent="0.2">
      <c r="C328" s="106"/>
      <c r="D328" s="106"/>
      <c r="H328" s="106"/>
      <c r="J328" s="106"/>
      <c r="K328" s="106"/>
      <c r="O328" s="106"/>
    </row>
    <row r="329" spans="3:18" x14ac:dyDescent="0.2">
      <c r="C329" s="106"/>
      <c r="D329" s="106"/>
      <c r="H329" s="106"/>
      <c r="J329" s="106"/>
      <c r="K329" s="106"/>
      <c r="O329" s="106"/>
    </row>
    <row r="330" spans="3:18" x14ac:dyDescent="0.2">
      <c r="C330" s="106"/>
      <c r="D330" s="106"/>
      <c r="H330" s="106"/>
      <c r="J330" s="106"/>
      <c r="K330" s="106"/>
      <c r="O330" s="106"/>
    </row>
    <row r="331" spans="3:18" x14ac:dyDescent="0.2">
      <c r="C331" s="106"/>
      <c r="D331" s="106"/>
      <c r="H331" s="106"/>
      <c r="J331" s="106"/>
      <c r="K331" s="106"/>
      <c r="O331" s="106"/>
    </row>
    <row r="332" spans="3:18" x14ac:dyDescent="0.2">
      <c r="C332" s="106"/>
      <c r="D332" s="106"/>
      <c r="H332" s="106"/>
      <c r="J332" s="106"/>
      <c r="K332" s="106"/>
      <c r="O332" s="106"/>
    </row>
    <row r="333" spans="3:18" x14ac:dyDescent="0.2">
      <c r="C333" s="106"/>
      <c r="D333" s="106"/>
      <c r="H333" s="106"/>
      <c r="J333" s="106"/>
      <c r="K333" s="106"/>
      <c r="O333" s="106"/>
    </row>
    <row r="334" spans="3:18" x14ac:dyDescent="0.2">
      <c r="C334" s="106"/>
      <c r="D334" s="106"/>
      <c r="H334" s="106"/>
      <c r="J334" s="106"/>
      <c r="K334" s="106"/>
      <c r="O334" s="106"/>
    </row>
    <row r="335" spans="3:18" x14ac:dyDescent="0.2">
      <c r="C335" s="106"/>
      <c r="D335" s="106"/>
      <c r="H335" s="106"/>
      <c r="J335" s="106"/>
      <c r="K335" s="106"/>
      <c r="O335" s="106"/>
    </row>
    <row r="336" spans="3:18" x14ac:dyDescent="0.2">
      <c r="C336" s="106"/>
      <c r="D336" s="106"/>
      <c r="H336" s="106"/>
      <c r="J336" s="106"/>
      <c r="K336" s="106"/>
      <c r="O336" s="106"/>
      <c r="R336" s="15"/>
    </row>
    <row r="337" spans="3:18" x14ac:dyDescent="0.2">
      <c r="C337" s="106"/>
      <c r="D337" s="106"/>
      <c r="H337" s="106"/>
      <c r="J337" s="106"/>
      <c r="K337" s="106"/>
      <c r="O337" s="106"/>
    </row>
    <row r="338" spans="3:18" x14ac:dyDescent="0.2">
      <c r="C338" s="106"/>
      <c r="D338" s="106"/>
      <c r="H338" s="106"/>
      <c r="J338" s="106"/>
      <c r="K338" s="106"/>
      <c r="O338" s="106"/>
    </row>
    <row r="339" spans="3:18" x14ac:dyDescent="0.2">
      <c r="C339" s="106"/>
      <c r="D339" s="106"/>
      <c r="H339" s="106"/>
      <c r="J339" s="106"/>
      <c r="K339" s="106"/>
      <c r="O339" s="106"/>
    </row>
    <row r="340" spans="3:18" x14ac:dyDescent="0.2">
      <c r="C340" s="106"/>
      <c r="D340" s="106"/>
      <c r="H340" s="106"/>
      <c r="J340" s="106"/>
      <c r="K340" s="106"/>
      <c r="O340" s="106"/>
    </row>
    <row r="341" spans="3:18" x14ac:dyDescent="0.2">
      <c r="C341" s="106"/>
      <c r="D341" s="106"/>
      <c r="H341" s="106"/>
      <c r="J341" s="106"/>
      <c r="K341" s="106"/>
      <c r="O341" s="106"/>
      <c r="R341" s="15"/>
    </row>
    <row r="342" spans="3:18" x14ac:dyDescent="0.2">
      <c r="C342" s="106"/>
      <c r="D342" s="106"/>
      <c r="H342" s="106"/>
      <c r="J342" s="106"/>
      <c r="K342" s="106"/>
      <c r="O342" s="106"/>
    </row>
    <row r="343" spans="3:18" x14ac:dyDescent="0.2">
      <c r="C343" s="106"/>
      <c r="D343" s="106"/>
      <c r="H343" s="106"/>
      <c r="J343" s="106"/>
      <c r="K343" s="106"/>
      <c r="O343" s="106"/>
    </row>
    <row r="344" spans="3:18" x14ac:dyDescent="0.2">
      <c r="C344" s="106"/>
      <c r="D344" s="106"/>
      <c r="H344" s="106"/>
      <c r="J344" s="106"/>
      <c r="K344" s="106"/>
      <c r="O344" s="106"/>
    </row>
    <row r="345" spans="3:18" x14ac:dyDescent="0.2">
      <c r="C345" s="106"/>
      <c r="D345" s="106"/>
      <c r="H345" s="106"/>
      <c r="J345" s="106"/>
      <c r="K345" s="106"/>
      <c r="O345" s="106"/>
    </row>
    <row r="346" spans="3:18" x14ac:dyDescent="0.2">
      <c r="C346" s="106"/>
      <c r="D346" s="106"/>
      <c r="H346" s="106"/>
      <c r="J346" s="106"/>
      <c r="K346" s="106"/>
      <c r="O346" s="106"/>
    </row>
    <row r="347" spans="3:18" x14ac:dyDescent="0.2">
      <c r="C347" s="106"/>
      <c r="D347" s="106"/>
      <c r="H347" s="106"/>
      <c r="J347" s="106"/>
      <c r="K347" s="106"/>
      <c r="O347" s="106"/>
    </row>
    <row r="348" spans="3:18" x14ac:dyDescent="0.2">
      <c r="C348" s="106"/>
      <c r="D348" s="106"/>
      <c r="H348" s="106"/>
      <c r="J348" s="106"/>
      <c r="K348" s="106"/>
      <c r="O348" s="106"/>
    </row>
    <row r="349" spans="3:18" x14ac:dyDescent="0.2">
      <c r="C349" s="106"/>
      <c r="D349" s="106"/>
      <c r="H349" s="106"/>
      <c r="J349" s="106"/>
      <c r="K349" s="106"/>
      <c r="O349" s="106"/>
    </row>
    <row r="350" spans="3:18" x14ac:dyDescent="0.2">
      <c r="C350" s="106"/>
      <c r="D350" s="106"/>
      <c r="H350" s="106"/>
      <c r="J350" s="106"/>
      <c r="K350" s="106"/>
      <c r="O350" s="106"/>
    </row>
    <row r="351" spans="3:18" x14ac:dyDescent="0.2">
      <c r="C351" s="106"/>
      <c r="D351" s="106"/>
      <c r="H351" s="106"/>
      <c r="J351" s="106"/>
      <c r="K351" s="106"/>
      <c r="O351" s="106"/>
    </row>
    <row r="352" spans="3:18" x14ac:dyDescent="0.2">
      <c r="C352" s="106"/>
      <c r="D352" s="106"/>
      <c r="H352" s="106"/>
      <c r="J352" s="106"/>
      <c r="K352" s="106"/>
      <c r="O352" s="106"/>
    </row>
    <row r="353" spans="3:15" x14ac:dyDescent="0.2">
      <c r="C353" s="106"/>
      <c r="D353" s="106"/>
      <c r="H353" s="106"/>
      <c r="J353" s="106"/>
      <c r="K353" s="106"/>
      <c r="O353" s="106"/>
    </row>
    <row r="354" spans="3:15" x14ac:dyDescent="0.2">
      <c r="C354" s="106"/>
      <c r="D354" s="106"/>
      <c r="H354" s="106"/>
      <c r="J354" s="106"/>
      <c r="K354" s="106"/>
      <c r="O354" s="106"/>
    </row>
    <row r="355" spans="3:15" x14ac:dyDescent="0.2">
      <c r="C355" s="106"/>
      <c r="D355" s="106"/>
      <c r="H355" s="106"/>
      <c r="J355" s="106"/>
      <c r="K355" s="106"/>
      <c r="O355" s="106"/>
    </row>
    <row r="356" spans="3:15" x14ac:dyDescent="0.2">
      <c r="C356" s="106"/>
      <c r="D356" s="106"/>
      <c r="H356" s="106"/>
      <c r="J356" s="106"/>
      <c r="K356" s="106"/>
      <c r="O356" s="106"/>
    </row>
    <row r="357" spans="3:15" x14ac:dyDescent="0.2">
      <c r="C357" s="106"/>
      <c r="D357" s="106"/>
      <c r="H357" s="106"/>
      <c r="J357" s="106"/>
      <c r="K357" s="106"/>
      <c r="O357" s="106"/>
    </row>
    <row r="358" spans="3:15" x14ac:dyDescent="0.2">
      <c r="C358" s="106"/>
      <c r="D358" s="106"/>
      <c r="H358" s="106"/>
      <c r="J358" s="106"/>
      <c r="K358" s="106"/>
      <c r="O358" s="106"/>
    </row>
    <row r="359" spans="3:15" x14ac:dyDescent="0.2">
      <c r="C359" s="106"/>
      <c r="D359" s="106"/>
      <c r="H359" s="106"/>
      <c r="J359" s="106"/>
      <c r="K359" s="106"/>
      <c r="O359" s="106"/>
    </row>
    <row r="360" spans="3:15" x14ac:dyDescent="0.2">
      <c r="C360" s="106"/>
      <c r="D360" s="106"/>
      <c r="H360" s="106"/>
      <c r="J360" s="106"/>
      <c r="K360" s="106"/>
      <c r="O360" s="106"/>
    </row>
    <row r="361" spans="3:15" x14ac:dyDescent="0.2">
      <c r="C361" s="106"/>
      <c r="D361" s="106"/>
      <c r="H361" s="106"/>
      <c r="J361" s="106"/>
      <c r="K361" s="106"/>
      <c r="O361" s="106"/>
    </row>
    <row r="362" spans="3:15" x14ac:dyDescent="0.2">
      <c r="C362" s="106"/>
      <c r="D362" s="106"/>
      <c r="H362" s="106"/>
      <c r="J362" s="106"/>
      <c r="K362" s="106"/>
      <c r="O362" s="106"/>
    </row>
    <row r="363" spans="3:15" x14ac:dyDescent="0.2">
      <c r="C363" s="106"/>
      <c r="D363" s="106"/>
      <c r="H363" s="106"/>
      <c r="J363" s="106"/>
      <c r="K363" s="106"/>
      <c r="O363" s="106"/>
    </row>
    <row r="364" spans="3:15" x14ac:dyDescent="0.2">
      <c r="C364" s="106"/>
      <c r="D364" s="106"/>
      <c r="H364" s="106"/>
      <c r="J364" s="106"/>
      <c r="K364" s="106"/>
      <c r="O364" s="106"/>
    </row>
    <row r="365" spans="3:15" x14ac:dyDescent="0.2">
      <c r="C365" s="106"/>
      <c r="D365" s="106"/>
      <c r="H365" s="106"/>
      <c r="J365" s="106"/>
      <c r="K365" s="106"/>
      <c r="O365" s="106"/>
    </row>
    <row r="366" spans="3:15" x14ac:dyDescent="0.2">
      <c r="C366" s="106"/>
      <c r="D366" s="106"/>
      <c r="H366" s="106"/>
      <c r="J366" s="106"/>
      <c r="K366" s="106"/>
      <c r="O366" s="106"/>
    </row>
    <row r="367" spans="3:15" x14ac:dyDescent="0.2">
      <c r="C367" s="106"/>
      <c r="D367" s="106"/>
      <c r="H367" s="106"/>
      <c r="J367" s="106"/>
      <c r="K367" s="106"/>
      <c r="O367" s="106"/>
    </row>
    <row r="368" spans="3:15" x14ac:dyDescent="0.2">
      <c r="C368" s="106"/>
      <c r="D368" s="106"/>
      <c r="H368" s="106"/>
      <c r="J368" s="106"/>
      <c r="K368" s="106"/>
      <c r="O368" s="106"/>
    </row>
    <row r="369" spans="3:19" x14ac:dyDescent="0.2">
      <c r="C369" s="106"/>
      <c r="D369" s="106"/>
      <c r="H369" s="106"/>
      <c r="J369" s="106"/>
      <c r="K369" s="106"/>
      <c r="O369" s="106"/>
    </row>
    <row r="370" spans="3:19" x14ac:dyDescent="0.2">
      <c r="C370" s="106"/>
      <c r="D370" s="106"/>
      <c r="H370" s="106"/>
      <c r="J370" s="106"/>
      <c r="K370" s="106"/>
      <c r="O370" s="106"/>
    </row>
    <row r="371" spans="3:19" x14ac:dyDescent="0.2">
      <c r="C371" s="106"/>
      <c r="D371" s="106"/>
      <c r="H371" s="106"/>
      <c r="J371" s="106"/>
      <c r="K371" s="106"/>
      <c r="O371" s="106"/>
    </row>
    <row r="372" spans="3:19" x14ac:dyDescent="0.2">
      <c r="C372" s="106"/>
      <c r="D372" s="106"/>
      <c r="H372" s="106"/>
      <c r="J372" s="106"/>
      <c r="K372" s="106"/>
      <c r="O372" s="106"/>
    </row>
    <row r="373" spans="3:19" x14ac:dyDescent="0.2">
      <c r="C373" s="106"/>
      <c r="D373" s="106"/>
      <c r="H373" s="106"/>
      <c r="J373" s="106"/>
      <c r="K373" s="106"/>
      <c r="O373" s="106"/>
    </row>
    <row r="374" spans="3:19" x14ac:dyDescent="0.2">
      <c r="C374" s="106"/>
      <c r="D374" s="106"/>
      <c r="H374" s="106"/>
      <c r="J374" s="106"/>
      <c r="K374" s="106"/>
      <c r="O374" s="106"/>
    </row>
    <row r="375" spans="3:19" x14ac:dyDescent="0.2">
      <c r="C375" s="106"/>
      <c r="D375" s="106"/>
      <c r="H375" s="106"/>
      <c r="J375" s="106"/>
      <c r="K375" s="106"/>
      <c r="O375" s="106"/>
    </row>
    <row r="376" spans="3:19" x14ac:dyDescent="0.2">
      <c r="C376" s="106"/>
      <c r="D376" s="106"/>
      <c r="H376" s="106"/>
      <c r="J376" s="106"/>
      <c r="K376" s="106"/>
      <c r="O376" s="106"/>
    </row>
    <row r="377" spans="3:19" x14ac:dyDescent="0.2">
      <c r="C377" s="106"/>
      <c r="D377" s="106"/>
      <c r="H377" s="106"/>
      <c r="J377" s="106"/>
      <c r="K377" s="106"/>
      <c r="O377" s="106"/>
      <c r="S377" s="15"/>
    </row>
    <row r="378" spans="3:19" x14ac:dyDescent="0.2">
      <c r="C378" s="106"/>
      <c r="D378" s="106"/>
      <c r="H378" s="106"/>
      <c r="J378" s="106"/>
      <c r="K378" s="106"/>
      <c r="O378" s="106"/>
    </row>
    <row r="379" spans="3:19" x14ac:dyDescent="0.2">
      <c r="C379" s="106"/>
      <c r="D379" s="106"/>
      <c r="H379" s="106"/>
      <c r="J379" s="106"/>
      <c r="K379" s="106"/>
      <c r="O379" s="106"/>
      <c r="R379" s="15"/>
    </row>
    <row r="380" spans="3:19" x14ac:dyDescent="0.2">
      <c r="C380" s="106"/>
      <c r="D380" s="106"/>
      <c r="H380" s="106"/>
      <c r="J380" s="106"/>
      <c r="K380" s="106"/>
      <c r="O380" s="106"/>
    </row>
    <row r="381" spans="3:19" x14ac:dyDescent="0.2">
      <c r="C381" s="106"/>
      <c r="D381" s="106"/>
      <c r="H381" s="106"/>
      <c r="J381" s="106"/>
      <c r="K381" s="106"/>
      <c r="O381" s="106"/>
    </row>
    <row r="382" spans="3:19" x14ac:dyDescent="0.2">
      <c r="C382" s="106"/>
      <c r="D382" s="106"/>
      <c r="H382" s="106"/>
      <c r="J382" s="106"/>
      <c r="K382" s="106"/>
      <c r="O382" s="106"/>
    </row>
    <row r="383" spans="3:19" x14ac:dyDescent="0.2">
      <c r="C383" s="106"/>
      <c r="D383" s="106"/>
      <c r="H383" s="106"/>
      <c r="J383" s="106"/>
      <c r="K383" s="106"/>
      <c r="O383" s="106"/>
    </row>
    <row r="384" spans="3:19" x14ac:dyDescent="0.2">
      <c r="C384" s="106"/>
      <c r="D384" s="106"/>
      <c r="H384" s="106"/>
      <c r="J384" s="106"/>
      <c r="K384" s="106"/>
      <c r="O384" s="106"/>
    </row>
    <row r="385" spans="3:19" x14ac:dyDescent="0.2">
      <c r="C385" s="106"/>
      <c r="D385" s="106"/>
      <c r="H385" s="106"/>
      <c r="J385" s="106"/>
      <c r="K385" s="106"/>
      <c r="O385" s="106"/>
    </row>
    <row r="386" spans="3:19" x14ac:dyDescent="0.2">
      <c r="C386" s="106"/>
      <c r="D386" s="106"/>
      <c r="H386" s="106"/>
      <c r="J386" s="106"/>
      <c r="K386" s="106"/>
      <c r="O386" s="106"/>
    </row>
    <row r="387" spans="3:19" x14ac:dyDescent="0.2">
      <c r="C387" s="106"/>
      <c r="D387" s="106"/>
      <c r="H387" s="106"/>
      <c r="J387" s="106"/>
      <c r="K387" s="106"/>
      <c r="O387" s="106"/>
    </row>
    <row r="388" spans="3:19" x14ac:dyDescent="0.2">
      <c r="C388" s="106"/>
      <c r="D388" s="106"/>
      <c r="H388" s="106"/>
      <c r="J388" s="106"/>
      <c r="K388" s="106"/>
      <c r="O388" s="106"/>
    </row>
    <row r="389" spans="3:19" x14ac:dyDescent="0.2">
      <c r="C389" s="106"/>
      <c r="D389" s="106"/>
      <c r="H389" s="106"/>
      <c r="J389" s="106"/>
      <c r="K389" s="106"/>
      <c r="O389" s="106"/>
    </row>
    <row r="390" spans="3:19" x14ac:dyDescent="0.2">
      <c r="C390" s="106"/>
      <c r="D390" s="106"/>
      <c r="H390" s="106"/>
      <c r="J390" s="106"/>
      <c r="K390" s="106"/>
      <c r="O390" s="106"/>
      <c r="R390" s="15"/>
    </row>
    <row r="391" spans="3:19" x14ac:dyDescent="0.2">
      <c r="C391" s="106"/>
      <c r="D391" s="106"/>
      <c r="H391" s="106"/>
      <c r="J391" s="106"/>
      <c r="K391" s="106"/>
      <c r="O391" s="106"/>
    </row>
    <row r="392" spans="3:19" x14ac:dyDescent="0.2">
      <c r="C392" s="106"/>
      <c r="D392" s="106"/>
      <c r="H392" s="106"/>
      <c r="J392" s="106"/>
      <c r="K392" s="106"/>
      <c r="O392" s="106"/>
    </row>
    <row r="393" spans="3:19" x14ac:dyDescent="0.2">
      <c r="C393" s="106"/>
      <c r="D393" s="106"/>
      <c r="H393" s="106"/>
      <c r="J393" s="106"/>
      <c r="K393" s="106"/>
      <c r="O393" s="106"/>
    </row>
    <row r="394" spans="3:19" x14ac:dyDescent="0.2">
      <c r="C394" s="106"/>
      <c r="D394" s="106"/>
      <c r="H394" s="106"/>
      <c r="J394" s="106"/>
      <c r="K394" s="106"/>
      <c r="O394" s="106"/>
    </row>
    <row r="395" spans="3:19" x14ac:dyDescent="0.2">
      <c r="C395" s="106"/>
      <c r="D395" s="106"/>
      <c r="H395" s="106"/>
      <c r="J395" s="106"/>
      <c r="K395" s="106"/>
      <c r="O395" s="106"/>
    </row>
    <row r="396" spans="3:19" x14ac:dyDescent="0.2">
      <c r="C396" s="106"/>
      <c r="D396" s="106"/>
      <c r="H396" s="106"/>
      <c r="J396" s="106"/>
      <c r="K396" s="106"/>
      <c r="O396" s="106"/>
    </row>
    <row r="397" spans="3:19" x14ac:dyDescent="0.2">
      <c r="C397" s="106"/>
      <c r="D397" s="106"/>
      <c r="H397" s="106"/>
      <c r="J397" s="106"/>
      <c r="K397" s="106"/>
      <c r="O397" s="106"/>
    </row>
    <row r="398" spans="3:19" x14ac:dyDescent="0.2">
      <c r="C398" s="106"/>
      <c r="D398" s="106"/>
      <c r="H398" s="106"/>
      <c r="J398" s="106"/>
      <c r="K398" s="106"/>
      <c r="O398" s="106"/>
      <c r="S398" s="15"/>
    </row>
    <row r="399" spans="3:19" x14ac:dyDescent="0.2">
      <c r="C399" s="106"/>
      <c r="D399" s="106"/>
      <c r="H399" s="106"/>
      <c r="J399" s="106"/>
      <c r="K399" s="106"/>
      <c r="O399" s="106"/>
    </row>
    <row r="400" spans="3:19" x14ac:dyDescent="0.2">
      <c r="C400" s="106"/>
      <c r="D400" s="106"/>
      <c r="H400" s="106"/>
      <c r="J400" s="106"/>
      <c r="K400" s="106"/>
      <c r="O400" s="106"/>
    </row>
    <row r="401" spans="3:15" x14ac:dyDescent="0.2">
      <c r="C401" s="106"/>
      <c r="D401" s="106"/>
      <c r="H401" s="106"/>
      <c r="J401" s="106"/>
      <c r="K401" s="106"/>
      <c r="O401" s="106"/>
    </row>
    <row r="402" spans="3:15" x14ac:dyDescent="0.2">
      <c r="C402" s="106"/>
      <c r="D402" s="106"/>
      <c r="H402" s="106"/>
      <c r="J402" s="106"/>
      <c r="K402" s="106"/>
      <c r="O402" s="106"/>
    </row>
    <row r="403" spans="3:15" x14ac:dyDescent="0.2">
      <c r="C403" s="106"/>
      <c r="D403" s="106"/>
      <c r="H403" s="106"/>
      <c r="J403" s="106"/>
      <c r="K403" s="106"/>
      <c r="O403" s="106"/>
    </row>
    <row r="404" spans="3:15" x14ac:dyDescent="0.2">
      <c r="C404" s="106"/>
      <c r="D404" s="106"/>
      <c r="H404" s="106"/>
      <c r="J404" s="106"/>
      <c r="K404" s="106"/>
      <c r="O404" s="106"/>
    </row>
    <row r="405" spans="3:15" x14ac:dyDescent="0.2">
      <c r="C405" s="106"/>
      <c r="D405" s="106"/>
      <c r="H405" s="106"/>
      <c r="J405" s="106"/>
      <c r="K405" s="106"/>
      <c r="O405" s="106"/>
    </row>
    <row r="406" spans="3:15" x14ac:dyDescent="0.2">
      <c r="C406" s="106"/>
      <c r="D406" s="106"/>
      <c r="H406" s="106"/>
      <c r="J406" s="106"/>
      <c r="K406" s="106"/>
      <c r="O406" s="106"/>
    </row>
    <row r="407" spans="3:15" x14ac:dyDescent="0.2">
      <c r="C407" s="106"/>
      <c r="D407" s="106"/>
      <c r="H407" s="106"/>
      <c r="J407" s="106"/>
      <c r="K407" s="106"/>
      <c r="O407" s="106"/>
    </row>
    <row r="408" spans="3:15" x14ac:dyDescent="0.2">
      <c r="C408" s="106"/>
      <c r="D408" s="106"/>
      <c r="H408" s="106"/>
      <c r="J408" s="106"/>
      <c r="K408" s="106"/>
      <c r="O408" s="106"/>
    </row>
    <row r="409" spans="3:15" x14ac:dyDescent="0.2">
      <c r="C409" s="106"/>
      <c r="D409" s="106"/>
      <c r="H409" s="106"/>
      <c r="J409" s="106"/>
      <c r="K409" s="106"/>
      <c r="O409" s="106"/>
    </row>
    <row r="410" spans="3:15" x14ac:dyDescent="0.2">
      <c r="C410" s="106"/>
      <c r="D410" s="106"/>
      <c r="H410" s="106"/>
      <c r="J410" s="106"/>
      <c r="K410" s="106"/>
      <c r="O410" s="106"/>
    </row>
    <row r="411" spans="3:15" x14ac:dyDescent="0.2">
      <c r="C411" s="106"/>
      <c r="D411" s="106"/>
      <c r="H411" s="106"/>
      <c r="J411" s="106"/>
      <c r="K411" s="106"/>
      <c r="O411" s="106"/>
    </row>
    <row r="412" spans="3:15" x14ac:dyDescent="0.2">
      <c r="C412" s="106"/>
      <c r="D412" s="106"/>
      <c r="H412" s="106"/>
      <c r="J412" s="106"/>
      <c r="K412" s="106"/>
      <c r="O412" s="106"/>
    </row>
    <row r="413" spans="3:15" x14ac:dyDescent="0.2">
      <c r="C413" s="106"/>
      <c r="D413" s="106"/>
      <c r="H413" s="106"/>
      <c r="J413" s="106"/>
      <c r="K413" s="106"/>
      <c r="O413" s="106"/>
    </row>
    <row r="414" spans="3:15" x14ac:dyDescent="0.2">
      <c r="C414" s="106"/>
      <c r="D414" s="106"/>
      <c r="H414" s="106"/>
      <c r="J414" s="106"/>
      <c r="K414" s="106"/>
      <c r="O414" s="106"/>
    </row>
    <row r="415" spans="3:15" x14ac:dyDescent="0.2">
      <c r="C415" s="106"/>
      <c r="D415" s="106"/>
      <c r="H415" s="106"/>
      <c r="J415" s="106"/>
      <c r="K415" s="106"/>
      <c r="O415" s="106"/>
    </row>
    <row r="416" spans="3:15" x14ac:dyDescent="0.2">
      <c r="C416" s="106"/>
      <c r="D416" s="106"/>
      <c r="H416" s="106"/>
      <c r="J416" s="106"/>
      <c r="K416" s="106"/>
      <c r="O416" s="106"/>
    </row>
    <row r="417" spans="3:15" x14ac:dyDescent="0.2">
      <c r="C417" s="106"/>
      <c r="D417" s="106"/>
      <c r="H417" s="106"/>
      <c r="J417" s="106"/>
      <c r="K417" s="106"/>
      <c r="O417" s="106"/>
    </row>
    <row r="418" spans="3:15" x14ac:dyDescent="0.2">
      <c r="C418" s="106"/>
      <c r="D418" s="106"/>
      <c r="H418" s="106"/>
      <c r="J418" s="106"/>
      <c r="K418" s="106"/>
      <c r="O418" s="106"/>
    </row>
    <row r="419" spans="3:15" x14ac:dyDescent="0.2">
      <c r="C419" s="106"/>
      <c r="D419" s="106"/>
      <c r="H419" s="106"/>
      <c r="J419" s="106"/>
      <c r="K419" s="106"/>
      <c r="O419" s="106"/>
    </row>
    <row r="420" spans="3:15" x14ac:dyDescent="0.2">
      <c r="C420" s="106"/>
      <c r="D420" s="106"/>
      <c r="H420" s="106"/>
      <c r="J420" s="106"/>
      <c r="K420" s="106"/>
      <c r="O420" s="106"/>
    </row>
    <row r="421" spans="3:15" x14ac:dyDescent="0.2">
      <c r="C421" s="106"/>
      <c r="D421" s="106"/>
      <c r="H421" s="106"/>
      <c r="J421" s="106"/>
      <c r="K421" s="106"/>
      <c r="O421" s="106"/>
    </row>
    <row r="422" spans="3:15" x14ac:dyDescent="0.2">
      <c r="C422" s="106"/>
      <c r="D422" s="106"/>
      <c r="H422" s="106"/>
      <c r="J422" s="106"/>
      <c r="K422" s="106"/>
      <c r="O422" s="106"/>
    </row>
    <row r="423" spans="3:15" x14ac:dyDescent="0.2">
      <c r="C423" s="106"/>
      <c r="D423" s="106"/>
      <c r="H423" s="106"/>
      <c r="J423" s="106"/>
      <c r="K423" s="106"/>
      <c r="O423" s="106"/>
    </row>
    <row r="424" spans="3:15" x14ac:dyDescent="0.2">
      <c r="C424" s="106"/>
      <c r="D424" s="106"/>
      <c r="H424" s="106"/>
      <c r="J424" s="106"/>
      <c r="K424" s="106"/>
      <c r="O424" s="106"/>
    </row>
    <row r="425" spans="3:15" x14ac:dyDescent="0.2">
      <c r="C425" s="106"/>
      <c r="D425" s="106"/>
      <c r="H425" s="106"/>
      <c r="J425" s="106"/>
      <c r="K425" s="106"/>
      <c r="O425" s="106"/>
    </row>
    <row r="426" spans="3:15" x14ac:dyDescent="0.2">
      <c r="C426" s="106"/>
      <c r="D426" s="106"/>
      <c r="H426" s="106"/>
      <c r="J426" s="106"/>
      <c r="K426" s="106"/>
      <c r="O426" s="106"/>
    </row>
    <row r="427" spans="3:15" x14ac:dyDescent="0.2">
      <c r="C427" s="106"/>
      <c r="D427" s="106"/>
      <c r="H427" s="106"/>
      <c r="J427" s="106"/>
      <c r="K427" s="106"/>
      <c r="O427" s="106"/>
    </row>
    <row r="428" spans="3:15" x14ac:dyDescent="0.2">
      <c r="C428" s="106"/>
      <c r="D428" s="106"/>
      <c r="H428" s="106"/>
      <c r="J428" s="106"/>
      <c r="K428" s="106"/>
      <c r="O428" s="106"/>
    </row>
    <row r="429" spans="3:15" x14ac:dyDescent="0.2">
      <c r="C429" s="106"/>
      <c r="D429" s="106"/>
      <c r="H429" s="106"/>
      <c r="J429" s="106"/>
      <c r="K429" s="106"/>
      <c r="O429" s="106"/>
    </row>
    <row r="430" spans="3:15" x14ac:dyDescent="0.2">
      <c r="C430" s="106"/>
      <c r="D430" s="106"/>
      <c r="H430" s="106"/>
      <c r="J430" s="106"/>
      <c r="K430" s="106"/>
      <c r="O430" s="106"/>
    </row>
    <row r="431" spans="3:15" x14ac:dyDescent="0.2">
      <c r="C431" s="106"/>
      <c r="D431" s="106"/>
      <c r="H431" s="106"/>
      <c r="J431" s="106"/>
      <c r="K431" s="106"/>
      <c r="O431" s="106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844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261</v>
      </c>
      <c r="B1" s="106" t="s">
        <v>262</v>
      </c>
      <c r="C1" s="106" t="s">
        <v>263</v>
      </c>
      <c r="D1" s="106" t="s">
        <v>264</v>
      </c>
      <c r="E1" s="106" t="s">
        <v>265</v>
      </c>
      <c r="F1" s="106" t="s">
        <v>266</v>
      </c>
      <c r="G1" s="106" t="s">
        <v>267</v>
      </c>
      <c r="H1" s="106" t="s">
        <v>268</v>
      </c>
      <c r="I1" s="106" t="s">
        <v>269</v>
      </c>
    </row>
    <row r="2" spans="1:10" x14ac:dyDescent="0.2">
      <c r="A2" s="106" t="s">
        <v>333</v>
      </c>
      <c r="B2" s="106" t="s">
        <v>297</v>
      </c>
      <c r="C2" s="106" t="s">
        <v>280</v>
      </c>
      <c r="D2" s="106" t="s">
        <v>272</v>
      </c>
      <c r="E2" s="106">
        <v>7965</v>
      </c>
      <c r="F2" s="106" t="s">
        <v>710</v>
      </c>
      <c r="G2" s="106" t="s">
        <v>273</v>
      </c>
      <c r="H2" s="106" t="s">
        <v>298</v>
      </c>
      <c r="I2" s="106" t="s">
        <v>304</v>
      </c>
      <c r="J2" t="s">
        <v>2343</v>
      </c>
    </row>
    <row r="3" spans="1:10" x14ac:dyDescent="0.2">
      <c r="A3" s="106" t="s">
        <v>333</v>
      </c>
      <c r="B3" s="106" t="s">
        <v>270</v>
      </c>
      <c r="C3" s="106" t="s">
        <v>275</v>
      </c>
      <c r="D3" s="106" t="s">
        <v>272</v>
      </c>
      <c r="E3">
        <v>3035</v>
      </c>
      <c r="F3" s="106" t="s">
        <v>334</v>
      </c>
      <c r="G3" s="106" t="s">
        <v>277</v>
      </c>
      <c r="H3" s="106" t="s">
        <v>279</v>
      </c>
      <c r="I3">
        <v>24</v>
      </c>
    </row>
    <row r="4" spans="1:10" x14ac:dyDescent="0.2">
      <c r="A4" s="106" t="s">
        <v>333</v>
      </c>
      <c r="B4" s="106" t="s">
        <v>270</v>
      </c>
      <c r="C4" s="106" t="s">
        <v>271</v>
      </c>
      <c r="D4" s="106" t="s">
        <v>272</v>
      </c>
      <c r="E4">
        <v>7624</v>
      </c>
      <c r="F4" s="106" t="s">
        <v>335</v>
      </c>
      <c r="G4" s="106" t="s">
        <v>277</v>
      </c>
      <c r="H4" s="106" t="s">
        <v>279</v>
      </c>
      <c r="I4">
        <v>126</v>
      </c>
    </row>
    <row r="5" spans="1:10" x14ac:dyDescent="0.2">
      <c r="A5" s="106" t="s">
        <v>333</v>
      </c>
      <c r="B5" s="106" t="s">
        <v>270</v>
      </c>
      <c r="C5" s="106" t="s">
        <v>271</v>
      </c>
      <c r="D5" s="106" t="s">
        <v>272</v>
      </c>
      <c r="E5">
        <v>7630</v>
      </c>
      <c r="F5" s="106" t="s">
        <v>693</v>
      </c>
      <c r="G5" s="106" t="s">
        <v>273</v>
      </c>
      <c r="H5" s="106" t="s">
        <v>283</v>
      </c>
      <c r="I5" t="s">
        <v>304</v>
      </c>
      <c r="J5" t="s">
        <v>2344</v>
      </c>
    </row>
    <row r="6" spans="1:10" x14ac:dyDescent="0.2">
      <c r="A6" s="106" t="s">
        <v>333</v>
      </c>
      <c r="B6" s="106" t="s">
        <v>270</v>
      </c>
      <c r="C6" s="106" t="s">
        <v>271</v>
      </c>
      <c r="D6" s="106" t="s">
        <v>272</v>
      </c>
      <c r="E6">
        <v>8251</v>
      </c>
      <c r="F6" s="106" t="s">
        <v>1735</v>
      </c>
      <c r="G6" s="106" t="s">
        <v>273</v>
      </c>
      <c r="H6" s="106" t="s">
        <v>283</v>
      </c>
      <c r="I6" t="s">
        <v>304</v>
      </c>
      <c r="J6" t="s">
        <v>2345</v>
      </c>
    </row>
    <row r="7" spans="1:10" x14ac:dyDescent="0.2">
      <c r="A7" s="106" t="s">
        <v>336</v>
      </c>
      <c r="B7" s="106" t="s">
        <v>337</v>
      </c>
      <c r="C7" s="106" t="s">
        <v>282</v>
      </c>
      <c r="D7" s="106" t="s">
        <v>272</v>
      </c>
      <c r="E7">
        <v>3321</v>
      </c>
      <c r="F7" s="106" t="s">
        <v>1736</v>
      </c>
      <c r="G7" s="106" t="s">
        <v>273</v>
      </c>
      <c r="H7" s="106" t="s">
        <v>279</v>
      </c>
      <c r="I7" s="106">
        <v>60</v>
      </c>
      <c r="J7" s="106"/>
    </row>
    <row r="8" spans="1:10" x14ac:dyDescent="0.2">
      <c r="A8" s="106" t="s">
        <v>336</v>
      </c>
      <c r="B8" s="106" t="s">
        <v>337</v>
      </c>
      <c r="C8" s="106" t="s">
        <v>280</v>
      </c>
      <c r="D8" s="106" t="s">
        <v>272</v>
      </c>
      <c r="E8">
        <v>6664</v>
      </c>
      <c r="F8" s="106" t="s">
        <v>338</v>
      </c>
      <c r="G8" s="106" t="s">
        <v>277</v>
      </c>
      <c r="H8" s="106" t="s">
        <v>298</v>
      </c>
      <c r="I8" s="106">
        <v>42</v>
      </c>
      <c r="J8" s="106"/>
    </row>
    <row r="9" spans="1:10" x14ac:dyDescent="0.2">
      <c r="A9" s="106" t="s">
        <v>336</v>
      </c>
      <c r="B9" s="106" t="s">
        <v>337</v>
      </c>
      <c r="C9" s="106" t="s">
        <v>271</v>
      </c>
      <c r="D9" s="106" t="s">
        <v>276</v>
      </c>
      <c r="E9">
        <v>7611</v>
      </c>
      <c r="F9" s="106" t="s">
        <v>339</v>
      </c>
      <c r="G9" s="106" t="s">
        <v>273</v>
      </c>
      <c r="H9" s="106" t="s">
        <v>283</v>
      </c>
      <c r="I9" s="106">
        <v>812</v>
      </c>
      <c r="J9" s="106"/>
    </row>
    <row r="10" spans="1:10" x14ac:dyDescent="0.2">
      <c r="A10" s="106" t="s">
        <v>336</v>
      </c>
      <c r="B10" s="106" t="s">
        <v>270</v>
      </c>
      <c r="C10" s="106" t="s">
        <v>271</v>
      </c>
      <c r="D10" s="106" t="s">
        <v>272</v>
      </c>
      <c r="E10">
        <v>2354</v>
      </c>
      <c r="F10" s="106" t="s">
        <v>691</v>
      </c>
      <c r="G10" s="106" t="s">
        <v>281</v>
      </c>
      <c r="H10" s="106" t="s">
        <v>284</v>
      </c>
      <c r="I10" s="106">
        <v>111</v>
      </c>
      <c r="J10" s="106"/>
    </row>
    <row r="11" spans="1:10" x14ac:dyDescent="0.2">
      <c r="A11" s="106" t="s">
        <v>336</v>
      </c>
      <c r="B11" s="106" t="s">
        <v>270</v>
      </c>
      <c r="C11" s="106" t="s">
        <v>275</v>
      </c>
      <c r="D11" s="106" t="s">
        <v>272</v>
      </c>
      <c r="E11">
        <v>2484</v>
      </c>
      <c r="F11" s="106" t="s">
        <v>1737</v>
      </c>
      <c r="G11" s="106" t="s">
        <v>277</v>
      </c>
      <c r="H11" s="106" t="s">
        <v>284</v>
      </c>
      <c r="I11">
        <v>483</v>
      </c>
    </row>
    <row r="12" spans="1:10" x14ac:dyDescent="0.2">
      <c r="A12" s="106" t="s">
        <v>336</v>
      </c>
      <c r="B12" s="106" t="s">
        <v>270</v>
      </c>
      <c r="C12" s="106" t="s">
        <v>271</v>
      </c>
      <c r="D12" s="106" t="s">
        <v>272</v>
      </c>
      <c r="E12">
        <v>2778</v>
      </c>
      <c r="F12" s="106" t="s">
        <v>1738</v>
      </c>
      <c r="G12" s="106" t="s">
        <v>281</v>
      </c>
      <c r="H12" s="106" t="s">
        <v>283</v>
      </c>
      <c r="I12">
        <v>38</v>
      </c>
    </row>
    <row r="13" spans="1:10" x14ac:dyDescent="0.2">
      <c r="A13" s="106" t="s">
        <v>336</v>
      </c>
      <c r="B13" s="106" t="s">
        <v>270</v>
      </c>
      <c r="C13" s="106" t="s">
        <v>271</v>
      </c>
      <c r="D13" s="106" t="s">
        <v>272</v>
      </c>
      <c r="E13">
        <v>3086</v>
      </c>
      <c r="F13" s="106" t="s">
        <v>1739</v>
      </c>
      <c r="G13" s="106" t="s">
        <v>273</v>
      </c>
      <c r="H13" s="106" t="s">
        <v>283</v>
      </c>
      <c r="I13" s="106" t="s">
        <v>357</v>
      </c>
      <c r="J13" s="106" t="s">
        <v>2346</v>
      </c>
    </row>
    <row r="14" spans="1:10" x14ac:dyDescent="0.2">
      <c r="A14" s="106" t="s">
        <v>336</v>
      </c>
      <c r="B14" s="106" t="s">
        <v>270</v>
      </c>
      <c r="C14" s="106" t="s">
        <v>282</v>
      </c>
      <c r="D14" s="106" t="s">
        <v>272</v>
      </c>
      <c r="E14">
        <v>4465</v>
      </c>
      <c r="F14" s="106" t="s">
        <v>1740</v>
      </c>
      <c r="G14" s="106" t="s">
        <v>273</v>
      </c>
      <c r="H14" s="106" t="s">
        <v>286</v>
      </c>
      <c r="I14" s="106">
        <v>108</v>
      </c>
      <c r="J14" s="106"/>
    </row>
    <row r="15" spans="1:10" x14ac:dyDescent="0.2">
      <c r="A15" s="106" t="s">
        <v>336</v>
      </c>
      <c r="B15" s="106" t="s">
        <v>270</v>
      </c>
      <c r="C15" s="106" t="s">
        <v>282</v>
      </c>
      <c r="D15" s="106" t="s">
        <v>272</v>
      </c>
      <c r="E15">
        <v>4825</v>
      </c>
      <c r="F15" s="106" t="s">
        <v>1741</v>
      </c>
      <c r="G15" s="106" t="s">
        <v>273</v>
      </c>
      <c r="H15" s="106" t="s">
        <v>284</v>
      </c>
      <c r="I15">
        <v>404</v>
      </c>
    </row>
    <row r="16" spans="1:10" x14ac:dyDescent="0.2">
      <c r="A16" s="106" t="s">
        <v>336</v>
      </c>
      <c r="B16" s="106" t="s">
        <v>270</v>
      </c>
      <c r="C16" s="106" t="s">
        <v>271</v>
      </c>
      <c r="D16" s="106" t="s">
        <v>272</v>
      </c>
      <c r="E16">
        <v>6279</v>
      </c>
      <c r="F16" s="106" t="s">
        <v>340</v>
      </c>
      <c r="G16" s="106" t="s">
        <v>281</v>
      </c>
      <c r="H16" s="106" t="s">
        <v>294</v>
      </c>
      <c r="I16" s="106">
        <v>272</v>
      </c>
      <c r="J16" s="106"/>
    </row>
    <row r="17" spans="1:10" x14ac:dyDescent="0.2">
      <c r="A17" s="106" t="s">
        <v>336</v>
      </c>
      <c r="B17" s="106" t="s">
        <v>270</v>
      </c>
      <c r="C17" s="106" t="s">
        <v>275</v>
      </c>
      <c r="D17" s="106" t="s">
        <v>272</v>
      </c>
      <c r="E17">
        <v>7447</v>
      </c>
      <c r="F17" s="106" t="s">
        <v>1742</v>
      </c>
      <c r="G17" s="106" t="s">
        <v>273</v>
      </c>
      <c r="H17" s="106" t="s">
        <v>279</v>
      </c>
      <c r="I17" s="106">
        <v>984</v>
      </c>
      <c r="J17" s="106"/>
    </row>
    <row r="18" spans="1:10" x14ac:dyDescent="0.2">
      <c r="A18" s="106" t="s">
        <v>336</v>
      </c>
      <c r="B18" s="106" t="s">
        <v>270</v>
      </c>
      <c r="C18" s="106" t="s">
        <v>282</v>
      </c>
      <c r="D18" s="106" t="s">
        <v>272</v>
      </c>
      <c r="E18">
        <v>7921</v>
      </c>
      <c r="F18" s="106" t="s">
        <v>759</v>
      </c>
      <c r="G18" s="106" t="s">
        <v>273</v>
      </c>
      <c r="H18" s="106" t="s">
        <v>295</v>
      </c>
      <c r="I18">
        <v>228</v>
      </c>
    </row>
    <row r="19" spans="1:10" x14ac:dyDescent="0.2">
      <c r="A19" s="106" t="s">
        <v>336</v>
      </c>
      <c r="B19" s="106" t="s">
        <v>270</v>
      </c>
      <c r="C19" s="106" t="s">
        <v>282</v>
      </c>
      <c r="D19" s="106" t="s">
        <v>276</v>
      </c>
      <c r="E19">
        <v>8155</v>
      </c>
      <c r="F19" s="106" t="s">
        <v>694</v>
      </c>
      <c r="G19" s="106" t="s">
        <v>273</v>
      </c>
      <c r="H19" s="106" t="s">
        <v>288</v>
      </c>
      <c r="I19">
        <v>772</v>
      </c>
    </row>
    <row r="20" spans="1:10" x14ac:dyDescent="0.2">
      <c r="A20" s="106" t="s">
        <v>336</v>
      </c>
      <c r="B20" s="106" t="s">
        <v>270</v>
      </c>
      <c r="C20" s="106" t="s">
        <v>271</v>
      </c>
      <c r="D20" s="106" t="s">
        <v>272</v>
      </c>
      <c r="E20">
        <v>8217</v>
      </c>
      <c r="F20" s="106" t="s">
        <v>695</v>
      </c>
      <c r="G20" s="106" t="s">
        <v>273</v>
      </c>
      <c r="H20" s="106" t="s">
        <v>283</v>
      </c>
      <c r="I20">
        <v>650</v>
      </c>
    </row>
    <row r="21" spans="1:10" x14ac:dyDescent="0.2">
      <c r="A21" s="106" t="s">
        <v>336</v>
      </c>
      <c r="B21" s="106" t="s">
        <v>270</v>
      </c>
      <c r="C21" s="106" t="s">
        <v>271</v>
      </c>
      <c r="D21" s="106" t="s">
        <v>272</v>
      </c>
      <c r="E21">
        <v>8233</v>
      </c>
      <c r="F21" s="106" t="s">
        <v>1743</v>
      </c>
      <c r="G21" s="106" t="s">
        <v>273</v>
      </c>
      <c r="H21" s="106" t="s">
        <v>283</v>
      </c>
      <c r="I21" s="106" t="s">
        <v>296</v>
      </c>
      <c r="J21" s="106" t="s">
        <v>2347</v>
      </c>
    </row>
    <row r="22" spans="1:10" x14ac:dyDescent="0.2">
      <c r="A22" s="106" t="s">
        <v>336</v>
      </c>
      <c r="B22" s="106" t="s">
        <v>270</v>
      </c>
      <c r="C22" s="106" t="s">
        <v>271</v>
      </c>
      <c r="D22" s="106" t="s">
        <v>272</v>
      </c>
      <c r="E22">
        <v>8276</v>
      </c>
      <c r="F22" s="106" t="s">
        <v>1744</v>
      </c>
      <c r="G22" s="106" t="s">
        <v>273</v>
      </c>
      <c r="H22" s="106" t="s">
        <v>283</v>
      </c>
      <c r="I22" s="106" t="s">
        <v>304</v>
      </c>
      <c r="J22" s="106" t="s">
        <v>2348</v>
      </c>
    </row>
    <row r="23" spans="1:10" x14ac:dyDescent="0.2">
      <c r="A23" s="106" t="s">
        <v>336</v>
      </c>
      <c r="B23" s="106" t="s">
        <v>270</v>
      </c>
      <c r="C23" s="106" t="s">
        <v>271</v>
      </c>
      <c r="D23" s="106" t="s">
        <v>276</v>
      </c>
      <c r="E23">
        <v>9976</v>
      </c>
      <c r="F23" s="106" t="s">
        <v>1745</v>
      </c>
      <c r="G23" s="106" t="s">
        <v>277</v>
      </c>
      <c r="H23" s="106" t="s">
        <v>283</v>
      </c>
      <c r="I23">
        <v>73</v>
      </c>
    </row>
    <row r="24" spans="1:10" x14ac:dyDescent="0.2">
      <c r="A24" s="106" t="s">
        <v>336</v>
      </c>
      <c r="B24" s="106" t="s">
        <v>270</v>
      </c>
      <c r="C24" s="106" t="s">
        <v>271</v>
      </c>
      <c r="D24" s="106" t="s">
        <v>272</v>
      </c>
      <c r="E24">
        <v>9982</v>
      </c>
      <c r="F24" s="106" t="s">
        <v>342</v>
      </c>
      <c r="G24" s="106" t="s">
        <v>273</v>
      </c>
      <c r="H24" s="106" t="s">
        <v>279</v>
      </c>
      <c r="I24" s="106">
        <v>189</v>
      </c>
      <c r="J24" s="106"/>
    </row>
    <row r="25" spans="1:10" x14ac:dyDescent="0.2">
      <c r="A25" s="106" t="s">
        <v>343</v>
      </c>
      <c r="B25" s="106" t="s">
        <v>270</v>
      </c>
      <c r="C25" s="106" t="s">
        <v>271</v>
      </c>
      <c r="D25" s="106" t="s">
        <v>272</v>
      </c>
      <c r="E25">
        <v>2186</v>
      </c>
      <c r="F25" s="106" t="s">
        <v>344</v>
      </c>
      <c r="G25" s="106" t="s">
        <v>277</v>
      </c>
      <c r="H25" s="106" t="s">
        <v>278</v>
      </c>
      <c r="I25" s="106">
        <v>105</v>
      </c>
      <c r="J25" s="106"/>
    </row>
    <row r="26" spans="1:10" x14ac:dyDescent="0.2">
      <c r="A26" s="106" t="s">
        <v>343</v>
      </c>
      <c r="B26" s="106" t="s">
        <v>270</v>
      </c>
      <c r="C26" s="106" t="s">
        <v>271</v>
      </c>
      <c r="D26" s="106" t="s">
        <v>272</v>
      </c>
      <c r="E26">
        <v>2685</v>
      </c>
      <c r="F26" s="106" t="s">
        <v>345</v>
      </c>
      <c r="G26" s="106" t="s">
        <v>273</v>
      </c>
      <c r="H26" s="106" t="s">
        <v>283</v>
      </c>
      <c r="I26" s="106" t="s">
        <v>304</v>
      </c>
      <c r="J26" s="106" t="s">
        <v>2349</v>
      </c>
    </row>
    <row r="27" spans="1:10" x14ac:dyDescent="0.2">
      <c r="A27" s="106" t="s">
        <v>343</v>
      </c>
      <c r="B27" s="106" t="s">
        <v>270</v>
      </c>
      <c r="C27" s="106" t="s">
        <v>271</v>
      </c>
      <c r="D27" s="106" t="s">
        <v>276</v>
      </c>
      <c r="E27">
        <v>2742</v>
      </c>
      <c r="F27" s="106" t="s">
        <v>1746</v>
      </c>
      <c r="G27" s="106" t="s">
        <v>273</v>
      </c>
      <c r="H27" s="106" t="s">
        <v>283</v>
      </c>
      <c r="I27">
        <v>549</v>
      </c>
    </row>
    <row r="28" spans="1:10" x14ac:dyDescent="0.2">
      <c r="A28" s="106" t="s">
        <v>343</v>
      </c>
      <c r="B28" s="106" t="s">
        <v>270</v>
      </c>
      <c r="C28" s="106" t="s">
        <v>282</v>
      </c>
      <c r="D28" s="106" t="s">
        <v>272</v>
      </c>
      <c r="E28">
        <v>2761</v>
      </c>
      <c r="F28" s="106" t="s">
        <v>1747</v>
      </c>
      <c r="G28" s="106" t="s">
        <v>277</v>
      </c>
      <c r="H28" s="106" t="s">
        <v>279</v>
      </c>
      <c r="I28">
        <v>797</v>
      </c>
    </row>
    <row r="29" spans="1:10" x14ac:dyDescent="0.2">
      <c r="A29" s="106" t="s">
        <v>343</v>
      </c>
      <c r="B29" s="106" t="s">
        <v>270</v>
      </c>
      <c r="C29" s="106" t="s">
        <v>271</v>
      </c>
      <c r="D29" s="106" t="s">
        <v>272</v>
      </c>
      <c r="E29">
        <v>3050</v>
      </c>
      <c r="F29" s="106" t="s">
        <v>1748</v>
      </c>
      <c r="G29" s="106" t="s">
        <v>273</v>
      </c>
      <c r="H29" s="106" t="s">
        <v>283</v>
      </c>
      <c r="I29" s="106" t="s">
        <v>304</v>
      </c>
      <c r="J29" s="106" t="s">
        <v>2350</v>
      </c>
    </row>
    <row r="30" spans="1:10" x14ac:dyDescent="0.2">
      <c r="A30" s="106" t="s">
        <v>343</v>
      </c>
      <c r="B30" s="106" t="s">
        <v>270</v>
      </c>
      <c r="C30" s="106" t="s">
        <v>280</v>
      </c>
      <c r="D30" s="106" t="s">
        <v>272</v>
      </c>
      <c r="E30">
        <v>3089</v>
      </c>
      <c r="F30" s="106" t="s">
        <v>1749</v>
      </c>
      <c r="G30" s="106" t="s">
        <v>277</v>
      </c>
      <c r="H30" s="106" t="s">
        <v>279</v>
      </c>
      <c r="I30" s="106">
        <v>26</v>
      </c>
      <c r="J30" s="106"/>
    </row>
    <row r="31" spans="1:10" x14ac:dyDescent="0.2">
      <c r="A31" s="106" t="s">
        <v>343</v>
      </c>
      <c r="B31" s="106" t="s">
        <v>270</v>
      </c>
      <c r="C31" s="106" t="s">
        <v>271</v>
      </c>
      <c r="D31" s="106" t="s">
        <v>272</v>
      </c>
      <c r="E31">
        <v>3919</v>
      </c>
      <c r="F31" s="106" t="s">
        <v>346</v>
      </c>
      <c r="G31" s="106" t="s">
        <v>273</v>
      </c>
      <c r="H31" s="106" t="s">
        <v>284</v>
      </c>
      <c r="I31">
        <v>161</v>
      </c>
    </row>
    <row r="32" spans="1:10" x14ac:dyDescent="0.2">
      <c r="A32" s="106" t="s">
        <v>343</v>
      </c>
      <c r="B32" s="106" t="s">
        <v>270</v>
      </c>
      <c r="C32" s="106" t="s">
        <v>282</v>
      </c>
      <c r="D32" s="106" t="s">
        <v>272</v>
      </c>
      <c r="E32">
        <v>6083</v>
      </c>
      <c r="F32" s="106" t="s">
        <v>1750</v>
      </c>
      <c r="G32" s="106" t="s">
        <v>273</v>
      </c>
      <c r="H32" s="106" t="s">
        <v>278</v>
      </c>
      <c r="I32">
        <v>62</v>
      </c>
    </row>
    <row r="33" spans="1:10" x14ac:dyDescent="0.2">
      <c r="A33" s="106" t="s">
        <v>343</v>
      </c>
      <c r="B33" s="106" t="s">
        <v>270</v>
      </c>
      <c r="C33" s="106" t="s">
        <v>275</v>
      </c>
      <c r="D33" s="106" t="s">
        <v>272</v>
      </c>
      <c r="E33">
        <v>7514</v>
      </c>
      <c r="F33" s="106" t="s">
        <v>711</v>
      </c>
      <c r="G33" s="106" t="s">
        <v>273</v>
      </c>
      <c r="H33" s="106" t="s">
        <v>283</v>
      </c>
      <c r="I33" s="106">
        <v>104</v>
      </c>
      <c r="J33" s="106"/>
    </row>
    <row r="34" spans="1:10" x14ac:dyDescent="0.2">
      <c r="A34" s="106" t="s">
        <v>343</v>
      </c>
      <c r="B34" s="106" t="s">
        <v>270</v>
      </c>
      <c r="C34" s="106" t="s">
        <v>271</v>
      </c>
      <c r="D34" s="106" t="s">
        <v>276</v>
      </c>
      <c r="E34">
        <v>8166</v>
      </c>
      <c r="F34" s="106" t="s">
        <v>1751</v>
      </c>
      <c r="G34" s="106" t="s">
        <v>273</v>
      </c>
      <c r="H34" s="106" t="s">
        <v>283</v>
      </c>
      <c r="I34" s="106">
        <v>46</v>
      </c>
      <c r="J34" s="106"/>
    </row>
    <row r="35" spans="1:10" x14ac:dyDescent="0.2">
      <c r="A35" s="106" t="s">
        <v>343</v>
      </c>
      <c r="B35" s="106" t="s">
        <v>270</v>
      </c>
      <c r="C35" s="106" t="s">
        <v>271</v>
      </c>
      <c r="D35" s="106" t="s">
        <v>276</v>
      </c>
      <c r="E35">
        <v>8168</v>
      </c>
      <c r="F35" s="106" t="s">
        <v>1752</v>
      </c>
      <c r="G35" s="106" t="s">
        <v>273</v>
      </c>
      <c r="H35" s="106" t="s">
        <v>283</v>
      </c>
      <c r="I35">
        <v>358</v>
      </c>
    </row>
    <row r="36" spans="1:10" x14ac:dyDescent="0.2">
      <c r="A36" s="106" t="s">
        <v>343</v>
      </c>
      <c r="B36" s="106" t="s">
        <v>270</v>
      </c>
      <c r="C36" s="106" t="s">
        <v>282</v>
      </c>
      <c r="D36" s="106" t="s">
        <v>272</v>
      </c>
      <c r="E36">
        <v>9651</v>
      </c>
      <c r="F36" s="106" t="s">
        <v>347</v>
      </c>
      <c r="G36" s="106" t="s">
        <v>277</v>
      </c>
      <c r="H36" s="106" t="s">
        <v>284</v>
      </c>
      <c r="I36">
        <v>104</v>
      </c>
    </row>
    <row r="37" spans="1:10" x14ac:dyDescent="0.2">
      <c r="A37" s="106" t="s">
        <v>343</v>
      </c>
      <c r="B37" s="106" t="s">
        <v>270</v>
      </c>
      <c r="C37" s="106" t="s">
        <v>271</v>
      </c>
      <c r="D37" s="106" t="s">
        <v>272</v>
      </c>
      <c r="E37">
        <v>9843</v>
      </c>
      <c r="F37" s="106" t="s">
        <v>1753</v>
      </c>
      <c r="G37" s="106" t="s">
        <v>273</v>
      </c>
      <c r="H37" s="106" t="s">
        <v>283</v>
      </c>
      <c r="I37" s="106" t="s">
        <v>2169</v>
      </c>
      <c r="J37" s="106" t="s">
        <v>2351</v>
      </c>
    </row>
    <row r="38" spans="1:10" x14ac:dyDescent="0.2">
      <c r="A38" s="106" t="s">
        <v>343</v>
      </c>
      <c r="B38" s="106" t="s">
        <v>270</v>
      </c>
      <c r="C38" s="106" t="s">
        <v>280</v>
      </c>
      <c r="D38" s="106" t="s">
        <v>272</v>
      </c>
      <c r="E38">
        <v>9872</v>
      </c>
      <c r="F38" s="106" t="s">
        <v>1754</v>
      </c>
      <c r="G38" s="106" t="s">
        <v>273</v>
      </c>
      <c r="H38" s="106" t="s">
        <v>279</v>
      </c>
      <c r="I38">
        <v>97</v>
      </c>
    </row>
    <row r="39" spans="1:10" x14ac:dyDescent="0.2">
      <c r="A39" s="106" t="s">
        <v>348</v>
      </c>
      <c r="B39" s="106" t="s">
        <v>270</v>
      </c>
      <c r="C39" s="106" t="s">
        <v>282</v>
      </c>
      <c r="D39" s="106" t="s">
        <v>272</v>
      </c>
      <c r="E39">
        <v>1376</v>
      </c>
      <c r="F39" s="106" t="s">
        <v>1755</v>
      </c>
      <c r="G39" s="106" t="s">
        <v>273</v>
      </c>
      <c r="H39" s="106" t="s">
        <v>321</v>
      </c>
      <c r="I39">
        <v>175</v>
      </c>
    </row>
    <row r="40" spans="1:10" x14ac:dyDescent="0.2">
      <c r="A40" s="106" t="s">
        <v>348</v>
      </c>
      <c r="B40" s="106" t="s">
        <v>270</v>
      </c>
      <c r="C40" s="106" t="s">
        <v>271</v>
      </c>
      <c r="D40" s="106" t="s">
        <v>272</v>
      </c>
      <c r="E40">
        <v>1712</v>
      </c>
      <c r="F40" s="106" t="s">
        <v>349</v>
      </c>
      <c r="G40" s="106" t="s">
        <v>273</v>
      </c>
      <c r="H40" s="106" t="s">
        <v>300</v>
      </c>
      <c r="I40">
        <v>171</v>
      </c>
    </row>
    <row r="41" spans="1:10" x14ac:dyDescent="0.2">
      <c r="A41" s="106" t="s">
        <v>348</v>
      </c>
      <c r="B41" s="106" t="s">
        <v>270</v>
      </c>
      <c r="C41" s="106" t="s">
        <v>271</v>
      </c>
      <c r="D41" s="106" t="s">
        <v>272</v>
      </c>
      <c r="E41">
        <v>2305</v>
      </c>
      <c r="F41" s="106" t="s">
        <v>1756</v>
      </c>
      <c r="G41" s="106" t="s">
        <v>273</v>
      </c>
      <c r="H41" s="106" t="s">
        <v>278</v>
      </c>
      <c r="I41">
        <v>326</v>
      </c>
    </row>
    <row r="42" spans="1:10" x14ac:dyDescent="0.2">
      <c r="A42" s="106" t="s">
        <v>348</v>
      </c>
      <c r="B42" s="106" t="s">
        <v>270</v>
      </c>
      <c r="C42" s="106" t="s">
        <v>275</v>
      </c>
      <c r="D42" s="106" t="s">
        <v>276</v>
      </c>
      <c r="E42">
        <v>6264</v>
      </c>
      <c r="F42" s="106" t="s">
        <v>556</v>
      </c>
      <c r="G42" s="106" t="s">
        <v>273</v>
      </c>
      <c r="H42" s="106" t="s">
        <v>294</v>
      </c>
      <c r="I42">
        <v>125</v>
      </c>
    </row>
    <row r="43" spans="1:10" x14ac:dyDescent="0.2">
      <c r="A43" s="106" t="s">
        <v>348</v>
      </c>
      <c r="B43" s="106" t="s">
        <v>270</v>
      </c>
      <c r="C43" s="106" t="s">
        <v>271</v>
      </c>
      <c r="D43" s="106" t="s">
        <v>272</v>
      </c>
      <c r="E43">
        <v>9793</v>
      </c>
      <c r="F43" s="106" t="s">
        <v>350</v>
      </c>
      <c r="G43" s="106" t="s">
        <v>273</v>
      </c>
      <c r="H43" s="106" t="s">
        <v>278</v>
      </c>
      <c r="I43" t="s">
        <v>304</v>
      </c>
      <c r="J43" t="s">
        <v>2242</v>
      </c>
    </row>
    <row r="44" spans="1:10" x14ac:dyDescent="0.2">
      <c r="A44" s="106" t="s">
        <v>348</v>
      </c>
      <c r="B44" s="106" t="s">
        <v>270</v>
      </c>
      <c r="C44" s="106" t="s">
        <v>271</v>
      </c>
      <c r="D44" s="106" t="s">
        <v>276</v>
      </c>
      <c r="E44">
        <v>9977</v>
      </c>
      <c r="F44" s="106" t="s">
        <v>1757</v>
      </c>
      <c r="G44" s="106" t="s">
        <v>277</v>
      </c>
      <c r="H44" s="106" t="s">
        <v>283</v>
      </c>
      <c r="I44">
        <v>167</v>
      </c>
    </row>
    <row r="45" spans="1:10" x14ac:dyDescent="0.2">
      <c r="A45" s="106" t="s">
        <v>351</v>
      </c>
      <c r="B45" s="106" t="s">
        <v>337</v>
      </c>
      <c r="C45" s="106" t="s">
        <v>280</v>
      </c>
      <c r="D45" s="106" t="s">
        <v>272</v>
      </c>
      <c r="E45">
        <v>3186</v>
      </c>
      <c r="F45" s="106" t="s">
        <v>549</v>
      </c>
      <c r="G45" s="106" t="s">
        <v>273</v>
      </c>
      <c r="H45" s="106" t="s">
        <v>283</v>
      </c>
      <c r="I45" s="106">
        <v>962</v>
      </c>
      <c r="J45" s="106"/>
    </row>
    <row r="46" spans="1:10" x14ac:dyDescent="0.2">
      <c r="A46" s="106" t="s">
        <v>351</v>
      </c>
      <c r="B46" s="106" t="s">
        <v>270</v>
      </c>
      <c r="C46" s="106" t="s">
        <v>275</v>
      </c>
      <c r="D46" s="106" t="s">
        <v>276</v>
      </c>
      <c r="E46">
        <v>1997</v>
      </c>
      <c r="F46" s="106" t="s">
        <v>1758</v>
      </c>
      <c r="G46" s="106" t="s">
        <v>277</v>
      </c>
      <c r="H46" s="106" t="s">
        <v>300</v>
      </c>
      <c r="I46">
        <v>37</v>
      </c>
    </row>
    <row r="47" spans="1:10" x14ac:dyDescent="0.2">
      <c r="A47" s="106" t="s">
        <v>351</v>
      </c>
      <c r="B47" s="106" t="s">
        <v>270</v>
      </c>
      <c r="C47" s="106" t="s">
        <v>271</v>
      </c>
      <c r="D47" s="106" t="s">
        <v>272</v>
      </c>
      <c r="E47">
        <v>2659</v>
      </c>
      <c r="F47" s="106" t="s">
        <v>1759</v>
      </c>
      <c r="G47" s="106" t="s">
        <v>273</v>
      </c>
      <c r="H47" s="106" t="s">
        <v>283</v>
      </c>
      <c r="I47" t="s">
        <v>304</v>
      </c>
      <c r="J47" t="s">
        <v>2352</v>
      </c>
    </row>
    <row r="48" spans="1:10" x14ac:dyDescent="0.2">
      <c r="A48" s="106" t="s">
        <v>351</v>
      </c>
      <c r="B48" s="106" t="s">
        <v>270</v>
      </c>
      <c r="C48" s="106" t="s">
        <v>282</v>
      </c>
      <c r="D48" s="106" t="s">
        <v>272</v>
      </c>
      <c r="E48">
        <v>2792</v>
      </c>
      <c r="F48" s="106" t="s">
        <v>352</v>
      </c>
      <c r="G48" s="106" t="s">
        <v>273</v>
      </c>
      <c r="H48" s="106" t="s">
        <v>283</v>
      </c>
      <c r="I48">
        <v>476</v>
      </c>
    </row>
    <row r="49" spans="1:10" x14ac:dyDescent="0.2">
      <c r="A49" s="106" t="s">
        <v>351</v>
      </c>
      <c r="B49" s="106" t="s">
        <v>270</v>
      </c>
      <c r="C49" s="106" t="s">
        <v>271</v>
      </c>
      <c r="D49" s="106" t="s">
        <v>272</v>
      </c>
      <c r="E49">
        <v>3222</v>
      </c>
      <c r="F49" s="106" t="s">
        <v>2353</v>
      </c>
      <c r="G49" s="106" t="s">
        <v>273</v>
      </c>
      <c r="H49" s="106" t="s">
        <v>283</v>
      </c>
      <c r="I49" t="s">
        <v>304</v>
      </c>
      <c r="J49" t="s">
        <v>2354</v>
      </c>
    </row>
    <row r="50" spans="1:10" x14ac:dyDescent="0.2">
      <c r="A50" s="106" t="s">
        <v>351</v>
      </c>
      <c r="B50" s="106" t="s">
        <v>270</v>
      </c>
      <c r="C50" s="106" t="s">
        <v>280</v>
      </c>
      <c r="D50" s="106" t="s">
        <v>272</v>
      </c>
      <c r="E50">
        <v>3244</v>
      </c>
      <c r="F50" s="106" t="s">
        <v>1760</v>
      </c>
      <c r="G50" s="106" t="s">
        <v>273</v>
      </c>
      <c r="H50" s="106" t="s">
        <v>299</v>
      </c>
      <c r="I50" s="106">
        <v>936</v>
      </c>
      <c r="J50" s="106"/>
    </row>
    <row r="51" spans="1:10" x14ac:dyDescent="0.2">
      <c r="A51" s="106" t="s">
        <v>351</v>
      </c>
      <c r="B51" s="106" t="s">
        <v>270</v>
      </c>
      <c r="C51" s="106" t="s">
        <v>282</v>
      </c>
      <c r="D51" s="106" t="s">
        <v>272</v>
      </c>
      <c r="E51">
        <v>4735</v>
      </c>
      <c r="F51" s="106" t="s">
        <v>1761</v>
      </c>
      <c r="G51" s="106" t="s">
        <v>281</v>
      </c>
      <c r="H51" s="106" t="s">
        <v>278</v>
      </c>
      <c r="I51" s="106">
        <v>77</v>
      </c>
      <c r="J51" s="106"/>
    </row>
    <row r="52" spans="1:10" x14ac:dyDescent="0.2">
      <c r="A52" s="106" t="s">
        <v>351</v>
      </c>
      <c r="B52" s="106" t="s">
        <v>270</v>
      </c>
      <c r="C52" s="106" t="s">
        <v>282</v>
      </c>
      <c r="D52" s="106" t="s">
        <v>276</v>
      </c>
      <c r="E52">
        <v>7673</v>
      </c>
      <c r="F52" s="106" t="s">
        <v>583</v>
      </c>
      <c r="G52" s="106" t="s">
        <v>281</v>
      </c>
      <c r="H52" s="106" t="s">
        <v>279</v>
      </c>
      <c r="I52">
        <v>93</v>
      </c>
    </row>
    <row r="53" spans="1:10" x14ac:dyDescent="0.2">
      <c r="A53" s="106" t="s">
        <v>351</v>
      </c>
      <c r="B53" s="106" t="s">
        <v>270</v>
      </c>
      <c r="C53" s="106" t="s">
        <v>271</v>
      </c>
      <c r="D53" s="106" t="s">
        <v>272</v>
      </c>
      <c r="E53">
        <v>7679</v>
      </c>
      <c r="F53" s="106" t="s">
        <v>1762</v>
      </c>
      <c r="G53" s="106" t="s">
        <v>273</v>
      </c>
      <c r="H53" s="106" t="s">
        <v>283</v>
      </c>
      <c r="I53">
        <v>480</v>
      </c>
    </row>
    <row r="54" spans="1:10" x14ac:dyDescent="0.2">
      <c r="A54" s="106" t="s">
        <v>351</v>
      </c>
      <c r="B54" s="106" t="s">
        <v>270</v>
      </c>
      <c r="C54" s="106" t="s">
        <v>271</v>
      </c>
      <c r="D54" s="106" t="s">
        <v>272</v>
      </c>
      <c r="E54">
        <v>8008</v>
      </c>
      <c r="F54" s="106" t="s">
        <v>558</v>
      </c>
      <c r="G54" s="106" t="s">
        <v>273</v>
      </c>
      <c r="H54" s="106" t="s">
        <v>283</v>
      </c>
      <c r="I54">
        <v>625</v>
      </c>
    </row>
    <row r="55" spans="1:10" x14ac:dyDescent="0.2">
      <c r="A55" s="106" t="s">
        <v>351</v>
      </c>
      <c r="B55" s="106" t="s">
        <v>270</v>
      </c>
      <c r="C55" s="106" t="s">
        <v>271</v>
      </c>
      <c r="D55" s="106" t="s">
        <v>272</v>
      </c>
      <c r="E55">
        <v>8125</v>
      </c>
      <c r="F55" s="106" t="s">
        <v>559</v>
      </c>
      <c r="G55" s="106" t="s">
        <v>273</v>
      </c>
      <c r="H55" s="106" t="s">
        <v>279</v>
      </c>
      <c r="I55" s="106">
        <v>585</v>
      </c>
      <c r="J55" s="106"/>
    </row>
    <row r="56" spans="1:10" x14ac:dyDescent="0.2">
      <c r="A56" s="106" t="s">
        <v>351</v>
      </c>
      <c r="B56" s="106" t="s">
        <v>270</v>
      </c>
      <c r="C56" s="106" t="s">
        <v>271</v>
      </c>
      <c r="D56" s="106" t="s">
        <v>276</v>
      </c>
      <c r="E56">
        <v>8931</v>
      </c>
      <c r="F56" s="106" t="s">
        <v>1763</v>
      </c>
      <c r="G56" s="106" t="s">
        <v>277</v>
      </c>
      <c r="H56" s="106" t="s">
        <v>299</v>
      </c>
      <c r="I56">
        <v>92</v>
      </c>
    </row>
    <row r="57" spans="1:10" x14ac:dyDescent="0.2">
      <c r="A57" s="106" t="s">
        <v>351</v>
      </c>
      <c r="B57" s="106" t="s">
        <v>270</v>
      </c>
      <c r="C57" s="106" t="s">
        <v>271</v>
      </c>
      <c r="D57" s="106" t="s">
        <v>272</v>
      </c>
      <c r="E57">
        <v>9974</v>
      </c>
      <c r="F57" s="106" t="s">
        <v>1764</v>
      </c>
      <c r="G57" s="106" t="s">
        <v>273</v>
      </c>
      <c r="H57" s="106" t="s">
        <v>283</v>
      </c>
      <c r="I57" t="s">
        <v>304</v>
      </c>
      <c r="J57" t="s">
        <v>2258</v>
      </c>
    </row>
    <row r="58" spans="1:10" x14ac:dyDescent="0.2">
      <c r="A58" s="106" t="s">
        <v>353</v>
      </c>
      <c r="B58" s="106" t="s">
        <v>270</v>
      </c>
      <c r="C58" s="106" t="s">
        <v>271</v>
      </c>
      <c r="D58" s="106" t="s">
        <v>272</v>
      </c>
      <c r="E58">
        <v>2178</v>
      </c>
      <c r="F58" s="106" t="s">
        <v>1765</v>
      </c>
      <c r="G58" s="106" t="s">
        <v>285</v>
      </c>
      <c r="H58" s="106" t="s">
        <v>278</v>
      </c>
      <c r="I58">
        <v>92</v>
      </c>
    </row>
    <row r="59" spans="1:10" x14ac:dyDescent="0.2">
      <c r="A59" s="106" t="s">
        <v>353</v>
      </c>
      <c r="B59" s="106" t="s">
        <v>270</v>
      </c>
      <c r="C59" s="106" t="s">
        <v>271</v>
      </c>
      <c r="D59" s="106" t="s">
        <v>272</v>
      </c>
      <c r="E59">
        <v>2670</v>
      </c>
      <c r="F59" s="106" t="s">
        <v>1766</v>
      </c>
      <c r="G59" s="106" t="s">
        <v>273</v>
      </c>
      <c r="H59" s="106" t="s">
        <v>283</v>
      </c>
      <c r="I59" t="s">
        <v>332</v>
      </c>
      <c r="J59" t="s">
        <v>2253</v>
      </c>
    </row>
    <row r="60" spans="1:10" x14ac:dyDescent="0.2">
      <c r="A60" s="106" t="s">
        <v>353</v>
      </c>
      <c r="B60" s="106" t="s">
        <v>270</v>
      </c>
      <c r="C60" s="106" t="s">
        <v>271</v>
      </c>
      <c r="D60" s="106" t="s">
        <v>272</v>
      </c>
      <c r="E60">
        <v>3141</v>
      </c>
      <c r="F60" s="106" t="s">
        <v>1767</v>
      </c>
      <c r="G60" s="106" t="s">
        <v>273</v>
      </c>
      <c r="H60" s="106" t="s">
        <v>283</v>
      </c>
      <c r="I60" t="s">
        <v>588</v>
      </c>
      <c r="J60" t="s">
        <v>2355</v>
      </c>
    </row>
    <row r="61" spans="1:10" x14ac:dyDescent="0.2">
      <c r="A61" s="106" t="s">
        <v>353</v>
      </c>
      <c r="B61" s="106" t="s">
        <v>270</v>
      </c>
      <c r="C61" s="106" t="s">
        <v>271</v>
      </c>
      <c r="D61" s="106" t="s">
        <v>272</v>
      </c>
      <c r="E61">
        <v>3550</v>
      </c>
      <c r="F61" s="106" t="s">
        <v>1768</v>
      </c>
      <c r="G61" s="106" t="s">
        <v>285</v>
      </c>
      <c r="H61" s="106" t="s">
        <v>283</v>
      </c>
      <c r="I61">
        <v>94</v>
      </c>
    </row>
    <row r="62" spans="1:10" x14ac:dyDescent="0.2">
      <c r="A62" s="106" t="s">
        <v>353</v>
      </c>
      <c r="B62" s="106" t="s">
        <v>270</v>
      </c>
      <c r="C62" s="106" t="s">
        <v>271</v>
      </c>
      <c r="D62" s="106" t="s">
        <v>272</v>
      </c>
      <c r="E62">
        <v>4714</v>
      </c>
      <c r="F62" s="106" t="s">
        <v>354</v>
      </c>
      <c r="G62" s="106" t="s">
        <v>273</v>
      </c>
      <c r="H62" s="106" t="s">
        <v>278</v>
      </c>
      <c r="I62">
        <v>595</v>
      </c>
    </row>
    <row r="63" spans="1:10" x14ac:dyDescent="0.2">
      <c r="A63" s="106" t="s">
        <v>353</v>
      </c>
      <c r="B63" s="106" t="s">
        <v>270</v>
      </c>
      <c r="C63" s="106" t="s">
        <v>271</v>
      </c>
      <c r="D63" s="106" t="s">
        <v>272</v>
      </c>
      <c r="E63">
        <v>6183</v>
      </c>
      <c r="F63" s="106" t="s">
        <v>1769</v>
      </c>
      <c r="G63" s="106" t="s">
        <v>273</v>
      </c>
      <c r="H63" s="106" t="s">
        <v>278</v>
      </c>
      <c r="I63" t="s">
        <v>304</v>
      </c>
      <c r="J63" t="s">
        <v>2356</v>
      </c>
    </row>
    <row r="64" spans="1:10" x14ac:dyDescent="0.2">
      <c r="A64" s="106" t="s">
        <v>353</v>
      </c>
      <c r="B64" s="106" t="s">
        <v>270</v>
      </c>
      <c r="C64" s="106" t="s">
        <v>271</v>
      </c>
      <c r="D64" s="106" t="s">
        <v>276</v>
      </c>
      <c r="E64">
        <v>6469</v>
      </c>
      <c r="F64" s="106" t="s">
        <v>1770</v>
      </c>
      <c r="G64" s="106" t="s">
        <v>277</v>
      </c>
      <c r="H64" s="106" t="s">
        <v>294</v>
      </c>
      <c r="I64" s="106">
        <v>69</v>
      </c>
      <c r="J64" s="106"/>
    </row>
    <row r="65" spans="1:10" x14ac:dyDescent="0.2">
      <c r="A65" s="106" t="s">
        <v>353</v>
      </c>
      <c r="B65" s="106" t="s">
        <v>270</v>
      </c>
      <c r="C65" s="106" t="s">
        <v>282</v>
      </c>
      <c r="D65" s="106" t="s">
        <v>276</v>
      </c>
      <c r="E65">
        <v>6552</v>
      </c>
      <c r="F65" s="106" t="s">
        <v>1771</v>
      </c>
      <c r="G65" s="106" t="s">
        <v>273</v>
      </c>
      <c r="H65" s="106" t="s">
        <v>278</v>
      </c>
      <c r="I65">
        <v>137</v>
      </c>
    </row>
    <row r="66" spans="1:10" x14ac:dyDescent="0.2">
      <c r="A66" s="106" t="s">
        <v>353</v>
      </c>
      <c r="B66" s="106" t="s">
        <v>270</v>
      </c>
      <c r="C66" s="106" t="s">
        <v>275</v>
      </c>
      <c r="D66" s="106" t="s">
        <v>272</v>
      </c>
      <c r="E66">
        <v>7581</v>
      </c>
      <c r="F66" s="106" t="s">
        <v>1772</v>
      </c>
      <c r="G66" s="106" t="s">
        <v>273</v>
      </c>
      <c r="H66" s="106" t="s">
        <v>283</v>
      </c>
      <c r="I66" s="106" t="s">
        <v>304</v>
      </c>
      <c r="J66" s="106" t="s">
        <v>2357</v>
      </c>
    </row>
    <row r="67" spans="1:10" x14ac:dyDescent="0.2">
      <c r="A67" s="106" t="s">
        <v>353</v>
      </c>
      <c r="B67" s="106" t="s">
        <v>270</v>
      </c>
      <c r="C67" s="106" t="s">
        <v>271</v>
      </c>
      <c r="D67" s="106" t="s">
        <v>272</v>
      </c>
      <c r="E67">
        <v>8278</v>
      </c>
      <c r="F67" s="106" t="s">
        <v>1773</v>
      </c>
      <c r="G67" s="106" t="s">
        <v>273</v>
      </c>
      <c r="H67" s="106" t="s">
        <v>283</v>
      </c>
      <c r="I67" s="106">
        <v>751</v>
      </c>
      <c r="J67" s="106"/>
    </row>
    <row r="68" spans="1:10" x14ac:dyDescent="0.2">
      <c r="A68" s="106" t="s">
        <v>353</v>
      </c>
      <c r="B68" s="106" t="s">
        <v>270</v>
      </c>
      <c r="C68" s="106" t="s">
        <v>282</v>
      </c>
      <c r="D68" s="106" t="s">
        <v>272</v>
      </c>
      <c r="E68">
        <v>9265</v>
      </c>
      <c r="F68" s="106" t="s">
        <v>1774</v>
      </c>
      <c r="G68" s="106" t="s">
        <v>273</v>
      </c>
      <c r="H68" s="106" t="s">
        <v>279</v>
      </c>
      <c r="I68">
        <v>39</v>
      </c>
    </row>
    <row r="69" spans="1:10" x14ac:dyDescent="0.2">
      <c r="A69" s="106" t="s">
        <v>353</v>
      </c>
      <c r="B69" s="106" t="s">
        <v>270</v>
      </c>
      <c r="C69" s="106" t="s">
        <v>275</v>
      </c>
      <c r="D69" s="106" t="s">
        <v>272</v>
      </c>
      <c r="E69">
        <v>9414</v>
      </c>
      <c r="F69" s="106" t="s">
        <v>1775</v>
      </c>
      <c r="G69" s="106" t="s">
        <v>273</v>
      </c>
      <c r="H69" s="106" t="s">
        <v>284</v>
      </c>
      <c r="I69" s="106">
        <v>205</v>
      </c>
      <c r="J69" s="106"/>
    </row>
    <row r="70" spans="1:10" x14ac:dyDescent="0.2">
      <c r="A70" s="106" t="s">
        <v>353</v>
      </c>
      <c r="B70" s="106" t="s">
        <v>270</v>
      </c>
      <c r="C70" s="106" t="s">
        <v>271</v>
      </c>
      <c r="D70" s="106" t="s">
        <v>272</v>
      </c>
      <c r="E70">
        <v>9846</v>
      </c>
      <c r="F70" s="106" t="s">
        <v>1776</v>
      </c>
      <c r="G70" s="106" t="s">
        <v>281</v>
      </c>
      <c r="H70" s="106" t="s">
        <v>283</v>
      </c>
      <c r="I70" s="106">
        <v>140</v>
      </c>
      <c r="J70" s="106"/>
    </row>
    <row r="71" spans="1:10" x14ac:dyDescent="0.2">
      <c r="A71" s="106" t="s">
        <v>353</v>
      </c>
      <c r="B71" s="106" t="s">
        <v>270</v>
      </c>
      <c r="C71" s="106" t="s">
        <v>271</v>
      </c>
      <c r="D71" s="106" t="s">
        <v>272</v>
      </c>
      <c r="E71">
        <v>9993</v>
      </c>
      <c r="F71" s="106" t="s">
        <v>1777</v>
      </c>
      <c r="G71" s="106" t="s">
        <v>273</v>
      </c>
      <c r="H71" s="106" t="s">
        <v>283</v>
      </c>
      <c r="I71">
        <v>186</v>
      </c>
    </row>
    <row r="72" spans="1:10" x14ac:dyDescent="0.2">
      <c r="A72" s="106" t="s">
        <v>355</v>
      </c>
      <c r="B72" s="106" t="s">
        <v>337</v>
      </c>
      <c r="C72" s="106" t="s">
        <v>282</v>
      </c>
      <c r="D72" s="106" t="s">
        <v>276</v>
      </c>
      <c r="E72">
        <v>4430</v>
      </c>
      <c r="F72" s="106" t="s">
        <v>554</v>
      </c>
      <c r="G72" s="106" t="s">
        <v>281</v>
      </c>
      <c r="H72" s="106" t="s">
        <v>284</v>
      </c>
      <c r="I72">
        <v>52</v>
      </c>
    </row>
    <row r="73" spans="1:10" x14ac:dyDescent="0.2">
      <c r="A73" s="106" t="s">
        <v>355</v>
      </c>
      <c r="B73" s="106" t="s">
        <v>270</v>
      </c>
      <c r="C73" s="106" t="s">
        <v>282</v>
      </c>
      <c r="D73" s="106" t="s">
        <v>272</v>
      </c>
      <c r="E73">
        <v>1377</v>
      </c>
      <c r="F73" s="106" t="s">
        <v>561</v>
      </c>
      <c r="G73" s="106" t="s">
        <v>273</v>
      </c>
      <c r="H73" s="106" t="s">
        <v>321</v>
      </c>
      <c r="I73" s="106" t="s">
        <v>304</v>
      </c>
      <c r="J73" s="106" t="s">
        <v>2344</v>
      </c>
    </row>
    <row r="74" spans="1:10" x14ac:dyDescent="0.2">
      <c r="A74" s="106" t="s">
        <v>355</v>
      </c>
      <c r="B74" s="106" t="s">
        <v>270</v>
      </c>
      <c r="C74" s="106" t="s">
        <v>282</v>
      </c>
      <c r="D74" s="106" t="s">
        <v>276</v>
      </c>
      <c r="E74">
        <v>2303</v>
      </c>
      <c r="F74" s="106" t="s">
        <v>564</v>
      </c>
      <c r="G74" s="106" t="s">
        <v>277</v>
      </c>
      <c r="H74" s="106" t="s">
        <v>284</v>
      </c>
      <c r="I74" s="106">
        <v>53</v>
      </c>
      <c r="J74" s="106"/>
    </row>
    <row r="75" spans="1:10" x14ac:dyDescent="0.2">
      <c r="A75" s="106" t="s">
        <v>355</v>
      </c>
      <c r="B75" s="106" t="s">
        <v>270</v>
      </c>
      <c r="C75" s="106" t="s">
        <v>271</v>
      </c>
      <c r="D75" s="106" t="s">
        <v>272</v>
      </c>
      <c r="E75">
        <v>2341</v>
      </c>
      <c r="F75" s="106" t="s">
        <v>1778</v>
      </c>
      <c r="G75" s="106" t="s">
        <v>277</v>
      </c>
      <c r="H75" s="106" t="s">
        <v>278</v>
      </c>
      <c r="I75" s="106">
        <v>63</v>
      </c>
      <c r="J75" s="106"/>
    </row>
    <row r="76" spans="1:10" x14ac:dyDescent="0.2">
      <c r="A76" s="106" t="s">
        <v>355</v>
      </c>
      <c r="B76" s="106" t="s">
        <v>270</v>
      </c>
      <c r="C76" s="106" t="s">
        <v>282</v>
      </c>
      <c r="D76" s="106" t="s">
        <v>272</v>
      </c>
      <c r="E76">
        <v>2462</v>
      </c>
      <c r="F76" s="106" t="s">
        <v>565</v>
      </c>
      <c r="G76" s="106" t="s">
        <v>273</v>
      </c>
      <c r="H76" s="106" t="s">
        <v>278</v>
      </c>
      <c r="I76">
        <v>319</v>
      </c>
    </row>
    <row r="77" spans="1:10" x14ac:dyDescent="0.2">
      <c r="A77" s="106" t="s">
        <v>355</v>
      </c>
      <c r="B77" s="106" t="s">
        <v>270</v>
      </c>
      <c r="C77" s="106" t="s">
        <v>282</v>
      </c>
      <c r="D77" s="106" t="s">
        <v>272</v>
      </c>
      <c r="E77">
        <v>2791</v>
      </c>
      <c r="F77" s="106" t="s">
        <v>1779</v>
      </c>
      <c r="G77" s="106" t="s">
        <v>273</v>
      </c>
      <c r="H77" s="106" t="s">
        <v>283</v>
      </c>
      <c r="I77">
        <v>462</v>
      </c>
    </row>
    <row r="78" spans="1:10" x14ac:dyDescent="0.2">
      <c r="A78" s="106" t="s">
        <v>355</v>
      </c>
      <c r="B78" s="106" t="s">
        <v>270</v>
      </c>
      <c r="C78" s="106" t="s">
        <v>280</v>
      </c>
      <c r="D78" s="106" t="s">
        <v>272</v>
      </c>
      <c r="E78">
        <v>2809</v>
      </c>
      <c r="F78" s="106" t="s">
        <v>356</v>
      </c>
      <c r="G78" s="106" t="s">
        <v>273</v>
      </c>
      <c r="H78" s="106" t="s">
        <v>274</v>
      </c>
      <c r="I78" t="s">
        <v>357</v>
      </c>
      <c r="J78" t="s">
        <v>2358</v>
      </c>
    </row>
    <row r="79" spans="1:10" x14ac:dyDescent="0.2">
      <c r="A79" s="106" t="s">
        <v>355</v>
      </c>
      <c r="B79" s="106" t="s">
        <v>270</v>
      </c>
      <c r="C79" s="106" t="s">
        <v>280</v>
      </c>
      <c r="D79" s="106" t="s">
        <v>272</v>
      </c>
      <c r="E79">
        <v>2830</v>
      </c>
      <c r="F79" s="106" t="s">
        <v>1780</v>
      </c>
      <c r="G79" s="106" t="s">
        <v>281</v>
      </c>
      <c r="H79" s="106" t="s">
        <v>274</v>
      </c>
      <c r="I79">
        <v>190</v>
      </c>
    </row>
    <row r="80" spans="1:10" x14ac:dyDescent="0.2">
      <c r="A80" s="106" t="s">
        <v>355</v>
      </c>
      <c r="B80" s="106" t="s">
        <v>270</v>
      </c>
      <c r="C80" s="106" t="s">
        <v>271</v>
      </c>
      <c r="D80" s="106" t="s">
        <v>272</v>
      </c>
      <c r="E80">
        <v>2918</v>
      </c>
      <c r="F80" s="106" t="s">
        <v>1781</v>
      </c>
      <c r="G80" s="106" t="s">
        <v>273</v>
      </c>
      <c r="H80" s="106" t="s">
        <v>274</v>
      </c>
      <c r="I80" s="106">
        <v>306</v>
      </c>
      <c r="J80" s="106"/>
    </row>
    <row r="81" spans="1:10" x14ac:dyDescent="0.2">
      <c r="A81" s="106" t="s">
        <v>355</v>
      </c>
      <c r="B81" s="106" t="s">
        <v>270</v>
      </c>
      <c r="C81" s="106" t="s">
        <v>275</v>
      </c>
      <c r="D81" s="106" t="s">
        <v>272</v>
      </c>
      <c r="E81">
        <v>2927</v>
      </c>
      <c r="F81" s="106" t="s">
        <v>358</v>
      </c>
      <c r="G81" s="106" t="s">
        <v>277</v>
      </c>
      <c r="H81" s="106" t="s">
        <v>274</v>
      </c>
      <c r="I81">
        <v>94</v>
      </c>
    </row>
    <row r="82" spans="1:10" x14ac:dyDescent="0.2">
      <c r="A82" s="106" t="s">
        <v>355</v>
      </c>
      <c r="B82" s="106" t="s">
        <v>270</v>
      </c>
      <c r="C82" s="106" t="s">
        <v>271</v>
      </c>
      <c r="D82" s="106" t="s">
        <v>276</v>
      </c>
      <c r="E82">
        <v>3083</v>
      </c>
      <c r="F82" s="106" t="s">
        <v>1782</v>
      </c>
      <c r="G82" s="106" t="s">
        <v>277</v>
      </c>
      <c r="H82" s="106" t="s">
        <v>283</v>
      </c>
      <c r="I82">
        <v>14</v>
      </c>
    </row>
    <row r="83" spans="1:10" x14ac:dyDescent="0.2">
      <c r="A83" s="106" t="s">
        <v>355</v>
      </c>
      <c r="B83" s="106" t="s">
        <v>270</v>
      </c>
      <c r="C83" s="106" t="s">
        <v>275</v>
      </c>
      <c r="D83" s="106" t="s">
        <v>272</v>
      </c>
      <c r="E83">
        <v>3376</v>
      </c>
      <c r="F83" s="106" t="s">
        <v>1783</v>
      </c>
      <c r="G83" s="106" t="s">
        <v>273</v>
      </c>
      <c r="H83" s="106" t="s">
        <v>283</v>
      </c>
      <c r="I83">
        <v>48</v>
      </c>
    </row>
    <row r="84" spans="1:10" x14ac:dyDescent="0.2">
      <c r="A84" s="106" t="s">
        <v>355</v>
      </c>
      <c r="B84" s="106" t="s">
        <v>270</v>
      </c>
      <c r="C84" s="106" t="s">
        <v>271</v>
      </c>
      <c r="D84" s="106" t="s">
        <v>272</v>
      </c>
      <c r="E84">
        <v>3382</v>
      </c>
      <c r="F84" s="106" t="s">
        <v>551</v>
      </c>
      <c r="G84" s="106" t="s">
        <v>273</v>
      </c>
      <c r="H84" s="106" t="s">
        <v>283</v>
      </c>
      <c r="I84" t="s">
        <v>2170</v>
      </c>
      <c r="J84" t="s">
        <v>2359</v>
      </c>
    </row>
    <row r="85" spans="1:10" x14ac:dyDescent="0.2">
      <c r="A85" s="106" t="s">
        <v>355</v>
      </c>
      <c r="B85" s="106" t="s">
        <v>270</v>
      </c>
      <c r="C85" s="106" t="s">
        <v>271</v>
      </c>
      <c r="D85" s="106" t="s">
        <v>272</v>
      </c>
      <c r="E85">
        <v>3396</v>
      </c>
      <c r="F85" s="106" t="s">
        <v>359</v>
      </c>
      <c r="G85" s="106" t="s">
        <v>273</v>
      </c>
      <c r="H85" s="106" t="s">
        <v>283</v>
      </c>
      <c r="I85" s="106">
        <v>105</v>
      </c>
      <c r="J85" s="106"/>
    </row>
    <row r="86" spans="1:10" x14ac:dyDescent="0.2">
      <c r="A86" s="106" t="s">
        <v>355</v>
      </c>
      <c r="B86" s="106" t="s">
        <v>270</v>
      </c>
      <c r="C86" s="106" t="s">
        <v>275</v>
      </c>
      <c r="D86" s="106" t="s">
        <v>272</v>
      </c>
      <c r="E86">
        <v>3697</v>
      </c>
      <c r="F86" s="106" t="s">
        <v>1784</v>
      </c>
      <c r="G86" s="106" t="s">
        <v>273</v>
      </c>
      <c r="H86" s="106" t="s">
        <v>284</v>
      </c>
      <c r="I86" t="s">
        <v>304</v>
      </c>
      <c r="J86" t="s">
        <v>2360</v>
      </c>
    </row>
    <row r="87" spans="1:10" x14ac:dyDescent="0.2">
      <c r="A87" s="106" t="s">
        <v>355</v>
      </c>
      <c r="B87" s="106" t="s">
        <v>270</v>
      </c>
      <c r="C87" s="106" t="s">
        <v>280</v>
      </c>
      <c r="D87" s="106" t="s">
        <v>272</v>
      </c>
      <c r="E87">
        <v>4187</v>
      </c>
      <c r="F87" s="106" t="s">
        <v>1785</v>
      </c>
      <c r="G87" s="106" t="s">
        <v>273</v>
      </c>
      <c r="H87" s="106" t="s">
        <v>286</v>
      </c>
      <c r="I87">
        <v>337</v>
      </c>
    </row>
    <row r="88" spans="1:10" x14ac:dyDescent="0.2">
      <c r="A88" s="106" t="s">
        <v>355</v>
      </c>
      <c r="B88" s="106" t="s">
        <v>270</v>
      </c>
      <c r="C88" s="106" t="s">
        <v>271</v>
      </c>
      <c r="D88" s="106" t="s">
        <v>276</v>
      </c>
      <c r="E88">
        <v>4745</v>
      </c>
      <c r="F88" s="106" t="s">
        <v>1786</v>
      </c>
      <c r="G88" s="106" t="s">
        <v>273</v>
      </c>
      <c r="H88" s="106" t="s">
        <v>278</v>
      </c>
      <c r="I88">
        <v>392</v>
      </c>
    </row>
    <row r="89" spans="1:10" x14ac:dyDescent="0.2">
      <c r="A89" s="106" t="s">
        <v>355</v>
      </c>
      <c r="B89" s="106" t="s">
        <v>270</v>
      </c>
      <c r="C89" s="106" t="s">
        <v>271</v>
      </c>
      <c r="D89" s="106" t="s">
        <v>272</v>
      </c>
      <c r="E89">
        <v>4763</v>
      </c>
      <c r="F89" s="106" t="s">
        <v>1787</v>
      </c>
      <c r="G89" s="106" t="s">
        <v>273</v>
      </c>
      <c r="H89" s="106" t="s">
        <v>278</v>
      </c>
      <c r="I89">
        <v>251</v>
      </c>
    </row>
    <row r="90" spans="1:10" x14ac:dyDescent="0.2">
      <c r="A90" s="106" t="s">
        <v>355</v>
      </c>
      <c r="B90" s="106" t="s">
        <v>270</v>
      </c>
      <c r="C90" s="106" t="s">
        <v>282</v>
      </c>
      <c r="D90" s="106" t="s">
        <v>272</v>
      </c>
      <c r="E90">
        <v>5932</v>
      </c>
      <c r="F90" s="106" t="s">
        <v>1788</v>
      </c>
      <c r="G90" s="106" t="s">
        <v>273</v>
      </c>
      <c r="H90" s="106" t="s">
        <v>288</v>
      </c>
      <c r="I90">
        <v>399</v>
      </c>
    </row>
    <row r="91" spans="1:10" x14ac:dyDescent="0.2">
      <c r="A91" s="106" t="s">
        <v>355</v>
      </c>
      <c r="B91" s="106" t="s">
        <v>270</v>
      </c>
      <c r="C91" s="106" t="s">
        <v>280</v>
      </c>
      <c r="D91" s="106" t="s">
        <v>272</v>
      </c>
      <c r="E91">
        <v>5942</v>
      </c>
      <c r="F91" s="106" t="s">
        <v>1789</v>
      </c>
      <c r="G91" s="106" t="s">
        <v>273</v>
      </c>
      <c r="H91" s="106" t="s">
        <v>288</v>
      </c>
      <c r="I91" s="106">
        <v>114</v>
      </c>
      <c r="J91" s="106"/>
    </row>
    <row r="92" spans="1:10" x14ac:dyDescent="0.2">
      <c r="A92" s="106" t="s">
        <v>355</v>
      </c>
      <c r="B92" s="106" t="s">
        <v>270</v>
      </c>
      <c r="C92" s="106" t="s">
        <v>271</v>
      </c>
      <c r="D92" s="106" t="s">
        <v>272</v>
      </c>
      <c r="E92">
        <v>6093</v>
      </c>
      <c r="F92" s="106" t="s">
        <v>1790</v>
      </c>
      <c r="G92" s="106" t="s">
        <v>273</v>
      </c>
      <c r="H92" s="106" t="s">
        <v>278</v>
      </c>
      <c r="I92" s="106">
        <v>94</v>
      </c>
      <c r="J92" s="106"/>
    </row>
    <row r="93" spans="1:10" x14ac:dyDescent="0.2">
      <c r="A93" s="106" t="s">
        <v>355</v>
      </c>
      <c r="B93" s="106" t="s">
        <v>270</v>
      </c>
      <c r="C93" s="106" t="s">
        <v>271</v>
      </c>
      <c r="D93" s="106" t="s">
        <v>272</v>
      </c>
      <c r="E93">
        <v>6312</v>
      </c>
      <c r="F93" s="106" t="s">
        <v>1791</v>
      </c>
      <c r="G93" s="106" t="s">
        <v>277</v>
      </c>
      <c r="H93" s="106" t="s">
        <v>294</v>
      </c>
      <c r="I93" s="106">
        <v>143</v>
      </c>
      <c r="J93" s="106"/>
    </row>
    <row r="94" spans="1:10" x14ac:dyDescent="0.2">
      <c r="A94" s="106" t="s">
        <v>355</v>
      </c>
      <c r="B94" s="106" t="s">
        <v>270</v>
      </c>
      <c r="C94" s="106" t="s">
        <v>282</v>
      </c>
      <c r="D94" s="106" t="s">
        <v>272</v>
      </c>
      <c r="E94">
        <v>6489</v>
      </c>
      <c r="F94" s="106" t="s">
        <v>578</v>
      </c>
      <c r="G94" s="106" t="s">
        <v>273</v>
      </c>
      <c r="H94" s="106" t="s">
        <v>294</v>
      </c>
      <c r="I94">
        <v>81</v>
      </c>
    </row>
    <row r="95" spans="1:10" x14ac:dyDescent="0.2">
      <c r="A95" s="106" t="s">
        <v>355</v>
      </c>
      <c r="B95" s="106" t="s">
        <v>270</v>
      </c>
      <c r="C95" s="106" t="s">
        <v>282</v>
      </c>
      <c r="D95" s="106" t="s">
        <v>276</v>
      </c>
      <c r="E95">
        <v>6496</v>
      </c>
      <c r="F95" s="106" t="s">
        <v>557</v>
      </c>
      <c r="G95" s="106" t="s">
        <v>281</v>
      </c>
      <c r="H95" s="106" t="s">
        <v>294</v>
      </c>
      <c r="I95" s="106">
        <v>102</v>
      </c>
      <c r="J95" s="106"/>
    </row>
    <row r="96" spans="1:10" x14ac:dyDescent="0.2">
      <c r="A96" s="106" t="s">
        <v>355</v>
      </c>
      <c r="B96" s="106" t="s">
        <v>270</v>
      </c>
      <c r="C96" s="106" t="s">
        <v>271</v>
      </c>
      <c r="D96" s="106" t="s">
        <v>272</v>
      </c>
      <c r="E96">
        <v>6506</v>
      </c>
      <c r="F96" s="106" t="s">
        <v>1792</v>
      </c>
      <c r="G96" s="106" t="s">
        <v>273</v>
      </c>
      <c r="H96" s="106" t="s">
        <v>298</v>
      </c>
      <c r="I96" t="s">
        <v>540</v>
      </c>
      <c r="J96" t="s">
        <v>2361</v>
      </c>
    </row>
    <row r="97" spans="1:10" x14ac:dyDescent="0.2">
      <c r="A97" s="106" t="s">
        <v>355</v>
      </c>
      <c r="B97" s="106" t="s">
        <v>270</v>
      </c>
      <c r="C97" s="106" t="s">
        <v>271</v>
      </c>
      <c r="D97" s="106" t="s">
        <v>272</v>
      </c>
      <c r="E97">
        <v>6734</v>
      </c>
      <c r="F97" s="106" t="s">
        <v>1793</v>
      </c>
      <c r="G97" s="106" t="s">
        <v>277</v>
      </c>
      <c r="H97" s="106" t="s">
        <v>298</v>
      </c>
      <c r="I97">
        <v>24</v>
      </c>
    </row>
    <row r="98" spans="1:10" x14ac:dyDescent="0.2">
      <c r="A98" s="106" t="s">
        <v>355</v>
      </c>
      <c r="B98" s="106" t="s">
        <v>270</v>
      </c>
      <c r="C98" s="106" t="s">
        <v>275</v>
      </c>
      <c r="D98" s="106" t="s">
        <v>276</v>
      </c>
      <c r="E98">
        <v>7513</v>
      </c>
      <c r="F98" s="106" t="s">
        <v>2362</v>
      </c>
      <c r="G98" s="106" t="s">
        <v>273</v>
      </c>
      <c r="H98" s="106" t="s">
        <v>283</v>
      </c>
      <c r="I98">
        <v>405</v>
      </c>
    </row>
    <row r="99" spans="1:10" x14ac:dyDescent="0.2">
      <c r="A99" s="106" t="s">
        <v>355</v>
      </c>
      <c r="B99" s="106" t="s">
        <v>270</v>
      </c>
      <c r="C99" s="106" t="s">
        <v>271</v>
      </c>
      <c r="D99" s="106" t="s">
        <v>272</v>
      </c>
      <c r="E99">
        <v>7544</v>
      </c>
      <c r="F99" s="106" t="s">
        <v>1794</v>
      </c>
      <c r="G99" s="106" t="s">
        <v>281</v>
      </c>
      <c r="H99" s="106" t="s">
        <v>283</v>
      </c>
      <c r="I99">
        <v>32</v>
      </c>
    </row>
    <row r="100" spans="1:10" x14ac:dyDescent="0.2">
      <c r="A100" s="106" t="s">
        <v>355</v>
      </c>
      <c r="B100" s="106" t="s">
        <v>270</v>
      </c>
      <c r="C100" s="106" t="s">
        <v>271</v>
      </c>
      <c r="D100" s="106" t="s">
        <v>272</v>
      </c>
      <c r="E100">
        <v>7601</v>
      </c>
      <c r="F100" s="106" t="s">
        <v>1795</v>
      </c>
      <c r="G100" s="106" t="s">
        <v>273</v>
      </c>
      <c r="H100" s="106" t="s">
        <v>283</v>
      </c>
      <c r="I100" s="106">
        <v>63</v>
      </c>
      <c r="J100" s="106"/>
    </row>
    <row r="101" spans="1:10" x14ac:dyDescent="0.2">
      <c r="A101" s="106" t="s">
        <v>355</v>
      </c>
      <c r="B101" s="106" t="s">
        <v>270</v>
      </c>
      <c r="C101" s="106" t="s">
        <v>271</v>
      </c>
      <c r="D101" s="106" t="s">
        <v>276</v>
      </c>
      <c r="E101">
        <v>7847</v>
      </c>
      <c r="F101" s="106" t="s">
        <v>1796</v>
      </c>
      <c r="G101" s="106" t="s">
        <v>277</v>
      </c>
      <c r="H101" s="106" t="s">
        <v>295</v>
      </c>
      <c r="I101" s="106">
        <v>35</v>
      </c>
      <c r="J101" s="106"/>
    </row>
    <row r="102" spans="1:10" x14ac:dyDescent="0.2">
      <c r="A102" s="106" t="s">
        <v>355</v>
      </c>
      <c r="B102" s="106" t="s">
        <v>270</v>
      </c>
      <c r="C102" s="106" t="s">
        <v>282</v>
      </c>
      <c r="D102" s="106" t="s">
        <v>272</v>
      </c>
      <c r="E102">
        <v>7888</v>
      </c>
      <c r="F102" s="106" t="s">
        <v>1797</v>
      </c>
      <c r="G102" s="106" t="s">
        <v>273</v>
      </c>
      <c r="H102" s="106" t="s">
        <v>286</v>
      </c>
      <c r="I102">
        <v>129</v>
      </c>
    </row>
    <row r="103" spans="1:10" x14ac:dyDescent="0.2">
      <c r="A103" s="106" t="s">
        <v>355</v>
      </c>
      <c r="B103" s="106" t="s">
        <v>270</v>
      </c>
      <c r="C103" s="106" t="s">
        <v>271</v>
      </c>
      <c r="D103" s="106" t="s">
        <v>272</v>
      </c>
      <c r="E103">
        <v>7975</v>
      </c>
      <c r="F103" s="106" t="s">
        <v>1798</v>
      </c>
      <c r="G103" s="106" t="s">
        <v>281</v>
      </c>
      <c r="H103" s="106" t="s">
        <v>295</v>
      </c>
      <c r="I103" s="106">
        <v>34</v>
      </c>
      <c r="J103" s="106"/>
    </row>
    <row r="104" spans="1:10" x14ac:dyDescent="0.2">
      <c r="A104" s="106" t="s">
        <v>355</v>
      </c>
      <c r="B104" s="106" t="s">
        <v>270</v>
      </c>
      <c r="C104" s="106" t="s">
        <v>275</v>
      </c>
      <c r="D104" s="106" t="s">
        <v>276</v>
      </c>
      <c r="E104">
        <v>8184</v>
      </c>
      <c r="F104" s="106" t="s">
        <v>1799</v>
      </c>
      <c r="G104" s="106" t="s">
        <v>273</v>
      </c>
      <c r="H104" s="106" t="s">
        <v>283</v>
      </c>
      <c r="I104" s="106" t="s">
        <v>304</v>
      </c>
      <c r="J104" s="106" t="s">
        <v>2363</v>
      </c>
    </row>
    <row r="105" spans="1:10" x14ac:dyDescent="0.2">
      <c r="A105" s="106" t="s">
        <v>355</v>
      </c>
      <c r="B105" s="106" t="s">
        <v>270</v>
      </c>
      <c r="C105" s="106" t="s">
        <v>271</v>
      </c>
      <c r="D105" s="106" t="s">
        <v>272</v>
      </c>
      <c r="E105">
        <v>8237</v>
      </c>
      <c r="F105" s="106" t="s">
        <v>1800</v>
      </c>
      <c r="G105" s="106" t="s">
        <v>273</v>
      </c>
      <c r="H105" s="106" t="s">
        <v>283</v>
      </c>
      <c r="I105" s="106">
        <v>465</v>
      </c>
      <c r="J105" s="106"/>
    </row>
    <row r="106" spans="1:10" x14ac:dyDescent="0.2">
      <c r="A106" s="106" t="s">
        <v>355</v>
      </c>
      <c r="B106" s="106" t="s">
        <v>270</v>
      </c>
      <c r="C106" s="106" t="s">
        <v>271</v>
      </c>
      <c r="D106" s="106" t="s">
        <v>272</v>
      </c>
      <c r="E106">
        <v>8260</v>
      </c>
      <c r="F106" s="106" t="s">
        <v>1801</v>
      </c>
      <c r="G106" s="106" t="s">
        <v>273</v>
      </c>
      <c r="H106" s="106" t="s">
        <v>283</v>
      </c>
      <c r="I106" s="106">
        <v>29</v>
      </c>
      <c r="J106" s="106"/>
    </row>
    <row r="107" spans="1:10" x14ac:dyDescent="0.2">
      <c r="A107" s="106" t="s">
        <v>355</v>
      </c>
      <c r="B107" s="106" t="s">
        <v>270</v>
      </c>
      <c r="C107" s="106" t="s">
        <v>271</v>
      </c>
      <c r="D107" s="106" t="s">
        <v>272</v>
      </c>
      <c r="E107">
        <v>8273</v>
      </c>
      <c r="F107" s="106" t="s">
        <v>1802</v>
      </c>
      <c r="G107" s="106" t="s">
        <v>273</v>
      </c>
      <c r="H107" s="106" t="s">
        <v>283</v>
      </c>
      <c r="I107" t="s">
        <v>296</v>
      </c>
      <c r="J107" t="s">
        <v>2364</v>
      </c>
    </row>
    <row r="108" spans="1:10" x14ac:dyDescent="0.2">
      <c r="A108" s="106" t="s">
        <v>355</v>
      </c>
      <c r="B108" s="106" t="s">
        <v>270</v>
      </c>
      <c r="C108" s="106" t="s">
        <v>282</v>
      </c>
      <c r="D108" s="106" t="s">
        <v>276</v>
      </c>
      <c r="E108">
        <v>8887</v>
      </c>
      <c r="F108" s="106" t="s">
        <v>1803</v>
      </c>
      <c r="G108" s="106" t="s">
        <v>277</v>
      </c>
      <c r="H108" s="106" t="s">
        <v>299</v>
      </c>
      <c r="I108" s="106">
        <v>104</v>
      </c>
      <c r="J108" s="106"/>
    </row>
    <row r="109" spans="1:10" x14ac:dyDescent="0.2">
      <c r="A109" s="106" t="s">
        <v>355</v>
      </c>
      <c r="B109" s="106" t="s">
        <v>270</v>
      </c>
      <c r="C109" s="106" t="s">
        <v>271</v>
      </c>
      <c r="D109" s="106" t="s">
        <v>272</v>
      </c>
      <c r="E109">
        <v>8905</v>
      </c>
      <c r="F109" s="106" t="s">
        <v>1804</v>
      </c>
      <c r="G109" s="106" t="s">
        <v>273</v>
      </c>
      <c r="H109" s="106" t="s">
        <v>299</v>
      </c>
      <c r="I109" s="106" t="s">
        <v>323</v>
      </c>
      <c r="J109" s="106" t="s">
        <v>2365</v>
      </c>
    </row>
    <row r="110" spans="1:10" x14ac:dyDescent="0.2">
      <c r="A110" s="106" t="s">
        <v>355</v>
      </c>
      <c r="B110" s="106" t="s">
        <v>270</v>
      </c>
      <c r="C110" s="106" t="s">
        <v>282</v>
      </c>
      <c r="D110" s="106" t="s">
        <v>272</v>
      </c>
      <c r="E110">
        <v>8908</v>
      </c>
      <c r="F110" s="106" t="s">
        <v>360</v>
      </c>
      <c r="G110" s="106" t="s">
        <v>273</v>
      </c>
      <c r="H110" s="106" t="s">
        <v>299</v>
      </c>
      <c r="I110" s="106">
        <v>158</v>
      </c>
      <c r="J110" s="106"/>
    </row>
    <row r="111" spans="1:10" x14ac:dyDescent="0.2">
      <c r="A111" s="106" t="s">
        <v>355</v>
      </c>
      <c r="B111" s="106" t="s">
        <v>270</v>
      </c>
      <c r="C111" s="106" t="s">
        <v>280</v>
      </c>
      <c r="D111" s="106" t="s">
        <v>272</v>
      </c>
      <c r="E111">
        <v>8923</v>
      </c>
      <c r="F111" s="106" t="s">
        <v>373</v>
      </c>
      <c r="G111" s="106" t="s">
        <v>273</v>
      </c>
      <c r="H111" s="106" t="s">
        <v>299</v>
      </c>
      <c r="I111">
        <v>721</v>
      </c>
    </row>
    <row r="112" spans="1:10" x14ac:dyDescent="0.2">
      <c r="A112" s="106" t="s">
        <v>355</v>
      </c>
      <c r="B112" s="106" t="s">
        <v>270</v>
      </c>
      <c r="C112" s="106" t="s">
        <v>280</v>
      </c>
      <c r="D112" s="106" t="s">
        <v>272</v>
      </c>
      <c r="E112">
        <v>9369</v>
      </c>
      <c r="F112" s="106" t="s">
        <v>1805</v>
      </c>
      <c r="G112" s="106" t="s">
        <v>273</v>
      </c>
      <c r="H112" s="106" t="s">
        <v>626</v>
      </c>
      <c r="I112">
        <v>241</v>
      </c>
    </row>
    <row r="113" spans="1:10" x14ac:dyDescent="0.2">
      <c r="A113" s="106" t="s">
        <v>355</v>
      </c>
      <c r="B113" s="106" t="s">
        <v>270</v>
      </c>
      <c r="C113" s="106" t="s">
        <v>271</v>
      </c>
      <c r="D113" s="106" t="s">
        <v>272</v>
      </c>
      <c r="E113">
        <v>9716</v>
      </c>
      <c r="F113" s="106" t="s">
        <v>1806</v>
      </c>
      <c r="G113" s="106" t="s">
        <v>273</v>
      </c>
      <c r="H113" s="106" t="s">
        <v>278</v>
      </c>
      <c r="I113" s="106" t="s">
        <v>304</v>
      </c>
      <c r="J113" s="106" t="s">
        <v>2366</v>
      </c>
    </row>
    <row r="114" spans="1:10" x14ac:dyDescent="0.2">
      <c r="A114" s="106" t="s">
        <v>355</v>
      </c>
      <c r="B114" s="106" t="s">
        <v>270</v>
      </c>
      <c r="C114" s="106" t="s">
        <v>282</v>
      </c>
      <c r="D114" s="106" t="s">
        <v>272</v>
      </c>
      <c r="E114">
        <v>9765</v>
      </c>
      <c r="F114" s="106" t="s">
        <v>1807</v>
      </c>
      <c r="G114" s="106" t="s">
        <v>273</v>
      </c>
      <c r="H114" s="106" t="s">
        <v>278</v>
      </c>
      <c r="I114">
        <v>162</v>
      </c>
    </row>
    <row r="115" spans="1:10" x14ac:dyDescent="0.2">
      <c r="A115" s="106" t="s">
        <v>355</v>
      </c>
      <c r="B115" s="106" t="s">
        <v>270</v>
      </c>
      <c r="C115" s="106" t="s">
        <v>271</v>
      </c>
      <c r="D115" s="106" t="s">
        <v>276</v>
      </c>
      <c r="E115">
        <v>9778</v>
      </c>
      <c r="F115" s="106" t="s">
        <v>1808</v>
      </c>
      <c r="G115" s="106" t="s">
        <v>277</v>
      </c>
      <c r="H115" s="106" t="s">
        <v>278</v>
      </c>
      <c r="I115" s="106">
        <v>32</v>
      </c>
      <c r="J115" s="106"/>
    </row>
    <row r="116" spans="1:10" x14ac:dyDescent="0.2">
      <c r="A116" s="106" t="s">
        <v>355</v>
      </c>
      <c r="B116" s="106" t="s">
        <v>270</v>
      </c>
      <c r="C116" s="106" t="s">
        <v>271</v>
      </c>
      <c r="D116" s="106" t="s">
        <v>272</v>
      </c>
      <c r="E116">
        <v>9903</v>
      </c>
      <c r="F116" s="106" t="s">
        <v>1809</v>
      </c>
      <c r="G116" s="106" t="s">
        <v>277</v>
      </c>
      <c r="H116" s="106" t="s">
        <v>283</v>
      </c>
      <c r="I116">
        <v>138</v>
      </c>
    </row>
    <row r="117" spans="1:10" x14ac:dyDescent="0.2">
      <c r="A117" s="106" t="s">
        <v>355</v>
      </c>
      <c r="B117" s="106" t="s">
        <v>270</v>
      </c>
      <c r="C117" s="106" t="s">
        <v>275</v>
      </c>
      <c r="D117" s="106" t="s">
        <v>272</v>
      </c>
      <c r="E117">
        <v>9983</v>
      </c>
      <c r="F117" s="106" t="s">
        <v>361</v>
      </c>
      <c r="G117" s="106" t="s">
        <v>273</v>
      </c>
      <c r="H117" s="106" t="s">
        <v>283</v>
      </c>
      <c r="I117" t="s">
        <v>2016</v>
      </c>
      <c r="J117" t="s">
        <v>2367</v>
      </c>
    </row>
    <row r="118" spans="1:10" x14ac:dyDescent="0.2">
      <c r="A118" s="106" t="s">
        <v>362</v>
      </c>
      <c r="B118" s="106" t="s">
        <v>337</v>
      </c>
      <c r="C118" s="106" t="s">
        <v>271</v>
      </c>
      <c r="D118" s="106" t="s">
        <v>272</v>
      </c>
      <c r="E118">
        <v>3093</v>
      </c>
      <c r="F118" s="106" t="s">
        <v>760</v>
      </c>
      <c r="G118" s="106" t="s">
        <v>273</v>
      </c>
      <c r="H118" s="106" t="s">
        <v>283</v>
      </c>
      <c r="I118" s="106">
        <v>124</v>
      </c>
      <c r="J118" s="106"/>
    </row>
    <row r="119" spans="1:10" x14ac:dyDescent="0.2">
      <c r="A119" s="106" t="s">
        <v>362</v>
      </c>
      <c r="B119" s="106" t="s">
        <v>337</v>
      </c>
      <c r="C119" s="106" t="s">
        <v>280</v>
      </c>
      <c r="D119" s="106" t="s">
        <v>272</v>
      </c>
      <c r="E119">
        <v>6136</v>
      </c>
      <c r="F119" s="106" t="s">
        <v>1810</v>
      </c>
      <c r="G119" s="106" t="s">
        <v>273</v>
      </c>
      <c r="H119" s="106" t="s">
        <v>294</v>
      </c>
      <c r="I119" s="106" t="s">
        <v>296</v>
      </c>
      <c r="J119" s="106" t="s">
        <v>2257</v>
      </c>
    </row>
    <row r="120" spans="1:10" x14ac:dyDescent="0.2">
      <c r="A120" s="106" t="s">
        <v>362</v>
      </c>
      <c r="B120" s="106" t="s">
        <v>337</v>
      </c>
      <c r="C120" s="106" t="s">
        <v>271</v>
      </c>
      <c r="D120" s="106" t="s">
        <v>272</v>
      </c>
      <c r="E120">
        <v>6432</v>
      </c>
      <c r="F120" s="106" t="s">
        <v>1811</v>
      </c>
      <c r="G120" s="106" t="s">
        <v>273</v>
      </c>
      <c r="H120" s="106" t="s">
        <v>294</v>
      </c>
      <c r="I120" s="106">
        <v>810</v>
      </c>
      <c r="J120" s="106"/>
    </row>
    <row r="121" spans="1:10" x14ac:dyDescent="0.2">
      <c r="A121" s="106" t="s">
        <v>362</v>
      </c>
      <c r="B121" s="106" t="s">
        <v>337</v>
      </c>
      <c r="C121" s="106" t="s">
        <v>282</v>
      </c>
      <c r="D121" s="106" t="s">
        <v>272</v>
      </c>
      <c r="E121">
        <v>6567</v>
      </c>
      <c r="F121" s="106" t="s">
        <v>363</v>
      </c>
      <c r="G121" s="106" t="s">
        <v>285</v>
      </c>
      <c r="H121" s="106" t="s">
        <v>278</v>
      </c>
      <c r="I121" s="106">
        <v>32</v>
      </c>
      <c r="J121" s="106"/>
    </row>
    <row r="122" spans="1:10" x14ac:dyDescent="0.2">
      <c r="A122" s="106" t="s">
        <v>362</v>
      </c>
      <c r="B122" s="106" t="s">
        <v>1812</v>
      </c>
      <c r="C122" s="106" t="s">
        <v>282</v>
      </c>
      <c r="D122" s="106" t="s">
        <v>272</v>
      </c>
      <c r="E122">
        <v>8886</v>
      </c>
      <c r="F122" s="106" t="s">
        <v>1813</v>
      </c>
      <c r="G122" s="106" t="s">
        <v>277</v>
      </c>
      <c r="H122" s="106" t="s">
        <v>299</v>
      </c>
      <c r="I122">
        <v>37</v>
      </c>
    </row>
    <row r="123" spans="1:10" x14ac:dyDescent="0.2">
      <c r="A123" s="106" t="s">
        <v>362</v>
      </c>
      <c r="B123" s="106" t="s">
        <v>297</v>
      </c>
      <c r="C123" s="106" t="s">
        <v>282</v>
      </c>
      <c r="D123" s="106" t="s">
        <v>272</v>
      </c>
      <c r="E123">
        <v>2168</v>
      </c>
      <c r="F123" s="106" t="s">
        <v>2368</v>
      </c>
      <c r="G123" s="106" t="s">
        <v>273</v>
      </c>
      <c r="H123" s="106" t="s">
        <v>278</v>
      </c>
      <c r="I123" s="106">
        <v>682</v>
      </c>
      <c r="J123" s="106"/>
    </row>
    <row r="124" spans="1:10" x14ac:dyDescent="0.2">
      <c r="A124" s="106" t="s">
        <v>362</v>
      </c>
      <c r="B124" s="106" t="s">
        <v>270</v>
      </c>
      <c r="C124" s="106" t="s">
        <v>282</v>
      </c>
      <c r="D124" s="106" t="s">
        <v>276</v>
      </c>
      <c r="E124">
        <v>1401</v>
      </c>
      <c r="F124" s="106" t="s">
        <v>1814</v>
      </c>
      <c r="G124" s="106" t="s">
        <v>285</v>
      </c>
      <c r="H124" s="106" t="s">
        <v>300</v>
      </c>
      <c r="I124" s="106">
        <v>77</v>
      </c>
      <c r="J124" s="106"/>
    </row>
    <row r="125" spans="1:10" x14ac:dyDescent="0.2">
      <c r="A125" s="106" t="s">
        <v>362</v>
      </c>
      <c r="B125" s="106" t="s">
        <v>270</v>
      </c>
      <c r="C125" s="106" t="s">
        <v>282</v>
      </c>
      <c r="D125" s="106" t="s">
        <v>276</v>
      </c>
      <c r="E125">
        <v>1430</v>
      </c>
      <c r="F125" s="106" t="s">
        <v>546</v>
      </c>
      <c r="G125" s="106" t="s">
        <v>273</v>
      </c>
      <c r="H125" s="106" t="s">
        <v>300</v>
      </c>
      <c r="I125" s="106">
        <v>81</v>
      </c>
      <c r="J125" s="106"/>
    </row>
    <row r="126" spans="1:10" x14ac:dyDescent="0.2">
      <c r="A126" s="106" t="s">
        <v>362</v>
      </c>
      <c r="B126" s="106" t="s">
        <v>270</v>
      </c>
      <c r="C126" s="106" t="s">
        <v>282</v>
      </c>
      <c r="D126" s="106" t="s">
        <v>272</v>
      </c>
      <c r="E126">
        <v>2153</v>
      </c>
      <c r="F126" s="106" t="s">
        <v>1815</v>
      </c>
      <c r="G126" s="106" t="s">
        <v>273</v>
      </c>
      <c r="H126" s="106" t="s">
        <v>278</v>
      </c>
      <c r="I126">
        <v>122</v>
      </c>
    </row>
    <row r="127" spans="1:10" x14ac:dyDescent="0.2">
      <c r="A127" s="106" t="s">
        <v>362</v>
      </c>
      <c r="B127" s="106" t="s">
        <v>270</v>
      </c>
      <c r="C127" s="106" t="s">
        <v>275</v>
      </c>
      <c r="D127" s="106" t="s">
        <v>272</v>
      </c>
      <c r="E127">
        <v>2157</v>
      </c>
      <c r="F127" s="106" t="s">
        <v>1816</v>
      </c>
      <c r="G127" s="106" t="s">
        <v>273</v>
      </c>
      <c r="H127" s="106" t="s">
        <v>278</v>
      </c>
      <c r="I127" t="s">
        <v>304</v>
      </c>
      <c r="J127" t="s">
        <v>2369</v>
      </c>
    </row>
    <row r="128" spans="1:10" x14ac:dyDescent="0.2">
      <c r="A128" s="106" t="s">
        <v>362</v>
      </c>
      <c r="B128" s="106" t="s">
        <v>270</v>
      </c>
      <c r="C128" s="106" t="s">
        <v>275</v>
      </c>
      <c r="D128" s="106" t="s">
        <v>272</v>
      </c>
      <c r="E128">
        <v>2164</v>
      </c>
      <c r="F128" s="106" t="s">
        <v>1817</v>
      </c>
      <c r="G128" s="106" t="s">
        <v>277</v>
      </c>
      <c r="H128" s="106" t="s">
        <v>278</v>
      </c>
      <c r="I128">
        <v>14</v>
      </c>
    </row>
    <row r="129" spans="1:10" x14ac:dyDescent="0.2">
      <c r="A129" s="106" t="s">
        <v>362</v>
      </c>
      <c r="B129" s="106" t="s">
        <v>270</v>
      </c>
      <c r="C129" s="106" t="s">
        <v>271</v>
      </c>
      <c r="D129" s="106" t="s">
        <v>272</v>
      </c>
      <c r="E129">
        <v>2292</v>
      </c>
      <c r="F129" s="106" t="s">
        <v>1818</v>
      </c>
      <c r="G129" s="106" t="s">
        <v>273</v>
      </c>
      <c r="H129" s="106" t="s">
        <v>274</v>
      </c>
      <c r="I129">
        <v>922</v>
      </c>
    </row>
    <row r="130" spans="1:10" x14ac:dyDescent="0.2">
      <c r="A130" s="106" t="s">
        <v>362</v>
      </c>
      <c r="B130" s="106" t="s">
        <v>270</v>
      </c>
      <c r="C130" s="106" t="s">
        <v>271</v>
      </c>
      <c r="D130" s="106" t="s">
        <v>276</v>
      </c>
      <c r="E130">
        <v>2294</v>
      </c>
      <c r="F130" s="106" t="s">
        <v>563</v>
      </c>
      <c r="G130" s="106" t="s">
        <v>273</v>
      </c>
      <c r="H130" s="106" t="s">
        <v>274</v>
      </c>
      <c r="I130">
        <v>391</v>
      </c>
    </row>
    <row r="131" spans="1:10" x14ac:dyDescent="0.2">
      <c r="A131" s="106" t="s">
        <v>362</v>
      </c>
      <c r="B131" s="106" t="s">
        <v>270</v>
      </c>
      <c r="C131" s="106" t="s">
        <v>271</v>
      </c>
      <c r="D131" s="106" t="s">
        <v>272</v>
      </c>
      <c r="E131">
        <v>2337</v>
      </c>
      <c r="F131" s="106" t="s">
        <v>761</v>
      </c>
      <c r="G131" s="106" t="s">
        <v>273</v>
      </c>
      <c r="H131" s="106" t="s">
        <v>299</v>
      </c>
      <c r="I131" s="106" t="s">
        <v>296</v>
      </c>
      <c r="J131" s="106" t="s">
        <v>2370</v>
      </c>
    </row>
    <row r="132" spans="1:10" x14ac:dyDescent="0.2">
      <c r="A132" s="106" t="s">
        <v>362</v>
      </c>
      <c r="B132" s="106" t="s">
        <v>270</v>
      </c>
      <c r="C132" s="106" t="s">
        <v>271</v>
      </c>
      <c r="D132" s="106" t="s">
        <v>272</v>
      </c>
      <c r="E132">
        <v>2338</v>
      </c>
      <c r="F132" s="106" t="s">
        <v>364</v>
      </c>
      <c r="G132" s="106" t="s">
        <v>281</v>
      </c>
      <c r="H132" s="106" t="s">
        <v>284</v>
      </c>
      <c r="I132" s="106">
        <v>28</v>
      </c>
      <c r="J132" s="106"/>
    </row>
    <row r="133" spans="1:10" x14ac:dyDescent="0.2">
      <c r="A133" s="106" t="s">
        <v>362</v>
      </c>
      <c r="B133" s="106" t="s">
        <v>270</v>
      </c>
      <c r="C133" s="106" t="s">
        <v>271</v>
      </c>
      <c r="D133" s="106" t="s">
        <v>276</v>
      </c>
      <c r="E133">
        <v>2379</v>
      </c>
      <c r="F133" s="106" t="s">
        <v>1819</v>
      </c>
      <c r="G133" s="106" t="s">
        <v>273</v>
      </c>
      <c r="H133" s="106" t="s">
        <v>278</v>
      </c>
      <c r="I133" t="s">
        <v>304</v>
      </c>
      <c r="J133" t="s">
        <v>2371</v>
      </c>
    </row>
    <row r="134" spans="1:10" x14ac:dyDescent="0.2">
      <c r="A134" s="106" t="s">
        <v>362</v>
      </c>
      <c r="B134" s="106" t="s">
        <v>270</v>
      </c>
      <c r="C134" s="106" t="s">
        <v>271</v>
      </c>
      <c r="D134" s="106" t="s">
        <v>276</v>
      </c>
      <c r="E134">
        <v>2417</v>
      </c>
      <c r="F134" s="106" t="s">
        <v>2372</v>
      </c>
      <c r="G134" s="106" t="s">
        <v>281</v>
      </c>
      <c r="H134" s="106" t="s">
        <v>278</v>
      </c>
      <c r="I134" s="106">
        <v>28</v>
      </c>
      <c r="J134" s="106"/>
    </row>
    <row r="135" spans="1:10" x14ac:dyDescent="0.2">
      <c r="A135" s="106" t="s">
        <v>362</v>
      </c>
      <c r="B135" s="106" t="s">
        <v>270</v>
      </c>
      <c r="C135" s="106" t="s">
        <v>282</v>
      </c>
      <c r="D135" s="106" t="s">
        <v>272</v>
      </c>
      <c r="E135">
        <v>2459</v>
      </c>
      <c r="F135" s="106" t="s">
        <v>1820</v>
      </c>
      <c r="G135" s="106" t="s">
        <v>281</v>
      </c>
      <c r="H135" s="106" t="s">
        <v>278</v>
      </c>
      <c r="I135" s="106">
        <v>17</v>
      </c>
      <c r="J135" s="106"/>
    </row>
    <row r="136" spans="1:10" x14ac:dyDescent="0.2">
      <c r="A136" s="106" t="s">
        <v>362</v>
      </c>
      <c r="B136" s="106" t="s">
        <v>270</v>
      </c>
      <c r="C136" s="106" t="s">
        <v>271</v>
      </c>
      <c r="D136" s="106" t="s">
        <v>272</v>
      </c>
      <c r="E136">
        <v>2651</v>
      </c>
      <c r="F136" s="106" t="s">
        <v>365</v>
      </c>
      <c r="G136" s="106" t="s">
        <v>273</v>
      </c>
      <c r="H136" s="106" t="s">
        <v>283</v>
      </c>
      <c r="I136" s="106" t="s">
        <v>332</v>
      </c>
      <c r="J136" s="106" t="s">
        <v>2246</v>
      </c>
    </row>
    <row r="137" spans="1:10" x14ac:dyDescent="0.2">
      <c r="A137" s="106" t="s">
        <v>362</v>
      </c>
      <c r="B137" s="106" t="s">
        <v>270</v>
      </c>
      <c r="C137" s="106" t="s">
        <v>271</v>
      </c>
      <c r="D137" s="106" t="s">
        <v>276</v>
      </c>
      <c r="E137">
        <v>2653</v>
      </c>
      <c r="F137" s="106" t="s">
        <v>2373</v>
      </c>
      <c r="G137" s="106" t="s">
        <v>277</v>
      </c>
      <c r="H137" s="106" t="s">
        <v>283</v>
      </c>
      <c r="I137">
        <v>381</v>
      </c>
    </row>
    <row r="138" spans="1:10" x14ac:dyDescent="0.2">
      <c r="A138" s="106" t="s">
        <v>362</v>
      </c>
      <c r="B138" s="106" t="s">
        <v>270</v>
      </c>
      <c r="C138" s="106" t="s">
        <v>271</v>
      </c>
      <c r="D138" s="106" t="s">
        <v>272</v>
      </c>
      <c r="E138">
        <v>2668</v>
      </c>
      <c r="F138" s="106" t="s">
        <v>1821</v>
      </c>
      <c r="G138" s="106" t="s">
        <v>281</v>
      </c>
      <c r="H138" s="106" t="s">
        <v>279</v>
      </c>
      <c r="I138" s="106">
        <v>77</v>
      </c>
      <c r="J138" s="106"/>
    </row>
    <row r="139" spans="1:10" x14ac:dyDescent="0.2">
      <c r="A139" s="106" t="s">
        <v>362</v>
      </c>
      <c r="B139" s="106" t="s">
        <v>270</v>
      </c>
      <c r="C139" s="106" t="s">
        <v>271</v>
      </c>
      <c r="D139" s="106" t="s">
        <v>276</v>
      </c>
      <c r="E139">
        <v>2669</v>
      </c>
      <c r="F139" s="106" t="s">
        <v>1822</v>
      </c>
      <c r="G139" s="106" t="s">
        <v>277</v>
      </c>
      <c r="H139" s="106" t="s">
        <v>283</v>
      </c>
      <c r="I139">
        <v>302</v>
      </c>
    </row>
    <row r="140" spans="1:10" x14ac:dyDescent="0.2">
      <c r="A140" s="106" t="s">
        <v>362</v>
      </c>
      <c r="B140" s="106" t="s">
        <v>270</v>
      </c>
      <c r="C140" s="106" t="s">
        <v>271</v>
      </c>
      <c r="D140" s="106" t="s">
        <v>272</v>
      </c>
      <c r="E140">
        <v>2686</v>
      </c>
      <c r="F140" s="106" t="s">
        <v>1823</v>
      </c>
      <c r="G140" s="106" t="s">
        <v>273</v>
      </c>
      <c r="H140" s="106" t="s">
        <v>283</v>
      </c>
      <c r="I140" s="106">
        <v>264</v>
      </c>
      <c r="J140" s="106"/>
    </row>
    <row r="141" spans="1:10" x14ac:dyDescent="0.2">
      <c r="A141" s="106" t="s">
        <v>362</v>
      </c>
      <c r="B141" s="106" t="s">
        <v>270</v>
      </c>
      <c r="C141" s="106" t="s">
        <v>271</v>
      </c>
      <c r="D141" s="106" t="s">
        <v>272</v>
      </c>
      <c r="E141">
        <v>2687</v>
      </c>
      <c r="F141" s="106" t="s">
        <v>1824</v>
      </c>
      <c r="G141" s="106" t="s">
        <v>273</v>
      </c>
      <c r="H141" s="106" t="s">
        <v>283</v>
      </c>
      <c r="I141">
        <v>35</v>
      </c>
    </row>
    <row r="142" spans="1:10" x14ac:dyDescent="0.2">
      <c r="A142" s="106" t="s">
        <v>362</v>
      </c>
      <c r="B142" s="106" t="s">
        <v>270</v>
      </c>
      <c r="C142" s="106" t="s">
        <v>271</v>
      </c>
      <c r="D142" s="106" t="s">
        <v>276</v>
      </c>
      <c r="E142">
        <v>2706</v>
      </c>
      <c r="F142" s="106" t="s">
        <v>366</v>
      </c>
      <c r="G142" s="106" t="s">
        <v>277</v>
      </c>
      <c r="H142" s="106" t="s">
        <v>295</v>
      </c>
      <c r="I142">
        <v>128</v>
      </c>
    </row>
    <row r="143" spans="1:10" x14ac:dyDescent="0.2">
      <c r="A143" s="106" t="s">
        <v>362</v>
      </c>
      <c r="B143" s="106" t="s">
        <v>270</v>
      </c>
      <c r="C143" s="106" t="s">
        <v>275</v>
      </c>
      <c r="D143" s="106" t="s">
        <v>272</v>
      </c>
      <c r="E143">
        <v>2735</v>
      </c>
      <c r="F143" s="106" t="s">
        <v>1825</v>
      </c>
      <c r="G143" s="106" t="s">
        <v>273</v>
      </c>
      <c r="H143" s="106" t="s">
        <v>283</v>
      </c>
      <c r="I143">
        <v>84</v>
      </c>
    </row>
    <row r="144" spans="1:10" x14ac:dyDescent="0.2">
      <c r="A144" s="106" t="s">
        <v>362</v>
      </c>
      <c r="B144" s="106" t="s">
        <v>270</v>
      </c>
      <c r="C144" s="106" t="s">
        <v>275</v>
      </c>
      <c r="D144" s="106" t="s">
        <v>272</v>
      </c>
      <c r="E144">
        <v>2736</v>
      </c>
      <c r="F144" s="106" t="s">
        <v>1826</v>
      </c>
      <c r="G144" s="106" t="s">
        <v>277</v>
      </c>
      <c r="H144" s="106" t="s">
        <v>283</v>
      </c>
      <c r="I144">
        <v>21</v>
      </c>
    </row>
    <row r="145" spans="1:10" x14ac:dyDescent="0.2">
      <c r="A145" s="106" t="s">
        <v>362</v>
      </c>
      <c r="B145" s="106" t="s">
        <v>270</v>
      </c>
      <c r="C145" s="106" t="s">
        <v>271</v>
      </c>
      <c r="D145" s="106" t="s">
        <v>276</v>
      </c>
      <c r="E145">
        <v>2747</v>
      </c>
      <c r="F145" s="106" t="s">
        <v>1827</v>
      </c>
      <c r="G145" s="106" t="s">
        <v>277</v>
      </c>
      <c r="H145" s="106" t="s">
        <v>283</v>
      </c>
      <c r="I145">
        <v>40</v>
      </c>
    </row>
    <row r="146" spans="1:10" x14ac:dyDescent="0.2">
      <c r="A146" s="106" t="s">
        <v>362</v>
      </c>
      <c r="B146" s="106" t="s">
        <v>270</v>
      </c>
      <c r="C146" s="106" t="s">
        <v>271</v>
      </c>
      <c r="D146" s="106" t="s">
        <v>276</v>
      </c>
      <c r="E146">
        <v>2872</v>
      </c>
      <c r="F146" s="106" t="s">
        <v>1828</v>
      </c>
      <c r="G146" s="106" t="s">
        <v>281</v>
      </c>
      <c r="H146" s="106" t="s">
        <v>274</v>
      </c>
      <c r="I146" s="106">
        <v>15</v>
      </c>
      <c r="J146" s="106"/>
    </row>
    <row r="147" spans="1:10" x14ac:dyDescent="0.2">
      <c r="A147" s="106" t="s">
        <v>362</v>
      </c>
      <c r="B147" s="106" t="s">
        <v>270</v>
      </c>
      <c r="C147" s="106" t="s">
        <v>280</v>
      </c>
      <c r="D147" s="106" t="s">
        <v>272</v>
      </c>
      <c r="E147">
        <v>2975</v>
      </c>
      <c r="F147" s="106" t="s">
        <v>1829</v>
      </c>
      <c r="G147" s="106" t="s">
        <v>273</v>
      </c>
      <c r="H147" s="106" t="s">
        <v>299</v>
      </c>
      <c r="I147" s="106">
        <v>314</v>
      </c>
      <c r="J147" s="106"/>
    </row>
    <row r="148" spans="1:10" x14ac:dyDescent="0.2">
      <c r="A148" s="106" t="s">
        <v>362</v>
      </c>
      <c r="B148" s="106" t="s">
        <v>270</v>
      </c>
      <c r="C148" s="106" t="s">
        <v>275</v>
      </c>
      <c r="D148" s="106" t="s">
        <v>272</v>
      </c>
      <c r="E148">
        <v>3046</v>
      </c>
      <c r="F148" s="106" t="s">
        <v>1831</v>
      </c>
      <c r="G148" s="106" t="s">
        <v>273</v>
      </c>
      <c r="H148" s="106" t="s">
        <v>283</v>
      </c>
      <c r="I148" t="s">
        <v>304</v>
      </c>
      <c r="J148" t="s">
        <v>2374</v>
      </c>
    </row>
    <row r="149" spans="1:10" x14ac:dyDescent="0.2">
      <c r="A149" s="106" t="s">
        <v>362</v>
      </c>
      <c r="B149" s="106" t="s">
        <v>270</v>
      </c>
      <c r="C149" s="106" t="s">
        <v>275</v>
      </c>
      <c r="D149" s="106" t="s">
        <v>272</v>
      </c>
      <c r="E149">
        <v>3048</v>
      </c>
      <c r="F149" s="106" t="s">
        <v>1832</v>
      </c>
      <c r="G149" s="106" t="s">
        <v>273</v>
      </c>
      <c r="H149" s="106" t="s">
        <v>283</v>
      </c>
      <c r="I149" s="106" t="s">
        <v>296</v>
      </c>
      <c r="J149" s="106" t="s">
        <v>2375</v>
      </c>
    </row>
    <row r="150" spans="1:10" x14ac:dyDescent="0.2">
      <c r="A150" s="106" t="s">
        <v>362</v>
      </c>
      <c r="B150" s="106" t="s">
        <v>270</v>
      </c>
      <c r="C150" s="106" t="s">
        <v>271</v>
      </c>
      <c r="D150" s="106" t="s">
        <v>272</v>
      </c>
      <c r="E150">
        <v>3063</v>
      </c>
      <c r="F150" s="106" t="s">
        <v>1833</v>
      </c>
      <c r="G150" s="106" t="s">
        <v>285</v>
      </c>
      <c r="H150" s="106" t="s">
        <v>283</v>
      </c>
      <c r="I150" s="106">
        <v>68</v>
      </c>
      <c r="J150" s="106"/>
    </row>
    <row r="151" spans="1:10" x14ac:dyDescent="0.2">
      <c r="A151" s="106" t="s">
        <v>362</v>
      </c>
      <c r="B151" s="106" t="s">
        <v>270</v>
      </c>
      <c r="C151" s="106" t="s">
        <v>271</v>
      </c>
      <c r="D151" s="106" t="s">
        <v>276</v>
      </c>
      <c r="E151">
        <v>3065</v>
      </c>
      <c r="F151" s="106" t="s">
        <v>1834</v>
      </c>
      <c r="G151" s="106" t="s">
        <v>277</v>
      </c>
      <c r="H151" s="106" t="s">
        <v>283</v>
      </c>
      <c r="I151">
        <v>66</v>
      </c>
    </row>
    <row r="152" spans="1:10" x14ac:dyDescent="0.2">
      <c r="A152" s="106" t="s">
        <v>362</v>
      </c>
      <c r="B152" s="106" t="s">
        <v>270</v>
      </c>
      <c r="C152" s="106" t="s">
        <v>271</v>
      </c>
      <c r="D152" s="106" t="s">
        <v>276</v>
      </c>
      <c r="E152">
        <v>3094</v>
      </c>
      <c r="F152" s="106" t="s">
        <v>1835</v>
      </c>
      <c r="G152" s="106" t="s">
        <v>277</v>
      </c>
      <c r="H152" s="106" t="s">
        <v>283</v>
      </c>
      <c r="I152" s="106">
        <v>34</v>
      </c>
      <c r="J152" s="106"/>
    </row>
    <row r="153" spans="1:10" x14ac:dyDescent="0.2">
      <c r="A153" s="106" t="s">
        <v>362</v>
      </c>
      <c r="B153" s="106" t="s">
        <v>270</v>
      </c>
      <c r="C153" s="106" t="s">
        <v>275</v>
      </c>
      <c r="D153" s="106" t="s">
        <v>272</v>
      </c>
      <c r="E153">
        <v>3189</v>
      </c>
      <c r="F153" s="106" t="s">
        <v>1836</v>
      </c>
      <c r="G153" s="106" t="s">
        <v>277</v>
      </c>
      <c r="H153" s="106" t="s">
        <v>283</v>
      </c>
      <c r="I153" s="106">
        <v>27</v>
      </c>
      <c r="J153" s="106"/>
    </row>
    <row r="154" spans="1:10" x14ac:dyDescent="0.2">
      <c r="A154" s="106" t="s">
        <v>362</v>
      </c>
      <c r="B154" s="106" t="s">
        <v>270</v>
      </c>
      <c r="C154" s="106" t="s">
        <v>271</v>
      </c>
      <c r="D154" s="106" t="s">
        <v>272</v>
      </c>
      <c r="E154">
        <v>3194</v>
      </c>
      <c r="F154" s="106" t="s">
        <v>1837</v>
      </c>
      <c r="G154" s="106" t="s">
        <v>273</v>
      </c>
      <c r="H154" s="106" t="s">
        <v>283</v>
      </c>
      <c r="I154" s="106">
        <v>236</v>
      </c>
      <c r="J154" s="106"/>
    </row>
    <row r="155" spans="1:10" x14ac:dyDescent="0.2">
      <c r="A155" s="106" t="s">
        <v>362</v>
      </c>
      <c r="B155" s="106" t="s">
        <v>270</v>
      </c>
      <c r="C155" s="106" t="s">
        <v>280</v>
      </c>
      <c r="D155" s="106" t="s">
        <v>272</v>
      </c>
      <c r="E155">
        <v>3267</v>
      </c>
      <c r="F155" s="106" t="s">
        <v>1838</v>
      </c>
      <c r="G155" s="106" t="s">
        <v>285</v>
      </c>
      <c r="H155" s="106" t="s">
        <v>300</v>
      </c>
      <c r="I155" s="106">
        <v>256</v>
      </c>
      <c r="J155" s="106"/>
    </row>
    <row r="156" spans="1:10" x14ac:dyDescent="0.2">
      <c r="A156" s="106" t="s">
        <v>362</v>
      </c>
      <c r="B156" s="106" t="s">
        <v>270</v>
      </c>
      <c r="C156" s="106" t="s">
        <v>271</v>
      </c>
      <c r="D156" s="106" t="s">
        <v>272</v>
      </c>
      <c r="E156">
        <v>3280</v>
      </c>
      <c r="F156" s="106" t="s">
        <v>1839</v>
      </c>
      <c r="G156" s="106" t="s">
        <v>273</v>
      </c>
      <c r="H156" s="106" t="s">
        <v>299</v>
      </c>
      <c r="I156" s="106">
        <v>49</v>
      </c>
      <c r="J156" s="106"/>
    </row>
    <row r="157" spans="1:10" x14ac:dyDescent="0.2">
      <c r="A157" s="106" t="s">
        <v>362</v>
      </c>
      <c r="B157" s="106" t="s">
        <v>270</v>
      </c>
      <c r="C157" s="106" t="s">
        <v>282</v>
      </c>
      <c r="D157" s="106" t="s">
        <v>276</v>
      </c>
      <c r="E157">
        <v>3297</v>
      </c>
      <c r="F157" s="106" t="s">
        <v>567</v>
      </c>
      <c r="G157" s="106" t="s">
        <v>277</v>
      </c>
      <c r="H157" s="106" t="s">
        <v>299</v>
      </c>
      <c r="I157">
        <v>29</v>
      </c>
    </row>
    <row r="158" spans="1:10" x14ac:dyDescent="0.2">
      <c r="A158" s="106" t="s">
        <v>362</v>
      </c>
      <c r="B158" s="106" t="s">
        <v>270</v>
      </c>
      <c r="C158" s="106" t="s">
        <v>282</v>
      </c>
      <c r="D158" s="106" t="s">
        <v>272</v>
      </c>
      <c r="E158">
        <v>3349</v>
      </c>
      <c r="F158" s="106" t="s">
        <v>762</v>
      </c>
      <c r="G158" s="106" t="s">
        <v>273</v>
      </c>
      <c r="H158" s="106" t="s">
        <v>283</v>
      </c>
      <c r="I158" s="106" t="s">
        <v>323</v>
      </c>
      <c r="J158" s="106" t="s">
        <v>2376</v>
      </c>
    </row>
    <row r="159" spans="1:10" x14ac:dyDescent="0.2">
      <c r="A159" s="106" t="s">
        <v>362</v>
      </c>
      <c r="B159" s="106" t="s">
        <v>270</v>
      </c>
      <c r="C159" s="106" t="s">
        <v>280</v>
      </c>
      <c r="D159" s="106" t="s">
        <v>276</v>
      </c>
      <c r="E159">
        <v>3377</v>
      </c>
      <c r="F159" s="106" t="s">
        <v>568</v>
      </c>
      <c r="G159" s="106" t="s">
        <v>281</v>
      </c>
      <c r="H159" s="106" t="s">
        <v>279</v>
      </c>
      <c r="I159" s="106">
        <v>30</v>
      </c>
      <c r="J159" s="106"/>
    </row>
    <row r="160" spans="1:10" x14ac:dyDescent="0.2">
      <c r="A160" s="106" t="s">
        <v>362</v>
      </c>
      <c r="B160" s="106" t="s">
        <v>270</v>
      </c>
      <c r="C160" s="106" t="s">
        <v>280</v>
      </c>
      <c r="D160" s="106" t="s">
        <v>272</v>
      </c>
      <c r="E160">
        <v>3454</v>
      </c>
      <c r="F160" s="106" t="s">
        <v>552</v>
      </c>
      <c r="G160" s="106" t="s">
        <v>273</v>
      </c>
      <c r="H160" s="106" t="s">
        <v>299</v>
      </c>
      <c r="I160" s="106">
        <v>194</v>
      </c>
      <c r="J160" s="106"/>
    </row>
    <row r="161" spans="1:10" x14ac:dyDescent="0.2">
      <c r="A161" s="106" t="s">
        <v>362</v>
      </c>
      <c r="B161" s="106" t="s">
        <v>270</v>
      </c>
      <c r="C161" s="106" t="s">
        <v>271</v>
      </c>
      <c r="D161" s="106" t="s">
        <v>276</v>
      </c>
      <c r="E161">
        <v>3490</v>
      </c>
      <c r="F161" s="106" t="s">
        <v>1840</v>
      </c>
      <c r="G161" s="106" t="s">
        <v>277</v>
      </c>
      <c r="H161" s="106" t="s">
        <v>299</v>
      </c>
      <c r="I161" s="106">
        <v>14</v>
      </c>
      <c r="J161" s="106"/>
    </row>
    <row r="162" spans="1:10" x14ac:dyDescent="0.2">
      <c r="A162" s="106" t="s">
        <v>362</v>
      </c>
      <c r="B162" s="106" t="s">
        <v>270</v>
      </c>
      <c r="C162" s="106" t="s">
        <v>271</v>
      </c>
      <c r="D162" s="106" t="s">
        <v>272</v>
      </c>
      <c r="E162">
        <v>3543</v>
      </c>
      <c r="F162" s="106" t="s">
        <v>1841</v>
      </c>
      <c r="G162" s="106" t="s">
        <v>273</v>
      </c>
      <c r="H162" s="106" t="s">
        <v>279</v>
      </c>
      <c r="I162" s="106">
        <v>969</v>
      </c>
      <c r="J162" s="106"/>
    </row>
    <row r="163" spans="1:10" x14ac:dyDescent="0.2">
      <c r="A163" s="106" t="s">
        <v>362</v>
      </c>
      <c r="B163" s="106" t="s">
        <v>270</v>
      </c>
      <c r="C163" s="106" t="s">
        <v>271</v>
      </c>
      <c r="D163" s="106" t="s">
        <v>272</v>
      </c>
      <c r="E163">
        <v>3546</v>
      </c>
      <c r="F163" s="106" t="s">
        <v>367</v>
      </c>
      <c r="G163" s="106" t="s">
        <v>273</v>
      </c>
      <c r="H163" s="106" t="s">
        <v>283</v>
      </c>
      <c r="I163" s="106">
        <v>278</v>
      </c>
      <c r="J163" s="106"/>
    </row>
    <row r="164" spans="1:10" x14ac:dyDescent="0.2">
      <c r="A164" s="106" t="s">
        <v>362</v>
      </c>
      <c r="B164" s="106" t="s">
        <v>270</v>
      </c>
      <c r="C164" s="106" t="s">
        <v>275</v>
      </c>
      <c r="D164" s="106" t="s">
        <v>276</v>
      </c>
      <c r="E164">
        <v>3560</v>
      </c>
      <c r="F164" s="106" t="s">
        <v>1842</v>
      </c>
      <c r="G164" s="106" t="s">
        <v>277</v>
      </c>
      <c r="H164" s="106" t="s">
        <v>283</v>
      </c>
      <c r="I164">
        <v>126</v>
      </c>
    </row>
    <row r="165" spans="1:10" x14ac:dyDescent="0.2">
      <c r="A165" s="106" t="s">
        <v>362</v>
      </c>
      <c r="B165" s="106" t="s">
        <v>270</v>
      </c>
      <c r="C165" s="106" t="s">
        <v>275</v>
      </c>
      <c r="D165" s="106" t="s">
        <v>272</v>
      </c>
      <c r="E165">
        <v>3607</v>
      </c>
      <c r="F165" s="106" t="s">
        <v>1843</v>
      </c>
      <c r="G165" s="106" t="s">
        <v>273</v>
      </c>
      <c r="H165" s="106" t="s">
        <v>306</v>
      </c>
      <c r="I165" s="106">
        <v>47</v>
      </c>
      <c r="J165" s="106"/>
    </row>
    <row r="166" spans="1:10" x14ac:dyDescent="0.2">
      <c r="A166" s="106" t="s">
        <v>362</v>
      </c>
      <c r="B166" s="106" t="s">
        <v>270</v>
      </c>
      <c r="C166" s="106" t="s">
        <v>271</v>
      </c>
      <c r="D166" s="106" t="s">
        <v>272</v>
      </c>
      <c r="E166">
        <v>3608</v>
      </c>
      <c r="F166" s="106" t="s">
        <v>1844</v>
      </c>
      <c r="G166" s="106" t="s">
        <v>273</v>
      </c>
      <c r="H166" s="106" t="s">
        <v>306</v>
      </c>
      <c r="I166" s="106">
        <v>592</v>
      </c>
      <c r="J166" s="106"/>
    </row>
    <row r="167" spans="1:10" x14ac:dyDescent="0.2">
      <c r="A167" s="106" t="s">
        <v>362</v>
      </c>
      <c r="B167" s="106" t="s">
        <v>270</v>
      </c>
      <c r="C167" s="106" t="s">
        <v>271</v>
      </c>
      <c r="D167" s="106" t="s">
        <v>272</v>
      </c>
      <c r="E167">
        <v>3627</v>
      </c>
      <c r="F167" s="106" t="s">
        <v>1845</v>
      </c>
      <c r="G167" s="106" t="s">
        <v>273</v>
      </c>
      <c r="H167" s="106" t="s">
        <v>284</v>
      </c>
      <c r="I167" s="106">
        <v>95</v>
      </c>
      <c r="J167" s="106"/>
    </row>
    <row r="168" spans="1:10" x14ac:dyDescent="0.2">
      <c r="A168" s="106" t="s">
        <v>362</v>
      </c>
      <c r="B168" s="106" t="s">
        <v>270</v>
      </c>
      <c r="C168" s="106" t="s">
        <v>282</v>
      </c>
      <c r="D168" s="106" t="s">
        <v>272</v>
      </c>
      <c r="E168">
        <v>3645</v>
      </c>
      <c r="F168" s="106" t="s">
        <v>1846</v>
      </c>
      <c r="G168" s="106" t="s">
        <v>285</v>
      </c>
      <c r="H168" s="106" t="s">
        <v>284</v>
      </c>
      <c r="I168">
        <v>27</v>
      </c>
    </row>
    <row r="169" spans="1:10" x14ac:dyDescent="0.2">
      <c r="A169" s="106" t="s">
        <v>362</v>
      </c>
      <c r="B169" s="106" t="s">
        <v>270</v>
      </c>
      <c r="C169" s="106" t="s">
        <v>271</v>
      </c>
      <c r="D169" s="106" t="s">
        <v>272</v>
      </c>
      <c r="E169">
        <v>3670</v>
      </c>
      <c r="F169" s="106" t="s">
        <v>1847</v>
      </c>
      <c r="G169" s="106" t="s">
        <v>277</v>
      </c>
      <c r="H169" s="106" t="s">
        <v>284</v>
      </c>
      <c r="I169">
        <v>23</v>
      </c>
    </row>
    <row r="170" spans="1:10" x14ac:dyDescent="0.2">
      <c r="A170" s="106" t="s">
        <v>362</v>
      </c>
      <c r="B170" s="106" t="s">
        <v>270</v>
      </c>
      <c r="C170" s="106" t="s">
        <v>275</v>
      </c>
      <c r="D170" s="106" t="s">
        <v>272</v>
      </c>
      <c r="E170">
        <v>3711</v>
      </c>
      <c r="F170" s="106" t="s">
        <v>1848</v>
      </c>
      <c r="G170" s="106" t="s">
        <v>277</v>
      </c>
      <c r="H170" s="106" t="s">
        <v>284</v>
      </c>
      <c r="I170">
        <v>463</v>
      </c>
    </row>
    <row r="171" spans="1:10" x14ac:dyDescent="0.2">
      <c r="A171" s="106" t="s">
        <v>362</v>
      </c>
      <c r="B171" s="106" t="s">
        <v>270</v>
      </c>
      <c r="C171" s="106" t="s">
        <v>275</v>
      </c>
      <c r="D171" s="106" t="s">
        <v>272</v>
      </c>
      <c r="E171">
        <v>3815</v>
      </c>
      <c r="F171" s="106" t="s">
        <v>1849</v>
      </c>
      <c r="G171" s="106" t="s">
        <v>285</v>
      </c>
      <c r="H171" s="106" t="s">
        <v>284</v>
      </c>
      <c r="I171">
        <v>51</v>
      </c>
    </row>
    <row r="172" spans="1:10" x14ac:dyDescent="0.2">
      <c r="A172" s="106" t="s">
        <v>362</v>
      </c>
      <c r="B172" s="106" t="s">
        <v>270</v>
      </c>
      <c r="C172" s="106" t="s">
        <v>271</v>
      </c>
      <c r="D172" s="106" t="s">
        <v>276</v>
      </c>
      <c r="E172">
        <v>3826</v>
      </c>
      <c r="F172" s="106" t="s">
        <v>1850</v>
      </c>
      <c r="G172" s="106" t="s">
        <v>273</v>
      </c>
      <c r="H172" s="106" t="s">
        <v>284</v>
      </c>
      <c r="I172">
        <v>94</v>
      </c>
    </row>
    <row r="173" spans="1:10" x14ac:dyDescent="0.2">
      <c r="A173" s="106" t="s">
        <v>362</v>
      </c>
      <c r="B173" s="106" t="s">
        <v>270</v>
      </c>
      <c r="C173" s="106" t="s">
        <v>282</v>
      </c>
      <c r="D173" s="106" t="s">
        <v>276</v>
      </c>
      <c r="E173">
        <v>3892</v>
      </c>
      <c r="F173" s="106" t="s">
        <v>1851</v>
      </c>
      <c r="G173" s="106" t="s">
        <v>277</v>
      </c>
      <c r="H173" s="106" t="s">
        <v>307</v>
      </c>
      <c r="I173">
        <v>44</v>
      </c>
    </row>
    <row r="174" spans="1:10" x14ac:dyDescent="0.2">
      <c r="A174" s="106" t="s">
        <v>362</v>
      </c>
      <c r="B174" s="106" t="s">
        <v>270</v>
      </c>
      <c r="C174" s="106" t="s">
        <v>271</v>
      </c>
      <c r="D174" s="106" t="s">
        <v>272</v>
      </c>
      <c r="E174">
        <v>3915</v>
      </c>
      <c r="F174" s="106" t="s">
        <v>1852</v>
      </c>
      <c r="G174" s="106" t="s">
        <v>273</v>
      </c>
      <c r="H174" s="106" t="s">
        <v>284</v>
      </c>
      <c r="I174">
        <v>299</v>
      </c>
    </row>
    <row r="175" spans="1:10" x14ac:dyDescent="0.2">
      <c r="A175" s="106" t="s">
        <v>362</v>
      </c>
      <c r="B175" s="106" t="s">
        <v>270</v>
      </c>
      <c r="C175" s="106" t="s">
        <v>271</v>
      </c>
      <c r="D175" s="106" t="s">
        <v>272</v>
      </c>
      <c r="E175">
        <v>3922</v>
      </c>
      <c r="F175" s="106" t="s">
        <v>368</v>
      </c>
      <c r="G175" s="106" t="s">
        <v>273</v>
      </c>
      <c r="H175" s="106" t="s">
        <v>284</v>
      </c>
      <c r="I175" s="106">
        <v>162</v>
      </c>
      <c r="J175" s="106"/>
    </row>
    <row r="176" spans="1:10" x14ac:dyDescent="0.2">
      <c r="A176" s="106" t="s">
        <v>362</v>
      </c>
      <c r="B176" s="106" t="s">
        <v>270</v>
      </c>
      <c r="C176" s="106" t="s">
        <v>271</v>
      </c>
      <c r="D176" s="106" t="s">
        <v>272</v>
      </c>
      <c r="E176">
        <v>3967</v>
      </c>
      <c r="F176" s="106" t="s">
        <v>1853</v>
      </c>
      <c r="G176" s="106" t="s">
        <v>285</v>
      </c>
      <c r="H176" s="106" t="s">
        <v>284</v>
      </c>
      <c r="I176" s="106">
        <v>94</v>
      </c>
      <c r="J176" s="106"/>
    </row>
    <row r="177" spans="1:10" x14ac:dyDescent="0.2">
      <c r="A177" s="106" t="s">
        <v>362</v>
      </c>
      <c r="B177" s="106" t="s">
        <v>270</v>
      </c>
      <c r="C177" s="106" t="s">
        <v>271</v>
      </c>
      <c r="D177" s="106" t="s">
        <v>272</v>
      </c>
      <c r="E177">
        <v>4343</v>
      </c>
      <c r="F177" s="106" t="s">
        <v>2377</v>
      </c>
      <c r="G177" s="106" t="s">
        <v>273</v>
      </c>
      <c r="H177" s="106" t="s">
        <v>278</v>
      </c>
      <c r="I177" s="106">
        <v>573</v>
      </c>
      <c r="J177" s="106"/>
    </row>
    <row r="178" spans="1:10" x14ac:dyDescent="0.2">
      <c r="A178" s="106" t="s">
        <v>362</v>
      </c>
      <c r="B178" s="106" t="s">
        <v>270</v>
      </c>
      <c r="C178" s="106" t="s">
        <v>280</v>
      </c>
      <c r="D178" s="106" t="s">
        <v>276</v>
      </c>
      <c r="E178">
        <v>4394</v>
      </c>
      <c r="F178" s="106" t="s">
        <v>1854</v>
      </c>
      <c r="G178" s="106" t="s">
        <v>285</v>
      </c>
      <c r="H178" s="106" t="s">
        <v>284</v>
      </c>
      <c r="I178">
        <v>70</v>
      </c>
    </row>
    <row r="179" spans="1:10" x14ac:dyDescent="0.2">
      <c r="A179" s="106" t="s">
        <v>362</v>
      </c>
      <c r="B179" s="106" t="s">
        <v>270</v>
      </c>
      <c r="C179" s="106" t="s">
        <v>275</v>
      </c>
      <c r="D179" s="106" t="s">
        <v>272</v>
      </c>
      <c r="E179">
        <v>4439</v>
      </c>
      <c r="F179" s="106" t="s">
        <v>1855</v>
      </c>
      <c r="G179" s="106" t="s">
        <v>285</v>
      </c>
      <c r="H179" s="106" t="s">
        <v>284</v>
      </c>
      <c r="I179">
        <v>110</v>
      </c>
    </row>
    <row r="180" spans="1:10" x14ac:dyDescent="0.2">
      <c r="A180" s="106" t="s">
        <v>362</v>
      </c>
      <c r="B180" s="106" t="s">
        <v>270</v>
      </c>
      <c r="C180" s="106" t="s">
        <v>275</v>
      </c>
      <c r="D180" s="106" t="s">
        <v>272</v>
      </c>
      <c r="E180">
        <v>4440</v>
      </c>
      <c r="F180" s="106" t="s">
        <v>575</v>
      </c>
      <c r="G180" s="106" t="s">
        <v>285</v>
      </c>
      <c r="H180" s="106" t="s">
        <v>284</v>
      </c>
      <c r="I180" s="106">
        <v>99</v>
      </c>
      <c r="J180" s="106"/>
    </row>
    <row r="181" spans="1:10" x14ac:dyDescent="0.2">
      <c r="A181" s="106" t="s">
        <v>362</v>
      </c>
      <c r="B181" s="106" t="s">
        <v>270</v>
      </c>
      <c r="C181" s="106" t="s">
        <v>271</v>
      </c>
      <c r="D181" s="106" t="s">
        <v>272</v>
      </c>
      <c r="E181">
        <v>4530</v>
      </c>
      <c r="F181" s="106" t="s">
        <v>763</v>
      </c>
      <c r="G181" s="106" t="s">
        <v>273</v>
      </c>
      <c r="H181" s="106" t="s">
        <v>318</v>
      </c>
      <c r="I181" s="106" t="s">
        <v>323</v>
      </c>
      <c r="J181" s="106" t="s">
        <v>2378</v>
      </c>
    </row>
    <row r="182" spans="1:10" x14ac:dyDescent="0.2">
      <c r="A182" s="106" t="s">
        <v>362</v>
      </c>
      <c r="B182" s="106" t="s">
        <v>270</v>
      </c>
      <c r="C182" s="106" t="s">
        <v>275</v>
      </c>
      <c r="D182" s="106" t="s">
        <v>272</v>
      </c>
      <c r="E182">
        <v>4760</v>
      </c>
      <c r="F182" s="106" t="s">
        <v>1856</v>
      </c>
      <c r="G182" s="106" t="s">
        <v>277</v>
      </c>
      <c r="H182" s="106" t="s">
        <v>278</v>
      </c>
      <c r="I182" s="106">
        <v>15</v>
      </c>
      <c r="J182" s="106"/>
    </row>
    <row r="183" spans="1:10" x14ac:dyDescent="0.2">
      <c r="A183" s="106" t="s">
        <v>362</v>
      </c>
      <c r="B183" s="106" t="s">
        <v>270</v>
      </c>
      <c r="C183" s="106" t="s">
        <v>282</v>
      </c>
      <c r="D183" s="106" t="s">
        <v>272</v>
      </c>
      <c r="E183">
        <v>4829</v>
      </c>
      <c r="F183" s="106" t="s">
        <v>369</v>
      </c>
      <c r="G183" s="106" t="s">
        <v>273</v>
      </c>
      <c r="H183" s="106" t="s">
        <v>284</v>
      </c>
      <c r="I183">
        <v>94</v>
      </c>
    </row>
    <row r="184" spans="1:10" x14ac:dyDescent="0.2">
      <c r="A184" s="106" t="s">
        <v>362</v>
      </c>
      <c r="B184" s="106" t="s">
        <v>270</v>
      </c>
      <c r="C184" s="106" t="s">
        <v>271</v>
      </c>
      <c r="D184" s="106" t="s">
        <v>272</v>
      </c>
      <c r="E184">
        <v>4920</v>
      </c>
      <c r="F184" s="106" t="s">
        <v>1857</v>
      </c>
      <c r="G184" s="106" t="s">
        <v>277</v>
      </c>
      <c r="H184" s="106" t="s">
        <v>286</v>
      </c>
      <c r="I184" s="106">
        <v>50</v>
      </c>
      <c r="J184" s="106"/>
    </row>
    <row r="185" spans="1:10" x14ac:dyDescent="0.2">
      <c r="A185" s="106" t="s">
        <v>362</v>
      </c>
      <c r="B185" s="106" t="s">
        <v>270</v>
      </c>
      <c r="C185" s="106" t="s">
        <v>271</v>
      </c>
      <c r="D185" s="106" t="s">
        <v>272</v>
      </c>
      <c r="E185">
        <v>5271</v>
      </c>
      <c r="F185" s="106" t="s">
        <v>1858</v>
      </c>
      <c r="G185" s="106" t="s">
        <v>281</v>
      </c>
      <c r="H185" s="106" t="s">
        <v>315</v>
      </c>
      <c r="I185" s="106">
        <v>27</v>
      </c>
      <c r="J185" s="106"/>
    </row>
    <row r="186" spans="1:10" x14ac:dyDescent="0.2">
      <c r="A186" s="106" t="s">
        <v>362</v>
      </c>
      <c r="B186" s="106" t="s">
        <v>270</v>
      </c>
      <c r="C186" s="106" t="s">
        <v>271</v>
      </c>
      <c r="D186" s="106" t="s">
        <v>276</v>
      </c>
      <c r="E186">
        <v>5900</v>
      </c>
      <c r="F186" s="106" t="s">
        <v>1859</v>
      </c>
      <c r="G186" s="106" t="s">
        <v>277</v>
      </c>
      <c r="H186" s="106" t="s">
        <v>288</v>
      </c>
      <c r="I186" s="106">
        <v>43</v>
      </c>
      <c r="J186" s="106"/>
    </row>
    <row r="187" spans="1:10" x14ac:dyDescent="0.2">
      <c r="A187" s="106" t="s">
        <v>362</v>
      </c>
      <c r="B187" s="106" t="s">
        <v>270</v>
      </c>
      <c r="C187" s="106" t="s">
        <v>271</v>
      </c>
      <c r="D187" s="106" t="s">
        <v>272</v>
      </c>
      <c r="E187">
        <v>5982</v>
      </c>
      <c r="F187" s="106" t="s">
        <v>1860</v>
      </c>
      <c r="G187" s="106" t="s">
        <v>281</v>
      </c>
      <c r="H187" s="106" t="s">
        <v>288</v>
      </c>
      <c r="I187" s="106">
        <v>422</v>
      </c>
      <c r="J187" s="106"/>
    </row>
    <row r="188" spans="1:10" x14ac:dyDescent="0.2">
      <c r="A188" s="106" t="s">
        <v>362</v>
      </c>
      <c r="B188" s="106" t="s">
        <v>270</v>
      </c>
      <c r="C188" s="106" t="s">
        <v>271</v>
      </c>
      <c r="D188" s="106" t="s">
        <v>272</v>
      </c>
      <c r="E188">
        <v>6058</v>
      </c>
      <c r="F188" s="106" t="s">
        <v>370</v>
      </c>
      <c r="G188" s="106" t="s">
        <v>273</v>
      </c>
      <c r="H188" s="106" t="s">
        <v>278</v>
      </c>
      <c r="I188" s="106">
        <v>504</v>
      </c>
      <c r="J188" s="106"/>
    </row>
    <row r="189" spans="1:10" x14ac:dyDescent="0.2">
      <c r="A189" s="106" t="s">
        <v>362</v>
      </c>
      <c r="B189" s="106" t="s">
        <v>270</v>
      </c>
      <c r="C189" s="106" t="s">
        <v>282</v>
      </c>
      <c r="D189" s="106" t="s">
        <v>272</v>
      </c>
      <c r="E189">
        <v>6150</v>
      </c>
      <c r="F189" s="106" t="s">
        <v>1861</v>
      </c>
      <c r="G189" s="106" t="s">
        <v>277</v>
      </c>
      <c r="H189" s="106" t="s">
        <v>294</v>
      </c>
      <c r="I189" s="106">
        <v>30</v>
      </c>
      <c r="J189" s="106"/>
    </row>
    <row r="190" spans="1:10" x14ac:dyDescent="0.2">
      <c r="A190" s="106" t="s">
        <v>362</v>
      </c>
      <c r="B190" s="106" t="s">
        <v>270</v>
      </c>
      <c r="C190" s="106" t="s">
        <v>275</v>
      </c>
      <c r="D190" s="106" t="s">
        <v>272</v>
      </c>
      <c r="E190">
        <v>6255</v>
      </c>
      <c r="F190" s="106" t="s">
        <v>1862</v>
      </c>
      <c r="G190" s="106" t="s">
        <v>285</v>
      </c>
      <c r="H190" s="106" t="s">
        <v>294</v>
      </c>
      <c r="I190">
        <v>97</v>
      </c>
    </row>
    <row r="191" spans="1:10" x14ac:dyDescent="0.2">
      <c r="A191" s="106" t="s">
        <v>362</v>
      </c>
      <c r="B191" s="106" t="s">
        <v>270</v>
      </c>
      <c r="C191" s="106" t="s">
        <v>275</v>
      </c>
      <c r="D191" s="106" t="s">
        <v>272</v>
      </c>
      <c r="E191">
        <v>6289</v>
      </c>
      <c r="F191" s="106" t="s">
        <v>833</v>
      </c>
      <c r="G191" s="106" t="s">
        <v>273</v>
      </c>
      <c r="H191" s="106" t="s">
        <v>294</v>
      </c>
      <c r="I191" s="106" t="s">
        <v>304</v>
      </c>
      <c r="J191" s="106" t="s">
        <v>2254</v>
      </c>
    </row>
    <row r="192" spans="1:10" x14ac:dyDescent="0.2">
      <c r="A192" s="106" t="s">
        <v>362</v>
      </c>
      <c r="B192" s="106" t="s">
        <v>270</v>
      </c>
      <c r="C192" s="106" t="s">
        <v>271</v>
      </c>
      <c r="D192" s="106" t="s">
        <v>272</v>
      </c>
      <c r="E192">
        <v>6323</v>
      </c>
      <c r="F192" s="106" t="s">
        <v>1863</v>
      </c>
      <c r="G192" s="106" t="s">
        <v>273</v>
      </c>
      <c r="H192" s="106" t="s">
        <v>294</v>
      </c>
      <c r="I192" s="106">
        <v>746</v>
      </c>
      <c r="J192" s="106"/>
    </row>
    <row r="193" spans="1:10" x14ac:dyDescent="0.2">
      <c r="A193" s="106" t="s">
        <v>362</v>
      </c>
      <c r="B193" s="106" t="s">
        <v>270</v>
      </c>
      <c r="C193" s="106" t="s">
        <v>280</v>
      </c>
      <c r="D193" s="106" t="s">
        <v>272</v>
      </c>
      <c r="E193">
        <v>6492</v>
      </c>
      <c r="F193" s="106" t="s">
        <v>371</v>
      </c>
      <c r="G193" s="106" t="s">
        <v>281</v>
      </c>
      <c r="H193" s="106" t="s">
        <v>294</v>
      </c>
      <c r="I193" s="106">
        <v>38</v>
      </c>
      <c r="J193" s="106"/>
    </row>
    <row r="194" spans="1:10" x14ac:dyDescent="0.2">
      <c r="A194" s="106" t="s">
        <v>362</v>
      </c>
      <c r="B194" s="106" t="s">
        <v>270</v>
      </c>
      <c r="C194" s="106" t="s">
        <v>275</v>
      </c>
      <c r="D194" s="106" t="s">
        <v>272</v>
      </c>
      <c r="E194">
        <v>6668</v>
      </c>
      <c r="F194" s="106" t="s">
        <v>1864</v>
      </c>
      <c r="G194" s="106" t="s">
        <v>281</v>
      </c>
      <c r="H194" s="106" t="s">
        <v>298</v>
      </c>
      <c r="I194" s="106">
        <v>136</v>
      </c>
      <c r="J194" s="106"/>
    </row>
    <row r="195" spans="1:10" x14ac:dyDescent="0.2">
      <c r="A195" s="106" t="s">
        <v>362</v>
      </c>
      <c r="B195" s="106" t="s">
        <v>270</v>
      </c>
      <c r="C195" s="106" t="s">
        <v>271</v>
      </c>
      <c r="D195" s="106" t="s">
        <v>272</v>
      </c>
      <c r="E195">
        <v>6897</v>
      </c>
      <c r="F195" s="106" t="s">
        <v>1865</v>
      </c>
      <c r="G195" s="106" t="s">
        <v>281</v>
      </c>
      <c r="H195" s="106" t="s">
        <v>298</v>
      </c>
      <c r="I195" s="106">
        <v>44</v>
      </c>
      <c r="J195" s="106"/>
    </row>
    <row r="196" spans="1:10" x14ac:dyDescent="0.2">
      <c r="A196" s="106" t="s">
        <v>362</v>
      </c>
      <c r="B196" s="106" t="s">
        <v>270</v>
      </c>
      <c r="C196" s="106" t="s">
        <v>282</v>
      </c>
      <c r="D196" s="106" t="s">
        <v>276</v>
      </c>
      <c r="E196">
        <v>7068</v>
      </c>
      <c r="F196" s="106" t="s">
        <v>341</v>
      </c>
      <c r="G196" s="106" t="s">
        <v>285</v>
      </c>
      <c r="H196" s="106" t="s">
        <v>278</v>
      </c>
      <c r="I196" s="106">
        <v>106</v>
      </c>
      <c r="J196" s="106"/>
    </row>
    <row r="197" spans="1:10" x14ac:dyDescent="0.2">
      <c r="A197" s="106" t="s">
        <v>362</v>
      </c>
      <c r="B197" s="106" t="s">
        <v>270</v>
      </c>
      <c r="C197" s="106" t="s">
        <v>280</v>
      </c>
      <c r="D197" s="106" t="s">
        <v>276</v>
      </c>
      <c r="E197">
        <v>7074</v>
      </c>
      <c r="F197" s="106">
        <v>247</v>
      </c>
      <c r="G197" s="106" t="s">
        <v>285</v>
      </c>
      <c r="H197" s="106" t="s">
        <v>278</v>
      </c>
      <c r="I197">
        <v>151</v>
      </c>
    </row>
    <row r="198" spans="1:10" x14ac:dyDescent="0.2">
      <c r="A198" s="106" t="s">
        <v>362</v>
      </c>
      <c r="B198" s="106" t="s">
        <v>270</v>
      </c>
      <c r="C198" s="106" t="s">
        <v>275</v>
      </c>
      <c r="D198" s="106" t="s">
        <v>272</v>
      </c>
      <c r="E198">
        <v>7219</v>
      </c>
      <c r="F198" s="106" t="s">
        <v>1866</v>
      </c>
      <c r="G198" s="106" t="s">
        <v>277</v>
      </c>
      <c r="H198" s="106" t="s">
        <v>303</v>
      </c>
      <c r="I198" s="106">
        <v>30</v>
      </c>
      <c r="J198" s="106"/>
    </row>
    <row r="199" spans="1:10" x14ac:dyDescent="0.2">
      <c r="A199" s="106" t="s">
        <v>362</v>
      </c>
      <c r="B199" s="106" t="s">
        <v>270</v>
      </c>
      <c r="C199" s="106" t="s">
        <v>282</v>
      </c>
      <c r="D199" s="106" t="s">
        <v>272</v>
      </c>
      <c r="E199">
        <v>7420</v>
      </c>
      <c r="F199" s="106" t="s">
        <v>764</v>
      </c>
      <c r="G199" s="106" t="s">
        <v>273</v>
      </c>
      <c r="H199" s="106" t="s">
        <v>279</v>
      </c>
      <c r="I199" s="106">
        <v>168</v>
      </c>
      <c r="J199" s="106"/>
    </row>
    <row r="200" spans="1:10" x14ac:dyDescent="0.2">
      <c r="A200" s="106" t="s">
        <v>362</v>
      </c>
      <c r="B200" s="106" t="s">
        <v>270</v>
      </c>
      <c r="C200" s="106" t="s">
        <v>271</v>
      </c>
      <c r="D200" s="106" t="s">
        <v>272</v>
      </c>
      <c r="E200">
        <v>7427</v>
      </c>
      <c r="F200" s="106" t="s">
        <v>1867</v>
      </c>
      <c r="G200" s="106" t="s">
        <v>273</v>
      </c>
      <c r="H200" s="106" t="s">
        <v>279</v>
      </c>
      <c r="I200">
        <v>33</v>
      </c>
    </row>
    <row r="201" spans="1:10" x14ac:dyDescent="0.2">
      <c r="A201" s="106" t="s">
        <v>362</v>
      </c>
      <c r="B201" s="106" t="s">
        <v>270</v>
      </c>
      <c r="C201" s="106" t="s">
        <v>282</v>
      </c>
      <c r="D201" s="106" t="s">
        <v>276</v>
      </c>
      <c r="E201">
        <v>7434</v>
      </c>
      <c r="F201" s="106" t="s">
        <v>1868</v>
      </c>
      <c r="G201" s="106" t="s">
        <v>277</v>
      </c>
      <c r="H201" s="106" t="s">
        <v>279</v>
      </c>
      <c r="I201" s="106">
        <v>73</v>
      </c>
      <c r="J201" s="106"/>
    </row>
    <row r="202" spans="1:10" x14ac:dyDescent="0.2">
      <c r="A202" s="106" t="s">
        <v>362</v>
      </c>
      <c r="B202" s="106" t="s">
        <v>270</v>
      </c>
      <c r="C202" s="106" t="s">
        <v>271</v>
      </c>
      <c r="D202" s="106" t="s">
        <v>276</v>
      </c>
      <c r="E202">
        <v>7450</v>
      </c>
      <c r="F202" s="106" t="s">
        <v>1869</v>
      </c>
      <c r="G202" s="106" t="s">
        <v>277</v>
      </c>
      <c r="H202" s="106" t="s">
        <v>283</v>
      </c>
      <c r="I202">
        <v>167</v>
      </c>
    </row>
    <row r="203" spans="1:10" x14ac:dyDescent="0.2">
      <c r="A203" s="106" t="s">
        <v>362</v>
      </c>
      <c r="B203" s="106" t="s">
        <v>270</v>
      </c>
      <c r="C203" s="106" t="s">
        <v>271</v>
      </c>
      <c r="D203" s="106" t="s">
        <v>272</v>
      </c>
      <c r="E203">
        <v>7453</v>
      </c>
      <c r="F203" s="106" t="s">
        <v>765</v>
      </c>
      <c r="G203" s="106" t="s">
        <v>273</v>
      </c>
      <c r="H203" s="106" t="s">
        <v>283</v>
      </c>
      <c r="I203" t="s">
        <v>588</v>
      </c>
      <c r="J203" t="s">
        <v>2379</v>
      </c>
    </row>
    <row r="204" spans="1:10" x14ac:dyDescent="0.2">
      <c r="A204" s="106" t="s">
        <v>362</v>
      </c>
      <c r="B204" s="106" t="s">
        <v>270</v>
      </c>
      <c r="C204" s="106" t="s">
        <v>271</v>
      </c>
      <c r="D204" s="106" t="s">
        <v>276</v>
      </c>
      <c r="E204">
        <v>7465</v>
      </c>
      <c r="F204" s="106" t="s">
        <v>2380</v>
      </c>
      <c r="G204" s="106" t="s">
        <v>277</v>
      </c>
      <c r="H204" s="106" t="s">
        <v>283</v>
      </c>
      <c r="I204" s="106">
        <v>258</v>
      </c>
      <c r="J204" s="106"/>
    </row>
    <row r="205" spans="1:10" x14ac:dyDescent="0.2">
      <c r="A205" s="106" t="s">
        <v>362</v>
      </c>
      <c r="B205" s="106" t="s">
        <v>270</v>
      </c>
      <c r="C205" s="106" t="s">
        <v>271</v>
      </c>
      <c r="D205" s="106" t="s">
        <v>276</v>
      </c>
      <c r="E205">
        <v>7512</v>
      </c>
      <c r="F205" s="106" t="s">
        <v>2381</v>
      </c>
      <c r="G205" s="106" t="s">
        <v>273</v>
      </c>
      <c r="H205" s="106" t="s">
        <v>283</v>
      </c>
      <c r="I205" s="106">
        <v>843</v>
      </c>
      <c r="J205" s="106"/>
    </row>
    <row r="206" spans="1:10" x14ac:dyDescent="0.2">
      <c r="A206" s="106" t="s">
        <v>362</v>
      </c>
      <c r="B206" s="106" t="s">
        <v>270</v>
      </c>
      <c r="C206" s="106" t="s">
        <v>271</v>
      </c>
      <c r="D206" s="106" t="s">
        <v>272</v>
      </c>
      <c r="E206">
        <v>7516</v>
      </c>
      <c r="F206" s="106" t="s">
        <v>1871</v>
      </c>
      <c r="G206" s="106" t="s">
        <v>273</v>
      </c>
      <c r="H206" s="106" t="s">
        <v>283</v>
      </c>
      <c r="I206" s="106">
        <v>892</v>
      </c>
      <c r="J206" s="106"/>
    </row>
    <row r="207" spans="1:10" x14ac:dyDescent="0.2">
      <c r="A207" s="106" t="s">
        <v>362</v>
      </c>
      <c r="B207" s="106" t="s">
        <v>270</v>
      </c>
      <c r="C207" s="106" t="s">
        <v>271</v>
      </c>
      <c r="D207" s="106" t="s">
        <v>272</v>
      </c>
      <c r="E207">
        <v>7520</v>
      </c>
      <c r="F207" s="106" t="s">
        <v>1872</v>
      </c>
      <c r="G207" s="106" t="s">
        <v>273</v>
      </c>
      <c r="H207" s="106" t="s">
        <v>283</v>
      </c>
      <c r="I207">
        <v>198</v>
      </c>
    </row>
    <row r="208" spans="1:10" x14ac:dyDescent="0.2">
      <c r="A208" s="106" t="s">
        <v>362</v>
      </c>
      <c r="B208" s="106" t="s">
        <v>270</v>
      </c>
      <c r="C208" s="106" t="s">
        <v>271</v>
      </c>
      <c r="D208" s="106" t="s">
        <v>276</v>
      </c>
      <c r="E208">
        <v>7603</v>
      </c>
      <c r="F208" s="106" t="s">
        <v>1873</v>
      </c>
      <c r="G208" s="106" t="s">
        <v>277</v>
      </c>
      <c r="H208" s="106" t="s">
        <v>283</v>
      </c>
      <c r="I208" s="106">
        <v>93</v>
      </c>
      <c r="J208" s="106"/>
    </row>
    <row r="209" spans="1:10" x14ac:dyDescent="0.2">
      <c r="A209" s="106" t="s">
        <v>362</v>
      </c>
      <c r="B209" s="106" t="s">
        <v>270</v>
      </c>
      <c r="C209" s="106" t="s">
        <v>275</v>
      </c>
      <c r="D209" s="106" t="s">
        <v>272</v>
      </c>
      <c r="E209">
        <v>7607</v>
      </c>
      <c r="F209" s="106" t="s">
        <v>1874</v>
      </c>
      <c r="G209" s="106" t="s">
        <v>273</v>
      </c>
      <c r="H209" s="106" t="s">
        <v>279</v>
      </c>
      <c r="I209" s="106">
        <v>351</v>
      </c>
      <c r="J209" s="106"/>
    </row>
    <row r="210" spans="1:10" x14ac:dyDescent="0.2">
      <c r="A210" s="106" t="s">
        <v>362</v>
      </c>
      <c r="B210" s="106" t="s">
        <v>270</v>
      </c>
      <c r="C210" s="106" t="s">
        <v>282</v>
      </c>
      <c r="D210" s="106" t="s">
        <v>272</v>
      </c>
      <c r="E210">
        <v>7713</v>
      </c>
      <c r="F210" s="106" t="s">
        <v>766</v>
      </c>
      <c r="G210" s="106" t="s">
        <v>277</v>
      </c>
      <c r="H210" s="106" t="s">
        <v>384</v>
      </c>
      <c r="I210" s="106">
        <v>139</v>
      </c>
      <c r="J210" s="106"/>
    </row>
    <row r="211" spans="1:10" x14ac:dyDescent="0.2">
      <c r="A211" s="106" t="s">
        <v>362</v>
      </c>
      <c r="B211" s="106" t="s">
        <v>270</v>
      </c>
      <c r="C211" s="106" t="s">
        <v>282</v>
      </c>
      <c r="D211" s="106" t="s">
        <v>272</v>
      </c>
      <c r="E211">
        <v>7725</v>
      </c>
      <c r="F211" s="106" t="s">
        <v>1875</v>
      </c>
      <c r="G211" s="106" t="s">
        <v>273</v>
      </c>
      <c r="H211" s="106" t="s">
        <v>384</v>
      </c>
      <c r="I211" s="106">
        <v>340</v>
      </c>
      <c r="J211" s="106"/>
    </row>
    <row r="212" spans="1:10" x14ac:dyDescent="0.2">
      <c r="A212" s="106" t="s">
        <v>362</v>
      </c>
      <c r="B212" s="106" t="s">
        <v>270</v>
      </c>
      <c r="C212" s="106" t="s">
        <v>275</v>
      </c>
      <c r="D212" s="106" t="s">
        <v>272</v>
      </c>
      <c r="E212">
        <v>7730</v>
      </c>
      <c r="F212" s="106" t="s">
        <v>1876</v>
      </c>
      <c r="G212" s="106" t="s">
        <v>273</v>
      </c>
      <c r="H212" s="106" t="s">
        <v>384</v>
      </c>
      <c r="I212" s="106" t="s">
        <v>357</v>
      </c>
      <c r="J212" s="106" t="s">
        <v>2252</v>
      </c>
    </row>
    <row r="213" spans="1:10" x14ac:dyDescent="0.2">
      <c r="A213" s="106" t="s">
        <v>362</v>
      </c>
      <c r="B213" s="106" t="s">
        <v>270</v>
      </c>
      <c r="C213" s="106" t="s">
        <v>271</v>
      </c>
      <c r="D213" s="106" t="s">
        <v>272</v>
      </c>
      <c r="E213">
        <v>7807</v>
      </c>
      <c r="F213" s="106" t="s">
        <v>1877</v>
      </c>
      <c r="G213" s="106" t="s">
        <v>277</v>
      </c>
      <c r="H213" s="106" t="s">
        <v>295</v>
      </c>
      <c r="I213" s="106">
        <v>62</v>
      </c>
      <c r="J213" s="106"/>
    </row>
    <row r="214" spans="1:10" x14ac:dyDescent="0.2">
      <c r="A214" s="106" t="s">
        <v>362</v>
      </c>
      <c r="B214" s="106" t="s">
        <v>270</v>
      </c>
      <c r="C214" s="106" t="s">
        <v>275</v>
      </c>
      <c r="D214" s="106" t="s">
        <v>272</v>
      </c>
      <c r="E214">
        <v>7818</v>
      </c>
      <c r="F214" s="106" t="s">
        <v>1878</v>
      </c>
      <c r="G214" s="106" t="s">
        <v>273</v>
      </c>
      <c r="H214" s="106" t="s">
        <v>295</v>
      </c>
      <c r="I214" s="106">
        <v>291</v>
      </c>
      <c r="J214" s="106"/>
    </row>
    <row r="215" spans="1:10" x14ac:dyDescent="0.2">
      <c r="A215" s="106" t="s">
        <v>362</v>
      </c>
      <c r="B215" s="106" t="s">
        <v>270</v>
      </c>
      <c r="C215" s="106" t="s">
        <v>275</v>
      </c>
      <c r="D215" s="106" t="s">
        <v>272</v>
      </c>
      <c r="E215">
        <v>7928</v>
      </c>
      <c r="F215" s="106" t="s">
        <v>1879</v>
      </c>
      <c r="G215" s="106" t="s">
        <v>277</v>
      </c>
      <c r="H215" s="106" t="s">
        <v>286</v>
      </c>
      <c r="I215" s="106">
        <v>20</v>
      </c>
      <c r="J215" s="106"/>
    </row>
    <row r="216" spans="1:10" x14ac:dyDescent="0.2">
      <c r="A216" s="106" t="s">
        <v>362</v>
      </c>
      <c r="B216" s="106" t="s">
        <v>270</v>
      </c>
      <c r="C216" s="106" t="s">
        <v>271</v>
      </c>
      <c r="D216" s="106" t="s">
        <v>272</v>
      </c>
      <c r="E216">
        <v>8016</v>
      </c>
      <c r="F216" s="106" t="s">
        <v>1880</v>
      </c>
      <c r="G216" s="106" t="s">
        <v>273</v>
      </c>
      <c r="H216" s="106" t="s">
        <v>306</v>
      </c>
      <c r="I216" s="106" t="s">
        <v>304</v>
      </c>
      <c r="J216" s="106" t="s">
        <v>2382</v>
      </c>
    </row>
    <row r="217" spans="1:10" x14ac:dyDescent="0.2">
      <c r="A217" s="106" t="s">
        <v>362</v>
      </c>
      <c r="B217" s="106" t="s">
        <v>270</v>
      </c>
      <c r="C217" s="106" t="s">
        <v>271</v>
      </c>
      <c r="D217" s="106" t="s">
        <v>272</v>
      </c>
      <c r="E217">
        <v>8028</v>
      </c>
      <c r="F217" s="106" t="s">
        <v>1882</v>
      </c>
      <c r="G217" s="106" t="s">
        <v>273</v>
      </c>
      <c r="H217" s="106" t="s">
        <v>283</v>
      </c>
      <c r="I217" t="s">
        <v>495</v>
      </c>
      <c r="J217" t="s">
        <v>2383</v>
      </c>
    </row>
    <row r="218" spans="1:10" x14ac:dyDescent="0.2">
      <c r="A218" s="106" t="s">
        <v>362</v>
      </c>
      <c r="B218" s="106" t="s">
        <v>270</v>
      </c>
      <c r="C218" s="106" t="s">
        <v>280</v>
      </c>
      <c r="D218" s="106" t="s">
        <v>272</v>
      </c>
      <c r="E218">
        <v>8095</v>
      </c>
      <c r="F218" s="106" t="s">
        <v>1883</v>
      </c>
      <c r="G218" s="106" t="s">
        <v>273</v>
      </c>
      <c r="H218" s="106" t="s">
        <v>279</v>
      </c>
      <c r="I218" s="106">
        <v>160</v>
      </c>
      <c r="J218" s="106"/>
    </row>
    <row r="219" spans="1:10" x14ac:dyDescent="0.2">
      <c r="A219" s="106" t="s">
        <v>362</v>
      </c>
      <c r="B219" s="106" t="s">
        <v>270</v>
      </c>
      <c r="C219" s="106" t="s">
        <v>275</v>
      </c>
      <c r="D219" s="106" t="s">
        <v>272</v>
      </c>
      <c r="E219">
        <v>8127</v>
      </c>
      <c r="F219" s="106" t="s">
        <v>1884</v>
      </c>
      <c r="G219" s="106" t="s">
        <v>273</v>
      </c>
      <c r="H219" s="106" t="s">
        <v>306</v>
      </c>
      <c r="I219" s="106">
        <v>87</v>
      </c>
      <c r="J219" s="106"/>
    </row>
    <row r="220" spans="1:10" x14ac:dyDescent="0.2">
      <c r="A220" s="106" t="s">
        <v>362</v>
      </c>
      <c r="B220" s="106" t="s">
        <v>270</v>
      </c>
      <c r="C220" s="106" t="s">
        <v>271</v>
      </c>
      <c r="D220" s="106" t="s">
        <v>272</v>
      </c>
      <c r="E220">
        <v>8143</v>
      </c>
      <c r="F220" s="106" t="s">
        <v>1885</v>
      </c>
      <c r="G220" s="106" t="s">
        <v>281</v>
      </c>
      <c r="H220" s="106" t="s">
        <v>306</v>
      </c>
      <c r="I220">
        <v>18</v>
      </c>
    </row>
    <row r="221" spans="1:10" x14ac:dyDescent="0.2">
      <c r="A221" s="106" t="s">
        <v>362</v>
      </c>
      <c r="B221" s="106" t="s">
        <v>270</v>
      </c>
      <c r="C221" s="106" t="s">
        <v>271</v>
      </c>
      <c r="D221" s="106" t="s">
        <v>272</v>
      </c>
      <c r="E221">
        <v>8167</v>
      </c>
      <c r="F221" s="106" t="s">
        <v>1886</v>
      </c>
      <c r="G221" s="106" t="s">
        <v>281</v>
      </c>
      <c r="H221" s="106" t="s">
        <v>283</v>
      </c>
      <c r="I221">
        <v>412</v>
      </c>
    </row>
    <row r="222" spans="1:10" x14ac:dyDescent="0.2">
      <c r="A222" s="106" t="s">
        <v>362</v>
      </c>
      <c r="B222" s="106" t="s">
        <v>270</v>
      </c>
      <c r="C222" s="106" t="s">
        <v>271</v>
      </c>
      <c r="D222" s="106" t="s">
        <v>272</v>
      </c>
      <c r="E222">
        <v>8185</v>
      </c>
      <c r="F222" s="106" t="s">
        <v>1887</v>
      </c>
      <c r="G222" s="106" t="s">
        <v>273</v>
      </c>
      <c r="H222" s="106" t="s">
        <v>283</v>
      </c>
      <c r="I222">
        <v>661</v>
      </c>
    </row>
    <row r="223" spans="1:10" x14ac:dyDescent="0.2">
      <c r="A223" s="106" t="s">
        <v>362</v>
      </c>
      <c r="B223" s="106" t="s">
        <v>270</v>
      </c>
      <c r="C223" s="106" t="s">
        <v>271</v>
      </c>
      <c r="D223" s="106" t="s">
        <v>272</v>
      </c>
      <c r="E223">
        <v>8194</v>
      </c>
      <c r="F223" s="106" t="s">
        <v>1888</v>
      </c>
      <c r="G223" s="106" t="s">
        <v>273</v>
      </c>
      <c r="H223" s="106" t="s">
        <v>283</v>
      </c>
      <c r="I223" s="106" t="s">
        <v>304</v>
      </c>
      <c r="J223" s="106" t="s">
        <v>2384</v>
      </c>
    </row>
    <row r="224" spans="1:10" x14ac:dyDescent="0.2">
      <c r="A224" s="106" t="s">
        <v>362</v>
      </c>
      <c r="B224" s="106" t="s">
        <v>270</v>
      </c>
      <c r="C224" s="106" t="s">
        <v>271</v>
      </c>
      <c r="D224" s="106" t="s">
        <v>272</v>
      </c>
      <c r="E224">
        <v>8198</v>
      </c>
      <c r="F224" s="106" t="s">
        <v>2385</v>
      </c>
      <c r="G224" s="106" t="s">
        <v>281</v>
      </c>
      <c r="H224" s="106" t="s">
        <v>283</v>
      </c>
      <c r="I224" s="106">
        <v>836</v>
      </c>
      <c r="J224" s="106"/>
    </row>
    <row r="225" spans="1:10" x14ac:dyDescent="0.2">
      <c r="A225" s="106" t="s">
        <v>362</v>
      </c>
      <c r="B225" s="106" t="s">
        <v>270</v>
      </c>
      <c r="C225" s="106" t="s">
        <v>271</v>
      </c>
      <c r="D225" s="106" t="s">
        <v>272</v>
      </c>
      <c r="E225">
        <v>8203</v>
      </c>
      <c r="F225" s="106" t="s">
        <v>1889</v>
      </c>
      <c r="G225" s="106" t="s">
        <v>273</v>
      </c>
      <c r="H225" s="106" t="s">
        <v>283</v>
      </c>
      <c r="I225" s="106">
        <v>193</v>
      </c>
      <c r="J225" s="106"/>
    </row>
    <row r="226" spans="1:10" x14ac:dyDescent="0.2">
      <c r="A226" s="106" t="s">
        <v>362</v>
      </c>
      <c r="B226" s="106" t="s">
        <v>270</v>
      </c>
      <c r="C226" s="106" t="s">
        <v>271</v>
      </c>
      <c r="D226" s="106" t="s">
        <v>272</v>
      </c>
      <c r="E226">
        <v>8267</v>
      </c>
      <c r="F226" s="106" t="s">
        <v>2386</v>
      </c>
      <c r="G226" s="106" t="s">
        <v>273</v>
      </c>
      <c r="H226" s="106" t="s">
        <v>283</v>
      </c>
      <c r="I226" s="106" t="s">
        <v>831</v>
      </c>
      <c r="J226" s="106" t="s">
        <v>2387</v>
      </c>
    </row>
    <row r="227" spans="1:10" x14ac:dyDescent="0.2">
      <c r="A227" s="106" t="s">
        <v>362</v>
      </c>
      <c r="B227" s="106" t="s">
        <v>270</v>
      </c>
      <c r="C227" s="106" t="s">
        <v>271</v>
      </c>
      <c r="D227" s="106" t="s">
        <v>272</v>
      </c>
      <c r="E227">
        <v>8287</v>
      </c>
      <c r="F227" s="106" t="s">
        <v>1890</v>
      </c>
      <c r="G227" s="106" t="s">
        <v>281</v>
      </c>
      <c r="H227" s="106" t="s">
        <v>283</v>
      </c>
      <c r="I227" s="106">
        <v>916</v>
      </c>
      <c r="J227" s="106"/>
    </row>
    <row r="228" spans="1:10" x14ac:dyDescent="0.2">
      <c r="A228" s="106" t="s">
        <v>362</v>
      </c>
      <c r="B228" s="106" t="s">
        <v>270</v>
      </c>
      <c r="C228" s="106" t="s">
        <v>275</v>
      </c>
      <c r="D228" s="106" t="s">
        <v>272</v>
      </c>
      <c r="E228">
        <v>8904</v>
      </c>
      <c r="F228" s="106" t="s">
        <v>1891</v>
      </c>
      <c r="G228" s="106" t="s">
        <v>273</v>
      </c>
      <c r="H228" s="106" t="s">
        <v>299</v>
      </c>
      <c r="I228" s="106">
        <v>153</v>
      </c>
      <c r="J228" s="106"/>
    </row>
    <row r="229" spans="1:10" x14ac:dyDescent="0.2">
      <c r="A229" s="106" t="s">
        <v>362</v>
      </c>
      <c r="B229" s="106" t="s">
        <v>270</v>
      </c>
      <c r="C229" s="106" t="s">
        <v>280</v>
      </c>
      <c r="D229" s="106" t="s">
        <v>276</v>
      </c>
      <c r="E229">
        <v>9286</v>
      </c>
      <c r="F229" s="106" t="s">
        <v>1892</v>
      </c>
      <c r="G229" s="106" t="s">
        <v>310</v>
      </c>
      <c r="H229" s="106" t="s">
        <v>311</v>
      </c>
      <c r="I229" s="106">
        <v>87</v>
      </c>
      <c r="J229" s="106"/>
    </row>
    <row r="230" spans="1:10" x14ac:dyDescent="0.2">
      <c r="A230" s="106" t="s">
        <v>362</v>
      </c>
      <c r="B230" s="106" t="s">
        <v>270</v>
      </c>
      <c r="C230" s="106" t="s">
        <v>280</v>
      </c>
      <c r="D230" s="106" t="s">
        <v>272</v>
      </c>
      <c r="E230">
        <v>9313</v>
      </c>
      <c r="F230" s="106" t="s">
        <v>1893</v>
      </c>
      <c r="G230" s="106" t="s">
        <v>281</v>
      </c>
      <c r="H230" s="106" t="s">
        <v>626</v>
      </c>
      <c r="I230">
        <v>55</v>
      </c>
    </row>
    <row r="231" spans="1:10" x14ac:dyDescent="0.2">
      <c r="A231" s="106" t="s">
        <v>362</v>
      </c>
      <c r="B231" s="106" t="s">
        <v>270</v>
      </c>
      <c r="C231" s="106" t="s">
        <v>271</v>
      </c>
      <c r="D231" s="106" t="s">
        <v>272</v>
      </c>
      <c r="E231">
        <v>9381</v>
      </c>
      <c r="F231" s="106" t="s">
        <v>767</v>
      </c>
      <c r="G231" s="106" t="s">
        <v>273</v>
      </c>
      <c r="H231" s="106" t="s">
        <v>626</v>
      </c>
      <c r="I231" s="106">
        <v>230</v>
      </c>
      <c r="J231" s="106"/>
    </row>
    <row r="232" spans="1:10" x14ac:dyDescent="0.2">
      <c r="A232" s="106" t="s">
        <v>362</v>
      </c>
      <c r="B232" s="106" t="s">
        <v>270</v>
      </c>
      <c r="C232" s="106" t="s">
        <v>275</v>
      </c>
      <c r="D232" s="106" t="s">
        <v>272</v>
      </c>
      <c r="E232">
        <v>9418</v>
      </c>
      <c r="F232" s="106" t="s">
        <v>2388</v>
      </c>
      <c r="G232" s="106" t="s">
        <v>273</v>
      </c>
      <c r="H232" s="106" t="s">
        <v>284</v>
      </c>
      <c r="I232" s="106">
        <v>871</v>
      </c>
      <c r="J232" s="106"/>
    </row>
    <row r="233" spans="1:10" x14ac:dyDescent="0.2">
      <c r="A233" s="106" t="s">
        <v>362</v>
      </c>
      <c r="B233" s="106" t="s">
        <v>270</v>
      </c>
      <c r="C233" s="106" t="s">
        <v>271</v>
      </c>
      <c r="D233" s="106" t="s">
        <v>272</v>
      </c>
      <c r="E233">
        <v>9661</v>
      </c>
      <c r="F233" s="106" t="s">
        <v>1894</v>
      </c>
      <c r="G233" s="106" t="s">
        <v>281</v>
      </c>
      <c r="H233" s="106" t="s">
        <v>278</v>
      </c>
      <c r="I233" s="106">
        <v>707</v>
      </c>
      <c r="J233" s="106"/>
    </row>
    <row r="234" spans="1:10" x14ac:dyDescent="0.2">
      <c r="A234" s="106" t="s">
        <v>362</v>
      </c>
      <c r="B234" s="106" t="s">
        <v>270</v>
      </c>
      <c r="C234" s="106" t="s">
        <v>280</v>
      </c>
      <c r="D234" s="106" t="s">
        <v>276</v>
      </c>
      <c r="E234">
        <v>9717</v>
      </c>
      <c r="F234" s="106" t="s">
        <v>1895</v>
      </c>
      <c r="G234" s="106" t="s">
        <v>273</v>
      </c>
      <c r="H234" s="106" t="s">
        <v>284</v>
      </c>
      <c r="I234" s="106">
        <v>203</v>
      </c>
      <c r="J234" s="106"/>
    </row>
    <row r="235" spans="1:10" x14ac:dyDescent="0.2">
      <c r="A235" s="106" t="s">
        <v>362</v>
      </c>
      <c r="B235" s="106" t="s">
        <v>270</v>
      </c>
      <c r="C235" s="106" t="s">
        <v>271</v>
      </c>
      <c r="D235" s="106" t="s">
        <v>272</v>
      </c>
      <c r="E235">
        <v>9740</v>
      </c>
      <c r="F235" s="106" t="s">
        <v>1896</v>
      </c>
      <c r="G235" s="106" t="s">
        <v>273</v>
      </c>
      <c r="H235" s="106" t="s">
        <v>278</v>
      </c>
      <c r="I235" s="106">
        <v>917</v>
      </c>
      <c r="J235" s="106"/>
    </row>
    <row r="236" spans="1:10" x14ac:dyDescent="0.2">
      <c r="A236" s="106" t="s">
        <v>362</v>
      </c>
      <c r="B236" s="106" t="s">
        <v>270</v>
      </c>
      <c r="C236" s="106" t="s">
        <v>271</v>
      </c>
      <c r="D236" s="106" t="s">
        <v>272</v>
      </c>
      <c r="E236">
        <v>9787</v>
      </c>
      <c r="F236" s="106" t="s">
        <v>2389</v>
      </c>
      <c r="G236" s="106" t="s">
        <v>273</v>
      </c>
      <c r="H236" s="106" t="s">
        <v>278</v>
      </c>
      <c r="I236" s="106" t="s">
        <v>296</v>
      </c>
      <c r="J236" s="106" t="s">
        <v>2361</v>
      </c>
    </row>
    <row r="237" spans="1:10" x14ac:dyDescent="0.2">
      <c r="A237" s="106" t="s">
        <v>362</v>
      </c>
      <c r="B237" s="106" t="s">
        <v>270</v>
      </c>
      <c r="C237" s="106" t="s">
        <v>282</v>
      </c>
      <c r="D237" s="106" t="s">
        <v>272</v>
      </c>
      <c r="E237">
        <v>9812</v>
      </c>
      <c r="F237" s="106" t="s">
        <v>1897</v>
      </c>
      <c r="G237" s="106" t="s">
        <v>277</v>
      </c>
      <c r="H237" s="106" t="s">
        <v>279</v>
      </c>
      <c r="I237" s="106">
        <v>37</v>
      </c>
      <c r="J237" s="106"/>
    </row>
    <row r="238" spans="1:10" x14ac:dyDescent="0.2">
      <c r="A238" s="106" t="s">
        <v>362</v>
      </c>
      <c r="B238" s="106" t="s">
        <v>270</v>
      </c>
      <c r="C238" s="106" t="s">
        <v>271</v>
      </c>
      <c r="D238" s="106" t="s">
        <v>272</v>
      </c>
      <c r="E238">
        <v>9861</v>
      </c>
      <c r="F238" s="106" t="s">
        <v>1898</v>
      </c>
      <c r="G238" s="106" t="s">
        <v>273</v>
      </c>
      <c r="H238" s="106" t="s">
        <v>283</v>
      </c>
      <c r="I238" s="106" t="s">
        <v>304</v>
      </c>
      <c r="J238" s="106" t="s">
        <v>2390</v>
      </c>
    </row>
    <row r="239" spans="1:10" x14ac:dyDescent="0.2">
      <c r="A239" s="106" t="s">
        <v>362</v>
      </c>
      <c r="B239" s="106" t="s">
        <v>270</v>
      </c>
      <c r="C239" s="106" t="s">
        <v>271</v>
      </c>
      <c r="D239" s="106" t="s">
        <v>272</v>
      </c>
      <c r="E239">
        <v>9948</v>
      </c>
      <c r="F239" s="106" t="s">
        <v>1899</v>
      </c>
      <c r="G239" s="106" t="s">
        <v>273</v>
      </c>
      <c r="H239" s="106" t="s">
        <v>283</v>
      </c>
      <c r="I239" s="106" t="s">
        <v>304</v>
      </c>
      <c r="J239" s="106" t="s">
        <v>2391</v>
      </c>
    </row>
    <row r="240" spans="1:10" x14ac:dyDescent="0.2">
      <c r="A240" s="106" t="s">
        <v>362</v>
      </c>
      <c r="B240" s="106" t="s">
        <v>270</v>
      </c>
      <c r="C240" s="106" t="s">
        <v>275</v>
      </c>
      <c r="D240" s="106" t="s">
        <v>272</v>
      </c>
      <c r="E240">
        <v>9978</v>
      </c>
      <c r="F240" s="106" t="s">
        <v>1900</v>
      </c>
      <c r="G240" s="106" t="s">
        <v>277</v>
      </c>
      <c r="H240" s="106" t="s">
        <v>283</v>
      </c>
      <c r="I240" s="106">
        <v>24</v>
      </c>
      <c r="J240" s="106"/>
    </row>
    <row r="241" spans="1:10" x14ac:dyDescent="0.2">
      <c r="A241" s="106" t="s">
        <v>374</v>
      </c>
      <c r="B241" s="106" t="s">
        <v>768</v>
      </c>
      <c r="C241" s="106" t="s">
        <v>271</v>
      </c>
      <c r="D241" s="106" t="s">
        <v>276</v>
      </c>
      <c r="E241">
        <v>3415</v>
      </c>
      <c r="F241" s="106" t="s">
        <v>769</v>
      </c>
      <c r="G241" s="106" t="s">
        <v>273</v>
      </c>
      <c r="H241" s="106" t="s">
        <v>283</v>
      </c>
      <c r="I241" s="106">
        <v>297</v>
      </c>
      <c r="J241" s="106"/>
    </row>
    <row r="242" spans="1:10" x14ac:dyDescent="0.2">
      <c r="A242" s="106" t="s">
        <v>374</v>
      </c>
      <c r="B242" s="106" t="s">
        <v>337</v>
      </c>
      <c r="C242" s="106" t="s">
        <v>280</v>
      </c>
      <c r="D242" s="106" t="s">
        <v>272</v>
      </c>
      <c r="E242">
        <v>2734</v>
      </c>
      <c r="F242" s="106" t="s">
        <v>547</v>
      </c>
      <c r="G242" s="106" t="s">
        <v>273</v>
      </c>
      <c r="H242" s="106" t="s">
        <v>283</v>
      </c>
      <c r="I242" s="106">
        <v>423</v>
      </c>
      <c r="J242" s="106"/>
    </row>
    <row r="243" spans="1:10" x14ac:dyDescent="0.2">
      <c r="A243" s="106" t="s">
        <v>374</v>
      </c>
      <c r="B243" s="106" t="s">
        <v>1812</v>
      </c>
      <c r="C243" s="106" t="s">
        <v>282</v>
      </c>
      <c r="D243" s="106" t="s">
        <v>272</v>
      </c>
      <c r="E243">
        <v>2722</v>
      </c>
      <c r="F243" s="106" t="s">
        <v>1901</v>
      </c>
      <c r="G243" s="106" t="s">
        <v>281</v>
      </c>
      <c r="H243" s="106" t="s">
        <v>283</v>
      </c>
      <c r="I243" s="106">
        <v>88</v>
      </c>
      <c r="J243" s="106"/>
    </row>
    <row r="244" spans="1:10" x14ac:dyDescent="0.2">
      <c r="A244" s="106" t="s">
        <v>374</v>
      </c>
      <c r="B244" s="106" t="s">
        <v>270</v>
      </c>
      <c r="C244" s="106" t="s">
        <v>271</v>
      </c>
      <c r="D244" s="106" t="s">
        <v>272</v>
      </c>
      <c r="E244">
        <v>1418</v>
      </c>
      <c r="F244" s="106" t="s">
        <v>1902</v>
      </c>
      <c r="G244" s="106" t="s">
        <v>277</v>
      </c>
      <c r="H244" s="106" t="s">
        <v>300</v>
      </c>
      <c r="I244" s="106">
        <v>50</v>
      </c>
      <c r="J244" s="106"/>
    </row>
    <row r="245" spans="1:10" x14ac:dyDescent="0.2">
      <c r="A245" s="106" t="s">
        <v>374</v>
      </c>
      <c r="B245" s="106" t="s">
        <v>270</v>
      </c>
      <c r="C245" s="106" t="s">
        <v>282</v>
      </c>
      <c r="D245" s="106" t="s">
        <v>272</v>
      </c>
      <c r="E245">
        <v>1419</v>
      </c>
      <c r="F245" s="106" t="s">
        <v>1903</v>
      </c>
      <c r="G245" s="106" t="s">
        <v>273</v>
      </c>
      <c r="H245" s="106" t="s">
        <v>300</v>
      </c>
      <c r="I245" s="106">
        <v>500</v>
      </c>
      <c r="J245" s="106"/>
    </row>
    <row r="246" spans="1:10" x14ac:dyDescent="0.2">
      <c r="A246" s="106" t="s">
        <v>374</v>
      </c>
      <c r="B246" s="106" t="s">
        <v>270</v>
      </c>
      <c r="C246" s="106" t="s">
        <v>275</v>
      </c>
      <c r="D246" s="106" t="s">
        <v>272</v>
      </c>
      <c r="E246">
        <v>1434</v>
      </c>
      <c r="F246" s="106" t="s">
        <v>1904</v>
      </c>
      <c r="G246" s="106" t="s">
        <v>281</v>
      </c>
      <c r="H246" s="106" t="s">
        <v>300</v>
      </c>
      <c r="I246" s="106">
        <v>30</v>
      </c>
      <c r="J246" s="106"/>
    </row>
    <row r="247" spans="1:10" x14ac:dyDescent="0.2">
      <c r="A247" s="106" t="s">
        <v>374</v>
      </c>
      <c r="B247" s="106" t="s">
        <v>270</v>
      </c>
      <c r="C247" s="106" t="s">
        <v>282</v>
      </c>
      <c r="D247" s="106" t="s">
        <v>272</v>
      </c>
      <c r="E247">
        <v>1887</v>
      </c>
      <c r="F247" s="106" t="s">
        <v>562</v>
      </c>
      <c r="G247" s="106" t="s">
        <v>273</v>
      </c>
      <c r="H247" s="106" t="s">
        <v>300</v>
      </c>
      <c r="I247" s="106">
        <v>646</v>
      </c>
      <c r="J247" s="106"/>
    </row>
    <row r="248" spans="1:10" x14ac:dyDescent="0.2">
      <c r="A248" s="106" t="s">
        <v>374</v>
      </c>
      <c r="B248" s="106" t="s">
        <v>270</v>
      </c>
      <c r="C248" s="106" t="s">
        <v>275</v>
      </c>
      <c r="D248" s="106" t="s">
        <v>272</v>
      </c>
      <c r="E248">
        <v>2449</v>
      </c>
      <c r="F248" s="106" t="s">
        <v>1905</v>
      </c>
      <c r="G248" s="106" t="s">
        <v>277</v>
      </c>
      <c r="H248" s="106" t="s">
        <v>278</v>
      </c>
      <c r="I248" s="106">
        <v>70</v>
      </c>
      <c r="J248" s="106"/>
    </row>
    <row r="249" spans="1:10" x14ac:dyDescent="0.2">
      <c r="A249" s="106" t="s">
        <v>374</v>
      </c>
      <c r="B249" s="106" t="s">
        <v>270</v>
      </c>
      <c r="C249" s="106" t="s">
        <v>280</v>
      </c>
      <c r="D249" s="106" t="s">
        <v>272</v>
      </c>
      <c r="E249">
        <v>2471</v>
      </c>
      <c r="F249" s="106" t="s">
        <v>375</v>
      </c>
      <c r="G249" s="106" t="s">
        <v>273</v>
      </c>
      <c r="H249" s="106" t="s">
        <v>278</v>
      </c>
      <c r="I249" s="106">
        <v>623</v>
      </c>
      <c r="J249" s="106"/>
    </row>
    <row r="250" spans="1:10" x14ac:dyDescent="0.2">
      <c r="A250" s="106" t="s">
        <v>374</v>
      </c>
      <c r="B250" s="106" t="s">
        <v>270</v>
      </c>
      <c r="C250" s="106" t="s">
        <v>280</v>
      </c>
      <c r="D250" s="106" t="s">
        <v>272</v>
      </c>
      <c r="E250">
        <v>2698</v>
      </c>
      <c r="F250" s="106" t="s">
        <v>566</v>
      </c>
      <c r="G250" s="106" t="s">
        <v>273</v>
      </c>
      <c r="H250" s="106" t="s">
        <v>283</v>
      </c>
      <c r="I250" s="106">
        <v>278</v>
      </c>
      <c r="J250" s="106"/>
    </row>
    <row r="251" spans="1:10" x14ac:dyDescent="0.2">
      <c r="A251" s="106" t="s">
        <v>374</v>
      </c>
      <c r="B251" s="106" t="s">
        <v>270</v>
      </c>
      <c r="C251" s="106" t="s">
        <v>271</v>
      </c>
      <c r="D251" s="106" t="s">
        <v>272</v>
      </c>
      <c r="E251">
        <v>2726</v>
      </c>
      <c r="F251" s="106" t="s">
        <v>1906</v>
      </c>
      <c r="G251" s="106" t="s">
        <v>273</v>
      </c>
      <c r="H251" s="106" t="s">
        <v>283</v>
      </c>
      <c r="I251">
        <v>869</v>
      </c>
    </row>
    <row r="252" spans="1:10" x14ac:dyDescent="0.2">
      <c r="A252" s="106" t="s">
        <v>374</v>
      </c>
      <c r="B252" s="106" t="s">
        <v>270</v>
      </c>
      <c r="C252" s="106" t="s">
        <v>282</v>
      </c>
      <c r="D252" s="106" t="s">
        <v>272</v>
      </c>
      <c r="E252">
        <v>2769</v>
      </c>
      <c r="F252" s="106" t="s">
        <v>1907</v>
      </c>
      <c r="G252" s="106" t="s">
        <v>277</v>
      </c>
      <c r="H252" s="106" t="s">
        <v>283</v>
      </c>
      <c r="I252">
        <v>80</v>
      </c>
    </row>
    <row r="253" spans="1:10" x14ac:dyDescent="0.2">
      <c r="A253" s="106" t="s">
        <v>374</v>
      </c>
      <c r="B253" s="106" t="s">
        <v>270</v>
      </c>
      <c r="C253" s="106" t="s">
        <v>282</v>
      </c>
      <c r="D253" s="106" t="s">
        <v>272</v>
      </c>
      <c r="E253">
        <v>2796</v>
      </c>
      <c r="F253" s="106" t="s">
        <v>1908</v>
      </c>
      <c r="G253" s="106" t="s">
        <v>273</v>
      </c>
      <c r="H253" s="106" t="s">
        <v>283</v>
      </c>
      <c r="I253" s="106">
        <v>62</v>
      </c>
      <c r="J253" s="106"/>
    </row>
    <row r="254" spans="1:10" x14ac:dyDescent="0.2">
      <c r="A254" s="106" t="s">
        <v>374</v>
      </c>
      <c r="B254" s="106" t="s">
        <v>270</v>
      </c>
      <c r="C254" s="106" t="s">
        <v>271</v>
      </c>
      <c r="D254" s="106" t="s">
        <v>272</v>
      </c>
      <c r="E254">
        <v>2798</v>
      </c>
      <c r="F254" s="106" t="s">
        <v>1909</v>
      </c>
      <c r="G254" s="106" t="s">
        <v>281</v>
      </c>
      <c r="H254" s="106" t="s">
        <v>283</v>
      </c>
      <c r="I254" s="106">
        <v>67</v>
      </c>
      <c r="J254" s="106"/>
    </row>
    <row r="255" spans="1:10" x14ac:dyDescent="0.2">
      <c r="A255" s="106" t="s">
        <v>374</v>
      </c>
      <c r="B255" s="106" t="s">
        <v>270</v>
      </c>
      <c r="C255" s="106" t="s">
        <v>271</v>
      </c>
      <c r="D255" s="106" t="s">
        <v>272</v>
      </c>
      <c r="E255">
        <v>2884</v>
      </c>
      <c r="F255" s="106" t="s">
        <v>1910</v>
      </c>
      <c r="G255" s="106" t="s">
        <v>273</v>
      </c>
      <c r="H255" s="106" t="s">
        <v>274</v>
      </c>
      <c r="I255" s="106">
        <v>275</v>
      </c>
      <c r="J255" s="106"/>
    </row>
    <row r="256" spans="1:10" x14ac:dyDescent="0.2">
      <c r="A256" s="106" t="s">
        <v>374</v>
      </c>
      <c r="B256" s="106" t="s">
        <v>270</v>
      </c>
      <c r="C256" s="106" t="s">
        <v>271</v>
      </c>
      <c r="D256" s="106" t="s">
        <v>276</v>
      </c>
      <c r="E256">
        <v>2930</v>
      </c>
      <c r="F256" s="106" t="s">
        <v>376</v>
      </c>
      <c r="G256" s="106" t="s">
        <v>273</v>
      </c>
      <c r="H256" s="106" t="s">
        <v>274</v>
      </c>
      <c r="I256" s="106" t="s">
        <v>304</v>
      </c>
      <c r="J256" s="106" t="s">
        <v>2392</v>
      </c>
    </row>
    <row r="257" spans="1:10" x14ac:dyDescent="0.2">
      <c r="A257" s="106" t="s">
        <v>374</v>
      </c>
      <c r="B257" s="106" t="s">
        <v>270</v>
      </c>
      <c r="C257" s="106" t="s">
        <v>282</v>
      </c>
      <c r="D257" s="106" t="s">
        <v>272</v>
      </c>
      <c r="E257">
        <v>3021</v>
      </c>
      <c r="F257" s="106" t="s">
        <v>1911</v>
      </c>
      <c r="G257" s="106" t="s">
        <v>281</v>
      </c>
      <c r="H257" s="106" t="s">
        <v>283</v>
      </c>
      <c r="I257">
        <v>92</v>
      </c>
    </row>
    <row r="258" spans="1:10" x14ac:dyDescent="0.2">
      <c r="A258" s="106" t="s">
        <v>374</v>
      </c>
      <c r="B258" s="106" t="s">
        <v>270</v>
      </c>
      <c r="C258" s="106" t="s">
        <v>271</v>
      </c>
      <c r="D258" s="106" t="s">
        <v>276</v>
      </c>
      <c r="E258">
        <v>3030</v>
      </c>
      <c r="F258" s="106" t="s">
        <v>377</v>
      </c>
      <c r="G258" s="106" t="s">
        <v>273</v>
      </c>
      <c r="H258" s="106" t="s">
        <v>283</v>
      </c>
      <c r="I258" s="106">
        <v>114</v>
      </c>
      <c r="J258" s="106"/>
    </row>
    <row r="259" spans="1:10" x14ac:dyDescent="0.2">
      <c r="A259" s="106" t="s">
        <v>374</v>
      </c>
      <c r="B259" s="106" t="s">
        <v>270</v>
      </c>
      <c r="C259" s="106" t="s">
        <v>275</v>
      </c>
      <c r="D259" s="106" t="s">
        <v>272</v>
      </c>
      <c r="E259">
        <v>3045</v>
      </c>
      <c r="F259" s="106" t="s">
        <v>1830</v>
      </c>
      <c r="G259" s="106" t="s">
        <v>281</v>
      </c>
      <c r="H259" s="106" t="s">
        <v>279</v>
      </c>
      <c r="I259" s="106">
        <v>29</v>
      </c>
      <c r="J259" s="106"/>
    </row>
    <row r="260" spans="1:10" x14ac:dyDescent="0.2">
      <c r="A260" s="106" t="s">
        <v>374</v>
      </c>
      <c r="B260" s="106" t="s">
        <v>270</v>
      </c>
      <c r="C260" s="106" t="s">
        <v>271</v>
      </c>
      <c r="D260" s="106" t="s">
        <v>272</v>
      </c>
      <c r="E260">
        <v>3073</v>
      </c>
      <c r="F260" s="106" t="s">
        <v>1912</v>
      </c>
      <c r="G260" s="106" t="s">
        <v>273</v>
      </c>
      <c r="H260" s="106" t="s">
        <v>283</v>
      </c>
      <c r="I260" s="106">
        <v>245</v>
      </c>
      <c r="J260" s="106"/>
    </row>
    <row r="261" spans="1:10" x14ac:dyDescent="0.2">
      <c r="A261" s="106" t="s">
        <v>374</v>
      </c>
      <c r="B261" s="106" t="s">
        <v>270</v>
      </c>
      <c r="C261" s="106" t="s">
        <v>271</v>
      </c>
      <c r="D261" s="106" t="s">
        <v>272</v>
      </c>
      <c r="E261">
        <v>3080</v>
      </c>
      <c r="F261" s="106" t="s">
        <v>1913</v>
      </c>
      <c r="G261" s="106" t="s">
        <v>277</v>
      </c>
      <c r="H261" s="106" t="s">
        <v>283</v>
      </c>
      <c r="I261" s="106">
        <v>46</v>
      </c>
      <c r="J261" s="106"/>
    </row>
    <row r="262" spans="1:10" x14ac:dyDescent="0.2">
      <c r="A262" s="106" t="s">
        <v>374</v>
      </c>
      <c r="B262" s="106" t="s">
        <v>270</v>
      </c>
      <c r="C262" s="106" t="s">
        <v>271</v>
      </c>
      <c r="D262" s="106" t="s">
        <v>272</v>
      </c>
      <c r="E262">
        <v>3087</v>
      </c>
      <c r="F262" s="106" t="s">
        <v>1914</v>
      </c>
      <c r="G262" s="106" t="s">
        <v>273</v>
      </c>
      <c r="H262" s="106" t="s">
        <v>283</v>
      </c>
      <c r="I262" s="106" t="s">
        <v>304</v>
      </c>
      <c r="J262" s="106" t="s">
        <v>2393</v>
      </c>
    </row>
    <row r="263" spans="1:10" x14ac:dyDescent="0.2">
      <c r="A263" s="106" t="s">
        <v>374</v>
      </c>
      <c r="B263" s="106" t="s">
        <v>270</v>
      </c>
      <c r="C263" s="106" t="s">
        <v>280</v>
      </c>
      <c r="D263" s="106" t="s">
        <v>272</v>
      </c>
      <c r="E263">
        <v>3139</v>
      </c>
      <c r="F263" s="106" t="s">
        <v>1915</v>
      </c>
      <c r="G263" s="106" t="s">
        <v>273</v>
      </c>
      <c r="H263" s="106" t="s">
        <v>279</v>
      </c>
      <c r="I263" s="106">
        <v>354</v>
      </c>
      <c r="J263" s="106"/>
    </row>
    <row r="264" spans="1:10" x14ac:dyDescent="0.2">
      <c r="A264" s="106" t="s">
        <v>374</v>
      </c>
      <c r="B264" s="106" t="s">
        <v>270</v>
      </c>
      <c r="C264" s="106" t="s">
        <v>282</v>
      </c>
      <c r="D264" s="106" t="s">
        <v>272</v>
      </c>
      <c r="E264">
        <v>3148</v>
      </c>
      <c r="F264" s="106" t="s">
        <v>1916</v>
      </c>
      <c r="G264" s="106" t="s">
        <v>273</v>
      </c>
      <c r="H264" s="106" t="s">
        <v>283</v>
      </c>
      <c r="I264" s="106" t="s">
        <v>304</v>
      </c>
      <c r="J264" s="106" t="s">
        <v>2394</v>
      </c>
    </row>
    <row r="265" spans="1:10" x14ac:dyDescent="0.2">
      <c r="A265" s="106" t="s">
        <v>374</v>
      </c>
      <c r="B265" s="106" t="s">
        <v>270</v>
      </c>
      <c r="C265" s="106" t="s">
        <v>275</v>
      </c>
      <c r="D265" s="106" t="s">
        <v>272</v>
      </c>
      <c r="E265">
        <v>3168</v>
      </c>
      <c r="F265" s="106" t="s">
        <v>548</v>
      </c>
      <c r="G265" s="106" t="s">
        <v>273</v>
      </c>
      <c r="H265" s="106" t="s">
        <v>279</v>
      </c>
      <c r="I265" s="106">
        <v>73</v>
      </c>
      <c r="J265" s="106"/>
    </row>
    <row r="266" spans="1:10" x14ac:dyDescent="0.2">
      <c r="A266" s="106" t="s">
        <v>374</v>
      </c>
      <c r="B266" s="106" t="s">
        <v>270</v>
      </c>
      <c r="C266" s="106" t="s">
        <v>271</v>
      </c>
      <c r="D266" s="106" t="s">
        <v>276</v>
      </c>
      <c r="E266">
        <v>3181</v>
      </c>
      <c r="F266" s="106" t="s">
        <v>1917</v>
      </c>
      <c r="G266" s="106" t="s">
        <v>277</v>
      </c>
      <c r="H266" s="106" t="s">
        <v>283</v>
      </c>
      <c r="I266" s="106">
        <v>11</v>
      </c>
      <c r="J266" s="106"/>
    </row>
    <row r="267" spans="1:10" x14ac:dyDescent="0.2">
      <c r="A267" s="106" t="s">
        <v>374</v>
      </c>
      <c r="B267" s="106" t="s">
        <v>270</v>
      </c>
      <c r="C267" s="106" t="s">
        <v>271</v>
      </c>
      <c r="D267" s="106" t="s">
        <v>276</v>
      </c>
      <c r="E267">
        <v>3192</v>
      </c>
      <c r="F267" s="106" t="s">
        <v>1918</v>
      </c>
      <c r="G267" s="106" t="s">
        <v>277</v>
      </c>
      <c r="H267" s="106" t="s">
        <v>283</v>
      </c>
      <c r="I267" s="106">
        <v>21</v>
      </c>
      <c r="J267" s="106"/>
    </row>
    <row r="268" spans="1:10" x14ac:dyDescent="0.2">
      <c r="A268" s="106" t="s">
        <v>374</v>
      </c>
      <c r="B268" s="106" t="s">
        <v>270</v>
      </c>
      <c r="C268" s="106" t="s">
        <v>271</v>
      </c>
      <c r="D268" s="106" t="s">
        <v>272</v>
      </c>
      <c r="E268">
        <v>3198</v>
      </c>
      <c r="F268" s="106" t="s">
        <v>1919</v>
      </c>
      <c r="G268" s="106" t="s">
        <v>273</v>
      </c>
      <c r="H268" s="106" t="s">
        <v>283</v>
      </c>
      <c r="I268" s="106">
        <v>587</v>
      </c>
      <c r="J268" s="106"/>
    </row>
    <row r="269" spans="1:10" x14ac:dyDescent="0.2">
      <c r="A269" s="106" t="s">
        <v>374</v>
      </c>
      <c r="B269" s="106" t="s">
        <v>270</v>
      </c>
      <c r="C269" s="106" t="s">
        <v>271</v>
      </c>
      <c r="D269" s="106" t="s">
        <v>276</v>
      </c>
      <c r="E269">
        <v>3223</v>
      </c>
      <c r="F269" s="106" t="s">
        <v>1920</v>
      </c>
      <c r="G269" s="106" t="s">
        <v>277</v>
      </c>
      <c r="H269" s="106" t="s">
        <v>283</v>
      </c>
      <c r="I269" s="106">
        <v>27</v>
      </c>
      <c r="J269" s="106"/>
    </row>
    <row r="270" spans="1:10" x14ac:dyDescent="0.2">
      <c r="A270" s="106" t="s">
        <v>374</v>
      </c>
      <c r="B270" s="106" t="s">
        <v>270</v>
      </c>
      <c r="C270" s="106" t="s">
        <v>275</v>
      </c>
      <c r="D270" s="106" t="s">
        <v>272</v>
      </c>
      <c r="E270">
        <v>3228</v>
      </c>
      <c r="F270" s="106" t="s">
        <v>1921</v>
      </c>
      <c r="G270" s="106" t="s">
        <v>273</v>
      </c>
      <c r="H270" s="106" t="s">
        <v>299</v>
      </c>
      <c r="I270" s="106">
        <v>347</v>
      </c>
      <c r="J270" s="106"/>
    </row>
    <row r="271" spans="1:10" x14ac:dyDescent="0.2">
      <c r="A271" s="106" t="s">
        <v>374</v>
      </c>
      <c r="B271" s="106" t="s">
        <v>270</v>
      </c>
      <c r="C271" s="106" t="s">
        <v>282</v>
      </c>
      <c r="D271" s="106" t="s">
        <v>276</v>
      </c>
      <c r="E271">
        <v>3236</v>
      </c>
      <c r="F271" s="106" t="s">
        <v>1922</v>
      </c>
      <c r="G271" s="106" t="s">
        <v>277</v>
      </c>
      <c r="H271" s="106" t="s">
        <v>299</v>
      </c>
      <c r="I271" s="106">
        <v>58</v>
      </c>
      <c r="J271" s="106"/>
    </row>
    <row r="272" spans="1:10" x14ac:dyDescent="0.2">
      <c r="A272" s="106" t="s">
        <v>374</v>
      </c>
      <c r="B272" s="106" t="s">
        <v>270</v>
      </c>
      <c r="C272" s="106" t="s">
        <v>280</v>
      </c>
      <c r="D272" s="106" t="s">
        <v>272</v>
      </c>
      <c r="E272">
        <v>3266</v>
      </c>
      <c r="F272" s="106" t="s">
        <v>1923</v>
      </c>
      <c r="G272" s="106" t="s">
        <v>277</v>
      </c>
      <c r="H272" s="106" t="s">
        <v>299</v>
      </c>
      <c r="I272" s="106">
        <v>38</v>
      </c>
      <c r="J272" s="106"/>
    </row>
    <row r="273" spans="1:10" x14ac:dyDescent="0.2">
      <c r="A273" s="106" t="s">
        <v>374</v>
      </c>
      <c r="B273" s="106" t="s">
        <v>270</v>
      </c>
      <c r="C273" s="106" t="s">
        <v>271</v>
      </c>
      <c r="D273" s="106" t="s">
        <v>272</v>
      </c>
      <c r="E273">
        <v>3387</v>
      </c>
      <c r="F273" s="106" t="s">
        <v>569</v>
      </c>
      <c r="G273" s="106" t="s">
        <v>273</v>
      </c>
      <c r="H273" s="106" t="s">
        <v>283</v>
      </c>
      <c r="I273" s="106" t="s">
        <v>304</v>
      </c>
      <c r="J273" s="106" t="s">
        <v>2395</v>
      </c>
    </row>
    <row r="274" spans="1:10" x14ac:dyDescent="0.2">
      <c r="A274" s="106" t="s">
        <v>374</v>
      </c>
      <c r="B274" s="106" t="s">
        <v>270</v>
      </c>
      <c r="C274" s="106" t="s">
        <v>275</v>
      </c>
      <c r="D274" s="106" t="s">
        <v>272</v>
      </c>
      <c r="E274">
        <v>3440</v>
      </c>
      <c r="F274" s="106" t="s">
        <v>1924</v>
      </c>
      <c r="G274" s="106" t="s">
        <v>281</v>
      </c>
      <c r="H274" s="106" t="s">
        <v>288</v>
      </c>
      <c r="I274">
        <v>60</v>
      </c>
    </row>
    <row r="275" spans="1:10" x14ac:dyDescent="0.2">
      <c r="A275" s="106" t="s">
        <v>374</v>
      </c>
      <c r="B275" s="106" t="s">
        <v>270</v>
      </c>
      <c r="C275" s="106" t="s">
        <v>271</v>
      </c>
      <c r="D275" s="106" t="s">
        <v>272</v>
      </c>
      <c r="E275">
        <v>3479</v>
      </c>
      <c r="F275" s="106" t="s">
        <v>378</v>
      </c>
      <c r="G275" s="106" t="s">
        <v>285</v>
      </c>
      <c r="H275" s="106" t="s">
        <v>299</v>
      </c>
      <c r="I275" s="106" t="s">
        <v>304</v>
      </c>
      <c r="J275" s="106" t="s">
        <v>2396</v>
      </c>
    </row>
    <row r="276" spans="1:10" x14ac:dyDescent="0.2">
      <c r="A276" s="106" t="s">
        <v>374</v>
      </c>
      <c r="B276" s="106" t="s">
        <v>270</v>
      </c>
      <c r="C276" s="106" t="s">
        <v>275</v>
      </c>
      <c r="D276" s="106" t="s">
        <v>272</v>
      </c>
      <c r="E276">
        <v>3498</v>
      </c>
      <c r="F276" s="106" t="s">
        <v>1925</v>
      </c>
      <c r="G276" s="106" t="s">
        <v>285</v>
      </c>
      <c r="H276" s="106" t="s">
        <v>299</v>
      </c>
      <c r="I276" s="106">
        <v>159</v>
      </c>
      <c r="J276" s="106"/>
    </row>
    <row r="277" spans="1:10" x14ac:dyDescent="0.2">
      <c r="A277" s="106" t="s">
        <v>374</v>
      </c>
      <c r="B277" s="106" t="s">
        <v>270</v>
      </c>
      <c r="C277" s="106" t="s">
        <v>275</v>
      </c>
      <c r="D277" s="106" t="s">
        <v>272</v>
      </c>
      <c r="E277">
        <v>3536</v>
      </c>
      <c r="F277" s="106" t="s">
        <v>1926</v>
      </c>
      <c r="G277" s="106" t="s">
        <v>277</v>
      </c>
      <c r="H277" s="106" t="s">
        <v>283</v>
      </c>
      <c r="I277" s="106">
        <v>36</v>
      </c>
      <c r="J277" s="106"/>
    </row>
    <row r="278" spans="1:10" x14ac:dyDescent="0.2">
      <c r="A278" s="106" t="s">
        <v>374</v>
      </c>
      <c r="B278" s="106" t="s">
        <v>270</v>
      </c>
      <c r="C278" s="106" t="s">
        <v>275</v>
      </c>
      <c r="D278" s="106" t="s">
        <v>276</v>
      </c>
      <c r="E278">
        <v>3541</v>
      </c>
      <c r="F278" s="106" t="s">
        <v>1927</v>
      </c>
      <c r="G278" s="106" t="s">
        <v>285</v>
      </c>
      <c r="H278" s="106" t="s">
        <v>279</v>
      </c>
      <c r="I278">
        <v>106</v>
      </c>
    </row>
    <row r="279" spans="1:10" x14ac:dyDescent="0.2">
      <c r="A279" s="106" t="s">
        <v>374</v>
      </c>
      <c r="B279" s="106" t="s">
        <v>270</v>
      </c>
      <c r="C279" s="106" t="s">
        <v>280</v>
      </c>
      <c r="D279" s="106" t="s">
        <v>272</v>
      </c>
      <c r="E279">
        <v>3547</v>
      </c>
      <c r="F279" s="106" t="s">
        <v>1928</v>
      </c>
      <c r="G279" s="106" t="s">
        <v>273</v>
      </c>
      <c r="H279" s="106" t="s">
        <v>283</v>
      </c>
      <c r="I279">
        <v>207</v>
      </c>
    </row>
    <row r="280" spans="1:10" x14ac:dyDescent="0.2">
      <c r="A280" s="106" t="s">
        <v>374</v>
      </c>
      <c r="B280" s="106" t="s">
        <v>270</v>
      </c>
      <c r="C280" s="106" t="s">
        <v>271</v>
      </c>
      <c r="D280" s="106" t="s">
        <v>272</v>
      </c>
      <c r="E280">
        <v>3548</v>
      </c>
      <c r="F280" s="106" t="s">
        <v>570</v>
      </c>
      <c r="G280" s="106" t="s">
        <v>273</v>
      </c>
      <c r="H280" s="106" t="s">
        <v>283</v>
      </c>
      <c r="I280" s="106">
        <v>349</v>
      </c>
      <c r="J280" s="106"/>
    </row>
    <row r="281" spans="1:10" x14ac:dyDescent="0.2">
      <c r="A281" s="106" t="s">
        <v>374</v>
      </c>
      <c r="B281" s="106" t="s">
        <v>270</v>
      </c>
      <c r="C281" s="106" t="s">
        <v>271</v>
      </c>
      <c r="D281" s="106" t="s">
        <v>276</v>
      </c>
      <c r="E281">
        <v>3557</v>
      </c>
      <c r="F281" s="106" t="s">
        <v>571</v>
      </c>
      <c r="G281" s="106" t="s">
        <v>285</v>
      </c>
      <c r="H281" s="106" t="s">
        <v>283</v>
      </c>
      <c r="I281" s="106">
        <v>47</v>
      </c>
      <c r="J281" s="106"/>
    </row>
    <row r="282" spans="1:10" x14ac:dyDescent="0.2">
      <c r="A282" s="106" t="s">
        <v>374</v>
      </c>
      <c r="B282" s="106" t="s">
        <v>270</v>
      </c>
      <c r="C282" s="106" t="s">
        <v>271</v>
      </c>
      <c r="D282" s="106" t="s">
        <v>272</v>
      </c>
      <c r="E282">
        <v>3558</v>
      </c>
      <c r="F282" s="106" t="s">
        <v>1929</v>
      </c>
      <c r="G282" s="106" t="s">
        <v>285</v>
      </c>
      <c r="H282" s="106" t="s">
        <v>283</v>
      </c>
      <c r="I282">
        <v>100</v>
      </c>
    </row>
    <row r="283" spans="1:10" x14ac:dyDescent="0.2">
      <c r="A283" s="106" t="s">
        <v>374</v>
      </c>
      <c r="B283" s="106" t="s">
        <v>270</v>
      </c>
      <c r="C283" s="106" t="s">
        <v>271</v>
      </c>
      <c r="D283" s="106" t="s">
        <v>272</v>
      </c>
      <c r="E283">
        <v>3562</v>
      </c>
      <c r="F283" s="106" t="s">
        <v>379</v>
      </c>
      <c r="G283" s="106" t="s">
        <v>277</v>
      </c>
      <c r="H283" s="106" t="s">
        <v>279</v>
      </c>
      <c r="I283" s="106">
        <v>37</v>
      </c>
      <c r="J283" s="106"/>
    </row>
    <row r="284" spans="1:10" x14ac:dyDescent="0.2">
      <c r="A284" s="106" t="s">
        <v>374</v>
      </c>
      <c r="B284" s="106" t="s">
        <v>270</v>
      </c>
      <c r="C284" s="106" t="s">
        <v>275</v>
      </c>
      <c r="D284" s="106" t="s">
        <v>272</v>
      </c>
      <c r="E284">
        <v>3647</v>
      </c>
      <c r="F284" s="106" t="s">
        <v>2397</v>
      </c>
      <c r="G284" s="106" t="s">
        <v>281</v>
      </c>
      <c r="H284" s="106" t="s">
        <v>284</v>
      </c>
      <c r="I284" s="106">
        <v>34</v>
      </c>
      <c r="J284" s="106"/>
    </row>
    <row r="285" spans="1:10" x14ac:dyDescent="0.2">
      <c r="A285" s="106" t="s">
        <v>374</v>
      </c>
      <c r="B285" s="106" t="s">
        <v>270</v>
      </c>
      <c r="C285" s="106" t="s">
        <v>271</v>
      </c>
      <c r="D285" s="106" t="s">
        <v>272</v>
      </c>
      <c r="E285">
        <v>3678</v>
      </c>
      <c r="F285" s="106" t="s">
        <v>380</v>
      </c>
      <c r="G285" s="106" t="s">
        <v>273</v>
      </c>
      <c r="H285" s="106" t="s">
        <v>284</v>
      </c>
      <c r="I285" s="106">
        <v>605</v>
      </c>
      <c r="J285" s="106"/>
    </row>
    <row r="286" spans="1:10" x14ac:dyDescent="0.2">
      <c r="A286" s="106" t="s">
        <v>374</v>
      </c>
      <c r="B286" s="106" t="s">
        <v>270</v>
      </c>
      <c r="C286" s="106" t="s">
        <v>282</v>
      </c>
      <c r="D286" s="106" t="s">
        <v>276</v>
      </c>
      <c r="E286">
        <v>3760</v>
      </c>
      <c r="F286" s="106" t="s">
        <v>1930</v>
      </c>
      <c r="G286" s="106" t="s">
        <v>277</v>
      </c>
      <c r="H286" s="106" t="s">
        <v>284</v>
      </c>
      <c r="I286">
        <v>60</v>
      </c>
    </row>
    <row r="287" spans="1:10" x14ac:dyDescent="0.2">
      <c r="A287" s="106" t="s">
        <v>374</v>
      </c>
      <c r="B287" s="106" t="s">
        <v>270</v>
      </c>
      <c r="C287" s="106" t="s">
        <v>282</v>
      </c>
      <c r="D287" s="106" t="s">
        <v>272</v>
      </c>
      <c r="E287">
        <v>3791</v>
      </c>
      <c r="F287" s="106" t="s">
        <v>1931</v>
      </c>
      <c r="G287" s="106" t="s">
        <v>277</v>
      </c>
      <c r="H287" s="106" t="s">
        <v>284</v>
      </c>
      <c r="I287" s="106">
        <v>80</v>
      </c>
      <c r="J287" s="106"/>
    </row>
    <row r="288" spans="1:10" x14ac:dyDescent="0.2">
      <c r="A288" s="106" t="s">
        <v>374</v>
      </c>
      <c r="B288" s="106" t="s">
        <v>270</v>
      </c>
      <c r="C288" s="106" t="s">
        <v>282</v>
      </c>
      <c r="D288" s="106" t="s">
        <v>272</v>
      </c>
      <c r="E288">
        <v>3810</v>
      </c>
      <c r="F288" s="106" t="s">
        <v>1932</v>
      </c>
      <c r="G288" s="106" t="s">
        <v>281</v>
      </c>
      <c r="H288" s="106" t="s">
        <v>284</v>
      </c>
      <c r="I288" s="106">
        <v>113</v>
      </c>
      <c r="J288" s="106"/>
    </row>
    <row r="289" spans="1:10" x14ac:dyDescent="0.2">
      <c r="A289" s="106" t="s">
        <v>374</v>
      </c>
      <c r="B289" s="106" t="s">
        <v>270</v>
      </c>
      <c r="C289" s="106" t="s">
        <v>275</v>
      </c>
      <c r="D289" s="106" t="s">
        <v>272</v>
      </c>
      <c r="E289">
        <v>3823</v>
      </c>
      <c r="F289" s="106" t="s">
        <v>1933</v>
      </c>
      <c r="G289" s="106" t="s">
        <v>281</v>
      </c>
      <c r="H289" s="106" t="s">
        <v>284</v>
      </c>
      <c r="I289" s="106">
        <v>61</v>
      </c>
      <c r="J289" s="106"/>
    </row>
    <row r="290" spans="1:10" x14ac:dyDescent="0.2">
      <c r="A290" s="106" t="s">
        <v>374</v>
      </c>
      <c r="B290" s="106" t="s">
        <v>270</v>
      </c>
      <c r="C290" s="106" t="s">
        <v>271</v>
      </c>
      <c r="D290" s="106" t="s">
        <v>272</v>
      </c>
      <c r="E290">
        <v>3935</v>
      </c>
      <c r="F290" s="106" t="s">
        <v>1934</v>
      </c>
      <c r="G290" s="106" t="s">
        <v>285</v>
      </c>
      <c r="H290" s="106" t="s">
        <v>284</v>
      </c>
      <c r="I290" s="106">
        <v>48</v>
      </c>
      <c r="J290" s="106"/>
    </row>
    <row r="291" spans="1:10" x14ac:dyDescent="0.2">
      <c r="A291" s="106" t="s">
        <v>374</v>
      </c>
      <c r="B291" s="106" t="s">
        <v>270</v>
      </c>
      <c r="C291" s="106" t="s">
        <v>282</v>
      </c>
      <c r="D291" s="106" t="s">
        <v>272</v>
      </c>
      <c r="E291">
        <v>3990</v>
      </c>
      <c r="F291" s="106" t="s">
        <v>1935</v>
      </c>
      <c r="G291" s="106" t="s">
        <v>285</v>
      </c>
      <c r="H291" s="106" t="s">
        <v>284</v>
      </c>
      <c r="I291" s="106">
        <v>940</v>
      </c>
      <c r="J291" s="106"/>
    </row>
    <row r="292" spans="1:10" x14ac:dyDescent="0.2">
      <c r="A292" s="106" t="s">
        <v>374</v>
      </c>
      <c r="B292" s="106" t="s">
        <v>270</v>
      </c>
      <c r="C292" s="106" t="s">
        <v>275</v>
      </c>
      <c r="D292" s="106" t="s">
        <v>272</v>
      </c>
      <c r="E292">
        <v>3991</v>
      </c>
      <c r="F292" s="106" t="s">
        <v>1936</v>
      </c>
      <c r="G292" s="106" t="s">
        <v>285</v>
      </c>
      <c r="H292" s="106" t="s">
        <v>284</v>
      </c>
      <c r="I292" s="106">
        <v>185</v>
      </c>
      <c r="J292" s="106"/>
    </row>
    <row r="293" spans="1:10" x14ac:dyDescent="0.2">
      <c r="A293" s="106" t="s">
        <v>374</v>
      </c>
      <c r="B293" s="106" t="s">
        <v>270</v>
      </c>
      <c r="C293" s="106" t="s">
        <v>280</v>
      </c>
      <c r="D293" s="106" t="s">
        <v>272</v>
      </c>
      <c r="E293">
        <v>3994</v>
      </c>
      <c r="F293" s="106" t="s">
        <v>1937</v>
      </c>
      <c r="G293" s="106" t="s">
        <v>285</v>
      </c>
      <c r="H293" s="106" t="s">
        <v>284</v>
      </c>
      <c r="I293" s="106" t="s">
        <v>304</v>
      </c>
      <c r="J293" s="106" t="s">
        <v>2398</v>
      </c>
    </row>
    <row r="294" spans="1:10" x14ac:dyDescent="0.2">
      <c r="A294" s="106" t="s">
        <v>374</v>
      </c>
      <c r="B294" s="106" t="s">
        <v>270</v>
      </c>
      <c r="C294" s="106" t="s">
        <v>271</v>
      </c>
      <c r="D294" s="106" t="s">
        <v>276</v>
      </c>
      <c r="E294">
        <v>3996</v>
      </c>
      <c r="F294" s="106" t="s">
        <v>572</v>
      </c>
      <c r="G294" s="106" t="s">
        <v>273</v>
      </c>
      <c r="H294" s="106" t="s">
        <v>284</v>
      </c>
      <c r="I294" s="106">
        <v>223</v>
      </c>
      <c r="J294" s="106"/>
    </row>
    <row r="295" spans="1:10" x14ac:dyDescent="0.2">
      <c r="A295" s="106" t="s">
        <v>374</v>
      </c>
      <c r="B295" s="106" t="s">
        <v>270</v>
      </c>
      <c r="C295" s="106" t="s">
        <v>275</v>
      </c>
      <c r="D295" s="106" t="s">
        <v>272</v>
      </c>
      <c r="E295">
        <v>4397</v>
      </c>
      <c r="F295" s="106" t="s">
        <v>1938</v>
      </c>
      <c r="G295" s="106" t="s">
        <v>285</v>
      </c>
      <c r="H295" s="106" t="s">
        <v>284</v>
      </c>
      <c r="I295" s="106">
        <v>406</v>
      </c>
      <c r="J295" s="106"/>
    </row>
    <row r="296" spans="1:10" x14ac:dyDescent="0.2">
      <c r="A296" s="106" t="s">
        <v>374</v>
      </c>
      <c r="B296" s="106" t="s">
        <v>270</v>
      </c>
      <c r="C296" s="106" t="s">
        <v>271</v>
      </c>
      <c r="D296" s="106" t="s">
        <v>272</v>
      </c>
      <c r="E296">
        <v>4429</v>
      </c>
      <c r="F296" s="106" t="s">
        <v>553</v>
      </c>
      <c r="G296" s="106" t="s">
        <v>285</v>
      </c>
      <c r="H296" s="106" t="s">
        <v>284</v>
      </c>
      <c r="I296" s="106">
        <v>238</v>
      </c>
      <c r="J296" s="106"/>
    </row>
    <row r="297" spans="1:10" x14ac:dyDescent="0.2">
      <c r="A297" s="106" t="s">
        <v>374</v>
      </c>
      <c r="B297" s="106" t="s">
        <v>270</v>
      </c>
      <c r="C297" s="106" t="s">
        <v>271</v>
      </c>
      <c r="D297" s="106" t="s">
        <v>276</v>
      </c>
      <c r="E297">
        <v>4434</v>
      </c>
      <c r="F297" s="106" t="s">
        <v>574</v>
      </c>
      <c r="G297" s="106" t="s">
        <v>285</v>
      </c>
      <c r="H297" s="106" t="s">
        <v>284</v>
      </c>
      <c r="I297" s="106">
        <v>277</v>
      </c>
      <c r="J297" s="106"/>
    </row>
    <row r="298" spans="1:10" x14ac:dyDescent="0.2">
      <c r="A298" s="106" t="s">
        <v>374</v>
      </c>
      <c r="B298" s="106" t="s">
        <v>270</v>
      </c>
      <c r="C298" s="106" t="s">
        <v>282</v>
      </c>
      <c r="D298" s="106" t="s">
        <v>272</v>
      </c>
      <c r="E298">
        <v>4443</v>
      </c>
      <c r="F298" s="106" t="s">
        <v>555</v>
      </c>
      <c r="G298" s="106" t="s">
        <v>285</v>
      </c>
      <c r="H298" s="106" t="s">
        <v>284</v>
      </c>
      <c r="I298" s="106" t="s">
        <v>304</v>
      </c>
      <c r="J298" s="106" t="s">
        <v>2399</v>
      </c>
    </row>
    <row r="299" spans="1:10" x14ac:dyDescent="0.2">
      <c r="A299" s="106" t="s">
        <v>374</v>
      </c>
      <c r="B299" s="106" t="s">
        <v>270</v>
      </c>
      <c r="C299" s="106" t="s">
        <v>282</v>
      </c>
      <c r="D299" s="106" t="s">
        <v>272</v>
      </c>
      <c r="E299">
        <v>4577</v>
      </c>
      <c r="F299" s="106" t="s">
        <v>1939</v>
      </c>
      <c r="G299" s="106" t="s">
        <v>273</v>
      </c>
      <c r="H299" s="106" t="s">
        <v>318</v>
      </c>
      <c r="I299" s="106">
        <v>401</v>
      </c>
      <c r="J299" s="106"/>
    </row>
    <row r="300" spans="1:10" x14ac:dyDescent="0.2">
      <c r="A300" s="106" t="s">
        <v>374</v>
      </c>
      <c r="B300" s="106" t="s">
        <v>270</v>
      </c>
      <c r="C300" s="106" t="s">
        <v>280</v>
      </c>
      <c r="D300" s="106" t="s">
        <v>272</v>
      </c>
      <c r="E300">
        <v>4616</v>
      </c>
      <c r="F300" s="106" t="s">
        <v>1940</v>
      </c>
      <c r="G300" s="106" t="s">
        <v>281</v>
      </c>
      <c r="H300" s="106" t="s">
        <v>286</v>
      </c>
      <c r="I300">
        <v>14</v>
      </c>
    </row>
    <row r="301" spans="1:10" x14ac:dyDescent="0.2">
      <c r="A301" s="106" t="s">
        <v>374</v>
      </c>
      <c r="B301" s="106" t="s">
        <v>270</v>
      </c>
      <c r="C301" s="106" t="s">
        <v>271</v>
      </c>
      <c r="D301" s="106" t="s">
        <v>272</v>
      </c>
      <c r="E301">
        <v>4645</v>
      </c>
      <c r="F301" s="106" t="s">
        <v>1941</v>
      </c>
      <c r="G301" s="106" t="s">
        <v>277</v>
      </c>
      <c r="H301" s="106" t="s">
        <v>278</v>
      </c>
      <c r="I301" s="106">
        <v>51</v>
      </c>
      <c r="J301" s="106"/>
    </row>
    <row r="302" spans="1:10" x14ac:dyDescent="0.2">
      <c r="A302" s="106" t="s">
        <v>374</v>
      </c>
      <c r="B302" s="106" t="s">
        <v>270</v>
      </c>
      <c r="C302" s="106" t="s">
        <v>275</v>
      </c>
      <c r="D302" s="106" t="s">
        <v>272</v>
      </c>
      <c r="E302">
        <v>4668</v>
      </c>
      <c r="F302" s="106" t="s">
        <v>381</v>
      </c>
      <c r="G302" s="106" t="s">
        <v>273</v>
      </c>
      <c r="H302" s="106" t="s">
        <v>278</v>
      </c>
      <c r="I302" s="106">
        <v>286</v>
      </c>
      <c r="J302" s="106"/>
    </row>
    <row r="303" spans="1:10" x14ac:dyDescent="0.2">
      <c r="A303" s="106" t="s">
        <v>374</v>
      </c>
      <c r="B303" s="106" t="s">
        <v>270</v>
      </c>
      <c r="C303" s="106" t="s">
        <v>275</v>
      </c>
      <c r="D303" s="106" t="s">
        <v>272</v>
      </c>
      <c r="E303">
        <v>4728</v>
      </c>
      <c r="F303" s="106" t="s">
        <v>1942</v>
      </c>
      <c r="G303" s="106" t="s">
        <v>273</v>
      </c>
      <c r="H303" s="106" t="s">
        <v>284</v>
      </c>
      <c r="I303" s="106">
        <v>69</v>
      </c>
      <c r="J303" s="106"/>
    </row>
    <row r="304" spans="1:10" x14ac:dyDescent="0.2">
      <c r="A304" s="106" t="s">
        <v>374</v>
      </c>
      <c r="B304" s="106" t="s">
        <v>270</v>
      </c>
      <c r="C304" s="106" t="s">
        <v>280</v>
      </c>
      <c r="D304" s="106" t="s">
        <v>272</v>
      </c>
      <c r="E304">
        <v>4992</v>
      </c>
      <c r="F304" s="106" t="s">
        <v>1943</v>
      </c>
      <c r="G304" s="106" t="s">
        <v>273</v>
      </c>
      <c r="H304" s="106" t="s">
        <v>286</v>
      </c>
      <c r="I304" s="106">
        <v>174</v>
      </c>
      <c r="J304" s="106"/>
    </row>
    <row r="305" spans="1:10" x14ac:dyDescent="0.2">
      <c r="A305" s="106" t="s">
        <v>374</v>
      </c>
      <c r="B305" s="106" t="s">
        <v>270</v>
      </c>
      <c r="C305" s="106" t="s">
        <v>271</v>
      </c>
      <c r="D305" s="106" t="s">
        <v>272</v>
      </c>
      <c r="E305">
        <v>5018</v>
      </c>
      <c r="F305" s="106" t="s">
        <v>1944</v>
      </c>
      <c r="G305" s="106" t="s">
        <v>273</v>
      </c>
      <c r="H305" s="106" t="s">
        <v>1945</v>
      </c>
      <c r="I305">
        <v>135</v>
      </c>
    </row>
    <row r="306" spans="1:10" x14ac:dyDescent="0.2">
      <c r="A306" s="106" t="s">
        <v>374</v>
      </c>
      <c r="B306" s="106" t="s">
        <v>270</v>
      </c>
      <c r="C306" s="106" t="s">
        <v>271</v>
      </c>
      <c r="D306" s="106" t="s">
        <v>272</v>
      </c>
      <c r="E306">
        <v>5817</v>
      </c>
      <c r="F306" s="106" t="s">
        <v>1946</v>
      </c>
      <c r="G306" s="106" t="s">
        <v>281</v>
      </c>
      <c r="H306" s="106" t="s">
        <v>422</v>
      </c>
      <c r="I306" s="106">
        <v>18</v>
      </c>
      <c r="J306" s="106"/>
    </row>
    <row r="307" spans="1:10" x14ac:dyDescent="0.2">
      <c r="A307" s="106" t="s">
        <v>374</v>
      </c>
      <c r="B307" s="106" t="s">
        <v>270</v>
      </c>
      <c r="C307" s="106" t="s">
        <v>282</v>
      </c>
      <c r="D307" s="106" t="s">
        <v>272</v>
      </c>
      <c r="E307">
        <v>5967</v>
      </c>
      <c r="F307" s="106" t="s">
        <v>576</v>
      </c>
      <c r="G307" s="106" t="s">
        <v>281</v>
      </c>
      <c r="H307" s="106" t="s">
        <v>288</v>
      </c>
      <c r="I307" s="106">
        <v>61</v>
      </c>
      <c r="J307" s="106"/>
    </row>
    <row r="308" spans="1:10" x14ac:dyDescent="0.2">
      <c r="A308" s="106" t="s">
        <v>374</v>
      </c>
      <c r="B308" s="106" t="s">
        <v>270</v>
      </c>
      <c r="C308" s="106" t="s">
        <v>282</v>
      </c>
      <c r="D308" s="106" t="s">
        <v>272</v>
      </c>
      <c r="E308">
        <v>6044</v>
      </c>
      <c r="F308" s="106" t="s">
        <v>1947</v>
      </c>
      <c r="G308" s="106" t="s">
        <v>273</v>
      </c>
      <c r="H308" s="106" t="s">
        <v>278</v>
      </c>
      <c r="I308">
        <v>65</v>
      </c>
    </row>
    <row r="309" spans="1:10" x14ac:dyDescent="0.2">
      <c r="A309" s="106" t="s">
        <v>374</v>
      </c>
      <c r="B309" s="106" t="s">
        <v>270</v>
      </c>
      <c r="C309" s="106" t="s">
        <v>282</v>
      </c>
      <c r="D309" s="106" t="s">
        <v>272</v>
      </c>
      <c r="E309">
        <v>6047</v>
      </c>
      <c r="F309" s="106" t="s">
        <v>1948</v>
      </c>
      <c r="G309" s="106" t="s">
        <v>273</v>
      </c>
      <c r="H309" s="106" t="s">
        <v>278</v>
      </c>
      <c r="I309" s="106">
        <v>369</v>
      </c>
      <c r="J309" s="106"/>
    </row>
    <row r="310" spans="1:10" x14ac:dyDescent="0.2">
      <c r="A310" s="106" t="s">
        <v>374</v>
      </c>
      <c r="B310" s="106" t="s">
        <v>270</v>
      </c>
      <c r="C310" s="106" t="s">
        <v>275</v>
      </c>
      <c r="D310" s="106" t="s">
        <v>272</v>
      </c>
      <c r="E310">
        <v>6048</v>
      </c>
      <c r="F310" s="106" t="s">
        <v>1949</v>
      </c>
      <c r="G310" s="106" t="s">
        <v>273</v>
      </c>
      <c r="H310" s="106" t="s">
        <v>278</v>
      </c>
      <c r="I310" s="106">
        <v>51</v>
      </c>
      <c r="J310" s="106"/>
    </row>
    <row r="311" spans="1:10" x14ac:dyDescent="0.2">
      <c r="A311" s="106" t="s">
        <v>374</v>
      </c>
      <c r="B311" s="106" t="s">
        <v>270</v>
      </c>
      <c r="C311" s="106" t="s">
        <v>271</v>
      </c>
      <c r="D311" s="106" t="s">
        <v>272</v>
      </c>
      <c r="E311">
        <v>6070</v>
      </c>
      <c r="F311" s="106" t="s">
        <v>1950</v>
      </c>
      <c r="G311" s="106" t="s">
        <v>273</v>
      </c>
      <c r="H311" s="106" t="s">
        <v>278</v>
      </c>
      <c r="I311">
        <v>76</v>
      </c>
    </row>
    <row r="312" spans="1:10" x14ac:dyDescent="0.2">
      <c r="A312" s="106" t="s">
        <v>374</v>
      </c>
      <c r="B312" s="106" t="s">
        <v>270</v>
      </c>
      <c r="C312" s="106" t="s">
        <v>271</v>
      </c>
      <c r="D312" s="106" t="s">
        <v>272</v>
      </c>
      <c r="E312">
        <v>6086</v>
      </c>
      <c r="F312" s="106" t="s">
        <v>1951</v>
      </c>
      <c r="G312" s="106" t="s">
        <v>285</v>
      </c>
      <c r="H312" s="106" t="s">
        <v>278</v>
      </c>
      <c r="I312">
        <v>124</v>
      </c>
    </row>
    <row r="313" spans="1:10" x14ac:dyDescent="0.2">
      <c r="A313" s="106" t="s">
        <v>374</v>
      </c>
      <c r="B313" s="106" t="s">
        <v>270</v>
      </c>
      <c r="C313" s="106" t="s">
        <v>271</v>
      </c>
      <c r="D313" s="106" t="s">
        <v>272</v>
      </c>
      <c r="E313">
        <v>6173</v>
      </c>
      <c r="F313" s="106" t="s">
        <v>577</v>
      </c>
      <c r="G313" s="106" t="s">
        <v>285</v>
      </c>
      <c r="H313" s="106" t="s">
        <v>278</v>
      </c>
      <c r="I313">
        <v>23</v>
      </c>
    </row>
    <row r="314" spans="1:10" x14ac:dyDescent="0.2">
      <c r="A314" s="106" t="s">
        <v>374</v>
      </c>
      <c r="B314" s="106" t="s">
        <v>270</v>
      </c>
      <c r="C314" s="106" t="s">
        <v>271</v>
      </c>
      <c r="D314" s="106" t="s">
        <v>272</v>
      </c>
      <c r="E314">
        <v>6182</v>
      </c>
      <c r="F314" s="106" t="s">
        <v>1952</v>
      </c>
      <c r="G314" s="106" t="s">
        <v>285</v>
      </c>
      <c r="H314" s="106" t="s">
        <v>278</v>
      </c>
      <c r="I314" s="106">
        <v>402</v>
      </c>
      <c r="J314" s="106"/>
    </row>
    <row r="315" spans="1:10" x14ac:dyDescent="0.2">
      <c r="A315" s="106" t="s">
        <v>374</v>
      </c>
      <c r="B315" s="106" t="s">
        <v>270</v>
      </c>
      <c r="C315" s="106" t="s">
        <v>275</v>
      </c>
      <c r="D315" s="106" t="s">
        <v>272</v>
      </c>
      <c r="E315">
        <v>6199</v>
      </c>
      <c r="F315" s="106" t="s">
        <v>1953</v>
      </c>
      <c r="G315" s="106" t="s">
        <v>273</v>
      </c>
      <c r="H315" s="106" t="s">
        <v>278</v>
      </c>
      <c r="I315" s="106">
        <v>115</v>
      </c>
      <c r="J315" s="106"/>
    </row>
    <row r="316" spans="1:10" x14ac:dyDescent="0.2">
      <c r="A316" s="106" t="s">
        <v>374</v>
      </c>
      <c r="B316" s="106" t="s">
        <v>270</v>
      </c>
      <c r="C316" s="106" t="s">
        <v>282</v>
      </c>
      <c r="D316" s="106" t="s">
        <v>272</v>
      </c>
      <c r="E316">
        <v>6505</v>
      </c>
      <c r="F316" s="106" t="s">
        <v>1954</v>
      </c>
      <c r="G316" s="106" t="s">
        <v>273</v>
      </c>
      <c r="H316" s="106" t="s">
        <v>298</v>
      </c>
      <c r="I316" s="106">
        <v>149</v>
      </c>
      <c r="J316" s="106"/>
    </row>
    <row r="317" spans="1:10" x14ac:dyDescent="0.2">
      <c r="A317" s="106" t="s">
        <v>374</v>
      </c>
      <c r="B317" s="106" t="s">
        <v>270</v>
      </c>
      <c r="C317" s="106" t="s">
        <v>271</v>
      </c>
      <c r="D317" s="106" t="s">
        <v>276</v>
      </c>
      <c r="E317">
        <v>6532</v>
      </c>
      <c r="F317" s="106" t="s">
        <v>372</v>
      </c>
      <c r="G317" s="106" t="s">
        <v>273</v>
      </c>
      <c r="H317" s="106" t="s">
        <v>278</v>
      </c>
      <c r="I317" s="106">
        <v>858</v>
      </c>
      <c r="J317" s="106"/>
    </row>
    <row r="318" spans="1:10" x14ac:dyDescent="0.2">
      <c r="A318" s="106" t="s">
        <v>374</v>
      </c>
      <c r="B318" s="106" t="s">
        <v>270</v>
      </c>
      <c r="C318" s="106" t="s">
        <v>271</v>
      </c>
      <c r="D318" s="106" t="s">
        <v>272</v>
      </c>
      <c r="E318">
        <v>6543</v>
      </c>
      <c r="F318" s="106" t="s">
        <v>579</v>
      </c>
      <c r="G318" s="106" t="s">
        <v>277</v>
      </c>
      <c r="H318" s="106" t="s">
        <v>278</v>
      </c>
      <c r="I318">
        <v>26</v>
      </c>
    </row>
    <row r="319" spans="1:10" x14ac:dyDescent="0.2">
      <c r="A319" s="106" t="s">
        <v>374</v>
      </c>
      <c r="B319" s="106" t="s">
        <v>270</v>
      </c>
      <c r="C319" s="106" t="s">
        <v>280</v>
      </c>
      <c r="D319" s="106" t="s">
        <v>276</v>
      </c>
      <c r="E319">
        <v>6558</v>
      </c>
      <c r="F319" s="106" t="s">
        <v>1955</v>
      </c>
      <c r="G319" s="106" t="s">
        <v>285</v>
      </c>
      <c r="H319" s="106" t="s">
        <v>278</v>
      </c>
      <c r="I319" s="106">
        <v>65</v>
      </c>
      <c r="J319" s="106"/>
    </row>
    <row r="320" spans="1:10" x14ac:dyDescent="0.2">
      <c r="A320" s="106" t="s">
        <v>374</v>
      </c>
      <c r="B320" s="106" t="s">
        <v>270</v>
      </c>
      <c r="C320" s="106" t="s">
        <v>271</v>
      </c>
      <c r="D320" s="106" t="s">
        <v>272</v>
      </c>
      <c r="E320">
        <v>6572</v>
      </c>
      <c r="F320" s="106" t="s">
        <v>1956</v>
      </c>
      <c r="G320" s="106" t="s">
        <v>273</v>
      </c>
      <c r="H320" s="106" t="s">
        <v>278</v>
      </c>
      <c r="I320" s="106">
        <v>664</v>
      </c>
      <c r="J320" s="106"/>
    </row>
    <row r="321" spans="1:10" x14ac:dyDescent="0.2">
      <c r="A321" s="106" t="s">
        <v>374</v>
      </c>
      <c r="B321" s="106" t="s">
        <v>270</v>
      </c>
      <c r="C321" s="106" t="s">
        <v>271</v>
      </c>
      <c r="D321" s="106" t="s">
        <v>272</v>
      </c>
      <c r="E321">
        <v>6578</v>
      </c>
      <c r="F321" s="106" t="s">
        <v>389</v>
      </c>
      <c r="G321" s="106" t="s">
        <v>281</v>
      </c>
      <c r="H321" s="106" t="s">
        <v>278</v>
      </c>
      <c r="I321" s="106">
        <v>27</v>
      </c>
      <c r="J321" s="106"/>
    </row>
    <row r="322" spans="1:10" x14ac:dyDescent="0.2">
      <c r="A322" s="106" t="s">
        <v>374</v>
      </c>
      <c r="B322" s="106" t="s">
        <v>270</v>
      </c>
      <c r="C322" s="106" t="s">
        <v>271</v>
      </c>
      <c r="D322" s="106" t="s">
        <v>272</v>
      </c>
      <c r="E322">
        <v>6814</v>
      </c>
      <c r="F322" s="106" t="s">
        <v>382</v>
      </c>
      <c r="G322" s="106" t="s">
        <v>273</v>
      </c>
      <c r="H322" s="106" t="s">
        <v>298</v>
      </c>
      <c r="I322" s="106">
        <v>433</v>
      </c>
      <c r="J322" s="106"/>
    </row>
    <row r="323" spans="1:10" x14ac:dyDescent="0.2">
      <c r="A323" s="106" t="s">
        <v>374</v>
      </c>
      <c r="B323" s="106" t="s">
        <v>270</v>
      </c>
      <c r="C323" s="106" t="s">
        <v>275</v>
      </c>
      <c r="D323" s="106" t="s">
        <v>276</v>
      </c>
      <c r="E323">
        <v>7035</v>
      </c>
      <c r="F323" s="106" t="s">
        <v>1957</v>
      </c>
      <c r="G323" s="106" t="s">
        <v>285</v>
      </c>
      <c r="H323" s="106" t="s">
        <v>278</v>
      </c>
      <c r="I323" s="106">
        <v>225</v>
      </c>
      <c r="J323" s="106"/>
    </row>
    <row r="324" spans="1:10" x14ac:dyDescent="0.2">
      <c r="A324" s="106" t="s">
        <v>374</v>
      </c>
      <c r="B324" s="106" t="s">
        <v>270</v>
      </c>
      <c r="C324" s="106" t="s">
        <v>271</v>
      </c>
      <c r="D324" s="106" t="s">
        <v>272</v>
      </c>
      <c r="E324">
        <v>7049</v>
      </c>
      <c r="F324" s="106" t="s">
        <v>580</v>
      </c>
      <c r="G324" s="106" t="s">
        <v>285</v>
      </c>
      <c r="H324" s="106" t="s">
        <v>278</v>
      </c>
      <c r="I324" s="106">
        <v>119</v>
      </c>
      <c r="J324" s="106"/>
    </row>
    <row r="325" spans="1:10" x14ac:dyDescent="0.2">
      <c r="A325" s="106" t="s">
        <v>374</v>
      </c>
      <c r="B325" s="106" t="s">
        <v>270</v>
      </c>
      <c r="C325" s="106" t="s">
        <v>275</v>
      </c>
      <c r="D325" s="106" t="s">
        <v>272</v>
      </c>
      <c r="E325">
        <v>7065</v>
      </c>
      <c r="F325" s="106" t="s">
        <v>582</v>
      </c>
      <c r="G325" s="106" t="s">
        <v>281</v>
      </c>
      <c r="H325" s="106" t="s">
        <v>278</v>
      </c>
      <c r="I325" s="106">
        <v>187</v>
      </c>
      <c r="J325" s="106"/>
    </row>
    <row r="326" spans="1:10" x14ac:dyDescent="0.2">
      <c r="A326" s="106" t="s">
        <v>374</v>
      </c>
      <c r="B326" s="106" t="s">
        <v>270</v>
      </c>
      <c r="C326" s="106" t="s">
        <v>275</v>
      </c>
      <c r="D326" s="106" t="s">
        <v>272</v>
      </c>
      <c r="E326">
        <v>7445</v>
      </c>
      <c r="F326" s="106" t="s">
        <v>1958</v>
      </c>
      <c r="G326" s="106" t="s">
        <v>273</v>
      </c>
      <c r="H326" s="106" t="s">
        <v>283</v>
      </c>
      <c r="I326">
        <v>179</v>
      </c>
    </row>
    <row r="327" spans="1:10" x14ac:dyDescent="0.2">
      <c r="A327" s="106" t="s">
        <v>374</v>
      </c>
      <c r="B327" s="106" t="s">
        <v>270</v>
      </c>
      <c r="C327" s="106" t="s">
        <v>282</v>
      </c>
      <c r="D327" s="106" t="s">
        <v>272</v>
      </c>
      <c r="E327">
        <v>7487</v>
      </c>
      <c r="F327" s="106" t="s">
        <v>1870</v>
      </c>
      <c r="G327" s="106" t="s">
        <v>273</v>
      </c>
      <c r="H327" s="106" t="s">
        <v>279</v>
      </c>
      <c r="I327" s="106">
        <v>148</v>
      </c>
      <c r="J327" s="106"/>
    </row>
    <row r="328" spans="1:10" x14ac:dyDescent="0.2">
      <c r="A328" s="106" t="s">
        <v>374</v>
      </c>
      <c r="B328" s="106" t="s">
        <v>270</v>
      </c>
      <c r="C328" s="106" t="s">
        <v>271</v>
      </c>
      <c r="D328" s="106" t="s">
        <v>272</v>
      </c>
      <c r="E328">
        <v>7515</v>
      </c>
      <c r="F328" s="106" t="s">
        <v>1959</v>
      </c>
      <c r="G328" s="106" t="s">
        <v>281</v>
      </c>
      <c r="H328" s="106" t="s">
        <v>283</v>
      </c>
      <c r="I328">
        <v>25</v>
      </c>
    </row>
    <row r="329" spans="1:10" x14ac:dyDescent="0.2">
      <c r="A329" s="106" t="s">
        <v>374</v>
      </c>
      <c r="B329" s="106" t="s">
        <v>270</v>
      </c>
      <c r="C329" s="106" t="s">
        <v>271</v>
      </c>
      <c r="D329" s="106" t="s">
        <v>272</v>
      </c>
      <c r="E329">
        <v>7599</v>
      </c>
      <c r="F329" s="106" t="s">
        <v>1960</v>
      </c>
      <c r="G329" s="106" t="s">
        <v>273</v>
      </c>
      <c r="H329" s="106" t="s">
        <v>279</v>
      </c>
      <c r="I329">
        <v>680</v>
      </c>
    </row>
    <row r="330" spans="1:10" x14ac:dyDescent="0.2">
      <c r="A330" s="106" t="s">
        <v>374</v>
      </c>
      <c r="B330" s="106" t="s">
        <v>270</v>
      </c>
      <c r="C330" s="106" t="s">
        <v>271</v>
      </c>
      <c r="D330" s="106" t="s">
        <v>272</v>
      </c>
      <c r="E330">
        <v>7608</v>
      </c>
      <c r="F330" s="106" t="s">
        <v>1961</v>
      </c>
      <c r="G330" s="106" t="s">
        <v>273</v>
      </c>
      <c r="H330" s="106" t="s">
        <v>279</v>
      </c>
      <c r="I330" s="106">
        <v>38</v>
      </c>
      <c r="J330" s="106"/>
    </row>
    <row r="331" spans="1:10" x14ac:dyDescent="0.2">
      <c r="A331" s="106" t="s">
        <v>374</v>
      </c>
      <c r="B331" s="106" t="s">
        <v>270</v>
      </c>
      <c r="C331" s="106" t="s">
        <v>271</v>
      </c>
      <c r="D331" s="106" t="s">
        <v>276</v>
      </c>
      <c r="E331">
        <v>7610</v>
      </c>
      <c r="F331" s="106" t="s">
        <v>390</v>
      </c>
      <c r="G331" s="106" t="s">
        <v>277</v>
      </c>
      <c r="H331" s="106" t="s">
        <v>283</v>
      </c>
      <c r="I331" s="106">
        <v>24</v>
      </c>
      <c r="J331" s="106"/>
    </row>
    <row r="332" spans="1:10" x14ac:dyDescent="0.2">
      <c r="A332" s="106" t="s">
        <v>374</v>
      </c>
      <c r="B332" s="106" t="s">
        <v>270</v>
      </c>
      <c r="C332" s="106" t="s">
        <v>271</v>
      </c>
      <c r="D332" s="106" t="s">
        <v>272</v>
      </c>
      <c r="E332">
        <v>7719</v>
      </c>
      <c r="F332" s="106" t="s">
        <v>383</v>
      </c>
      <c r="G332" s="106" t="s">
        <v>281</v>
      </c>
      <c r="H332" s="106" t="s">
        <v>384</v>
      </c>
      <c r="I332" s="106">
        <v>18</v>
      </c>
      <c r="J332" s="106"/>
    </row>
    <row r="333" spans="1:10" x14ac:dyDescent="0.2">
      <c r="A333" s="106" t="s">
        <v>374</v>
      </c>
      <c r="B333" s="106" t="s">
        <v>270</v>
      </c>
      <c r="C333" s="106" t="s">
        <v>282</v>
      </c>
      <c r="D333" s="106" t="s">
        <v>272</v>
      </c>
      <c r="E333">
        <v>7808</v>
      </c>
      <c r="F333" s="106" t="s">
        <v>1962</v>
      </c>
      <c r="G333" s="106" t="s">
        <v>277</v>
      </c>
      <c r="H333" s="106" t="s">
        <v>295</v>
      </c>
      <c r="I333">
        <v>22</v>
      </c>
    </row>
    <row r="334" spans="1:10" x14ac:dyDescent="0.2">
      <c r="A334" s="106" t="s">
        <v>374</v>
      </c>
      <c r="B334" s="106" t="s">
        <v>270</v>
      </c>
      <c r="C334" s="106" t="s">
        <v>271</v>
      </c>
      <c r="D334" s="106" t="s">
        <v>272</v>
      </c>
      <c r="E334">
        <v>7811</v>
      </c>
      <c r="F334" s="106" t="s">
        <v>584</v>
      </c>
      <c r="G334" s="106" t="s">
        <v>273</v>
      </c>
      <c r="H334" s="106" t="s">
        <v>295</v>
      </c>
      <c r="I334" s="106">
        <v>130</v>
      </c>
      <c r="J334" s="106"/>
    </row>
    <row r="335" spans="1:10" x14ac:dyDescent="0.2">
      <c r="A335" s="106" t="s">
        <v>374</v>
      </c>
      <c r="B335" s="106" t="s">
        <v>270</v>
      </c>
      <c r="C335" s="106" t="s">
        <v>271</v>
      </c>
      <c r="D335" s="106" t="s">
        <v>276</v>
      </c>
      <c r="E335">
        <v>8181</v>
      </c>
      <c r="F335" s="106" t="s">
        <v>1963</v>
      </c>
      <c r="G335" s="106" t="s">
        <v>273</v>
      </c>
      <c r="H335" s="106" t="s">
        <v>283</v>
      </c>
      <c r="I335" s="106">
        <v>32</v>
      </c>
      <c r="J335" s="106"/>
    </row>
    <row r="336" spans="1:10" x14ac:dyDescent="0.2">
      <c r="A336" s="106" t="s">
        <v>374</v>
      </c>
      <c r="B336" s="106" t="s">
        <v>270</v>
      </c>
      <c r="C336" s="106" t="s">
        <v>271</v>
      </c>
      <c r="D336" s="106" t="s">
        <v>272</v>
      </c>
      <c r="E336">
        <v>8254</v>
      </c>
      <c r="F336" s="106" t="s">
        <v>1964</v>
      </c>
      <c r="G336" s="106" t="s">
        <v>281</v>
      </c>
      <c r="H336" s="106" t="s">
        <v>283</v>
      </c>
      <c r="I336" s="106">
        <v>10</v>
      </c>
      <c r="J336" s="106"/>
    </row>
    <row r="337" spans="1:10" x14ac:dyDescent="0.2">
      <c r="A337" s="106" t="s">
        <v>374</v>
      </c>
      <c r="B337" s="106" t="s">
        <v>270</v>
      </c>
      <c r="C337" s="106" t="s">
        <v>271</v>
      </c>
      <c r="D337" s="106" t="s">
        <v>272</v>
      </c>
      <c r="E337">
        <v>8257</v>
      </c>
      <c r="F337" s="106" t="s">
        <v>1965</v>
      </c>
      <c r="G337" s="106" t="s">
        <v>277</v>
      </c>
      <c r="H337" s="106" t="s">
        <v>283</v>
      </c>
      <c r="I337" s="106">
        <v>18</v>
      </c>
      <c r="J337" s="106"/>
    </row>
    <row r="338" spans="1:10" x14ac:dyDescent="0.2">
      <c r="A338" s="106" t="s">
        <v>374</v>
      </c>
      <c r="B338" s="106" t="s">
        <v>270</v>
      </c>
      <c r="C338" s="106" t="s">
        <v>282</v>
      </c>
      <c r="D338" s="106" t="s">
        <v>272</v>
      </c>
      <c r="E338">
        <v>8940</v>
      </c>
      <c r="F338" s="106" t="s">
        <v>1966</v>
      </c>
      <c r="G338" s="106" t="s">
        <v>273</v>
      </c>
      <c r="H338" s="106" t="s">
        <v>299</v>
      </c>
      <c r="I338">
        <v>64</v>
      </c>
    </row>
    <row r="339" spans="1:10" x14ac:dyDescent="0.2">
      <c r="A339" s="106" t="s">
        <v>374</v>
      </c>
      <c r="B339" s="106" t="s">
        <v>270</v>
      </c>
      <c r="C339" s="106" t="s">
        <v>275</v>
      </c>
      <c r="D339" s="106" t="s">
        <v>272</v>
      </c>
      <c r="E339">
        <v>9264</v>
      </c>
      <c r="F339" s="106" t="s">
        <v>1967</v>
      </c>
      <c r="G339" s="106" t="s">
        <v>277</v>
      </c>
      <c r="H339" s="106" t="s">
        <v>279</v>
      </c>
      <c r="I339" s="106">
        <v>51</v>
      </c>
      <c r="J339" s="106"/>
    </row>
    <row r="340" spans="1:10" x14ac:dyDescent="0.2">
      <c r="A340" s="106" t="s">
        <v>374</v>
      </c>
      <c r="B340" s="106" t="s">
        <v>270</v>
      </c>
      <c r="C340" s="106" t="s">
        <v>275</v>
      </c>
      <c r="D340" s="106" t="s">
        <v>272</v>
      </c>
      <c r="E340">
        <v>9270</v>
      </c>
      <c r="F340" s="106" t="s">
        <v>1968</v>
      </c>
      <c r="G340" s="106" t="s">
        <v>285</v>
      </c>
      <c r="H340" s="106" t="s">
        <v>279</v>
      </c>
      <c r="I340">
        <v>354</v>
      </c>
    </row>
    <row r="341" spans="1:10" x14ac:dyDescent="0.2">
      <c r="A341" s="106" t="s">
        <v>374</v>
      </c>
      <c r="B341" s="106" t="s">
        <v>270</v>
      </c>
      <c r="C341" s="106" t="s">
        <v>271</v>
      </c>
      <c r="D341" s="106" t="s">
        <v>272</v>
      </c>
      <c r="E341">
        <v>9275</v>
      </c>
      <c r="F341" s="106" t="s">
        <v>1969</v>
      </c>
      <c r="G341" s="106" t="s">
        <v>273</v>
      </c>
      <c r="H341" s="106" t="s">
        <v>283</v>
      </c>
      <c r="I341" s="106">
        <v>137</v>
      </c>
      <c r="J341" s="106"/>
    </row>
    <row r="342" spans="1:10" x14ac:dyDescent="0.2">
      <c r="A342" s="106" t="s">
        <v>374</v>
      </c>
      <c r="B342" s="106" t="s">
        <v>270</v>
      </c>
      <c r="C342" s="106" t="s">
        <v>271</v>
      </c>
      <c r="D342" s="106" t="s">
        <v>272</v>
      </c>
      <c r="E342">
        <v>9601</v>
      </c>
      <c r="F342" s="106" t="s">
        <v>1970</v>
      </c>
      <c r="G342" s="106" t="s">
        <v>273</v>
      </c>
      <c r="H342" s="106" t="s">
        <v>284</v>
      </c>
      <c r="I342" s="106" t="s">
        <v>296</v>
      </c>
      <c r="J342" s="106" t="s">
        <v>2171</v>
      </c>
    </row>
    <row r="343" spans="1:10" x14ac:dyDescent="0.2">
      <c r="A343" s="106" t="s">
        <v>374</v>
      </c>
      <c r="B343" s="106" t="s">
        <v>270</v>
      </c>
      <c r="C343" s="106" t="s">
        <v>271</v>
      </c>
      <c r="D343" s="106" t="s">
        <v>272</v>
      </c>
      <c r="E343">
        <v>9602</v>
      </c>
      <c r="F343" s="106" t="s">
        <v>385</v>
      </c>
      <c r="G343" s="106" t="s">
        <v>273</v>
      </c>
      <c r="H343" s="106" t="s">
        <v>284</v>
      </c>
      <c r="I343" s="106" t="s">
        <v>386</v>
      </c>
      <c r="J343" s="106" t="s">
        <v>2256</v>
      </c>
    </row>
    <row r="344" spans="1:10" x14ac:dyDescent="0.2">
      <c r="A344" s="106" t="s">
        <v>374</v>
      </c>
      <c r="B344" s="106" t="s">
        <v>270</v>
      </c>
      <c r="C344" s="106" t="s">
        <v>280</v>
      </c>
      <c r="D344" s="106" t="s">
        <v>272</v>
      </c>
      <c r="E344">
        <v>9837</v>
      </c>
      <c r="F344" s="106" t="s">
        <v>1971</v>
      </c>
      <c r="G344" s="106" t="s">
        <v>273</v>
      </c>
      <c r="H344" s="106" t="s">
        <v>279</v>
      </c>
      <c r="I344" s="106">
        <v>241</v>
      </c>
      <c r="J344" s="106"/>
    </row>
    <row r="345" spans="1:10" x14ac:dyDescent="0.2">
      <c r="A345" s="106" t="s">
        <v>374</v>
      </c>
      <c r="B345" s="106" t="s">
        <v>270</v>
      </c>
      <c r="C345" s="106" t="s">
        <v>271</v>
      </c>
      <c r="D345" s="106" t="s">
        <v>272</v>
      </c>
      <c r="E345">
        <v>9945</v>
      </c>
      <c r="F345" s="106" t="s">
        <v>770</v>
      </c>
      <c r="G345" s="106" t="s">
        <v>273</v>
      </c>
      <c r="H345" s="106" t="s">
        <v>283</v>
      </c>
      <c r="I345" s="106">
        <v>859</v>
      </c>
      <c r="J345" s="106"/>
    </row>
    <row r="346" spans="1:10" x14ac:dyDescent="0.2">
      <c r="A346" s="106" t="s">
        <v>374</v>
      </c>
      <c r="B346" s="106" t="s">
        <v>270</v>
      </c>
      <c r="C346" s="106" t="s">
        <v>280</v>
      </c>
      <c r="D346" s="106" t="s">
        <v>272</v>
      </c>
      <c r="E346">
        <v>9972</v>
      </c>
      <c r="F346" s="106" t="s">
        <v>1972</v>
      </c>
      <c r="G346" s="106" t="s">
        <v>273</v>
      </c>
      <c r="H346" s="106" t="s">
        <v>279</v>
      </c>
      <c r="I346" s="106">
        <v>44</v>
      </c>
      <c r="J346" s="106"/>
    </row>
    <row r="347" spans="1:10" x14ac:dyDescent="0.2">
      <c r="A347" s="106" t="s">
        <v>374</v>
      </c>
      <c r="B347" s="106" t="s">
        <v>270</v>
      </c>
      <c r="C347" s="106" t="s">
        <v>275</v>
      </c>
      <c r="D347" s="106" t="s">
        <v>272</v>
      </c>
      <c r="E347">
        <v>9979</v>
      </c>
      <c r="F347" s="106" t="s">
        <v>1973</v>
      </c>
      <c r="G347" s="106" t="s">
        <v>273</v>
      </c>
      <c r="H347" s="106" t="s">
        <v>283</v>
      </c>
      <c r="I347" s="106">
        <v>349</v>
      </c>
      <c r="J347" s="106"/>
    </row>
    <row r="348" spans="1:10" x14ac:dyDescent="0.2">
      <c r="A348" s="106" t="s">
        <v>387</v>
      </c>
      <c r="B348" s="106" t="s">
        <v>270</v>
      </c>
      <c r="C348" s="106" t="s">
        <v>280</v>
      </c>
      <c r="D348" s="106" t="s">
        <v>272</v>
      </c>
      <c r="E348">
        <v>3201</v>
      </c>
      <c r="F348" s="106" t="s">
        <v>1974</v>
      </c>
      <c r="G348" s="106" t="s">
        <v>273</v>
      </c>
      <c r="H348" s="106" t="s">
        <v>306</v>
      </c>
      <c r="I348" s="106">
        <v>988</v>
      </c>
      <c r="J348" s="106"/>
    </row>
    <row r="349" spans="1:10" x14ac:dyDescent="0.2">
      <c r="A349" s="106" t="s">
        <v>387</v>
      </c>
      <c r="B349" s="106" t="s">
        <v>270</v>
      </c>
      <c r="C349" s="106" t="s">
        <v>280</v>
      </c>
      <c r="D349" s="106" t="s">
        <v>272</v>
      </c>
      <c r="E349">
        <v>3907</v>
      </c>
      <c r="F349" s="106" t="s">
        <v>388</v>
      </c>
      <c r="G349" s="106" t="s">
        <v>285</v>
      </c>
      <c r="H349" s="106" t="s">
        <v>284</v>
      </c>
      <c r="I349" s="106">
        <v>44</v>
      </c>
      <c r="J349" s="106"/>
    </row>
    <row r="350" spans="1:10" x14ac:dyDescent="0.2">
      <c r="A350" s="106" t="s">
        <v>387</v>
      </c>
      <c r="B350" s="106" t="s">
        <v>270</v>
      </c>
      <c r="C350" s="106" t="s">
        <v>280</v>
      </c>
      <c r="D350" s="106" t="s">
        <v>272</v>
      </c>
      <c r="E350">
        <v>4361</v>
      </c>
      <c r="F350" s="106" t="s">
        <v>1975</v>
      </c>
      <c r="G350" s="106" t="s">
        <v>281</v>
      </c>
      <c r="H350" s="106" t="s">
        <v>286</v>
      </c>
      <c r="I350" s="106">
        <v>12</v>
      </c>
      <c r="J350" s="106"/>
    </row>
    <row r="351" spans="1:10" x14ac:dyDescent="0.2">
      <c r="A351" s="106" t="s">
        <v>387</v>
      </c>
      <c r="B351" s="106" t="s">
        <v>270</v>
      </c>
      <c r="C351" s="106" t="s">
        <v>280</v>
      </c>
      <c r="D351" s="106" t="s">
        <v>276</v>
      </c>
      <c r="E351">
        <v>4673</v>
      </c>
      <c r="F351" s="106" t="s">
        <v>1976</v>
      </c>
      <c r="G351" s="106" t="s">
        <v>277</v>
      </c>
      <c r="H351" s="106" t="s">
        <v>278</v>
      </c>
      <c r="I351" s="106">
        <v>22</v>
      </c>
      <c r="J351" s="106"/>
    </row>
    <row r="352" spans="1:10" x14ac:dyDescent="0.2">
      <c r="A352" s="106" t="s">
        <v>387</v>
      </c>
      <c r="B352" s="106" t="s">
        <v>270</v>
      </c>
      <c r="C352" s="106" t="s">
        <v>280</v>
      </c>
      <c r="D352" s="106" t="s">
        <v>272</v>
      </c>
      <c r="E352">
        <v>6064</v>
      </c>
      <c r="F352" s="106" t="s">
        <v>1977</v>
      </c>
      <c r="G352" s="106" t="s">
        <v>285</v>
      </c>
      <c r="H352" s="106" t="s">
        <v>278</v>
      </c>
      <c r="I352" s="106">
        <v>121</v>
      </c>
      <c r="J352" s="106"/>
    </row>
    <row r="353" spans="1:10" x14ac:dyDescent="0.2">
      <c r="A353" s="106" t="s">
        <v>387</v>
      </c>
      <c r="B353" s="106" t="s">
        <v>270</v>
      </c>
      <c r="C353" s="106" t="s">
        <v>280</v>
      </c>
      <c r="D353" s="106" t="s">
        <v>272</v>
      </c>
      <c r="E353">
        <v>6474</v>
      </c>
      <c r="F353" s="106" t="s">
        <v>1978</v>
      </c>
      <c r="G353" s="106" t="s">
        <v>273</v>
      </c>
      <c r="H353" s="106" t="s">
        <v>294</v>
      </c>
      <c r="I353" s="106" t="s">
        <v>304</v>
      </c>
      <c r="J353" s="106" t="s">
        <v>2243</v>
      </c>
    </row>
    <row r="354" spans="1:10" x14ac:dyDescent="0.2">
      <c r="A354" s="106" t="s">
        <v>387</v>
      </c>
      <c r="B354" s="106" t="s">
        <v>270</v>
      </c>
      <c r="C354" s="106" t="s">
        <v>280</v>
      </c>
      <c r="D354" s="106" t="s">
        <v>272</v>
      </c>
      <c r="E354">
        <v>7594</v>
      </c>
      <c r="F354" s="106" t="s">
        <v>1979</v>
      </c>
      <c r="G354" s="106" t="s">
        <v>273</v>
      </c>
      <c r="H354" s="106" t="s">
        <v>279</v>
      </c>
      <c r="I354" s="106">
        <v>218</v>
      </c>
      <c r="J354" s="106"/>
    </row>
    <row r="355" spans="1:10" x14ac:dyDescent="0.2">
      <c r="A355" s="106" t="s">
        <v>387</v>
      </c>
      <c r="B355" s="106" t="s">
        <v>270</v>
      </c>
      <c r="C355" s="106" t="s">
        <v>280</v>
      </c>
      <c r="D355" s="106" t="s">
        <v>272</v>
      </c>
      <c r="E355">
        <v>7879</v>
      </c>
      <c r="F355" s="106" t="s">
        <v>1980</v>
      </c>
      <c r="G355" s="106" t="s">
        <v>281</v>
      </c>
      <c r="H355" s="106" t="s">
        <v>295</v>
      </c>
      <c r="I355" s="106">
        <v>153</v>
      </c>
      <c r="J355" s="106"/>
    </row>
    <row r="356" spans="1:10" x14ac:dyDescent="0.2">
      <c r="A356" s="106" t="s">
        <v>387</v>
      </c>
      <c r="B356" s="106" t="s">
        <v>270</v>
      </c>
      <c r="C356" s="106" t="s">
        <v>280</v>
      </c>
      <c r="D356" s="106" t="s">
        <v>276</v>
      </c>
      <c r="E356">
        <v>9281</v>
      </c>
      <c r="F356" s="106" t="s">
        <v>1981</v>
      </c>
      <c r="G356" s="106" t="s">
        <v>310</v>
      </c>
      <c r="H356" s="106" t="s">
        <v>311</v>
      </c>
      <c r="I356" s="106">
        <v>225</v>
      </c>
      <c r="J356" s="106"/>
    </row>
    <row r="357" spans="1:10" x14ac:dyDescent="0.2">
      <c r="A357" s="106" t="s">
        <v>1982</v>
      </c>
      <c r="B357" s="106" t="s">
        <v>270</v>
      </c>
      <c r="C357" s="106" t="s">
        <v>280</v>
      </c>
      <c r="D357" s="106" t="s">
        <v>276</v>
      </c>
      <c r="E357">
        <v>8966</v>
      </c>
      <c r="F357" s="106" t="s">
        <v>1983</v>
      </c>
      <c r="G357" s="106" t="s">
        <v>310</v>
      </c>
      <c r="H357" s="106" t="s">
        <v>311</v>
      </c>
      <c r="I357" s="106" t="s">
        <v>304</v>
      </c>
      <c r="J357" s="106" t="s">
        <v>2400</v>
      </c>
    </row>
    <row r="358" spans="1:10" x14ac:dyDescent="0.2">
      <c r="A358" s="106" t="s">
        <v>1982</v>
      </c>
      <c r="B358" s="106" t="s">
        <v>270</v>
      </c>
      <c r="C358" s="106" t="s">
        <v>280</v>
      </c>
      <c r="D358" s="106" t="s">
        <v>276</v>
      </c>
      <c r="E358">
        <v>9720</v>
      </c>
      <c r="F358" s="106" t="s">
        <v>2401</v>
      </c>
      <c r="G358" s="106" t="s">
        <v>277</v>
      </c>
      <c r="H358" s="106" t="s">
        <v>278</v>
      </c>
      <c r="I358" s="106">
        <v>34</v>
      </c>
      <c r="J358" s="106"/>
    </row>
    <row r="359" spans="1:10" x14ac:dyDescent="0.2">
      <c r="A359" s="106" t="s">
        <v>391</v>
      </c>
      <c r="B359" s="106" t="s">
        <v>270</v>
      </c>
      <c r="C359" s="106" t="s">
        <v>280</v>
      </c>
      <c r="D359" s="106" t="s">
        <v>276</v>
      </c>
      <c r="E359">
        <v>3279</v>
      </c>
      <c r="F359" s="106" t="s">
        <v>392</v>
      </c>
      <c r="G359" s="106" t="s">
        <v>310</v>
      </c>
      <c r="H359" s="106" t="s">
        <v>311</v>
      </c>
      <c r="I359" s="106" t="s">
        <v>323</v>
      </c>
      <c r="J359" s="106" t="s">
        <v>2402</v>
      </c>
    </row>
    <row r="360" spans="1:10" x14ac:dyDescent="0.2">
      <c r="A360" s="106" t="s">
        <v>391</v>
      </c>
      <c r="B360" s="106" t="s">
        <v>270</v>
      </c>
      <c r="C360" s="106" t="s">
        <v>280</v>
      </c>
      <c r="D360" s="106" t="s">
        <v>276</v>
      </c>
      <c r="E360">
        <v>3283</v>
      </c>
      <c r="F360" s="106" t="s">
        <v>1984</v>
      </c>
      <c r="G360" s="106" t="s">
        <v>310</v>
      </c>
      <c r="H360" s="106" t="s">
        <v>311</v>
      </c>
      <c r="I360" t="s">
        <v>332</v>
      </c>
      <c r="J360" t="s">
        <v>2403</v>
      </c>
    </row>
    <row r="361" spans="1:10" x14ac:dyDescent="0.2">
      <c r="A361" s="106" t="s">
        <v>391</v>
      </c>
      <c r="B361" s="106" t="s">
        <v>270</v>
      </c>
      <c r="C361" s="106" t="s">
        <v>280</v>
      </c>
      <c r="D361" s="106" t="s">
        <v>272</v>
      </c>
      <c r="E361">
        <v>6217</v>
      </c>
      <c r="F361" s="106" t="s">
        <v>1985</v>
      </c>
      <c r="G361" s="106" t="s">
        <v>273</v>
      </c>
      <c r="H361" s="106" t="s">
        <v>294</v>
      </c>
      <c r="I361" s="106">
        <v>90</v>
      </c>
      <c r="J361" s="106"/>
    </row>
    <row r="362" spans="1:10" x14ac:dyDescent="0.2">
      <c r="A362" s="106" t="s">
        <v>391</v>
      </c>
      <c r="B362" s="106" t="s">
        <v>270</v>
      </c>
      <c r="C362" s="106" t="s">
        <v>280</v>
      </c>
      <c r="D362" s="106" t="s">
        <v>272</v>
      </c>
      <c r="E362">
        <v>6634</v>
      </c>
      <c r="F362" s="106" t="s">
        <v>393</v>
      </c>
      <c r="G362" s="106" t="s">
        <v>277</v>
      </c>
      <c r="H362" s="106" t="s">
        <v>298</v>
      </c>
      <c r="I362" s="106">
        <v>30</v>
      </c>
      <c r="J362" s="106"/>
    </row>
    <row r="363" spans="1:10" x14ac:dyDescent="0.2">
      <c r="A363" s="106" t="s">
        <v>391</v>
      </c>
      <c r="B363" s="106" t="s">
        <v>270</v>
      </c>
      <c r="C363" s="106" t="s">
        <v>280</v>
      </c>
      <c r="D363" s="106" t="s">
        <v>276</v>
      </c>
      <c r="E363">
        <v>7501</v>
      </c>
      <c r="F363" s="106" t="s">
        <v>394</v>
      </c>
      <c r="G363" s="106" t="s">
        <v>277</v>
      </c>
      <c r="H363" s="106" t="s">
        <v>279</v>
      </c>
      <c r="I363" s="106">
        <v>19</v>
      </c>
      <c r="J363" s="106"/>
    </row>
    <row r="364" spans="1:10" x14ac:dyDescent="0.2">
      <c r="A364" s="106" t="s">
        <v>391</v>
      </c>
      <c r="B364" s="106" t="s">
        <v>270</v>
      </c>
      <c r="C364" s="106" t="s">
        <v>280</v>
      </c>
      <c r="D364" s="106" t="s">
        <v>272</v>
      </c>
      <c r="E364">
        <v>7997</v>
      </c>
      <c r="F364" s="106" t="s">
        <v>1986</v>
      </c>
      <c r="G364" s="106" t="s">
        <v>281</v>
      </c>
      <c r="H364" s="106" t="s">
        <v>295</v>
      </c>
      <c r="I364">
        <v>17</v>
      </c>
    </row>
    <row r="365" spans="1:10" x14ac:dyDescent="0.2">
      <c r="A365" s="106" t="s">
        <v>391</v>
      </c>
      <c r="B365" s="106" t="s">
        <v>270</v>
      </c>
      <c r="C365" s="106" t="s">
        <v>280</v>
      </c>
      <c r="D365" s="106" t="s">
        <v>276</v>
      </c>
      <c r="E365">
        <v>8960</v>
      </c>
      <c r="F365" s="106" t="s">
        <v>1987</v>
      </c>
      <c r="G365" s="106" t="s">
        <v>310</v>
      </c>
      <c r="H365" s="106" t="s">
        <v>311</v>
      </c>
      <c r="I365" s="106" t="s">
        <v>332</v>
      </c>
      <c r="J365" s="106" t="s">
        <v>2404</v>
      </c>
    </row>
    <row r="366" spans="1:10" x14ac:dyDescent="0.2">
      <c r="A366" s="106" t="s">
        <v>391</v>
      </c>
      <c r="B366" s="106" t="s">
        <v>270</v>
      </c>
      <c r="C366" s="106" t="s">
        <v>280</v>
      </c>
      <c r="D366" s="106" t="s">
        <v>272</v>
      </c>
      <c r="E366">
        <v>9647</v>
      </c>
      <c r="F366" s="106" t="s">
        <v>1988</v>
      </c>
      <c r="G366" s="106" t="s">
        <v>277</v>
      </c>
      <c r="H366" s="106" t="s">
        <v>278</v>
      </c>
      <c r="I366" s="106">
        <v>19</v>
      </c>
      <c r="J366" s="106"/>
    </row>
    <row r="367" spans="1:10" x14ac:dyDescent="0.2">
      <c r="A367" s="106" t="s">
        <v>1989</v>
      </c>
      <c r="B367" s="106" t="s">
        <v>270</v>
      </c>
      <c r="C367" s="106" t="s">
        <v>280</v>
      </c>
      <c r="D367" s="106" t="s">
        <v>272</v>
      </c>
      <c r="E367">
        <v>5341</v>
      </c>
      <c r="F367" s="106" t="s">
        <v>1990</v>
      </c>
      <c r="G367" s="106" t="s">
        <v>281</v>
      </c>
      <c r="H367" s="106" t="s">
        <v>315</v>
      </c>
      <c r="I367" s="106">
        <v>10</v>
      </c>
      <c r="J367" s="106"/>
    </row>
    <row r="368" spans="1:10" x14ac:dyDescent="0.2">
      <c r="A368" s="106" t="s">
        <v>1991</v>
      </c>
      <c r="B368" s="106" t="s">
        <v>270</v>
      </c>
      <c r="C368" s="106" t="s">
        <v>280</v>
      </c>
      <c r="D368" s="106" t="s">
        <v>276</v>
      </c>
      <c r="E368">
        <v>3472</v>
      </c>
      <c r="F368" s="106" t="s">
        <v>1992</v>
      </c>
      <c r="G368" s="106" t="s">
        <v>310</v>
      </c>
      <c r="H368" s="106" t="s">
        <v>311</v>
      </c>
      <c r="I368">
        <v>215</v>
      </c>
    </row>
    <row r="369" spans="1:10" x14ac:dyDescent="0.2">
      <c r="A369" s="106" t="s">
        <v>1991</v>
      </c>
      <c r="B369" s="106" t="s">
        <v>270</v>
      </c>
      <c r="C369" s="106" t="s">
        <v>280</v>
      </c>
      <c r="D369" s="106" t="s">
        <v>276</v>
      </c>
      <c r="E369">
        <v>8976</v>
      </c>
      <c r="F369" s="106" t="s">
        <v>1993</v>
      </c>
      <c r="G369" s="106" t="s">
        <v>310</v>
      </c>
      <c r="H369" s="106" t="s">
        <v>311</v>
      </c>
      <c r="I369" s="106" t="s">
        <v>323</v>
      </c>
      <c r="J369" s="106" t="s">
        <v>2405</v>
      </c>
    </row>
    <row r="370" spans="1:10" x14ac:dyDescent="0.2">
      <c r="A370" s="106" t="s">
        <v>395</v>
      </c>
      <c r="B370" s="106" t="s">
        <v>270</v>
      </c>
      <c r="C370" s="106" t="s">
        <v>271</v>
      </c>
      <c r="D370" s="106" t="s">
        <v>272</v>
      </c>
      <c r="E370">
        <v>6146</v>
      </c>
      <c r="F370" s="106" t="s">
        <v>396</v>
      </c>
      <c r="G370" s="106" t="s">
        <v>273</v>
      </c>
      <c r="H370" s="106" t="s">
        <v>294</v>
      </c>
      <c r="I370" s="106" t="s">
        <v>456</v>
      </c>
      <c r="J370" s="106" t="s">
        <v>2406</v>
      </c>
    </row>
    <row r="371" spans="1:10" x14ac:dyDescent="0.2">
      <c r="A371" s="106" t="s">
        <v>395</v>
      </c>
      <c r="B371" s="106" t="s">
        <v>270</v>
      </c>
      <c r="C371" s="106" t="s">
        <v>280</v>
      </c>
      <c r="D371" s="106" t="s">
        <v>276</v>
      </c>
      <c r="E371">
        <v>8977</v>
      </c>
      <c r="F371" s="106" t="s">
        <v>771</v>
      </c>
      <c r="G371" s="106" t="s">
        <v>310</v>
      </c>
      <c r="H371" s="106" t="s">
        <v>311</v>
      </c>
      <c r="I371" s="106" t="s">
        <v>304</v>
      </c>
      <c r="J371" s="106" t="s">
        <v>2407</v>
      </c>
    </row>
    <row r="372" spans="1:10" x14ac:dyDescent="0.2">
      <c r="A372" s="106" t="s">
        <v>1994</v>
      </c>
      <c r="B372" s="106" t="s">
        <v>270</v>
      </c>
      <c r="C372" s="106" t="s">
        <v>271</v>
      </c>
      <c r="D372" s="106" t="s">
        <v>272</v>
      </c>
      <c r="E372">
        <v>6961</v>
      </c>
      <c r="F372" s="106" t="s">
        <v>1995</v>
      </c>
      <c r="G372" s="106" t="s">
        <v>273</v>
      </c>
      <c r="H372" s="106" t="s">
        <v>298</v>
      </c>
      <c r="I372" s="106">
        <v>651</v>
      </c>
      <c r="J372" s="106"/>
    </row>
    <row r="373" spans="1:10" x14ac:dyDescent="0.2">
      <c r="A373" s="106" t="s">
        <v>1994</v>
      </c>
      <c r="B373" s="106" t="s">
        <v>270</v>
      </c>
      <c r="C373" s="106" t="s">
        <v>271</v>
      </c>
      <c r="D373" s="106" t="s">
        <v>272</v>
      </c>
      <c r="E373">
        <v>8595</v>
      </c>
      <c r="F373" s="106" t="s">
        <v>1996</v>
      </c>
      <c r="G373" s="106" t="s">
        <v>273</v>
      </c>
      <c r="H373" s="106" t="s">
        <v>1997</v>
      </c>
      <c r="I373" t="s">
        <v>304</v>
      </c>
      <c r="J373" t="s">
        <v>2408</v>
      </c>
    </row>
    <row r="374" spans="1:10" x14ac:dyDescent="0.2">
      <c r="A374" s="106" t="s">
        <v>397</v>
      </c>
      <c r="B374" s="106" t="s">
        <v>270</v>
      </c>
      <c r="C374" s="106" t="s">
        <v>271</v>
      </c>
      <c r="D374" s="106" t="s">
        <v>272</v>
      </c>
      <c r="E374">
        <v>9433</v>
      </c>
      <c r="F374" s="106" t="s">
        <v>398</v>
      </c>
      <c r="G374" s="106" t="s">
        <v>273</v>
      </c>
      <c r="H374" s="106" t="s">
        <v>284</v>
      </c>
      <c r="I374" s="106" t="s">
        <v>2409</v>
      </c>
      <c r="J374" s="106" t="s">
        <v>2410</v>
      </c>
    </row>
    <row r="375" spans="1:10" x14ac:dyDescent="0.2">
      <c r="A375" s="106" t="s">
        <v>399</v>
      </c>
      <c r="B375" s="106" t="s">
        <v>337</v>
      </c>
      <c r="C375" s="106" t="s">
        <v>271</v>
      </c>
      <c r="D375" s="106" t="s">
        <v>276</v>
      </c>
      <c r="E375">
        <v>4973</v>
      </c>
      <c r="F375" s="106" t="s">
        <v>400</v>
      </c>
      <c r="G375" s="106" t="s">
        <v>273</v>
      </c>
      <c r="H375" s="106" t="s">
        <v>286</v>
      </c>
      <c r="I375">
        <v>166</v>
      </c>
    </row>
    <row r="376" spans="1:10" x14ac:dyDescent="0.2">
      <c r="A376" s="106" t="s">
        <v>399</v>
      </c>
      <c r="B376" s="106" t="s">
        <v>270</v>
      </c>
      <c r="C376" s="106" t="s">
        <v>271</v>
      </c>
      <c r="D376" s="106" t="s">
        <v>272</v>
      </c>
      <c r="E376">
        <v>5936</v>
      </c>
      <c r="F376" s="106" t="s">
        <v>1998</v>
      </c>
      <c r="G376" s="106" t="s">
        <v>273</v>
      </c>
      <c r="H376" s="106" t="s">
        <v>288</v>
      </c>
      <c r="I376" s="106">
        <v>46</v>
      </c>
      <c r="J376" s="106"/>
    </row>
    <row r="377" spans="1:10" x14ac:dyDescent="0.2">
      <c r="A377" s="106" t="s">
        <v>401</v>
      </c>
      <c r="B377" s="106" t="s">
        <v>297</v>
      </c>
      <c r="C377" s="106" t="s">
        <v>271</v>
      </c>
      <c r="D377" s="106" t="s">
        <v>272</v>
      </c>
      <c r="E377">
        <v>9478</v>
      </c>
      <c r="F377" s="106" t="s">
        <v>1999</v>
      </c>
      <c r="G377" s="106" t="s">
        <v>277</v>
      </c>
      <c r="H377" s="106" t="s">
        <v>284</v>
      </c>
      <c r="I377" s="106">
        <v>45</v>
      </c>
      <c r="J377" s="106"/>
    </row>
    <row r="378" spans="1:10" x14ac:dyDescent="0.2">
      <c r="A378" s="106" t="s">
        <v>401</v>
      </c>
      <c r="B378" s="106" t="s">
        <v>270</v>
      </c>
      <c r="C378" s="106" t="s">
        <v>271</v>
      </c>
      <c r="D378" s="106" t="s">
        <v>272</v>
      </c>
      <c r="E378">
        <v>4462</v>
      </c>
      <c r="F378" s="106" t="s">
        <v>402</v>
      </c>
      <c r="G378" s="106" t="s">
        <v>273</v>
      </c>
      <c r="H378" s="106" t="s">
        <v>286</v>
      </c>
      <c r="I378" s="106">
        <v>168</v>
      </c>
      <c r="J378" s="106"/>
    </row>
    <row r="379" spans="1:10" x14ac:dyDescent="0.2">
      <c r="A379" s="106" t="s">
        <v>403</v>
      </c>
      <c r="B379" s="106" t="s">
        <v>337</v>
      </c>
      <c r="C379" s="106" t="s">
        <v>271</v>
      </c>
      <c r="D379" s="106" t="s">
        <v>272</v>
      </c>
      <c r="E379">
        <v>3850</v>
      </c>
      <c r="F379" s="106" t="s">
        <v>2000</v>
      </c>
      <c r="G379" s="106" t="s">
        <v>281</v>
      </c>
      <c r="H379" s="106" t="s">
        <v>284</v>
      </c>
      <c r="I379" s="106">
        <v>216</v>
      </c>
      <c r="J379" s="106"/>
    </row>
    <row r="380" spans="1:10" x14ac:dyDescent="0.2">
      <c r="A380" s="106" t="s">
        <v>403</v>
      </c>
      <c r="B380" s="106" t="s">
        <v>270</v>
      </c>
      <c r="C380" s="106" t="s">
        <v>271</v>
      </c>
      <c r="D380" s="106" t="s">
        <v>276</v>
      </c>
      <c r="E380">
        <v>2540</v>
      </c>
      <c r="F380" s="106" t="s">
        <v>2001</v>
      </c>
      <c r="G380" s="106" t="s">
        <v>273</v>
      </c>
      <c r="H380" s="106" t="s">
        <v>274</v>
      </c>
      <c r="I380" s="106">
        <v>325</v>
      </c>
      <c r="J380" s="106"/>
    </row>
    <row r="381" spans="1:10" x14ac:dyDescent="0.2">
      <c r="A381" s="106" t="s">
        <v>403</v>
      </c>
      <c r="B381" s="106" t="s">
        <v>270</v>
      </c>
      <c r="C381" s="106" t="s">
        <v>271</v>
      </c>
      <c r="D381" s="106" t="s">
        <v>272</v>
      </c>
      <c r="E381">
        <v>4099</v>
      </c>
      <c r="F381" s="106" t="s">
        <v>2002</v>
      </c>
      <c r="G381" s="106" t="s">
        <v>273</v>
      </c>
      <c r="H381" s="106" t="s">
        <v>286</v>
      </c>
      <c r="I381" s="106">
        <v>813</v>
      </c>
      <c r="J381" s="106"/>
    </row>
    <row r="382" spans="1:10" x14ac:dyDescent="0.2">
      <c r="A382" s="106" t="s">
        <v>403</v>
      </c>
      <c r="B382" s="106" t="s">
        <v>270</v>
      </c>
      <c r="C382" s="106" t="s">
        <v>271</v>
      </c>
      <c r="D382" s="106" t="s">
        <v>272</v>
      </c>
      <c r="E382">
        <v>9039</v>
      </c>
      <c r="F382" s="106" t="s">
        <v>404</v>
      </c>
      <c r="G382" s="106" t="s">
        <v>273</v>
      </c>
      <c r="H382" s="106" t="s">
        <v>405</v>
      </c>
      <c r="I382" s="106" t="s">
        <v>304</v>
      </c>
      <c r="J382" s="106" t="s">
        <v>2411</v>
      </c>
    </row>
    <row r="383" spans="1:10" x14ac:dyDescent="0.2">
      <c r="A383" s="106" t="s">
        <v>406</v>
      </c>
      <c r="B383" s="106" t="s">
        <v>772</v>
      </c>
      <c r="C383" s="106" t="s">
        <v>271</v>
      </c>
      <c r="D383" s="106" t="s">
        <v>272</v>
      </c>
      <c r="E383">
        <v>6470</v>
      </c>
      <c r="F383" s="106" t="s">
        <v>773</v>
      </c>
      <c r="G383" s="106" t="s">
        <v>273</v>
      </c>
      <c r="H383" s="106" t="s">
        <v>294</v>
      </c>
      <c r="I383" s="106">
        <v>258</v>
      </c>
      <c r="J383" s="106"/>
    </row>
    <row r="384" spans="1:10" x14ac:dyDescent="0.2">
      <c r="A384" s="106" t="s">
        <v>406</v>
      </c>
      <c r="B384" s="106" t="s">
        <v>337</v>
      </c>
      <c r="C384" s="106" t="s">
        <v>271</v>
      </c>
      <c r="D384" s="106" t="s">
        <v>272</v>
      </c>
      <c r="E384">
        <v>2802</v>
      </c>
      <c r="F384" s="106" t="s">
        <v>774</v>
      </c>
      <c r="G384" s="106" t="s">
        <v>273</v>
      </c>
      <c r="H384" s="106" t="s">
        <v>274</v>
      </c>
      <c r="I384" s="106" t="s">
        <v>408</v>
      </c>
      <c r="J384" s="106" t="s">
        <v>2412</v>
      </c>
    </row>
    <row r="385" spans="1:10" x14ac:dyDescent="0.2">
      <c r="A385" s="106" t="s">
        <v>406</v>
      </c>
      <c r="B385" s="106" t="s">
        <v>297</v>
      </c>
      <c r="C385" s="106" t="s">
        <v>271</v>
      </c>
      <c r="D385" s="106" t="s">
        <v>272</v>
      </c>
      <c r="E385">
        <v>2002</v>
      </c>
      <c r="F385" s="106" t="s">
        <v>2003</v>
      </c>
      <c r="G385" s="106" t="s">
        <v>273</v>
      </c>
      <c r="H385" s="106" t="s">
        <v>274</v>
      </c>
      <c r="I385" s="106" t="s">
        <v>290</v>
      </c>
      <c r="J385" s="106" t="s">
        <v>2251</v>
      </c>
    </row>
    <row r="386" spans="1:10" x14ac:dyDescent="0.2">
      <c r="A386" s="106" t="s">
        <v>406</v>
      </c>
      <c r="B386" s="106" t="s">
        <v>270</v>
      </c>
      <c r="C386" s="106" t="s">
        <v>271</v>
      </c>
      <c r="D386" s="106" t="s">
        <v>272</v>
      </c>
      <c r="E386">
        <v>1878</v>
      </c>
      <c r="F386" s="106" t="s">
        <v>407</v>
      </c>
      <c r="G386" s="106" t="s">
        <v>273</v>
      </c>
      <c r="H386" s="106" t="s">
        <v>300</v>
      </c>
      <c r="I386" s="106" t="s">
        <v>408</v>
      </c>
      <c r="J386" s="106" t="s">
        <v>2413</v>
      </c>
    </row>
    <row r="387" spans="1:10" x14ac:dyDescent="0.2">
      <c r="A387" s="106" t="s">
        <v>406</v>
      </c>
      <c r="B387" s="106" t="s">
        <v>270</v>
      </c>
      <c r="C387" s="106" t="s">
        <v>271</v>
      </c>
      <c r="D387" s="106" t="s">
        <v>272</v>
      </c>
      <c r="E387">
        <v>2127</v>
      </c>
      <c r="F387" s="106" t="s">
        <v>712</v>
      </c>
      <c r="G387" s="106" t="s">
        <v>273</v>
      </c>
      <c r="H387" s="106" t="s">
        <v>278</v>
      </c>
      <c r="I387" t="s">
        <v>332</v>
      </c>
      <c r="J387" t="s">
        <v>2414</v>
      </c>
    </row>
    <row r="388" spans="1:10" x14ac:dyDescent="0.2">
      <c r="A388" s="106" t="s">
        <v>406</v>
      </c>
      <c r="B388" s="106" t="s">
        <v>270</v>
      </c>
      <c r="C388" s="106" t="s">
        <v>271</v>
      </c>
      <c r="D388" s="106" t="s">
        <v>272</v>
      </c>
      <c r="E388">
        <v>2412</v>
      </c>
      <c r="F388" s="106" t="s">
        <v>713</v>
      </c>
      <c r="G388" s="106" t="s">
        <v>273</v>
      </c>
      <c r="H388" s="106" t="s">
        <v>278</v>
      </c>
      <c r="I388" s="106" t="s">
        <v>357</v>
      </c>
      <c r="J388" s="106" t="s">
        <v>2415</v>
      </c>
    </row>
    <row r="389" spans="1:10" x14ac:dyDescent="0.2">
      <c r="A389" s="106" t="s">
        <v>406</v>
      </c>
      <c r="B389" s="106" t="s">
        <v>270</v>
      </c>
      <c r="C389" s="106" t="s">
        <v>271</v>
      </c>
      <c r="D389" s="106" t="s">
        <v>272</v>
      </c>
      <c r="E389">
        <v>2737</v>
      </c>
      <c r="F389" s="106" t="s">
        <v>409</v>
      </c>
      <c r="G389" s="106" t="s">
        <v>273</v>
      </c>
      <c r="H389" s="106" t="s">
        <v>279</v>
      </c>
      <c r="I389" s="106">
        <v>223</v>
      </c>
      <c r="J389" s="106"/>
    </row>
    <row r="390" spans="1:10" x14ac:dyDescent="0.2">
      <c r="A390" s="106" t="s">
        <v>406</v>
      </c>
      <c r="B390" s="106" t="s">
        <v>270</v>
      </c>
      <c r="C390" s="106" t="s">
        <v>280</v>
      </c>
      <c r="D390" s="106" t="s">
        <v>272</v>
      </c>
      <c r="E390">
        <v>3003</v>
      </c>
      <c r="F390" s="106" t="s">
        <v>775</v>
      </c>
      <c r="G390" s="106" t="s">
        <v>273</v>
      </c>
      <c r="H390" s="106" t="s">
        <v>299</v>
      </c>
      <c r="I390" s="106" t="s">
        <v>386</v>
      </c>
      <c r="J390" s="106" t="s">
        <v>2416</v>
      </c>
    </row>
    <row r="391" spans="1:10" x14ac:dyDescent="0.2">
      <c r="A391" s="106" t="s">
        <v>406</v>
      </c>
      <c r="B391" s="106" t="s">
        <v>270</v>
      </c>
      <c r="C391" s="106" t="s">
        <v>271</v>
      </c>
      <c r="D391" s="106" t="s">
        <v>272</v>
      </c>
      <c r="E391">
        <v>3167</v>
      </c>
      <c r="F391" s="106" t="s">
        <v>776</v>
      </c>
      <c r="G391" s="106" t="s">
        <v>273</v>
      </c>
      <c r="H391" s="106" t="s">
        <v>279</v>
      </c>
      <c r="I391" t="s">
        <v>304</v>
      </c>
      <c r="J391" t="s">
        <v>2417</v>
      </c>
    </row>
    <row r="392" spans="1:10" x14ac:dyDescent="0.2">
      <c r="A392" s="106" t="s">
        <v>406</v>
      </c>
      <c r="B392" s="106" t="s">
        <v>270</v>
      </c>
      <c r="C392" s="106" t="s">
        <v>271</v>
      </c>
      <c r="D392" s="106" t="s">
        <v>272</v>
      </c>
      <c r="E392">
        <v>3388</v>
      </c>
      <c r="F392" s="106" t="s">
        <v>777</v>
      </c>
      <c r="G392" s="106" t="s">
        <v>273</v>
      </c>
      <c r="H392" s="106" t="s">
        <v>279</v>
      </c>
      <c r="I392">
        <v>204</v>
      </c>
    </row>
    <row r="393" spans="1:10" x14ac:dyDescent="0.2">
      <c r="A393" s="106" t="s">
        <v>406</v>
      </c>
      <c r="B393" s="106" t="s">
        <v>270</v>
      </c>
      <c r="C393" s="106" t="s">
        <v>271</v>
      </c>
      <c r="D393" s="106" t="s">
        <v>272</v>
      </c>
      <c r="E393">
        <v>3640</v>
      </c>
      <c r="F393" s="106" t="s">
        <v>778</v>
      </c>
      <c r="G393" s="106" t="s">
        <v>273</v>
      </c>
      <c r="H393" s="106" t="s">
        <v>284</v>
      </c>
      <c r="I393" s="106">
        <v>132</v>
      </c>
      <c r="J393" s="106"/>
    </row>
    <row r="394" spans="1:10" x14ac:dyDescent="0.2">
      <c r="A394" s="106" t="s">
        <v>406</v>
      </c>
      <c r="B394" s="106" t="s">
        <v>270</v>
      </c>
      <c r="C394" s="106" t="s">
        <v>271</v>
      </c>
      <c r="D394" s="106" t="s">
        <v>272</v>
      </c>
      <c r="E394">
        <v>4956</v>
      </c>
      <c r="F394" s="106" t="s">
        <v>2418</v>
      </c>
      <c r="G394" s="106" t="s">
        <v>273</v>
      </c>
      <c r="H394" s="106" t="s">
        <v>286</v>
      </c>
      <c r="I394" s="106">
        <v>619</v>
      </c>
      <c r="J394" s="106"/>
    </row>
    <row r="395" spans="1:10" x14ac:dyDescent="0.2">
      <c r="A395" s="106" t="s">
        <v>406</v>
      </c>
      <c r="B395" s="106" t="s">
        <v>270</v>
      </c>
      <c r="C395" s="106" t="s">
        <v>271</v>
      </c>
      <c r="D395" s="106" t="s">
        <v>272</v>
      </c>
      <c r="E395">
        <v>6471</v>
      </c>
      <c r="F395" s="106" t="s">
        <v>2419</v>
      </c>
      <c r="G395" s="106" t="s">
        <v>273</v>
      </c>
      <c r="H395" s="106" t="s">
        <v>294</v>
      </c>
      <c r="I395" s="106" t="s">
        <v>290</v>
      </c>
      <c r="J395" s="106" t="s">
        <v>2420</v>
      </c>
    </row>
    <row r="396" spans="1:10" x14ac:dyDescent="0.2">
      <c r="A396" s="106" t="s">
        <v>406</v>
      </c>
      <c r="B396" s="106" t="s">
        <v>270</v>
      </c>
      <c r="C396" s="106" t="s">
        <v>271</v>
      </c>
      <c r="D396" s="106" t="s">
        <v>272</v>
      </c>
      <c r="E396">
        <v>7551</v>
      </c>
      <c r="F396" s="106" t="s">
        <v>2004</v>
      </c>
      <c r="G396" s="106" t="s">
        <v>277</v>
      </c>
      <c r="H396" s="106" t="s">
        <v>303</v>
      </c>
      <c r="I396" s="106">
        <v>95</v>
      </c>
      <c r="J396" s="106"/>
    </row>
    <row r="397" spans="1:10" x14ac:dyDescent="0.2">
      <c r="A397" s="106" t="s">
        <v>406</v>
      </c>
      <c r="B397" s="106" t="s">
        <v>270</v>
      </c>
      <c r="C397" s="106" t="s">
        <v>271</v>
      </c>
      <c r="D397" s="106" t="s">
        <v>272</v>
      </c>
      <c r="E397">
        <v>8137</v>
      </c>
      <c r="F397" s="106" t="s">
        <v>2005</v>
      </c>
      <c r="G397" s="106" t="s">
        <v>273</v>
      </c>
      <c r="H397" s="106" t="s">
        <v>279</v>
      </c>
      <c r="I397" s="106">
        <v>179</v>
      </c>
      <c r="J397" s="106"/>
    </row>
    <row r="398" spans="1:10" x14ac:dyDescent="0.2">
      <c r="A398" s="106" t="s">
        <v>406</v>
      </c>
      <c r="B398" s="106" t="s">
        <v>270</v>
      </c>
      <c r="C398" s="106" t="s">
        <v>271</v>
      </c>
      <c r="D398" s="106" t="s">
        <v>272</v>
      </c>
      <c r="E398">
        <v>8771</v>
      </c>
      <c r="F398" s="106" t="s">
        <v>410</v>
      </c>
      <c r="G398" s="106" t="s">
        <v>273</v>
      </c>
      <c r="H398" s="106" t="s">
        <v>309</v>
      </c>
      <c r="I398" s="106">
        <v>547</v>
      </c>
      <c r="J398" s="106"/>
    </row>
    <row r="399" spans="1:10" x14ac:dyDescent="0.2">
      <c r="A399" s="106" t="s">
        <v>406</v>
      </c>
      <c r="B399" s="106" t="s">
        <v>270</v>
      </c>
      <c r="C399" s="106" t="s">
        <v>271</v>
      </c>
      <c r="D399" s="106" t="s">
        <v>272</v>
      </c>
      <c r="E399">
        <v>9020</v>
      </c>
      <c r="F399" s="106" t="s">
        <v>779</v>
      </c>
      <c r="G399" s="106" t="s">
        <v>273</v>
      </c>
      <c r="H399" s="106" t="s">
        <v>405</v>
      </c>
      <c r="I399" s="106" t="s">
        <v>780</v>
      </c>
      <c r="J399" s="106" t="s">
        <v>2421</v>
      </c>
    </row>
    <row r="400" spans="1:10" x14ac:dyDescent="0.2">
      <c r="A400" s="106" t="s">
        <v>406</v>
      </c>
      <c r="B400" s="106" t="s">
        <v>270</v>
      </c>
      <c r="C400" s="106" t="s">
        <v>271</v>
      </c>
      <c r="D400" s="106" t="s">
        <v>272</v>
      </c>
      <c r="E400">
        <v>9037</v>
      </c>
      <c r="F400" s="106" t="s">
        <v>411</v>
      </c>
      <c r="G400" s="106" t="s">
        <v>273</v>
      </c>
      <c r="H400" s="106" t="s">
        <v>405</v>
      </c>
      <c r="I400" s="106">
        <v>684</v>
      </c>
      <c r="J400" s="106"/>
    </row>
    <row r="401" spans="1:10" x14ac:dyDescent="0.2">
      <c r="A401" s="106" t="s">
        <v>406</v>
      </c>
      <c r="B401" s="106" t="s">
        <v>270</v>
      </c>
      <c r="C401" s="106" t="s">
        <v>275</v>
      </c>
      <c r="D401" s="106" t="s">
        <v>276</v>
      </c>
      <c r="E401">
        <v>9795</v>
      </c>
      <c r="F401" s="106" t="s">
        <v>2006</v>
      </c>
      <c r="G401" s="106" t="s">
        <v>273</v>
      </c>
      <c r="H401" s="106" t="s">
        <v>278</v>
      </c>
      <c r="I401" s="106">
        <v>268</v>
      </c>
      <c r="J401" s="106"/>
    </row>
    <row r="402" spans="1:10" x14ac:dyDescent="0.2">
      <c r="A402" s="106" t="s">
        <v>406</v>
      </c>
      <c r="B402" s="106" t="s">
        <v>270</v>
      </c>
      <c r="C402" s="106" t="s">
        <v>271</v>
      </c>
      <c r="D402" s="106" t="s">
        <v>272</v>
      </c>
      <c r="E402">
        <v>9995</v>
      </c>
      <c r="F402" s="106" t="s">
        <v>412</v>
      </c>
      <c r="G402" s="106" t="s">
        <v>273</v>
      </c>
      <c r="H402" s="106" t="s">
        <v>279</v>
      </c>
      <c r="I402" s="106">
        <v>118</v>
      </c>
      <c r="J402" s="106"/>
    </row>
    <row r="403" spans="1:10" x14ac:dyDescent="0.2">
      <c r="A403" s="106" t="s">
        <v>413</v>
      </c>
      <c r="B403" s="106" t="s">
        <v>337</v>
      </c>
      <c r="C403" s="106" t="s">
        <v>271</v>
      </c>
      <c r="D403" s="106" t="s">
        <v>272</v>
      </c>
      <c r="E403">
        <v>3433</v>
      </c>
      <c r="F403" s="106" t="s">
        <v>781</v>
      </c>
      <c r="G403" s="106" t="s">
        <v>273</v>
      </c>
      <c r="H403" s="106" t="s">
        <v>288</v>
      </c>
      <c r="I403" s="106">
        <v>708</v>
      </c>
      <c r="J403" s="106"/>
    </row>
    <row r="404" spans="1:10" x14ac:dyDescent="0.2">
      <c r="A404" s="106" t="s">
        <v>413</v>
      </c>
      <c r="B404" s="106" t="s">
        <v>270</v>
      </c>
      <c r="C404" s="106" t="s">
        <v>271</v>
      </c>
      <c r="D404" s="106" t="s">
        <v>272</v>
      </c>
      <c r="E404">
        <v>1946</v>
      </c>
      <c r="F404" s="106" t="s">
        <v>512</v>
      </c>
      <c r="G404" s="106" t="s">
        <v>273</v>
      </c>
      <c r="H404" s="106" t="s">
        <v>300</v>
      </c>
      <c r="I404">
        <v>744</v>
      </c>
    </row>
    <row r="405" spans="1:10" x14ac:dyDescent="0.2">
      <c r="A405" s="106" t="s">
        <v>413</v>
      </c>
      <c r="B405" s="106" t="s">
        <v>270</v>
      </c>
      <c r="C405" s="106" t="s">
        <v>271</v>
      </c>
      <c r="D405" s="106" t="s">
        <v>272</v>
      </c>
      <c r="E405">
        <v>1950</v>
      </c>
      <c r="F405" s="106" t="s">
        <v>2173</v>
      </c>
      <c r="G405" s="106" t="s">
        <v>273</v>
      </c>
      <c r="H405" s="106" t="s">
        <v>300</v>
      </c>
      <c r="I405" t="s">
        <v>304</v>
      </c>
      <c r="J405" t="s">
        <v>2422</v>
      </c>
    </row>
    <row r="406" spans="1:10" x14ac:dyDescent="0.2">
      <c r="A406" s="106" t="s">
        <v>413</v>
      </c>
      <c r="B406" s="106" t="s">
        <v>270</v>
      </c>
      <c r="C406" s="106" t="s">
        <v>271</v>
      </c>
      <c r="D406" s="106" t="s">
        <v>272</v>
      </c>
      <c r="E406">
        <v>2175</v>
      </c>
      <c r="F406" s="106" t="s">
        <v>714</v>
      </c>
      <c r="G406" s="106" t="s">
        <v>273</v>
      </c>
      <c r="H406" s="106" t="s">
        <v>278</v>
      </c>
      <c r="I406" s="106" t="s">
        <v>296</v>
      </c>
      <c r="J406" s="106" t="s">
        <v>2423</v>
      </c>
    </row>
    <row r="407" spans="1:10" x14ac:dyDescent="0.2">
      <c r="A407" s="106" t="s">
        <v>413</v>
      </c>
      <c r="B407" s="106" t="s">
        <v>270</v>
      </c>
      <c r="C407" s="106" t="s">
        <v>271</v>
      </c>
      <c r="D407" s="106" t="s">
        <v>272</v>
      </c>
      <c r="E407">
        <v>2220</v>
      </c>
      <c r="F407" s="106" t="s">
        <v>715</v>
      </c>
      <c r="G407" s="106" t="s">
        <v>273</v>
      </c>
      <c r="H407" s="106" t="s">
        <v>274</v>
      </c>
      <c r="I407" s="106" t="s">
        <v>304</v>
      </c>
      <c r="J407" s="106" t="s">
        <v>2424</v>
      </c>
    </row>
    <row r="408" spans="1:10" x14ac:dyDescent="0.2">
      <c r="A408" s="106" t="s">
        <v>413</v>
      </c>
      <c r="B408" s="106" t="s">
        <v>270</v>
      </c>
      <c r="C408" s="106" t="s">
        <v>271</v>
      </c>
      <c r="D408" s="106" t="s">
        <v>272</v>
      </c>
      <c r="E408">
        <v>2331</v>
      </c>
      <c r="F408" s="106" t="s">
        <v>716</v>
      </c>
      <c r="G408" s="106" t="s">
        <v>273</v>
      </c>
      <c r="H408" s="106" t="s">
        <v>278</v>
      </c>
      <c r="I408" t="s">
        <v>332</v>
      </c>
      <c r="J408" t="s">
        <v>2425</v>
      </c>
    </row>
    <row r="409" spans="1:10" x14ac:dyDescent="0.2">
      <c r="A409" s="106" t="s">
        <v>413</v>
      </c>
      <c r="B409" s="106" t="s">
        <v>270</v>
      </c>
      <c r="C409" s="106" t="s">
        <v>271</v>
      </c>
      <c r="D409" s="106" t="s">
        <v>272</v>
      </c>
      <c r="E409">
        <v>2497</v>
      </c>
      <c r="F409" s="106" t="s">
        <v>782</v>
      </c>
      <c r="G409" s="106" t="s">
        <v>285</v>
      </c>
      <c r="H409" s="106" t="s">
        <v>278</v>
      </c>
      <c r="I409" s="106">
        <v>328</v>
      </c>
      <c r="J409" s="106"/>
    </row>
    <row r="410" spans="1:10" x14ac:dyDescent="0.2">
      <c r="A410" s="106" t="s">
        <v>413</v>
      </c>
      <c r="B410" s="106" t="s">
        <v>270</v>
      </c>
      <c r="C410" s="106" t="s">
        <v>271</v>
      </c>
      <c r="D410" s="106" t="s">
        <v>272</v>
      </c>
      <c r="E410">
        <v>2715</v>
      </c>
      <c r="F410" s="106" t="s">
        <v>414</v>
      </c>
      <c r="G410" s="106" t="s">
        <v>273</v>
      </c>
      <c r="H410" s="106" t="s">
        <v>279</v>
      </c>
      <c r="I410" s="106">
        <v>487</v>
      </c>
      <c r="J410" s="106"/>
    </row>
    <row r="411" spans="1:10" x14ac:dyDescent="0.2">
      <c r="A411" s="106" t="s">
        <v>413</v>
      </c>
      <c r="B411" s="106" t="s">
        <v>270</v>
      </c>
      <c r="C411" s="106" t="s">
        <v>271</v>
      </c>
      <c r="D411" s="106" t="s">
        <v>276</v>
      </c>
      <c r="E411">
        <v>2892</v>
      </c>
      <c r="F411" s="106" t="s">
        <v>415</v>
      </c>
      <c r="G411" s="106" t="s">
        <v>281</v>
      </c>
      <c r="H411" s="106" t="s">
        <v>274</v>
      </c>
      <c r="I411" s="106">
        <v>85</v>
      </c>
      <c r="J411" s="106"/>
    </row>
    <row r="412" spans="1:10" x14ac:dyDescent="0.2">
      <c r="A412" s="106" t="s">
        <v>413</v>
      </c>
      <c r="B412" s="106" t="s">
        <v>270</v>
      </c>
      <c r="C412" s="106" t="s">
        <v>271</v>
      </c>
      <c r="D412" s="106" t="s">
        <v>272</v>
      </c>
      <c r="E412">
        <v>3023</v>
      </c>
      <c r="F412" s="106" t="s">
        <v>416</v>
      </c>
      <c r="G412" s="106" t="s">
        <v>273</v>
      </c>
      <c r="H412" s="106" t="s">
        <v>279</v>
      </c>
      <c r="I412" s="106">
        <v>127</v>
      </c>
      <c r="J412" s="106"/>
    </row>
    <row r="413" spans="1:10" x14ac:dyDescent="0.2">
      <c r="A413" s="106" t="s">
        <v>413</v>
      </c>
      <c r="B413" s="106" t="s">
        <v>270</v>
      </c>
      <c r="C413" s="106" t="s">
        <v>271</v>
      </c>
      <c r="D413" s="106" t="s">
        <v>272</v>
      </c>
      <c r="E413">
        <v>3092</v>
      </c>
      <c r="F413" s="106" t="s">
        <v>783</v>
      </c>
      <c r="G413" s="106" t="s">
        <v>273</v>
      </c>
      <c r="H413" s="106" t="s">
        <v>283</v>
      </c>
      <c r="I413" s="106" t="s">
        <v>332</v>
      </c>
      <c r="J413" s="106" t="s">
        <v>2426</v>
      </c>
    </row>
    <row r="414" spans="1:10" x14ac:dyDescent="0.2">
      <c r="A414" s="106" t="s">
        <v>413</v>
      </c>
      <c r="B414" s="106" t="s">
        <v>270</v>
      </c>
      <c r="C414" s="106" t="s">
        <v>271</v>
      </c>
      <c r="D414" s="106" t="s">
        <v>272</v>
      </c>
      <c r="E414">
        <v>3098</v>
      </c>
      <c r="F414" s="106" t="s">
        <v>784</v>
      </c>
      <c r="G414" s="106" t="s">
        <v>273</v>
      </c>
      <c r="H414" s="106" t="s">
        <v>283</v>
      </c>
      <c r="I414" s="106" t="s">
        <v>304</v>
      </c>
      <c r="J414" s="106" t="s">
        <v>2255</v>
      </c>
    </row>
    <row r="415" spans="1:10" x14ac:dyDescent="0.2">
      <c r="A415" s="106" t="s">
        <v>413</v>
      </c>
      <c r="B415" s="106" t="s">
        <v>270</v>
      </c>
      <c r="C415" s="106" t="s">
        <v>271</v>
      </c>
      <c r="D415" s="106" t="s">
        <v>276</v>
      </c>
      <c r="E415">
        <v>3137</v>
      </c>
      <c r="F415" s="106" t="s">
        <v>785</v>
      </c>
      <c r="G415" s="106" t="s">
        <v>285</v>
      </c>
      <c r="H415" s="106" t="s">
        <v>283</v>
      </c>
      <c r="I415" s="106">
        <v>78</v>
      </c>
      <c r="J415" s="106"/>
    </row>
    <row r="416" spans="1:10" x14ac:dyDescent="0.2">
      <c r="A416" s="106" t="s">
        <v>413</v>
      </c>
      <c r="B416" s="106" t="s">
        <v>270</v>
      </c>
      <c r="C416" s="106" t="s">
        <v>271</v>
      </c>
      <c r="D416" s="106" t="s">
        <v>272</v>
      </c>
      <c r="E416">
        <v>3513</v>
      </c>
      <c r="F416" s="106" t="s">
        <v>786</v>
      </c>
      <c r="G416" s="106" t="s">
        <v>273</v>
      </c>
      <c r="H416" s="106" t="s">
        <v>306</v>
      </c>
      <c r="I416" s="106">
        <v>76</v>
      </c>
      <c r="J416" s="106"/>
    </row>
    <row r="417" spans="1:10" x14ac:dyDescent="0.2">
      <c r="A417" s="106" t="s">
        <v>413</v>
      </c>
      <c r="B417" s="106" t="s">
        <v>270</v>
      </c>
      <c r="C417" s="106" t="s">
        <v>271</v>
      </c>
      <c r="D417" s="106" t="s">
        <v>272</v>
      </c>
      <c r="E417">
        <v>3591</v>
      </c>
      <c r="F417" s="106" t="s">
        <v>787</v>
      </c>
      <c r="G417" s="106" t="s">
        <v>273</v>
      </c>
      <c r="H417" s="106" t="s">
        <v>306</v>
      </c>
      <c r="I417" s="106" t="s">
        <v>296</v>
      </c>
      <c r="J417" s="106" t="s">
        <v>2427</v>
      </c>
    </row>
    <row r="418" spans="1:10" x14ac:dyDescent="0.2">
      <c r="A418" s="106" t="s">
        <v>413</v>
      </c>
      <c r="B418" s="106" t="s">
        <v>270</v>
      </c>
      <c r="C418" s="106" t="s">
        <v>271</v>
      </c>
      <c r="D418" s="106" t="s">
        <v>272</v>
      </c>
      <c r="E418">
        <v>3666</v>
      </c>
      <c r="F418" s="106" t="s">
        <v>788</v>
      </c>
      <c r="G418" s="106" t="s">
        <v>273</v>
      </c>
      <c r="H418" s="106" t="s">
        <v>284</v>
      </c>
      <c r="I418" s="106">
        <v>101</v>
      </c>
      <c r="J418" s="106"/>
    </row>
    <row r="419" spans="1:10" x14ac:dyDescent="0.2">
      <c r="A419" s="106" t="s">
        <v>413</v>
      </c>
      <c r="B419" s="106" t="s">
        <v>270</v>
      </c>
      <c r="C419" s="106" t="s">
        <v>271</v>
      </c>
      <c r="D419" s="106" t="s">
        <v>272</v>
      </c>
      <c r="E419">
        <v>3762</v>
      </c>
      <c r="F419" s="106" t="s">
        <v>417</v>
      </c>
      <c r="G419" s="106" t="s">
        <v>273</v>
      </c>
      <c r="H419" s="106" t="s">
        <v>284</v>
      </c>
      <c r="I419" s="106">
        <v>528</v>
      </c>
      <c r="J419" s="106"/>
    </row>
    <row r="420" spans="1:10" x14ac:dyDescent="0.2">
      <c r="A420" s="106" t="s">
        <v>413</v>
      </c>
      <c r="B420" s="106" t="s">
        <v>270</v>
      </c>
      <c r="C420" s="106" t="s">
        <v>271</v>
      </c>
      <c r="D420" s="106" t="s">
        <v>276</v>
      </c>
      <c r="E420">
        <v>3841</v>
      </c>
      <c r="F420" s="106" t="s">
        <v>418</v>
      </c>
      <c r="G420" s="106" t="s">
        <v>277</v>
      </c>
      <c r="H420" s="106" t="s">
        <v>284</v>
      </c>
      <c r="I420" s="106">
        <v>23</v>
      </c>
      <c r="J420" s="106"/>
    </row>
    <row r="421" spans="1:10" x14ac:dyDescent="0.2">
      <c r="A421" s="106" t="s">
        <v>413</v>
      </c>
      <c r="B421" s="106" t="s">
        <v>270</v>
      </c>
      <c r="C421" s="106" t="s">
        <v>271</v>
      </c>
      <c r="D421" s="106" t="s">
        <v>272</v>
      </c>
      <c r="E421">
        <v>4310</v>
      </c>
      <c r="F421" s="106" t="s">
        <v>419</v>
      </c>
      <c r="G421" s="106" t="s">
        <v>273</v>
      </c>
      <c r="H421" s="106" t="s">
        <v>278</v>
      </c>
      <c r="I421" s="106">
        <v>165</v>
      </c>
      <c r="J421" s="106"/>
    </row>
    <row r="422" spans="1:10" x14ac:dyDescent="0.2">
      <c r="A422" s="106" t="s">
        <v>413</v>
      </c>
      <c r="B422" s="106" t="s">
        <v>270</v>
      </c>
      <c r="C422" s="106" t="s">
        <v>271</v>
      </c>
      <c r="D422" s="106" t="s">
        <v>272</v>
      </c>
      <c r="E422">
        <v>4368</v>
      </c>
      <c r="F422" s="106" t="s">
        <v>420</v>
      </c>
      <c r="G422" s="106" t="s">
        <v>273</v>
      </c>
      <c r="H422" s="106" t="s">
        <v>286</v>
      </c>
      <c r="I422" s="106" t="s">
        <v>304</v>
      </c>
      <c r="J422" s="106" t="s">
        <v>2245</v>
      </c>
    </row>
    <row r="423" spans="1:10" x14ac:dyDescent="0.2">
      <c r="A423" s="106" t="s">
        <v>413</v>
      </c>
      <c r="B423" s="106" t="s">
        <v>270</v>
      </c>
      <c r="C423" s="106" t="s">
        <v>271</v>
      </c>
      <c r="D423" s="106" t="s">
        <v>272</v>
      </c>
      <c r="E423">
        <v>4816</v>
      </c>
      <c r="F423" s="106" t="s">
        <v>789</v>
      </c>
      <c r="G423" s="106" t="s">
        <v>277</v>
      </c>
      <c r="H423" s="106" t="s">
        <v>284</v>
      </c>
      <c r="I423" s="106" t="s">
        <v>296</v>
      </c>
      <c r="J423" s="106" t="s">
        <v>2428</v>
      </c>
    </row>
    <row r="424" spans="1:10" x14ac:dyDescent="0.2">
      <c r="A424" s="106" t="s">
        <v>413</v>
      </c>
      <c r="B424" s="106" t="s">
        <v>270</v>
      </c>
      <c r="C424" s="106" t="s">
        <v>271</v>
      </c>
      <c r="D424" s="106" t="s">
        <v>272</v>
      </c>
      <c r="E424">
        <v>5332</v>
      </c>
      <c r="F424" s="106" t="s">
        <v>790</v>
      </c>
      <c r="G424" s="106" t="s">
        <v>273</v>
      </c>
      <c r="H424" s="106" t="s">
        <v>315</v>
      </c>
      <c r="I424" s="106" t="s">
        <v>386</v>
      </c>
      <c r="J424" s="106" t="s">
        <v>2429</v>
      </c>
    </row>
    <row r="425" spans="1:10" x14ac:dyDescent="0.2">
      <c r="A425" s="106" t="s">
        <v>413</v>
      </c>
      <c r="B425" s="106" t="s">
        <v>270</v>
      </c>
      <c r="C425" s="106" t="s">
        <v>271</v>
      </c>
      <c r="D425" s="106" t="s">
        <v>272</v>
      </c>
      <c r="E425">
        <v>5727</v>
      </c>
      <c r="F425" s="106" t="s">
        <v>421</v>
      </c>
      <c r="G425" s="106" t="s">
        <v>273</v>
      </c>
      <c r="H425" s="106" t="s">
        <v>422</v>
      </c>
      <c r="I425" s="106">
        <v>654</v>
      </c>
      <c r="J425" s="106"/>
    </row>
    <row r="426" spans="1:10" x14ac:dyDescent="0.2">
      <c r="A426" s="106" t="s">
        <v>413</v>
      </c>
      <c r="B426" s="106" t="s">
        <v>270</v>
      </c>
      <c r="C426" s="106" t="s">
        <v>271</v>
      </c>
      <c r="D426" s="106" t="s">
        <v>272</v>
      </c>
      <c r="E426">
        <v>5955</v>
      </c>
      <c r="F426" s="106" t="s">
        <v>2430</v>
      </c>
      <c r="G426" s="106" t="s">
        <v>281</v>
      </c>
      <c r="H426" s="106" t="s">
        <v>288</v>
      </c>
      <c r="I426" s="106">
        <v>95</v>
      </c>
      <c r="J426" s="106"/>
    </row>
    <row r="427" spans="1:10" x14ac:dyDescent="0.2">
      <c r="A427" s="106" t="s">
        <v>413</v>
      </c>
      <c r="B427" s="106" t="s">
        <v>270</v>
      </c>
      <c r="C427" s="106" t="s">
        <v>282</v>
      </c>
      <c r="D427" s="106" t="s">
        <v>272</v>
      </c>
      <c r="E427">
        <v>6028</v>
      </c>
      <c r="F427" s="106" t="s">
        <v>717</v>
      </c>
      <c r="G427" s="106" t="s">
        <v>273</v>
      </c>
      <c r="H427" s="106" t="s">
        <v>278</v>
      </c>
      <c r="I427" s="106" t="s">
        <v>296</v>
      </c>
      <c r="J427" s="106" t="s">
        <v>2431</v>
      </c>
    </row>
    <row r="428" spans="1:10" x14ac:dyDescent="0.2">
      <c r="A428" s="106" t="s">
        <v>413</v>
      </c>
      <c r="B428" s="106" t="s">
        <v>270</v>
      </c>
      <c r="C428" s="106" t="s">
        <v>271</v>
      </c>
      <c r="D428" s="106" t="s">
        <v>272</v>
      </c>
      <c r="E428">
        <v>6322</v>
      </c>
      <c r="F428" s="106" t="s">
        <v>423</v>
      </c>
      <c r="G428" s="106" t="s">
        <v>281</v>
      </c>
      <c r="H428" s="106" t="s">
        <v>294</v>
      </c>
      <c r="I428" s="106">
        <v>125</v>
      </c>
      <c r="J428" s="106"/>
    </row>
    <row r="429" spans="1:10" x14ac:dyDescent="0.2">
      <c r="A429" s="106" t="s">
        <v>413</v>
      </c>
      <c r="B429" s="106" t="s">
        <v>270</v>
      </c>
      <c r="C429" s="106" t="s">
        <v>271</v>
      </c>
      <c r="D429" s="106" t="s">
        <v>272</v>
      </c>
      <c r="E429">
        <v>6659</v>
      </c>
      <c r="F429" s="106" t="s">
        <v>424</v>
      </c>
      <c r="G429" s="106" t="s">
        <v>277</v>
      </c>
      <c r="H429" s="106" t="s">
        <v>298</v>
      </c>
      <c r="I429" s="106">
        <v>18</v>
      </c>
      <c r="J429" s="106"/>
    </row>
    <row r="430" spans="1:10" x14ac:dyDescent="0.2">
      <c r="A430" s="106" t="s">
        <v>413</v>
      </c>
      <c r="B430" s="106" t="s">
        <v>270</v>
      </c>
      <c r="C430" s="106" t="s">
        <v>280</v>
      </c>
      <c r="D430" s="106" t="s">
        <v>272</v>
      </c>
      <c r="E430">
        <v>6663</v>
      </c>
      <c r="F430" s="106" t="s">
        <v>2432</v>
      </c>
      <c r="G430" s="106" t="s">
        <v>277</v>
      </c>
      <c r="H430" s="106" t="s">
        <v>298</v>
      </c>
      <c r="I430">
        <v>30</v>
      </c>
    </row>
    <row r="431" spans="1:10" x14ac:dyDescent="0.2">
      <c r="A431" s="106" t="s">
        <v>413</v>
      </c>
      <c r="B431" s="106" t="s">
        <v>270</v>
      </c>
      <c r="C431" s="106" t="s">
        <v>271</v>
      </c>
      <c r="D431" s="106" t="s">
        <v>272</v>
      </c>
      <c r="E431">
        <v>6837</v>
      </c>
      <c r="F431" s="106" t="s">
        <v>2008</v>
      </c>
      <c r="G431" s="106" t="s">
        <v>277</v>
      </c>
      <c r="H431" s="106" t="s">
        <v>298</v>
      </c>
      <c r="I431">
        <v>44</v>
      </c>
    </row>
    <row r="432" spans="1:10" x14ac:dyDescent="0.2">
      <c r="A432" s="106" t="s">
        <v>413</v>
      </c>
      <c r="B432" s="106" t="s">
        <v>270</v>
      </c>
      <c r="C432" s="106" t="s">
        <v>271</v>
      </c>
      <c r="D432" s="106" t="s">
        <v>272</v>
      </c>
      <c r="E432">
        <v>6925</v>
      </c>
      <c r="F432" s="106" t="s">
        <v>425</v>
      </c>
      <c r="G432" s="106" t="s">
        <v>273</v>
      </c>
      <c r="H432" s="106" t="s">
        <v>298</v>
      </c>
      <c r="I432" t="s">
        <v>296</v>
      </c>
      <c r="J432" t="s">
        <v>2433</v>
      </c>
    </row>
    <row r="433" spans="1:10" x14ac:dyDescent="0.2">
      <c r="A433" s="106" t="s">
        <v>413</v>
      </c>
      <c r="B433" s="106" t="s">
        <v>270</v>
      </c>
      <c r="C433" s="106" t="s">
        <v>271</v>
      </c>
      <c r="D433" s="106" t="s">
        <v>272</v>
      </c>
      <c r="E433">
        <v>7282</v>
      </c>
      <c r="F433" s="106" t="s">
        <v>426</v>
      </c>
      <c r="G433" s="106" t="s">
        <v>273</v>
      </c>
      <c r="H433" s="106" t="s">
        <v>303</v>
      </c>
      <c r="I433" s="106" t="s">
        <v>357</v>
      </c>
      <c r="J433" s="106" t="s">
        <v>2403</v>
      </c>
    </row>
    <row r="434" spans="1:10" x14ac:dyDescent="0.2">
      <c r="A434" s="106" t="s">
        <v>413</v>
      </c>
      <c r="B434" s="106" t="s">
        <v>270</v>
      </c>
      <c r="C434" s="106" t="s">
        <v>271</v>
      </c>
      <c r="D434" s="106" t="s">
        <v>272</v>
      </c>
      <c r="E434">
        <v>7510</v>
      </c>
      <c r="F434" s="106" t="s">
        <v>427</v>
      </c>
      <c r="G434" s="106" t="s">
        <v>273</v>
      </c>
      <c r="H434" s="106" t="s">
        <v>279</v>
      </c>
      <c r="I434" s="106">
        <v>220</v>
      </c>
      <c r="J434" s="106"/>
    </row>
    <row r="435" spans="1:10" x14ac:dyDescent="0.2">
      <c r="A435" s="106" t="s">
        <v>413</v>
      </c>
      <c r="B435" s="106" t="s">
        <v>270</v>
      </c>
      <c r="C435" s="106" t="s">
        <v>271</v>
      </c>
      <c r="D435" s="106" t="s">
        <v>272</v>
      </c>
      <c r="E435">
        <v>7600</v>
      </c>
      <c r="F435" s="106" t="s">
        <v>428</v>
      </c>
      <c r="G435" s="106" t="s">
        <v>273</v>
      </c>
      <c r="H435" s="106" t="s">
        <v>384</v>
      </c>
      <c r="I435" s="106">
        <v>614</v>
      </c>
      <c r="J435" s="106"/>
    </row>
    <row r="436" spans="1:10" x14ac:dyDescent="0.2">
      <c r="A436" s="106" t="s">
        <v>413</v>
      </c>
      <c r="B436" s="106" t="s">
        <v>270</v>
      </c>
      <c r="C436" s="106" t="s">
        <v>271</v>
      </c>
      <c r="D436" s="106" t="s">
        <v>272</v>
      </c>
      <c r="E436">
        <v>7838</v>
      </c>
      <c r="F436" s="106" t="s">
        <v>429</v>
      </c>
      <c r="G436" s="106" t="s">
        <v>273</v>
      </c>
      <c r="H436" s="106" t="s">
        <v>295</v>
      </c>
      <c r="I436">
        <v>81</v>
      </c>
    </row>
    <row r="437" spans="1:10" x14ac:dyDescent="0.2">
      <c r="A437" s="106" t="s">
        <v>413</v>
      </c>
      <c r="B437" s="106" t="s">
        <v>270</v>
      </c>
      <c r="C437" s="106" t="s">
        <v>271</v>
      </c>
      <c r="D437" s="106" t="s">
        <v>272</v>
      </c>
      <c r="E437">
        <v>7840</v>
      </c>
      <c r="F437" s="106" t="s">
        <v>2009</v>
      </c>
      <c r="G437" s="106" t="s">
        <v>273</v>
      </c>
      <c r="H437" s="106" t="s">
        <v>295</v>
      </c>
      <c r="I437">
        <v>404</v>
      </c>
    </row>
    <row r="438" spans="1:10" x14ac:dyDescent="0.2">
      <c r="A438" s="106" t="s">
        <v>413</v>
      </c>
      <c r="B438" s="106" t="s">
        <v>270</v>
      </c>
      <c r="C438" s="106" t="s">
        <v>271</v>
      </c>
      <c r="D438" s="106" t="s">
        <v>272</v>
      </c>
      <c r="E438">
        <v>7925</v>
      </c>
      <c r="F438" s="106" t="s">
        <v>430</v>
      </c>
      <c r="G438" s="106" t="s">
        <v>273</v>
      </c>
      <c r="H438" s="106" t="s">
        <v>286</v>
      </c>
      <c r="I438" s="106">
        <v>190</v>
      </c>
      <c r="J438" s="106"/>
    </row>
    <row r="439" spans="1:10" x14ac:dyDescent="0.2">
      <c r="A439" s="106" t="s">
        <v>413</v>
      </c>
      <c r="B439" s="106" t="s">
        <v>270</v>
      </c>
      <c r="C439" s="106" t="s">
        <v>271</v>
      </c>
      <c r="D439" s="106" t="s">
        <v>272</v>
      </c>
      <c r="E439">
        <v>8806</v>
      </c>
      <c r="F439" s="106" t="s">
        <v>431</v>
      </c>
      <c r="G439" s="106" t="s">
        <v>273</v>
      </c>
      <c r="H439" s="106" t="s">
        <v>299</v>
      </c>
      <c r="I439" s="106" t="s">
        <v>304</v>
      </c>
      <c r="J439" s="106" t="s">
        <v>2434</v>
      </c>
    </row>
    <row r="440" spans="1:10" x14ac:dyDescent="0.2">
      <c r="A440" s="106" t="s">
        <v>413</v>
      </c>
      <c r="B440" s="106" t="s">
        <v>270</v>
      </c>
      <c r="C440" s="106" t="s">
        <v>271</v>
      </c>
      <c r="D440" s="106" t="s">
        <v>272</v>
      </c>
      <c r="E440">
        <v>9044</v>
      </c>
      <c r="F440" s="106" t="s">
        <v>2435</v>
      </c>
      <c r="G440" s="106" t="s">
        <v>273</v>
      </c>
      <c r="H440" s="106" t="s">
        <v>405</v>
      </c>
      <c r="I440" s="106" t="s">
        <v>357</v>
      </c>
      <c r="J440" s="106" t="s">
        <v>2168</v>
      </c>
    </row>
    <row r="441" spans="1:10" x14ac:dyDescent="0.2">
      <c r="A441" s="106" t="s">
        <v>413</v>
      </c>
      <c r="B441" s="106" t="s">
        <v>270</v>
      </c>
      <c r="C441" s="106" t="s">
        <v>271</v>
      </c>
      <c r="D441" s="106" t="s">
        <v>272</v>
      </c>
      <c r="E441">
        <v>9502</v>
      </c>
      <c r="F441" s="106" t="s">
        <v>538</v>
      </c>
      <c r="G441" s="106" t="s">
        <v>273</v>
      </c>
      <c r="H441" s="106" t="s">
        <v>539</v>
      </c>
      <c r="I441" s="106" t="s">
        <v>540</v>
      </c>
      <c r="J441" s="106" t="s">
        <v>2436</v>
      </c>
    </row>
    <row r="442" spans="1:10" x14ac:dyDescent="0.2">
      <c r="A442" s="106" t="s">
        <v>413</v>
      </c>
      <c r="B442" s="106" t="s">
        <v>270</v>
      </c>
      <c r="C442" s="106" t="s">
        <v>271</v>
      </c>
      <c r="D442" s="106" t="s">
        <v>272</v>
      </c>
      <c r="E442">
        <v>9511</v>
      </c>
      <c r="F442" s="106" t="s">
        <v>2010</v>
      </c>
      <c r="G442" s="106" t="s">
        <v>273</v>
      </c>
      <c r="H442" s="106" t="s">
        <v>539</v>
      </c>
      <c r="I442" s="106" t="s">
        <v>304</v>
      </c>
      <c r="J442" s="106" t="s">
        <v>2259</v>
      </c>
    </row>
    <row r="443" spans="1:10" x14ac:dyDescent="0.2">
      <c r="A443" s="106" t="s">
        <v>413</v>
      </c>
      <c r="B443" s="106" t="s">
        <v>270</v>
      </c>
      <c r="C443" s="106" t="s">
        <v>271</v>
      </c>
      <c r="D443" s="106" t="s">
        <v>272</v>
      </c>
      <c r="E443">
        <v>9759</v>
      </c>
      <c r="F443" s="106" t="s">
        <v>2011</v>
      </c>
      <c r="G443" s="106" t="s">
        <v>273</v>
      </c>
      <c r="H443" s="106" t="s">
        <v>284</v>
      </c>
      <c r="I443" t="s">
        <v>304</v>
      </c>
      <c r="J443" t="s">
        <v>2437</v>
      </c>
    </row>
    <row r="444" spans="1:10" x14ac:dyDescent="0.2">
      <c r="A444" s="106" t="s">
        <v>432</v>
      </c>
      <c r="B444" s="106" t="s">
        <v>270</v>
      </c>
      <c r="C444" s="106" t="s">
        <v>271</v>
      </c>
      <c r="D444" s="106" t="s">
        <v>276</v>
      </c>
      <c r="E444">
        <v>1379</v>
      </c>
      <c r="F444" s="106" t="s">
        <v>433</v>
      </c>
      <c r="G444" s="106" t="s">
        <v>273</v>
      </c>
      <c r="H444" s="106" t="s">
        <v>321</v>
      </c>
      <c r="I444" s="106">
        <v>671</v>
      </c>
      <c r="J444" s="106"/>
    </row>
    <row r="445" spans="1:10" x14ac:dyDescent="0.2">
      <c r="A445" s="106" t="s">
        <v>432</v>
      </c>
      <c r="B445" s="106" t="s">
        <v>270</v>
      </c>
      <c r="C445" s="106" t="s">
        <v>271</v>
      </c>
      <c r="D445" s="106" t="s">
        <v>272</v>
      </c>
      <c r="E445">
        <v>1515</v>
      </c>
      <c r="F445" s="106" t="s">
        <v>2012</v>
      </c>
      <c r="G445" s="106" t="s">
        <v>273</v>
      </c>
      <c r="H445" s="106" t="s">
        <v>635</v>
      </c>
      <c r="I445" s="106">
        <v>426</v>
      </c>
      <c r="J445" s="106"/>
    </row>
    <row r="446" spans="1:10" x14ac:dyDescent="0.2">
      <c r="A446" s="106" t="s">
        <v>432</v>
      </c>
      <c r="B446" s="106" t="s">
        <v>270</v>
      </c>
      <c r="C446" s="106" t="s">
        <v>282</v>
      </c>
      <c r="D446" s="106" t="s">
        <v>276</v>
      </c>
      <c r="E446">
        <v>2428</v>
      </c>
      <c r="F446" s="106" t="s">
        <v>797</v>
      </c>
      <c r="G446" s="106" t="s">
        <v>273</v>
      </c>
      <c r="H446" s="106" t="s">
        <v>278</v>
      </c>
      <c r="I446" s="106">
        <v>144</v>
      </c>
      <c r="J446" s="106"/>
    </row>
    <row r="447" spans="1:10" x14ac:dyDescent="0.2">
      <c r="A447" s="106" t="s">
        <v>432</v>
      </c>
      <c r="B447" s="106" t="s">
        <v>270</v>
      </c>
      <c r="C447" s="106" t="s">
        <v>271</v>
      </c>
      <c r="D447" s="106" t="s">
        <v>272</v>
      </c>
      <c r="E447">
        <v>2676</v>
      </c>
      <c r="F447" s="106" t="s">
        <v>791</v>
      </c>
      <c r="G447" s="106" t="s">
        <v>273</v>
      </c>
      <c r="H447" s="106" t="s">
        <v>279</v>
      </c>
      <c r="I447" s="106">
        <v>114</v>
      </c>
      <c r="J447" s="106"/>
    </row>
    <row r="448" spans="1:10" x14ac:dyDescent="0.2">
      <c r="A448" s="106" t="s">
        <v>432</v>
      </c>
      <c r="B448" s="106" t="s">
        <v>270</v>
      </c>
      <c r="C448" s="106" t="s">
        <v>282</v>
      </c>
      <c r="D448" s="106" t="s">
        <v>272</v>
      </c>
      <c r="E448">
        <v>2689</v>
      </c>
      <c r="F448" s="106" t="s">
        <v>2013</v>
      </c>
      <c r="G448" s="106" t="s">
        <v>281</v>
      </c>
      <c r="H448" s="106" t="s">
        <v>279</v>
      </c>
      <c r="I448">
        <v>87</v>
      </c>
    </row>
    <row r="449" spans="1:10" x14ac:dyDescent="0.2">
      <c r="A449" s="106" t="s">
        <v>432</v>
      </c>
      <c r="B449" s="106" t="s">
        <v>270</v>
      </c>
      <c r="C449" s="106" t="s">
        <v>271</v>
      </c>
      <c r="D449" s="106" t="s">
        <v>272</v>
      </c>
      <c r="E449">
        <v>2907</v>
      </c>
      <c r="F449" s="106" t="s">
        <v>434</v>
      </c>
      <c r="G449" s="106" t="s">
        <v>281</v>
      </c>
      <c r="H449" s="106" t="s">
        <v>274</v>
      </c>
      <c r="I449">
        <v>66</v>
      </c>
    </row>
    <row r="450" spans="1:10" x14ac:dyDescent="0.2">
      <c r="A450" s="106" t="s">
        <v>432</v>
      </c>
      <c r="B450" s="106" t="s">
        <v>270</v>
      </c>
      <c r="C450" s="106" t="s">
        <v>271</v>
      </c>
      <c r="D450" s="106" t="s">
        <v>272</v>
      </c>
      <c r="E450">
        <v>3024</v>
      </c>
      <c r="F450" s="106" t="s">
        <v>792</v>
      </c>
      <c r="G450" s="106" t="s">
        <v>277</v>
      </c>
      <c r="H450" s="106" t="s">
        <v>279</v>
      </c>
      <c r="I450" s="106">
        <v>28</v>
      </c>
      <c r="J450" s="106"/>
    </row>
    <row r="451" spans="1:10" x14ac:dyDescent="0.2">
      <c r="A451" s="106" t="s">
        <v>432</v>
      </c>
      <c r="B451" s="106" t="s">
        <v>270</v>
      </c>
      <c r="C451" s="106" t="s">
        <v>280</v>
      </c>
      <c r="D451" s="106" t="s">
        <v>272</v>
      </c>
      <c r="E451">
        <v>3064</v>
      </c>
      <c r="F451" s="106" t="s">
        <v>2438</v>
      </c>
      <c r="G451" s="106" t="s">
        <v>273</v>
      </c>
      <c r="H451" s="106" t="s">
        <v>283</v>
      </c>
      <c r="I451" s="106" t="s">
        <v>588</v>
      </c>
      <c r="J451" s="106" t="s">
        <v>2439</v>
      </c>
    </row>
    <row r="452" spans="1:10" x14ac:dyDescent="0.2">
      <c r="A452" s="106" t="s">
        <v>432</v>
      </c>
      <c r="B452" s="106" t="s">
        <v>270</v>
      </c>
      <c r="C452" s="106" t="s">
        <v>271</v>
      </c>
      <c r="D452" s="106" t="s">
        <v>276</v>
      </c>
      <c r="E452">
        <v>3484</v>
      </c>
      <c r="F452" s="106" t="s">
        <v>793</v>
      </c>
      <c r="G452" s="106" t="s">
        <v>273</v>
      </c>
      <c r="H452" s="106" t="s">
        <v>299</v>
      </c>
      <c r="I452" s="106">
        <v>175</v>
      </c>
      <c r="J452" s="106"/>
    </row>
    <row r="453" spans="1:10" x14ac:dyDescent="0.2">
      <c r="A453" s="106" t="s">
        <v>432</v>
      </c>
      <c r="B453" s="106" t="s">
        <v>270</v>
      </c>
      <c r="C453" s="106" t="s">
        <v>271</v>
      </c>
      <c r="D453" s="106" t="s">
        <v>272</v>
      </c>
      <c r="E453">
        <v>3612</v>
      </c>
      <c r="F453" s="106" t="s">
        <v>435</v>
      </c>
      <c r="G453" s="106" t="s">
        <v>273</v>
      </c>
      <c r="H453" s="106" t="s">
        <v>306</v>
      </c>
      <c r="I453" s="106">
        <v>953</v>
      </c>
      <c r="J453" s="106"/>
    </row>
    <row r="454" spans="1:10" x14ac:dyDescent="0.2">
      <c r="A454" s="106" t="s">
        <v>432</v>
      </c>
      <c r="B454" s="106" t="s">
        <v>270</v>
      </c>
      <c r="C454" s="106" t="s">
        <v>271</v>
      </c>
      <c r="D454" s="106" t="s">
        <v>272</v>
      </c>
      <c r="E454">
        <v>4044</v>
      </c>
      <c r="F454" s="106" t="s">
        <v>2014</v>
      </c>
      <c r="G454" s="106" t="s">
        <v>273</v>
      </c>
      <c r="H454" s="106" t="s">
        <v>286</v>
      </c>
      <c r="I454" t="s">
        <v>304</v>
      </c>
      <c r="J454" t="s">
        <v>2440</v>
      </c>
    </row>
    <row r="455" spans="1:10" x14ac:dyDescent="0.2">
      <c r="A455" s="106" t="s">
        <v>432</v>
      </c>
      <c r="B455" s="106" t="s">
        <v>270</v>
      </c>
      <c r="C455" s="106" t="s">
        <v>271</v>
      </c>
      <c r="D455" s="106" t="s">
        <v>272</v>
      </c>
      <c r="E455">
        <v>4521</v>
      </c>
      <c r="F455" s="106" t="s">
        <v>794</v>
      </c>
      <c r="G455" s="106" t="s">
        <v>273</v>
      </c>
      <c r="H455" s="106" t="s">
        <v>318</v>
      </c>
      <c r="I455" t="s">
        <v>296</v>
      </c>
      <c r="J455" t="s">
        <v>2241</v>
      </c>
    </row>
    <row r="456" spans="1:10" x14ac:dyDescent="0.2">
      <c r="A456" s="106" t="s">
        <v>432</v>
      </c>
      <c r="B456" s="106" t="s">
        <v>270</v>
      </c>
      <c r="C456" s="106" t="s">
        <v>271</v>
      </c>
      <c r="D456" s="106" t="s">
        <v>272</v>
      </c>
      <c r="E456">
        <v>6005</v>
      </c>
      <c r="F456" s="106" t="s">
        <v>2015</v>
      </c>
      <c r="G456" s="106" t="s">
        <v>273</v>
      </c>
      <c r="H456" s="106" t="s">
        <v>294</v>
      </c>
      <c r="I456" t="s">
        <v>323</v>
      </c>
      <c r="J456" t="s">
        <v>2179</v>
      </c>
    </row>
    <row r="457" spans="1:10" x14ac:dyDescent="0.2">
      <c r="A457" s="106" t="s">
        <v>432</v>
      </c>
      <c r="B457" s="106" t="s">
        <v>270</v>
      </c>
      <c r="C457" s="106" t="s">
        <v>282</v>
      </c>
      <c r="D457" s="106" t="s">
        <v>272</v>
      </c>
      <c r="E457">
        <v>6920</v>
      </c>
      <c r="F457" s="106" t="s">
        <v>718</v>
      </c>
      <c r="G457" s="106" t="s">
        <v>273</v>
      </c>
      <c r="H457" s="106" t="s">
        <v>298</v>
      </c>
      <c r="I457" s="106" t="s">
        <v>290</v>
      </c>
      <c r="J457" s="106" t="s">
        <v>2441</v>
      </c>
    </row>
    <row r="458" spans="1:10" x14ac:dyDescent="0.2">
      <c r="A458" s="106" t="s">
        <v>432</v>
      </c>
      <c r="B458" s="106" t="s">
        <v>270</v>
      </c>
      <c r="C458" s="106" t="s">
        <v>271</v>
      </c>
      <c r="D458" s="106" t="s">
        <v>276</v>
      </c>
      <c r="E458">
        <v>7506</v>
      </c>
      <c r="F458" s="106" t="s">
        <v>436</v>
      </c>
      <c r="G458" s="106" t="s">
        <v>273</v>
      </c>
      <c r="H458" s="106" t="s">
        <v>283</v>
      </c>
      <c r="I458" s="106">
        <v>78</v>
      </c>
      <c r="J458" s="106"/>
    </row>
    <row r="459" spans="1:10" x14ac:dyDescent="0.2">
      <c r="A459" s="106" t="s">
        <v>432</v>
      </c>
      <c r="B459" s="106" t="s">
        <v>270</v>
      </c>
      <c r="C459" s="106" t="s">
        <v>271</v>
      </c>
      <c r="D459" s="106" t="s">
        <v>272</v>
      </c>
      <c r="E459">
        <v>7859</v>
      </c>
      <c r="F459" s="106" t="s">
        <v>437</v>
      </c>
      <c r="G459" s="106" t="s">
        <v>281</v>
      </c>
      <c r="H459" s="106" t="s">
        <v>295</v>
      </c>
      <c r="I459" s="106">
        <v>32</v>
      </c>
      <c r="J459" s="106"/>
    </row>
    <row r="460" spans="1:10" x14ac:dyDescent="0.2">
      <c r="A460" s="106" t="s">
        <v>432</v>
      </c>
      <c r="B460" s="106" t="s">
        <v>270</v>
      </c>
      <c r="C460" s="106" t="s">
        <v>271</v>
      </c>
      <c r="D460" s="106" t="s">
        <v>272</v>
      </c>
      <c r="E460">
        <v>9008</v>
      </c>
      <c r="F460" s="106" t="s">
        <v>795</v>
      </c>
      <c r="G460" s="106" t="s">
        <v>273</v>
      </c>
      <c r="H460" s="106" t="s">
        <v>405</v>
      </c>
      <c r="I460" s="106" t="s">
        <v>386</v>
      </c>
      <c r="J460" s="106" t="s">
        <v>2442</v>
      </c>
    </row>
    <row r="461" spans="1:10" x14ac:dyDescent="0.2">
      <c r="A461" s="106" t="s">
        <v>438</v>
      </c>
      <c r="B461" s="106" t="s">
        <v>337</v>
      </c>
      <c r="C461" s="106" t="s">
        <v>271</v>
      </c>
      <c r="D461" s="106" t="s">
        <v>272</v>
      </c>
      <c r="E461">
        <v>2607</v>
      </c>
      <c r="F461" s="106" t="s">
        <v>796</v>
      </c>
      <c r="G461" s="106" t="s">
        <v>273</v>
      </c>
      <c r="H461" s="106" t="s">
        <v>274</v>
      </c>
      <c r="I461" s="106" t="s">
        <v>296</v>
      </c>
      <c r="J461" s="106" t="s">
        <v>2443</v>
      </c>
    </row>
    <row r="462" spans="1:10" x14ac:dyDescent="0.2">
      <c r="A462" s="106" t="s">
        <v>438</v>
      </c>
      <c r="B462" s="106" t="s">
        <v>337</v>
      </c>
      <c r="C462" s="106" t="s">
        <v>271</v>
      </c>
      <c r="D462" s="106" t="s">
        <v>272</v>
      </c>
      <c r="E462">
        <v>4502</v>
      </c>
      <c r="F462" s="106" t="s">
        <v>439</v>
      </c>
      <c r="G462" s="106" t="s">
        <v>273</v>
      </c>
      <c r="H462" s="106" t="s">
        <v>318</v>
      </c>
      <c r="I462" t="s">
        <v>2444</v>
      </c>
      <c r="J462" t="s">
        <v>2445</v>
      </c>
    </row>
    <row r="463" spans="1:10" x14ac:dyDescent="0.2">
      <c r="A463" s="106" t="s">
        <v>438</v>
      </c>
      <c r="B463" s="106" t="s">
        <v>270</v>
      </c>
      <c r="C463" s="106" t="s">
        <v>271</v>
      </c>
      <c r="D463" s="106" t="s">
        <v>272</v>
      </c>
      <c r="E463">
        <v>2117</v>
      </c>
      <c r="F463" s="106" t="s">
        <v>719</v>
      </c>
      <c r="G463" s="106" t="s">
        <v>273</v>
      </c>
      <c r="H463" s="106" t="s">
        <v>274</v>
      </c>
      <c r="I463" s="106">
        <v>461</v>
      </c>
      <c r="J463" s="106"/>
    </row>
    <row r="464" spans="1:10" x14ac:dyDescent="0.2">
      <c r="A464" s="106" t="s">
        <v>438</v>
      </c>
      <c r="B464" s="106" t="s">
        <v>270</v>
      </c>
      <c r="C464" s="106" t="s">
        <v>280</v>
      </c>
      <c r="D464" s="106" t="s">
        <v>276</v>
      </c>
      <c r="E464">
        <v>2268</v>
      </c>
      <c r="F464" s="106" t="s">
        <v>440</v>
      </c>
      <c r="G464" s="106" t="s">
        <v>277</v>
      </c>
      <c r="H464" s="106" t="s">
        <v>274</v>
      </c>
      <c r="I464" s="106">
        <v>388</v>
      </c>
      <c r="J464" s="106"/>
    </row>
    <row r="465" spans="1:10" x14ac:dyDescent="0.2">
      <c r="A465" s="106" t="s">
        <v>438</v>
      </c>
      <c r="B465" s="106" t="s">
        <v>270</v>
      </c>
      <c r="C465" s="106" t="s">
        <v>271</v>
      </c>
      <c r="D465" s="106" t="s">
        <v>272</v>
      </c>
      <c r="E465">
        <v>2801</v>
      </c>
      <c r="F465" s="106" t="s">
        <v>2017</v>
      </c>
      <c r="G465" s="106" t="s">
        <v>273</v>
      </c>
      <c r="H465" s="106" t="s">
        <v>274</v>
      </c>
      <c r="I465" s="106" t="s">
        <v>408</v>
      </c>
      <c r="J465" s="106" t="s">
        <v>2446</v>
      </c>
    </row>
    <row r="466" spans="1:10" x14ac:dyDescent="0.2">
      <c r="A466" s="106" t="s">
        <v>438</v>
      </c>
      <c r="B466" s="106" t="s">
        <v>270</v>
      </c>
      <c r="C466" s="106" t="s">
        <v>271</v>
      </c>
      <c r="D466" s="106" t="s">
        <v>272</v>
      </c>
      <c r="E466">
        <v>2871</v>
      </c>
      <c r="F466" s="106" t="s">
        <v>798</v>
      </c>
      <c r="G466" s="106" t="s">
        <v>273</v>
      </c>
      <c r="H466" s="106" t="s">
        <v>274</v>
      </c>
      <c r="I466" t="s">
        <v>357</v>
      </c>
      <c r="J466" t="s">
        <v>2447</v>
      </c>
    </row>
    <row r="467" spans="1:10" x14ac:dyDescent="0.2">
      <c r="A467" s="106" t="s">
        <v>438</v>
      </c>
      <c r="B467" s="106" t="s">
        <v>270</v>
      </c>
      <c r="C467" s="106" t="s">
        <v>280</v>
      </c>
      <c r="D467" s="106" t="s">
        <v>272</v>
      </c>
      <c r="E467">
        <v>4452</v>
      </c>
      <c r="F467" s="106" t="s">
        <v>2448</v>
      </c>
      <c r="G467" s="106" t="s">
        <v>273</v>
      </c>
      <c r="H467" s="106" t="s">
        <v>286</v>
      </c>
      <c r="I467" t="s">
        <v>2449</v>
      </c>
      <c r="J467" t="s">
        <v>2450</v>
      </c>
    </row>
    <row r="468" spans="1:10" x14ac:dyDescent="0.2">
      <c r="A468" s="106" t="s">
        <v>438</v>
      </c>
      <c r="B468" s="106" t="s">
        <v>270</v>
      </c>
      <c r="C468" s="106" t="s">
        <v>271</v>
      </c>
      <c r="D468" s="106" t="s">
        <v>272</v>
      </c>
      <c r="E468">
        <v>6151</v>
      </c>
      <c r="F468" s="106" t="s">
        <v>441</v>
      </c>
      <c r="G468" s="106" t="s">
        <v>273</v>
      </c>
      <c r="H468" s="106" t="s">
        <v>294</v>
      </c>
      <c r="I468" s="106">
        <v>510</v>
      </c>
      <c r="J468" s="106"/>
    </row>
    <row r="469" spans="1:10" x14ac:dyDescent="0.2">
      <c r="A469" s="106" t="s">
        <v>438</v>
      </c>
      <c r="B469" s="106" t="s">
        <v>270</v>
      </c>
      <c r="C469" s="106" t="s">
        <v>271</v>
      </c>
      <c r="D469" s="106" t="s">
        <v>272</v>
      </c>
      <c r="E469">
        <v>7230</v>
      </c>
      <c r="F469" s="106" t="s">
        <v>613</v>
      </c>
      <c r="G469" s="106" t="s">
        <v>273</v>
      </c>
      <c r="H469" s="106" t="s">
        <v>303</v>
      </c>
      <c r="I469" s="106" t="s">
        <v>304</v>
      </c>
      <c r="J469" s="106" t="s">
        <v>2175</v>
      </c>
    </row>
    <row r="470" spans="1:10" x14ac:dyDescent="0.2">
      <c r="A470" s="106" t="s">
        <v>438</v>
      </c>
      <c r="B470" s="106" t="s">
        <v>270</v>
      </c>
      <c r="C470" s="106" t="s">
        <v>271</v>
      </c>
      <c r="D470" s="106" t="s">
        <v>272</v>
      </c>
      <c r="E470">
        <v>7419</v>
      </c>
      <c r="F470" s="106" t="s">
        <v>442</v>
      </c>
      <c r="G470" s="106" t="s">
        <v>273</v>
      </c>
      <c r="H470" s="106" t="s">
        <v>283</v>
      </c>
      <c r="I470" s="106" t="s">
        <v>304</v>
      </c>
      <c r="J470" s="106" t="s">
        <v>2451</v>
      </c>
    </row>
    <row r="471" spans="1:10" x14ac:dyDescent="0.2">
      <c r="A471" s="106" t="s">
        <v>438</v>
      </c>
      <c r="B471" s="106" t="s">
        <v>270</v>
      </c>
      <c r="C471" s="106" t="s">
        <v>282</v>
      </c>
      <c r="D471" s="106" t="s">
        <v>272</v>
      </c>
      <c r="E471">
        <v>8945</v>
      </c>
      <c r="F471" s="106" t="s">
        <v>720</v>
      </c>
      <c r="G471" s="106" t="s">
        <v>273</v>
      </c>
      <c r="H471" s="106" t="s">
        <v>299</v>
      </c>
      <c r="I471" s="106">
        <v>133</v>
      </c>
      <c r="J471" s="106"/>
    </row>
    <row r="472" spans="1:10" x14ac:dyDescent="0.2">
      <c r="A472" s="106" t="s">
        <v>443</v>
      </c>
      <c r="B472" s="106" t="s">
        <v>270</v>
      </c>
      <c r="C472" s="106" t="s">
        <v>271</v>
      </c>
      <c r="D472" s="106" t="s">
        <v>272</v>
      </c>
      <c r="E472">
        <v>2130</v>
      </c>
      <c r="F472" s="106" t="s">
        <v>444</v>
      </c>
      <c r="G472" s="106" t="s">
        <v>273</v>
      </c>
      <c r="H472" s="106" t="s">
        <v>278</v>
      </c>
      <c r="I472" s="106">
        <v>301</v>
      </c>
      <c r="J472" s="106"/>
    </row>
    <row r="473" spans="1:10" x14ac:dyDescent="0.2">
      <c r="A473" s="106" t="s">
        <v>443</v>
      </c>
      <c r="B473" s="106" t="s">
        <v>270</v>
      </c>
      <c r="C473" s="106" t="s">
        <v>271</v>
      </c>
      <c r="D473" s="106" t="s">
        <v>276</v>
      </c>
      <c r="E473">
        <v>3464</v>
      </c>
      <c r="F473" s="106" t="s">
        <v>597</v>
      </c>
      <c r="G473" s="106" t="s">
        <v>273</v>
      </c>
      <c r="H473" s="106" t="s">
        <v>299</v>
      </c>
      <c r="I473">
        <v>82</v>
      </c>
    </row>
    <row r="474" spans="1:10" x14ac:dyDescent="0.2">
      <c r="A474" s="106" t="s">
        <v>443</v>
      </c>
      <c r="B474" s="106" t="s">
        <v>270</v>
      </c>
      <c r="C474" s="106" t="s">
        <v>282</v>
      </c>
      <c r="D474" s="106" t="s">
        <v>272</v>
      </c>
      <c r="E474">
        <v>3916</v>
      </c>
      <c r="F474" s="106" t="s">
        <v>2452</v>
      </c>
      <c r="G474" s="106" t="s">
        <v>273</v>
      </c>
      <c r="H474" s="106" t="s">
        <v>284</v>
      </c>
      <c r="I474">
        <v>263</v>
      </c>
    </row>
    <row r="475" spans="1:10" x14ac:dyDescent="0.2">
      <c r="A475" s="106" t="s">
        <v>443</v>
      </c>
      <c r="B475" s="106" t="s">
        <v>270</v>
      </c>
      <c r="C475" s="106" t="s">
        <v>271</v>
      </c>
      <c r="D475" s="106" t="s">
        <v>272</v>
      </c>
      <c r="E475">
        <v>4091</v>
      </c>
      <c r="F475" s="106" t="s">
        <v>2018</v>
      </c>
      <c r="G475" s="106" t="s">
        <v>273</v>
      </c>
      <c r="H475" s="106" t="s">
        <v>286</v>
      </c>
      <c r="I475" t="s">
        <v>408</v>
      </c>
      <c r="J475" t="s">
        <v>2453</v>
      </c>
    </row>
    <row r="476" spans="1:10" x14ac:dyDescent="0.2">
      <c r="A476" s="106" t="s">
        <v>443</v>
      </c>
      <c r="B476" s="106" t="s">
        <v>270</v>
      </c>
      <c r="C476" s="106" t="s">
        <v>271</v>
      </c>
      <c r="D476" s="106" t="s">
        <v>272</v>
      </c>
      <c r="E476">
        <v>4183</v>
      </c>
      <c r="F476" s="106" t="s">
        <v>2019</v>
      </c>
      <c r="G476" s="106" t="s">
        <v>273</v>
      </c>
      <c r="H476" s="106" t="s">
        <v>286</v>
      </c>
      <c r="I476" s="106" t="s">
        <v>290</v>
      </c>
      <c r="J476" s="106" t="s">
        <v>2261</v>
      </c>
    </row>
    <row r="477" spans="1:10" x14ac:dyDescent="0.2">
      <c r="A477" s="106" t="s">
        <v>443</v>
      </c>
      <c r="B477" s="106" t="s">
        <v>270</v>
      </c>
      <c r="C477" s="106" t="s">
        <v>271</v>
      </c>
      <c r="D477" s="106" t="s">
        <v>272</v>
      </c>
      <c r="E477">
        <v>4403</v>
      </c>
      <c r="F477" s="106" t="s">
        <v>2020</v>
      </c>
      <c r="G477" s="106" t="s">
        <v>273</v>
      </c>
      <c r="H477" s="106" t="s">
        <v>286</v>
      </c>
      <c r="I477" t="s">
        <v>357</v>
      </c>
      <c r="J477" t="s">
        <v>2454</v>
      </c>
    </row>
    <row r="478" spans="1:10" x14ac:dyDescent="0.2">
      <c r="A478" s="106" t="s">
        <v>443</v>
      </c>
      <c r="B478" s="106" t="s">
        <v>270</v>
      </c>
      <c r="C478" s="106" t="s">
        <v>271</v>
      </c>
      <c r="D478" s="106" t="s">
        <v>272</v>
      </c>
      <c r="E478">
        <v>4485</v>
      </c>
      <c r="F478" s="106" t="s">
        <v>2176</v>
      </c>
      <c r="G478" s="106" t="s">
        <v>285</v>
      </c>
      <c r="H478" s="106" t="s">
        <v>284</v>
      </c>
      <c r="I478" s="106">
        <v>721</v>
      </c>
      <c r="J478" s="106"/>
    </row>
    <row r="479" spans="1:10" x14ac:dyDescent="0.2">
      <c r="A479" s="106" t="s">
        <v>443</v>
      </c>
      <c r="B479" s="106" t="s">
        <v>270</v>
      </c>
      <c r="C479" s="106" t="s">
        <v>271</v>
      </c>
      <c r="D479" s="106" t="s">
        <v>272</v>
      </c>
      <c r="E479">
        <v>4516</v>
      </c>
      <c r="F479" s="106" t="s">
        <v>2021</v>
      </c>
      <c r="G479" s="106" t="s">
        <v>273</v>
      </c>
      <c r="H479" s="106" t="s">
        <v>318</v>
      </c>
      <c r="I479" s="106" t="s">
        <v>332</v>
      </c>
      <c r="J479" s="106" t="s">
        <v>2174</v>
      </c>
    </row>
    <row r="480" spans="1:10" x14ac:dyDescent="0.2">
      <c r="A480" s="106" t="s">
        <v>443</v>
      </c>
      <c r="B480" s="106" t="s">
        <v>270</v>
      </c>
      <c r="C480" s="106" t="s">
        <v>271</v>
      </c>
      <c r="D480" s="106" t="s">
        <v>276</v>
      </c>
      <c r="E480">
        <v>6678</v>
      </c>
      <c r="F480" s="106" t="s">
        <v>445</v>
      </c>
      <c r="G480" s="106" t="s">
        <v>273</v>
      </c>
      <c r="H480" s="106" t="s">
        <v>298</v>
      </c>
      <c r="I480">
        <v>182</v>
      </c>
    </row>
    <row r="481" spans="1:10" x14ac:dyDescent="0.2">
      <c r="A481" s="106" t="s">
        <v>443</v>
      </c>
      <c r="B481" s="106" t="s">
        <v>270</v>
      </c>
      <c r="C481" s="106" t="s">
        <v>271</v>
      </c>
      <c r="D481" s="106" t="s">
        <v>272</v>
      </c>
      <c r="E481">
        <v>6875</v>
      </c>
      <c r="F481" s="106" t="s">
        <v>446</v>
      </c>
      <c r="G481" s="106" t="s">
        <v>273</v>
      </c>
      <c r="H481" s="106" t="s">
        <v>298</v>
      </c>
      <c r="I481" s="106">
        <v>445</v>
      </c>
      <c r="J481" s="106"/>
    </row>
    <row r="482" spans="1:10" x14ac:dyDescent="0.2">
      <c r="A482" s="106" t="s">
        <v>443</v>
      </c>
      <c r="B482" s="106" t="s">
        <v>270</v>
      </c>
      <c r="C482" s="106" t="s">
        <v>282</v>
      </c>
      <c r="D482" s="106" t="s">
        <v>272</v>
      </c>
      <c r="E482">
        <v>7532</v>
      </c>
      <c r="F482" s="106" t="s">
        <v>721</v>
      </c>
      <c r="G482" s="106" t="s">
        <v>273</v>
      </c>
      <c r="H482" s="106" t="s">
        <v>283</v>
      </c>
      <c r="I482" s="106" t="s">
        <v>540</v>
      </c>
      <c r="J482" s="106" t="s">
        <v>2455</v>
      </c>
    </row>
    <row r="483" spans="1:10" x14ac:dyDescent="0.2">
      <c r="A483" s="106" t="s">
        <v>447</v>
      </c>
      <c r="B483" s="106" t="s">
        <v>337</v>
      </c>
      <c r="C483" s="106" t="s">
        <v>280</v>
      </c>
      <c r="D483" s="106" t="s">
        <v>272</v>
      </c>
      <c r="E483">
        <v>2914</v>
      </c>
      <c r="F483" s="106" t="s">
        <v>722</v>
      </c>
      <c r="G483" s="106" t="s">
        <v>273</v>
      </c>
      <c r="H483" s="106" t="s">
        <v>274</v>
      </c>
      <c r="I483" t="s">
        <v>799</v>
      </c>
      <c r="J483" t="s">
        <v>2456</v>
      </c>
    </row>
    <row r="484" spans="1:10" x14ac:dyDescent="0.2">
      <c r="A484" s="106" t="s">
        <v>447</v>
      </c>
      <c r="B484" s="106" t="s">
        <v>337</v>
      </c>
      <c r="C484" s="106" t="s">
        <v>282</v>
      </c>
      <c r="D484" s="106" t="s">
        <v>272</v>
      </c>
      <c r="E484">
        <v>4385</v>
      </c>
      <c r="F484" s="106" t="s">
        <v>800</v>
      </c>
      <c r="G484" s="106" t="s">
        <v>285</v>
      </c>
      <c r="H484" s="106" t="s">
        <v>284</v>
      </c>
      <c r="I484" t="s">
        <v>357</v>
      </c>
      <c r="J484" t="s">
        <v>2457</v>
      </c>
    </row>
    <row r="485" spans="1:10" x14ac:dyDescent="0.2">
      <c r="A485" s="106" t="s">
        <v>447</v>
      </c>
      <c r="B485" s="106" t="s">
        <v>270</v>
      </c>
      <c r="C485" s="106" t="s">
        <v>271</v>
      </c>
      <c r="D485" s="106" t="s">
        <v>272</v>
      </c>
      <c r="E485">
        <v>2372</v>
      </c>
      <c r="F485" s="106" t="s">
        <v>448</v>
      </c>
      <c r="G485" s="106" t="s">
        <v>273</v>
      </c>
      <c r="H485" s="106" t="s">
        <v>278</v>
      </c>
      <c r="I485" s="106">
        <v>177</v>
      </c>
      <c r="J485" s="106"/>
    </row>
    <row r="486" spans="1:10" x14ac:dyDescent="0.2">
      <c r="A486" s="106" t="s">
        <v>447</v>
      </c>
      <c r="B486" s="106" t="s">
        <v>270</v>
      </c>
      <c r="C486" s="106" t="s">
        <v>271</v>
      </c>
      <c r="D486" s="106" t="s">
        <v>272</v>
      </c>
      <c r="E486">
        <v>2487</v>
      </c>
      <c r="F486" s="106" t="s">
        <v>801</v>
      </c>
      <c r="G486" s="106" t="s">
        <v>273</v>
      </c>
      <c r="H486" s="106" t="s">
        <v>278</v>
      </c>
      <c r="I486" s="106">
        <v>89</v>
      </c>
      <c r="J486" s="106"/>
    </row>
    <row r="487" spans="1:10" x14ac:dyDescent="0.2">
      <c r="A487" s="106" t="s">
        <v>447</v>
      </c>
      <c r="B487" s="106" t="s">
        <v>270</v>
      </c>
      <c r="C487" s="106" t="s">
        <v>282</v>
      </c>
      <c r="D487" s="106" t="s">
        <v>272</v>
      </c>
      <c r="E487">
        <v>3242</v>
      </c>
      <c r="F487" s="106" t="s">
        <v>449</v>
      </c>
      <c r="G487" s="106" t="s">
        <v>277</v>
      </c>
      <c r="H487" s="106" t="s">
        <v>299</v>
      </c>
      <c r="I487" s="106">
        <v>110</v>
      </c>
      <c r="J487" s="106"/>
    </row>
    <row r="488" spans="1:10" x14ac:dyDescent="0.2">
      <c r="A488" s="106" t="s">
        <v>447</v>
      </c>
      <c r="B488" s="106" t="s">
        <v>270</v>
      </c>
      <c r="C488" s="106" t="s">
        <v>271</v>
      </c>
      <c r="D488" s="106" t="s">
        <v>276</v>
      </c>
      <c r="E488">
        <v>3634</v>
      </c>
      <c r="F488" s="106" t="s">
        <v>802</v>
      </c>
      <c r="G488" s="106" t="s">
        <v>285</v>
      </c>
      <c r="H488" s="106" t="s">
        <v>284</v>
      </c>
      <c r="I488" s="106">
        <v>34</v>
      </c>
      <c r="J488" s="106"/>
    </row>
    <row r="489" spans="1:10" x14ac:dyDescent="0.2">
      <c r="A489" s="106" t="s">
        <v>447</v>
      </c>
      <c r="B489" s="106" t="s">
        <v>270</v>
      </c>
      <c r="C489" s="106" t="s">
        <v>271</v>
      </c>
      <c r="D489" s="106" t="s">
        <v>276</v>
      </c>
      <c r="E489">
        <v>3837</v>
      </c>
      <c r="F489" s="106" t="s">
        <v>803</v>
      </c>
      <c r="G489" s="106" t="s">
        <v>273</v>
      </c>
      <c r="H489" s="106" t="s">
        <v>284</v>
      </c>
      <c r="I489">
        <v>215</v>
      </c>
    </row>
    <row r="490" spans="1:10" x14ac:dyDescent="0.2">
      <c r="A490" s="106" t="s">
        <v>447</v>
      </c>
      <c r="B490" s="106" t="s">
        <v>270</v>
      </c>
      <c r="C490" s="106" t="s">
        <v>271</v>
      </c>
      <c r="D490" s="106" t="s">
        <v>272</v>
      </c>
      <c r="E490">
        <v>4626</v>
      </c>
      <c r="F490" s="106" t="s">
        <v>450</v>
      </c>
      <c r="G490" s="106" t="s">
        <v>273</v>
      </c>
      <c r="H490" s="106" t="s">
        <v>286</v>
      </c>
      <c r="I490" s="106" t="s">
        <v>304</v>
      </c>
      <c r="J490" s="106" t="s">
        <v>2458</v>
      </c>
    </row>
    <row r="491" spans="1:10" x14ac:dyDescent="0.2">
      <c r="A491" s="106" t="s">
        <v>447</v>
      </c>
      <c r="B491" s="106" t="s">
        <v>270</v>
      </c>
      <c r="C491" s="106" t="s">
        <v>282</v>
      </c>
      <c r="D491" s="106" t="s">
        <v>276</v>
      </c>
      <c r="E491">
        <v>6195</v>
      </c>
      <c r="F491" s="106" t="s">
        <v>2459</v>
      </c>
      <c r="G491" s="106" t="s">
        <v>285</v>
      </c>
      <c r="H491" s="106" t="s">
        <v>278</v>
      </c>
      <c r="I491">
        <v>148</v>
      </c>
    </row>
    <row r="492" spans="1:10" x14ac:dyDescent="0.2">
      <c r="A492" s="106" t="s">
        <v>447</v>
      </c>
      <c r="B492" s="106" t="s">
        <v>270</v>
      </c>
      <c r="C492" s="106" t="s">
        <v>271</v>
      </c>
      <c r="D492" s="106" t="s">
        <v>272</v>
      </c>
      <c r="E492">
        <v>6569</v>
      </c>
      <c r="F492" s="106" t="s">
        <v>451</v>
      </c>
      <c r="G492" s="106" t="s">
        <v>273</v>
      </c>
      <c r="H492" s="106" t="s">
        <v>278</v>
      </c>
      <c r="I492" s="106">
        <v>363</v>
      </c>
      <c r="J492" s="106"/>
    </row>
    <row r="493" spans="1:10" x14ac:dyDescent="0.2">
      <c r="A493" s="106" t="s">
        <v>447</v>
      </c>
      <c r="B493" s="106" t="s">
        <v>270</v>
      </c>
      <c r="C493" s="106" t="s">
        <v>271</v>
      </c>
      <c r="D493" s="106" t="s">
        <v>272</v>
      </c>
      <c r="E493">
        <v>6715</v>
      </c>
      <c r="F493" s="106" t="s">
        <v>2022</v>
      </c>
      <c r="G493" s="106" t="s">
        <v>273</v>
      </c>
      <c r="H493" s="106" t="s">
        <v>298</v>
      </c>
      <c r="I493" s="106">
        <v>80</v>
      </c>
      <c r="J493" s="106"/>
    </row>
    <row r="494" spans="1:10" x14ac:dyDescent="0.2">
      <c r="A494" s="106" t="s">
        <v>447</v>
      </c>
      <c r="B494" s="106" t="s">
        <v>270</v>
      </c>
      <c r="C494" s="106" t="s">
        <v>271</v>
      </c>
      <c r="D494" s="106" t="s">
        <v>272</v>
      </c>
      <c r="E494">
        <v>7703</v>
      </c>
      <c r="F494" s="106" t="s">
        <v>452</v>
      </c>
      <c r="G494" s="106" t="s">
        <v>281</v>
      </c>
      <c r="H494" s="106" t="s">
        <v>384</v>
      </c>
      <c r="I494" s="106">
        <v>212</v>
      </c>
      <c r="J494" s="106"/>
    </row>
    <row r="495" spans="1:10" x14ac:dyDescent="0.2">
      <c r="A495" s="106" t="s">
        <v>447</v>
      </c>
      <c r="B495" s="106" t="s">
        <v>270</v>
      </c>
      <c r="C495" s="106" t="s">
        <v>271</v>
      </c>
      <c r="D495" s="106" t="s">
        <v>272</v>
      </c>
      <c r="E495">
        <v>7952</v>
      </c>
      <c r="F495" s="106" t="s">
        <v>453</v>
      </c>
      <c r="G495" s="106" t="s">
        <v>273</v>
      </c>
      <c r="H495" s="106" t="s">
        <v>295</v>
      </c>
      <c r="I495">
        <v>342</v>
      </c>
    </row>
    <row r="496" spans="1:10" x14ac:dyDescent="0.2">
      <c r="A496" s="106" t="s">
        <v>447</v>
      </c>
      <c r="B496" s="106" t="s">
        <v>270</v>
      </c>
      <c r="C496" s="106" t="s">
        <v>271</v>
      </c>
      <c r="D496" s="106" t="s">
        <v>272</v>
      </c>
      <c r="E496">
        <v>9024</v>
      </c>
      <c r="F496" s="106" t="s">
        <v>2023</v>
      </c>
      <c r="G496" s="106" t="s">
        <v>273</v>
      </c>
      <c r="H496" s="106" t="s">
        <v>405</v>
      </c>
      <c r="I496" s="106" t="s">
        <v>332</v>
      </c>
      <c r="J496" s="106" t="s">
        <v>1881</v>
      </c>
    </row>
    <row r="497" spans="1:10" x14ac:dyDescent="0.2">
      <c r="A497" s="106" t="s">
        <v>447</v>
      </c>
      <c r="B497" s="106" t="s">
        <v>270</v>
      </c>
      <c r="C497" s="106" t="s">
        <v>271</v>
      </c>
      <c r="D497" s="106" t="s">
        <v>272</v>
      </c>
      <c r="E497">
        <v>9324</v>
      </c>
      <c r="F497" s="106" t="s">
        <v>2460</v>
      </c>
      <c r="G497" s="106" t="s">
        <v>273</v>
      </c>
      <c r="H497" s="106" t="s">
        <v>626</v>
      </c>
      <c r="I497">
        <v>313</v>
      </c>
    </row>
    <row r="498" spans="1:10" x14ac:dyDescent="0.2">
      <c r="A498" s="106" t="s">
        <v>454</v>
      </c>
      <c r="B498" s="106" t="s">
        <v>337</v>
      </c>
      <c r="C498" s="106" t="s">
        <v>271</v>
      </c>
      <c r="D498" s="106" t="s">
        <v>272</v>
      </c>
      <c r="E498">
        <v>8093</v>
      </c>
      <c r="F498" s="106" t="s">
        <v>804</v>
      </c>
      <c r="G498" s="106" t="s">
        <v>273</v>
      </c>
      <c r="H498" s="106" t="s">
        <v>279</v>
      </c>
      <c r="I498" s="106">
        <v>144</v>
      </c>
      <c r="J498" s="106"/>
    </row>
    <row r="499" spans="1:10" x14ac:dyDescent="0.2">
      <c r="A499" s="106" t="s">
        <v>454</v>
      </c>
      <c r="B499" s="106" t="s">
        <v>270</v>
      </c>
      <c r="C499" s="106" t="s">
        <v>271</v>
      </c>
      <c r="D499" s="106" t="s">
        <v>272</v>
      </c>
      <c r="E499">
        <v>1721</v>
      </c>
      <c r="F499" s="106" t="s">
        <v>2024</v>
      </c>
      <c r="G499" s="106" t="s">
        <v>273</v>
      </c>
      <c r="H499" s="106" t="s">
        <v>300</v>
      </c>
      <c r="I499" s="106" t="s">
        <v>323</v>
      </c>
      <c r="J499" s="106" t="s">
        <v>2007</v>
      </c>
    </row>
    <row r="500" spans="1:10" x14ac:dyDescent="0.2">
      <c r="A500" s="106" t="s">
        <v>454</v>
      </c>
      <c r="B500" s="106" t="s">
        <v>270</v>
      </c>
      <c r="C500" s="106" t="s">
        <v>271</v>
      </c>
      <c r="D500" s="106" t="s">
        <v>272</v>
      </c>
      <c r="E500">
        <v>1801</v>
      </c>
      <c r="F500" s="106" t="s">
        <v>455</v>
      </c>
      <c r="G500" s="106" t="s">
        <v>273</v>
      </c>
      <c r="H500" s="106" t="s">
        <v>300</v>
      </c>
      <c r="I500" t="s">
        <v>408</v>
      </c>
      <c r="J500" t="s">
        <v>2424</v>
      </c>
    </row>
    <row r="501" spans="1:10" x14ac:dyDescent="0.2">
      <c r="A501" s="106" t="s">
        <v>454</v>
      </c>
      <c r="B501" s="106" t="s">
        <v>270</v>
      </c>
      <c r="C501" s="106" t="s">
        <v>271</v>
      </c>
      <c r="D501" s="106" t="s">
        <v>272</v>
      </c>
      <c r="E501">
        <v>1813</v>
      </c>
      <c r="F501" s="106" t="s">
        <v>457</v>
      </c>
      <c r="G501" s="106" t="s">
        <v>273</v>
      </c>
      <c r="H501" s="106" t="s">
        <v>300</v>
      </c>
      <c r="I501">
        <v>274</v>
      </c>
    </row>
    <row r="502" spans="1:10" x14ac:dyDescent="0.2">
      <c r="A502" s="106" t="s">
        <v>454</v>
      </c>
      <c r="B502" s="106" t="s">
        <v>270</v>
      </c>
      <c r="C502" s="106" t="s">
        <v>271</v>
      </c>
      <c r="D502" s="106" t="s">
        <v>272</v>
      </c>
      <c r="E502">
        <v>1835</v>
      </c>
      <c r="F502" s="106" t="s">
        <v>458</v>
      </c>
      <c r="G502" s="106" t="s">
        <v>273</v>
      </c>
      <c r="H502" s="106" t="s">
        <v>300</v>
      </c>
      <c r="I502" t="s">
        <v>304</v>
      </c>
      <c r="J502" t="s">
        <v>2379</v>
      </c>
    </row>
    <row r="503" spans="1:10" x14ac:dyDescent="0.2">
      <c r="A503" s="106" t="s">
        <v>454</v>
      </c>
      <c r="B503" s="106" t="s">
        <v>270</v>
      </c>
      <c r="C503" s="106" t="s">
        <v>271</v>
      </c>
      <c r="D503" s="106" t="s">
        <v>276</v>
      </c>
      <c r="E503">
        <v>1853</v>
      </c>
      <c r="F503" s="106" t="s">
        <v>459</v>
      </c>
      <c r="G503" s="106" t="s">
        <v>281</v>
      </c>
      <c r="H503" s="106" t="s">
        <v>300</v>
      </c>
      <c r="I503" s="106">
        <v>103</v>
      </c>
      <c r="J503" s="106"/>
    </row>
    <row r="504" spans="1:10" x14ac:dyDescent="0.2">
      <c r="A504" s="106" t="s">
        <v>454</v>
      </c>
      <c r="B504" s="106" t="s">
        <v>270</v>
      </c>
      <c r="C504" s="106" t="s">
        <v>271</v>
      </c>
      <c r="D504" s="106" t="s">
        <v>272</v>
      </c>
      <c r="E504">
        <v>1909</v>
      </c>
      <c r="F504" s="106" t="s">
        <v>460</v>
      </c>
      <c r="G504" s="106" t="s">
        <v>273</v>
      </c>
      <c r="H504" s="106" t="s">
        <v>294</v>
      </c>
      <c r="I504" s="106">
        <v>119</v>
      </c>
      <c r="J504" s="106"/>
    </row>
    <row r="505" spans="1:10" x14ac:dyDescent="0.2">
      <c r="A505" s="106" t="s">
        <v>454</v>
      </c>
      <c r="B505" s="106" t="s">
        <v>270</v>
      </c>
      <c r="C505" s="106" t="s">
        <v>271</v>
      </c>
      <c r="D505" s="106" t="s">
        <v>272</v>
      </c>
      <c r="E505">
        <v>1961</v>
      </c>
      <c r="F505" s="106" t="s">
        <v>461</v>
      </c>
      <c r="G505" s="106" t="s">
        <v>273</v>
      </c>
      <c r="H505" s="106" t="s">
        <v>300</v>
      </c>
      <c r="I505">
        <v>922</v>
      </c>
    </row>
    <row r="506" spans="1:10" x14ac:dyDescent="0.2">
      <c r="A506" s="106" t="s">
        <v>454</v>
      </c>
      <c r="B506" s="106" t="s">
        <v>270</v>
      </c>
      <c r="C506" s="106" t="s">
        <v>271</v>
      </c>
      <c r="D506" s="106" t="s">
        <v>272</v>
      </c>
      <c r="E506">
        <v>1969</v>
      </c>
      <c r="F506" s="106" t="s">
        <v>462</v>
      </c>
      <c r="G506" s="106" t="s">
        <v>273</v>
      </c>
      <c r="H506" s="106" t="s">
        <v>300</v>
      </c>
      <c r="I506" t="s">
        <v>304</v>
      </c>
      <c r="J506" t="s">
        <v>2461</v>
      </c>
    </row>
    <row r="507" spans="1:10" x14ac:dyDescent="0.2">
      <c r="A507" s="106" t="s">
        <v>454</v>
      </c>
      <c r="B507" s="106" t="s">
        <v>270</v>
      </c>
      <c r="C507" s="106" t="s">
        <v>280</v>
      </c>
      <c r="D507" s="106" t="s">
        <v>272</v>
      </c>
      <c r="E507">
        <v>2193</v>
      </c>
      <c r="F507" s="106" t="s">
        <v>2462</v>
      </c>
      <c r="G507" s="106" t="s">
        <v>273</v>
      </c>
      <c r="H507" s="106" t="s">
        <v>278</v>
      </c>
      <c r="I507">
        <v>386</v>
      </c>
    </row>
    <row r="508" spans="1:10" x14ac:dyDescent="0.2">
      <c r="A508" s="106" t="s">
        <v>454</v>
      </c>
      <c r="B508" s="106" t="s">
        <v>270</v>
      </c>
      <c r="C508" s="106" t="s">
        <v>271</v>
      </c>
      <c r="D508" s="106" t="s">
        <v>272</v>
      </c>
      <c r="E508">
        <v>2307</v>
      </c>
      <c r="F508" s="106" t="s">
        <v>805</v>
      </c>
      <c r="G508" s="106" t="s">
        <v>273</v>
      </c>
      <c r="H508" s="106" t="s">
        <v>284</v>
      </c>
      <c r="I508" s="106">
        <v>106</v>
      </c>
      <c r="J508" s="106"/>
    </row>
    <row r="509" spans="1:10" x14ac:dyDescent="0.2">
      <c r="A509" s="106" t="s">
        <v>454</v>
      </c>
      <c r="B509" s="106" t="s">
        <v>270</v>
      </c>
      <c r="C509" s="106" t="s">
        <v>271</v>
      </c>
      <c r="D509" s="106" t="s">
        <v>272</v>
      </c>
      <c r="E509">
        <v>2342</v>
      </c>
      <c r="F509" s="106" t="s">
        <v>2025</v>
      </c>
      <c r="G509" s="106" t="s">
        <v>285</v>
      </c>
      <c r="H509" s="106" t="s">
        <v>278</v>
      </c>
      <c r="I509" s="106">
        <v>70</v>
      </c>
      <c r="J509" s="106"/>
    </row>
    <row r="510" spans="1:10" x14ac:dyDescent="0.2">
      <c r="A510" s="106" t="s">
        <v>454</v>
      </c>
      <c r="B510" s="106" t="s">
        <v>270</v>
      </c>
      <c r="C510" s="106" t="s">
        <v>271</v>
      </c>
      <c r="D510" s="106" t="s">
        <v>272</v>
      </c>
      <c r="E510">
        <v>2475</v>
      </c>
      <c r="F510" s="106" t="s">
        <v>806</v>
      </c>
      <c r="G510" s="106" t="s">
        <v>273</v>
      </c>
      <c r="H510" s="106" t="s">
        <v>278</v>
      </c>
      <c r="I510" s="106">
        <v>546</v>
      </c>
      <c r="J510" s="106"/>
    </row>
    <row r="511" spans="1:10" x14ac:dyDescent="0.2">
      <c r="A511" s="106" t="s">
        <v>454</v>
      </c>
      <c r="B511" s="106" t="s">
        <v>270</v>
      </c>
      <c r="C511" s="106" t="s">
        <v>271</v>
      </c>
      <c r="D511" s="106" t="s">
        <v>272</v>
      </c>
      <c r="E511">
        <v>2480</v>
      </c>
      <c r="F511" s="106" t="s">
        <v>807</v>
      </c>
      <c r="G511" s="106" t="s">
        <v>277</v>
      </c>
      <c r="H511" s="106" t="s">
        <v>278</v>
      </c>
      <c r="I511" s="106">
        <v>61</v>
      </c>
      <c r="J511" s="106"/>
    </row>
    <row r="512" spans="1:10" x14ac:dyDescent="0.2">
      <c r="A512" s="106" t="s">
        <v>454</v>
      </c>
      <c r="B512" s="106" t="s">
        <v>270</v>
      </c>
      <c r="C512" s="106" t="s">
        <v>271</v>
      </c>
      <c r="D512" s="106" t="s">
        <v>272</v>
      </c>
      <c r="E512">
        <v>2815</v>
      </c>
      <c r="F512" s="106" t="s">
        <v>463</v>
      </c>
      <c r="G512" s="106" t="s">
        <v>273</v>
      </c>
      <c r="H512" s="106" t="s">
        <v>274</v>
      </c>
      <c r="I512" t="s">
        <v>296</v>
      </c>
      <c r="J512" t="s">
        <v>2436</v>
      </c>
    </row>
    <row r="513" spans="1:10" x14ac:dyDescent="0.2">
      <c r="A513" s="106" t="s">
        <v>454</v>
      </c>
      <c r="B513" s="106" t="s">
        <v>270</v>
      </c>
      <c r="C513" s="106" t="s">
        <v>271</v>
      </c>
      <c r="D513" s="106" t="s">
        <v>272</v>
      </c>
      <c r="E513">
        <v>2911</v>
      </c>
      <c r="F513" s="106" t="s">
        <v>808</v>
      </c>
      <c r="G513" s="106" t="s">
        <v>281</v>
      </c>
      <c r="H513" s="106" t="s">
        <v>274</v>
      </c>
      <c r="I513" s="106">
        <v>40</v>
      </c>
      <c r="J513" s="106"/>
    </row>
    <row r="514" spans="1:10" x14ac:dyDescent="0.2">
      <c r="A514" s="106" t="s">
        <v>454</v>
      </c>
      <c r="B514" s="106" t="s">
        <v>270</v>
      </c>
      <c r="C514" s="106" t="s">
        <v>271</v>
      </c>
      <c r="D514" s="106" t="s">
        <v>272</v>
      </c>
      <c r="E514">
        <v>3109</v>
      </c>
      <c r="F514" s="106" t="s">
        <v>464</v>
      </c>
      <c r="G514" s="106" t="s">
        <v>273</v>
      </c>
      <c r="H514" s="106" t="s">
        <v>306</v>
      </c>
      <c r="I514" s="106">
        <v>120</v>
      </c>
      <c r="J514" s="106"/>
    </row>
    <row r="515" spans="1:10" x14ac:dyDescent="0.2">
      <c r="A515" s="106" t="s">
        <v>454</v>
      </c>
      <c r="B515" s="106" t="s">
        <v>270</v>
      </c>
      <c r="C515" s="106" t="s">
        <v>280</v>
      </c>
      <c r="D515" s="106" t="s">
        <v>272</v>
      </c>
      <c r="E515">
        <v>3482</v>
      </c>
      <c r="F515" s="106" t="s">
        <v>809</v>
      </c>
      <c r="G515" s="106" t="s">
        <v>285</v>
      </c>
      <c r="H515" s="106" t="s">
        <v>299</v>
      </c>
      <c r="I515" s="106">
        <v>227</v>
      </c>
      <c r="J515" s="106"/>
    </row>
    <row r="516" spans="1:10" x14ac:dyDescent="0.2">
      <c r="A516" s="106" t="s">
        <v>454</v>
      </c>
      <c r="B516" s="106" t="s">
        <v>270</v>
      </c>
      <c r="C516" s="106" t="s">
        <v>280</v>
      </c>
      <c r="D516" s="106" t="s">
        <v>276</v>
      </c>
      <c r="E516">
        <v>3671</v>
      </c>
      <c r="F516" s="106" t="s">
        <v>2026</v>
      </c>
      <c r="G516" s="106" t="s">
        <v>285</v>
      </c>
      <c r="H516" s="106" t="s">
        <v>284</v>
      </c>
      <c r="I516">
        <v>59</v>
      </c>
    </row>
    <row r="517" spans="1:10" x14ac:dyDescent="0.2">
      <c r="A517" s="106" t="s">
        <v>454</v>
      </c>
      <c r="B517" s="106" t="s">
        <v>270</v>
      </c>
      <c r="C517" s="106" t="s">
        <v>275</v>
      </c>
      <c r="D517" s="106" t="s">
        <v>272</v>
      </c>
      <c r="E517">
        <v>3690</v>
      </c>
      <c r="F517" s="106" t="s">
        <v>810</v>
      </c>
      <c r="G517" s="106" t="s">
        <v>285</v>
      </c>
      <c r="H517" s="106" t="s">
        <v>284</v>
      </c>
      <c r="I517">
        <v>76</v>
      </c>
    </row>
    <row r="518" spans="1:10" x14ac:dyDescent="0.2">
      <c r="A518" s="106" t="s">
        <v>454</v>
      </c>
      <c r="B518" s="106" t="s">
        <v>270</v>
      </c>
      <c r="C518" s="106" t="s">
        <v>271</v>
      </c>
      <c r="D518" s="106" t="s">
        <v>272</v>
      </c>
      <c r="E518">
        <v>3766</v>
      </c>
      <c r="F518" s="106" t="s">
        <v>465</v>
      </c>
      <c r="G518" s="106" t="s">
        <v>277</v>
      </c>
      <c r="H518" s="106" t="s">
        <v>284</v>
      </c>
      <c r="I518">
        <v>25</v>
      </c>
    </row>
    <row r="519" spans="1:10" x14ac:dyDescent="0.2">
      <c r="A519" s="106" t="s">
        <v>454</v>
      </c>
      <c r="B519" s="106" t="s">
        <v>270</v>
      </c>
      <c r="C519" s="106" t="s">
        <v>271</v>
      </c>
      <c r="D519" s="106" t="s">
        <v>272</v>
      </c>
      <c r="E519">
        <v>3798</v>
      </c>
      <c r="F519" s="106" t="s">
        <v>2027</v>
      </c>
      <c r="G519" s="106" t="s">
        <v>277</v>
      </c>
      <c r="H519" s="106" t="s">
        <v>284</v>
      </c>
      <c r="I519" s="106">
        <v>173</v>
      </c>
      <c r="J519" s="106"/>
    </row>
    <row r="520" spans="1:10" x14ac:dyDescent="0.2">
      <c r="A520" s="106" t="s">
        <v>454</v>
      </c>
      <c r="B520" s="106" t="s">
        <v>270</v>
      </c>
      <c r="C520" s="106" t="s">
        <v>271</v>
      </c>
      <c r="D520" s="106" t="s">
        <v>272</v>
      </c>
      <c r="E520">
        <v>4540</v>
      </c>
      <c r="F520" s="106" t="s">
        <v>466</v>
      </c>
      <c r="G520" s="106" t="s">
        <v>273</v>
      </c>
      <c r="H520" s="106" t="s">
        <v>318</v>
      </c>
      <c r="I520" s="106" t="s">
        <v>296</v>
      </c>
      <c r="J520" s="106" t="s">
        <v>2463</v>
      </c>
    </row>
    <row r="521" spans="1:10" x14ac:dyDescent="0.2">
      <c r="A521" s="106" t="s">
        <v>454</v>
      </c>
      <c r="B521" s="106" t="s">
        <v>270</v>
      </c>
      <c r="C521" s="106" t="s">
        <v>280</v>
      </c>
      <c r="D521" s="106" t="s">
        <v>276</v>
      </c>
      <c r="E521">
        <v>4588</v>
      </c>
      <c r="F521" s="106" t="s">
        <v>467</v>
      </c>
      <c r="G521" s="106" t="s">
        <v>285</v>
      </c>
      <c r="H521" s="106" t="s">
        <v>318</v>
      </c>
      <c r="I521" s="106">
        <v>273</v>
      </c>
      <c r="J521" s="106"/>
    </row>
    <row r="522" spans="1:10" x14ac:dyDescent="0.2">
      <c r="A522" s="106" t="s">
        <v>454</v>
      </c>
      <c r="B522" s="106" t="s">
        <v>270</v>
      </c>
      <c r="C522" s="106" t="s">
        <v>271</v>
      </c>
      <c r="D522" s="106" t="s">
        <v>272</v>
      </c>
      <c r="E522">
        <v>4777</v>
      </c>
      <c r="F522" s="106" t="s">
        <v>468</v>
      </c>
      <c r="G522" s="106" t="s">
        <v>277</v>
      </c>
      <c r="H522" s="106" t="s">
        <v>284</v>
      </c>
      <c r="I522" s="106">
        <v>52</v>
      </c>
      <c r="J522" s="106"/>
    </row>
    <row r="523" spans="1:10" x14ac:dyDescent="0.2">
      <c r="A523" s="106" t="s">
        <v>454</v>
      </c>
      <c r="B523" s="106" t="s">
        <v>270</v>
      </c>
      <c r="C523" s="106" t="s">
        <v>271</v>
      </c>
      <c r="D523" s="106" t="s">
        <v>276</v>
      </c>
      <c r="E523">
        <v>4960</v>
      </c>
      <c r="F523" s="106" t="s">
        <v>2464</v>
      </c>
      <c r="G523" s="106" t="s">
        <v>281</v>
      </c>
      <c r="H523" s="106" t="s">
        <v>286</v>
      </c>
      <c r="I523" s="106">
        <v>40</v>
      </c>
      <c r="J523" s="106"/>
    </row>
    <row r="524" spans="1:10" x14ac:dyDescent="0.2">
      <c r="A524" s="106" t="s">
        <v>454</v>
      </c>
      <c r="B524" s="106" t="s">
        <v>270</v>
      </c>
      <c r="C524" s="106" t="s">
        <v>271</v>
      </c>
      <c r="D524" s="106" t="s">
        <v>276</v>
      </c>
      <c r="E524">
        <v>4970</v>
      </c>
      <c r="F524" s="106" t="s">
        <v>811</v>
      </c>
      <c r="G524" s="106" t="s">
        <v>277</v>
      </c>
      <c r="H524" s="106" t="s">
        <v>286</v>
      </c>
      <c r="I524" s="106">
        <v>354</v>
      </c>
      <c r="J524" s="106"/>
    </row>
    <row r="525" spans="1:10" x14ac:dyDescent="0.2">
      <c r="A525" s="106" t="s">
        <v>454</v>
      </c>
      <c r="B525" s="106" t="s">
        <v>270</v>
      </c>
      <c r="C525" s="106" t="s">
        <v>271</v>
      </c>
      <c r="D525" s="106" t="s">
        <v>272</v>
      </c>
      <c r="E525">
        <v>5602</v>
      </c>
      <c r="F525" s="106" t="s">
        <v>812</v>
      </c>
      <c r="G525" s="106" t="s">
        <v>273</v>
      </c>
      <c r="H525" s="106" t="s">
        <v>813</v>
      </c>
      <c r="I525">
        <v>293</v>
      </c>
    </row>
    <row r="526" spans="1:10" x14ac:dyDescent="0.2">
      <c r="A526" s="106" t="s">
        <v>454</v>
      </c>
      <c r="B526" s="106" t="s">
        <v>270</v>
      </c>
      <c r="C526" s="106" t="s">
        <v>271</v>
      </c>
      <c r="D526" s="106" t="s">
        <v>272</v>
      </c>
      <c r="E526">
        <v>5713</v>
      </c>
      <c r="F526" s="106" t="s">
        <v>469</v>
      </c>
      <c r="G526" s="106" t="s">
        <v>273</v>
      </c>
      <c r="H526" s="106" t="s">
        <v>422</v>
      </c>
      <c r="I526" s="106" t="s">
        <v>408</v>
      </c>
      <c r="J526" s="106" t="s">
        <v>2465</v>
      </c>
    </row>
    <row r="527" spans="1:10" x14ac:dyDescent="0.2">
      <c r="A527" s="106" t="s">
        <v>454</v>
      </c>
      <c r="B527" s="106" t="s">
        <v>270</v>
      </c>
      <c r="C527" s="106" t="s">
        <v>271</v>
      </c>
      <c r="D527" s="106" t="s">
        <v>272</v>
      </c>
      <c r="E527">
        <v>6101</v>
      </c>
      <c r="F527" s="106" t="s">
        <v>2466</v>
      </c>
      <c r="G527" s="106" t="s">
        <v>273</v>
      </c>
      <c r="H527" s="106" t="s">
        <v>294</v>
      </c>
      <c r="I527" s="106">
        <v>607</v>
      </c>
      <c r="J527" s="106"/>
    </row>
    <row r="528" spans="1:10" x14ac:dyDescent="0.2">
      <c r="A528" s="106" t="s">
        <v>454</v>
      </c>
      <c r="B528" s="106" t="s">
        <v>270</v>
      </c>
      <c r="C528" s="106" t="s">
        <v>280</v>
      </c>
      <c r="D528" s="106" t="s">
        <v>272</v>
      </c>
      <c r="E528">
        <v>6268</v>
      </c>
      <c r="F528" s="106" t="s">
        <v>2028</v>
      </c>
      <c r="G528" s="106" t="s">
        <v>273</v>
      </c>
      <c r="H528" s="106" t="s">
        <v>294</v>
      </c>
      <c r="I528" s="106" t="s">
        <v>323</v>
      </c>
      <c r="J528" s="106" t="s">
        <v>2356</v>
      </c>
    </row>
    <row r="529" spans="1:10" x14ac:dyDescent="0.2">
      <c r="A529" s="106" t="s">
        <v>454</v>
      </c>
      <c r="B529" s="106" t="s">
        <v>270</v>
      </c>
      <c r="C529" s="106" t="s">
        <v>271</v>
      </c>
      <c r="D529" s="106" t="s">
        <v>272</v>
      </c>
      <c r="E529">
        <v>6485</v>
      </c>
      <c r="F529" s="106" t="s">
        <v>470</v>
      </c>
      <c r="G529" s="106" t="s">
        <v>273</v>
      </c>
      <c r="H529" s="106" t="s">
        <v>294</v>
      </c>
      <c r="I529" s="106">
        <v>264</v>
      </c>
      <c r="J529" s="106"/>
    </row>
    <row r="530" spans="1:10" x14ac:dyDescent="0.2">
      <c r="A530" s="106" t="s">
        <v>454</v>
      </c>
      <c r="B530" s="106" t="s">
        <v>270</v>
      </c>
      <c r="C530" s="106" t="s">
        <v>271</v>
      </c>
      <c r="D530" s="106" t="s">
        <v>272</v>
      </c>
      <c r="E530">
        <v>6834</v>
      </c>
      <c r="F530" s="106" t="s">
        <v>2467</v>
      </c>
      <c r="G530" s="106" t="s">
        <v>277</v>
      </c>
      <c r="H530" s="106" t="s">
        <v>298</v>
      </c>
      <c r="I530" s="106">
        <v>306</v>
      </c>
      <c r="J530" s="106"/>
    </row>
    <row r="531" spans="1:10" x14ac:dyDescent="0.2">
      <c r="A531" s="106" t="s">
        <v>454</v>
      </c>
      <c r="B531" s="106" t="s">
        <v>270</v>
      </c>
      <c r="C531" s="106" t="s">
        <v>280</v>
      </c>
      <c r="D531" s="106" t="s">
        <v>272</v>
      </c>
      <c r="E531">
        <v>6929</v>
      </c>
      <c r="F531" s="106" t="s">
        <v>471</v>
      </c>
      <c r="G531" s="106" t="s">
        <v>273</v>
      </c>
      <c r="H531" s="106" t="s">
        <v>298</v>
      </c>
      <c r="I531">
        <v>756</v>
      </c>
    </row>
    <row r="532" spans="1:10" x14ac:dyDescent="0.2">
      <c r="A532" s="106" t="s">
        <v>454</v>
      </c>
      <c r="B532" s="106" t="s">
        <v>270</v>
      </c>
      <c r="C532" s="106" t="s">
        <v>271</v>
      </c>
      <c r="D532" s="106" t="s">
        <v>272</v>
      </c>
      <c r="E532">
        <v>6986</v>
      </c>
      <c r="F532" s="106" t="s">
        <v>2029</v>
      </c>
      <c r="G532" s="106" t="s">
        <v>273</v>
      </c>
      <c r="H532" s="106" t="s">
        <v>298</v>
      </c>
      <c r="I532">
        <v>582</v>
      </c>
    </row>
    <row r="533" spans="1:10" x14ac:dyDescent="0.2">
      <c r="A533" s="106" t="s">
        <v>454</v>
      </c>
      <c r="B533" s="106" t="s">
        <v>270</v>
      </c>
      <c r="C533" s="106" t="s">
        <v>271</v>
      </c>
      <c r="D533" s="106" t="s">
        <v>272</v>
      </c>
      <c r="E533">
        <v>7480</v>
      </c>
      <c r="F533" s="106" t="s">
        <v>472</v>
      </c>
      <c r="G533" s="106" t="s">
        <v>273</v>
      </c>
      <c r="H533" s="106" t="s">
        <v>279</v>
      </c>
      <c r="I533">
        <v>218</v>
      </c>
    </row>
    <row r="534" spans="1:10" x14ac:dyDescent="0.2">
      <c r="A534" s="106" t="s">
        <v>454</v>
      </c>
      <c r="B534" s="106" t="s">
        <v>270</v>
      </c>
      <c r="C534" s="106" t="s">
        <v>282</v>
      </c>
      <c r="D534" s="106" t="s">
        <v>272</v>
      </c>
      <c r="E534">
        <v>9028</v>
      </c>
      <c r="F534" s="106" t="s">
        <v>2030</v>
      </c>
      <c r="G534" s="106" t="s">
        <v>281</v>
      </c>
      <c r="H534" s="106" t="s">
        <v>405</v>
      </c>
      <c r="I534">
        <v>193</v>
      </c>
    </row>
    <row r="535" spans="1:10" x14ac:dyDescent="0.2">
      <c r="A535" s="106" t="s">
        <v>454</v>
      </c>
      <c r="B535" s="106" t="s">
        <v>270</v>
      </c>
      <c r="C535" s="106" t="s">
        <v>271</v>
      </c>
      <c r="D535" s="106" t="s">
        <v>272</v>
      </c>
      <c r="E535">
        <v>9880</v>
      </c>
      <c r="F535" s="106" t="s">
        <v>473</v>
      </c>
      <c r="G535" s="106" t="s">
        <v>273</v>
      </c>
      <c r="H535" s="106" t="s">
        <v>279</v>
      </c>
      <c r="I535">
        <v>172</v>
      </c>
    </row>
    <row r="536" spans="1:10" x14ac:dyDescent="0.2">
      <c r="A536" s="106" t="s">
        <v>454</v>
      </c>
      <c r="B536" s="106" t="s">
        <v>270</v>
      </c>
      <c r="C536" s="106" t="s">
        <v>271</v>
      </c>
      <c r="D536" s="106" t="s">
        <v>272</v>
      </c>
      <c r="E536">
        <v>9994</v>
      </c>
      <c r="F536" s="106" t="s">
        <v>474</v>
      </c>
      <c r="G536" s="106" t="s">
        <v>273</v>
      </c>
      <c r="H536" s="106" t="s">
        <v>283</v>
      </c>
      <c r="I536" s="106">
        <v>249</v>
      </c>
      <c r="J536" s="106"/>
    </row>
    <row r="537" spans="1:10" x14ac:dyDescent="0.2">
      <c r="A537" s="106" t="s">
        <v>2031</v>
      </c>
      <c r="B537" s="106" t="s">
        <v>270</v>
      </c>
      <c r="C537" s="106" t="s">
        <v>282</v>
      </c>
      <c r="D537" s="106" t="s">
        <v>272</v>
      </c>
      <c r="E537">
        <v>6327</v>
      </c>
      <c r="F537" s="106" t="s">
        <v>2032</v>
      </c>
      <c r="G537" s="106" t="s">
        <v>277</v>
      </c>
      <c r="H537" s="106" t="s">
        <v>294</v>
      </c>
      <c r="I537" s="106">
        <v>34</v>
      </c>
      <c r="J537" s="106"/>
    </row>
    <row r="538" spans="1:10" x14ac:dyDescent="0.2">
      <c r="A538" s="106" t="s">
        <v>475</v>
      </c>
      <c r="B538" s="106" t="s">
        <v>2033</v>
      </c>
      <c r="C538" s="106" t="s">
        <v>280</v>
      </c>
      <c r="D538" s="106" t="s">
        <v>272</v>
      </c>
      <c r="E538">
        <v>9830</v>
      </c>
      <c r="F538" s="106" t="s">
        <v>2034</v>
      </c>
      <c r="G538" s="106" t="s">
        <v>273</v>
      </c>
      <c r="H538" s="106" t="s">
        <v>279</v>
      </c>
      <c r="I538" t="s">
        <v>304</v>
      </c>
      <c r="J538" t="s">
        <v>2468</v>
      </c>
    </row>
    <row r="539" spans="1:10" x14ac:dyDescent="0.2">
      <c r="A539" s="106" t="s">
        <v>475</v>
      </c>
      <c r="B539" s="106" t="s">
        <v>270</v>
      </c>
      <c r="C539" s="106" t="s">
        <v>271</v>
      </c>
      <c r="D539" s="106" t="s">
        <v>272</v>
      </c>
      <c r="E539">
        <v>1979</v>
      </c>
      <c r="F539" s="106" t="s">
        <v>476</v>
      </c>
      <c r="G539" s="106" t="s">
        <v>273</v>
      </c>
      <c r="H539" s="106" t="s">
        <v>300</v>
      </c>
      <c r="I539" t="s">
        <v>304</v>
      </c>
      <c r="J539" t="s">
        <v>2264</v>
      </c>
    </row>
    <row r="540" spans="1:10" x14ac:dyDescent="0.2">
      <c r="A540" s="106" t="s">
        <v>475</v>
      </c>
      <c r="B540" s="106" t="s">
        <v>270</v>
      </c>
      <c r="C540" s="106" t="s">
        <v>271</v>
      </c>
      <c r="D540" s="106" t="s">
        <v>272</v>
      </c>
      <c r="E540">
        <v>2201</v>
      </c>
      <c r="F540" s="106" t="s">
        <v>723</v>
      </c>
      <c r="G540" s="106" t="s">
        <v>273</v>
      </c>
      <c r="H540" s="106" t="s">
        <v>274</v>
      </c>
      <c r="I540" t="s">
        <v>296</v>
      </c>
      <c r="J540" t="s">
        <v>2469</v>
      </c>
    </row>
    <row r="541" spans="1:10" x14ac:dyDescent="0.2">
      <c r="A541" s="106" t="s">
        <v>475</v>
      </c>
      <c r="B541" s="106" t="s">
        <v>270</v>
      </c>
      <c r="C541" s="106" t="s">
        <v>280</v>
      </c>
      <c r="D541" s="106" t="s">
        <v>272</v>
      </c>
      <c r="E541">
        <v>2384</v>
      </c>
      <c r="F541" s="106" t="s">
        <v>724</v>
      </c>
      <c r="G541" s="106" t="s">
        <v>273</v>
      </c>
      <c r="H541" s="106" t="s">
        <v>405</v>
      </c>
      <c r="I541">
        <v>771</v>
      </c>
    </row>
    <row r="542" spans="1:10" x14ac:dyDescent="0.2">
      <c r="A542" s="106" t="s">
        <v>475</v>
      </c>
      <c r="B542" s="106" t="s">
        <v>270</v>
      </c>
      <c r="C542" s="106" t="s">
        <v>271</v>
      </c>
      <c r="D542" s="106" t="s">
        <v>272</v>
      </c>
      <c r="E542">
        <v>2398</v>
      </c>
      <c r="F542" s="106" t="s">
        <v>725</v>
      </c>
      <c r="G542" s="106" t="s">
        <v>273</v>
      </c>
      <c r="H542" s="106" t="s">
        <v>278</v>
      </c>
      <c r="I542">
        <v>418</v>
      </c>
    </row>
    <row r="543" spans="1:10" x14ac:dyDescent="0.2">
      <c r="A543" s="106" t="s">
        <v>475</v>
      </c>
      <c r="B543" s="106" t="s">
        <v>270</v>
      </c>
      <c r="C543" s="106" t="s">
        <v>271</v>
      </c>
      <c r="D543" s="106" t="s">
        <v>276</v>
      </c>
      <c r="E543">
        <v>3133</v>
      </c>
      <c r="F543" s="106" t="s">
        <v>2470</v>
      </c>
      <c r="G543" s="106" t="s">
        <v>285</v>
      </c>
      <c r="H543" s="106" t="s">
        <v>283</v>
      </c>
      <c r="I543">
        <v>26</v>
      </c>
    </row>
    <row r="544" spans="1:10" x14ac:dyDescent="0.2">
      <c r="A544" s="106" t="s">
        <v>475</v>
      </c>
      <c r="B544" s="106" t="s">
        <v>270</v>
      </c>
      <c r="C544" s="106" t="s">
        <v>271</v>
      </c>
      <c r="D544" s="106" t="s">
        <v>272</v>
      </c>
      <c r="E544">
        <v>3183</v>
      </c>
      <c r="F544" s="106" t="s">
        <v>2035</v>
      </c>
      <c r="G544" s="106" t="s">
        <v>273</v>
      </c>
      <c r="H544" s="106" t="s">
        <v>279</v>
      </c>
      <c r="I544">
        <v>440</v>
      </c>
    </row>
    <row r="545" spans="1:10" x14ac:dyDescent="0.2">
      <c r="A545" s="106" t="s">
        <v>475</v>
      </c>
      <c r="B545" s="106" t="s">
        <v>270</v>
      </c>
      <c r="C545" s="106" t="s">
        <v>271</v>
      </c>
      <c r="D545" s="106" t="s">
        <v>272</v>
      </c>
      <c r="E545">
        <v>6155</v>
      </c>
      <c r="F545" s="106" t="s">
        <v>2036</v>
      </c>
      <c r="G545" s="106" t="s">
        <v>281</v>
      </c>
      <c r="H545" s="106" t="s">
        <v>294</v>
      </c>
      <c r="I545">
        <v>98</v>
      </c>
    </row>
    <row r="546" spans="1:10" x14ac:dyDescent="0.2">
      <c r="A546" s="106" t="s">
        <v>475</v>
      </c>
      <c r="B546" s="106" t="s">
        <v>270</v>
      </c>
      <c r="C546" s="106" t="s">
        <v>271</v>
      </c>
      <c r="D546" s="106" t="s">
        <v>272</v>
      </c>
      <c r="E546">
        <v>6324</v>
      </c>
      <c r="F546" s="106" t="s">
        <v>814</v>
      </c>
      <c r="G546" s="106" t="s">
        <v>277</v>
      </c>
      <c r="H546" s="106" t="s">
        <v>294</v>
      </c>
      <c r="I546" t="s">
        <v>323</v>
      </c>
      <c r="J546" t="s">
        <v>2471</v>
      </c>
    </row>
    <row r="547" spans="1:10" x14ac:dyDescent="0.2">
      <c r="A547" s="106" t="s">
        <v>475</v>
      </c>
      <c r="B547" s="106" t="s">
        <v>270</v>
      </c>
      <c r="C547" s="106" t="s">
        <v>271</v>
      </c>
      <c r="D547" s="106" t="s">
        <v>272</v>
      </c>
      <c r="E547">
        <v>7215</v>
      </c>
      <c r="F547" s="106" t="s">
        <v>2037</v>
      </c>
      <c r="G547" s="106" t="s">
        <v>273</v>
      </c>
      <c r="H547" s="106" t="s">
        <v>303</v>
      </c>
      <c r="I547">
        <v>112</v>
      </c>
    </row>
    <row r="548" spans="1:10" x14ac:dyDescent="0.2">
      <c r="A548" s="106" t="s">
        <v>475</v>
      </c>
      <c r="B548" s="106" t="s">
        <v>270</v>
      </c>
      <c r="C548" s="106" t="s">
        <v>282</v>
      </c>
      <c r="D548" s="106" t="s">
        <v>272</v>
      </c>
      <c r="E548">
        <v>7320</v>
      </c>
      <c r="F548" s="106" t="s">
        <v>726</v>
      </c>
      <c r="G548" s="106" t="s">
        <v>285</v>
      </c>
      <c r="H548" s="106" t="s">
        <v>309</v>
      </c>
      <c r="I548">
        <v>73</v>
      </c>
    </row>
    <row r="549" spans="1:10" x14ac:dyDescent="0.2">
      <c r="A549" s="106" t="s">
        <v>475</v>
      </c>
      <c r="B549" s="106" t="s">
        <v>270</v>
      </c>
      <c r="C549" s="106" t="s">
        <v>271</v>
      </c>
      <c r="D549" s="106" t="s">
        <v>272</v>
      </c>
      <c r="E549">
        <v>8108</v>
      </c>
      <c r="F549" s="106" t="s">
        <v>477</v>
      </c>
      <c r="G549" s="106" t="s">
        <v>478</v>
      </c>
      <c r="H549" s="106" t="s">
        <v>279</v>
      </c>
      <c r="I549">
        <v>267</v>
      </c>
    </row>
    <row r="550" spans="1:10" x14ac:dyDescent="0.2">
      <c r="A550" s="106" t="s">
        <v>475</v>
      </c>
      <c r="B550" s="106" t="s">
        <v>270</v>
      </c>
      <c r="C550" s="106" t="s">
        <v>271</v>
      </c>
      <c r="D550" s="106" t="s">
        <v>272</v>
      </c>
      <c r="E550">
        <v>9479</v>
      </c>
      <c r="F550" s="106" t="s">
        <v>2038</v>
      </c>
      <c r="G550" s="106" t="s">
        <v>273</v>
      </c>
      <c r="H550" s="106" t="s">
        <v>284</v>
      </c>
      <c r="I550">
        <v>71</v>
      </c>
    </row>
    <row r="551" spans="1:10" x14ac:dyDescent="0.2">
      <c r="A551" s="106" t="s">
        <v>479</v>
      </c>
      <c r="B551" s="106" t="s">
        <v>337</v>
      </c>
      <c r="C551" s="106" t="s">
        <v>275</v>
      </c>
      <c r="D551" s="106" t="s">
        <v>272</v>
      </c>
      <c r="E551">
        <v>7069</v>
      </c>
      <c r="F551" s="106" t="s">
        <v>2039</v>
      </c>
      <c r="G551" s="106" t="s">
        <v>285</v>
      </c>
      <c r="H551" s="106" t="s">
        <v>278</v>
      </c>
      <c r="I551">
        <v>205</v>
      </c>
    </row>
    <row r="552" spans="1:10" x14ac:dyDescent="0.2">
      <c r="A552" s="106" t="s">
        <v>479</v>
      </c>
      <c r="B552" s="106" t="s">
        <v>270</v>
      </c>
      <c r="C552" s="106" t="s">
        <v>271</v>
      </c>
      <c r="D552" s="106" t="s">
        <v>272</v>
      </c>
      <c r="E552">
        <v>1762</v>
      </c>
      <c r="F552" s="106" t="s">
        <v>480</v>
      </c>
      <c r="G552" s="106" t="s">
        <v>273</v>
      </c>
      <c r="H552" s="106" t="s">
        <v>300</v>
      </c>
      <c r="I552" t="s">
        <v>304</v>
      </c>
      <c r="J552" t="s">
        <v>2472</v>
      </c>
    </row>
    <row r="553" spans="1:10" x14ac:dyDescent="0.2">
      <c r="A553" s="106" t="s">
        <v>479</v>
      </c>
      <c r="B553" s="106" t="s">
        <v>270</v>
      </c>
      <c r="C553" s="106" t="s">
        <v>271</v>
      </c>
      <c r="D553" s="106" t="s">
        <v>272</v>
      </c>
      <c r="E553">
        <v>1821</v>
      </c>
      <c r="F553" s="106" t="s">
        <v>481</v>
      </c>
      <c r="G553" s="106" t="s">
        <v>273</v>
      </c>
      <c r="H553" s="106" t="s">
        <v>300</v>
      </c>
      <c r="I553" t="s">
        <v>304</v>
      </c>
      <c r="J553" t="s">
        <v>2250</v>
      </c>
    </row>
    <row r="554" spans="1:10" x14ac:dyDescent="0.2">
      <c r="A554" s="106" t="s">
        <v>479</v>
      </c>
      <c r="B554" s="106" t="s">
        <v>270</v>
      </c>
      <c r="C554" s="106" t="s">
        <v>275</v>
      </c>
      <c r="D554" s="106" t="s">
        <v>272</v>
      </c>
      <c r="E554">
        <v>2122</v>
      </c>
      <c r="F554" s="106" t="s">
        <v>2040</v>
      </c>
      <c r="G554" s="106" t="s">
        <v>285</v>
      </c>
      <c r="H554" s="106" t="s">
        <v>278</v>
      </c>
      <c r="I554">
        <v>77</v>
      </c>
    </row>
    <row r="555" spans="1:10" x14ac:dyDescent="0.2">
      <c r="A555" s="106" t="s">
        <v>479</v>
      </c>
      <c r="B555" s="106" t="s">
        <v>270</v>
      </c>
      <c r="C555" s="106" t="s">
        <v>271</v>
      </c>
      <c r="D555" s="106" t="s">
        <v>272</v>
      </c>
      <c r="E555">
        <v>2196</v>
      </c>
      <c r="F555" s="106" t="s">
        <v>727</v>
      </c>
      <c r="G555" s="106" t="s">
        <v>273</v>
      </c>
      <c r="H555" s="106" t="s">
        <v>278</v>
      </c>
      <c r="I555">
        <v>95</v>
      </c>
    </row>
    <row r="556" spans="1:10" x14ac:dyDescent="0.2">
      <c r="A556" s="106" t="s">
        <v>479</v>
      </c>
      <c r="B556" s="106" t="s">
        <v>270</v>
      </c>
      <c r="C556" s="106" t="s">
        <v>280</v>
      </c>
      <c r="D556" s="106" t="s">
        <v>272</v>
      </c>
      <c r="E556">
        <v>2436</v>
      </c>
      <c r="F556" s="106" t="s">
        <v>728</v>
      </c>
      <c r="G556" s="106" t="s">
        <v>277</v>
      </c>
      <c r="H556" s="106" t="s">
        <v>278</v>
      </c>
      <c r="I556" s="106">
        <v>53</v>
      </c>
      <c r="J556" s="106"/>
    </row>
    <row r="557" spans="1:10" x14ac:dyDescent="0.2">
      <c r="A557" s="106" t="s">
        <v>479</v>
      </c>
      <c r="B557" s="106" t="s">
        <v>270</v>
      </c>
      <c r="C557" s="106" t="s">
        <v>271</v>
      </c>
      <c r="D557" s="106" t="s">
        <v>272</v>
      </c>
      <c r="E557">
        <v>2705</v>
      </c>
      <c r="F557" s="106" t="s">
        <v>482</v>
      </c>
      <c r="G557" s="106" t="s">
        <v>277</v>
      </c>
      <c r="H557" s="106" t="s">
        <v>283</v>
      </c>
      <c r="I557" s="106">
        <v>169</v>
      </c>
      <c r="J557" s="106"/>
    </row>
    <row r="558" spans="1:10" x14ac:dyDescent="0.2">
      <c r="A558" s="106" t="s">
        <v>479</v>
      </c>
      <c r="B558" s="106" t="s">
        <v>270</v>
      </c>
      <c r="C558" s="106" t="s">
        <v>271</v>
      </c>
      <c r="D558" s="106" t="s">
        <v>272</v>
      </c>
      <c r="E558">
        <v>3010</v>
      </c>
      <c r="F558" s="106" t="s">
        <v>2041</v>
      </c>
      <c r="G558" s="106" t="s">
        <v>281</v>
      </c>
      <c r="H558" s="106" t="s">
        <v>278</v>
      </c>
      <c r="I558" s="106">
        <v>79</v>
      </c>
      <c r="J558" s="106"/>
    </row>
    <row r="559" spans="1:10" x14ac:dyDescent="0.2">
      <c r="A559" s="106" t="s">
        <v>479</v>
      </c>
      <c r="B559" s="106" t="s">
        <v>270</v>
      </c>
      <c r="C559" s="106" t="s">
        <v>280</v>
      </c>
      <c r="D559" s="106" t="s">
        <v>272</v>
      </c>
      <c r="E559">
        <v>3784</v>
      </c>
      <c r="F559" s="106" t="s">
        <v>815</v>
      </c>
      <c r="G559" s="106" t="s">
        <v>273</v>
      </c>
      <c r="H559" s="106" t="s">
        <v>284</v>
      </c>
      <c r="I559">
        <v>222</v>
      </c>
    </row>
    <row r="560" spans="1:10" x14ac:dyDescent="0.2">
      <c r="A560" s="106" t="s">
        <v>479</v>
      </c>
      <c r="B560" s="106" t="s">
        <v>270</v>
      </c>
      <c r="C560" s="106" t="s">
        <v>280</v>
      </c>
      <c r="D560" s="106" t="s">
        <v>276</v>
      </c>
      <c r="E560">
        <v>4438</v>
      </c>
      <c r="F560" s="106" t="s">
        <v>2042</v>
      </c>
      <c r="G560" s="106" t="s">
        <v>285</v>
      </c>
      <c r="H560" s="106" t="s">
        <v>284</v>
      </c>
      <c r="I560">
        <v>170</v>
      </c>
    </row>
    <row r="561" spans="1:10" x14ac:dyDescent="0.2">
      <c r="A561" s="106" t="s">
        <v>479</v>
      </c>
      <c r="B561" s="106" t="s">
        <v>270</v>
      </c>
      <c r="C561" s="106" t="s">
        <v>280</v>
      </c>
      <c r="D561" s="106" t="s">
        <v>272</v>
      </c>
      <c r="E561">
        <v>5187</v>
      </c>
      <c r="F561" s="106" t="s">
        <v>2043</v>
      </c>
      <c r="G561" s="106" t="s">
        <v>273</v>
      </c>
      <c r="H561" s="106" t="s">
        <v>384</v>
      </c>
      <c r="I561">
        <v>107</v>
      </c>
    </row>
    <row r="562" spans="1:10" x14ac:dyDescent="0.2">
      <c r="A562" s="106" t="s">
        <v>479</v>
      </c>
      <c r="B562" s="106" t="s">
        <v>270</v>
      </c>
      <c r="C562" s="106" t="s">
        <v>271</v>
      </c>
      <c r="D562" s="106" t="s">
        <v>272</v>
      </c>
      <c r="E562">
        <v>5714</v>
      </c>
      <c r="F562" s="106" t="s">
        <v>483</v>
      </c>
      <c r="G562" s="106" t="s">
        <v>273</v>
      </c>
      <c r="H562" s="106" t="s">
        <v>422</v>
      </c>
      <c r="I562" t="s">
        <v>296</v>
      </c>
      <c r="J562" t="s">
        <v>2473</v>
      </c>
    </row>
    <row r="563" spans="1:10" x14ac:dyDescent="0.2">
      <c r="A563" s="106" t="s">
        <v>479</v>
      </c>
      <c r="B563" s="106" t="s">
        <v>270</v>
      </c>
      <c r="C563" s="106" t="s">
        <v>271</v>
      </c>
      <c r="D563" s="106" t="s">
        <v>272</v>
      </c>
      <c r="E563">
        <v>6407</v>
      </c>
      <c r="F563" s="106" t="s">
        <v>2474</v>
      </c>
      <c r="G563" s="106" t="s">
        <v>273</v>
      </c>
      <c r="H563" s="106" t="s">
        <v>294</v>
      </c>
      <c r="I563" t="s">
        <v>304</v>
      </c>
      <c r="J563" t="s">
        <v>2244</v>
      </c>
    </row>
    <row r="564" spans="1:10" x14ac:dyDescent="0.2">
      <c r="A564" s="106" t="s">
        <v>479</v>
      </c>
      <c r="B564" s="106" t="s">
        <v>270</v>
      </c>
      <c r="C564" s="106" t="s">
        <v>271</v>
      </c>
      <c r="D564" s="106" t="s">
        <v>272</v>
      </c>
      <c r="E564">
        <v>6461</v>
      </c>
      <c r="F564" s="106" t="s">
        <v>2475</v>
      </c>
      <c r="G564" s="106" t="s">
        <v>273</v>
      </c>
      <c r="H564" s="106" t="s">
        <v>294</v>
      </c>
      <c r="I564">
        <v>133</v>
      </c>
    </row>
    <row r="565" spans="1:10" x14ac:dyDescent="0.2">
      <c r="A565" s="106" t="s">
        <v>479</v>
      </c>
      <c r="B565" s="106" t="s">
        <v>270</v>
      </c>
      <c r="C565" s="106" t="s">
        <v>280</v>
      </c>
      <c r="D565" s="106" t="s">
        <v>272</v>
      </c>
      <c r="E565">
        <v>6627</v>
      </c>
      <c r="F565" s="106" t="s">
        <v>816</v>
      </c>
      <c r="G565" s="106" t="s">
        <v>285</v>
      </c>
      <c r="H565" s="106" t="s">
        <v>298</v>
      </c>
      <c r="I565">
        <v>80</v>
      </c>
    </row>
    <row r="566" spans="1:10" x14ac:dyDescent="0.2">
      <c r="A566" s="106" t="s">
        <v>479</v>
      </c>
      <c r="B566" s="106" t="s">
        <v>270</v>
      </c>
      <c r="C566" s="106" t="s">
        <v>271</v>
      </c>
      <c r="D566" s="106" t="s">
        <v>272</v>
      </c>
      <c r="E566">
        <v>6704</v>
      </c>
      <c r="F566" s="106" t="s">
        <v>2476</v>
      </c>
      <c r="G566" s="106" t="s">
        <v>273</v>
      </c>
      <c r="H566" s="106" t="s">
        <v>298</v>
      </c>
      <c r="I566">
        <v>86</v>
      </c>
    </row>
    <row r="567" spans="1:10" x14ac:dyDescent="0.2">
      <c r="A567" s="106" t="s">
        <v>479</v>
      </c>
      <c r="B567" s="106" t="s">
        <v>270</v>
      </c>
      <c r="C567" s="106" t="s">
        <v>271</v>
      </c>
      <c r="D567" s="106" t="s">
        <v>272</v>
      </c>
      <c r="E567">
        <v>7294</v>
      </c>
      <c r="F567" s="106" t="s">
        <v>484</v>
      </c>
      <c r="G567" s="106" t="s">
        <v>273</v>
      </c>
      <c r="H567" s="106" t="s">
        <v>303</v>
      </c>
      <c r="I567">
        <v>373</v>
      </c>
    </row>
    <row r="568" spans="1:10" x14ac:dyDescent="0.2">
      <c r="A568" s="106" t="s">
        <v>479</v>
      </c>
      <c r="B568" s="106" t="s">
        <v>270</v>
      </c>
      <c r="C568" s="106" t="s">
        <v>271</v>
      </c>
      <c r="D568" s="106" t="s">
        <v>276</v>
      </c>
      <c r="E568">
        <v>7481</v>
      </c>
      <c r="F568" s="106" t="s">
        <v>616</v>
      </c>
      <c r="G568" s="106" t="s">
        <v>273</v>
      </c>
      <c r="H568" s="106" t="s">
        <v>279</v>
      </c>
      <c r="I568">
        <v>139</v>
      </c>
    </row>
    <row r="569" spans="1:10" x14ac:dyDescent="0.2">
      <c r="A569" s="106" t="s">
        <v>479</v>
      </c>
      <c r="B569" s="106" t="s">
        <v>270</v>
      </c>
      <c r="C569" s="106" t="s">
        <v>271</v>
      </c>
      <c r="D569" s="106" t="s">
        <v>272</v>
      </c>
      <c r="E569">
        <v>7561</v>
      </c>
      <c r="F569" s="106" t="s">
        <v>2477</v>
      </c>
      <c r="G569" s="106" t="s">
        <v>273</v>
      </c>
      <c r="H569" s="106" t="s">
        <v>283</v>
      </c>
      <c r="I569" s="106">
        <v>116</v>
      </c>
      <c r="J569" s="106"/>
    </row>
    <row r="570" spans="1:10" x14ac:dyDescent="0.2">
      <c r="A570" s="106" t="s">
        <v>479</v>
      </c>
      <c r="B570" s="106" t="s">
        <v>270</v>
      </c>
      <c r="C570" s="106" t="s">
        <v>275</v>
      </c>
      <c r="D570" s="106" t="s">
        <v>272</v>
      </c>
      <c r="E570">
        <v>8789</v>
      </c>
      <c r="F570" s="106" t="s">
        <v>2478</v>
      </c>
      <c r="G570" s="106" t="s">
        <v>285</v>
      </c>
      <c r="H570" s="106" t="s">
        <v>309</v>
      </c>
      <c r="I570" s="106">
        <v>139</v>
      </c>
      <c r="J570" s="106"/>
    </row>
    <row r="571" spans="1:10" x14ac:dyDescent="0.2">
      <c r="A571" s="106" t="s">
        <v>479</v>
      </c>
      <c r="B571" s="106" t="s">
        <v>270</v>
      </c>
      <c r="C571" s="106" t="s">
        <v>271</v>
      </c>
      <c r="D571" s="106" t="s">
        <v>272</v>
      </c>
      <c r="E571">
        <v>9873</v>
      </c>
      <c r="F571" s="106" t="s">
        <v>2479</v>
      </c>
      <c r="G571" s="106" t="s">
        <v>281</v>
      </c>
      <c r="H571" s="106" t="s">
        <v>283</v>
      </c>
      <c r="I571">
        <v>733</v>
      </c>
    </row>
    <row r="572" spans="1:10" x14ac:dyDescent="0.2">
      <c r="A572" s="106" t="s">
        <v>479</v>
      </c>
      <c r="B572" s="106" t="s">
        <v>270</v>
      </c>
      <c r="C572" s="106" t="s">
        <v>271</v>
      </c>
      <c r="D572" s="106" t="s">
        <v>272</v>
      </c>
      <c r="E572">
        <v>9964</v>
      </c>
      <c r="F572" s="106" t="s">
        <v>485</v>
      </c>
      <c r="G572" s="106" t="s">
        <v>277</v>
      </c>
      <c r="H572" s="106" t="s">
        <v>279</v>
      </c>
      <c r="I572" s="106">
        <v>190</v>
      </c>
      <c r="J572" s="106"/>
    </row>
    <row r="573" spans="1:10" x14ac:dyDescent="0.2">
      <c r="A573" s="106" t="s">
        <v>486</v>
      </c>
      <c r="B573" s="106" t="s">
        <v>337</v>
      </c>
      <c r="C573" s="106" t="s">
        <v>271</v>
      </c>
      <c r="D573" s="106" t="s">
        <v>276</v>
      </c>
      <c r="E573">
        <v>6568</v>
      </c>
      <c r="F573" s="106" t="s">
        <v>2044</v>
      </c>
      <c r="G573" s="106" t="s">
        <v>285</v>
      </c>
      <c r="H573" s="106" t="s">
        <v>278</v>
      </c>
      <c r="I573">
        <v>111</v>
      </c>
    </row>
    <row r="574" spans="1:10" x14ac:dyDescent="0.2">
      <c r="A574" s="106" t="s">
        <v>486</v>
      </c>
      <c r="B574" s="106" t="s">
        <v>297</v>
      </c>
      <c r="C574" s="106" t="s">
        <v>280</v>
      </c>
      <c r="D574" s="106" t="s">
        <v>272</v>
      </c>
      <c r="E574">
        <v>4576</v>
      </c>
      <c r="F574" s="106" t="s">
        <v>2045</v>
      </c>
      <c r="G574" s="106" t="s">
        <v>277</v>
      </c>
      <c r="H574" s="106" t="s">
        <v>318</v>
      </c>
      <c r="I574" s="106">
        <v>184</v>
      </c>
      <c r="J574" s="106"/>
    </row>
    <row r="575" spans="1:10" x14ac:dyDescent="0.2">
      <c r="A575" s="106" t="s">
        <v>486</v>
      </c>
      <c r="B575" s="106" t="s">
        <v>270</v>
      </c>
      <c r="C575" s="106" t="s">
        <v>271</v>
      </c>
      <c r="D575" s="106" t="s">
        <v>272</v>
      </c>
      <c r="E575">
        <v>1384</v>
      </c>
      <c r="F575" s="106" t="s">
        <v>487</v>
      </c>
      <c r="G575" s="106" t="s">
        <v>273</v>
      </c>
      <c r="H575" s="106" t="s">
        <v>321</v>
      </c>
      <c r="I575">
        <v>58</v>
      </c>
    </row>
    <row r="576" spans="1:10" x14ac:dyDescent="0.2">
      <c r="A576" s="106" t="s">
        <v>486</v>
      </c>
      <c r="B576" s="106" t="s">
        <v>270</v>
      </c>
      <c r="C576" s="106" t="s">
        <v>271</v>
      </c>
      <c r="D576" s="106" t="s">
        <v>272</v>
      </c>
      <c r="E576">
        <v>1951</v>
      </c>
      <c r="F576" s="106" t="s">
        <v>2480</v>
      </c>
      <c r="G576" s="106" t="s">
        <v>273</v>
      </c>
      <c r="H576" s="106" t="s">
        <v>300</v>
      </c>
      <c r="I576" t="s">
        <v>357</v>
      </c>
      <c r="J576" t="s">
        <v>2481</v>
      </c>
    </row>
    <row r="577" spans="1:10" x14ac:dyDescent="0.2">
      <c r="A577" s="106" t="s">
        <v>486</v>
      </c>
      <c r="B577" s="106" t="s">
        <v>270</v>
      </c>
      <c r="C577" s="106" t="s">
        <v>280</v>
      </c>
      <c r="D577" s="106" t="s">
        <v>272</v>
      </c>
      <c r="E577">
        <v>2150</v>
      </c>
      <c r="F577" s="106" t="s">
        <v>488</v>
      </c>
      <c r="G577" s="106" t="s">
        <v>285</v>
      </c>
      <c r="H577" s="106" t="s">
        <v>278</v>
      </c>
      <c r="I577">
        <v>87</v>
      </c>
    </row>
    <row r="578" spans="1:10" x14ac:dyDescent="0.2">
      <c r="A578" s="106" t="s">
        <v>486</v>
      </c>
      <c r="B578" s="106" t="s">
        <v>270</v>
      </c>
      <c r="C578" s="106" t="s">
        <v>280</v>
      </c>
      <c r="D578" s="106" t="s">
        <v>272</v>
      </c>
      <c r="E578">
        <v>2170</v>
      </c>
      <c r="F578" s="106" t="s">
        <v>489</v>
      </c>
      <c r="G578" s="106" t="s">
        <v>273</v>
      </c>
      <c r="H578" s="106" t="s">
        <v>278</v>
      </c>
      <c r="I578">
        <v>737</v>
      </c>
    </row>
    <row r="579" spans="1:10" x14ac:dyDescent="0.2">
      <c r="A579" s="106" t="s">
        <v>486</v>
      </c>
      <c r="B579" s="106" t="s">
        <v>270</v>
      </c>
      <c r="C579" s="106" t="s">
        <v>275</v>
      </c>
      <c r="D579" s="106" t="s">
        <v>272</v>
      </c>
      <c r="E579">
        <v>2185</v>
      </c>
      <c r="F579" s="106" t="s">
        <v>729</v>
      </c>
      <c r="G579" s="106" t="s">
        <v>277</v>
      </c>
      <c r="H579" s="106" t="s">
        <v>278</v>
      </c>
      <c r="I579">
        <v>167</v>
      </c>
    </row>
    <row r="580" spans="1:10" x14ac:dyDescent="0.2">
      <c r="A580" s="106" t="s">
        <v>486</v>
      </c>
      <c r="B580" s="106" t="s">
        <v>270</v>
      </c>
      <c r="C580" s="106" t="s">
        <v>271</v>
      </c>
      <c r="D580" s="106" t="s">
        <v>272</v>
      </c>
      <c r="E580">
        <v>2323</v>
      </c>
      <c r="F580" s="106" t="s">
        <v>730</v>
      </c>
      <c r="G580" s="106" t="s">
        <v>277</v>
      </c>
      <c r="H580" s="106" t="s">
        <v>284</v>
      </c>
      <c r="I580">
        <v>14</v>
      </c>
    </row>
    <row r="581" spans="1:10" x14ac:dyDescent="0.2">
      <c r="A581" s="106" t="s">
        <v>486</v>
      </c>
      <c r="B581" s="106" t="s">
        <v>270</v>
      </c>
      <c r="C581" s="106" t="s">
        <v>271</v>
      </c>
      <c r="D581" s="106" t="s">
        <v>272</v>
      </c>
      <c r="E581">
        <v>2654</v>
      </c>
      <c r="F581" s="106" t="s">
        <v>490</v>
      </c>
      <c r="G581" s="106" t="s">
        <v>281</v>
      </c>
      <c r="H581" s="106" t="s">
        <v>283</v>
      </c>
      <c r="I581">
        <v>91</v>
      </c>
    </row>
    <row r="582" spans="1:10" x14ac:dyDescent="0.2">
      <c r="A582" s="106" t="s">
        <v>486</v>
      </c>
      <c r="B582" s="106" t="s">
        <v>270</v>
      </c>
      <c r="C582" s="106" t="s">
        <v>280</v>
      </c>
      <c r="D582" s="106" t="s">
        <v>272</v>
      </c>
      <c r="E582">
        <v>2743</v>
      </c>
      <c r="F582" s="106" t="s">
        <v>2046</v>
      </c>
      <c r="G582" s="106" t="s">
        <v>277</v>
      </c>
      <c r="H582" s="106" t="s">
        <v>279</v>
      </c>
      <c r="I582">
        <v>44</v>
      </c>
    </row>
    <row r="583" spans="1:10" x14ac:dyDescent="0.2">
      <c r="A583" s="106" t="s">
        <v>486</v>
      </c>
      <c r="B583" s="106" t="s">
        <v>270</v>
      </c>
      <c r="C583" s="106" t="s">
        <v>271</v>
      </c>
      <c r="D583" s="106" t="s">
        <v>272</v>
      </c>
      <c r="E583">
        <v>3182</v>
      </c>
      <c r="F583" s="106" t="s">
        <v>491</v>
      </c>
      <c r="G583" s="106" t="s">
        <v>285</v>
      </c>
      <c r="H583" s="106" t="s">
        <v>283</v>
      </c>
      <c r="I583">
        <v>418</v>
      </c>
    </row>
    <row r="584" spans="1:10" x14ac:dyDescent="0.2">
      <c r="A584" s="106" t="s">
        <v>486</v>
      </c>
      <c r="B584" s="106" t="s">
        <v>270</v>
      </c>
      <c r="C584" s="106" t="s">
        <v>280</v>
      </c>
      <c r="D584" s="106" t="s">
        <v>272</v>
      </c>
      <c r="E584">
        <v>3355</v>
      </c>
      <c r="F584" s="106" t="s">
        <v>2047</v>
      </c>
      <c r="G584" s="106" t="s">
        <v>281</v>
      </c>
      <c r="H584" s="106" t="s">
        <v>279</v>
      </c>
      <c r="I584">
        <v>178</v>
      </c>
    </row>
    <row r="585" spans="1:10" x14ac:dyDescent="0.2">
      <c r="A585" s="106" t="s">
        <v>486</v>
      </c>
      <c r="B585" s="106" t="s">
        <v>270</v>
      </c>
      <c r="C585" s="106" t="s">
        <v>271</v>
      </c>
      <c r="D585" s="106" t="s">
        <v>272</v>
      </c>
      <c r="E585">
        <v>3397</v>
      </c>
      <c r="F585" s="106" t="s">
        <v>2177</v>
      </c>
      <c r="G585" s="106" t="s">
        <v>273</v>
      </c>
      <c r="H585" s="106" t="s">
        <v>283</v>
      </c>
      <c r="I585" t="s">
        <v>304</v>
      </c>
      <c r="J585" t="s">
        <v>2248</v>
      </c>
    </row>
    <row r="586" spans="1:10" x14ac:dyDescent="0.2">
      <c r="A586" s="106" t="s">
        <v>486</v>
      </c>
      <c r="B586" s="106" t="s">
        <v>270</v>
      </c>
      <c r="C586" s="106" t="s">
        <v>282</v>
      </c>
      <c r="D586" s="106" t="s">
        <v>276</v>
      </c>
      <c r="E586">
        <v>3446</v>
      </c>
      <c r="F586" s="106" t="s">
        <v>2048</v>
      </c>
      <c r="G586" s="106" t="s">
        <v>285</v>
      </c>
      <c r="H586" s="106" t="s">
        <v>288</v>
      </c>
      <c r="I586" s="106">
        <v>184</v>
      </c>
      <c r="J586" s="106"/>
    </row>
    <row r="587" spans="1:10" x14ac:dyDescent="0.2">
      <c r="A587" s="106" t="s">
        <v>486</v>
      </c>
      <c r="B587" s="106" t="s">
        <v>270</v>
      </c>
      <c r="C587" s="106" t="s">
        <v>271</v>
      </c>
      <c r="D587" s="106" t="s">
        <v>276</v>
      </c>
      <c r="E587">
        <v>3477</v>
      </c>
      <c r="F587" s="106" t="s">
        <v>817</v>
      </c>
      <c r="G587" s="106" t="s">
        <v>285</v>
      </c>
      <c r="H587" s="106" t="s">
        <v>299</v>
      </c>
      <c r="I587">
        <v>27</v>
      </c>
    </row>
    <row r="588" spans="1:10" x14ac:dyDescent="0.2">
      <c r="A588" s="106" t="s">
        <v>486</v>
      </c>
      <c r="B588" s="106" t="s">
        <v>270</v>
      </c>
      <c r="C588" s="106" t="s">
        <v>280</v>
      </c>
      <c r="D588" s="106" t="s">
        <v>272</v>
      </c>
      <c r="E588">
        <v>3649</v>
      </c>
      <c r="F588" s="106" t="s">
        <v>818</v>
      </c>
      <c r="G588" s="106" t="s">
        <v>273</v>
      </c>
      <c r="H588" s="106" t="s">
        <v>284</v>
      </c>
      <c r="I588" s="106">
        <v>359</v>
      </c>
      <c r="J588" s="106"/>
    </row>
    <row r="589" spans="1:10" x14ac:dyDescent="0.2">
      <c r="A589" s="106" t="s">
        <v>486</v>
      </c>
      <c r="B589" s="106" t="s">
        <v>270</v>
      </c>
      <c r="C589" s="106" t="s">
        <v>280</v>
      </c>
      <c r="D589" s="106" t="s">
        <v>272</v>
      </c>
      <c r="E589">
        <v>3664</v>
      </c>
      <c r="F589" s="106" t="s">
        <v>819</v>
      </c>
      <c r="G589" s="106" t="s">
        <v>285</v>
      </c>
      <c r="H589" s="106" t="s">
        <v>284</v>
      </c>
      <c r="I589" s="106">
        <v>72</v>
      </c>
      <c r="J589" s="106"/>
    </row>
    <row r="590" spans="1:10" x14ac:dyDescent="0.2">
      <c r="A590" s="106" t="s">
        <v>486</v>
      </c>
      <c r="B590" s="106" t="s">
        <v>270</v>
      </c>
      <c r="C590" s="106" t="s">
        <v>271</v>
      </c>
      <c r="D590" s="106" t="s">
        <v>272</v>
      </c>
      <c r="E590">
        <v>3934</v>
      </c>
      <c r="F590" s="106" t="s">
        <v>492</v>
      </c>
      <c r="G590" s="106" t="s">
        <v>273</v>
      </c>
      <c r="H590" s="106" t="s">
        <v>284</v>
      </c>
      <c r="I590" s="106">
        <v>128</v>
      </c>
      <c r="J590" s="106"/>
    </row>
    <row r="591" spans="1:10" x14ac:dyDescent="0.2">
      <c r="A591" s="106" t="s">
        <v>486</v>
      </c>
      <c r="B591" s="106" t="s">
        <v>270</v>
      </c>
      <c r="C591" s="106" t="s">
        <v>282</v>
      </c>
      <c r="D591" s="106" t="s">
        <v>272</v>
      </c>
      <c r="E591">
        <v>3960</v>
      </c>
      <c r="F591" s="106" t="s">
        <v>493</v>
      </c>
      <c r="G591" s="106" t="s">
        <v>285</v>
      </c>
      <c r="H591" s="106" t="s">
        <v>284</v>
      </c>
      <c r="I591" s="106">
        <v>26</v>
      </c>
      <c r="J591" s="106"/>
    </row>
    <row r="592" spans="1:10" x14ac:dyDescent="0.2">
      <c r="A592" s="106" t="s">
        <v>486</v>
      </c>
      <c r="B592" s="106" t="s">
        <v>270</v>
      </c>
      <c r="C592" s="106" t="s">
        <v>280</v>
      </c>
      <c r="D592" s="106" t="s">
        <v>272</v>
      </c>
      <c r="E592">
        <v>4755</v>
      </c>
      <c r="F592" s="106" t="s">
        <v>494</v>
      </c>
      <c r="G592" s="106" t="s">
        <v>273</v>
      </c>
      <c r="H592" s="106" t="s">
        <v>278</v>
      </c>
      <c r="I592" s="106" t="s">
        <v>495</v>
      </c>
      <c r="J592" s="106" t="s">
        <v>2482</v>
      </c>
    </row>
    <row r="593" spans="1:10" x14ac:dyDescent="0.2">
      <c r="A593" s="106" t="s">
        <v>486</v>
      </c>
      <c r="B593" s="106" t="s">
        <v>270</v>
      </c>
      <c r="C593" s="106" t="s">
        <v>271</v>
      </c>
      <c r="D593" s="106" t="s">
        <v>272</v>
      </c>
      <c r="E593">
        <v>5304</v>
      </c>
      <c r="F593" s="106" t="s">
        <v>496</v>
      </c>
      <c r="G593" s="106" t="s">
        <v>281</v>
      </c>
      <c r="H593" s="106" t="s">
        <v>315</v>
      </c>
      <c r="I593" s="106">
        <v>393</v>
      </c>
      <c r="J593" s="106"/>
    </row>
    <row r="594" spans="1:10" x14ac:dyDescent="0.2">
      <c r="A594" s="106" t="s">
        <v>486</v>
      </c>
      <c r="B594" s="106" t="s">
        <v>270</v>
      </c>
      <c r="C594" s="106" t="s">
        <v>271</v>
      </c>
      <c r="D594" s="106" t="s">
        <v>272</v>
      </c>
      <c r="E594">
        <v>6033</v>
      </c>
      <c r="F594" s="106" t="s">
        <v>497</v>
      </c>
      <c r="G594" s="106" t="s">
        <v>285</v>
      </c>
      <c r="H594" s="106" t="s">
        <v>278</v>
      </c>
      <c r="I594" s="106">
        <v>107</v>
      </c>
      <c r="J594" s="106"/>
    </row>
    <row r="595" spans="1:10" x14ac:dyDescent="0.2">
      <c r="A595" s="106" t="s">
        <v>486</v>
      </c>
      <c r="B595" s="106" t="s">
        <v>270</v>
      </c>
      <c r="C595" s="106" t="s">
        <v>271</v>
      </c>
      <c r="D595" s="106" t="s">
        <v>272</v>
      </c>
      <c r="E595">
        <v>6125</v>
      </c>
      <c r="F595" s="106" t="s">
        <v>731</v>
      </c>
      <c r="G595" s="106" t="s">
        <v>281</v>
      </c>
      <c r="H595" s="106" t="s">
        <v>294</v>
      </c>
      <c r="I595" s="106">
        <v>146</v>
      </c>
      <c r="J595" s="106"/>
    </row>
    <row r="596" spans="1:10" x14ac:dyDescent="0.2">
      <c r="A596" s="106" t="s">
        <v>486</v>
      </c>
      <c r="B596" s="106" t="s">
        <v>270</v>
      </c>
      <c r="C596" s="106" t="s">
        <v>271</v>
      </c>
      <c r="D596" s="106" t="s">
        <v>272</v>
      </c>
      <c r="E596">
        <v>6303</v>
      </c>
      <c r="F596" s="106" t="s">
        <v>820</v>
      </c>
      <c r="G596" s="106" t="s">
        <v>281</v>
      </c>
      <c r="H596" s="106" t="s">
        <v>294</v>
      </c>
      <c r="I596">
        <v>75</v>
      </c>
    </row>
    <row r="597" spans="1:10" x14ac:dyDescent="0.2">
      <c r="A597" s="106" t="s">
        <v>486</v>
      </c>
      <c r="B597" s="106" t="s">
        <v>270</v>
      </c>
      <c r="C597" s="106" t="s">
        <v>280</v>
      </c>
      <c r="D597" s="106" t="s">
        <v>272</v>
      </c>
      <c r="E597">
        <v>6328</v>
      </c>
      <c r="F597" s="106" t="s">
        <v>2483</v>
      </c>
      <c r="G597" s="106" t="s">
        <v>273</v>
      </c>
      <c r="H597" s="106" t="s">
        <v>294</v>
      </c>
      <c r="I597">
        <v>152</v>
      </c>
    </row>
    <row r="598" spans="1:10" x14ac:dyDescent="0.2">
      <c r="A598" s="106" t="s">
        <v>486</v>
      </c>
      <c r="B598" s="106" t="s">
        <v>270</v>
      </c>
      <c r="C598" s="106" t="s">
        <v>271</v>
      </c>
      <c r="D598" s="106" t="s">
        <v>272</v>
      </c>
      <c r="E598">
        <v>6494</v>
      </c>
      <c r="F598" s="106" t="s">
        <v>2484</v>
      </c>
      <c r="G598" s="106" t="s">
        <v>277</v>
      </c>
      <c r="H598" s="106" t="s">
        <v>294</v>
      </c>
      <c r="I598">
        <v>35</v>
      </c>
    </row>
    <row r="599" spans="1:10" x14ac:dyDescent="0.2">
      <c r="A599" s="106" t="s">
        <v>486</v>
      </c>
      <c r="B599" s="106" t="s">
        <v>270</v>
      </c>
      <c r="C599" s="106" t="s">
        <v>271</v>
      </c>
      <c r="D599" s="106" t="s">
        <v>272</v>
      </c>
      <c r="E599">
        <v>6574</v>
      </c>
      <c r="F599" s="106" t="s">
        <v>666</v>
      </c>
      <c r="G599" s="106" t="s">
        <v>285</v>
      </c>
      <c r="H599" s="106" t="s">
        <v>278</v>
      </c>
      <c r="I599">
        <v>30</v>
      </c>
    </row>
    <row r="600" spans="1:10" x14ac:dyDescent="0.2">
      <c r="A600" s="106" t="s">
        <v>486</v>
      </c>
      <c r="B600" s="106" t="s">
        <v>270</v>
      </c>
      <c r="C600" s="106" t="s">
        <v>271</v>
      </c>
      <c r="D600" s="106" t="s">
        <v>272</v>
      </c>
      <c r="E600">
        <v>7070</v>
      </c>
      <c r="F600" s="106" t="s">
        <v>498</v>
      </c>
      <c r="G600" s="106" t="s">
        <v>277</v>
      </c>
      <c r="H600" s="106" t="s">
        <v>278</v>
      </c>
      <c r="I600">
        <v>59</v>
      </c>
    </row>
    <row r="601" spans="1:10" x14ac:dyDescent="0.2">
      <c r="A601" s="106" t="s">
        <v>486</v>
      </c>
      <c r="B601" s="106" t="s">
        <v>270</v>
      </c>
      <c r="C601" s="106" t="s">
        <v>280</v>
      </c>
      <c r="D601" s="106" t="s">
        <v>272</v>
      </c>
      <c r="E601">
        <v>7244</v>
      </c>
      <c r="F601" s="106" t="s">
        <v>2049</v>
      </c>
      <c r="G601" s="106" t="s">
        <v>273</v>
      </c>
      <c r="H601" s="106" t="s">
        <v>298</v>
      </c>
      <c r="I601">
        <v>750</v>
      </c>
    </row>
    <row r="602" spans="1:10" x14ac:dyDescent="0.2">
      <c r="A602" s="106" t="s">
        <v>486</v>
      </c>
      <c r="B602" s="106" t="s">
        <v>270</v>
      </c>
      <c r="C602" s="106" t="s">
        <v>280</v>
      </c>
      <c r="D602" s="106" t="s">
        <v>272</v>
      </c>
      <c r="E602">
        <v>7613</v>
      </c>
      <c r="F602" s="106" t="s">
        <v>2050</v>
      </c>
      <c r="G602" s="106" t="s">
        <v>273</v>
      </c>
      <c r="H602" s="106" t="s">
        <v>279</v>
      </c>
      <c r="I602">
        <v>804</v>
      </c>
    </row>
    <row r="603" spans="1:10" x14ac:dyDescent="0.2">
      <c r="A603" s="106" t="s">
        <v>486</v>
      </c>
      <c r="B603" s="106" t="s">
        <v>270</v>
      </c>
      <c r="C603" s="106" t="s">
        <v>271</v>
      </c>
      <c r="D603" s="106" t="s">
        <v>272</v>
      </c>
      <c r="E603">
        <v>7677</v>
      </c>
      <c r="F603" s="106" t="s">
        <v>679</v>
      </c>
      <c r="G603" s="106" t="s">
        <v>281</v>
      </c>
      <c r="H603" s="106" t="s">
        <v>279</v>
      </c>
      <c r="I603">
        <v>55</v>
      </c>
    </row>
    <row r="604" spans="1:10" x14ac:dyDescent="0.2">
      <c r="A604" s="106" t="s">
        <v>486</v>
      </c>
      <c r="B604" s="106" t="s">
        <v>270</v>
      </c>
      <c r="C604" s="106" t="s">
        <v>271</v>
      </c>
      <c r="D604" s="106" t="s">
        <v>272</v>
      </c>
      <c r="E604">
        <v>7726</v>
      </c>
      <c r="F604" s="106" t="s">
        <v>2051</v>
      </c>
      <c r="G604" s="106" t="s">
        <v>281</v>
      </c>
      <c r="H604" s="106" t="s">
        <v>294</v>
      </c>
      <c r="I604" s="106">
        <v>60</v>
      </c>
      <c r="J604" s="106"/>
    </row>
    <row r="605" spans="1:10" x14ac:dyDescent="0.2">
      <c r="A605" s="106" t="s">
        <v>486</v>
      </c>
      <c r="B605" s="106" t="s">
        <v>270</v>
      </c>
      <c r="C605" s="106" t="s">
        <v>271</v>
      </c>
      <c r="D605" s="106" t="s">
        <v>272</v>
      </c>
      <c r="E605">
        <v>7780</v>
      </c>
      <c r="F605" s="106" t="s">
        <v>499</v>
      </c>
      <c r="G605" s="106" t="s">
        <v>273</v>
      </c>
      <c r="H605" s="106" t="s">
        <v>384</v>
      </c>
      <c r="I605" s="106" t="s">
        <v>304</v>
      </c>
      <c r="J605" s="106" t="s">
        <v>2255</v>
      </c>
    </row>
    <row r="606" spans="1:10" x14ac:dyDescent="0.2">
      <c r="A606" s="106" t="s">
        <v>486</v>
      </c>
      <c r="B606" s="106" t="s">
        <v>270</v>
      </c>
      <c r="C606" s="106" t="s">
        <v>280</v>
      </c>
      <c r="D606" s="106" t="s">
        <v>272</v>
      </c>
      <c r="E606">
        <v>8113</v>
      </c>
      <c r="F606" s="106" t="s">
        <v>2052</v>
      </c>
      <c r="G606" s="106" t="s">
        <v>273</v>
      </c>
      <c r="H606" s="106" t="s">
        <v>286</v>
      </c>
      <c r="I606" t="s">
        <v>2053</v>
      </c>
      <c r="J606" t="s">
        <v>2485</v>
      </c>
    </row>
    <row r="607" spans="1:10" x14ac:dyDescent="0.2">
      <c r="A607" s="106" t="s">
        <v>486</v>
      </c>
      <c r="B607" s="106" t="s">
        <v>270</v>
      </c>
      <c r="C607" s="106" t="s">
        <v>271</v>
      </c>
      <c r="D607" s="106" t="s">
        <v>272</v>
      </c>
      <c r="E607">
        <v>8830</v>
      </c>
      <c r="F607" s="106" t="s">
        <v>2486</v>
      </c>
      <c r="G607" s="106" t="s">
        <v>273</v>
      </c>
      <c r="H607" s="106" t="s">
        <v>299</v>
      </c>
      <c r="I607" t="s">
        <v>2487</v>
      </c>
      <c r="J607" t="s">
        <v>2488</v>
      </c>
    </row>
    <row r="608" spans="1:10" x14ac:dyDescent="0.2">
      <c r="A608" s="106" t="s">
        <v>486</v>
      </c>
      <c r="B608" s="106" t="s">
        <v>270</v>
      </c>
      <c r="C608" s="106" t="s">
        <v>271</v>
      </c>
      <c r="D608" s="106" t="s">
        <v>272</v>
      </c>
      <c r="E608">
        <v>9707</v>
      </c>
      <c r="F608" s="106" t="s">
        <v>500</v>
      </c>
      <c r="G608" s="106" t="s">
        <v>277</v>
      </c>
      <c r="H608" s="106" t="s">
        <v>278</v>
      </c>
      <c r="I608">
        <v>131</v>
      </c>
    </row>
    <row r="609" spans="1:10" x14ac:dyDescent="0.2">
      <c r="A609" s="106" t="s">
        <v>501</v>
      </c>
      <c r="B609" s="106" t="s">
        <v>297</v>
      </c>
      <c r="C609" s="106" t="s">
        <v>282</v>
      </c>
      <c r="D609" s="106" t="s">
        <v>272</v>
      </c>
      <c r="E609">
        <v>7747</v>
      </c>
      <c r="F609" s="106" t="s">
        <v>2489</v>
      </c>
      <c r="G609" s="106" t="s">
        <v>273</v>
      </c>
      <c r="H609" s="106" t="s">
        <v>384</v>
      </c>
      <c r="I609" s="106" t="s">
        <v>386</v>
      </c>
      <c r="J609" s="106" t="s">
        <v>2175</v>
      </c>
    </row>
    <row r="610" spans="1:10" x14ac:dyDescent="0.2">
      <c r="A610" s="106" t="s">
        <v>501</v>
      </c>
      <c r="B610" s="106" t="s">
        <v>270</v>
      </c>
      <c r="C610" s="106" t="s">
        <v>271</v>
      </c>
      <c r="D610" s="106" t="s">
        <v>272</v>
      </c>
      <c r="E610">
        <v>2181</v>
      </c>
      <c r="F610" s="106" t="s">
        <v>732</v>
      </c>
      <c r="G610" s="106" t="s">
        <v>273</v>
      </c>
      <c r="H610" s="106" t="s">
        <v>278</v>
      </c>
      <c r="I610" s="106" t="s">
        <v>323</v>
      </c>
      <c r="J610" s="106" t="s">
        <v>2247</v>
      </c>
    </row>
    <row r="611" spans="1:10" x14ac:dyDescent="0.2">
      <c r="A611" s="106" t="s">
        <v>501</v>
      </c>
      <c r="B611" s="106" t="s">
        <v>270</v>
      </c>
      <c r="C611" s="106" t="s">
        <v>271</v>
      </c>
      <c r="D611" s="106" t="s">
        <v>276</v>
      </c>
      <c r="E611">
        <v>2334</v>
      </c>
      <c r="F611" s="106" t="s">
        <v>733</v>
      </c>
      <c r="G611" s="106" t="s">
        <v>285</v>
      </c>
      <c r="H611" s="106" t="s">
        <v>278</v>
      </c>
      <c r="I611">
        <v>58</v>
      </c>
    </row>
    <row r="612" spans="1:10" x14ac:dyDescent="0.2">
      <c r="A612" s="106" t="s">
        <v>501</v>
      </c>
      <c r="B612" s="106" t="s">
        <v>270</v>
      </c>
      <c r="C612" s="106" t="s">
        <v>280</v>
      </c>
      <c r="D612" s="106" t="s">
        <v>272</v>
      </c>
      <c r="E612">
        <v>2492</v>
      </c>
      <c r="F612" s="106" t="s">
        <v>821</v>
      </c>
      <c r="G612" s="106" t="s">
        <v>273</v>
      </c>
      <c r="H612" s="106" t="s">
        <v>278</v>
      </c>
      <c r="I612" s="106" t="s">
        <v>296</v>
      </c>
      <c r="J612" s="106" t="s">
        <v>2490</v>
      </c>
    </row>
    <row r="613" spans="1:10" x14ac:dyDescent="0.2">
      <c r="A613" s="106" t="s">
        <v>501</v>
      </c>
      <c r="B613" s="106" t="s">
        <v>270</v>
      </c>
      <c r="C613" s="106" t="s">
        <v>275</v>
      </c>
      <c r="D613" s="106" t="s">
        <v>272</v>
      </c>
      <c r="E613">
        <v>2498</v>
      </c>
      <c r="F613" s="106" t="s">
        <v>2054</v>
      </c>
      <c r="G613" s="106" t="s">
        <v>277</v>
      </c>
      <c r="H613" s="106" t="s">
        <v>278</v>
      </c>
      <c r="I613">
        <v>172</v>
      </c>
    </row>
    <row r="614" spans="1:10" x14ac:dyDescent="0.2">
      <c r="A614" s="106" t="s">
        <v>501</v>
      </c>
      <c r="B614" s="106" t="s">
        <v>270</v>
      </c>
      <c r="C614" s="106" t="s">
        <v>271</v>
      </c>
      <c r="D614" s="106" t="s">
        <v>272</v>
      </c>
      <c r="E614">
        <v>3058</v>
      </c>
      <c r="F614" s="106" t="s">
        <v>2491</v>
      </c>
      <c r="G614" s="106" t="s">
        <v>277</v>
      </c>
      <c r="H614" s="106" t="s">
        <v>283</v>
      </c>
      <c r="I614">
        <v>60</v>
      </c>
    </row>
    <row r="615" spans="1:10" x14ac:dyDescent="0.2">
      <c r="A615" s="106" t="s">
        <v>501</v>
      </c>
      <c r="B615" s="106" t="s">
        <v>270</v>
      </c>
      <c r="C615" s="106" t="s">
        <v>282</v>
      </c>
      <c r="D615" s="106" t="s">
        <v>272</v>
      </c>
      <c r="E615">
        <v>3135</v>
      </c>
      <c r="F615" s="106" t="s">
        <v>502</v>
      </c>
      <c r="G615" s="106" t="s">
        <v>285</v>
      </c>
      <c r="H615" s="106" t="s">
        <v>283</v>
      </c>
      <c r="I615">
        <v>157</v>
      </c>
    </row>
    <row r="616" spans="1:10" x14ac:dyDescent="0.2">
      <c r="A616" s="106" t="s">
        <v>501</v>
      </c>
      <c r="B616" s="106" t="s">
        <v>270</v>
      </c>
      <c r="C616" s="106" t="s">
        <v>271</v>
      </c>
      <c r="D616" s="106" t="s">
        <v>272</v>
      </c>
      <c r="E616">
        <v>3184</v>
      </c>
      <c r="F616" s="106" t="s">
        <v>822</v>
      </c>
      <c r="G616" s="106" t="s">
        <v>281</v>
      </c>
      <c r="H616" s="106" t="s">
        <v>283</v>
      </c>
      <c r="I616">
        <v>37</v>
      </c>
    </row>
    <row r="617" spans="1:10" x14ac:dyDescent="0.2">
      <c r="A617" s="106" t="s">
        <v>501</v>
      </c>
      <c r="B617" s="106" t="s">
        <v>270</v>
      </c>
      <c r="C617" s="106" t="s">
        <v>271</v>
      </c>
      <c r="D617" s="106" t="s">
        <v>276</v>
      </c>
      <c r="E617">
        <v>3489</v>
      </c>
      <c r="F617" s="106" t="s">
        <v>823</v>
      </c>
      <c r="G617" s="106" t="s">
        <v>285</v>
      </c>
      <c r="H617" s="106" t="s">
        <v>299</v>
      </c>
      <c r="I617">
        <v>65</v>
      </c>
    </row>
    <row r="618" spans="1:10" x14ac:dyDescent="0.2">
      <c r="A618" s="106" t="s">
        <v>501</v>
      </c>
      <c r="B618" s="106" t="s">
        <v>270</v>
      </c>
      <c r="C618" s="106" t="s">
        <v>271</v>
      </c>
      <c r="D618" s="106" t="s">
        <v>272</v>
      </c>
      <c r="E618">
        <v>4234</v>
      </c>
      <c r="F618" s="106" t="s">
        <v>2055</v>
      </c>
      <c r="G618" s="106" t="s">
        <v>277</v>
      </c>
      <c r="H618" s="106" t="s">
        <v>286</v>
      </c>
      <c r="I618">
        <v>60</v>
      </c>
    </row>
    <row r="619" spans="1:10" x14ac:dyDescent="0.2">
      <c r="A619" s="106" t="s">
        <v>501</v>
      </c>
      <c r="B619" s="106" t="s">
        <v>270</v>
      </c>
      <c r="C619" s="106" t="s">
        <v>280</v>
      </c>
      <c r="D619" s="106" t="s">
        <v>272</v>
      </c>
      <c r="E619">
        <v>4392</v>
      </c>
      <c r="F619" s="106" t="s">
        <v>2056</v>
      </c>
      <c r="G619" s="106" t="s">
        <v>273</v>
      </c>
      <c r="H619" s="106" t="s">
        <v>284</v>
      </c>
      <c r="I619" s="106">
        <v>97</v>
      </c>
      <c r="J619" s="106"/>
    </row>
    <row r="620" spans="1:10" x14ac:dyDescent="0.2">
      <c r="A620" s="106" t="s">
        <v>501</v>
      </c>
      <c r="B620" s="106" t="s">
        <v>270</v>
      </c>
      <c r="C620" s="106" t="s">
        <v>280</v>
      </c>
      <c r="D620" s="106" t="s">
        <v>276</v>
      </c>
      <c r="E620">
        <v>4450</v>
      </c>
      <c r="F620" s="106" t="s">
        <v>655</v>
      </c>
      <c r="G620" s="106" t="s">
        <v>285</v>
      </c>
      <c r="H620" s="106" t="s">
        <v>284</v>
      </c>
      <c r="I620" s="106">
        <v>51</v>
      </c>
      <c r="J620" s="106"/>
    </row>
    <row r="621" spans="1:10" x14ac:dyDescent="0.2">
      <c r="A621" s="106" t="s">
        <v>501</v>
      </c>
      <c r="B621" s="106" t="s">
        <v>270</v>
      </c>
      <c r="C621" s="106" t="s">
        <v>280</v>
      </c>
      <c r="D621" s="106" t="s">
        <v>272</v>
      </c>
      <c r="E621">
        <v>4481</v>
      </c>
      <c r="F621" s="106" t="s">
        <v>2057</v>
      </c>
      <c r="G621" s="106" t="s">
        <v>281</v>
      </c>
      <c r="H621" s="106" t="s">
        <v>284</v>
      </c>
      <c r="I621">
        <v>213</v>
      </c>
    </row>
    <row r="622" spans="1:10" x14ac:dyDescent="0.2">
      <c r="A622" s="106" t="s">
        <v>501</v>
      </c>
      <c r="B622" s="106" t="s">
        <v>270</v>
      </c>
      <c r="C622" s="106" t="s">
        <v>271</v>
      </c>
      <c r="D622" s="106" t="s">
        <v>272</v>
      </c>
      <c r="E622">
        <v>4620</v>
      </c>
      <c r="F622" s="106" t="s">
        <v>503</v>
      </c>
      <c r="G622" s="106" t="s">
        <v>273</v>
      </c>
      <c r="H622" s="106" t="s">
        <v>286</v>
      </c>
      <c r="I622" s="106">
        <v>190</v>
      </c>
      <c r="J622" s="106"/>
    </row>
    <row r="623" spans="1:10" x14ac:dyDescent="0.2">
      <c r="A623" s="106" t="s">
        <v>501</v>
      </c>
      <c r="B623" s="106" t="s">
        <v>270</v>
      </c>
      <c r="C623" s="106" t="s">
        <v>280</v>
      </c>
      <c r="D623" s="106" t="s">
        <v>272</v>
      </c>
      <c r="E623">
        <v>5959</v>
      </c>
      <c r="F623" s="106" t="s">
        <v>2058</v>
      </c>
      <c r="G623" s="106" t="s">
        <v>273</v>
      </c>
      <c r="H623" s="106" t="s">
        <v>288</v>
      </c>
      <c r="I623" s="106">
        <v>508</v>
      </c>
      <c r="J623" s="106"/>
    </row>
    <row r="624" spans="1:10" x14ac:dyDescent="0.2">
      <c r="A624" s="106" t="s">
        <v>501</v>
      </c>
      <c r="B624" s="106" t="s">
        <v>270</v>
      </c>
      <c r="C624" s="106" t="s">
        <v>282</v>
      </c>
      <c r="D624" s="106" t="s">
        <v>272</v>
      </c>
      <c r="E624">
        <v>6038</v>
      </c>
      <c r="F624" s="106" t="s">
        <v>2059</v>
      </c>
      <c r="G624" s="106" t="s">
        <v>285</v>
      </c>
      <c r="H624" s="106" t="s">
        <v>278</v>
      </c>
      <c r="I624" s="106">
        <v>51</v>
      </c>
      <c r="J624" s="106"/>
    </row>
    <row r="625" spans="1:10" x14ac:dyDescent="0.2">
      <c r="A625" s="106" t="s">
        <v>501</v>
      </c>
      <c r="B625" s="106" t="s">
        <v>270</v>
      </c>
      <c r="C625" s="106" t="s">
        <v>280</v>
      </c>
      <c r="D625" s="106" t="s">
        <v>272</v>
      </c>
      <c r="E625">
        <v>6141</v>
      </c>
      <c r="F625" s="106" t="s">
        <v>504</v>
      </c>
      <c r="G625" s="106" t="s">
        <v>273</v>
      </c>
      <c r="H625" s="106" t="s">
        <v>294</v>
      </c>
      <c r="I625" s="106" t="s">
        <v>296</v>
      </c>
      <c r="J625" s="106" t="s">
        <v>2451</v>
      </c>
    </row>
    <row r="626" spans="1:10" x14ac:dyDescent="0.2">
      <c r="A626" s="106" t="s">
        <v>501</v>
      </c>
      <c r="B626" s="106" t="s">
        <v>270</v>
      </c>
      <c r="C626" s="106" t="s">
        <v>271</v>
      </c>
      <c r="D626" s="106" t="s">
        <v>272</v>
      </c>
      <c r="E626">
        <v>6247</v>
      </c>
      <c r="F626" s="106" t="s">
        <v>505</v>
      </c>
      <c r="G626" s="106" t="s">
        <v>273</v>
      </c>
      <c r="H626" s="106" t="s">
        <v>294</v>
      </c>
      <c r="I626">
        <v>331</v>
      </c>
    </row>
    <row r="627" spans="1:10" x14ac:dyDescent="0.2">
      <c r="A627" s="106" t="s">
        <v>501</v>
      </c>
      <c r="B627" s="106" t="s">
        <v>270</v>
      </c>
      <c r="C627" s="106" t="s">
        <v>271</v>
      </c>
      <c r="D627" s="106" t="s">
        <v>272</v>
      </c>
      <c r="E627">
        <v>7199</v>
      </c>
      <c r="F627" s="106" t="s">
        <v>506</v>
      </c>
      <c r="G627" s="106" t="s">
        <v>273</v>
      </c>
      <c r="H627" s="106" t="s">
        <v>309</v>
      </c>
      <c r="I627" s="106">
        <v>305</v>
      </c>
      <c r="J627" s="106"/>
    </row>
    <row r="628" spans="1:10" x14ac:dyDescent="0.2">
      <c r="A628" s="106" t="s">
        <v>501</v>
      </c>
      <c r="B628" s="106" t="s">
        <v>270</v>
      </c>
      <c r="C628" s="106" t="s">
        <v>271</v>
      </c>
      <c r="D628" s="106" t="s">
        <v>272</v>
      </c>
      <c r="E628">
        <v>7958</v>
      </c>
      <c r="F628" s="106" t="s">
        <v>2492</v>
      </c>
      <c r="G628" s="106" t="s">
        <v>273</v>
      </c>
      <c r="H628" s="106" t="s">
        <v>286</v>
      </c>
      <c r="I628">
        <v>537</v>
      </c>
    </row>
    <row r="629" spans="1:10" x14ac:dyDescent="0.2">
      <c r="A629" s="106" t="s">
        <v>501</v>
      </c>
      <c r="B629" s="106" t="s">
        <v>270</v>
      </c>
      <c r="C629" s="106" t="s">
        <v>282</v>
      </c>
      <c r="D629" s="106" t="s">
        <v>272</v>
      </c>
      <c r="E629">
        <v>9450</v>
      </c>
      <c r="F629" s="106" t="s">
        <v>2060</v>
      </c>
      <c r="G629" s="106" t="s">
        <v>273</v>
      </c>
      <c r="H629" s="106" t="s">
        <v>284</v>
      </c>
      <c r="I629">
        <v>296</v>
      </c>
    </row>
    <row r="630" spans="1:10" x14ac:dyDescent="0.2">
      <c r="A630" s="106" t="s">
        <v>501</v>
      </c>
      <c r="B630" s="106" t="s">
        <v>270</v>
      </c>
      <c r="C630" s="106" t="s">
        <v>280</v>
      </c>
      <c r="D630" s="106" t="s">
        <v>272</v>
      </c>
      <c r="E630">
        <v>9722</v>
      </c>
      <c r="F630" s="106" t="s">
        <v>2493</v>
      </c>
      <c r="G630" s="106" t="s">
        <v>273</v>
      </c>
      <c r="H630" s="106" t="s">
        <v>278</v>
      </c>
      <c r="I630">
        <v>348</v>
      </c>
    </row>
    <row r="631" spans="1:10" x14ac:dyDescent="0.2">
      <c r="A631" s="106" t="s">
        <v>2061</v>
      </c>
      <c r="B631" s="106" t="s">
        <v>270</v>
      </c>
      <c r="C631" s="106" t="s">
        <v>280</v>
      </c>
      <c r="D631" s="106" t="s">
        <v>272</v>
      </c>
      <c r="E631">
        <v>3975</v>
      </c>
      <c r="F631" s="106" t="s">
        <v>2062</v>
      </c>
      <c r="G631" s="106" t="s">
        <v>273</v>
      </c>
      <c r="H631" s="106" t="s">
        <v>284</v>
      </c>
      <c r="I631" s="106">
        <v>174</v>
      </c>
      <c r="J631" s="106"/>
    </row>
    <row r="632" spans="1:10" x14ac:dyDescent="0.2">
      <c r="A632" s="106" t="s">
        <v>507</v>
      </c>
      <c r="B632" s="106" t="s">
        <v>270</v>
      </c>
      <c r="C632" s="106" t="s">
        <v>280</v>
      </c>
      <c r="D632" s="106" t="s">
        <v>276</v>
      </c>
      <c r="E632">
        <v>8985</v>
      </c>
      <c r="F632" s="106" t="s">
        <v>508</v>
      </c>
      <c r="G632" s="106" t="s">
        <v>310</v>
      </c>
      <c r="H632" s="106" t="s">
        <v>311</v>
      </c>
      <c r="I632" s="106" t="s">
        <v>357</v>
      </c>
      <c r="J632" s="106" t="s">
        <v>2494</v>
      </c>
    </row>
    <row r="633" spans="1:10" x14ac:dyDescent="0.2">
      <c r="A633" s="106" t="s">
        <v>2063</v>
      </c>
      <c r="B633" s="106" t="s">
        <v>270</v>
      </c>
      <c r="C633" s="106" t="s">
        <v>275</v>
      </c>
      <c r="D633" s="106" t="s">
        <v>272</v>
      </c>
      <c r="E633">
        <v>4666</v>
      </c>
      <c r="F633" s="106" t="s">
        <v>331</v>
      </c>
      <c r="G633" s="106" t="s">
        <v>273</v>
      </c>
      <c r="H633" s="106" t="s">
        <v>299</v>
      </c>
      <c r="I633" s="106" t="s">
        <v>323</v>
      </c>
      <c r="J633" s="106" t="s">
        <v>2267</v>
      </c>
    </row>
    <row r="634" spans="1:10" x14ac:dyDescent="0.2">
      <c r="A634" s="106" t="s">
        <v>824</v>
      </c>
      <c r="B634" s="106" t="s">
        <v>270</v>
      </c>
      <c r="C634" s="106" t="s">
        <v>271</v>
      </c>
      <c r="D634" s="106" t="s">
        <v>272</v>
      </c>
      <c r="E634">
        <v>2593</v>
      </c>
      <c r="F634" s="106" t="s">
        <v>289</v>
      </c>
      <c r="G634" s="106" t="s">
        <v>273</v>
      </c>
      <c r="H634" s="106" t="s">
        <v>274</v>
      </c>
      <c r="I634" t="s">
        <v>323</v>
      </c>
      <c r="J634" t="s">
        <v>2495</v>
      </c>
    </row>
    <row r="635" spans="1:10" x14ac:dyDescent="0.2">
      <c r="A635" s="106" t="s">
        <v>824</v>
      </c>
      <c r="B635" s="106" t="s">
        <v>270</v>
      </c>
      <c r="C635" s="106" t="s">
        <v>282</v>
      </c>
      <c r="D635" s="106" t="s">
        <v>272</v>
      </c>
      <c r="E635">
        <v>6267</v>
      </c>
      <c r="F635" s="106" t="s">
        <v>293</v>
      </c>
      <c r="G635" s="106" t="s">
        <v>277</v>
      </c>
      <c r="H635" s="106" t="s">
        <v>294</v>
      </c>
      <c r="I635" s="106">
        <v>37</v>
      </c>
      <c r="J635" s="106"/>
    </row>
    <row r="636" spans="1:10" x14ac:dyDescent="0.2">
      <c r="A636" s="106" t="s">
        <v>825</v>
      </c>
      <c r="B636" s="106" t="s">
        <v>270</v>
      </c>
      <c r="C636" s="106" t="s">
        <v>271</v>
      </c>
      <c r="D636" s="106" t="s">
        <v>272</v>
      </c>
      <c r="E636">
        <v>4750</v>
      </c>
      <c r="F636" s="106" t="s">
        <v>287</v>
      </c>
      <c r="G636" s="106" t="s">
        <v>281</v>
      </c>
      <c r="H636" s="106" t="s">
        <v>278</v>
      </c>
      <c r="I636" s="106">
        <v>51</v>
      </c>
      <c r="J636" s="106"/>
    </row>
    <row r="637" spans="1:10" x14ac:dyDescent="0.2">
      <c r="A637" s="106" t="s">
        <v>825</v>
      </c>
      <c r="B637" s="106" t="s">
        <v>270</v>
      </c>
      <c r="C637" s="106" t="s">
        <v>280</v>
      </c>
      <c r="D637" s="106" t="s">
        <v>272</v>
      </c>
      <c r="E637">
        <v>7590</v>
      </c>
      <c r="F637" s="106" t="s">
        <v>2064</v>
      </c>
      <c r="G637" s="106" t="s">
        <v>273</v>
      </c>
      <c r="H637" s="106" t="s">
        <v>279</v>
      </c>
      <c r="I637" s="106">
        <v>75</v>
      </c>
      <c r="J637" s="106"/>
    </row>
    <row r="638" spans="1:10" x14ac:dyDescent="0.2">
      <c r="A638" s="106" t="s">
        <v>2065</v>
      </c>
      <c r="B638" s="106" t="s">
        <v>270</v>
      </c>
      <c r="C638" s="106" t="s">
        <v>275</v>
      </c>
      <c r="D638" s="106" t="s">
        <v>272</v>
      </c>
      <c r="E638">
        <v>1383</v>
      </c>
      <c r="F638" s="106" t="s">
        <v>320</v>
      </c>
      <c r="G638" s="106" t="s">
        <v>277</v>
      </c>
      <c r="H638" s="106" t="s">
        <v>321</v>
      </c>
      <c r="I638" s="106">
        <v>31</v>
      </c>
      <c r="J638" s="106"/>
    </row>
    <row r="639" spans="1:10" x14ac:dyDescent="0.2">
      <c r="A639" s="106" t="s">
        <v>2066</v>
      </c>
      <c r="B639" s="106" t="s">
        <v>270</v>
      </c>
      <c r="C639" s="106" t="s">
        <v>282</v>
      </c>
      <c r="D639" s="106" t="s">
        <v>276</v>
      </c>
      <c r="E639">
        <v>9262</v>
      </c>
      <c r="F639" s="106" t="s">
        <v>314</v>
      </c>
      <c r="G639" s="106" t="s">
        <v>285</v>
      </c>
      <c r="H639" s="106" t="s">
        <v>283</v>
      </c>
      <c r="I639" s="106">
        <v>295</v>
      </c>
      <c r="J639" s="106"/>
    </row>
    <row r="640" spans="1:10" x14ac:dyDescent="0.2">
      <c r="A640" s="106" t="s">
        <v>2067</v>
      </c>
      <c r="B640" s="106" t="s">
        <v>270</v>
      </c>
      <c r="C640" s="106" t="s">
        <v>280</v>
      </c>
      <c r="D640" s="106" t="s">
        <v>272</v>
      </c>
      <c r="E640">
        <v>3995</v>
      </c>
      <c r="F640" s="106" t="s">
        <v>325</v>
      </c>
      <c r="G640" s="106" t="s">
        <v>285</v>
      </c>
      <c r="H640" s="106" t="s">
        <v>284</v>
      </c>
      <c r="I640" s="106">
        <v>65</v>
      </c>
      <c r="J640" s="106"/>
    </row>
    <row r="641" spans="1:10" x14ac:dyDescent="0.2">
      <c r="A641" s="106" t="s">
        <v>2068</v>
      </c>
      <c r="B641" s="106" t="s">
        <v>270</v>
      </c>
      <c r="C641" s="106" t="s">
        <v>282</v>
      </c>
      <c r="D641" s="106" t="s">
        <v>276</v>
      </c>
      <c r="E641">
        <v>2424</v>
      </c>
      <c r="F641" s="106" t="s">
        <v>322</v>
      </c>
      <c r="G641" s="106" t="s">
        <v>273</v>
      </c>
      <c r="H641" s="106" t="s">
        <v>278</v>
      </c>
      <c r="I641" s="106">
        <v>46</v>
      </c>
      <c r="J641" s="106"/>
    </row>
    <row r="642" spans="1:10" x14ac:dyDescent="0.2">
      <c r="A642" s="106" t="s">
        <v>2068</v>
      </c>
      <c r="B642" s="106" t="s">
        <v>270</v>
      </c>
      <c r="C642" s="106" t="s">
        <v>271</v>
      </c>
      <c r="D642" s="106" t="s">
        <v>276</v>
      </c>
      <c r="E642">
        <v>4431</v>
      </c>
      <c r="F642" s="106" t="s">
        <v>326</v>
      </c>
      <c r="G642" s="106" t="s">
        <v>285</v>
      </c>
      <c r="H642" s="106" t="s">
        <v>284</v>
      </c>
      <c r="I642">
        <v>307</v>
      </c>
    </row>
    <row r="643" spans="1:10" x14ac:dyDescent="0.2">
      <c r="A643" s="106" t="s">
        <v>2068</v>
      </c>
      <c r="B643" s="106" t="s">
        <v>270</v>
      </c>
      <c r="C643" s="106" t="s">
        <v>280</v>
      </c>
      <c r="D643" s="106" t="s">
        <v>272</v>
      </c>
      <c r="E643">
        <v>7683</v>
      </c>
      <c r="F643" s="106" t="s">
        <v>330</v>
      </c>
      <c r="G643" s="106" t="s">
        <v>285</v>
      </c>
      <c r="H643" s="106" t="s">
        <v>283</v>
      </c>
      <c r="I643">
        <v>144</v>
      </c>
    </row>
    <row r="644" spans="1:10" x14ac:dyDescent="0.2">
      <c r="A644" s="106" t="s">
        <v>509</v>
      </c>
      <c r="B644" s="106" t="s">
        <v>270</v>
      </c>
      <c r="C644" s="106" t="s">
        <v>271</v>
      </c>
      <c r="D644" s="106" t="s">
        <v>276</v>
      </c>
      <c r="E644">
        <v>1723</v>
      </c>
      <c r="F644" s="106" t="s">
        <v>510</v>
      </c>
      <c r="G644" s="106" t="s">
        <v>277</v>
      </c>
      <c r="H644" s="106" t="s">
        <v>300</v>
      </c>
      <c r="I644">
        <v>269</v>
      </c>
    </row>
    <row r="645" spans="1:10" x14ac:dyDescent="0.2">
      <c r="A645" s="106" t="s">
        <v>509</v>
      </c>
      <c r="B645" s="106" t="s">
        <v>270</v>
      </c>
      <c r="C645" s="106" t="s">
        <v>271</v>
      </c>
      <c r="D645" s="106" t="s">
        <v>272</v>
      </c>
      <c r="E645">
        <v>1941</v>
      </c>
      <c r="F645" s="106" t="s">
        <v>511</v>
      </c>
      <c r="G645" s="106" t="s">
        <v>273</v>
      </c>
      <c r="H645" s="106" t="s">
        <v>300</v>
      </c>
      <c r="I645" t="s">
        <v>304</v>
      </c>
      <c r="J645" t="s">
        <v>2263</v>
      </c>
    </row>
    <row r="646" spans="1:10" x14ac:dyDescent="0.2">
      <c r="A646" s="106" t="s">
        <v>509</v>
      </c>
      <c r="B646" s="106" t="s">
        <v>270</v>
      </c>
      <c r="C646" s="106" t="s">
        <v>271</v>
      </c>
      <c r="D646" s="106" t="s">
        <v>272</v>
      </c>
      <c r="E646">
        <v>1959</v>
      </c>
      <c r="F646" s="106" t="s">
        <v>513</v>
      </c>
      <c r="G646" s="106" t="s">
        <v>273</v>
      </c>
      <c r="H646" s="106" t="s">
        <v>300</v>
      </c>
      <c r="I646" t="s">
        <v>296</v>
      </c>
      <c r="J646" t="s">
        <v>2496</v>
      </c>
    </row>
    <row r="647" spans="1:10" x14ac:dyDescent="0.2">
      <c r="A647" s="106" t="s">
        <v>509</v>
      </c>
      <c r="B647" s="106" t="s">
        <v>270</v>
      </c>
      <c r="C647" s="106" t="s">
        <v>271</v>
      </c>
      <c r="D647" s="106" t="s">
        <v>272</v>
      </c>
      <c r="E647">
        <v>2148</v>
      </c>
      <c r="F647" s="106" t="s">
        <v>734</v>
      </c>
      <c r="G647" s="106" t="s">
        <v>273</v>
      </c>
      <c r="H647" s="106" t="s">
        <v>278</v>
      </c>
      <c r="I647" s="106">
        <v>156</v>
      </c>
      <c r="J647" s="106"/>
    </row>
    <row r="648" spans="1:10" x14ac:dyDescent="0.2">
      <c r="A648" s="106" t="s">
        <v>509</v>
      </c>
      <c r="B648" s="106" t="s">
        <v>270</v>
      </c>
      <c r="C648" s="106" t="s">
        <v>271</v>
      </c>
      <c r="D648" s="106" t="s">
        <v>272</v>
      </c>
      <c r="E648">
        <v>2326</v>
      </c>
      <c r="F648" s="106" t="s">
        <v>735</v>
      </c>
      <c r="G648" s="106" t="s">
        <v>273</v>
      </c>
      <c r="H648" s="106" t="s">
        <v>284</v>
      </c>
      <c r="I648" s="106">
        <v>796</v>
      </c>
      <c r="J648" s="106"/>
    </row>
    <row r="649" spans="1:10" x14ac:dyDescent="0.2">
      <c r="A649" s="106" t="s">
        <v>509</v>
      </c>
      <c r="B649" s="106" t="s">
        <v>270</v>
      </c>
      <c r="C649" s="106" t="s">
        <v>271</v>
      </c>
      <c r="D649" s="106" t="s">
        <v>276</v>
      </c>
      <c r="E649">
        <v>2332</v>
      </c>
      <c r="F649" s="106" t="s">
        <v>514</v>
      </c>
      <c r="G649" s="106" t="s">
        <v>277</v>
      </c>
      <c r="H649" s="106" t="s">
        <v>284</v>
      </c>
      <c r="I649" s="106">
        <v>61</v>
      </c>
      <c r="J649" s="106"/>
    </row>
    <row r="650" spans="1:10" x14ac:dyDescent="0.2">
      <c r="A650" s="106" t="s">
        <v>509</v>
      </c>
      <c r="B650" s="106" t="s">
        <v>270</v>
      </c>
      <c r="C650" s="106" t="s">
        <v>271</v>
      </c>
      <c r="D650" s="106" t="s">
        <v>272</v>
      </c>
      <c r="E650">
        <v>3116</v>
      </c>
      <c r="F650" s="106" t="s">
        <v>826</v>
      </c>
      <c r="G650" s="106" t="s">
        <v>273</v>
      </c>
      <c r="H650" s="106" t="s">
        <v>303</v>
      </c>
      <c r="I650" s="106" t="s">
        <v>357</v>
      </c>
      <c r="J650" s="106" t="s">
        <v>2497</v>
      </c>
    </row>
    <row r="651" spans="1:10" x14ac:dyDescent="0.2">
      <c r="A651" s="106" t="s">
        <v>509</v>
      </c>
      <c r="B651" s="106" t="s">
        <v>270</v>
      </c>
      <c r="C651" s="106" t="s">
        <v>271</v>
      </c>
      <c r="D651" s="106" t="s">
        <v>272</v>
      </c>
      <c r="E651">
        <v>3132</v>
      </c>
      <c r="F651" s="106" t="s">
        <v>827</v>
      </c>
      <c r="G651" s="106" t="s">
        <v>273</v>
      </c>
      <c r="H651" s="106" t="s">
        <v>279</v>
      </c>
      <c r="I651" s="106" t="s">
        <v>304</v>
      </c>
      <c r="J651" s="106" t="s">
        <v>2498</v>
      </c>
    </row>
    <row r="652" spans="1:10" x14ac:dyDescent="0.2">
      <c r="A652" s="106" t="s">
        <v>509</v>
      </c>
      <c r="B652" s="106" t="s">
        <v>270</v>
      </c>
      <c r="C652" s="106" t="s">
        <v>271</v>
      </c>
      <c r="D652" s="106" t="s">
        <v>276</v>
      </c>
      <c r="E652">
        <v>3177</v>
      </c>
      <c r="F652" s="106" t="s">
        <v>515</v>
      </c>
      <c r="G652" s="106" t="s">
        <v>277</v>
      </c>
      <c r="H652" s="106" t="s">
        <v>283</v>
      </c>
      <c r="I652">
        <v>22</v>
      </c>
    </row>
    <row r="653" spans="1:10" x14ac:dyDescent="0.2">
      <c r="A653" s="106" t="s">
        <v>509</v>
      </c>
      <c r="B653" s="106" t="s">
        <v>270</v>
      </c>
      <c r="C653" s="106" t="s">
        <v>271</v>
      </c>
      <c r="D653" s="106" t="s">
        <v>272</v>
      </c>
      <c r="E653">
        <v>3231</v>
      </c>
      <c r="F653" s="106" t="s">
        <v>516</v>
      </c>
      <c r="G653" s="106" t="s">
        <v>273</v>
      </c>
      <c r="H653" s="106" t="s">
        <v>299</v>
      </c>
      <c r="I653" t="s">
        <v>290</v>
      </c>
      <c r="J653" t="s">
        <v>2265</v>
      </c>
    </row>
    <row r="654" spans="1:10" x14ac:dyDescent="0.2">
      <c r="A654" s="106" t="s">
        <v>509</v>
      </c>
      <c r="B654" s="106" t="s">
        <v>270</v>
      </c>
      <c r="C654" s="106" t="s">
        <v>271</v>
      </c>
      <c r="D654" s="106" t="s">
        <v>276</v>
      </c>
      <c r="E654">
        <v>3564</v>
      </c>
      <c r="F654" s="106" t="s">
        <v>828</v>
      </c>
      <c r="G654" s="106" t="s">
        <v>273</v>
      </c>
      <c r="H654" s="106" t="s">
        <v>283</v>
      </c>
      <c r="I654">
        <v>884</v>
      </c>
    </row>
    <row r="655" spans="1:10" x14ac:dyDescent="0.2">
      <c r="A655" s="106" t="s">
        <v>509</v>
      </c>
      <c r="B655" s="106" t="s">
        <v>270</v>
      </c>
      <c r="C655" s="106" t="s">
        <v>271</v>
      </c>
      <c r="D655" s="106" t="s">
        <v>276</v>
      </c>
      <c r="E655">
        <v>3658</v>
      </c>
      <c r="F655" s="106" t="s">
        <v>829</v>
      </c>
      <c r="G655" s="106" t="s">
        <v>273</v>
      </c>
      <c r="H655" s="106" t="s">
        <v>284</v>
      </c>
      <c r="I655">
        <v>109</v>
      </c>
    </row>
    <row r="656" spans="1:10" x14ac:dyDescent="0.2">
      <c r="A656" s="106" t="s">
        <v>509</v>
      </c>
      <c r="B656" s="106" t="s">
        <v>270</v>
      </c>
      <c r="C656" s="106" t="s">
        <v>271</v>
      </c>
      <c r="D656" s="106" t="s">
        <v>272</v>
      </c>
      <c r="E656">
        <v>3778</v>
      </c>
      <c r="F656" s="106" t="s">
        <v>830</v>
      </c>
      <c r="G656" s="106" t="s">
        <v>273</v>
      </c>
      <c r="H656" s="106" t="s">
        <v>284</v>
      </c>
      <c r="I656">
        <v>269</v>
      </c>
    </row>
    <row r="657" spans="1:10" x14ac:dyDescent="0.2">
      <c r="A657" s="106" t="s">
        <v>509</v>
      </c>
      <c r="B657" s="106" t="s">
        <v>270</v>
      </c>
      <c r="C657" s="106" t="s">
        <v>271</v>
      </c>
      <c r="D657" s="106" t="s">
        <v>276</v>
      </c>
      <c r="E657">
        <v>4333</v>
      </c>
      <c r="F657" s="106" t="s">
        <v>517</v>
      </c>
      <c r="G657" s="106" t="s">
        <v>273</v>
      </c>
      <c r="H657" s="106" t="s">
        <v>284</v>
      </c>
      <c r="I657">
        <v>129</v>
      </c>
    </row>
    <row r="658" spans="1:10" x14ac:dyDescent="0.2">
      <c r="A658" s="106" t="s">
        <v>509</v>
      </c>
      <c r="B658" s="106" t="s">
        <v>270</v>
      </c>
      <c r="C658" s="106" t="s">
        <v>275</v>
      </c>
      <c r="D658" s="106" t="s">
        <v>276</v>
      </c>
      <c r="E658">
        <v>4393</v>
      </c>
      <c r="F658" s="106" t="s">
        <v>518</v>
      </c>
      <c r="G658" s="106" t="s">
        <v>285</v>
      </c>
      <c r="H658" s="106" t="s">
        <v>284</v>
      </c>
      <c r="I658">
        <v>99</v>
      </c>
    </row>
    <row r="659" spans="1:10" x14ac:dyDescent="0.2">
      <c r="A659" s="106" t="s">
        <v>509</v>
      </c>
      <c r="B659" s="106" t="s">
        <v>270</v>
      </c>
      <c r="C659" s="106" t="s">
        <v>271</v>
      </c>
      <c r="D659" s="106" t="s">
        <v>272</v>
      </c>
      <c r="E659">
        <v>4557</v>
      </c>
      <c r="F659" s="106" t="s">
        <v>519</v>
      </c>
      <c r="G659" s="106" t="s">
        <v>277</v>
      </c>
      <c r="H659" s="106" t="s">
        <v>318</v>
      </c>
      <c r="I659">
        <v>213</v>
      </c>
    </row>
    <row r="660" spans="1:10" x14ac:dyDescent="0.2">
      <c r="A660" s="106" t="s">
        <v>509</v>
      </c>
      <c r="B660" s="106" t="s">
        <v>270</v>
      </c>
      <c r="C660" s="106" t="s">
        <v>271</v>
      </c>
      <c r="D660" s="106" t="s">
        <v>272</v>
      </c>
      <c r="E660">
        <v>4684</v>
      </c>
      <c r="F660" s="106" t="s">
        <v>520</v>
      </c>
      <c r="G660" s="106" t="s">
        <v>273</v>
      </c>
      <c r="H660" s="106" t="s">
        <v>284</v>
      </c>
      <c r="I660" t="s">
        <v>521</v>
      </c>
      <c r="J660" t="s">
        <v>2499</v>
      </c>
    </row>
    <row r="661" spans="1:10" x14ac:dyDescent="0.2">
      <c r="A661" s="106" t="s">
        <v>509</v>
      </c>
      <c r="B661" s="106" t="s">
        <v>270</v>
      </c>
      <c r="C661" s="106" t="s">
        <v>271</v>
      </c>
      <c r="D661" s="106" t="s">
        <v>272</v>
      </c>
      <c r="E661">
        <v>4689</v>
      </c>
      <c r="F661" s="106" t="s">
        <v>522</v>
      </c>
      <c r="G661" s="106" t="s">
        <v>273</v>
      </c>
      <c r="H661" s="106" t="s">
        <v>284</v>
      </c>
      <c r="I661" s="106" t="s">
        <v>525</v>
      </c>
      <c r="J661" s="106" t="s">
        <v>2172</v>
      </c>
    </row>
    <row r="662" spans="1:10" x14ac:dyDescent="0.2">
      <c r="A662" s="106" t="s">
        <v>509</v>
      </c>
      <c r="B662" s="106" t="s">
        <v>270</v>
      </c>
      <c r="C662" s="106" t="s">
        <v>271</v>
      </c>
      <c r="D662" s="106" t="s">
        <v>272</v>
      </c>
      <c r="E662">
        <v>5445</v>
      </c>
      <c r="F662" s="106" t="s">
        <v>2500</v>
      </c>
      <c r="G662" s="106" t="s">
        <v>273</v>
      </c>
      <c r="H662" s="106" t="s">
        <v>813</v>
      </c>
      <c r="I662">
        <v>150</v>
      </c>
    </row>
    <row r="663" spans="1:10" x14ac:dyDescent="0.2">
      <c r="A663" s="106" t="s">
        <v>509</v>
      </c>
      <c r="B663" s="106" t="s">
        <v>270</v>
      </c>
      <c r="C663" s="106" t="s">
        <v>271</v>
      </c>
      <c r="D663" s="106" t="s">
        <v>276</v>
      </c>
      <c r="E663">
        <v>6022</v>
      </c>
      <c r="F663" s="106" t="s">
        <v>523</v>
      </c>
      <c r="G663" s="106" t="s">
        <v>281</v>
      </c>
      <c r="H663" s="106" t="s">
        <v>294</v>
      </c>
      <c r="I663">
        <v>27</v>
      </c>
    </row>
    <row r="664" spans="1:10" x14ac:dyDescent="0.2">
      <c r="A664" s="106" t="s">
        <v>509</v>
      </c>
      <c r="B664" s="106" t="s">
        <v>270</v>
      </c>
      <c r="C664" s="106" t="s">
        <v>271</v>
      </c>
      <c r="D664" s="106" t="s">
        <v>272</v>
      </c>
      <c r="E664">
        <v>6201</v>
      </c>
      <c r="F664" s="106" t="s">
        <v>524</v>
      </c>
      <c r="G664" s="106" t="s">
        <v>273</v>
      </c>
      <c r="H664" s="106" t="s">
        <v>303</v>
      </c>
      <c r="I664" t="s">
        <v>831</v>
      </c>
      <c r="J664" t="s">
        <v>2501</v>
      </c>
    </row>
    <row r="665" spans="1:10" x14ac:dyDescent="0.2">
      <c r="A665" s="106" t="s">
        <v>509</v>
      </c>
      <c r="B665" s="106" t="s">
        <v>270</v>
      </c>
      <c r="C665" s="106" t="s">
        <v>271</v>
      </c>
      <c r="D665" s="106" t="s">
        <v>272</v>
      </c>
      <c r="E665">
        <v>6301</v>
      </c>
      <c r="F665" s="106" t="s">
        <v>526</v>
      </c>
      <c r="G665" s="106" t="s">
        <v>273</v>
      </c>
      <c r="H665" s="106" t="s">
        <v>294</v>
      </c>
      <c r="I665" t="s">
        <v>2262</v>
      </c>
      <c r="J665" t="s">
        <v>2344</v>
      </c>
    </row>
    <row r="666" spans="1:10" x14ac:dyDescent="0.2">
      <c r="A666" s="106" t="s">
        <v>509</v>
      </c>
      <c r="B666" s="106" t="s">
        <v>270</v>
      </c>
      <c r="C666" s="106" t="s">
        <v>271</v>
      </c>
      <c r="D666" s="106" t="s">
        <v>272</v>
      </c>
      <c r="E666">
        <v>6395</v>
      </c>
      <c r="F666" s="106" t="s">
        <v>527</v>
      </c>
      <c r="G666" s="106" t="s">
        <v>273</v>
      </c>
      <c r="H666" s="106" t="s">
        <v>294</v>
      </c>
      <c r="I666" t="s">
        <v>304</v>
      </c>
      <c r="J666" t="s">
        <v>2481</v>
      </c>
    </row>
    <row r="667" spans="1:10" x14ac:dyDescent="0.2">
      <c r="A667" s="106" t="s">
        <v>509</v>
      </c>
      <c r="B667" s="106" t="s">
        <v>270</v>
      </c>
      <c r="C667" s="106" t="s">
        <v>271</v>
      </c>
      <c r="D667" s="106" t="s">
        <v>272</v>
      </c>
      <c r="E667">
        <v>6645</v>
      </c>
      <c r="F667" s="106" t="s">
        <v>528</v>
      </c>
      <c r="G667" s="106" t="s">
        <v>273</v>
      </c>
      <c r="H667" s="106" t="s">
        <v>298</v>
      </c>
      <c r="I667" s="106" t="s">
        <v>495</v>
      </c>
      <c r="J667" s="106" t="s">
        <v>2266</v>
      </c>
    </row>
    <row r="668" spans="1:10" x14ac:dyDescent="0.2">
      <c r="A668" s="106" t="s">
        <v>509</v>
      </c>
      <c r="B668" s="106" t="s">
        <v>270</v>
      </c>
      <c r="C668" s="106" t="s">
        <v>271</v>
      </c>
      <c r="D668" s="106" t="s">
        <v>272</v>
      </c>
      <c r="E668">
        <v>6788</v>
      </c>
      <c r="F668" s="106" t="s">
        <v>529</v>
      </c>
      <c r="G668" s="106" t="s">
        <v>273</v>
      </c>
      <c r="H668" s="106" t="s">
        <v>298</v>
      </c>
      <c r="I668" s="106">
        <v>396</v>
      </c>
      <c r="J668" s="106"/>
    </row>
    <row r="669" spans="1:10" x14ac:dyDescent="0.2">
      <c r="A669" s="106" t="s">
        <v>509</v>
      </c>
      <c r="B669" s="106" t="s">
        <v>270</v>
      </c>
      <c r="C669" s="106" t="s">
        <v>271</v>
      </c>
      <c r="D669" s="106" t="s">
        <v>272</v>
      </c>
      <c r="E669">
        <v>7278</v>
      </c>
      <c r="F669" s="106" t="s">
        <v>530</v>
      </c>
      <c r="G669" s="106" t="s">
        <v>273</v>
      </c>
      <c r="H669" s="106" t="s">
        <v>303</v>
      </c>
      <c r="I669" t="s">
        <v>304</v>
      </c>
      <c r="J669" t="s">
        <v>2243</v>
      </c>
    </row>
    <row r="670" spans="1:10" x14ac:dyDescent="0.2">
      <c r="A670" s="106" t="s">
        <v>509</v>
      </c>
      <c r="B670" s="106" t="s">
        <v>270</v>
      </c>
      <c r="C670" s="106" t="s">
        <v>271</v>
      </c>
      <c r="D670" s="106" t="s">
        <v>272</v>
      </c>
      <c r="E670">
        <v>7442</v>
      </c>
      <c r="F670" s="106" t="s">
        <v>2069</v>
      </c>
      <c r="G670" s="106" t="s">
        <v>273</v>
      </c>
      <c r="H670" s="106" t="s">
        <v>279</v>
      </c>
      <c r="I670">
        <v>108</v>
      </c>
    </row>
    <row r="671" spans="1:10" x14ac:dyDescent="0.2">
      <c r="A671" s="106" t="s">
        <v>509</v>
      </c>
      <c r="B671" s="106" t="s">
        <v>270</v>
      </c>
      <c r="C671" s="106" t="s">
        <v>282</v>
      </c>
      <c r="D671" s="106" t="s">
        <v>276</v>
      </c>
      <c r="E671">
        <v>7500</v>
      </c>
      <c r="F671" s="106" t="s">
        <v>832</v>
      </c>
      <c r="G671" s="106" t="s">
        <v>277</v>
      </c>
      <c r="H671" s="106" t="s">
        <v>279</v>
      </c>
      <c r="I671">
        <v>164</v>
      </c>
    </row>
    <row r="672" spans="1:10" x14ac:dyDescent="0.2">
      <c r="A672" s="106" t="s">
        <v>509</v>
      </c>
      <c r="B672" s="106" t="s">
        <v>270</v>
      </c>
      <c r="C672" s="106" t="s">
        <v>275</v>
      </c>
      <c r="D672" s="106" t="s">
        <v>272</v>
      </c>
      <c r="E672">
        <v>7821</v>
      </c>
      <c r="F672" s="106" t="s">
        <v>2502</v>
      </c>
      <c r="G672" s="106" t="s">
        <v>273</v>
      </c>
      <c r="H672" s="106" t="s">
        <v>295</v>
      </c>
      <c r="I672">
        <v>703</v>
      </c>
    </row>
    <row r="673" spans="1:10" x14ac:dyDescent="0.2">
      <c r="A673" s="106" t="s">
        <v>509</v>
      </c>
      <c r="B673" s="106" t="s">
        <v>270</v>
      </c>
      <c r="C673" s="106" t="s">
        <v>271</v>
      </c>
      <c r="D673" s="106" t="s">
        <v>272</v>
      </c>
      <c r="E673">
        <v>7995</v>
      </c>
      <c r="F673" s="106" t="s">
        <v>531</v>
      </c>
      <c r="G673" s="106" t="s">
        <v>273</v>
      </c>
      <c r="H673" s="106" t="s">
        <v>286</v>
      </c>
      <c r="I673">
        <v>509</v>
      </c>
    </row>
    <row r="674" spans="1:10" x14ac:dyDescent="0.2">
      <c r="A674" s="106" t="s">
        <v>509</v>
      </c>
      <c r="B674" s="106" t="s">
        <v>270</v>
      </c>
      <c r="C674" s="106" t="s">
        <v>271</v>
      </c>
      <c r="D674" s="106" t="s">
        <v>272</v>
      </c>
      <c r="E674">
        <v>8242</v>
      </c>
      <c r="F674" s="106" t="s">
        <v>532</v>
      </c>
      <c r="G674" s="106" t="s">
        <v>273</v>
      </c>
      <c r="H674" s="106" t="s">
        <v>283</v>
      </c>
      <c r="I674" t="s">
        <v>304</v>
      </c>
      <c r="J674" t="s">
        <v>2461</v>
      </c>
    </row>
    <row r="675" spans="1:10" x14ac:dyDescent="0.2">
      <c r="A675" s="106" t="s">
        <v>509</v>
      </c>
      <c r="B675" s="106" t="s">
        <v>270</v>
      </c>
      <c r="C675" s="106" t="s">
        <v>271</v>
      </c>
      <c r="D675" s="106" t="s">
        <v>272</v>
      </c>
      <c r="E675">
        <v>8304</v>
      </c>
      <c r="F675" s="106" t="s">
        <v>533</v>
      </c>
      <c r="G675" s="106" t="s">
        <v>273</v>
      </c>
      <c r="H675" s="106" t="s">
        <v>534</v>
      </c>
      <c r="I675" s="106" t="s">
        <v>357</v>
      </c>
      <c r="J675" s="106" t="s">
        <v>2503</v>
      </c>
    </row>
    <row r="676" spans="1:10" x14ac:dyDescent="0.2">
      <c r="A676" s="106" t="s">
        <v>509</v>
      </c>
      <c r="B676" s="106" t="s">
        <v>270</v>
      </c>
      <c r="C676" s="106" t="s">
        <v>271</v>
      </c>
      <c r="D676" s="106" t="s">
        <v>272</v>
      </c>
      <c r="E676">
        <v>8309</v>
      </c>
      <c r="F676" s="106" t="s">
        <v>2070</v>
      </c>
      <c r="G676" s="106" t="s">
        <v>273</v>
      </c>
      <c r="H676" s="106" t="s">
        <v>534</v>
      </c>
      <c r="I676" t="s">
        <v>301</v>
      </c>
      <c r="J676" t="s">
        <v>2504</v>
      </c>
    </row>
    <row r="677" spans="1:10" x14ac:dyDescent="0.2">
      <c r="A677" s="106" t="s">
        <v>509</v>
      </c>
      <c r="B677" s="106" t="s">
        <v>270</v>
      </c>
      <c r="C677" s="106" t="s">
        <v>271</v>
      </c>
      <c r="D677" s="106" t="s">
        <v>272</v>
      </c>
      <c r="E677">
        <v>9055</v>
      </c>
      <c r="F677" s="106" t="s">
        <v>2071</v>
      </c>
      <c r="G677" s="106" t="s">
        <v>281</v>
      </c>
      <c r="H677" s="106" t="s">
        <v>405</v>
      </c>
      <c r="I677">
        <v>287</v>
      </c>
    </row>
    <row r="678" spans="1:10" x14ac:dyDescent="0.2">
      <c r="A678" s="106" t="s">
        <v>509</v>
      </c>
      <c r="B678" s="106" t="s">
        <v>270</v>
      </c>
      <c r="C678" s="106" t="s">
        <v>271</v>
      </c>
      <c r="D678" s="106" t="s">
        <v>272</v>
      </c>
      <c r="E678">
        <v>9202</v>
      </c>
      <c r="F678" s="106" t="s">
        <v>535</v>
      </c>
      <c r="G678" s="106" t="s">
        <v>273</v>
      </c>
      <c r="H678" s="106" t="s">
        <v>536</v>
      </c>
      <c r="I678" t="s">
        <v>615</v>
      </c>
      <c r="J678" t="s">
        <v>2505</v>
      </c>
    </row>
    <row r="679" spans="1:10" x14ac:dyDescent="0.2">
      <c r="A679" s="106" t="s">
        <v>509</v>
      </c>
      <c r="B679" s="106" t="s">
        <v>270</v>
      </c>
      <c r="C679" s="106" t="s">
        <v>271</v>
      </c>
      <c r="D679" s="106" t="s">
        <v>272</v>
      </c>
      <c r="E679">
        <v>9436</v>
      </c>
      <c r="F679" s="106" t="s">
        <v>2072</v>
      </c>
      <c r="G679" s="106" t="s">
        <v>277</v>
      </c>
      <c r="H679" s="106" t="s">
        <v>284</v>
      </c>
      <c r="I679" t="s">
        <v>304</v>
      </c>
      <c r="J679" t="s">
        <v>2506</v>
      </c>
    </row>
    <row r="680" spans="1:10" x14ac:dyDescent="0.2">
      <c r="A680" s="106" t="s">
        <v>509</v>
      </c>
      <c r="B680" s="106" t="s">
        <v>270</v>
      </c>
      <c r="C680" s="106" t="s">
        <v>271</v>
      </c>
      <c r="D680" s="106" t="s">
        <v>272</v>
      </c>
      <c r="E680">
        <v>9474</v>
      </c>
      <c r="F680" s="106" t="s">
        <v>537</v>
      </c>
      <c r="G680" s="106" t="s">
        <v>273</v>
      </c>
      <c r="H680" s="106" t="s">
        <v>284</v>
      </c>
      <c r="I680" s="106" t="s">
        <v>304</v>
      </c>
      <c r="J680" s="106" t="s">
        <v>2507</v>
      </c>
    </row>
    <row r="681" spans="1:10" x14ac:dyDescent="0.2">
      <c r="A681" s="106" t="s">
        <v>509</v>
      </c>
      <c r="B681" s="106" t="s">
        <v>270</v>
      </c>
      <c r="C681" s="106" t="s">
        <v>271</v>
      </c>
      <c r="D681" s="106" t="s">
        <v>272</v>
      </c>
      <c r="E681">
        <v>9504</v>
      </c>
      <c r="F681" s="106" t="s">
        <v>541</v>
      </c>
      <c r="G681" s="106" t="s">
        <v>273</v>
      </c>
      <c r="H681" s="106" t="s">
        <v>539</v>
      </c>
      <c r="I681" t="s">
        <v>290</v>
      </c>
      <c r="J681" t="s">
        <v>2349</v>
      </c>
    </row>
    <row r="682" spans="1:10" x14ac:dyDescent="0.2">
      <c r="A682" s="106" t="s">
        <v>509</v>
      </c>
      <c r="B682" s="106" t="s">
        <v>270</v>
      </c>
      <c r="C682" s="106" t="s">
        <v>271</v>
      </c>
      <c r="D682" s="106" t="s">
        <v>272</v>
      </c>
      <c r="E682">
        <v>9531</v>
      </c>
      <c r="F682" s="106" t="s">
        <v>542</v>
      </c>
      <c r="G682" s="106" t="s">
        <v>273</v>
      </c>
      <c r="H682" s="106" t="s">
        <v>539</v>
      </c>
      <c r="I682" t="s">
        <v>540</v>
      </c>
      <c r="J682" t="s">
        <v>2508</v>
      </c>
    </row>
    <row r="683" spans="1:10" x14ac:dyDescent="0.2">
      <c r="A683" s="106" t="s">
        <v>509</v>
      </c>
      <c r="B683" s="106" t="s">
        <v>270</v>
      </c>
      <c r="C683" s="106" t="s">
        <v>271</v>
      </c>
      <c r="D683" s="106" t="s">
        <v>272</v>
      </c>
      <c r="E683">
        <v>9719</v>
      </c>
      <c r="F683" s="106" t="s">
        <v>543</v>
      </c>
      <c r="G683" s="106" t="s">
        <v>273</v>
      </c>
      <c r="H683" s="106" t="s">
        <v>284</v>
      </c>
      <c r="I683" t="s">
        <v>290</v>
      </c>
      <c r="J683" t="s">
        <v>2509</v>
      </c>
    </row>
    <row r="684" spans="1:10" x14ac:dyDescent="0.2">
      <c r="A684" s="106" t="s">
        <v>509</v>
      </c>
      <c r="B684" s="106" t="s">
        <v>270</v>
      </c>
      <c r="C684" s="106" t="s">
        <v>271</v>
      </c>
      <c r="D684" s="106" t="s">
        <v>272</v>
      </c>
      <c r="E684">
        <v>9936</v>
      </c>
      <c r="F684" s="106" t="s">
        <v>544</v>
      </c>
      <c r="G684" s="106" t="s">
        <v>273</v>
      </c>
      <c r="H684" s="106" t="s">
        <v>283</v>
      </c>
      <c r="I684" t="s">
        <v>304</v>
      </c>
      <c r="J684" t="s">
        <v>2510</v>
      </c>
    </row>
    <row r="685" spans="1:10" x14ac:dyDescent="0.2">
      <c r="A685" s="106" t="s">
        <v>545</v>
      </c>
      <c r="B685" s="106" t="s">
        <v>270</v>
      </c>
      <c r="C685" s="106" t="s">
        <v>271</v>
      </c>
      <c r="D685" s="106" t="s">
        <v>272</v>
      </c>
      <c r="E685">
        <v>3353</v>
      </c>
      <c r="F685" s="106" t="s">
        <v>550</v>
      </c>
      <c r="G685" s="106" t="s">
        <v>277</v>
      </c>
      <c r="H685" s="106" t="s">
        <v>283</v>
      </c>
      <c r="I685">
        <v>176</v>
      </c>
    </row>
    <row r="686" spans="1:10" x14ac:dyDescent="0.2">
      <c r="A686" s="106" t="s">
        <v>560</v>
      </c>
      <c r="B686" s="106" t="s">
        <v>270</v>
      </c>
      <c r="C686" s="106" t="s">
        <v>275</v>
      </c>
      <c r="D686" s="106" t="s">
        <v>272</v>
      </c>
      <c r="E686">
        <v>4433</v>
      </c>
      <c r="F686" s="106" t="s">
        <v>573</v>
      </c>
      <c r="G686" s="106" t="s">
        <v>273</v>
      </c>
      <c r="H686" s="106" t="s">
        <v>284</v>
      </c>
      <c r="I686">
        <v>272</v>
      </c>
    </row>
    <row r="687" spans="1:10" x14ac:dyDescent="0.2">
      <c r="A687" s="106" t="s">
        <v>560</v>
      </c>
      <c r="B687" s="106" t="s">
        <v>270</v>
      </c>
      <c r="C687" s="106" t="s">
        <v>271</v>
      </c>
      <c r="D687" s="106" t="s">
        <v>272</v>
      </c>
      <c r="E687">
        <v>7058</v>
      </c>
      <c r="F687" s="106" t="s">
        <v>581</v>
      </c>
      <c r="G687" s="106" t="s">
        <v>277</v>
      </c>
      <c r="H687" s="106" t="s">
        <v>278</v>
      </c>
      <c r="I687">
        <v>75</v>
      </c>
    </row>
    <row r="688" spans="1:10" x14ac:dyDescent="0.2">
      <c r="A688" s="106" t="s">
        <v>2511</v>
      </c>
      <c r="B688" s="106" t="s">
        <v>270</v>
      </c>
      <c r="C688" s="106" t="s">
        <v>282</v>
      </c>
      <c r="D688" s="106" t="s">
        <v>276</v>
      </c>
      <c r="E688">
        <v>2391</v>
      </c>
      <c r="F688" s="106" t="s">
        <v>2512</v>
      </c>
      <c r="G688" s="106" t="s">
        <v>277</v>
      </c>
      <c r="H688" s="106" t="s">
        <v>278</v>
      </c>
      <c r="I688">
        <v>102</v>
      </c>
    </row>
    <row r="689" spans="1:10" x14ac:dyDescent="0.2">
      <c r="A689" s="106" t="s">
        <v>585</v>
      </c>
      <c r="B689" s="106" t="s">
        <v>270</v>
      </c>
      <c r="C689" s="106" t="s">
        <v>271</v>
      </c>
      <c r="D689" s="106" t="s">
        <v>272</v>
      </c>
      <c r="E689">
        <v>1719</v>
      </c>
      <c r="F689" s="106" t="s">
        <v>586</v>
      </c>
      <c r="G689" s="106" t="s">
        <v>273</v>
      </c>
      <c r="H689" s="106" t="s">
        <v>300</v>
      </c>
      <c r="I689" t="s">
        <v>304</v>
      </c>
      <c r="J689" t="s">
        <v>2513</v>
      </c>
    </row>
    <row r="690" spans="1:10" x14ac:dyDescent="0.2">
      <c r="A690" s="106" t="s">
        <v>585</v>
      </c>
      <c r="B690" s="106" t="s">
        <v>270</v>
      </c>
      <c r="C690" s="106" t="s">
        <v>271</v>
      </c>
      <c r="D690" s="106" t="s">
        <v>272</v>
      </c>
      <c r="E690">
        <v>1812</v>
      </c>
      <c r="F690" s="106" t="s">
        <v>587</v>
      </c>
      <c r="G690" s="106" t="s">
        <v>273</v>
      </c>
      <c r="H690" s="106" t="s">
        <v>300</v>
      </c>
      <c r="I690" t="s">
        <v>588</v>
      </c>
      <c r="J690" t="s">
        <v>2514</v>
      </c>
    </row>
    <row r="691" spans="1:10" x14ac:dyDescent="0.2">
      <c r="A691" s="106" t="s">
        <v>585</v>
      </c>
      <c r="B691" s="106" t="s">
        <v>270</v>
      </c>
      <c r="C691" s="106" t="s">
        <v>271</v>
      </c>
      <c r="D691" s="106" t="s">
        <v>272</v>
      </c>
      <c r="E691">
        <v>1824</v>
      </c>
      <c r="F691" s="106" t="s">
        <v>589</v>
      </c>
      <c r="G691" s="106" t="s">
        <v>273</v>
      </c>
      <c r="H691" s="106" t="s">
        <v>300</v>
      </c>
      <c r="I691" t="s">
        <v>296</v>
      </c>
      <c r="J691" t="s">
        <v>2515</v>
      </c>
    </row>
    <row r="692" spans="1:10" x14ac:dyDescent="0.2">
      <c r="A692" s="106" t="s">
        <v>585</v>
      </c>
      <c r="B692" s="106" t="s">
        <v>270</v>
      </c>
      <c r="C692" s="106" t="s">
        <v>271</v>
      </c>
      <c r="D692" s="106" t="s">
        <v>272</v>
      </c>
      <c r="E692">
        <v>1860</v>
      </c>
      <c r="F692" s="106" t="s">
        <v>590</v>
      </c>
      <c r="G692" s="106" t="s">
        <v>273</v>
      </c>
      <c r="H692" s="106" t="s">
        <v>300</v>
      </c>
      <c r="I692" s="106" t="s">
        <v>296</v>
      </c>
      <c r="J692" s="106" t="s">
        <v>2516</v>
      </c>
    </row>
    <row r="693" spans="1:10" x14ac:dyDescent="0.2">
      <c r="A693" s="106" t="s">
        <v>585</v>
      </c>
      <c r="B693" s="106" t="s">
        <v>270</v>
      </c>
      <c r="C693" s="106" t="s">
        <v>271</v>
      </c>
      <c r="D693" s="106" t="s">
        <v>272</v>
      </c>
      <c r="E693">
        <v>1893</v>
      </c>
      <c r="F693" s="106" t="s">
        <v>2073</v>
      </c>
      <c r="G693" s="106" t="s">
        <v>273</v>
      </c>
      <c r="H693" s="106" t="s">
        <v>300</v>
      </c>
      <c r="I693" s="106" t="s">
        <v>304</v>
      </c>
      <c r="J693" s="106" t="s">
        <v>2517</v>
      </c>
    </row>
    <row r="694" spans="1:10" x14ac:dyDescent="0.2">
      <c r="A694" s="106" t="s">
        <v>585</v>
      </c>
      <c r="B694" s="106" t="s">
        <v>270</v>
      </c>
      <c r="C694" s="106" t="s">
        <v>271</v>
      </c>
      <c r="D694" s="106" t="s">
        <v>272</v>
      </c>
      <c r="E694">
        <v>1964</v>
      </c>
      <c r="F694" s="106" t="s">
        <v>591</v>
      </c>
      <c r="G694" s="106" t="s">
        <v>273</v>
      </c>
      <c r="H694" s="106" t="s">
        <v>300</v>
      </c>
      <c r="I694" s="106">
        <v>144</v>
      </c>
      <c r="J694" s="106"/>
    </row>
    <row r="695" spans="1:10" x14ac:dyDescent="0.2">
      <c r="A695" s="106" t="s">
        <v>585</v>
      </c>
      <c r="B695" s="106" t="s">
        <v>270</v>
      </c>
      <c r="C695" s="106" t="s">
        <v>271</v>
      </c>
      <c r="D695" s="106" t="s">
        <v>272</v>
      </c>
      <c r="E695">
        <v>2108</v>
      </c>
      <c r="F695" s="106" t="s">
        <v>592</v>
      </c>
      <c r="G695" s="106" t="s">
        <v>273</v>
      </c>
      <c r="H695" s="106" t="s">
        <v>274</v>
      </c>
      <c r="I695">
        <v>310</v>
      </c>
    </row>
    <row r="696" spans="1:10" x14ac:dyDescent="0.2">
      <c r="A696" s="106" t="s">
        <v>585</v>
      </c>
      <c r="B696" s="106" t="s">
        <v>270</v>
      </c>
      <c r="C696" s="106" t="s">
        <v>271</v>
      </c>
      <c r="D696" s="106" t="s">
        <v>272</v>
      </c>
      <c r="E696">
        <v>2173</v>
      </c>
      <c r="F696" s="106" t="s">
        <v>736</v>
      </c>
      <c r="G696" s="106" t="s">
        <v>277</v>
      </c>
      <c r="H696" s="106" t="s">
        <v>278</v>
      </c>
      <c r="I696">
        <v>57</v>
      </c>
    </row>
    <row r="697" spans="1:10" x14ac:dyDescent="0.2">
      <c r="A697" s="106" t="s">
        <v>585</v>
      </c>
      <c r="B697" s="106" t="s">
        <v>270</v>
      </c>
      <c r="C697" s="106" t="s">
        <v>282</v>
      </c>
      <c r="D697" s="106" t="s">
        <v>272</v>
      </c>
      <c r="E697">
        <v>2180</v>
      </c>
      <c r="F697" s="106" t="s">
        <v>593</v>
      </c>
      <c r="G697" s="106" t="s">
        <v>273</v>
      </c>
      <c r="H697" s="106" t="s">
        <v>278</v>
      </c>
      <c r="I697">
        <v>165</v>
      </c>
    </row>
    <row r="698" spans="1:10" x14ac:dyDescent="0.2">
      <c r="A698" s="106" t="s">
        <v>585</v>
      </c>
      <c r="B698" s="106" t="s">
        <v>270</v>
      </c>
      <c r="C698" s="106" t="s">
        <v>271</v>
      </c>
      <c r="D698" s="106" t="s">
        <v>272</v>
      </c>
      <c r="E698">
        <v>2288</v>
      </c>
      <c r="F698" s="106" t="s">
        <v>594</v>
      </c>
      <c r="G698" s="106" t="s">
        <v>273</v>
      </c>
      <c r="H698" s="106" t="s">
        <v>274</v>
      </c>
      <c r="I698">
        <v>612</v>
      </c>
    </row>
    <row r="699" spans="1:10" x14ac:dyDescent="0.2">
      <c r="A699" s="106" t="s">
        <v>585</v>
      </c>
      <c r="B699" s="106" t="s">
        <v>270</v>
      </c>
      <c r="C699" s="106" t="s">
        <v>271</v>
      </c>
      <c r="D699" s="106" t="s">
        <v>272</v>
      </c>
      <c r="E699">
        <v>2349</v>
      </c>
      <c r="F699" s="106" t="s">
        <v>737</v>
      </c>
      <c r="G699" s="106" t="s">
        <v>277</v>
      </c>
      <c r="H699" s="106" t="s">
        <v>284</v>
      </c>
      <c r="I699">
        <v>184</v>
      </c>
    </row>
    <row r="700" spans="1:10" x14ac:dyDescent="0.2">
      <c r="A700" s="106" t="s">
        <v>585</v>
      </c>
      <c r="B700" s="106" t="s">
        <v>270</v>
      </c>
      <c r="C700" s="106" t="s">
        <v>271</v>
      </c>
      <c r="D700" s="106" t="s">
        <v>272</v>
      </c>
      <c r="E700">
        <v>2454</v>
      </c>
      <c r="F700" s="106" t="s">
        <v>834</v>
      </c>
      <c r="G700" s="106" t="s">
        <v>277</v>
      </c>
      <c r="H700" s="106" t="s">
        <v>278</v>
      </c>
      <c r="I700">
        <v>94</v>
      </c>
    </row>
    <row r="701" spans="1:10" x14ac:dyDescent="0.2">
      <c r="A701" s="106" t="s">
        <v>585</v>
      </c>
      <c r="B701" s="106" t="s">
        <v>270</v>
      </c>
      <c r="C701" s="106" t="s">
        <v>280</v>
      </c>
      <c r="D701" s="106" t="s">
        <v>272</v>
      </c>
      <c r="E701">
        <v>2675</v>
      </c>
      <c r="F701" s="106" t="s">
        <v>595</v>
      </c>
      <c r="G701" s="106" t="s">
        <v>281</v>
      </c>
      <c r="H701" s="106" t="s">
        <v>283</v>
      </c>
      <c r="I701">
        <v>120</v>
      </c>
    </row>
    <row r="702" spans="1:10" x14ac:dyDescent="0.2">
      <c r="A702" s="106" t="s">
        <v>585</v>
      </c>
      <c r="B702" s="106" t="s">
        <v>270</v>
      </c>
      <c r="C702" s="106" t="s">
        <v>271</v>
      </c>
      <c r="D702" s="106" t="s">
        <v>272</v>
      </c>
      <c r="E702">
        <v>2733</v>
      </c>
      <c r="F702" s="106" t="s">
        <v>835</v>
      </c>
      <c r="G702" s="106" t="s">
        <v>273</v>
      </c>
      <c r="H702" s="106" t="s">
        <v>279</v>
      </c>
      <c r="I702">
        <v>822</v>
      </c>
    </row>
    <row r="703" spans="1:10" x14ac:dyDescent="0.2">
      <c r="A703" s="106" t="s">
        <v>585</v>
      </c>
      <c r="B703" s="106" t="s">
        <v>270</v>
      </c>
      <c r="C703" s="106" t="s">
        <v>271</v>
      </c>
      <c r="D703" s="106" t="s">
        <v>272</v>
      </c>
      <c r="E703">
        <v>2768</v>
      </c>
      <c r="F703" s="106" t="s">
        <v>836</v>
      </c>
      <c r="G703" s="106" t="s">
        <v>273</v>
      </c>
      <c r="H703" s="106" t="s">
        <v>279</v>
      </c>
      <c r="I703" s="106" t="s">
        <v>323</v>
      </c>
      <c r="J703" s="106" t="s">
        <v>2260</v>
      </c>
    </row>
    <row r="704" spans="1:10" x14ac:dyDescent="0.2">
      <c r="A704" s="106" t="s">
        <v>585</v>
      </c>
      <c r="B704" s="106" t="s">
        <v>270</v>
      </c>
      <c r="C704" s="106" t="s">
        <v>271</v>
      </c>
      <c r="D704" s="106" t="s">
        <v>272</v>
      </c>
      <c r="E704">
        <v>2812</v>
      </c>
      <c r="F704" s="106" t="s">
        <v>837</v>
      </c>
      <c r="G704" s="106" t="s">
        <v>273</v>
      </c>
      <c r="H704" s="106" t="s">
        <v>274</v>
      </c>
      <c r="I704">
        <v>135</v>
      </c>
    </row>
    <row r="705" spans="1:10" x14ac:dyDescent="0.2">
      <c r="A705" s="106" t="s">
        <v>585</v>
      </c>
      <c r="B705" s="106" t="s">
        <v>270</v>
      </c>
      <c r="C705" s="106" t="s">
        <v>271</v>
      </c>
      <c r="D705" s="106" t="s">
        <v>272</v>
      </c>
      <c r="E705">
        <v>2899</v>
      </c>
      <c r="F705" s="106" t="s">
        <v>2074</v>
      </c>
      <c r="G705" s="106" t="s">
        <v>273</v>
      </c>
      <c r="H705" s="106" t="s">
        <v>274</v>
      </c>
      <c r="I705" s="106">
        <v>417</v>
      </c>
      <c r="J705" s="106"/>
    </row>
    <row r="706" spans="1:10" x14ac:dyDescent="0.2">
      <c r="A706" s="106" t="s">
        <v>585</v>
      </c>
      <c r="B706" s="106" t="s">
        <v>270</v>
      </c>
      <c r="C706" s="106" t="s">
        <v>271</v>
      </c>
      <c r="D706" s="106" t="s">
        <v>272</v>
      </c>
      <c r="E706">
        <v>2903</v>
      </c>
      <c r="F706" s="106" t="s">
        <v>838</v>
      </c>
      <c r="G706" s="106" t="s">
        <v>281</v>
      </c>
      <c r="H706" s="106" t="s">
        <v>274</v>
      </c>
      <c r="I706" s="106">
        <v>95</v>
      </c>
      <c r="J706" s="106"/>
    </row>
    <row r="707" spans="1:10" x14ac:dyDescent="0.2">
      <c r="A707" s="106" t="s">
        <v>585</v>
      </c>
      <c r="B707" s="106" t="s">
        <v>270</v>
      </c>
      <c r="C707" s="106" t="s">
        <v>271</v>
      </c>
      <c r="D707" s="106" t="s">
        <v>272</v>
      </c>
      <c r="E707">
        <v>2915</v>
      </c>
      <c r="F707" s="106" t="s">
        <v>839</v>
      </c>
      <c r="G707" s="106" t="s">
        <v>273</v>
      </c>
      <c r="H707" s="106" t="s">
        <v>274</v>
      </c>
      <c r="I707">
        <v>413</v>
      </c>
    </row>
    <row r="708" spans="1:10" x14ac:dyDescent="0.2">
      <c r="A708" s="106" t="s">
        <v>585</v>
      </c>
      <c r="B708" s="106" t="s">
        <v>270</v>
      </c>
      <c r="C708" s="106" t="s">
        <v>271</v>
      </c>
      <c r="D708" s="106" t="s">
        <v>272</v>
      </c>
      <c r="E708">
        <v>3284</v>
      </c>
      <c r="F708" s="106" t="s">
        <v>840</v>
      </c>
      <c r="G708" s="106" t="s">
        <v>273</v>
      </c>
      <c r="H708" s="106" t="s">
        <v>299</v>
      </c>
      <c r="I708">
        <v>414</v>
      </c>
    </row>
    <row r="709" spans="1:10" x14ac:dyDescent="0.2">
      <c r="A709" s="106" t="s">
        <v>585</v>
      </c>
      <c r="B709" s="106" t="s">
        <v>270</v>
      </c>
      <c r="C709" s="106" t="s">
        <v>271</v>
      </c>
      <c r="D709" s="106" t="s">
        <v>272</v>
      </c>
      <c r="E709">
        <v>3289</v>
      </c>
      <c r="F709" s="106" t="s">
        <v>841</v>
      </c>
      <c r="G709" s="106" t="s">
        <v>273</v>
      </c>
      <c r="H709" s="106" t="s">
        <v>299</v>
      </c>
      <c r="I709" t="s">
        <v>290</v>
      </c>
      <c r="J709" t="s">
        <v>2518</v>
      </c>
    </row>
    <row r="710" spans="1:10" x14ac:dyDescent="0.2">
      <c r="A710" s="106" t="s">
        <v>585</v>
      </c>
      <c r="B710" s="106" t="s">
        <v>270</v>
      </c>
      <c r="C710" s="106" t="s">
        <v>271</v>
      </c>
      <c r="D710" s="106" t="s">
        <v>272</v>
      </c>
      <c r="E710">
        <v>3401</v>
      </c>
      <c r="F710" s="106" t="s">
        <v>842</v>
      </c>
      <c r="G710" s="106" t="s">
        <v>273</v>
      </c>
      <c r="H710" s="106" t="s">
        <v>306</v>
      </c>
      <c r="I710" t="s">
        <v>323</v>
      </c>
      <c r="J710" t="s">
        <v>2519</v>
      </c>
    </row>
    <row r="711" spans="1:10" x14ac:dyDescent="0.2">
      <c r="A711" s="106" t="s">
        <v>585</v>
      </c>
      <c r="B711" s="106" t="s">
        <v>270</v>
      </c>
      <c r="C711" s="106" t="s">
        <v>271</v>
      </c>
      <c r="D711" s="106" t="s">
        <v>272</v>
      </c>
      <c r="E711">
        <v>3447</v>
      </c>
      <c r="F711" s="106" t="s">
        <v>596</v>
      </c>
      <c r="G711" s="106" t="s">
        <v>273</v>
      </c>
      <c r="H711" s="106" t="s">
        <v>288</v>
      </c>
      <c r="I711">
        <v>154</v>
      </c>
    </row>
    <row r="712" spans="1:10" x14ac:dyDescent="0.2">
      <c r="A712" s="106" t="s">
        <v>585</v>
      </c>
      <c r="B712" s="106" t="s">
        <v>270</v>
      </c>
      <c r="C712" s="106" t="s">
        <v>280</v>
      </c>
      <c r="D712" s="106" t="s">
        <v>272</v>
      </c>
      <c r="E712">
        <v>3449</v>
      </c>
      <c r="F712" s="106" t="s">
        <v>2075</v>
      </c>
      <c r="G712" s="106" t="s">
        <v>281</v>
      </c>
      <c r="H712" s="106" t="s">
        <v>288</v>
      </c>
      <c r="I712" s="106">
        <v>260</v>
      </c>
      <c r="J712" s="106"/>
    </row>
    <row r="713" spans="1:10" x14ac:dyDescent="0.2">
      <c r="A713" s="106" t="s">
        <v>585</v>
      </c>
      <c r="B713" s="106" t="s">
        <v>270</v>
      </c>
      <c r="C713" s="106" t="s">
        <v>271</v>
      </c>
      <c r="D713" s="106" t="s">
        <v>276</v>
      </c>
      <c r="E713">
        <v>3467</v>
      </c>
      <c r="F713" s="106" t="s">
        <v>598</v>
      </c>
      <c r="G713" s="106" t="s">
        <v>273</v>
      </c>
      <c r="H713" s="106" t="s">
        <v>299</v>
      </c>
      <c r="I713">
        <v>31</v>
      </c>
    </row>
    <row r="714" spans="1:10" x14ac:dyDescent="0.2">
      <c r="A714" s="106" t="s">
        <v>585</v>
      </c>
      <c r="B714" s="106" t="s">
        <v>270</v>
      </c>
      <c r="C714" s="106" t="s">
        <v>271</v>
      </c>
      <c r="D714" s="106" t="s">
        <v>272</v>
      </c>
      <c r="E714">
        <v>3571</v>
      </c>
      <c r="F714" s="106" t="s">
        <v>843</v>
      </c>
      <c r="G714" s="106" t="s">
        <v>273</v>
      </c>
      <c r="H714" s="106" t="s">
        <v>306</v>
      </c>
      <c r="I714">
        <v>136</v>
      </c>
    </row>
    <row r="715" spans="1:10" x14ac:dyDescent="0.2">
      <c r="A715" s="106" t="s">
        <v>585</v>
      </c>
      <c r="B715" s="106" t="s">
        <v>270</v>
      </c>
      <c r="C715" s="106" t="s">
        <v>271</v>
      </c>
      <c r="D715" s="106" t="s">
        <v>272</v>
      </c>
      <c r="E715">
        <v>3600</v>
      </c>
      <c r="F715" s="106" t="s">
        <v>844</v>
      </c>
      <c r="G715" s="106" t="s">
        <v>281</v>
      </c>
      <c r="H715" s="106" t="s">
        <v>306</v>
      </c>
      <c r="I715">
        <v>28</v>
      </c>
    </row>
    <row r="716" spans="1:10" x14ac:dyDescent="0.2">
      <c r="A716" s="106" t="s">
        <v>585</v>
      </c>
      <c r="B716" s="106" t="s">
        <v>270</v>
      </c>
      <c r="C716" s="106" t="s">
        <v>271</v>
      </c>
      <c r="D716" s="106" t="s">
        <v>272</v>
      </c>
      <c r="E716">
        <v>3622</v>
      </c>
      <c r="F716" s="106" t="s">
        <v>845</v>
      </c>
      <c r="G716" s="106" t="s">
        <v>285</v>
      </c>
      <c r="H716" s="106" t="s">
        <v>284</v>
      </c>
      <c r="I716">
        <v>43</v>
      </c>
    </row>
    <row r="717" spans="1:10" x14ac:dyDescent="0.2">
      <c r="A717" s="106" t="s">
        <v>585</v>
      </c>
      <c r="B717" s="106" t="s">
        <v>270</v>
      </c>
      <c r="C717" s="106" t="s">
        <v>271</v>
      </c>
      <c r="D717" s="106" t="s">
        <v>272</v>
      </c>
      <c r="E717">
        <v>3626</v>
      </c>
      <c r="F717" s="106" t="s">
        <v>846</v>
      </c>
      <c r="G717" s="106" t="s">
        <v>273</v>
      </c>
      <c r="H717" s="106" t="s">
        <v>284</v>
      </c>
      <c r="I717" t="s">
        <v>290</v>
      </c>
      <c r="J717" t="s">
        <v>2520</v>
      </c>
    </row>
    <row r="718" spans="1:10" x14ac:dyDescent="0.2">
      <c r="A718" s="106" t="s">
        <v>585</v>
      </c>
      <c r="B718" s="106" t="s">
        <v>270</v>
      </c>
      <c r="C718" s="106" t="s">
        <v>271</v>
      </c>
      <c r="D718" s="106" t="s">
        <v>276</v>
      </c>
      <c r="E718">
        <v>3741</v>
      </c>
      <c r="F718" s="106" t="s">
        <v>847</v>
      </c>
      <c r="G718" s="106" t="s">
        <v>273</v>
      </c>
      <c r="H718" s="106" t="s">
        <v>284</v>
      </c>
      <c r="I718">
        <v>193</v>
      </c>
    </row>
    <row r="719" spans="1:10" x14ac:dyDescent="0.2">
      <c r="A719" s="106" t="s">
        <v>585</v>
      </c>
      <c r="B719" s="106" t="s">
        <v>270</v>
      </c>
      <c r="C719" s="106" t="s">
        <v>271</v>
      </c>
      <c r="D719" s="106" t="s">
        <v>272</v>
      </c>
      <c r="E719">
        <v>3943</v>
      </c>
      <c r="F719" s="106" t="s">
        <v>599</v>
      </c>
      <c r="G719" s="106" t="s">
        <v>478</v>
      </c>
      <c r="H719" s="106" t="s">
        <v>307</v>
      </c>
      <c r="I719">
        <v>85</v>
      </c>
    </row>
    <row r="720" spans="1:10" x14ac:dyDescent="0.2">
      <c r="A720" s="106" t="s">
        <v>585</v>
      </c>
      <c r="B720" s="106" t="s">
        <v>270</v>
      </c>
      <c r="C720" s="106" t="s">
        <v>271</v>
      </c>
      <c r="D720" s="106" t="s">
        <v>272</v>
      </c>
      <c r="E720">
        <v>4046</v>
      </c>
      <c r="F720" s="106" t="s">
        <v>600</v>
      </c>
      <c r="G720" s="106" t="s">
        <v>273</v>
      </c>
      <c r="H720" s="106" t="s">
        <v>286</v>
      </c>
      <c r="I720">
        <v>850</v>
      </c>
    </row>
    <row r="721" spans="1:10" x14ac:dyDescent="0.2">
      <c r="A721" s="106" t="s">
        <v>585</v>
      </c>
      <c r="B721" s="106" t="s">
        <v>270</v>
      </c>
      <c r="C721" s="106" t="s">
        <v>271</v>
      </c>
      <c r="D721" s="106" t="s">
        <v>276</v>
      </c>
      <c r="E721">
        <v>4080</v>
      </c>
      <c r="F721" s="106" t="s">
        <v>601</v>
      </c>
      <c r="G721" s="106" t="s">
        <v>277</v>
      </c>
      <c r="H721" s="106" t="s">
        <v>286</v>
      </c>
      <c r="I721" s="106">
        <v>286</v>
      </c>
      <c r="J721" s="106"/>
    </row>
    <row r="722" spans="1:10" x14ac:dyDescent="0.2">
      <c r="A722" s="106" t="s">
        <v>585</v>
      </c>
      <c r="B722" s="106" t="s">
        <v>270</v>
      </c>
      <c r="C722" s="106" t="s">
        <v>271</v>
      </c>
      <c r="D722" s="106" t="s">
        <v>272</v>
      </c>
      <c r="E722">
        <v>4203</v>
      </c>
      <c r="F722" s="106" t="s">
        <v>2076</v>
      </c>
      <c r="G722" s="106" t="s">
        <v>273</v>
      </c>
      <c r="H722" s="106" t="s">
        <v>286</v>
      </c>
      <c r="I722" t="s">
        <v>296</v>
      </c>
      <c r="J722" t="s">
        <v>2485</v>
      </c>
    </row>
    <row r="723" spans="1:10" x14ac:dyDescent="0.2">
      <c r="A723" s="106" t="s">
        <v>585</v>
      </c>
      <c r="B723" s="106" t="s">
        <v>270</v>
      </c>
      <c r="C723" s="106" t="s">
        <v>275</v>
      </c>
      <c r="D723" s="106" t="s">
        <v>276</v>
      </c>
      <c r="E723">
        <v>4447</v>
      </c>
      <c r="F723" s="106" t="s">
        <v>602</v>
      </c>
      <c r="G723" s="106" t="s">
        <v>478</v>
      </c>
      <c r="H723" s="106" t="s">
        <v>284</v>
      </c>
      <c r="I723">
        <v>27</v>
      </c>
    </row>
    <row r="724" spans="1:10" x14ac:dyDescent="0.2">
      <c r="A724" s="106" t="s">
        <v>585</v>
      </c>
      <c r="B724" s="106" t="s">
        <v>270</v>
      </c>
      <c r="C724" s="106" t="s">
        <v>271</v>
      </c>
      <c r="D724" s="106" t="s">
        <v>272</v>
      </c>
      <c r="E724">
        <v>4548</v>
      </c>
      <c r="F724" s="106" t="s">
        <v>603</v>
      </c>
      <c r="G724" s="106" t="s">
        <v>273</v>
      </c>
      <c r="H724" s="106" t="s">
        <v>318</v>
      </c>
      <c r="I724">
        <v>704</v>
      </c>
    </row>
    <row r="725" spans="1:10" x14ac:dyDescent="0.2">
      <c r="A725" s="106" t="s">
        <v>585</v>
      </c>
      <c r="B725" s="106" t="s">
        <v>270</v>
      </c>
      <c r="C725" s="106" t="s">
        <v>271</v>
      </c>
      <c r="D725" s="106" t="s">
        <v>272</v>
      </c>
      <c r="E725">
        <v>5192</v>
      </c>
      <c r="F725" s="106" t="s">
        <v>604</v>
      </c>
      <c r="G725" s="106" t="s">
        <v>273</v>
      </c>
      <c r="H725" s="106" t="s">
        <v>605</v>
      </c>
      <c r="I725">
        <v>693</v>
      </c>
    </row>
    <row r="726" spans="1:10" x14ac:dyDescent="0.2">
      <c r="A726" s="106" t="s">
        <v>585</v>
      </c>
      <c r="B726" s="106" t="s">
        <v>270</v>
      </c>
      <c r="C726" s="106" t="s">
        <v>271</v>
      </c>
      <c r="D726" s="106" t="s">
        <v>272</v>
      </c>
      <c r="E726">
        <v>5964</v>
      </c>
      <c r="F726" s="106" t="s">
        <v>606</v>
      </c>
      <c r="G726" s="106" t="s">
        <v>281</v>
      </c>
      <c r="H726" s="106" t="s">
        <v>288</v>
      </c>
      <c r="I726">
        <v>22</v>
      </c>
    </row>
    <row r="727" spans="1:10" x14ac:dyDescent="0.2">
      <c r="A727" s="106" t="s">
        <v>585</v>
      </c>
      <c r="B727" s="106" t="s">
        <v>270</v>
      </c>
      <c r="C727" s="106" t="s">
        <v>271</v>
      </c>
      <c r="D727" s="106" t="s">
        <v>272</v>
      </c>
      <c r="E727">
        <v>5989</v>
      </c>
      <c r="F727" s="106" t="s">
        <v>607</v>
      </c>
      <c r="G727" s="106" t="s">
        <v>273</v>
      </c>
      <c r="H727" s="106" t="s">
        <v>288</v>
      </c>
      <c r="I727">
        <v>233</v>
      </c>
    </row>
    <row r="728" spans="1:10" x14ac:dyDescent="0.2">
      <c r="A728" s="106" t="s">
        <v>585</v>
      </c>
      <c r="B728" s="106" t="s">
        <v>270</v>
      </c>
      <c r="C728" s="106" t="s">
        <v>271</v>
      </c>
      <c r="D728" s="106" t="s">
        <v>272</v>
      </c>
      <c r="E728">
        <v>6240</v>
      </c>
      <c r="F728" s="106" t="s">
        <v>608</v>
      </c>
      <c r="G728" s="106" t="s">
        <v>273</v>
      </c>
      <c r="H728" s="106" t="s">
        <v>294</v>
      </c>
      <c r="I728">
        <v>612</v>
      </c>
    </row>
    <row r="729" spans="1:10" x14ac:dyDescent="0.2">
      <c r="A729" s="106" t="s">
        <v>585</v>
      </c>
      <c r="B729" s="106" t="s">
        <v>270</v>
      </c>
      <c r="C729" s="106" t="s">
        <v>271</v>
      </c>
      <c r="D729" s="106" t="s">
        <v>272</v>
      </c>
      <c r="E729">
        <v>6282</v>
      </c>
      <c r="F729" s="106" t="s">
        <v>2077</v>
      </c>
      <c r="G729" s="106" t="s">
        <v>273</v>
      </c>
      <c r="H729" s="106" t="s">
        <v>294</v>
      </c>
      <c r="I729">
        <v>575</v>
      </c>
    </row>
    <row r="730" spans="1:10" x14ac:dyDescent="0.2">
      <c r="A730" s="106" t="s">
        <v>585</v>
      </c>
      <c r="B730" s="106" t="s">
        <v>270</v>
      </c>
      <c r="C730" s="106" t="s">
        <v>280</v>
      </c>
      <c r="D730" s="106" t="s">
        <v>272</v>
      </c>
      <c r="E730">
        <v>6537</v>
      </c>
      <c r="F730" s="106" t="s">
        <v>609</v>
      </c>
      <c r="G730" s="106" t="s">
        <v>285</v>
      </c>
      <c r="H730" s="106" t="s">
        <v>278</v>
      </c>
      <c r="I730">
        <v>62</v>
      </c>
    </row>
    <row r="731" spans="1:10" x14ac:dyDescent="0.2">
      <c r="A731" s="106" t="s">
        <v>585</v>
      </c>
      <c r="B731" s="106" t="s">
        <v>270</v>
      </c>
      <c r="C731" s="106" t="s">
        <v>282</v>
      </c>
      <c r="D731" s="106" t="s">
        <v>272</v>
      </c>
      <c r="E731">
        <v>6662</v>
      </c>
      <c r="F731" s="106" t="s">
        <v>738</v>
      </c>
      <c r="G731" s="106" t="s">
        <v>277</v>
      </c>
      <c r="H731" s="106" t="s">
        <v>298</v>
      </c>
      <c r="I731">
        <v>42</v>
      </c>
    </row>
    <row r="732" spans="1:10" x14ac:dyDescent="0.2">
      <c r="A732" s="106" t="s">
        <v>585</v>
      </c>
      <c r="B732" s="106" t="s">
        <v>270</v>
      </c>
      <c r="C732" s="106" t="s">
        <v>271</v>
      </c>
      <c r="D732" s="106" t="s">
        <v>272</v>
      </c>
      <c r="E732">
        <v>6832</v>
      </c>
      <c r="F732" s="106" t="s">
        <v>610</v>
      </c>
      <c r="G732" s="106" t="s">
        <v>281</v>
      </c>
      <c r="H732" s="106" t="s">
        <v>298</v>
      </c>
      <c r="I732">
        <v>329</v>
      </c>
    </row>
    <row r="733" spans="1:10" x14ac:dyDescent="0.2">
      <c r="A733" s="106" t="s">
        <v>585</v>
      </c>
      <c r="B733" s="106" t="s">
        <v>270</v>
      </c>
      <c r="C733" s="106" t="s">
        <v>271</v>
      </c>
      <c r="D733" s="106" t="s">
        <v>272</v>
      </c>
      <c r="E733">
        <v>7057</v>
      </c>
      <c r="F733" s="106" t="s">
        <v>611</v>
      </c>
      <c r="G733" s="106" t="s">
        <v>277</v>
      </c>
      <c r="H733" s="106" t="s">
        <v>278</v>
      </c>
      <c r="I733">
        <v>39</v>
      </c>
    </row>
    <row r="734" spans="1:10" x14ac:dyDescent="0.2">
      <c r="A734" s="106" t="s">
        <v>585</v>
      </c>
      <c r="B734" s="106" t="s">
        <v>270</v>
      </c>
      <c r="C734" s="106" t="s">
        <v>271</v>
      </c>
      <c r="D734" s="106" t="s">
        <v>276</v>
      </c>
      <c r="E734">
        <v>7164</v>
      </c>
      <c r="F734" s="106" t="s">
        <v>612</v>
      </c>
      <c r="G734" s="106" t="s">
        <v>273</v>
      </c>
      <c r="H734" s="106" t="s">
        <v>309</v>
      </c>
      <c r="I734" t="s">
        <v>357</v>
      </c>
      <c r="J734" t="s">
        <v>2521</v>
      </c>
    </row>
    <row r="735" spans="1:10" x14ac:dyDescent="0.2">
      <c r="A735" s="106" t="s">
        <v>585</v>
      </c>
      <c r="B735" s="106" t="s">
        <v>270</v>
      </c>
      <c r="C735" s="106" t="s">
        <v>271</v>
      </c>
      <c r="D735" s="106" t="s">
        <v>272</v>
      </c>
      <c r="E735">
        <v>7259</v>
      </c>
      <c r="F735" s="106" t="s">
        <v>614</v>
      </c>
      <c r="G735" s="106" t="s">
        <v>273</v>
      </c>
      <c r="H735" s="106" t="s">
        <v>303</v>
      </c>
      <c r="I735" t="s">
        <v>615</v>
      </c>
      <c r="J735" t="s">
        <v>2522</v>
      </c>
    </row>
    <row r="736" spans="1:10" x14ac:dyDescent="0.2">
      <c r="A736" s="106" t="s">
        <v>585</v>
      </c>
      <c r="B736" s="106" t="s">
        <v>270</v>
      </c>
      <c r="C736" s="106" t="s">
        <v>271</v>
      </c>
      <c r="D736" s="106" t="s">
        <v>272</v>
      </c>
      <c r="E736">
        <v>7702</v>
      </c>
      <c r="F736" s="106" t="s">
        <v>617</v>
      </c>
      <c r="G736" s="106" t="s">
        <v>273</v>
      </c>
      <c r="H736" s="106" t="s">
        <v>384</v>
      </c>
      <c r="I736">
        <v>199</v>
      </c>
    </row>
    <row r="737" spans="1:10" x14ac:dyDescent="0.2">
      <c r="A737" s="106" t="s">
        <v>585</v>
      </c>
      <c r="B737" s="106" t="s">
        <v>270</v>
      </c>
      <c r="C737" s="106" t="s">
        <v>282</v>
      </c>
      <c r="D737" s="106" t="s">
        <v>272</v>
      </c>
      <c r="E737">
        <v>7813</v>
      </c>
      <c r="F737" s="106" t="s">
        <v>618</v>
      </c>
      <c r="G737" s="106" t="s">
        <v>285</v>
      </c>
      <c r="H737" s="106" t="s">
        <v>295</v>
      </c>
      <c r="I737">
        <v>69</v>
      </c>
    </row>
    <row r="738" spans="1:10" x14ac:dyDescent="0.2">
      <c r="A738" s="106" t="s">
        <v>585</v>
      </c>
      <c r="B738" s="106" t="s">
        <v>270</v>
      </c>
      <c r="C738" s="106" t="s">
        <v>280</v>
      </c>
      <c r="D738" s="106" t="s">
        <v>272</v>
      </c>
      <c r="E738">
        <v>7963</v>
      </c>
      <c r="F738" s="106" t="s">
        <v>619</v>
      </c>
      <c r="G738" s="106" t="s">
        <v>277</v>
      </c>
      <c r="H738" s="106" t="s">
        <v>295</v>
      </c>
      <c r="I738">
        <v>69</v>
      </c>
    </row>
    <row r="739" spans="1:10" x14ac:dyDescent="0.2">
      <c r="A739" s="106" t="s">
        <v>585</v>
      </c>
      <c r="B739" s="106" t="s">
        <v>270</v>
      </c>
      <c r="C739" s="106" t="s">
        <v>271</v>
      </c>
      <c r="D739" s="106" t="s">
        <v>272</v>
      </c>
      <c r="E739">
        <v>7971</v>
      </c>
      <c r="F739" s="106" t="s">
        <v>2078</v>
      </c>
      <c r="G739" s="106" t="s">
        <v>273</v>
      </c>
      <c r="H739" s="106" t="s">
        <v>286</v>
      </c>
      <c r="I739">
        <v>216</v>
      </c>
    </row>
    <row r="740" spans="1:10" x14ac:dyDescent="0.2">
      <c r="A740" s="106" t="s">
        <v>585</v>
      </c>
      <c r="B740" s="106" t="s">
        <v>270</v>
      </c>
      <c r="C740" s="106" t="s">
        <v>271</v>
      </c>
      <c r="D740" s="106" t="s">
        <v>272</v>
      </c>
      <c r="E740">
        <v>8138</v>
      </c>
      <c r="F740" s="106" t="s">
        <v>620</v>
      </c>
      <c r="G740" s="106" t="s">
        <v>281</v>
      </c>
      <c r="H740" s="106" t="s">
        <v>279</v>
      </c>
      <c r="I740">
        <v>42</v>
      </c>
    </row>
    <row r="741" spans="1:10" x14ac:dyDescent="0.2">
      <c r="A741" s="106" t="s">
        <v>585</v>
      </c>
      <c r="B741" s="106" t="s">
        <v>270</v>
      </c>
      <c r="C741" s="106" t="s">
        <v>271</v>
      </c>
      <c r="D741" s="106" t="s">
        <v>272</v>
      </c>
      <c r="E741">
        <v>8150</v>
      </c>
      <c r="F741" s="106" t="s">
        <v>2523</v>
      </c>
      <c r="G741" s="106" t="s">
        <v>273</v>
      </c>
      <c r="H741" s="106" t="s">
        <v>279</v>
      </c>
      <c r="I741">
        <v>428</v>
      </c>
    </row>
    <row r="742" spans="1:10" x14ac:dyDescent="0.2">
      <c r="A742" s="106" t="s">
        <v>585</v>
      </c>
      <c r="B742" s="106" t="s">
        <v>270</v>
      </c>
      <c r="C742" s="106" t="s">
        <v>271</v>
      </c>
      <c r="D742" s="106" t="s">
        <v>272</v>
      </c>
      <c r="E742">
        <v>8153</v>
      </c>
      <c r="F742" s="106" t="s">
        <v>621</v>
      </c>
      <c r="G742" s="106" t="s">
        <v>273</v>
      </c>
      <c r="H742" s="106" t="s">
        <v>279</v>
      </c>
      <c r="I742">
        <v>975</v>
      </c>
    </row>
    <row r="743" spans="1:10" x14ac:dyDescent="0.2">
      <c r="A743" s="106" t="s">
        <v>585</v>
      </c>
      <c r="B743" s="106" t="s">
        <v>270</v>
      </c>
      <c r="C743" s="106" t="s">
        <v>271</v>
      </c>
      <c r="D743" s="106" t="s">
        <v>272</v>
      </c>
      <c r="E743">
        <v>8226</v>
      </c>
      <c r="F743" s="106" t="s">
        <v>622</v>
      </c>
      <c r="G743" s="106" t="s">
        <v>281</v>
      </c>
      <c r="H743" s="106" t="s">
        <v>279</v>
      </c>
      <c r="I743" s="106">
        <v>29</v>
      </c>
      <c r="J743" s="106"/>
    </row>
    <row r="744" spans="1:10" x14ac:dyDescent="0.2">
      <c r="A744" s="106" t="s">
        <v>585</v>
      </c>
      <c r="B744" s="106" t="s">
        <v>270</v>
      </c>
      <c r="C744" s="106" t="s">
        <v>271</v>
      </c>
      <c r="D744" s="106" t="s">
        <v>272</v>
      </c>
      <c r="E744">
        <v>8281</v>
      </c>
      <c r="F744" s="106" t="s">
        <v>623</v>
      </c>
      <c r="G744" s="106" t="s">
        <v>273</v>
      </c>
      <c r="H744" s="106" t="s">
        <v>283</v>
      </c>
      <c r="I744">
        <v>631</v>
      </c>
    </row>
    <row r="745" spans="1:10" x14ac:dyDescent="0.2">
      <c r="A745" s="106" t="s">
        <v>585</v>
      </c>
      <c r="B745" s="106" t="s">
        <v>270</v>
      </c>
      <c r="C745" s="106" t="s">
        <v>271</v>
      </c>
      <c r="D745" s="106" t="s">
        <v>272</v>
      </c>
      <c r="E745">
        <v>9001</v>
      </c>
      <c r="F745" s="106" t="s">
        <v>624</v>
      </c>
      <c r="G745" s="106" t="s">
        <v>273</v>
      </c>
      <c r="H745" s="106" t="s">
        <v>405</v>
      </c>
      <c r="I745" t="s">
        <v>386</v>
      </c>
      <c r="J745" t="s">
        <v>2175</v>
      </c>
    </row>
    <row r="746" spans="1:10" x14ac:dyDescent="0.2">
      <c r="A746" s="106" t="s">
        <v>585</v>
      </c>
      <c r="B746" s="106" t="s">
        <v>270</v>
      </c>
      <c r="C746" s="106" t="s">
        <v>271</v>
      </c>
      <c r="D746" s="106" t="s">
        <v>272</v>
      </c>
      <c r="E746">
        <v>9035</v>
      </c>
      <c r="F746" s="106" t="s">
        <v>2524</v>
      </c>
      <c r="G746" s="106" t="s">
        <v>478</v>
      </c>
      <c r="H746" s="106" t="s">
        <v>405</v>
      </c>
      <c r="I746">
        <v>348</v>
      </c>
    </row>
    <row r="747" spans="1:10" x14ac:dyDescent="0.2">
      <c r="A747" s="106" t="s">
        <v>585</v>
      </c>
      <c r="B747" s="106" t="s">
        <v>270</v>
      </c>
      <c r="C747" s="106" t="s">
        <v>280</v>
      </c>
      <c r="D747" s="106" t="s">
        <v>276</v>
      </c>
      <c r="E747">
        <v>9284</v>
      </c>
      <c r="F747" s="106" t="s">
        <v>739</v>
      </c>
      <c r="G747" s="106" t="s">
        <v>310</v>
      </c>
      <c r="H747" s="106" t="s">
        <v>311</v>
      </c>
      <c r="I747">
        <v>278</v>
      </c>
    </row>
    <row r="748" spans="1:10" x14ac:dyDescent="0.2">
      <c r="A748" s="106" t="s">
        <v>585</v>
      </c>
      <c r="B748" s="106" t="s">
        <v>270</v>
      </c>
      <c r="C748" s="106" t="s">
        <v>271</v>
      </c>
      <c r="D748" s="106" t="s">
        <v>272</v>
      </c>
      <c r="E748">
        <v>9364</v>
      </c>
      <c r="F748" s="106" t="s">
        <v>625</v>
      </c>
      <c r="G748" s="106" t="s">
        <v>273</v>
      </c>
      <c r="H748" s="106" t="s">
        <v>626</v>
      </c>
      <c r="I748" t="s">
        <v>357</v>
      </c>
      <c r="J748" t="s">
        <v>2525</v>
      </c>
    </row>
    <row r="749" spans="1:10" x14ac:dyDescent="0.2">
      <c r="A749" s="106" t="s">
        <v>585</v>
      </c>
      <c r="B749" s="106" t="s">
        <v>270</v>
      </c>
      <c r="C749" s="106" t="s">
        <v>271</v>
      </c>
      <c r="D749" s="106" t="s">
        <v>272</v>
      </c>
      <c r="E749">
        <v>9613</v>
      </c>
      <c r="F749" s="106" t="s">
        <v>627</v>
      </c>
      <c r="G749" s="106" t="s">
        <v>273</v>
      </c>
      <c r="H749" s="106" t="s">
        <v>284</v>
      </c>
      <c r="I749" t="s">
        <v>831</v>
      </c>
      <c r="J749" t="s">
        <v>2526</v>
      </c>
    </row>
    <row r="750" spans="1:10" x14ac:dyDescent="0.2">
      <c r="A750" s="106" t="s">
        <v>585</v>
      </c>
      <c r="B750" s="106" t="s">
        <v>270</v>
      </c>
      <c r="C750" s="106" t="s">
        <v>271</v>
      </c>
      <c r="D750" s="106" t="s">
        <v>272</v>
      </c>
      <c r="E750">
        <v>9671</v>
      </c>
      <c r="F750" s="106" t="s">
        <v>628</v>
      </c>
      <c r="G750" s="106" t="s">
        <v>273</v>
      </c>
      <c r="H750" s="106" t="s">
        <v>278</v>
      </c>
      <c r="I750">
        <v>380</v>
      </c>
    </row>
    <row r="751" spans="1:10" x14ac:dyDescent="0.2">
      <c r="A751" s="106" t="s">
        <v>585</v>
      </c>
      <c r="B751" s="106" t="s">
        <v>270</v>
      </c>
      <c r="C751" s="106" t="s">
        <v>271</v>
      </c>
      <c r="D751" s="106" t="s">
        <v>272</v>
      </c>
      <c r="E751">
        <v>9887</v>
      </c>
      <c r="F751" s="106" t="s">
        <v>629</v>
      </c>
      <c r="G751" s="106" t="s">
        <v>273</v>
      </c>
      <c r="H751" s="106" t="s">
        <v>283</v>
      </c>
      <c r="I751">
        <v>865</v>
      </c>
    </row>
    <row r="752" spans="1:10" x14ac:dyDescent="0.2">
      <c r="A752" s="106" t="s">
        <v>585</v>
      </c>
      <c r="B752" s="106" t="s">
        <v>270</v>
      </c>
      <c r="C752" s="106" t="s">
        <v>271</v>
      </c>
      <c r="D752" s="106" t="s">
        <v>272</v>
      </c>
      <c r="E752">
        <v>9896</v>
      </c>
      <c r="F752" s="106" t="s">
        <v>630</v>
      </c>
      <c r="G752" s="106" t="s">
        <v>273</v>
      </c>
      <c r="H752" s="106" t="s">
        <v>279</v>
      </c>
      <c r="I752">
        <v>216</v>
      </c>
    </row>
    <row r="753" spans="1:10" x14ac:dyDescent="0.2">
      <c r="A753" s="106" t="s">
        <v>631</v>
      </c>
      <c r="B753" s="106" t="s">
        <v>270</v>
      </c>
      <c r="C753" s="106" t="s">
        <v>271</v>
      </c>
      <c r="D753" s="106" t="s">
        <v>276</v>
      </c>
      <c r="E753">
        <v>1450</v>
      </c>
      <c r="F753" s="106" t="s">
        <v>632</v>
      </c>
      <c r="G753" s="106" t="s">
        <v>277</v>
      </c>
      <c r="H753" s="106" t="s">
        <v>300</v>
      </c>
      <c r="I753">
        <v>57</v>
      </c>
    </row>
    <row r="754" spans="1:10" x14ac:dyDescent="0.2">
      <c r="A754" s="106" t="s">
        <v>631</v>
      </c>
      <c r="B754" s="106" t="s">
        <v>270</v>
      </c>
      <c r="C754" s="106" t="s">
        <v>271</v>
      </c>
      <c r="D754" s="106" t="s">
        <v>272</v>
      </c>
      <c r="E754">
        <v>1451</v>
      </c>
      <c r="F754" s="106" t="s">
        <v>633</v>
      </c>
      <c r="G754" s="106" t="s">
        <v>281</v>
      </c>
      <c r="H754" s="106" t="s">
        <v>300</v>
      </c>
      <c r="I754">
        <v>31</v>
      </c>
    </row>
    <row r="755" spans="1:10" x14ac:dyDescent="0.2">
      <c r="A755" s="106" t="s">
        <v>631</v>
      </c>
      <c r="B755" s="106" t="s">
        <v>270</v>
      </c>
      <c r="C755" s="106" t="s">
        <v>280</v>
      </c>
      <c r="D755" s="106" t="s">
        <v>272</v>
      </c>
      <c r="E755">
        <v>1605</v>
      </c>
      <c r="F755" s="106" t="s">
        <v>634</v>
      </c>
      <c r="G755" s="106" t="s">
        <v>273</v>
      </c>
      <c r="H755" s="106" t="s">
        <v>635</v>
      </c>
      <c r="I755" t="s">
        <v>301</v>
      </c>
      <c r="J755" t="s">
        <v>2527</v>
      </c>
    </row>
    <row r="756" spans="1:10" x14ac:dyDescent="0.2">
      <c r="A756" s="106" t="s">
        <v>631</v>
      </c>
      <c r="B756" s="106" t="s">
        <v>270</v>
      </c>
      <c r="C756" s="106" t="s">
        <v>271</v>
      </c>
      <c r="D756" s="106" t="s">
        <v>272</v>
      </c>
      <c r="E756">
        <v>1866</v>
      </c>
      <c r="F756" s="106" t="s">
        <v>636</v>
      </c>
      <c r="G756" s="106" t="s">
        <v>273</v>
      </c>
      <c r="H756" s="106" t="s">
        <v>300</v>
      </c>
      <c r="I756">
        <v>180</v>
      </c>
    </row>
    <row r="757" spans="1:10" x14ac:dyDescent="0.2">
      <c r="A757" s="106" t="s">
        <v>631</v>
      </c>
      <c r="B757" s="106" t="s">
        <v>270</v>
      </c>
      <c r="C757" s="106" t="s">
        <v>280</v>
      </c>
      <c r="D757" s="106" t="s">
        <v>272</v>
      </c>
      <c r="E757">
        <v>1899</v>
      </c>
      <c r="F757" s="106" t="s">
        <v>637</v>
      </c>
      <c r="G757" s="106" t="s">
        <v>273</v>
      </c>
      <c r="H757" s="106" t="s">
        <v>300</v>
      </c>
      <c r="I757">
        <v>463</v>
      </c>
    </row>
    <row r="758" spans="1:10" x14ac:dyDescent="0.2">
      <c r="A758" s="106" t="s">
        <v>631</v>
      </c>
      <c r="B758" s="106" t="s">
        <v>270</v>
      </c>
      <c r="C758" s="106" t="s">
        <v>271</v>
      </c>
      <c r="D758" s="106" t="s">
        <v>272</v>
      </c>
      <c r="E758">
        <v>1952</v>
      </c>
      <c r="F758" s="106" t="s">
        <v>638</v>
      </c>
      <c r="G758" s="106" t="s">
        <v>273</v>
      </c>
      <c r="H758" s="106" t="s">
        <v>300</v>
      </c>
      <c r="I758">
        <v>529</v>
      </c>
    </row>
    <row r="759" spans="1:10" x14ac:dyDescent="0.2">
      <c r="A759" s="106" t="s">
        <v>631</v>
      </c>
      <c r="B759" s="106" t="s">
        <v>270</v>
      </c>
      <c r="C759" s="106" t="s">
        <v>271</v>
      </c>
      <c r="D759" s="106" t="s">
        <v>272</v>
      </c>
      <c r="E759">
        <v>2134</v>
      </c>
      <c r="F759" s="106" t="s">
        <v>639</v>
      </c>
      <c r="G759" s="106" t="s">
        <v>277</v>
      </c>
      <c r="H759" s="106" t="s">
        <v>278</v>
      </c>
      <c r="I759">
        <v>42</v>
      </c>
    </row>
    <row r="760" spans="1:10" x14ac:dyDescent="0.2">
      <c r="A760" s="106" t="s">
        <v>631</v>
      </c>
      <c r="B760" s="106" t="s">
        <v>270</v>
      </c>
      <c r="C760" s="106" t="s">
        <v>282</v>
      </c>
      <c r="D760" s="106" t="s">
        <v>272</v>
      </c>
      <c r="E760">
        <v>2385</v>
      </c>
      <c r="F760" s="106" t="s">
        <v>2079</v>
      </c>
      <c r="G760" s="106" t="s">
        <v>285</v>
      </c>
      <c r="H760" s="106" t="s">
        <v>278</v>
      </c>
      <c r="I760">
        <v>161</v>
      </c>
    </row>
    <row r="761" spans="1:10" x14ac:dyDescent="0.2">
      <c r="A761" s="106" t="s">
        <v>631</v>
      </c>
      <c r="B761" s="106" t="s">
        <v>270</v>
      </c>
      <c r="C761" s="106" t="s">
        <v>271</v>
      </c>
      <c r="D761" s="106" t="s">
        <v>272</v>
      </c>
      <c r="E761">
        <v>2831</v>
      </c>
      <c r="F761" s="106" t="s">
        <v>848</v>
      </c>
      <c r="G761" s="106" t="s">
        <v>281</v>
      </c>
      <c r="H761" s="106" t="s">
        <v>274</v>
      </c>
      <c r="I761">
        <v>272</v>
      </c>
    </row>
    <row r="762" spans="1:10" x14ac:dyDescent="0.2">
      <c r="A762" s="106" t="s">
        <v>631</v>
      </c>
      <c r="B762" s="106" t="s">
        <v>270</v>
      </c>
      <c r="C762" s="106" t="s">
        <v>275</v>
      </c>
      <c r="D762" s="106" t="s">
        <v>272</v>
      </c>
      <c r="E762">
        <v>2974</v>
      </c>
      <c r="F762" s="106" t="s">
        <v>640</v>
      </c>
      <c r="G762" s="106" t="s">
        <v>478</v>
      </c>
      <c r="H762" s="106" t="s">
        <v>299</v>
      </c>
      <c r="I762">
        <v>34</v>
      </c>
    </row>
    <row r="763" spans="1:10" x14ac:dyDescent="0.2">
      <c r="A763" s="106" t="s">
        <v>631</v>
      </c>
      <c r="B763" s="106" t="s">
        <v>270</v>
      </c>
      <c r="C763" s="106" t="s">
        <v>271</v>
      </c>
      <c r="D763" s="106" t="s">
        <v>272</v>
      </c>
      <c r="E763">
        <v>2976</v>
      </c>
      <c r="F763" s="106" t="s">
        <v>641</v>
      </c>
      <c r="G763" s="106" t="s">
        <v>642</v>
      </c>
      <c r="H763" s="106" t="s">
        <v>299</v>
      </c>
      <c r="I763">
        <v>14</v>
      </c>
    </row>
    <row r="764" spans="1:10" x14ac:dyDescent="0.2">
      <c r="A764" s="106" t="s">
        <v>631</v>
      </c>
      <c r="B764" s="106" t="s">
        <v>270</v>
      </c>
      <c r="C764" s="106" t="s">
        <v>271</v>
      </c>
      <c r="D764" s="106" t="s">
        <v>272</v>
      </c>
      <c r="E764">
        <v>2981</v>
      </c>
      <c r="F764" s="106" t="s">
        <v>2528</v>
      </c>
      <c r="G764" s="106" t="s">
        <v>285</v>
      </c>
      <c r="H764" s="106" t="s">
        <v>299</v>
      </c>
      <c r="I764">
        <v>79</v>
      </c>
    </row>
    <row r="765" spans="1:10" x14ac:dyDescent="0.2">
      <c r="A765" s="106" t="s">
        <v>631</v>
      </c>
      <c r="B765" s="106" t="s">
        <v>270</v>
      </c>
      <c r="C765" s="106" t="s">
        <v>271</v>
      </c>
      <c r="D765" s="106" t="s">
        <v>272</v>
      </c>
      <c r="E765">
        <v>3291</v>
      </c>
      <c r="F765" s="106" t="s">
        <v>849</v>
      </c>
      <c r="G765" s="106" t="s">
        <v>273</v>
      </c>
      <c r="H765" s="106" t="s">
        <v>299</v>
      </c>
      <c r="I765" t="s">
        <v>290</v>
      </c>
      <c r="J765" t="s">
        <v>2529</v>
      </c>
    </row>
    <row r="766" spans="1:10" x14ac:dyDescent="0.2">
      <c r="A766" s="106" t="s">
        <v>631</v>
      </c>
      <c r="B766" s="106" t="s">
        <v>270</v>
      </c>
      <c r="C766" s="106" t="s">
        <v>271</v>
      </c>
      <c r="D766" s="106" t="s">
        <v>272</v>
      </c>
      <c r="E766">
        <v>3372</v>
      </c>
      <c r="F766" s="106" t="s">
        <v>850</v>
      </c>
      <c r="G766" s="106" t="s">
        <v>281</v>
      </c>
      <c r="H766" s="106" t="s">
        <v>283</v>
      </c>
      <c r="I766">
        <v>52</v>
      </c>
    </row>
    <row r="767" spans="1:10" x14ac:dyDescent="0.2">
      <c r="A767" s="106" t="s">
        <v>631</v>
      </c>
      <c r="B767" s="106" t="s">
        <v>270</v>
      </c>
      <c r="C767" s="106" t="s">
        <v>280</v>
      </c>
      <c r="D767" s="106" t="s">
        <v>272</v>
      </c>
      <c r="E767">
        <v>3606</v>
      </c>
      <c r="F767" s="106" t="s">
        <v>643</v>
      </c>
      <c r="G767" s="106" t="s">
        <v>273</v>
      </c>
      <c r="H767" s="106" t="s">
        <v>306</v>
      </c>
      <c r="I767">
        <v>114</v>
      </c>
    </row>
    <row r="768" spans="1:10" x14ac:dyDescent="0.2">
      <c r="A768" s="106" t="s">
        <v>631</v>
      </c>
      <c r="B768" s="106" t="s">
        <v>270</v>
      </c>
      <c r="C768" s="106" t="s">
        <v>271</v>
      </c>
      <c r="D768" s="106" t="s">
        <v>276</v>
      </c>
      <c r="E768">
        <v>3652</v>
      </c>
      <c r="F768" s="106" t="s">
        <v>851</v>
      </c>
      <c r="G768" s="106" t="s">
        <v>285</v>
      </c>
      <c r="H768" s="106" t="s">
        <v>284</v>
      </c>
      <c r="I768">
        <v>124</v>
      </c>
    </row>
    <row r="769" spans="1:10" x14ac:dyDescent="0.2">
      <c r="A769" s="106" t="s">
        <v>631</v>
      </c>
      <c r="B769" s="106" t="s">
        <v>270</v>
      </c>
      <c r="C769" s="106" t="s">
        <v>280</v>
      </c>
      <c r="D769" s="106" t="s">
        <v>276</v>
      </c>
      <c r="E769">
        <v>3719</v>
      </c>
      <c r="F769" s="106" t="s">
        <v>852</v>
      </c>
      <c r="G769" s="106" t="s">
        <v>277</v>
      </c>
      <c r="H769" s="106" t="s">
        <v>284</v>
      </c>
      <c r="I769">
        <v>26</v>
      </c>
    </row>
    <row r="770" spans="1:10" x14ac:dyDescent="0.2">
      <c r="A770" s="106" t="s">
        <v>631</v>
      </c>
      <c r="B770" s="106" t="s">
        <v>270</v>
      </c>
      <c r="C770" s="106" t="s">
        <v>282</v>
      </c>
      <c r="D770" s="106" t="s">
        <v>272</v>
      </c>
      <c r="E770">
        <v>3856</v>
      </c>
      <c r="F770" s="106" t="s">
        <v>644</v>
      </c>
      <c r="G770" s="106" t="s">
        <v>281</v>
      </c>
      <c r="H770" s="106" t="s">
        <v>298</v>
      </c>
      <c r="I770">
        <v>29</v>
      </c>
    </row>
    <row r="771" spans="1:10" x14ac:dyDescent="0.2">
      <c r="A771" s="106" t="s">
        <v>631</v>
      </c>
      <c r="B771" s="106" t="s">
        <v>270</v>
      </c>
      <c r="C771" s="106" t="s">
        <v>271</v>
      </c>
      <c r="D771" s="106" t="s">
        <v>272</v>
      </c>
      <c r="E771">
        <v>3896</v>
      </c>
      <c r="F771" s="106" t="s">
        <v>645</v>
      </c>
      <c r="G771" s="106" t="s">
        <v>273</v>
      </c>
      <c r="H771" s="106" t="s">
        <v>307</v>
      </c>
      <c r="I771">
        <v>56</v>
      </c>
    </row>
    <row r="772" spans="1:10" x14ac:dyDescent="0.2">
      <c r="A772" s="106" t="s">
        <v>631</v>
      </c>
      <c r="B772" s="106" t="s">
        <v>270</v>
      </c>
      <c r="C772" s="106" t="s">
        <v>280</v>
      </c>
      <c r="D772" s="106" t="s">
        <v>272</v>
      </c>
      <c r="E772">
        <v>3902</v>
      </c>
      <c r="F772" s="106" t="s">
        <v>646</v>
      </c>
      <c r="G772" s="106" t="s">
        <v>273</v>
      </c>
      <c r="H772" s="106" t="s">
        <v>284</v>
      </c>
      <c r="I772">
        <v>359</v>
      </c>
    </row>
    <row r="773" spans="1:10" x14ac:dyDescent="0.2">
      <c r="A773" s="106" t="s">
        <v>631</v>
      </c>
      <c r="B773" s="106" t="s">
        <v>270</v>
      </c>
      <c r="C773" s="106" t="s">
        <v>271</v>
      </c>
      <c r="D773" s="106" t="s">
        <v>272</v>
      </c>
      <c r="E773">
        <v>3963</v>
      </c>
      <c r="F773" s="106" t="s">
        <v>647</v>
      </c>
      <c r="G773" s="106" t="s">
        <v>273</v>
      </c>
      <c r="H773" s="106" t="s">
        <v>284</v>
      </c>
      <c r="I773">
        <v>147</v>
      </c>
    </row>
    <row r="774" spans="1:10" x14ac:dyDescent="0.2">
      <c r="A774" s="106" t="s">
        <v>631</v>
      </c>
      <c r="B774" s="106" t="s">
        <v>270</v>
      </c>
      <c r="C774" s="106" t="s">
        <v>280</v>
      </c>
      <c r="D774" s="106" t="s">
        <v>272</v>
      </c>
      <c r="E774">
        <v>4245</v>
      </c>
      <c r="F774" s="106" t="s">
        <v>648</v>
      </c>
      <c r="G774" s="106" t="s">
        <v>273</v>
      </c>
      <c r="H774" s="106" t="s">
        <v>286</v>
      </c>
      <c r="I774">
        <v>124</v>
      </c>
    </row>
    <row r="775" spans="1:10" x14ac:dyDescent="0.2">
      <c r="A775" s="106" t="s">
        <v>631</v>
      </c>
      <c r="B775" s="106" t="s">
        <v>270</v>
      </c>
      <c r="C775" s="106" t="s">
        <v>280</v>
      </c>
      <c r="D775" s="106" t="s">
        <v>272</v>
      </c>
      <c r="E775">
        <v>4251</v>
      </c>
      <c r="F775" s="106" t="s">
        <v>649</v>
      </c>
      <c r="G775" s="106" t="s">
        <v>281</v>
      </c>
      <c r="H775" s="106" t="s">
        <v>286</v>
      </c>
      <c r="I775">
        <v>126</v>
      </c>
    </row>
    <row r="776" spans="1:10" x14ac:dyDescent="0.2">
      <c r="A776" s="106" t="s">
        <v>631</v>
      </c>
      <c r="B776" s="106" t="s">
        <v>270</v>
      </c>
      <c r="C776" s="106" t="s">
        <v>271</v>
      </c>
      <c r="D776" s="106" t="s">
        <v>272</v>
      </c>
      <c r="E776">
        <v>4390</v>
      </c>
      <c r="F776" s="106" t="s">
        <v>2080</v>
      </c>
      <c r="G776" s="106" t="s">
        <v>285</v>
      </c>
      <c r="H776" s="106" t="s">
        <v>284</v>
      </c>
      <c r="I776" s="106">
        <v>144</v>
      </c>
      <c r="J776" s="106"/>
    </row>
    <row r="777" spans="1:10" x14ac:dyDescent="0.2">
      <c r="A777" s="106" t="s">
        <v>631</v>
      </c>
      <c r="B777" s="106" t="s">
        <v>270</v>
      </c>
      <c r="C777" s="106" t="s">
        <v>271</v>
      </c>
      <c r="D777" s="106" t="s">
        <v>272</v>
      </c>
      <c r="E777">
        <v>4425</v>
      </c>
      <c r="F777" s="106" t="s">
        <v>650</v>
      </c>
      <c r="G777" s="106" t="s">
        <v>285</v>
      </c>
      <c r="H777" s="106" t="s">
        <v>284</v>
      </c>
      <c r="I777">
        <v>592</v>
      </c>
    </row>
    <row r="778" spans="1:10" x14ac:dyDescent="0.2">
      <c r="A778" s="106" t="s">
        <v>631</v>
      </c>
      <c r="B778" s="106" t="s">
        <v>270</v>
      </c>
      <c r="C778" s="106" t="s">
        <v>271</v>
      </c>
      <c r="D778" s="106" t="s">
        <v>276</v>
      </c>
      <c r="E778">
        <v>4435</v>
      </c>
      <c r="F778" s="106" t="s">
        <v>651</v>
      </c>
      <c r="G778" s="106" t="s">
        <v>285</v>
      </c>
      <c r="H778" s="106" t="s">
        <v>284</v>
      </c>
      <c r="I778">
        <v>425</v>
      </c>
    </row>
    <row r="779" spans="1:10" x14ac:dyDescent="0.2">
      <c r="A779" s="106" t="s">
        <v>631</v>
      </c>
      <c r="B779" s="106" t="s">
        <v>270</v>
      </c>
      <c r="C779" s="106" t="s">
        <v>271</v>
      </c>
      <c r="D779" s="106" t="s">
        <v>272</v>
      </c>
      <c r="E779">
        <v>4442</v>
      </c>
      <c r="F779" s="106" t="s">
        <v>652</v>
      </c>
      <c r="G779" s="106" t="s">
        <v>285</v>
      </c>
      <c r="H779" s="106" t="s">
        <v>284</v>
      </c>
      <c r="I779">
        <v>117</v>
      </c>
    </row>
    <row r="780" spans="1:10" x14ac:dyDescent="0.2">
      <c r="A780" s="106" t="s">
        <v>631</v>
      </c>
      <c r="B780" s="106" t="s">
        <v>270</v>
      </c>
      <c r="C780" s="106" t="s">
        <v>280</v>
      </c>
      <c r="D780" s="106" t="s">
        <v>276</v>
      </c>
      <c r="E780">
        <v>4448</v>
      </c>
      <c r="F780" s="106" t="s">
        <v>653</v>
      </c>
      <c r="G780" s="106" t="s">
        <v>285</v>
      </c>
      <c r="H780" s="106" t="s">
        <v>284</v>
      </c>
      <c r="I780">
        <v>360</v>
      </c>
    </row>
    <row r="781" spans="1:10" x14ac:dyDescent="0.2">
      <c r="A781" s="106" t="s">
        <v>631</v>
      </c>
      <c r="B781" s="106" t="s">
        <v>270</v>
      </c>
      <c r="C781" s="106" t="s">
        <v>280</v>
      </c>
      <c r="D781" s="106" t="s">
        <v>272</v>
      </c>
      <c r="E781">
        <v>4449</v>
      </c>
      <c r="F781" s="106" t="s">
        <v>654</v>
      </c>
      <c r="G781" s="106" t="s">
        <v>285</v>
      </c>
      <c r="H781" s="106" t="s">
        <v>284</v>
      </c>
      <c r="I781">
        <v>406</v>
      </c>
    </row>
    <row r="782" spans="1:10" x14ac:dyDescent="0.2">
      <c r="A782" s="106" t="s">
        <v>631</v>
      </c>
      <c r="B782" s="106" t="s">
        <v>270</v>
      </c>
      <c r="C782" s="106" t="s">
        <v>275</v>
      </c>
      <c r="D782" s="106" t="s">
        <v>272</v>
      </c>
      <c r="E782">
        <v>4475</v>
      </c>
      <c r="F782" s="106" t="s">
        <v>656</v>
      </c>
      <c r="G782" s="106" t="s">
        <v>285</v>
      </c>
      <c r="H782" s="106" t="s">
        <v>284</v>
      </c>
      <c r="I782" s="106">
        <v>276</v>
      </c>
      <c r="J782" s="106"/>
    </row>
    <row r="783" spans="1:10" x14ac:dyDescent="0.2">
      <c r="A783" s="106" t="s">
        <v>631</v>
      </c>
      <c r="B783" s="106" t="s">
        <v>270</v>
      </c>
      <c r="C783" s="106" t="s">
        <v>280</v>
      </c>
      <c r="D783" s="106" t="s">
        <v>276</v>
      </c>
      <c r="E783">
        <v>4476</v>
      </c>
      <c r="F783" s="106" t="s">
        <v>657</v>
      </c>
      <c r="G783" s="106" t="s">
        <v>285</v>
      </c>
      <c r="H783" s="106" t="s">
        <v>284</v>
      </c>
      <c r="I783">
        <v>93</v>
      </c>
    </row>
    <row r="784" spans="1:10" x14ac:dyDescent="0.2">
      <c r="A784" s="106" t="s">
        <v>631</v>
      </c>
      <c r="B784" s="106" t="s">
        <v>270</v>
      </c>
      <c r="C784" s="106" t="s">
        <v>280</v>
      </c>
      <c r="D784" s="106" t="s">
        <v>272</v>
      </c>
      <c r="E784">
        <v>4477</v>
      </c>
      <c r="F784" s="106" t="s">
        <v>658</v>
      </c>
      <c r="G784" s="106" t="s">
        <v>285</v>
      </c>
      <c r="H784" s="106" t="s">
        <v>284</v>
      </c>
      <c r="I784">
        <v>337</v>
      </c>
    </row>
    <row r="785" spans="1:10" x14ac:dyDescent="0.2">
      <c r="A785" s="106" t="s">
        <v>631</v>
      </c>
      <c r="B785" s="106" t="s">
        <v>270</v>
      </c>
      <c r="C785" s="106" t="s">
        <v>280</v>
      </c>
      <c r="D785" s="106" t="s">
        <v>276</v>
      </c>
      <c r="E785">
        <v>4482</v>
      </c>
      <c r="F785" s="106" t="s">
        <v>2081</v>
      </c>
      <c r="G785" s="106" t="s">
        <v>285</v>
      </c>
      <c r="H785" s="106" t="s">
        <v>284</v>
      </c>
      <c r="I785">
        <v>210</v>
      </c>
    </row>
    <row r="786" spans="1:10" x14ac:dyDescent="0.2">
      <c r="A786" s="106" t="s">
        <v>631</v>
      </c>
      <c r="B786" s="106" t="s">
        <v>270</v>
      </c>
      <c r="C786" s="106" t="s">
        <v>271</v>
      </c>
      <c r="D786" s="106" t="s">
        <v>272</v>
      </c>
      <c r="E786">
        <v>4484</v>
      </c>
      <c r="F786" s="106" t="s">
        <v>2082</v>
      </c>
      <c r="G786" s="106" t="s">
        <v>285</v>
      </c>
      <c r="H786" s="106" t="s">
        <v>284</v>
      </c>
      <c r="I786">
        <v>121</v>
      </c>
    </row>
    <row r="787" spans="1:10" x14ac:dyDescent="0.2">
      <c r="A787" s="106" t="s">
        <v>631</v>
      </c>
      <c r="B787" s="106" t="s">
        <v>270</v>
      </c>
      <c r="C787" s="106" t="s">
        <v>280</v>
      </c>
      <c r="D787" s="106" t="s">
        <v>276</v>
      </c>
      <c r="E787">
        <v>4487</v>
      </c>
      <c r="F787" s="106" t="s">
        <v>2530</v>
      </c>
      <c r="G787" s="106" t="s">
        <v>285</v>
      </c>
      <c r="H787" s="106" t="s">
        <v>284</v>
      </c>
      <c r="I787">
        <v>158</v>
      </c>
    </row>
    <row r="788" spans="1:10" x14ac:dyDescent="0.2">
      <c r="A788" s="106" t="s">
        <v>631</v>
      </c>
      <c r="B788" s="106" t="s">
        <v>270</v>
      </c>
      <c r="C788" s="106" t="s">
        <v>280</v>
      </c>
      <c r="D788" s="106" t="s">
        <v>272</v>
      </c>
      <c r="E788">
        <v>4631</v>
      </c>
      <c r="F788" s="106" t="s">
        <v>659</v>
      </c>
      <c r="G788" s="106" t="s">
        <v>273</v>
      </c>
      <c r="H788" s="106" t="s">
        <v>286</v>
      </c>
      <c r="I788" t="s">
        <v>296</v>
      </c>
      <c r="J788" t="s">
        <v>2469</v>
      </c>
    </row>
    <row r="789" spans="1:10" x14ac:dyDescent="0.2">
      <c r="A789" s="106" t="s">
        <v>631</v>
      </c>
      <c r="B789" s="106" t="s">
        <v>270</v>
      </c>
      <c r="C789" s="106" t="s">
        <v>271</v>
      </c>
      <c r="D789" s="106" t="s">
        <v>272</v>
      </c>
      <c r="E789">
        <v>4691</v>
      </c>
      <c r="F789" s="106" t="s">
        <v>660</v>
      </c>
      <c r="G789" s="106" t="s">
        <v>281</v>
      </c>
      <c r="H789" s="106" t="s">
        <v>278</v>
      </c>
      <c r="I789">
        <v>162</v>
      </c>
    </row>
    <row r="790" spans="1:10" x14ac:dyDescent="0.2">
      <c r="A790" s="106" t="s">
        <v>631</v>
      </c>
      <c r="B790" s="106" t="s">
        <v>270</v>
      </c>
      <c r="C790" s="106" t="s">
        <v>282</v>
      </c>
      <c r="D790" s="106" t="s">
        <v>272</v>
      </c>
      <c r="E790">
        <v>4845</v>
      </c>
      <c r="F790" s="106" t="s">
        <v>661</v>
      </c>
      <c r="G790" s="106" t="s">
        <v>273</v>
      </c>
      <c r="H790" s="106" t="s">
        <v>284</v>
      </c>
      <c r="I790">
        <v>140</v>
      </c>
    </row>
    <row r="791" spans="1:10" x14ac:dyDescent="0.2">
      <c r="A791" s="106" t="s">
        <v>631</v>
      </c>
      <c r="B791" s="106" t="s">
        <v>270</v>
      </c>
      <c r="C791" s="106" t="s">
        <v>271</v>
      </c>
      <c r="D791" s="106" t="s">
        <v>272</v>
      </c>
      <c r="E791">
        <v>6059</v>
      </c>
      <c r="F791" s="106" t="s">
        <v>2083</v>
      </c>
      <c r="G791" s="106" t="s">
        <v>273</v>
      </c>
      <c r="H791" s="106" t="s">
        <v>278</v>
      </c>
      <c r="I791">
        <v>117</v>
      </c>
    </row>
    <row r="792" spans="1:10" x14ac:dyDescent="0.2">
      <c r="A792" s="106" t="s">
        <v>631</v>
      </c>
      <c r="B792" s="106" t="s">
        <v>270</v>
      </c>
      <c r="C792" s="106" t="s">
        <v>271</v>
      </c>
      <c r="D792" s="106" t="s">
        <v>272</v>
      </c>
      <c r="E792">
        <v>6082</v>
      </c>
      <c r="F792" s="106" t="s">
        <v>662</v>
      </c>
      <c r="G792" s="106" t="s">
        <v>273</v>
      </c>
      <c r="H792" s="106" t="s">
        <v>278</v>
      </c>
      <c r="I792" s="106">
        <v>224</v>
      </c>
      <c r="J792" s="106"/>
    </row>
    <row r="793" spans="1:10" x14ac:dyDescent="0.2">
      <c r="A793" s="106" t="s">
        <v>631</v>
      </c>
      <c r="B793" s="106" t="s">
        <v>270</v>
      </c>
      <c r="C793" s="106" t="s">
        <v>271</v>
      </c>
      <c r="D793" s="106" t="s">
        <v>272</v>
      </c>
      <c r="E793">
        <v>6408</v>
      </c>
      <c r="F793" s="106" t="s">
        <v>663</v>
      </c>
      <c r="G793" s="106" t="s">
        <v>277</v>
      </c>
      <c r="H793" s="106" t="s">
        <v>294</v>
      </c>
      <c r="I793" s="106">
        <v>51</v>
      </c>
      <c r="J793" s="106"/>
    </row>
    <row r="794" spans="1:10" x14ac:dyDescent="0.2">
      <c r="A794" s="106" t="s">
        <v>631</v>
      </c>
      <c r="B794" s="106" t="s">
        <v>270</v>
      </c>
      <c r="C794" s="106" t="s">
        <v>271</v>
      </c>
      <c r="D794" s="106" t="s">
        <v>272</v>
      </c>
      <c r="E794">
        <v>6424</v>
      </c>
      <c r="F794" s="106" t="s">
        <v>664</v>
      </c>
      <c r="G794" s="106" t="s">
        <v>277</v>
      </c>
      <c r="H794" s="106" t="s">
        <v>294</v>
      </c>
      <c r="I794">
        <v>64</v>
      </c>
    </row>
    <row r="795" spans="1:10" x14ac:dyDescent="0.2">
      <c r="A795" s="106" t="s">
        <v>631</v>
      </c>
      <c r="B795" s="106" t="s">
        <v>270</v>
      </c>
      <c r="C795" s="106" t="s">
        <v>271</v>
      </c>
      <c r="D795" s="106" t="s">
        <v>272</v>
      </c>
      <c r="E795">
        <v>6517</v>
      </c>
      <c r="F795" s="106" t="s">
        <v>665</v>
      </c>
      <c r="G795" s="106" t="s">
        <v>273</v>
      </c>
      <c r="H795" s="106" t="s">
        <v>298</v>
      </c>
      <c r="I795">
        <v>470</v>
      </c>
    </row>
    <row r="796" spans="1:10" x14ac:dyDescent="0.2">
      <c r="A796" t="s">
        <v>631</v>
      </c>
      <c r="B796" t="s">
        <v>270</v>
      </c>
      <c r="C796" t="s">
        <v>282</v>
      </c>
      <c r="D796" t="s">
        <v>276</v>
      </c>
      <c r="E796">
        <v>6597</v>
      </c>
      <c r="F796" t="s">
        <v>667</v>
      </c>
      <c r="G796" t="s">
        <v>285</v>
      </c>
      <c r="H796" t="s">
        <v>298</v>
      </c>
      <c r="I796">
        <v>87</v>
      </c>
    </row>
    <row r="797" spans="1:10" x14ac:dyDescent="0.2">
      <c r="A797" t="s">
        <v>631</v>
      </c>
      <c r="B797" t="s">
        <v>270</v>
      </c>
      <c r="C797" t="s">
        <v>271</v>
      </c>
      <c r="D797" t="s">
        <v>272</v>
      </c>
      <c r="E797">
        <v>6706</v>
      </c>
      <c r="F797" t="s">
        <v>668</v>
      </c>
      <c r="G797" t="s">
        <v>273</v>
      </c>
      <c r="H797" t="s">
        <v>298</v>
      </c>
      <c r="I797">
        <v>468</v>
      </c>
    </row>
    <row r="798" spans="1:10" x14ac:dyDescent="0.2">
      <c r="A798" t="s">
        <v>631</v>
      </c>
      <c r="B798" t="s">
        <v>270</v>
      </c>
      <c r="C798" t="s">
        <v>271</v>
      </c>
      <c r="D798" t="s">
        <v>272</v>
      </c>
      <c r="E798">
        <v>6819</v>
      </c>
      <c r="F798" t="s">
        <v>669</v>
      </c>
      <c r="G798" t="s">
        <v>277</v>
      </c>
      <c r="H798" t="s">
        <v>278</v>
      </c>
      <c r="I798">
        <v>34</v>
      </c>
    </row>
    <row r="799" spans="1:10" x14ac:dyDescent="0.2">
      <c r="A799" t="s">
        <v>631</v>
      </c>
      <c r="B799" t="s">
        <v>270</v>
      </c>
      <c r="C799" t="s">
        <v>280</v>
      </c>
      <c r="D799" t="s">
        <v>272</v>
      </c>
      <c r="E799">
        <v>6870</v>
      </c>
      <c r="F799" t="s">
        <v>670</v>
      </c>
      <c r="G799" t="s">
        <v>281</v>
      </c>
      <c r="H799" t="s">
        <v>298</v>
      </c>
      <c r="I799">
        <v>90</v>
      </c>
    </row>
    <row r="800" spans="1:10" x14ac:dyDescent="0.2">
      <c r="A800" t="s">
        <v>631</v>
      </c>
      <c r="B800" t="s">
        <v>270</v>
      </c>
      <c r="C800" t="s">
        <v>271</v>
      </c>
      <c r="D800" t="s">
        <v>272</v>
      </c>
      <c r="E800">
        <v>7059</v>
      </c>
      <c r="F800" t="s">
        <v>853</v>
      </c>
      <c r="G800" t="s">
        <v>285</v>
      </c>
      <c r="H800" t="s">
        <v>278</v>
      </c>
      <c r="I800">
        <v>150</v>
      </c>
    </row>
    <row r="801" spans="1:9" x14ac:dyDescent="0.2">
      <c r="A801" t="s">
        <v>631</v>
      </c>
      <c r="B801" t="s">
        <v>270</v>
      </c>
      <c r="C801" t="s">
        <v>271</v>
      </c>
      <c r="D801" t="s">
        <v>272</v>
      </c>
      <c r="E801">
        <v>7060</v>
      </c>
      <c r="F801" t="s">
        <v>671</v>
      </c>
      <c r="G801" t="s">
        <v>285</v>
      </c>
      <c r="H801" t="s">
        <v>278</v>
      </c>
      <c r="I801">
        <v>170</v>
      </c>
    </row>
    <row r="802" spans="1:9" x14ac:dyDescent="0.2">
      <c r="A802" t="s">
        <v>631</v>
      </c>
      <c r="B802" t="s">
        <v>270</v>
      </c>
      <c r="C802" t="s">
        <v>282</v>
      </c>
      <c r="D802" t="s">
        <v>272</v>
      </c>
      <c r="E802">
        <v>7063</v>
      </c>
      <c r="F802" t="s">
        <v>672</v>
      </c>
      <c r="G802" t="s">
        <v>285</v>
      </c>
      <c r="H802" t="s">
        <v>278</v>
      </c>
      <c r="I802">
        <v>86</v>
      </c>
    </row>
    <row r="803" spans="1:9" x14ac:dyDescent="0.2">
      <c r="A803" t="s">
        <v>631</v>
      </c>
      <c r="B803" t="s">
        <v>270</v>
      </c>
      <c r="C803" t="s">
        <v>271</v>
      </c>
      <c r="D803" t="s">
        <v>272</v>
      </c>
      <c r="E803">
        <v>7067</v>
      </c>
      <c r="F803" t="s">
        <v>673</v>
      </c>
      <c r="G803" t="s">
        <v>285</v>
      </c>
      <c r="H803" t="s">
        <v>278</v>
      </c>
      <c r="I803">
        <v>33</v>
      </c>
    </row>
    <row r="804" spans="1:9" x14ac:dyDescent="0.2">
      <c r="A804" t="s">
        <v>631</v>
      </c>
      <c r="B804" t="s">
        <v>270</v>
      </c>
      <c r="C804" t="s">
        <v>275</v>
      </c>
      <c r="D804" t="s">
        <v>272</v>
      </c>
      <c r="E804">
        <v>7071</v>
      </c>
      <c r="F804" t="s">
        <v>2084</v>
      </c>
      <c r="G804" t="s">
        <v>277</v>
      </c>
      <c r="H804" t="s">
        <v>278</v>
      </c>
      <c r="I804">
        <v>780</v>
      </c>
    </row>
    <row r="805" spans="1:9" x14ac:dyDescent="0.2">
      <c r="A805" t="s">
        <v>631</v>
      </c>
      <c r="B805" t="s">
        <v>270</v>
      </c>
      <c r="C805" t="s">
        <v>275</v>
      </c>
      <c r="D805" t="s">
        <v>276</v>
      </c>
      <c r="E805">
        <v>7072</v>
      </c>
      <c r="F805" t="s">
        <v>674</v>
      </c>
      <c r="G805" t="s">
        <v>285</v>
      </c>
      <c r="H805" t="s">
        <v>278</v>
      </c>
      <c r="I805">
        <v>72</v>
      </c>
    </row>
    <row r="806" spans="1:9" x14ac:dyDescent="0.2">
      <c r="A806" t="s">
        <v>631</v>
      </c>
      <c r="B806" t="s">
        <v>270</v>
      </c>
      <c r="C806" t="s">
        <v>271</v>
      </c>
      <c r="D806" t="s">
        <v>272</v>
      </c>
      <c r="E806">
        <v>7239</v>
      </c>
      <c r="F806" t="s">
        <v>675</v>
      </c>
      <c r="G806" t="s">
        <v>273</v>
      </c>
      <c r="H806" t="s">
        <v>303</v>
      </c>
      <c r="I806">
        <v>510</v>
      </c>
    </row>
    <row r="807" spans="1:9" x14ac:dyDescent="0.2">
      <c r="A807" t="s">
        <v>631</v>
      </c>
      <c r="B807" t="s">
        <v>270</v>
      </c>
      <c r="C807" t="s">
        <v>271</v>
      </c>
      <c r="D807" t="s">
        <v>272</v>
      </c>
      <c r="E807">
        <v>7242</v>
      </c>
      <c r="F807" t="s">
        <v>676</v>
      </c>
      <c r="G807" t="s">
        <v>273</v>
      </c>
      <c r="H807" t="s">
        <v>303</v>
      </c>
      <c r="I807">
        <v>848</v>
      </c>
    </row>
    <row r="808" spans="1:9" x14ac:dyDescent="0.2">
      <c r="A808" t="s">
        <v>631</v>
      </c>
      <c r="B808" t="s">
        <v>270</v>
      </c>
      <c r="C808" t="s">
        <v>282</v>
      </c>
      <c r="D808" t="s">
        <v>272</v>
      </c>
      <c r="E808">
        <v>7325</v>
      </c>
      <c r="F808" t="s">
        <v>740</v>
      </c>
      <c r="G808" t="s">
        <v>285</v>
      </c>
      <c r="H808" t="s">
        <v>741</v>
      </c>
      <c r="I808">
        <v>110</v>
      </c>
    </row>
    <row r="809" spans="1:9" x14ac:dyDescent="0.2">
      <c r="A809" t="s">
        <v>631</v>
      </c>
      <c r="B809" t="s">
        <v>270</v>
      </c>
      <c r="C809" t="s">
        <v>271</v>
      </c>
      <c r="D809" t="s">
        <v>272</v>
      </c>
      <c r="E809">
        <v>7593</v>
      </c>
      <c r="F809" t="s">
        <v>854</v>
      </c>
      <c r="G809" t="s">
        <v>273</v>
      </c>
      <c r="H809" t="s">
        <v>283</v>
      </c>
      <c r="I809">
        <v>563</v>
      </c>
    </row>
    <row r="810" spans="1:9" x14ac:dyDescent="0.2">
      <c r="A810" t="s">
        <v>631</v>
      </c>
      <c r="B810" t="s">
        <v>270</v>
      </c>
      <c r="C810" t="s">
        <v>282</v>
      </c>
      <c r="D810" t="s">
        <v>276</v>
      </c>
      <c r="E810">
        <v>7674</v>
      </c>
      <c r="F810" t="s">
        <v>677</v>
      </c>
      <c r="G810" t="s">
        <v>285</v>
      </c>
      <c r="H810" t="s">
        <v>283</v>
      </c>
      <c r="I810">
        <v>79</v>
      </c>
    </row>
    <row r="811" spans="1:9" x14ac:dyDescent="0.2">
      <c r="A811" t="s">
        <v>631</v>
      </c>
      <c r="B811" t="s">
        <v>270</v>
      </c>
      <c r="C811" t="s">
        <v>275</v>
      </c>
      <c r="D811" t="s">
        <v>276</v>
      </c>
      <c r="E811">
        <v>7676</v>
      </c>
      <c r="F811" t="s">
        <v>678</v>
      </c>
      <c r="G811" t="s">
        <v>285</v>
      </c>
      <c r="H811" t="s">
        <v>283</v>
      </c>
      <c r="I811">
        <v>43</v>
      </c>
    </row>
    <row r="812" spans="1:9" x14ac:dyDescent="0.2">
      <c r="A812" t="s">
        <v>631</v>
      </c>
      <c r="B812" t="s">
        <v>270</v>
      </c>
      <c r="C812" t="s">
        <v>275</v>
      </c>
      <c r="D812" t="s">
        <v>272</v>
      </c>
      <c r="E812">
        <v>7681</v>
      </c>
      <c r="F812" t="s">
        <v>680</v>
      </c>
      <c r="G812" t="s">
        <v>281</v>
      </c>
      <c r="H812" t="s">
        <v>279</v>
      </c>
      <c r="I812">
        <v>58</v>
      </c>
    </row>
    <row r="813" spans="1:9" x14ac:dyDescent="0.2">
      <c r="A813" t="s">
        <v>631</v>
      </c>
      <c r="B813" t="s">
        <v>270</v>
      </c>
      <c r="C813" t="s">
        <v>280</v>
      </c>
      <c r="D813" t="s">
        <v>276</v>
      </c>
      <c r="E813">
        <v>7685</v>
      </c>
      <c r="F813" t="s">
        <v>2180</v>
      </c>
      <c r="G813" t="s">
        <v>285</v>
      </c>
      <c r="H813" t="s">
        <v>279</v>
      </c>
      <c r="I813">
        <v>187</v>
      </c>
    </row>
    <row r="814" spans="1:9" x14ac:dyDescent="0.2">
      <c r="A814" t="s">
        <v>631</v>
      </c>
      <c r="B814" t="s">
        <v>270</v>
      </c>
      <c r="C814" t="s">
        <v>271</v>
      </c>
      <c r="D814" t="s">
        <v>272</v>
      </c>
      <c r="E814">
        <v>7686</v>
      </c>
      <c r="F814" t="s">
        <v>2531</v>
      </c>
      <c r="G814" t="s">
        <v>281</v>
      </c>
      <c r="H814" t="s">
        <v>279</v>
      </c>
      <c r="I814">
        <v>147</v>
      </c>
    </row>
    <row r="815" spans="1:9" x14ac:dyDescent="0.2">
      <c r="A815" t="s">
        <v>631</v>
      </c>
      <c r="B815" t="s">
        <v>270</v>
      </c>
      <c r="C815" t="s">
        <v>271</v>
      </c>
      <c r="D815" t="s">
        <v>272</v>
      </c>
      <c r="E815">
        <v>7749</v>
      </c>
      <c r="F815" t="s">
        <v>681</v>
      </c>
      <c r="G815" t="s">
        <v>277</v>
      </c>
      <c r="H815" t="s">
        <v>384</v>
      </c>
      <c r="I815">
        <v>651</v>
      </c>
    </row>
    <row r="816" spans="1:9" x14ac:dyDescent="0.2">
      <c r="A816" t="s">
        <v>631</v>
      </c>
      <c r="B816" t="s">
        <v>270</v>
      </c>
      <c r="C816" t="s">
        <v>275</v>
      </c>
      <c r="D816" t="s">
        <v>276</v>
      </c>
      <c r="E816">
        <v>7800</v>
      </c>
      <c r="F816" t="s">
        <v>682</v>
      </c>
      <c r="G816" t="s">
        <v>277</v>
      </c>
      <c r="H816" t="s">
        <v>295</v>
      </c>
      <c r="I816">
        <v>31</v>
      </c>
    </row>
    <row r="817" spans="1:10" x14ac:dyDescent="0.2">
      <c r="A817" t="s">
        <v>631</v>
      </c>
      <c r="B817" t="s">
        <v>270</v>
      </c>
      <c r="C817" t="s">
        <v>271</v>
      </c>
      <c r="D817" t="s">
        <v>272</v>
      </c>
      <c r="E817">
        <v>8152</v>
      </c>
      <c r="F817" t="s">
        <v>683</v>
      </c>
      <c r="G817" t="s">
        <v>281</v>
      </c>
      <c r="H817" t="s">
        <v>279</v>
      </c>
      <c r="I817">
        <v>37</v>
      </c>
    </row>
    <row r="818" spans="1:10" x14ac:dyDescent="0.2">
      <c r="A818" t="s">
        <v>631</v>
      </c>
      <c r="B818" t="s">
        <v>270</v>
      </c>
      <c r="C818" t="s">
        <v>282</v>
      </c>
      <c r="D818" t="s">
        <v>272</v>
      </c>
      <c r="E818">
        <v>8928</v>
      </c>
      <c r="F818" t="s">
        <v>742</v>
      </c>
      <c r="G818" t="s">
        <v>273</v>
      </c>
      <c r="H818" t="s">
        <v>299</v>
      </c>
      <c r="I818">
        <v>206</v>
      </c>
    </row>
    <row r="819" spans="1:10" x14ac:dyDescent="0.2">
      <c r="A819" t="s">
        <v>631</v>
      </c>
      <c r="B819" t="s">
        <v>270</v>
      </c>
      <c r="C819" t="s">
        <v>280</v>
      </c>
      <c r="D819" t="s">
        <v>272</v>
      </c>
      <c r="E819">
        <v>9672</v>
      </c>
      <c r="F819" t="s">
        <v>684</v>
      </c>
      <c r="G819" t="s">
        <v>273</v>
      </c>
      <c r="H819" t="s">
        <v>278</v>
      </c>
      <c r="I819" t="s">
        <v>304</v>
      </c>
      <c r="J819" t="s">
        <v>2532</v>
      </c>
    </row>
    <row r="820" spans="1:10" x14ac:dyDescent="0.2">
      <c r="A820" t="s">
        <v>631</v>
      </c>
      <c r="B820" t="s">
        <v>270</v>
      </c>
      <c r="C820" t="s">
        <v>280</v>
      </c>
      <c r="D820" t="s">
        <v>272</v>
      </c>
      <c r="E820">
        <v>9755</v>
      </c>
      <c r="F820" t="s">
        <v>2085</v>
      </c>
      <c r="G820" t="s">
        <v>273</v>
      </c>
      <c r="H820" t="s">
        <v>278</v>
      </c>
      <c r="I820">
        <v>414</v>
      </c>
    </row>
    <row r="821" spans="1:10" x14ac:dyDescent="0.2">
      <c r="A821" t="s">
        <v>2533</v>
      </c>
      <c r="B821" t="s">
        <v>270</v>
      </c>
      <c r="C821" t="s">
        <v>271</v>
      </c>
      <c r="D821" t="s">
        <v>272</v>
      </c>
      <c r="E821">
        <v>3160</v>
      </c>
      <c r="F821" t="s">
        <v>692</v>
      </c>
      <c r="G821" t="s">
        <v>273</v>
      </c>
      <c r="H821" t="s">
        <v>279</v>
      </c>
      <c r="I821">
        <v>89</v>
      </c>
    </row>
    <row r="822" spans="1:10" x14ac:dyDescent="0.2">
      <c r="A822" t="s">
        <v>855</v>
      </c>
      <c r="B822" t="s">
        <v>270</v>
      </c>
      <c r="C822" t="s">
        <v>271</v>
      </c>
      <c r="D822" t="s">
        <v>272</v>
      </c>
      <c r="E822">
        <v>2910</v>
      </c>
      <c r="F822" t="s">
        <v>291</v>
      </c>
      <c r="G822" t="s">
        <v>273</v>
      </c>
      <c r="H822" t="s">
        <v>274</v>
      </c>
      <c r="I822">
        <v>413</v>
      </c>
    </row>
    <row r="823" spans="1:10" x14ac:dyDescent="0.2">
      <c r="A823" t="s">
        <v>855</v>
      </c>
      <c r="B823" t="s">
        <v>270</v>
      </c>
      <c r="C823" t="s">
        <v>271</v>
      </c>
      <c r="D823" t="s">
        <v>272</v>
      </c>
      <c r="E823">
        <v>3770</v>
      </c>
      <c r="F823" t="s">
        <v>292</v>
      </c>
      <c r="G823" t="s">
        <v>273</v>
      </c>
      <c r="H823" t="s">
        <v>284</v>
      </c>
      <c r="I823">
        <v>56</v>
      </c>
    </row>
    <row r="824" spans="1:10" x14ac:dyDescent="0.2">
      <c r="A824" t="s">
        <v>855</v>
      </c>
      <c r="B824" t="s">
        <v>270</v>
      </c>
      <c r="C824" t="s">
        <v>275</v>
      </c>
      <c r="D824" t="s">
        <v>272</v>
      </c>
      <c r="E824">
        <v>4996</v>
      </c>
      <c r="F824" t="s">
        <v>327</v>
      </c>
      <c r="G824" t="s">
        <v>273</v>
      </c>
      <c r="H824" t="s">
        <v>286</v>
      </c>
      <c r="I824" t="s">
        <v>304</v>
      </c>
      <c r="J824" t="s">
        <v>2249</v>
      </c>
    </row>
    <row r="825" spans="1:10" x14ac:dyDescent="0.2">
      <c r="A825" t="s">
        <v>855</v>
      </c>
      <c r="B825" t="s">
        <v>270</v>
      </c>
      <c r="C825" t="s">
        <v>282</v>
      </c>
      <c r="D825" t="s">
        <v>272</v>
      </c>
      <c r="E825">
        <v>6040</v>
      </c>
      <c r="F825" t="s">
        <v>302</v>
      </c>
      <c r="G825" t="s">
        <v>285</v>
      </c>
      <c r="H825" t="s">
        <v>278</v>
      </c>
      <c r="I825">
        <v>130</v>
      </c>
    </row>
    <row r="826" spans="1:10" x14ac:dyDescent="0.2">
      <c r="A826" t="s">
        <v>855</v>
      </c>
      <c r="B826" t="s">
        <v>270</v>
      </c>
      <c r="C826" t="s">
        <v>280</v>
      </c>
      <c r="D826" t="s">
        <v>272</v>
      </c>
      <c r="E826">
        <v>6696</v>
      </c>
      <c r="F826" t="s">
        <v>313</v>
      </c>
      <c r="G826" t="s">
        <v>285</v>
      </c>
      <c r="H826" t="s">
        <v>298</v>
      </c>
      <c r="I826">
        <v>45</v>
      </c>
    </row>
    <row r="827" spans="1:10" x14ac:dyDescent="0.2">
      <c r="A827" t="s">
        <v>855</v>
      </c>
      <c r="B827" t="s">
        <v>270</v>
      </c>
      <c r="C827" t="s">
        <v>280</v>
      </c>
      <c r="D827" t="s">
        <v>272</v>
      </c>
      <c r="E827">
        <v>6757</v>
      </c>
      <c r="F827" t="s">
        <v>696</v>
      </c>
      <c r="G827" t="s">
        <v>277</v>
      </c>
      <c r="H827" t="s">
        <v>298</v>
      </c>
      <c r="I827">
        <v>107</v>
      </c>
    </row>
    <row r="828" spans="1:10" x14ac:dyDescent="0.2">
      <c r="A828" t="s">
        <v>855</v>
      </c>
      <c r="B828" t="s">
        <v>270</v>
      </c>
      <c r="C828" t="s">
        <v>282</v>
      </c>
      <c r="D828" t="s">
        <v>276</v>
      </c>
      <c r="E828">
        <v>7682</v>
      </c>
      <c r="F828" t="s">
        <v>329</v>
      </c>
      <c r="G828" t="s">
        <v>277</v>
      </c>
      <c r="H828" t="s">
        <v>283</v>
      </c>
      <c r="I828">
        <v>25</v>
      </c>
    </row>
    <row r="829" spans="1:10" x14ac:dyDescent="0.2">
      <c r="A829" t="s">
        <v>855</v>
      </c>
      <c r="B829" t="s">
        <v>270</v>
      </c>
      <c r="C829" t="s">
        <v>275</v>
      </c>
      <c r="D829" t="s">
        <v>272</v>
      </c>
      <c r="E829">
        <v>8917</v>
      </c>
      <c r="F829" t="s">
        <v>2534</v>
      </c>
      <c r="G829" t="s">
        <v>273</v>
      </c>
      <c r="H829" t="s">
        <v>299</v>
      </c>
      <c r="I829">
        <v>217</v>
      </c>
    </row>
    <row r="830" spans="1:10" x14ac:dyDescent="0.2">
      <c r="A830" t="s">
        <v>685</v>
      </c>
      <c r="B830" t="s">
        <v>270</v>
      </c>
      <c r="C830" t="s">
        <v>280</v>
      </c>
      <c r="D830" t="s">
        <v>276</v>
      </c>
      <c r="E830">
        <v>2163</v>
      </c>
      <c r="F830" t="s">
        <v>305</v>
      </c>
      <c r="G830" t="s">
        <v>273</v>
      </c>
      <c r="H830" t="s">
        <v>278</v>
      </c>
      <c r="I830">
        <v>86</v>
      </c>
    </row>
    <row r="831" spans="1:10" x14ac:dyDescent="0.2">
      <c r="A831" t="s">
        <v>685</v>
      </c>
      <c r="B831" t="s">
        <v>270</v>
      </c>
      <c r="C831" t="s">
        <v>280</v>
      </c>
      <c r="D831" t="s">
        <v>276</v>
      </c>
      <c r="E831">
        <v>3282</v>
      </c>
      <c r="F831" t="s">
        <v>686</v>
      </c>
      <c r="G831" t="s">
        <v>310</v>
      </c>
      <c r="H831" t="s">
        <v>311</v>
      </c>
      <c r="I831" t="s">
        <v>296</v>
      </c>
      <c r="J831" t="s">
        <v>2535</v>
      </c>
    </row>
    <row r="832" spans="1:10" x14ac:dyDescent="0.2">
      <c r="A832" t="s">
        <v>685</v>
      </c>
      <c r="B832" t="s">
        <v>270</v>
      </c>
      <c r="C832" t="s">
        <v>280</v>
      </c>
      <c r="D832" t="s">
        <v>276</v>
      </c>
      <c r="E832">
        <v>3463</v>
      </c>
      <c r="F832" t="s">
        <v>687</v>
      </c>
      <c r="G832" t="s">
        <v>310</v>
      </c>
      <c r="H832" t="s">
        <v>311</v>
      </c>
      <c r="I832">
        <v>340</v>
      </c>
    </row>
    <row r="833" spans="1:10" x14ac:dyDescent="0.2">
      <c r="A833" t="s">
        <v>685</v>
      </c>
      <c r="B833" t="s">
        <v>270</v>
      </c>
      <c r="C833" t="s">
        <v>282</v>
      </c>
      <c r="D833" t="s">
        <v>276</v>
      </c>
      <c r="E833">
        <v>3497</v>
      </c>
      <c r="F833" t="s">
        <v>324</v>
      </c>
      <c r="G833" t="s">
        <v>285</v>
      </c>
      <c r="H833" t="s">
        <v>299</v>
      </c>
      <c r="I833">
        <v>37</v>
      </c>
    </row>
    <row r="834" spans="1:10" x14ac:dyDescent="0.2">
      <c r="A834" t="s">
        <v>685</v>
      </c>
      <c r="B834" t="s">
        <v>270</v>
      </c>
      <c r="C834" t="s">
        <v>280</v>
      </c>
      <c r="D834" t="s">
        <v>276</v>
      </c>
      <c r="E834">
        <v>4380</v>
      </c>
      <c r="F834" t="s">
        <v>319</v>
      </c>
      <c r="G834" t="s">
        <v>285</v>
      </c>
      <c r="H834" t="s">
        <v>284</v>
      </c>
      <c r="I834">
        <v>37</v>
      </c>
    </row>
    <row r="835" spans="1:10" x14ac:dyDescent="0.2">
      <c r="A835" t="s">
        <v>685</v>
      </c>
      <c r="B835" t="s">
        <v>270</v>
      </c>
      <c r="C835" t="s">
        <v>282</v>
      </c>
      <c r="D835" t="s">
        <v>272</v>
      </c>
      <c r="E835">
        <v>4422</v>
      </c>
      <c r="F835" t="s">
        <v>317</v>
      </c>
      <c r="G835" t="s">
        <v>285</v>
      </c>
      <c r="H835" t="s">
        <v>284</v>
      </c>
      <c r="I835">
        <v>50</v>
      </c>
    </row>
    <row r="836" spans="1:10" x14ac:dyDescent="0.2">
      <c r="A836" t="s">
        <v>685</v>
      </c>
      <c r="B836" t="s">
        <v>270</v>
      </c>
      <c r="C836" t="s">
        <v>275</v>
      </c>
      <c r="D836" t="s">
        <v>276</v>
      </c>
      <c r="E836">
        <v>4441</v>
      </c>
      <c r="F836" t="s">
        <v>312</v>
      </c>
      <c r="G836" t="s">
        <v>285</v>
      </c>
      <c r="H836" t="s">
        <v>284</v>
      </c>
      <c r="I836">
        <v>236</v>
      </c>
    </row>
    <row r="837" spans="1:10" x14ac:dyDescent="0.2">
      <c r="A837" t="s">
        <v>685</v>
      </c>
      <c r="B837" t="s">
        <v>270</v>
      </c>
      <c r="C837" t="s">
        <v>271</v>
      </c>
      <c r="D837" t="s">
        <v>272</v>
      </c>
      <c r="E837">
        <v>6065</v>
      </c>
      <c r="F837" t="s">
        <v>308</v>
      </c>
      <c r="G837" t="s">
        <v>273</v>
      </c>
      <c r="H837" t="s">
        <v>278</v>
      </c>
      <c r="I837">
        <v>87</v>
      </c>
    </row>
    <row r="838" spans="1:10" x14ac:dyDescent="0.2">
      <c r="A838" t="s">
        <v>685</v>
      </c>
      <c r="B838" t="s">
        <v>270</v>
      </c>
      <c r="C838" t="s">
        <v>271</v>
      </c>
      <c r="D838" t="s">
        <v>272</v>
      </c>
      <c r="E838">
        <v>6905</v>
      </c>
      <c r="F838" t="s">
        <v>697</v>
      </c>
      <c r="G838" t="s">
        <v>273</v>
      </c>
      <c r="H838" t="s">
        <v>298</v>
      </c>
      <c r="I838">
        <v>428</v>
      </c>
    </row>
    <row r="839" spans="1:10" x14ac:dyDescent="0.2">
      <c r="A839" t="s">
        <v>685</v>
      </c>
      <c r="B839" t="s">
        <v>270</v>
      </c>
      <c r="C839" t="s">
        <v>280</v>
      </c>
      <c r="D839" t="s">
        <v>276</v>
      </c>
      <c r="E839">
        <v>7064</v>
      </c>
      <c r="F839" t="s">
        <v>316</v>
      </c>
      <c r="G839" t="s">
        <v>285</v>
      </c>
      <c r="H839" t="s">
        <v>278</v>
      </c>
      <c r="I839">
        <v>29</v>
      </c>
    </row>
    <row r="840" spans="1:10" x14ac:dyDescent="0.2">
      <c r="A840" t="s">
        <v>685</v>
      </c>
      <c r="B840" t="s">
        <v>270</v>
      </c>
      <c r="C840" t="s">
        <v>280</v>
      </c>
      <c r="D840" t="s">
        <v>272</v>
      </c>
      <c r="E840">
        <v>7073</v>
      </c>
      <c r="F840" t="s">
        <v>328</v>
      </c>
      <c r="G840" t="s">
        <v>285</v>
      </c>
      <c r="H840" t="s">
        <v>278</v>
      </c>
      <c r="I840">
        <v>69</v>
      </c>
    </row>
    <row r="841" spans="1:10" x14ac:dyDescent="0.2">
      <c r="A841" t="s">
        <v>688</v>
      </c>
      <c r="B841" t="s">
        <v>270</v>
      </c>
      <c r="C841" t="s">
        <v>280</v>
      </c>
      <c r="D841" t="s">
        <v>276</v>
      </c>
      <c r="E841">
        <v>3281</v>
      </c>
      <c r="F841" t="s">
        <v>689</v>
      </c>
      <c r="G841" t="s">
        <v>310</v>
      </c>
      <c r="H841" t="s">
        <v>311</v>
      </c>
      <c r="I841" t="s">
        <v>290</v>
      </c>
      <c r="J841" t="s">
        <v>2178</v>
      </c>
    </row>
    <row r="842" spans="1:10" x14ac:dyDescent="0.2">
      <c r="A842" t="s">
        <v>688</v>
      </c>
      <c r="B842" t="s">
        <v>270</v>
      </c>
      <c r="C842" t="s">
        <v>280</v>
      </c>
      <c r="D842" t="s">
        <v>276</v>
      </c>
      <c r="E842">
        <v>3466</v>
      </c>
      <c r="F842" t="s">
        <v>690</v>
      </c>
      <c r="G842" t="s">
        <v>310</v>
      </c>
      <c r="H842" t="s">
        <v>311</v>
      </c>
      <c r="I842" t="s">
        <v>296</v>
      </c>
      <c r="J842" t="s">
        <v>2267</v>
      </c>
    </row>
    <row r="843" spans="1:10" x14ac:dyDescent="0.2">
      <c r="A843" t="s">
        <v>688</v>
      </c>
      <c r="B843" t="s">
        <v>270</v>
      </c>
      <c r="C843" t="s">
        <v>280</v>
      </c>
      <c r="D843" t="s">
        <v>276</v>
      </c>
      <c r="E843">
        <v>7077</v>
      </c>
      <c r="F843" t="s">
        <v>2086</v>
      </c>
      <c r="G843" t="s">
        <v>285</v>
      </c>
      <c r="H843" t="s">
        <v>278</v>
      </c>
      <c r="I843">
        <v>70</v>
      </c>
    </row>
    <row r="844" spans="1:10" x14ac:dyDescent="0.2">
      <c r="A844" t="s">
        <v>2181</v>
      </c>
      <c r="B844" t="s">
        <v>270</v>
      </c>
      <c r="C844" t="s">
        <v>280</v>
      </c>
      <c r="D844" t="s">
        <v>276</v>
      </c>
      <c r="E844">
        <v>8975</v>
      </c>
      <c r="F844" t="s">
        <v>2182</v>
      </c>
      <c r="G844" t="s">
        <v>310</v>
      </c>
      <c r="H844" t="s">
        <v>311</v>
      </c>
      <c r="I844" t="s">
        <v>304</v>
      </c>
      <c r="J844" t="s">
        <v>2536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936</v>
      </c>
      <c r="B1" s="106" t="s">
        <v>937</v>
      </c>
      <c r="C1" s="188">
        <v>43823</v>
      </c>
      <c r="D1" s="188">
        <v>43822</v>
      </c>
      <c r="E1" s="188">
        <v>43819</v>
      </c>
      <c r="F1" s="188">
        <v>43818</v>
      </c>
      <c r="G1" s="188">
        <v>43817</v>
      </c>
    </row>
    <row r="2" spans="1:7" x14ac:dyDescent="0.2">
      <c r="A2" s="106">
        <v>1301</v>
      </c>
      <c r="B2" s="106" t="s">
        <v>938</v>
      </c>
      <c r="C2" s="188">
        <v>0</v>
      </c>
      <c r="D2" s="188">
        <v>0</v>
      </c>
      <c r="E2" s="188">
        <v>0</v>
      </c>
      <c r="F2" s="188">
        <v>0</v>
      </c>
      <c r="G2" s="188">
        <v>0</v>
      </c>
    </row>
    <row r="3" spans="1:7" x14ac:dyDescent="0.2">
      <c r="A3">
        <v>1377</v>
      </c>
      <c r="B3" s="106" t="s">
        <v>2268</v>
      </c>
      <c r="C3">
        <v>0</v>
      </c>
      <c r="D3">
        <v>0.05</v>
      </c>
      <c r="E3">
        <v>0</v>
      </c>
      <c r="F3" t="s">
        <v>166</v>
      </c>
      <c r="G3" t="s">
        <v>166</v>
      </c>
    </row>
    <row r="4" spans="1:7" x14ac:dyDescent="0.2">
      <c r="A4">
        <v>1379</v>
      </c>
      <c r="B4" s="106" t="s">
        <v>939</v>
      </c>
      <c r="C4">
        <v>0.05</v>
      </c>
      <c r="D4">
        <v>0.05</v>
      </c>
      <c r="E4">
        <v>0.05</v>
      </c>
      <c r="F4">
        <v>0.05</v>
      </c>
      <c r="G4">
        <v>0.15</v>
      </c>
    </row>
    <row r="5" spans="1:7" x14ac:dyDescent="0.2">
      <c r="A5">
        <v>1414</v>
      </c>
      <c r="B5" s="106" t="s">
        <v>2537</v>
      </c>
      <c r="C5">
        <v>0</v>
      </c>
      <c r="D5" t="s">
        <v>166</v>
      </c>
      <c r="E5" t="s">
        <v>166</v>
      </c>
      <c r="F5">
        <v>0</v>
      </c>
      <c r="G5" t="s">
        <v>166</v>
      </c>
    </row>
    <row r="6" spans="1:7" x14ac:dyDescent="0.2">
      <c r="A6">
        <v>1419</v>
      </c>
      <c r="B6" s="106" t="s">
        <v>940</v>
      </c>
      <c r="C6">
        <v>0.05</v>
      </c>
      <c r="D6">
        <v>0.05</v>
      </c>
      <c r="E6">
        <v>0.05</v>
      </c>
      <c r="F6">
        <v>0.05</v>
      </c>
      <c r="G6">
        <v>0.15</v>
      </c>
    </row>
    <row r="7" spans="1:7" x14ac:dyDescent="0.2">
      <c r="A7">
        <v>1420</v>
      </c>
      <c r="B7" s="106" t="s">
        <v>941</v>
      </c>
      <c r="C7">
        <v>0</v>
      </c>
      <c r="D7">
        <v>0</v>
      </c>
      <c r="E7">
        <v>0.05</v>
      </c>
      <c r="F7">
        <v>0</v>
      </c>
      <c r="G7">
        <v>0.15</v>
      </c>
    </row>
    <row r="8" spans="1:7" x14ac:dyDescent="0.2">
      <c r="A8">
        <v>1430</v>
      </c>
      <c r="B8" s="106" t="s">
        <v>942</v>
      </c>
      <c r="C8">
        <v>0</v>
      </c>
      <c r="D8" s="106">
        <v>0.05</v>
      </c>
      <c r="E8">
        <v>0</v>
      </c>
      <c r="F8">
        <v>0.05</v>
      </c>
      <c r="G8" s="106">
        <v>0</v>
      </c>
    </row>
    <row r="9" spans="1:7" x14ac:dyDescent="0.2">
      <c r="A9">
        <v>1433</v>
      </c>
      <c r="B9" s="106" t="s">
        <v>943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">
      <c r="A10">
        <v>1514</v>
      </c>
      <c r="B10" s="106" t="s">
        <v>2269</v>
      </c>
      <c r="C10">
        <v>0</v>
      </c>
      <c r="D10" t="s">
        <v>166</v>
      </c>
      <c r="E10">
        <v>0</v>
      </c>
      <c r="F10" t="s">
        <v>166</v>
      </c>
      <c r="G10">
        <v>0</v>
      </c>
    </row>
    <row r="11" spans="1:7" x14ac:dyDescent="0.2">
      <c r="A11">
        <v>1605</v>
      </c>
      <c r="B11" s="106" t="s">
        <v>944</v>
      </c>
      <c r="C11">
        <v>0.05</v>
      </c>
      <c r="D11">
        <v>0.05</v>
      </c>
      <c r="E11">
        <v>0.05</v>
      </c>
      <c r="F11">
        <v>0.05</v>
      </c>
      <c r="G11">
        <v>0.15</v>
      </c>
    </row>
    <row r="12" spans="1:7" x14ac:dyDescent="0.2">
      <c r="A12">
        <v>1662</v>
      </c>
      <c r="B12" s="106" t="s">
        <v>945</v>
      </c>
      <c r="C12">
        <v>0.05</v>
      </c>
      <c r="D12">
        <v>0.05</v>
      </c>
      <c r="E12">
        <v>0.1</v>
      </c>
      <c r="F12">
        <v>0.1</v>
      </c>
      <c r="G12">
        <v>0.3</v>
      </c>
    </row>
    <row r="13" spans="1:7" x14ac:dyDescent="0.2">
      <c r="A13">
        <v>1663</v>
      </c>
      <c r="B13" s="106" t="s">
        <v>946</v>
      </c>
      <c r="C13">
        <v>0.05</v>
      </c>
      <c r="D13">
        <v>0.05</v>
      </c>
      <c r="E13">
        <v>0.05</v>
      </c>
      <c r="F13">
        <v>0.05</v>
      </c>
      <c r="G13">
        <v>0.15</v>
      </c>
    </row>
    <row r="14" spans="1:7" x14ac:dyDescent="0.2">
      <c r="A14">
        <v>1712</v>
      </c>
      <c r="B14" s="106" t="s">
        <v>2538</v>
      </c>
      <c r="C14">
        <v>0</v>
      </c>
      <c r="D14" t="s">
        <v>166</v>
      </c>
      <c r="E14" s="106" t="s">
        <v>166</v>
      </c>
      <c r="F14">
        <v>0</v>
      </c>
      <c r="G14" s="106" t="s">
        <v>166</v>
      </c>
    </row>
    <row r="15" spans="1:7" x14ac:dyDescent="0.2">
      <c r="A15">
        <v>1719</v>
      </c>
      <c r="B15" s="106" t="s">
        <v>916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1722</v>
      </c>
      <c r="B16" s="106" t="s">
        <v>947</v>
      </c>
      <c r="C16">
        <v>0.05</v>
      </c>
      <c r="D16" s="106">
        <v>0.05</v>
      </c>
      <c r="E16" s="106">
        <v>0.05</v>
      </c>
      <c r="F16" s="106">
        <v>0.05</v>
      </c>
      <c r="G16" s="106">
        <v>0.15</v>
      </c>
    </row>
    <row r="17" spans="1:7" x14ac:dyDescent="0.2">
      <c r="A17">
        <v>1762</v>
      </c>
      <c r="B17" s="106" t="s">
        <v>2539</v>
      </c>
      <c r="C17">
        <v>0</v>
      </c>
      <c r="D17" s="106">
        <v>0</v>
      </c>
      <c r="E17" s="106" t="s">
        <v>166</v>
      </c>
      <c r="F17" s="106" t="s">
        <v>166</v>
      </c>
      <c r="G17" s="106">
        <v>0</v>
      </c>
    </row>
    <row r="18" spans="1:7" x14ac:dyDescent="0.2">
      <c r="A18">
        <v>1766</v>
      </c>
      <c r="B18" s="106" t="s">
        <v>948</v>
      </c>
      <c r="C18">
        <v>0.15</v>
      </c>
      <c r="D18">
        <v>0.15</v>
      </c>
      <c r="E18" s="106">
        <v>0.15</v>
      </c>
      <c r="F18" s="106">
        <v>0.15</v>
      </c>
      <c r="G18">
        <v>0.45</v>
      </c>
    </row>
    <row r="19" spans="1:7" x14ac:dyDescent="0.2">
      <c r="A19">
        <v>1768</v>
      </c>
      <c r="B19" s="106" t="s">
        <v>949</v>
      </c>
      <c r="C19">
        <v>0</v>
      </c>
      <c r="D19" s="106">
        <v>0</v>
      </c>
      <c r="E19" s="106">
        <v>0</v>
      </c>
      <c r="F19">
        <v>0</v>
      </c>
      <c r="G19">
        <v>0</v>
      </c>
    </row>
    <row r="20" spans="1:7" x14ac:dyDescent="0.2">
      <c r="A20">
        <v>1780</v>
      </c>
      <c r="B20" s="106" t="s">
        <v>950</v>
      </c>
      <c r="C20">
        <v>0.05</v>
      </c>
      <c r="D20">
        <v>0.05</v>
      </c>
      <c r="E20">
        <v>0.05</v>
      </c>
      <c r="F20">
        <v>0.05</v>
      </c>
      <c r="G20">
        <v>0.15</v>
      </c>
    </row>
    <row r="21" spans="1:7" x14ac:dyDescent="0.2">
      <c r="A21">
        <v>1801</v>
      </c>
      <c r="B21" s="106" t="s">
        <v>2540</v>
      </c>
      <c r="C21">
        <v>0</v>
      </c>
      <c r="D21" s="106">
        <v>0</v>
      </c>
      <c r="E21" s="106" t="s">
        <v>166</v>
      </c>
      <c r="F21" s="106" t="s">
        <v>166</v>
      </c>
      <c r="G21" s="106">
        <v>0</v>
      </c>
    </row>
    <row r="22" spans="1:7" x14ac:dyDescent="0.2">
      <c r="A22">
        <v>1808</v>
      </c>
      <c r="B22" s="106" t="s">
        <v>951</v>
      </c>
      <c r="C22">
        <v>0.05</v>
      </c>
      <c r="D22" s="106">
        <v>0.05</v>
      </c>
      <c r="E22" s="106">
        <v>0.05</v>
      </c>
      <c r="F22" s="106">
        <v>0.05</v>
      </c>
      <c r="G22" s="106">
        <v>0.15</v>
      </c>
    </row>
    <row r="23" spans="1:7" x14ac:dyDescent="0.2">
      <c r="A23">
        <v>1810</v>
      </c>
      <c r="B23" s="106" t="s">
        <v>952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1826</v>
      </c>
      <c r="B24" s="106" t="s">
        <v>953</v>
      </c>
      <c r="C24">
        <v>0</v>
      </c>
      <c r="D24" t="s">
        <v>166</v>
      </c>
      <c r="E24">
        <v>0</v>
      </c>
      <c r="F24" s="106">
        <v>0</v>
      </c>
      <c r="G24" s="106">
        <v>0</v>
      </c>
    </row>
    <row r="25" spans="1:7" x14ac:dyDescent="0.2">
      <c r="A25">
        <v>1835</v>
      </c>
      <c r="B25" s="106" t="s">
        <v>2541</v>
      </c>
      <c r="C25">
        <v>0</v>
      </c>
      <c r="D25" t="s">
        <v>166</v>
      </c>
      <c r="E25" s="106" t="s">
        <v>166</v>
      </c>
      <c r="F25" s="106" t="s">
        <v>166</v>
      </c>
      <c r="G25" s="106" t="s">
        <v>166</v>
      </c>
    </row>
    <row r="26" spans="1:7" x14ac:dyDescent="0.2">
      <c r="A26">
        <v>1848</v>
      </c>
      <c r="B26" s="106" t="s">
        <v>954</v>
      </c>
      <c r="C26">
        <v>0</v>
      </c>
      <c r="D26" s="106">
        <v>0</v>
      </c>
      <c r="E26" s="106">
        <v>0</v>
      </c>
      <c r="F26" s="106">
        <v>0</v>
      </c>
      <c r="G26" s="106">
        <v>0</v>
      </c>
    </row>
    <row r="27" spans="1:7" x14ac:dyDescent="0.2">
      <c r="A27">
        <v>1860</v>
      </c>
      <c r="B27" s="106" t="s">
        <v>63</v>
      </c>
      <c r="C27">
        <v>0.05</v>
      </c>
      <c r="D27" s="106">
        <v>0</v>
      </c>
      <c r="E27">
        <v>0</v>
      </c>
      <c r="F27" s="106">
        <v>0.05</v>
      </c>
      <c r="G27">
        <v>0</v>
      </c>
    </row>
    <row r="28" spans="1:7" x14ac:dyDescent="0.2">
      <c r="A28">
        <v>1867</v>
      </c>
      <c r="B28" s="106" t="s">
        <v>2183</v>
      </c>
      <c r="C28">
        <v>0</v>
      </c>
      <c r="D28" s="106">
        <v>0.05</v>
      </c>
      <c r="E28">
        <v>0</v>
      </c>
      <c r="F28" s="106">
        <v>0.05</v>
      </c>
      <c r="G28" s="106" t="s">
        <v>166</v>
      </c>
    </row>
    <row r="29" spans="1:7" x14ac:dyDescent="0.2">
      <c r="A29">
        <v>1878</v>
      </c>
      <c r="B29" s="106" t="s">
        <v>955</v>
      </c>
      <c r="C29">
        <v>0.25</v>
      </c>
      <c r="D29">
        <v>0.25</v>
      </c>
      <c r="E29">
        <v>0.25</v>
      </c>
      <c r="F29">
        <v>0.25</v>
      </c>
      <c r="G29" s="106">
        <v>0.75</v>
      </c>
    </row>
    <row r="30" spans="1:7" x14ac:dyDescent="0.2">
      <c r="A30">
        <v>1881</v>
      </c>
      <c r="B30" s="106" t="s">
        <v>956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">
      <c r="A31">
        <v>1883</v>
      </c>
      <c r="B31" s="106" t="s">
        <v>957</v>
      </c>
      <c r="C31">
        <v>0</v>
      </c>
      <c r="D31">
        <v>0</v>
      </c>
      <c r="E31" s="106">
        <v>0</v>
      </c>
      <c r="F31">
        <v>0</v>
      </c>
      <c r="G31" s="106">
        <v>0</v>
      </c>
    </row>
    <row r="32" spans="1:7" x14ac:dyDescent="0.2">
      <c r="A32">
        <v>1884</v>
      </c>
      <c r="B32" s="106" t="s">
        <v>958</v>
      </c>
      <c r="C32">
        <v>0.15</v>
      </c>
      <c r="D32">
        <v>0.15</v>
      </c>
      <c r="E32">
        <v>0.15</v>
      </c>
      <c r="F32">
        <v>0.15</v>
      </c>
      <c r="G32" s="106">
        <v>0.45</v>
      </c>
    </row>
    <row r="33" spans="1:7" x14ac:dyDescent="0.2">
      <c r="A33">
        <v>1885</v>
      </c>
      <c r="B33" s="106" t="s">
        <v>2270</v>
      </c>
      <c r="C33">
        <v>0</v>
      </c>
      <c r="D33" s="106">
        <v>0</v>
      </c>
      <c r="E33" s="106">
        <v>0</v>
      </c>
      <c r="F33" s="106" t="s">
        <v>166</v>
      </c>
      <c r="G33" t="s">
        <v>166</v>
      </c>
    </row>
    <row r="34" spans="1:7" x14ac:dyDescent="0.2">
      <c r="A34">
        <v>1911</v>
      </c>
      <c r="B34" s="106" t="s">
        <v>57</v>
      </c>
      <c r="C34">
        <v>0</v>
      </c>
      <c r="D34" s="106">
        <v>0.05</v>
      </c>
      <c r="E34">
        <v>0</v>
      </c>
      <c r="F34" s="106" t="s">
        <v>166</v>
      </c>
      <c r="G34">
        <v>0</v>
      </c>
    </row>
    <row r="35" spans="1:7" x14ac:dyDescent="0.2">
      <c r="A35">
        <v>1921</v>
      </c>
      <c r="B35" s="106" t="s">
        <v>959</v>
      </c>
      <c r="C35">
        <v>0</v>
      </c>
      <c r="D35" s="106">
        <v>0</v>
      </c>
      <c r="E35">
        <v>0</v>
      </c>
      <c r="F35" s="106">
        <v>0</v>
      </c>
      <c r="G35" s="106">
        <v>0</v>
      </c>
    </row>
    <row r="36" spans="1:7" x14ac:dyDescent="0.2">
      <c r="A36">
        <v>1928</v>
      </c>
      <c r="B36" s="106" t="s">
        <v>230</v>
      </c>
      <c r="C36">
        <v>0.05</v>
      </c>
      <c r="D36" s="106">
        <v>0.05</v>
      </c>
      <c r="E36">
        <v>0.05</v>
      </c>
      <c r="F36" s="106">
        <v>0.05</v>
      </c>
      <c r="G36" s="106">
        <v>0.15</v>
      </c>
    </row>
    <row r="37" spans="1:7" x14ac:dyDescent="0.2">
      <c r="A37">
        <v>1930</v>
      </c>
      <c r="B37" s="106" t="s">
        <v>960</v>
      </c>
      <c r="C37">
        <v>0</v>
      </c>
      <c r="D37" s="106">
        <v>0</v>
      </c>
      <c r="E37" s="106">
        <v>0</v>
      </c>
      <c r="F37" s="106">
        <v>0</v>
      </c>
      <c r="G37">
        <v>0</v>
      </c>
    </row>
    <row r="38" spans="1:7" x14ac:dyDescent="0.2">
      <c r="A38">
        <v>1934</v>
      </c>
      <c r="B38" s="106" t="s">
        <v>2087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 x14ac:dyDescent="0.2">
      <c r="A39">
        <v>1939</v>
      </c>
      <c r="B39" s="106" t="s">
        <v>961</v>
      </c>
      <c r="C39">
        <v>0</v>
      </c>
      <c r="D39">
        <v>0</v>
      </c>
      <c r="E39" s="106">
        <v>0</v>
      </c>
      <c r="F39">
        <v>0</v>
      </c>
      <c r="G39">
        <v>0</v>
      </c>
    </row>
    <row r="40" spans="1:7" x14ac:dyDescent="0.2">
      <c r="A40">
        <v>1944</v>
      </c>
      <c r="B40" s="106" t="s">
        <v>2184</v>
      </c>
      <c r="C40">
        <v>0</v>
      </c>
      <c r="D40">
        <v>0</v>
      </c>
      <c r="E40">
        <v>0</v>
      </c>
      <c r="F40">
        <v>0</v>
      </c>
      <c r="G40" t="s">
        <v>166</v>
      </c>
    </row>
    <row r="41" spans="1:7" x14ac:dyDescent="0.2">
      <c r="A41">
        <v>1949</v>
      </c>
      <c r="B41" s="106" t="s">
        <v>962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">
      <c r="A42">
        <v>1952</v>
      </c>
      <c r="B42" s="106" t="s">
        <v>963</v>
      </c>
      <c r="C42">
        <v>0.05</v>
      </c>
      <c r="D42">
        <v>0.05</v>
      </c>
      <c r="E42" s="106">
        <v>0.05</v>
      </c>
      <c r="F42">
        <v>0.05</v>
      </c>
      <c r="G42">
        <v>0.15</v>
      </c>
    </row>
    <row r="43" spans="1:7" x14ac:dyDescent="0.2">
      <c r="A43">
        <v>1954</v>
      </c>
      <c r="B43" s="106" t="s">
        <v>964</v>
      </c>
      <c r="C43">
        <v>0.1</v>
      </c>
      <c r="D43">
        <v>0.1</v>
      </c>
      <c r="E43">
        <v>0.1</v>
      </c>
      <c r="F43">
        <v>0.1</v>
      </c>
      <c r="G43">
        <v>0.3</v>
      </c>
    </row>
    <row r="44" spans="1:7" x14ac:dyDescent="0.2">
      <c r="A44">
        <v>1961</v>
      </c>
      <c r="B44" s="106" t="s">
        <v>965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1963</v>
      </c>
      <c r="B45" s="106" t="s">
        <v>2271</v>
      </c>
      <c r="C45">
        <v>0.05</v>
      </c>
      <c r="D45">
        <v>0.05</v>
      </c>
      <c r="E45">
        <v>0.05</v>
      </c>
      <c r="F45" t="s">
        <v>166</v>
      </c>
      <c r="G45">
        <v>0.15</v>
      </c>
    </row>
    <row r="46" spans="1:7" x14ac:dyDescent="0.2">
      <c r="A46">
        <v>1964</v>
      </c>
      <c r="B46" s="106" t="s">
        <v>966</v>
      </c>
      <c r="C46">
        <v>0</v>
      </c>
      <c r="D46">
        <v>0</v>
      </c>
      <c r="E46" s="106">
        <v>0</v>
      </c>
      <c r="F46" s="106">
        <v>0</v>
      </c>
      <c r="G46">
        <v>0</v>
      </c>
    </row>
    <row r="47" spans="1:7" x14ac:dyDescent="0.2">
      <c r="A47">
        <v>1969</v>
      </c>
      <c r="B47" s="106" t="s">
        <v>967</v>
      </c>
      <c r="C47">
        <v>0</v>
      </c>
      <c r="D47">
        <v>0.05</v>
      </c>
      <c r="E47" s="106">
        <v>0.05</v>
      </c>
      <c r="F47">
        <v>0</v>
      </c>
      <c r="G47">
        <v>0</v>
      </c>
    </row>
    <row r="48" spans="1:7" x14ac:dyDescent="0.2">
      <c r="A48">
        <v>1975</v>
      </c>
      <c r="B48" s="106" t="s">
        <v>2272</v>
      </c>
      <c r="C48">
        <v>0</v>
      </c>
      <c r="D48" s="106">
        <v>0</v>
      </c>
      <c r="E48" s="106">
        <v>0</v>
      </c>
      <c r="F48" s="106" t="s">
        <v>166</v>
      </c>
      <c r="G48" t="s">
        <v>166</v>
      </c>
    </row>
    <row r="49" spans="1:7" x14ac:dyDescent="0.2">
      <c r="A49">
        <v>1976</v>
      </c>
      <c r="B49" s="106" t="s">
        <v>968</v>
      </c>
      <c r="C49">
        <v>0.05</v>
      </c>
      <c r="D49">
        <v>0.05</v>
      </c>
      <c r="E49">
        <v>0.05</v>
      </c>
      <c r="F49">
        <v>0.05</v>
      </c>
      <c r="G49">
        <v>0.15</v>
      </c>
    </row>
    <row r="50" spans="1:7" x14ac:dyDescent="0.2">
      <c r="A50">
        <v>1979</v>
      </c>
      <c r="B50" s="106" t="s">
        <v>969</v>
      </c>
      <c r="C50">
        <v>0.1</v>
      </c>
      <c r="D50" s="106">
        <v>0.1</v>
      </c>
      <c r="E50" s="106">
        <v>0.1</v>
      </c>
      <c r="F50" s="106">
        <v>0.1</v>
      </c>
      <c r="G50" s="106">
        <v>0.3</v>
      </c>
    </row>
    <row r="51" spans="1:7" x14ac:dyDescent="0.2">
      <c r="A51">
        <v>1980</v>
      </c>
      <c r="B51" s="106" t="s">
        <v>970</v>
      </c>
      <c r="C51">
        <v>0.05</v>
      </c>
      <c r="D51" s="106" t="s">
        <v>166</v>
      </c>
      <c r="E51" s="106">
        <v>0.05</v>
      </c>
      <c r="F51" s="106">
        <v>0.05</v>
      </c>
      <c r="G51" s="106">
        <v>0.15</v>
      </c>
    </row>
    <row r="52" spans="1:7" x14ac:dyDescent="0.2">
      <c r="A52">
        <v>1983</v>
      </c>
      <c r="B52" s="106" t="s">
        <v>971</v>
      </c>
      <c r="C52">
        <v>0</v>
      </c>
      <c r="D52" s="106">
        <v>0</v>
      </c>
      <c r="E52">
        <v>0.05</v>
      </c>
      <c r="F52" s="106">
        <v>0.05</v>
      </c>
      <c r="G52" s="106">
        <v>0.15</v>
      </c>
    </row>
    <row r="53" spans="1:7" x14ac:dyDescent="0.2">
      <c r="A53">
        <v>2004</v>
      </c>
      <c r="B53" s="106" t="s">
        <v>972</v>
      </c>
      <c r="C53">
        <v>0.1</v>
      </c>
      <c r="D53" s="106">
        <v>0.05</v>
      </c>
      <c r="E53" s="106">
        <v>0.1</v>
      </c>
      <c r="F53" s="106">
        <v>0.05</v>
      </c>
      <c r="G53" s="106">
        <v>0.15</v>
      </c>
    </row>
    <row r="54" spans="1:7" x14ac:dyDescent="0.2">
      <c r="A54">
        <v>2130</v>
      </c>
      <c r="B54" s="106" t="s">
        <v>973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">
      <c r="A55">
        <v>2139</v>
      </c>
      <c r="B55" s="106" t="s">
        <v>974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">
      <c r="A56">
        <v>2146</v>
      </c>
      <c r="B56" s="106" t="s">
        <v>975</v>
      </c>
      <c r="C56">
        <v>0.1</v>
      </c>
      <c r="D56" s="106">
        <v>0.1</v>
      </c>
      <c r="E56" s="106">
        <v>0.05</v>
      </c>
      <c r="F56" s="106">
        <v>0</v>
      </c>
      <c r="G56">
        <v>0</v>
      </c>
    </row>
    <row r="57" spans="1:7" x14ac:dyDescent="0.2">
      <c r="A57">
        <v>2168</v>
      </c>
      <c r="B57" s="106" t="s">
        <v>2542</v>
      </c>
      <c r="C57">
        <v>0</v>
      </c>
      <c r="D57" t="s">
        <v>166</v>
      </c>
      <c r="E57" t="s">
        <v>166</v>
      </c>
      <c r="F57" s="106" t="s">
        <v>166</v>
      </c>
      <c r="G57" t="s">
        <v>166</v>
      </c>
    </row>
    <row r="58" spans="1:7" x14ac:dyDescent="0.2">
      <c r="A58">
        <v>2169</v>
      </c>
      <c r="B58" s="106" t="s">
        <v>2543</v>
      </c>
      <c r="C58">
        <v>0</v>
      </c>
      <c r="D58">
        <v>0</v>
      </c>
      <c r="E58" t="s">
        <v>166</v>
      </c>
      <c r="F58" s="106">
        <v>0</v>
      </c>
      <c r="G58">
        <v>0</v>
      </c>
    </row>
    <row r="59" spans="1:7" x14ac:dyDescent="0.2">
      <c r="A59">
        <v>2170</v>
      </c>
      <c r="B59" s="106" t="s">
        <v>976</v>
      </c>
      <c r="C59">
        <v>0.05</v>
      </c>
      <c r="D59">
        <v>0.05</v>
      </c>
      <c r="E59">
        <v>0</v>
      </c>
      <c r="F59">
        <v>0.05</v>
      </c>
      <c r="G59">
        <v>0</v>
      </c>
    </row>
    <row r="60" spans="1:7" x14ac:dyDescent="0.2">
      <c r="A60">
        <v>2175</v>
      </c>
      <c r="B60" s="106" t="s">
        <v>248</v>
      </c>
      <c r="C60">
        <v>0.05</v>
      </c>
      <c r="D60">
        <v>0.05</v>
      </c>
      <c r="E60">
        <v>0.05</v>
      </c>
      <c r="F60" s="106">
        <v>0.05</v>
      </c>
      <c r="G60" s="106">
        <v>0.15</v>
      </c>
    </row>
    <row r="61" spans="1:7" x14ac:dyDescent="0.2">
      <c r="A61">
        <v>2193</v>
      </c>
      <c r="B61" s="106" t="s">
        <v>977</v>
      </c>
      <c r="C61">
        <v>0.05</v>
      </c>
      <c r="D61">
        <v>0</v>
      </c>
      <c r="E61">
        <v>0.05</v>
      </c>
      <c r="F61" s="106">
        <v>0</v>
      </c>
      <c r="G61" s="106">
        <v>0</v>
      </c>
    </row>
    <row r="62" spans="1:7" x14ac:dyDescent="0.2">
      <c r="A62">
        <v>2198</v>
      </c>
      <c r="B62" s="106" t="s">
        <v>978</v>
      </c>
      <c r="C62">
        <v>0.05</v>
      </c>
      <c r="D62" s="106">
        <v>0.05</v>
      </c>
      <c r="E62">
        <v>0</v>
      </c>
      <c r="F62" s="106">
        <v>0</v>
      </c>
      <c r="G62">
        <v>0</v>
      </c>
    </row>
    <row r="63" spans="1:7" x14ac:dyDescent="0.2">
      <c r="A63">
        <v>2201</v>
      </c>
      <c r="B63" s="106" t="s">
        <v>979</v>
      </c>
      <c r="C63">
        <v>0.1</v>
      </c>
      <c r="D63">
        <v>0.1</v>
      </c>
      <c r="E63">
        <v>0.1</v>
      </c>
      <c r="F63">
        <v>0.1</v>
      </c>
      <c r="G63">
        <v>0.3</v>
      </c>
    </row>
    <row r="64" spans="1:7" x14ac:dyDescent="0.2">
      <c r="A64">
        <v>2204</v>
      </c>
      <c r="B64" s="106" t="s">
        <v>980</v>
      </c>
      <c r="C64">
        <v>0.1</v>
      </c>
      <c r="D64">
        <v>0.1</v>
      </c>
      <c r="E64">
        <v>0.1</v>
      </c>
      <c r="F64">
        <v>0.1</v>
      </c>
      <c r="G64">
        <v>0.3</v>
      </c>
    </row>
    <row r="65" spans="1:7" x14ac:dyDescent="0.2">
      <c r="A65">
        <v>2206</v>
      </c>
      <c r="B65" s="106" t="s">
        <v>981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">
      <c r="A66">
        <v>2211</v>
      </c>
      <c r="B66" s="106" t="s">
        <v>2273</v>
      </c>
      <c r="C66">
        <v>0.05</v>
      </c>
      <c r="D66" s="106">
        <v>0.05</v>
      </c>
      <c r="E66">
        <v>0.05</v>
      </c>
      <c r="F66" s="106" t="s">
        <v>166</v>
      </c>
      <c r="G66">
        <v>0.15</v>
      </c>
    </row>
    <row r="67" spans="1:7" x14ac:dyDescent="0.2">
      <c r="A67">
        <v>2212</v>
      </c>
      <c r="B67" s="106" t="s">
        <v>982</v>
      </c>
      <c r="C67">
        <v>0.05</v>
      </c>
      <c r="D67" s="106">
        <v>0.05</v>
      </c>
      <c r="E67">
        <v>0.05</v>
      </c>
      <c r="F67" s="106">
        <v>0.05</v>
      </c>
      <c r="G67">
        <v>0.15</v>
      </c>
    </row>
    <row r="68" spans="1:7" x14ac:dyDescent="0.2">
      <c r="A68">
        <v>2215</v>
      </c>
      <c r="B68" s="106" t="s">
        <v>983</v>
      </c>
      <c r="C68">
        <v>0.05</v>
      </c>
      <c r="D68">
        <v>0.05</v>
      </c>
      <c r="E68">
        <v>0.05</v>
      </c>
      <c r="F68">
        <v>0.05</v>
      </c>
      <c r="G68">
        <v>0.15</v>
      </c>
    </row>
    <row r="69" spans="1:7" x14ac:dyDescent="0.2">
      <c r="A69">
        <v>2217</v>
      </c>
      <c r="B69" s="106" t="s">
        <v>984</v>
      </c>
      <c r="C69">
        <v>0.1</v>
      </c>
      <c r="D69">
        <v>0.1</v>
      </c>
      <c r="E69">
        <v>0.1</v>
      </c>
      <c r="F69">
        <v>0.1</v>
      </c>
      <c r="G69">
        <v>0.3</v>
      </c>
    </row>
    <row r="70" spans="1:7" x14ac:dyDescent="0.2">
      <c r="A70">
        <v>2222</v>
      </c>
      <c r="B70" s="106" t="s">
        <v>985</v>
      </c>
      <c r="C70">
        <v>0.15</v>
      </c>
      <c r="D70">
        <v>0.15</v>
      </c>
      <c r="E70">
        <v>0.15</v>
      </c>
      <c r="F70" s="106">
        <v>0.15</v>
      </c>
      <c r="G70" s="106">
        <v>0.45</v>
      </c>
    </row>
    <row r="71" spans="1:7" x14ac:dyDescent="0.2">
      <c r="A71">
        <v>2229</v>
      </c>
      <c r="B71" s="106" t="s">
        <v>986</v>
      </c>
      <c r="C71">
        <v>0.1</v>
      </c>
      <c r="D71" s="106">
        <v>0.1</v>
      </c>
      <c r="E71">
        <v>0.1</v>
      </c>
      <c r="F71" s="106">
        <v>0.1</v>
      </c>
      <c r="G71" s="106">
        <v>0.3</v>
      </c>
    </row>
    <row r="72" spans="1:7" x14ac:dyDescent="0.2">
      <c r="A72">
        <v>2266</v>
      </c>
      <c r="B72" s="106" t="s">
        <v>987</v>
      </c>
      <c r="C72">
        <v>0.05</v>
      </c>
      <c r="D72">
        <v>0.05</v>
      </c>
      <c r="E72">
        <v>0.05</v>
      </c>
      <c r="F72" s="106">
        <v>0.05</v>
      </c>
      <c r="G72">
        <v>0.15</v>
      </c>
    </row>
    <row r="73" spans="1:7" x14ac:dyDescent="0.2">
      <c r="A73">
        <v>2281</v>
      </c>
      <c r="B73" s="106" t="s">
        <v>2544</v>
      </c>
      <c r="C73">
        <v>0.05</v>
      </c>
      <c r="D73" t="s">
        <v>166</v>
      </c>
      <c r="E73" s="106" t="s">
        <v>166</v>
      </c>
      <c r="F73" s="106">
        <v>0.05</v>
      </c>
      <c r="G73" t="s">
        <v>166</v>
      </c>
    </row>
    <row r="74" spans="1:7" x14ac:dyDescent="0.2">
      <c r="A74">
        <v>2282</v>
      </c>
      <c r="B74" s="106" t="s">
        <v>988</v>
      </c>
      <c r="C74">
        <v>0.1</v>
      </c>
      <c r="D74" s="106">
        <v>0.1</v>
      </c>
      <c r="E74" s="106">
        <v>0.1</v>
      </c>
      <c r="F74" s="106">
        <v>0.1</v>
      </c>
      <c r="G74">
        <v>0.3</v>
      </c>
    </row>
    <row r="75" spans="1:7" x14ac:dyDescent="0.2">
      <c r="A75">
        <v>2288</v>
      </c>
      <c r="B75" s="106" t="s">
        <v>2274</v>
      </c>
      <c r="C75">
        <v>0.05</v>
      </c>
      <c r="D75" s="106" t="s">
        <v>166</v>
      </c>
      <c r="E75" s="106">
        <v>0.05</v>
      </c>
      <c r="F75" s="106" t="s">
        <v>166</v>
      </c>
      <c r="G75">
        <v>0.15</v>
      </c>
    </row>
    <row r="76" spans="1:7" x14ac:dyDescent="0.2">
      <c r="A76">
        <v>2294</v>
      </c>
      <c r="B76" s="106" t="s">
        <v>989</v>
      </c>
      <c r="C76">
        <v>0.1</v>
      </c>
      <c r="D76" s="106">
        <v>0.1</v>
      </c>
      <c r="E76" s="106">
        <v>0.05</v>
      </c>
      <c r="F76" s="106">
        <v>0.05</v>
      </c>
      <c r="G76" s="106">
        <v>0.15</v>
      </c>
    </row>
    <row r="77" spans="1:7" x14ac:dyDescent="0.2">
      <c r="A77">
        <v>2301</v>
      </c>
      <c r="B77" s="106" t="s">
        <v>990</v>
      </c>
      <c r="C77">
        <v>0.05</v>
      </c>
      <c r="D77" s="106">
        <v>0.05</v>
      </c>
      <c r="E77">
        <v>0.05</v>
      </c>
      <c r="F77" s="106">
        <v>0.05</v>
      </c>
      <c r="G77">
        <v>0.15</v>
      </c>
    </row>
    <row r="78" spans="1:7" x14ac:dyDescent="0.2">
      <c r="A78">
        <v>2305</v>
      </c>
      <c r="B78" s="106" t="s">
        <v>991</v>
      </c>
      <c r="C78">
        <v>0.05</v>
      </c>
      <c r="D78" s="106">
        <v>0.05</v>
      </c>
      <c r="E78">
        <v>0.05</v>
      </c>
      <c r="F78" s="106">
        <v>0.05</v>
      </c>
      <c r="G78">
        <v>0.15</v>
      </c>
    </row>
    <row r="79" spans="1:7" x14ac:dyDescent="0.2">
      <c r="A79">
        <v>2325</v>
      </c>
      <c r="B79" s="106" t="s">
        <v>2275</v>
      </c>
      <c r="C79">
        <v>0</v>
      </c>
      <c r="D79">
        <v>0</v>
      </c>
      <c r="E79">
        <v>0</v>
      </c>
      <c r="F79" t="s">
        <v>166</v>
      </c>
      <c r="G79" t="s">
        <v>166</v>
      </c>
    </row>
    <row r="80" spans="1:7" x14ac:dyDescent="0.2">
      <c r="A80">
        <v>2337</v>
      </c>
      <c r="B80" s="106" t="s">
        <v>992</v>
      </c>
      <c r="C80">
        <v>0.05</v>
      </c>
      <c r="D80">
        <v>0.05</v>
      </c>
      <c r="E80">
        <v>0.05</v>
      </c>
      <c r="F80">
        <v>0.05</v>
      </c>
      <c r="G80">
        <v>0.15</v>
      </c>
    </row>
    <row r="81" spans="1:7" x14ac:dyDescent="0.2">
      <c r="A81">
        <v>2371</v>
      </c>
      <c r="B81" s="106" t="s">
        <v>993</v>
      </c>
      <c r="C81">
        <v>0.05</v>
      </c>
      <c r="D81">
        <v>0.05</v>
      </c>
      <c r="E81">
        <v>0.05</v>
      </c>
      <c r="F81">
        <v>0.05</v>
      </c>
      <c r="G81">
        <v>0.15</v>
      </c>
    </row>
    <row r="82" spans="1:7" x14ac:dyDescent="0.2">
      <c r="A82">
        <v>2379</v>
      </c>
      <c r="B82" s="106" t="s">
        <v>757</v>
      </c>
      <c r="C82">
        <v>0.1</v>
      </c>
      <c r="D82" s="106">
        <v>0.1</v>
      </c>
      <c r="E82" s="106">
        <v>0.1</v>
      </c>
      <c r="F82" s="106">
        <v>0.1</v>
      </c>
      <c r="G82" s="106">
        <v>0.3</v>
      </c>
    </row>
    <row r="83" spans="1:7" x14ac:dyDescent="0.2">
      <c r="A83">
        <v>2384</v>
      </c>
      <c r="B83" s="106" t="s">
        <v>994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2389</v>
      </c>
      <c r="B84" s="106" t="s">
        <v>2276</v>
      </c>
      <c r="C84">
        <v>0</v>
      </c>
      <c r="D84" s="106">
        <v>0</v>
      </c>
      <c r="E84">
        <v>0</v>
      </c>
      <c r="F84" s="106" t="s">
        <v>166</v>
      </c>
      <c r="G84">
        <v>0</v>
      </c>
    </row>
    <row r="85" spans="1:7" x14ac:dyDescent="0.2">
      <c r="A85">
        <v>2398</v>
      </c>
      <c r="B85" s="106" t="s">
        <v>2088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">
      <c r="A86">
        <v>2410</v>
      </c>
      <c r="B86" s="106" t="s">
        <v>2277</v>
      </c>
      <c r="C86">
        <v>0</v>
      </c>
      <c r="D86" t="s">
        <v>166</v>
      </c>
      <c r="E86">
        <v>0</v>
      </c>
      <c r="F86" t="s">
        <v>166</v>
      </c>
      <c r="G86" s="106">
        <v>0</v>
      </c>
    </row>
    <row r="87" spans="1:7" x14ac:dyDescent="0.2">
      <c r="A87">
        <v>2413</v>
      </c>
      <c r="B87" s="106" t="s">
        <v>891</v>
      </c>
      <c r="C87">
        <v>0.1</v>
      </c>
      <c r="D87" s="106">
        <v>0.1</v>
      </c>
      <c r="E87">
        <v>0.1</v>
      </c>
      <c r="F87" s="106">
        <v>0.1</v>
      </c>
      <c r="G87">
        <v>0.3</v>
      </c>
    </row>
    <row r="88" spans="1:7" x14ac:dyDescent="0.2">
      <c r="A88">
        <v>2418</v>
      </c>
      <c r="B88" s="106" t="s">
        <v>2278</v>
      </c>
      <c r="C88">
        <v>0</v>
      </c>
      <c r="D88" s="106" t="s">
        <v>166</v>
      </c>
      <c r="E88">
        <v>0</v>
      </c>
      <c r="F88" s="106" t="s">
        <v>166</v>
      </c>
      <c r="G88" t="s">
        <v>166</v>
      </c>
    </row>
    <row r="89" spans="1:7" x14ac:dyDescent="0.2">
      <c r="A89">
        <v>2427</v>
      </c>
      <c r="B89" s="106" t="s">
        <v>2089</v>
      </c>
      <c r="C89">
        <v>0</v>
      </c>
      <c r="D89" s="106">
        <v>0</v>
      </c>
      <c r="E89">
        <v>0</v>
      </c>
      <c r="F89" s="106">
        <v>0</v>
      </c>
      <c r="G89">
        <v>0</v>
      </c>
    </row>
    <row r="90" spans="1:7" x14ac:dyDescent="0.2">
      <c r="A90">
        <v>2428</v>
      </c>
      <c r="B90" s="106" t="s">
        <v>995</v>
      </c>
      <c r="C90">
        <v>0.05</v>
      </c>
      <c r="D90">
        <v>0</v>
      </c>
      <c r="E90">
        <v>0.05</v>
      </c>
      <c r="F90">
        <v>0.05</v>
      </c>
      <c r="G90">
        <v>0</v>
      </c>
    </row>
    <row r="91" spans="1:7" x14ac:dyDescent="0.2">
      <c r="A91">
        <v>2433</v>
      </c>
      <c r="B91" s="106" t="s">
        <v>996</v>
      </c>
      <c r="C91">
        <v>0.05</v>
      </c>
      <c r="D91">
        <v>0.05</v>
      </c>
      <c r="E91">
        <v>0.05</v>
      </c>
      <c r="F91">
        <v>0.05</v>
      </c>
      <c r="G91">
        <v>0.15</v>
      </c>
    </row>
    <row r="92" spans="1:7" x14ac:dyDescent="0.2">
      <c r="A92">
        <v>2440</v>
      </c>
      <c r="B92" s="106" t="s">
        <v>997</v>
      </c>
      <c r="C92">
        <v>0.05</v>
      </c>
      <c r="D92">
        <v>0.05</v>
      </c>
      <c r="E92">
        <v>0.05</v>
      </c>
      <c r="F92">
        <v>0.05</v>
      </c>
      <c r="G92">
        <v>0.15</v>
      </c>
    </row>
    <row r="93" spans="1:7" x14ac:dyDescent="0.2">
      <c r="A93">
        <v>2462</v>
      </c>
      <c r="B93" s="106" t="s">
        <v>998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">
      <c r="A94">
        <v>2471</v>
      </c>
      <c r="B94" s="106" t="s">
        <v>999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">
      <c r="A95">
        <v>2475</v>
      </c>
      <c r="B95" s="106" t="s">
        <v>2545</v>
      </c>
      <c r="C95">
        <v>0</v>
      </c>
      <c r="D95" s="106" t="s">
        <v>166</v>
      </c>
      <c r="E95" s="106" t="s">
        <v>166</v>
      </c>
      <c r="F95" t="s">
        <v>166</v>
      </c>
      <c r="G95" t="s">
        <v>166</v>
      </c>
    </row>
    <row r="96" spans="1:7" x14ac:dyDescent="0.2">
      <c r="A96">
        <v>2487</v>
      </c>
      <c r="B96" s="106" t="s">
        <v>1000</v>
      </c>
      <c r="C96">
        <v>0.05</v>
      </c>
      <c r="D96">
        <v>0.05</v>
      </c>
      <c r="E96">
        <v>0.05</v>
      </c>
      <c r="F96">
        <v>0.05</v>
      </c>
      <c r="G96">
        <v>0.15</v>
      </c>
    </row>
    <row r="97" spans="1:7" x14ac:dyDescent="0.2">
      <c r="A97">
        <v>2492</v>
      </c>
      <c r="B97" s="106" t="s">
        <v>1001</v>
      </c>
      <c r="C97">
        <v>0.05</v>
      </c>
      <c r="D97">
        <v>0.05</v>
      </c>
      <c r="E97">
        <v>0.05</v>
      </c>
      <c r="F97">
        <v>0.05</v>
      </c>
      <c r="G97">
        <v>0.15</v>
      </c>
    </row>
    <row r="98" spans="1:7" x14ac:dyDescent="0.2">
      <c r="A98">
        <v>2501</v>
      </c>
      <c r="B98" s="106" t="s">
        <v>1002</v>
      </c>
      <c r="C98">
        <v>0.05</v>
      </c>
      <c r="D98">
        <v>0.05</v>
      </c>
      <c r="E98">
        <v>0.05</v>
      </c>
      <c r="F98">
        <v>0.05</v>
      </c>
      <c r="G98">
        <v>0.15</v>
      </c>
    </row>
    <row r="99" spans="1:7" x14ac:dyDescent="0.2">
      <c r="A99">
        <v>2590</v>
      </c>
      <c r="B99" s="106" t="s">
        <v>2546</v>
      </c>
      <c r="C99">
        <v>0</v>
      </c>
      <c r="D99" t="s">
        <v>166</v>
      </c>
      <c r="E99" t="s">
        <v>166</v>
      </c>
      <c r="F99" t="s">
        <v>166</v>
      </c>
      <c r="G99">
        <v>0</v>
      </c>
    </row>
    <row r="100" spans="1:7" x14ac:dyDescent="0.2">
      <c r="A100">
        <v>2593</v>
      </c>
      <c r="B100" s="106" t="s">
        <v>1003</v>
      </c>
      <c r="C100">
        <v>0.1</v>
      </c>
      <c r="D100">
        <v>0.1</v>
      </c>
      <c r="E100">
        <v>0.1</v>
      </c>
      <c r="F100">
        <v>0.1</v>
      </c>
      <c r="G100">
        <v>0.3</v>
      </c>
    </row>
    <row r="101" spans="1:7" x14ac:dyDescent="0.2">
      <c r="A101">
        <v>2594</v>
      </c>
      <c r="B101" s="106" t="s">
        <v>1004</v>
      </c>
      <c r="C101">
        <v>0.05</v>
      </c>
      <c r="D101">
        <v>0.05</v>
      </c>
      <c r="E101">
        <v>0.05</v>
      </c>
      <c r="F101">
        <v>0.05</v>
      </c>
      <c r="G101">
        <v>0.15</v>
      </c>
    </row>
    <row r="102" spans="1:7" x14ac:dyDescent="0.2">
      <c r="A102">
        <v>2599</v>
      </c>
      <c r="B102" s="106" t="s">
        <v>1005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">
      <c r="A103">
        <v>2602</v>
      </c>
      <c r="B103" s="106" t="s">
        <v>924</v>
      </c>
      <c r="C103">
        <v>0.1</v>
      </c>
      <c r="D103">
        <v>0.1</v>
      </c>
      <c r="E103">
        <v>0.1</v>
      </c>
      <c r="F103">
        <v>0.1</v>
      </c>
      <c r="G103">
        <v>0.3</v>
      </c>
    </row>
    <row r="104" spans="1:7" x14ac:dyDescent="0.2">
      <c r="A104">
        <v>2651</v>
      </c>
      <c r="B104" s="106" t="s">
        <v>1006</v>
      </c>
      <c r="C104">
        <v>0.15</v>
      </c>
      <c r="D104">
        <v>0.15</v>
      </c>
      <c r="E104">
        <v>0.15</v>
      </c>
      <c r="F104">
        <v>0.15</v>
      </c>
      <c r="G104">
        <v>0.45</v>
      </c>
    </row>
    <row r="105" spans="1:7" x14ac:dyDescent="0.2">
      <c r="A105">
        <v>2659</v>
      </c>
      <c r="B105" s="106" t="s">
        <v>1007</v>
      </c>
      <c r="C105">
        <v>0.1</v>
      </c>
      <c r="D105">
        <v>0.1</v>
      </c>
      <c r="E105" s="106">
        <v>0.1</v>
      </c>
      <c r="F105" s="106">
        <v>0.1</v>
      </c>
      <c r="G105" s="106">
        <v>0.3</v>
      </c>
    </row>
    <row r="106" spans="1:7" x14ac:dyDescent="0.2">
      <c r="A106">
        <v>2664</v>
      </c>
      <c r="B106" s="106" t="s">
        <v>1008</v>
      </c>
      <c r="C106">
        <v>0</v>
      </c>
      <c r="D106">
        <v>0.05</v>
      </c>
      <c r="E106">
        <v>0</v>
      </c>
      <c r="F106">
        <v>0</v>
      </c>
      <c r="G106">
        <v>0</v>
      </c>
    </row>
    <row r="107" spans="1:7" x14ac:dyDescent="0.2">
      <c r="A107">
        <v>2670</v>
      </c>
      <c r="B107" s="106" t="s">
        <v>1009</v>
      </c>
      <c r="C107">
        <v>0.15</v>
      </c>
      <c r="D107">
        <v>0.15</v>
      </c>
      <c r="E107">
        <v>0.15</v>
      </c>
      <c r="F107">
        <v>0.15</v>
      </c>
      <c r="G107">
        <v>0.45</v>
      </c>
    </row>
    <row r="108" spans="1:7" x14ac:dyDescent="0.2">
      <c r="A108">
        <v>2674</v>
      </c>
      <c r="B108" s="106" t="s">
        <v>2279</v>
      </c>
      <c r="C108">
        <v>0</v>
      </c>
      <c r="D108">
        <v>0</v>
      </c>
      <c r="E108">
        <v>0</v>
      </c>
      <c r="F108" t="s">
        <v>166</v>
      </c>
      <c r="G108" t="s">
        <v>166</v>
      </c>
    </row>
    <row r="109" spans="1:7" x14ac:dyDescent="0.2">
      <c r="A109">
        <v>2678</v>
      </c>
      <c r="B109" s="106" t="s">
        <v>1010</v>
      </c>
      <c r="C109">
        <v>0.1</v>
      </c>
      <c r="D109">
        <v>0.1</v>
      </c>
      <c r="E109">
        <v>0.1</v>
      </c>
      <c r="F109">
        <v>0.05</v>
      </c>
      <c r="G109">
        <v>0.15</v>
      </c>
    </row>
    <row r="110" spans="1:7" x14ac:dyDescent="0.2">
      <c r="A110">
        <v>2681</v>
      </c>
      <c r="B110" s="106" t="s">
        <v>2280</v>
      </c>
      <c r="C110">
        <v>0</v>
      </c>
      <c r="D110" s="106" t="s">
        <v>166</v>
      </c>
      <c r="E110" s="106">
        <v>0</v>
      </c>
      <c r="F110" t="s">
        <v>166</v>
      </c>
      <c r="G110" t="s">
        <v>166</v>
      </c>
    </row>
    <row r="111" spans="1:7" x14ac:dyDescent="0.2">
      <c r="A111">
        <v>2685</v>
      </c>
      <c r="B111" s="106" t="s">
        <v>1011</v>
      </c>
      <c r="C111">
        <v>0</v>
      </c>
      <c r="D111" s="106">
        <v>0</v>
      </c>
      <c r="E111" s="106">
        <v>0</v>
      </c>
      <c r="F111">
        <v>0.05</v>
      </c>
      <c r="G111">
        <v>0</v>
      </c>
    </row>
    <row r="112" spans="1:7" x14ac:dyDescent="0.2">
      <c r="A112">
        <v>2687</v>
      </c>
      <c r="B112" s="106" t="s">
        <v>1012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">
      <c r="A113">
        <v>2692</v>
      </c>
      <c r="B113" s="106" t="s">
        <v>1013</v>
      </c>
      <c r="C113">
        <v>0.1</v>
      </c>
      <c r="D113">
        <v>0.1</v>
      </c>
      <c r="E113">
        <v>0.1</v>
      </c>
      <c r="F113">
        <v>0.1</v>
      </c>
      <c r="G113">
        <v>0.3</v>
      </c>
    </row>
    <row r="114" spans="1:7" x14ac:dyDescent="0.2">
      <c r="A114">
        <v>2695</v>
      </c>
      <c r="B114" s="106" t="s">
        <v>1014</v>
      </c>
      <c r="C114">
        <v>0.1</v>
      </c>
      <c r="D114">
        <v>0</v>
      </c>
      <c r="E114">
        <v>0</v>
      </c>
      <c r="F114">
        <v>0</v>
      </c>
      <c r="G114" s="106">
        <v>0</v>
      </c>
    </row>
    <row r="115" spans="1:7" x14ac:dyDescent="0.2">
      <c r="A115">
        <v>2698</v>
      </c>
      <c r="B115" s="106" t="s">
        <v>1015</v>
      </c>
      <c r="C115">
        <v>0.05</v>
      </c>
      <c r="D115">
        <v>0.05</v>
      </c>
      <c r="E115">
        <v>0.05</v>
      </c>
      <c r="F115" s="106">
        <v>0.05</v>
      </c>
      <c r="G115" s="106">
        <v>0.15</v>
      </c>
    </row>
    <row r="116" spans="1:7" x14ac:dyDescent="0.2">
      <c r="A116">
        <v>2715</v>
      </c>
      <c r="B116" s="106" t="s">
        <v>2185</v>
      </c>
      <c r="C116">
        <v>0.05</v>
      </c>
      <c r="D116">
        <v>0.05</v>
      </c>
      <c r="E116" s="106">
        <v>0.05</v>
      </c>
      <c r="F116" s="106">
        <v>0</v>
      </c>
      <c r="G116" s="106" t="s">
        <v>166</v>
      </c>
    </row>
    <row r="117" spans="1:7" x14ac:dyDescent="0.2">
      <c r="A117">
        <v>2730</v>
      </c>
      <c r="B117" s="106" t="s">
        <v>1016</v>
      </c>
      <c r="C117">
        <v>0.05</v>
      </c>
      <c r="D117">
        <v>0.05</v>
      </c>
      <c r="E117">
        <v>0.05</v>
      </c>
      <c r="F117">
        <v>0.05</v>
      </c>
      <c r="G117">
        <v>0.15</v>
      </c>
    </row>
    <row r="118" spans="1:7" x14ac:dyDescent="0.2">
      <c r="A118">
        <v>2733</v>
      </c>
      <c r="B118" s="106" t="s">
        <v>2090</v>
      </c>
      <c r="C118">
        <v>0.1</v>
      </c>
      <c r="D118">
        <v>0</v>
      </c>
      <c r="E118">
        <v>0.05</v>
      </c>
      <c r="F118">
        <v>0</v>
      </c>
      <c r="G118">
        <v>0.3</v>
      </c>
    </row>
    <row r="119" spans="1:7" x14ac:dyDescent="0.2">
      <c r="A119">
        <v>2749</v>
      </c>
      <c r="B119" s="106" t="s">
        <v>2091</v>
      </c>
      <c r="C119">
        <v>0</v>
      </c>
      <c r="D119">
        <v>0</v>
      </c>
      <c r="E119" s="106">
        <v>0</v>
      </c>
      <c r="F119">
        <v>0</v>
      </c>
      <c r="G119">
        <v>0</v>
      </c>
    </row>
    <row r="120" spans="1:7" x14ac:dyDescent="0.2">
      <c r="A120">
        <v>2784</v>
      </c>
      <c r="B120" s="106" t="s">
        <v>2092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">
      <c r="A121">
        <v>2792</v>
      </c>
      <c r="B121" s="106" t="s">
        <v>1017</v>
      </c>
      <c r="C121">
        <v>0.05</v>
      </c>
      <c r="D121">
        <v>0.05</v>
      </c>
      <c r="E121">
        <v>0.05</v>
      </c>
      <c r="F121">
        <v>0.05</v>
      </c>
      <c r="G121" s="106">
        <v>0.15</v>
      </c>
    </row>
    <row r="122" spans="1:7" x14ac:dyDescent="0.2">
      <c r="A122">
        <v>2796</v>
      </c>
      <c r="B122" s="106" t="s">
        <v>2186</v>
      </c>
      <c r="C122">
        <v>0.05</v>
      </c>
      <c r="D122">
        <v>0.05</v>
      </c>
      <c r="E122">
        <v>0.05</v>
      </c>
      <c r="F122">
        <v>0.05</v>
      </c>
      <c r="G122" t="s">
        <v>166</v>
      </c>
    </row>
    <row r="123" spans="1:7" x14ac:dyDescent="0.2">
      <c r="A123">
        <v>2801</v>
      </c>
      <c r="B123" s="106" t="s">
        <v>1018</v>
      </c>
      <c r="C123">
        <v>0.1</v>
      </c>
      <c r="D123">
        <v>0</v>
      </c>
      <c r="E123">
        <v>0</v>
      </c>
      <c r="F123">
        <v>0.1</v>
      </c>
      <c r="G123">
        <v>0.3</v>
      </c>
    </row>
    <row r="124" spans="1:7" x14ac:dyDescent="0.2">
      <c r="A124">
        <v>2815</v>
      </c>
      <c r="B124" s="106" t="s">
        <v>1019</v>
      </c>
      <c r="C124">
        <v>0.15</v>
      </c>
      <c r="D124">
        <v>0.15</v>
      </c>
      <c r="E124">
        <v>0</v>
      </c>
      <c r="F124">
        <v>0</v>
      </c>
      <c r="G124">
        <v>0</v>
      </c>
    </row>
    <row r="125" spans="1:7" x14ac:dyDescent="0.2">
      <c r="A125">
        <v>2819</v>
      </c>
      <c r="B125" s="106" t="s">
        <v>1020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">
      <c r="A126">
        <v>2875</v>
      </c>
      <c r="B126" s="106" t="s">
        <v>1021</v>
      </c>
      <c r="C126">
        <v>0.1</v>
      </c>
      <c r="D126">
        <v>0.1</v>
      </c>
      <c r="E126">
        <v>0.1</v>
      </c>
      <c r="F126">
        <v>0.1</v>
      </c>
      <c r="G126">
        <v>0.3</v>
      </c>
    </row>
    <row r="127" spans="1:7" x14ac:dyDescent="0.2">
      <c r="A127">
        <v>2882</v>
      </c>
      <c r="B127" s="106" t="s">
        <v>1022</v>
      </c>
      <c r="C127">
        <v>0.05</v>
      </c>
      <c r="D127">
        <v>0.05</v>
      </c>
      <c r="E127">
        <v>0.05</v>
      </c>
      <c r="F127">
        <v>0.05</v>
      </c>
      <c r="G127">
        <v>0.15</v>
      </c>
    </row>
    <row r="128" spans="1:7" x14ac:dyDescent="0.2">
      <c r="A128">
        <v>2884</v>
      </c>
      <c r="B128" s="106" t="s">
        <v>1023</v>
      </c>
      <c r="C128">
        <v>0.05</v>
      </c>
      <c r="D128">
        <v>0.05</v>
      </c>
      <c r="E128">
        <v>0</v>
      </c>
      <c r="F128">
        <v>0</v>
      </c>
      <c r="G128">
        <v>0</v>
      </c>
    </row>
    <row r="129" spans="1:7" x14ac:dyDescent="0.2">
      <c r="A129">
        <v>2897</v>
      </c>
      <c r="B129" s="106" t="s">
        <v>1024</v>
      </c>
      <c r="C129">
        <v>0.15</v>
      </c>
      <c r="D129" s="106">
        <v>0.15</v>
      </c>
      <c r="E129">
        <v>0.15</v>
      </c>
      <c r="F129" s="106">
        <v>0.15</v>
      </c>
      <c r="G129">
        <v>0.45</v>
      </c>
    </row>
    <row r="130" spans="1:7" x14ac:dyDescent="0.2">
      <c r="A130">
        <v>2904</v>
      </c>
      <c r="B130" s="106" t="s">
        <v>1025</v>
      </c>
      <c r="C130">
        <v>0</v>
      </c>
      <c r="D130">
        <v>0</v>
      </c>
      <c r="E130">
        <v>0.05</v>
      </c>
      <c r="F130">
        <v>0.05</v>
      </c>
      <c r="G130">
        <v>0.15</v>
      </c>
    </row>
    <row r="131" spans="1:7" x14ac:dyDescent="0.2">
      <c r="A131">
        <v>2908</v>
      </c>
      <c r="B131" s="106" t="s">
        <v>1026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2910</v>
      </c>
      <c r="B132" s="106" t="s">
        <v>1027</v>
      </c>
      <c r="C132">
        <v>0.05</v>
      </c>
      <c r="D132" s="106">
        <v>0.05</v>
      </c>
      <c r="E132">
        <v>0.05</v>
      </c>
      <c r="F132" s="106">
        <v>0.05</v>
      </c>
      <c r="G132" s="106">
        <v>0.15</v>
      </c>
    </row>
    <row r="133" spans="1:7" x14ac:dyDescent="0.2">
      <c r="A133">
        <v>2914</v>
      </c>
      <c r="B133" s="106" t="s">
        <v>54</v>
      </c>
      <c r="C133">
        <v>0</v>
      </c>
      <c r="D133" t="s">
        <v>166</v>
      </c>
      <c r="E133">
        <v>0</v>
      </c>
      <c r="F133" t="s">
        <v>166</v>
      </c>
      <c r="G133">
        <v>0</v>
      </c>
    </row>
    <row r="134" spans="1:7" x14ac:dyDescent="0.2">
      <c r="A134">
        <v>2915</v>
      </c>
      <c r="B134" s="106" t="s">
        <v>1028</v>
      </c>
      <c r="C134">
        <v>0.05</v>
      </c>
      <c r="D134">
        <v>0.05</v>
      </c>
      <c r="E134">
        <v>0.05</v>
      </c>
      <c r="F134">
        <v>0.05</v>
      </c>
      <c r="G134">
        <v>0.15</v>
      </c>
    </row>
    <row r="135" spans="1:7" x14ac:dyDescent="0.2">
      <c r="A135">
        <v>2922</v>
      </c>
      <c r="B135" s="106" t="s">
        <v>1029</v>
      </c>
      <c r="C135">
        <v>0.05</v>
      </c>
      <c r="D135" s="106">
        <v>0.05</v>
      </c>
      <c r="E135">
        <v>0.05</v>
      </c>
      <c r="F135">
        <v>0.05</v>
      </c>
      <c r="G135" s="106">
        <v>0.15</v>
      </c>
    </row>
    <row r="136" spans="1:7" x14ac:dyDescent="0.2">
      <c r="A136">
        <v>2924</v>
      </c>
      <c r="B136" s="106" t="s">
        <v>1030</v>
      </c>
      <c r="C136">
        <v>0</v>
      </c>
      <c r="D136" s="106">
        <v>0</v>
      </c>
      <c r="E136">
        <v>0</v>
      </c>
      <c r="F136" s="106">
        <v>0</v>
      </c>
      <c r="G136" s="106">
        <v>0</v>
      </c>
    </row>
    <row r="137" spans="1:7" x14ac:dyDescent="0.2">
      <c r="A137">
        <v>2930</v>
      </c>
      <c r="B137" s="106" t="s">
        <v>1031</v>
      </c>
      <c r="C137">
        <v>0</v>
      </c>
      <c r="D137" s="106">
        <v>0</v>
      </c>
      <c r="E137">
        <v>0</v>
      </c>
      <c r="F137">
        <v>0</v>
      </c>
      <c r="G137">
        <v>0</v>
      </c>
    </row>
    <row r="138" spans="1:7" x14ac:dyDescent="0.2">
      <c r="A138">
        <v>2931</v>
      </c>
      <c r="B138" s="106" t="s">
        <v>1032</v>
      </c>
      <c r="C138">
        <v>0.05</v>
      </c>
      <c r="D138">
        <v>0.05</v>
      </c>
      <c r="E138">
        <v>0.05</v>
      </c>
      <c r="F138">
        <v>0.05</v>
      </c>
      <c r="G138">
        <v>0.15</v>
      </c>
    </row>
    <row r="139" spans="1:7" x14ac:dyDescent="0.2">
      <c r="A139">
        <v>2975</v>
      </c>
      <c r="B139" s="106" t="s">
        <v>1033</v>
      </c>
      <c r="C139">
        <v>0.05</v>
      </c>
      <c r="D139" s="106">
        <v>0.05</v>
      </c>
      <c r="E139">
        <v>0.05</v>
      </c>
      <c r="F139">
        <v>0.05</v>
      </c>
      <c r="G139" s="106">
        <v>0.15</v>
      </c>
    </row>
    <row r="140" spans="1:7" x14ac:dyDescent="0.2">
      <c r="A140">
        <v>3001</v>
      </c>
      <c r="B140" s="106" t="s">
        <v>2547</v>
      </c>
      <c r="C140">
        <v>0</v>
      </c>
      <c r="D140" s="106" t="s">
        <v>166</v>
      </c>
      <c r="E140" t="s">
        <v>166</v>
      </c>
      <c r="F140" t="s">
        <v>166</v>
      </c>
      <c r="G140" s="106">
        <v>0</v>
      </c>
    </row>
    <row r="141" spans="1:7" x14ac:dyDescent="0.2">
      <c r="A141">
        <v>3003</v>
      </c>
      <c r="B141" s="106" t="s">
        <v>922</v>
      </c>
      <c r="C141">
        <v>0.05</v>
      </c>
      <c r="D141">
        <v>0.05</v>
      </c>
      <c r="E141">
        <v>0.05</v>
      </c>
      <c r="F141" s="106">
        <v>0.05</v>
      </c>
      <c r="G141">
        <v>0.15</v>
      </c>
    </row>
    <row r="142" spans="1:7" x14ac:dyDescent="0.2">
      <c r="A142">
        <v>3004</v>
      </c>
      <c r="B142" s="106" t="s">
        <v>1034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">
      <c r="A143">
        <v>3028</v>
      </c>
      <c r="B143" s="106" t="s">
        <v>2187</v>
      </c>
      <c r="C143">
        <v>0.05</v>
      </c>
      <c r="D143" t="s">
        <v>166</v>
      </c>
      <c r="E143" s="106">
        <v>0</v>
      </c>
      <c r="F143" s="106">
        <v>0</v>
      </c>
      <c r="G143" s="106" t="s">
        <v>166</v>
      </c>
    </row>
    <row r="144" spans="1:7" x14ac:dyDescent="0.2">
      <c r="A144">
        <v>3038</v>
      </c>
      <c r="B144" s="106" t="s">
        <v>2332</v>
      </c>
      <c r="C144">
        <v>0</v>
      </c>
      <c r="D144">
        <v>0</v>
      </c>
      <c r="E144" s="106" t="s">
        <v>166</v>
      </c>
      <c r="F144" s="106">
        <v>0</v>
      </c>
      <c r="G144" s="106" t="s">
        <v>166</v>
      </c>
    </row>
    <row r="145" spans="1:7" x14ac:dyDescent="0.2">
      <c r="A145">
        <v>3046</v>
      </c>
      <c r="B145" s="106" t="s">
        <v>1035</v>
      </c>
      <c r="C145">
        <v>0.15</v>
      </c>
      <c r="D145">
        <v>0.15</v>
      </c>
      <c r="E145">
        <v>0.15</v>
      </c>
      <c r="F145">
        <v>0.15</v>
      </c>
      <c r="G145">
        <v>0.45</v>
      </c>
    </row>
    <row r="146" spans="1:7" x14ac:dyDescent="0.2">
      <c r="A146">
        <v>3048</v>
      </c>
      <c r="B146" s="106" t="s">
        <v>1036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">
      <c r="A147">
        <v>3050</v>
      </c>
      <c r="B147" s="106" t="s">
        <v>2548</v>
      </c>
      <c r="C147">
        <v>0</v>
      </c>
      <c r="D147" s="106" t="s">
        <v>166</v>
      </c>
      <c r="E147" s="106" t="s">
        <v>166</v>
      </c>
      <c r="F147" s="106" t="s">
        <v>166</v>
      </c>
      <c r="G147" s="106" t="s">
        <v>166</v>
      </c>
    </row>
    <row r="148" spans="1:7" x14ac:dyDescent="0.2">
      <c r="A148">
        <v>3067</v>
      </c>
      <c r="B148" s="106" t="s">
        <v>1037</v>
      </c>
      <c r="C148">
        <v>0.05</v>
      </c>
      <c r="D148">
        <v>0.05</v>
      </c>
      <c r="E148">
        <v>0.05</v>
      </c>
      <c r="F148">
        <v>0.05</v>
      </c>
      <c r="G148">
        <v>0.15</v>
      </c>
    </row>
    <row r="149" spans="1:7" x14ac:dyDescent="0.2">
      <c r="A149">
        <v>3079</v>
      </c>
      <c r="B149" s="106" t="s">
        <v>2188</v>
      </c>
      <c r="C149">
        <v>0</v>
      </c>
      <c r="D149">
        <v>0</v>
      </c>
      <c r="E149">
        <v>0</v>
      </c>
      <c r="F149">
        <v>0</v>
      </c>
      <c r="G149" t="s">
        <v>166</v>
      </c>
    </row>
    <row r="150" spans="1:7" x14ac:dyDescent="0.2">
      <c r="A150">
        <v>3082</v>
      </c>
      <c r="B150" s="106" t="s">
        <v>1038</v>
      </c>
      <c r="C150">
        <v>0.05</v>
      </c>
      <c r="D150">
        <v>0.05</v>
      </c>
      <c r="E150">
        <v>0.05</v>
      </c>
      <c r="F150">
        <v>0</v>
      </c>
      <c r="G150">
        <v>0.15</v>
      </c>
    </row>
    <row r="151" spans="1:7" x14ac:dyDescent="0.2">
      <c r="A151">
        <v>3086</v>
      </c>
      <c r="B151" s="106" t="s">
        <v>1039</v>
      </c>
      <c r="C151">
        <v>0.05</v>
      </c>
      <c r="D151">
        <v>0.05</v>
      </c>
      <c r="E151">
        <v>0.05</v>
      </c>
      <c r="F151">
        <v>0.05</v>
      </c>
      <c r="G151">
        <v>0.15</v>
      </c>
    </row>
    <row r="152" spans="1:7" x14ac:dyDescent="0.2">
      <c r="A152">
        <v>3088</v>
      </c>
      <c r="B152" s="106" t="s">
        <v>1040</v>
      </c>
      <c r="C152">
        <v>0.1</v>
      </c>
      <c r="D152">
        <v>0.1</v>
      </c>
      <c r="E152">
        <v>0.1</v>
      </c>
      <c r="F152">
        <v>0.1</v>
      </c>
      <c r="G152">
        <v>0.3</v>
      </c>
    </row>
    <row r="153" spans="1:7" x14ac:dyDescent="0.2">
      <c r="A153">
        <v>3092</v>
      </c>
      <c r="B153" s="106" t="s">
        <v>1041</v>
      </c>
      <c r="C153">
        <v>0</v>
      </c>
      <c r="D153">
        <v>0.05</v>
      </c>
      <c r="E153">
        <v>0.05</v>
      </c>
      <c r="F153">
        <v>0.05</v>
      </c>
      <c r="G153">
        <v>0.15</v>
      </c>
    </row>
    <row r="154" spans="1:7" x14ac:dyDescent="0.2">
      <c r="A154">
        <v>3098</v>
      </c>
      <c r="B154" s="106" t="s">
        <v>2093</v>
      </c>
      <c r="C154">
        <v>0.15</v>
      </c>
      <c r="D154" s="106" t="s">
        <v>166</v>
      </c>
      <c r="E154">
        <v>0.15</v>
      </c>
      <c r="F154" s="106">
        <v>0.15</v>
      </c>
      <c r="G154" s="106">
        <v>0.45</v>
      </c>
    </row>
    <row r="155" spans="1:7" x14ac:dyDescent="0.2">
      <c r="A155">
        <v>3099</v>
      </c>
      <c r="B155" s="106" t="s">
        <v>37</v>
      </c>
      <c r="C155">
        <v>0</v>
      </c>
      <c r="D155">
        <v>0.05</v>
      </c>
      <c r="E155" s="106">
        <v>0.05</v>
      </c>
      <c r="F155" s="106">
        <v>0.05</v>
      </c>
      <c r="G155">
        <v>0</v>
      </c>
    </row>
    <row r="156" spans="1:7" x14ac:dyDescent="0.2">
      <c r="A156">
        <v>3101</v>
      </c>
      <c r="B156" s="106" t="s">
        <v>921</v>
      </c>
      <c r="C156">
        <v>0</v>
      </c>
      <c r="D156">
        <v>0</v>
      </c>
      <c r="E156" s="106">
        <v>0.05</v>
      </c>
      <c r="F156" s="106">
        <v>0.05</v>
      </c>
      <c r="G156">
        <v>0</v>
      </c>
    </row>
    <row r="157" spans="1:7" x14ac:dyDescent="0.2">
      <c r="A157">
        <v>3103</v>
      </c>
      <c r="B157" s="106" t="s">
        <v>1042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">
      <c r="A158">
        <v>3104</v>
      </c>
      <c r="B158" s="106" t="s">
        <v>1043</v>
      </c>
      <c r="C158">
        <v>0.1</v>
      </c>
      <c r="D158" s="106">
        <v>0.1</v>
      </c>
      <c r="E158" s="106">
        <v>0.1</v>
      </c>
      <c r="F158" s="106">
        <v>0.1</v>
      </c>
      <c r="G158" s="106">
        <v>0.3</v>
      </c>
    </row>
    <row r="159" spans="1:7" x14ac:dyDescent="0.2">
      <c r="A159">
        <v>3106</v>
      </c>
      <c r="B159" s="106" t="s">
        <v>1044</v>
      </c>
      <c r="C159">
        <v>0.05</v>
      </c>
      <c r="D159">
        <v>0.05</v>
      </c>
      <c r="E159">
        <v>0.05</v>
      </c>
      <c r="F159">
        <v>0.05</v>
      </c>
      <c r="G159">
        <v>0.15</v>
      </c>
    </row>
    <row r="160" spans="1:7" x14ac:dyDescent="0.2">
      <c r="A160">
        <v>3110</v>
      </c>
      <c r="B160" s="106" t="s">
        <v>910</v>
      </c>
      <c r="C160">
        <v>0.1</v>
      </c>
      <c r="D160">
        <v>0.55000000000000004</v>
      </c>
      <c r="E160">
        <v>0.1</v>
      </c>
      <c r="F160">
        <v>0.15</v>
      </c>
      <c r="G160">
        <v>0.3</v>
      </c>
    </row>
    <row r="161" spans="1:7" x14ac:dyDescent="0.2">
      <c r="A161">
        <v>3116</v>
      </c>
      <c r="B161" s="106" t="s">
        <v>69</v>
      </c>
      <c r="C161">
        <v>0.05</v>
      </c>
      <c r="D161">
        <v>0.05</v>
      </c>
      <c r="E161">
        <v>0.05</v>
      </c>
      <c r="F161">
        <v>0.05</v>
      </c>
      <c r="G161">
        <v>0.15</v>
      </c>
    </row>
    <row r="162" spans="1:7" x14ac:dyDescent="0.2">
      <c r="A162">
        <v>3132</v>
      </c>
      <c r="B162" s="106" t="s">
        <v>1045</v>
      </c>
      <c r="C162">
        <v>0.05</v>
      </c>
      <c r="D162">
        <v>0.05</v>
      </c>
      <c r="E162">
        <v>0.05</v>
      </c>
      <c r="F162">
        <v>0.05</v>
      </c>
      <c r="G162">
        <v>0.15</v>
      </c>
    </row>
    <row r="163" spans="1:7" x14ac:dyDescent="0.2">
      <c r="A163">
        <v>3134</v>
      </c>
      <c r="B163" s="106" t="s">
        <v>2094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">
      <c r="A164">
        <v>3141</v>
      </c>
      <c r="B164" s="106" t="s">
        <v>1046</v>
      </c>
      <c r="C164">
        <v>0.15</v>
      </c>
      <c r="D164" s="106">
        <v>0.15</v>
      </c>
      <c r="E164">
        <v>0.15</v>
      </c>
      <c r="F164">
        <v>0.15</v>
      </c>
      <c r="G164">
        <v>0.45</v>
      </c>
    </row>
    <row r="165" spans="1:7" x14ac:dyDescent="0.2">
      <c r="A165">
        <v>3148</v>
      </c>
      <c r="B165" s="106" t="s">
        <v>1047</v>
      </c>
      <c r="C165">
        <v>0.05</v>
      </c>
      <c r="D165">
        <v>0.05</v>
      </c>
      <c r="E165">
        <v>0.05</v>
      </c>
      <c r="F165">
        <v>0.05</v>
      </c>
      <c r="G165">
        <v>0.15</v>
      </c>
    </row>
    <row r="166" spans="1:7" x14ac:dyDescent="0.2">
      <c r="A166">
        <v>3151</v>
      </c>
      <c r="B166" s="106" t="s">
        <v>1048</v>
      </c>
      <c r="C166">
        <v>0.05</v>
      </c>
      <c r="D166">
        <v>0.05</v>
      </c>
      <c r="E166">
        <v>0.05</v>
      </c>
      <c r="F166">
        <v>0.05</v>
      </c>
      <c r="G166">
        <v>0.15</v>
      </c>
    </row>
    <row r="167" spans="1:7" x14ac:dyDescent="0.2">
      <c r="A167">
        <v>3154</v>
      </c>
      <c r="B167" s="106" t="s">
        <v>1049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">
      <c r="A168">
        <v>3159</v>
      </c>
      <c r="B168" s="106" t="s">
        <v>1050</v>
      </c>
      <c r="C168">
        <v>0.05</v>
      </c>
      <c r="D168">
        <v>0.05</v>
      </c>
      <c r="E168">
        <v>0</v>
      </c>
      <c r="F168">
        <v>0.05</v>
      </c>
      <c r="G168">
        <v>0</v>
      </c>
    </row>
    <row r="169" spans="1:7" x14ac:dyDescent="0.2">
      <c r="A169">
        <v>3160</v>
      </c>
      <c r="B169" s="106" t="s">
        <v>1051</v>
      </c>
      <c r="C169">
        <v>0</v>
      </c>
      <c r="D169" s="106">
        <v>0</v>
      </c>
      <c r="E169">
        <v>0</v>
      </c>
      <c r="F169" s="106">
        <v>0</v>
      </c>
      <c r="G169" s="106">
        <v>0</v>
      </c>
    </row>
    <row r="170" spans="1:7" x14ac:dyDescent="0.2">
      <c r="A170">
        <v>3166</v>
      </c>
      <c r="B170" s="106" t="s">
        <v>1052</v>
      </c>
      <c r="C170">
        <v>0.05</v>
      </c>
      <c r="D170" s="106">
        <v>0.05</v>
      </c>
      <c r="E170">
        <v>0.05</v>
      </c>
      <c r="F170" s="106">
        <v>0.05</v>
      </c>
      <c r="G170" s="106">
        <v>0.15</v>
      </c>
    </row>
    <row r="171" spans="1:7" x14ac:dyDescent="0.2">
      <c r="A171">
        <v>3168</v>
      </c>
      <c r="B171" s="106" t="s">
        <v>1053</v>
      </c>
      <c r="C171">
        <v>0</v>
      </c>
      <c r="D171">
        <v>0</v>
      </c>
      <c r="E171">
        <v>0.05</v>
      </c>
      <c r="F171">
        <v>0.05</v>
      </c>
      <c r="G171" s="106">
        <v>0.15</v>
      </c>
    </row>
    <row r="172" spans="1:7" x14ac:dyDescent="0.2">
      <c r="A172">
        <v>3178</v>
      </c>
      <c r="B172" s="106" t="s">
        <v>1054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3179</v>
      </c>
      <c r="B173" s="106" t="s">
        <v>1055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3180</v>
      </c>
      <c r="B174" s="106" t="s">
        <v>1056</v>
      </c>
      <c r="C174">
        <v>0.05</v>
      </c>
      <c r="D174">
        <v>0.05</v>
      </c>
      <c r="E174">
        <v>0.05</v>
      </c>
      <c r="F174">
        <v>0.05</v>
      </c>
      <c r="G174">
        <v>0</v>
      </c>
    </row>
    <row r="175" spans="1:7" x14ac:dyDescent="0.2">
      <c r="A175">
        <v>3183</v>
      </c>
      <c r="B175" s="106" t="s">
        <v>1057</v>
      </c>
      <c r="C175">
        <v>0.05</v>
      </c>
      <c r="D175" s="106">
        <v>0.05</v>
      </c>
      <c r="E175" s="106">
        <v>0.05</v>
      </c>
      <c r="F175" s="106">
        <v>0.05</v>
      </c>
      <c r="G175" s="106">
        <v>0.15</v>
      </c>
    </row>
    <row r="176" spans="1:7" x14ac:dyDescent="0.2">
      <c r="A176">
        <v>3186</v>
      </c>
      <c r="B176" s="106" t="s">
        <v>1058</v>
      </c>
      <c r="C176">
        <v>0.05</v>
      </c>
      <c r="D176">
        <v>0.05</v>
      </c>
      <c r="E176">
        <v>0.05</v>
      </c>
      <c r="F176">
        <v>0</v>
      </c>
      <c r="G176">
        <v>0.15</v>
      </c>
    </row>
    <row r="177" spans="1:7" x14ac:dyDescent="0.2">
      <c r="A177">
        <v>3193</v>
      </c>
      <c r="B177" s="106" t="s">
        <v>1059</v>
      </c>
      <c r="C177">
        <v>0.05</v>
      </c>
      <c r="D177">
        <v>0.05</v>
      </c>
      <c r="E177">
        <v>0.05</v>
      </c>
      <c r="F177">
        <v>0.05</v>
      </c>
      <c r="G177">
        <v>0.15</v>
      </c>
    </row>
    <row r="178" spans="1:7" x14ac:dyDescent="0.2">
      <c r="A178">
        <v>3196</v>
      </c>
      <c r="B178" s="106" t="s">
        <v>2095</v>
      </c>
      <c r="C178">
        <v>0.05</v>
      </c>
      <c r="D178">
        <v>0.05</v>
      </c>
      <c r="E178" s="106">
        <v>0.05</v>
      </c>
      <c r="F178">
        <v>0.05</v>
      </c>
      <c r="G178">
        <v>0.15</v>
      </c>
    </row>
    <row r="179" spans="1:7" x14ac:dyDescent="0.2">
      <c r="A179">
        <v>3197</v>
      </c>
      <c r="B179" s="106" t="s">
        <v>1060</v>
      </c>
      <c r="C179">
        <v>0.05</v>
      </c>
      <c r="D179">
        <v>0.05</v>
      </c>
      <c r="E179">
        <v>0.05</v>
      </c>
      <c r="F179">
        <v>0.05</v>
      </c>
      <c r="G179">
        <v>0.15</v>
      </c>
    </row>
    <row r="180" spans="1:7" x14ac:dyDescent="0.2">
      <c r="A180">
        <v>3201</v>
      </c>
      <c r="B180" s="106" t="s">
        <v>1061</v>
      </c>
      <c r="C180">
        <v>0.05</v>
      </c>
      <c r="D180">
        <v>0.05</v>
      </c>
      <c r="E180">
        <v>0.05</v>
      </c>
      <c r="F180">
        <v>0.05</v>
      </c>
      <c r="G180">
        <v>0.15</v>
      </c>
    </row>
    <row r="181" spans="1:7" x14ac:dyDescent="0.2">
      <c r="A181">
        <v>3204</v>
      </c>
      <c r="B181" s="106" t="s">
        <v>1062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3205</v>
      </c>
      <c r="B182" s="106" t="s">
        <v>1063</v>
      </c>
      <c r="C182">
        <v>0.05</v>
      </c>
      <c r="D182">
        <v>0</v>
      </c>
      <c r="E182">
        <v>0.05</v>
      </c>
      <c r="F182">
        <v>0.05</v>
      </c>
      <c r="G182">
        <v>0.15</v>
      </c>
    </row>
    <row r="183" spans="1:7" x14ac:dyDescent="0.2">
      <c r="A183">
        <v>3222</v>
      </c>
      <c r="B183" s="106" t="s">
        <v>1064</v>
      </c>
      <c r="C183">
        <v>0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3231</v>
      </c>
      <c r="B184" s="106" t="s">
        <v>709</v>
      </c>
      <c r="C184">
        <v>0.05</v>
      </c>
      <c r="D184" s="106">
        <v>0.05</v>
      </c>
      <c r="E184">
        <v>0.05</v>
      </c>
      <c r="F184">
        <v>0.05</v>
      </c>
      <c r="G184">
        <v>0.15</v>
      </c>
    </row>
    <row r="185" spans="1:7" x14ac:dyDescent="0.2">
      <c r="A185">
        <v>3232</v>
      </c>
      <c r="B185" s="106" t="s">
        <v>1065</v>
      </c>
      <c r="C185">
        <v>0.05</v>
      </c>
      <c r="D185" s="106">
        <v>0.05</v>
      </c>
      <c r="E185">
        <v>0.05</v>
      </c>
      <c r="F185">
        <v>0.05</v>
      </c>
      <c r="G185">
        <v>0.15</v>
      </c>
    </row>
    <row r="186" spans="1:7" x14ac:dyDescent="0.2">
      <c r="A186">
        <v>3250</v>
      </c>
      <c r="B186" s="106" t="s">
        <v>2549</v>
      </c>
      <c r="C186">
        <v>0</v>
      </c>
      <c r="D186">
        <v>0</v>
      </c>
      <c r="E186" t="s">
        <v>166</v>
      </c>
      <c r="F186" t="s">
        <v>166</v>
      </c>
      <c r="G186" t="s">
        <v>166</v>
      </c>
    </row>
    <row r="187" spans="1:7" x14ac:dyDescent="0.2">
      <c r="A187">
        <v>3271</v>
      </c>
      <c r="B187" s="106" t="s">
        <v>1066</v>
      </c>
      <c r="C187">
        <v>0</v>
      </c>
      <c r="D187">
        <v>0</v>
      </c>
      <c r="E187">
        <v>0</v>
      </c>
      <c r="F187">
        <v>0</v>
      </c>
      <c r="G187" s="106">
        <v>0</v>
      </c>
    </row>
    <row r="188" spans="1:7" x14ac:dyDescent="0.2">
      <c r="A188">
        <v>3276</v>
      </c>
      <c r="B188" s="106" t="s">
        <v>1067</v>
      </c>
      <c r="C188">
        <v>0.05</v>
      </c>
      <c r="D188">
        <v>0.05</v>
      </c>
      <c r="E188">
        <v>0.05</v>
      </c>
      <c r="F188">
        <v>0.05</v>
      </c>
      <c r="G188">
        <v>0.15</v>
      </c>
    </row>
    <row r="189" spans="1:7" x14ac:dyDescent="0.2">
      <c r="A189">
        <v>3284</v>
      </c>
      <c r="B189" s="106" t="s">
        <v>1068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">
      <c r="A190">
        <v>3288</v>
      </c>
      <c r="B190" s="106" t="s">
        <v>2096</v>
      </c>
      <c r="C190">
        <v>0.05</v>
      </c>
      <c r="D190">
        <v>0.05</v>
      </c>
      <c r="E190">
        <v>0.05</v>
      </c>
      <c r="F190">
        <v>0</v>
      </c>
      <c r="G190">
        <v>0.15</v>
      </c>
    </row>
    <row r="191" spans="1:7" x14ac:dyDescent="0.2">
      <c r="A191">
        <v>3289</v>
      </c>
      <c r="B191" s="106" t="s">
        <v>1069</v>
      </c>
      <c r="C191">
        <v>0.05</v>
      </c>
      <c r="D191" s="106">
        <v>0.05</v>
      </c>
      <c r="E191" s="106">
        <v>0.05</v>
      </c>
      <c r="F191" s="106">
        <v>0.05</v>
      </c>
      <c r="G191" s="106">
        <v>0.15</v>
      </c>
    </row>
    <row r="192" spans="1:7" x14ac:dyDescent="0.2">
      <c r="A192">
        <v>3291</v>
      </c>
      <c r="B192" s="106" t="s">
        <v>65</v>
      </c>
      <c r="C192">
        <v>0.05</v>
      </c>
      <c r="D192" s="106">
        <v>0.05</v>
      </c>
      <c r="E192">
        <v>0.05</v>
      </c>
      <c r="F192" s="106">
        <v>0.05</v>
      </c>
      <c r="G192">
        <v>0.15</v>
      </c>
    </row>
    <row r="193" spans="1:7" x14ac:dyDescent="0.2">
      <c r="A193">
        <v>3299</v>
      </c>
      <c r="B193" s="106" t="s">
        <v>1070</v>
      </c>
      <c r="C193">
        <v>0.05</v>
      </c>
      <c r="D193" s="106">
        <v>0.05</v>
      </c>
      <c r="E193" s="106">
        <v>0.05</v>
      </c>
      <c r="F193" s="106">
        <v>0.05</v>
      </c>
      <c r="G193" s="106">
        <v>0.15</v>
      </c>
    </row>
    <row r="194" spans="1:7" x14ac:dyDescent="0.2">
      <c r="A194">
        <v>3349</v>
      </c>
      <c r="B194" s="106" t="s">
        <v>1071</v>
      </c>
      <c r="C194">
        <v>0.4</v>
      </c>
      <c r="D194" s="106">
        <v>0.4</v>
      </c>
      <c r="E194" s="106">
        <v>0.4</v>
      </c>
      <c r="F194">
        <v>0.4</v>
      </c>
      <c r="G194" s="106">
        <v>1.5</v>
      </c>
    </row>
    <row r="195" spans="1:7" x14ac:dyDescent="0.2">
      <c r="A195">
        <v>3360</v>
      </c>
      <c r="B195" s="106" t="s">
        <v>2097</v>
      </c>
      <c r="C195">
        <v>0.1</v>
      </c>
      <c r="D195">
        <v>0.1</v>
      </c>
      <c r="E195" s="106">
        <v>0.1</v>
      </c>
      <c r="F195">
        <v>0.1</v>
      </c>
      <c r="G195" s="106">
        <v>0.3</v>
      </c>
    </row>
    <row r="196" spans="1:7" x14ac:dyDescent="0.2">
      <c r="A196">
        <v>3371</v>
      </c>
      <c r="B196" s="106" t="s">
        <v>2281</v>
      </c>
      <c r="C196">
        <v>0</v>
      </c>
      <c r="D196" t="s">
        <v>166</v>
      </c>
      <c r="E196" s="106">
        <v>0</v>
      </c>
      <c r="F196" s="106" t="s">
        <v>166</v>
      </c>
      <c r="G196" s="106" t="s">
        <v>166</v>
      </c>
    </row>
    <row r="197" spans="1:7" x14ac:dyDescent="0.2">
      <c r="A197">
        <v>3382</v>
      </c>
      <c r="B197" s="106" t="s">
        <v>1072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">
      <c r="A198">
        <v>3387</v>
      </c>
      <c r="B198" s="106" t="s">
        <v>1073</v>
      </c>
      <c r="C198">
        <v>0.05</v>
      </c>
      <c r="D198" s="106">
        <v>0.05</v>
      </c>
      <c r="E198" s="106">
        <v>0.05</v>
      </c>
      <c r="F198" s="106">
        <v>0.05</v>
      </c>
      <c r="G198" s="106">
        <v>0.15</v>
      </c>
    </row>
    <row r="199" spans="1:7" x14ac:dyDescent="0.2">
      <c r="A199">
        <v>3388</v>
      </c>
      <c r="B199" s="106" t="s">
        <v>2098</v>
      </c>
      <c r="C199">
        <v>0</v>
      </c>
      <c r="D199" s="106">
        <v>0</v>
      </c>
      <c r="E199" s="106">
        <v>0</v>
      </c>
      <c r="F199" s="106">
        <v>0</v>
      </c>
      <c r="G199" s="106">
        <v>0</v>
      </c>
    </row>
    <row r="200" spans="1:7" x14ac:dyDescent="0.2">
      <c r="A200">
        <v>3391</v>
      </c>
      <c r="B200" s="106" t="s">
        <v>1074</v>
      </c>
      <c r="C200">
        <v>0.25</v>
      </c>
      <c r="D200">
        <v>0.25</v>
      </c>
      <c r="E200">
        <v>0.25</v>
      </c>
      <c r="F200">
        <v>0.25</v>
      </c>
      <c r="G200">
        <v>0.75</v>
      </c>
    </row>
    <row r="201" spans="1:7" x14ac:dyDescent="0.2">
      <c r="A201">
        <v>3393</v>
      </c>
      <c r="B201" s="106" t="s">
        <v>1075</v>
      </c>
      <c r="C201">
        <v>0</v>
      </c>
      <c r="D201">
        <v>0</v>
      </c>
      <c r="E201">
        <v>0</v>
      </c>
      <c r="F201">
        <v>0</v>
      </c>
      <c r="G201" s="106">
        <v>0</v>
      </c>
    </row>
    <row r="202" spans="1:7" x14ac:dyDescent="0.2">
      <c r="A202">
        <v>3397</v>
      </c>
      <c r="B202" s="106" t="s">
        <v>1076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3401</v>
      </c>
      <c r="B203" s="106" t="s">
        <v>1077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">
      <c r="A204">
        <v>3407</v>
      </c>
      <c r="B204" s="106" t="s">
        <v>931</v>
      </c>
      <c r="C204">
        <v>0</v>
      </c>
      <c r="D204">
        <v>0.05</v>
      </c>
      <c r="E204" s="106">
        <v>0.05</v>
      </c>
      <c r="F204">
        <v>0.05</v>
      </c>
      <c r="G204" s="106">
        <v>0</v>
      </c>
    </row>
    <row r="205" spans="1:7" x14ac:dyDescent="0.2">
      <c r="A205">
        <v>3433</v>
      </c>
      <c r="B205" s="106" t="s">
        <v>1078</v>
      </c>
      <c r="C205">
        <v>0</v>
      </c>
      <c r="D205">
        <v>0</v>
      </c>
      <c r="E205" s="106">
        <v>0</v>
      </c>
      <c r="F205">
        <v>0</v>
      </c>
      <c r="G205" s="106">
        <v>0.15</v>
      </c>
    </row>
    <row r="206" spans="1:7" x14ac:dyDescent="0.2">
      <c r="A206">
        <v>3436</v>
      </c>
      <c r="B206" s="106" t="s">
        <v>2189</v>
      </c>
      <c r="C206">
        <v>0</v>
      </c>
      <c r="D206" s="106">
        <v>0</v>
      </c>
      <c r="E206" s="106">
        <v>0</v>
      </c>
      <c r="F206" s="106">
        <v>0</v>
      </c>
      <c r="G206" s="106" t="s">
        <v>166</v>
      </c>
    </row>
    <row r="207" spans="1:7" x14ac:dyDescent="0.2">
      <c r="A207">
        <v>3454</v>
      </c>
      <c r="B207" s="106" t="s">
        <v>1079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3457</v>
      </c>
      <c r="B208" s="106" t="s">
        <v>1080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3465</v>
      </c>
      <c r="B209" s="106" t="s">
        <v>2099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">
      <c r="A210">
        <v>3475</v>
      </c>
      <c r="B210" s="106" t="s">
        <v>2100</v>
      </c>
      <c r="C210">
        <v>0</v>
      </c>
      <c r="D210">
        <v>0</v>
      </c>
      <c r="E210">
        <v>0</v>
      </c>
      <c r="F210" s="106">
        <v>0</v>
      </c>
      <c r="G210" s="106">
        <v>0</v>
      </c>
    </row>
    <row r="211" spans="1:7" x14ac:dyDescent="0.2">
      <c r="A211">
        <v>3480</v>
      </c>
      <c r="B211" s="106" t="s">
        <v>2550</v>
      </c>
      <c r="C211">
        <v>0</v>
      </c>
      <c r="D211">
        <v>0</v>
      </c>
      <c r="E211" s="106" t="s">
        <v>166</v>
      </c>
      <c r="F211">
        <v>0</v>
      </c>
      <c r="G211" t="s">
        <v>166</v>
      </c>
    </row>
    <row r="212" spans="1:7" x14ac:dyDescent="0.2">
      <c r="A212">
        <v>3484</v>
      </c>
      <c r="B212" s="106" t="s">
        <v>1081</v>
      </c>
      <c r="C212">
        <v>0.05</v>
      </c>
      <c r="D212">
        <v>0.05</v>
      </c>
      <c r="E212">
        <v>0.05</v>
      </c>
      <c r="F212">
        <v>0.05</v>
      </c>
      <c r="G212">
        <v>0.15</v>
      </c>
    </row>
    <row r="213" spans="1:7" x14ac:dyDescent="0.2">
      <c r="A213">
        <v>3501</v>
      </c>
      <c r="B213" s="106" t="s">
        <v>1082</v>
      </c>
      <c r="C213">
        <v>0.05</v>
      </c>
      <c r="D213">
        <v>0.05</v>
      </c>
      <c r="E213">
        <v>0.05</v>
      </c>
      <c r="F213">
        <v>0.05</v>
      </c>
      <c r="G213">
        <v>0.15</v>
      </c>
    </row>
    <row r="214" spans="1:7" x14ac:dyDescent="0.2">
      <c r="A214">
        <v>3529</v>
      </c>
      <c r="B214" s="106" t="s">
        <v>1083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3538</v>
      </c>
      <c r="B215" s="106" t="s">
        <v>1084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">
      <c r="A216">
        <v>3539</v>
      </c>
      <c r="B216" s="106" t="s">
        <v>1085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">
      <c r="A217">
        <v>3544</v>
      </c>
      <c r="B217" s="106" t="s">
        <v>1086</v>
      </c>
      <c r="C217">
        <v>0.05</v>
      </c>
      <c r="D217">
        <v>0.05</v>
      </c>
      <c r="E217">
        <v>0.05</v>
      </c>
      <c r="F217">
        <v>0.05</v>
      </c>
      <c r="G217">
        <v>0.15</v>
      </c>
    </row>
    <row r="218" spans="1:7" x14ac:dyDescent="0.2">
      <c r="A218">
        <v>3547</v>
      </c>
      <c r="B218" s="106" t="s">
        <v>1087</v>
      </c>
      <c r="C218">
        <v>0.05</v>
      </c>
      <c r="D218">
        <v>0.05</v>
      </c>
      <c r="E218">
        <v>0.05</v>
      </c>
      <c r="F218">
        <v>0.05</v>
      </c>
      <c r="G218">
        <v>0.15</v>
      </c>
    </row>
    <row r="219" spans="1:7" x14ac:dyDescent="0.2">
      <c r="A219">
        <v>3563</v>
      </c>
      <c r="B219" s="106" t="s">
        <v>2282</v>
      </c>
      <c r="C219">
        <v>0</v>
      </c>
      <c r="D219">
        <v>0</v>
      </c>
      <c r="E219">
        <v>0</v>
      </c>
      <c r="F219" t="s">
        <v>166</v>
      </c>
      <c r="G219" t="s">
        <v>166</v>
      </c>
    </row>
    <row r="220" spans="1:7" x14ac:dyDescent="0.2">
      <c r="A220">
        <v>3569</v>
      </c>
      <c r="B220" s="106" t="s">
        <v>2283</v>
      </c>
      <c r="C220">
        <v>0.05</v>
      </c>
      <c r="D220">
        <v>0.05</v>
      </c>
      <c r="E220">
        <v>0.05</v>
      </c>
      <c r="F220" t="s">
        <v>166</v>
      </c>
      <c r="G220" s="106">
        <v>0</v>
      </c>
    </row>
    <row r="221" spans="1:7" x14ac:dyDescent="0.2">
      <c r="A221">
        <v>3571</v>
      </c>
      <c r="B221" s="106" t="s">
        <v>1088</v>
      </c>
      <c r="C221">
        <v>0.05</v>
      </c>
      <c r="D221">
        <v>0.05</v>
      </c>
      <c r="E221">
        <v>0.05</v>
      </c>
      <c r="F221">
        <v>0.05</v>
      </c>
      <c r="G221" s="106">
        <v>0.15</v>
      </c>
    </row>
    <row r="222" spans="1:7" x14ac:dyDescent="0.2">
      <c r="A222">
        <v>3580</v>
      </c>
      <c r="B222" s="106" t="s">
        <v>1089</v>
      </c>
      <c r="C222">
        <v>0.05</v>
      </c>
      <c r="D222">
        <v>0.05</v>
      </c>
      <c r="E222">
        <v>0.05</v>
      </c>
      <c r="F222">
        <v>0.05</v>
      </c>
      <c r="G222" s="106">
        <v>0.15</v>
      </c>
    </row>
    <row r="223" spans="1:7" x14ac:dyDescent="0.2">
      <c r="A223">
        <v>3591</v>
      </c>
      <c r="B223" s="106" t="s">
        <v>1090</v>
      </c>
      <c r="C223">
        <v>0.05</v>
      </c>
      <c r="D223">
        <v>0.05</v>
      </c>
      <c r="E223">
        <v>0.05</v>
      </c>
      <c r="F223">
        <v>0.05</v>
      </c>
      <c r="G223">
        <v>0.15</v>
      </c>
    </row>
    <row r="224" spans="1:7" x14ac:dyDescent="0.2">
      <c r="A224">
        <v>3593</v>
      </c>
      <c r="B224" s="106" t="s">
        <v>1091</v>
      </c>
      <c r="C224">
        <v>0.1</v>
      </c>
      <c r="D224">
        <v>0.1</v>
      </c>
      <c r="E224">
        <v>0.1</v>
      </c>
      <c r="F224">
        <v>0.1</v>
      </c>
      <c r="G224" s="106">
        <v>0.3</v>
      </c>
    </row>
    <row r="225" spans="1:7" x14ac:dyDescent="0.2">
      <c r="A225">
        <v>3606</v>
      </c>
      <c r="B225" s="106" t="s">
        <v>1092</v>
      </c>
      <c r="C225">
        <v>0</v>
      </c>
      <c r="D225" s="106">
        <v>0</v>
      </c>
      <c r="E225">
        <v>0</v>
      </c>
      <c r="F225">
        <v>0</v>
      </c>
      <c r="G225" s="106">
        <v>0</v>
      </c>
    </row>
    <row r="226" spans="1:7" x14ac:dyDescent="0.2">
      <c r="A226">
        <v>3611</v>
      </c>
      <c r="B226" s="106" t="s">
        <v>2101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3612</v>
      </c>
      <c r="B227" s="106" t="s">
        <v>1093</v>
      </c>
      <c r="C227">
        <v>0</v>
      </c>
      <c r="D227">
        <v>0</v>
      </c>
      <c r="E227">
        <v>0.05</v>
      </c>
      <c r="F227">
        <v>0.05</v>
      </c>
      <c r="G227">
        <v>0</v>
      </c>
    </row>
    <row r="228" spans="1:7" x14ac:dyDescent="0.2">
      <c r="A228">
        <v>3627</v>
      </c>
      <c r="B228" s="106" t="s">
        <v>1094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">
      <c r="A229">
        <v>3635</v>
      </c>
      <c r="B229" s="106" t="s">
        <v>49</v>
      </c>
      <c r="C229">
        <v>0.05</v>
      </c>
      <c r="D229">
        <v>0.05</v>
      </c>
      <c r="E229">
        <v>0.05</v>
      </c>
      <c r="F229">
        <v>0.05</v>
      </c>
      <c r="G229">
        <v>0.15</v>
      </c>
    </row>
    <row r="230" spans="1:7" x14ac:dyDescent="0.2">
      <c r="A230">
        <v>3639</v>
      </c>
      <c r="B230" s="106" t="s">
        <v>1095</v>
      </c>
      <c r="C230">
        <v>0</v>
      </c>
      <c r="D230" t="s">
        <v>166</v>
      </c>
      <c r="E230">
        <v>0</v>
      </c>
      <c r="F230">
        <v>0.05</v>
      </c>
      <c r="G230">
        <v>0</v>
      </c>
    </row>
    <row r="231" spans="1:7" x14ac:dyDescent="0.2">
      <c r="A231">
        <v>3640</v>
      </c>
      <c r="B231" s="106" t="s">
        <v>1096</v>
      </c>
      <c r="C231">
        <v>0.05</v>
      </c>
      <c r="D231">
        <v>0.05</v>
      </c>
      <c r="E231">
        <v>0.05</v>
      </c>
      <c r="F231">
        <v>0.05</v>
      </c>
      <c r="G231">
        <v>0.15</v>
      </c>
    </row>
    <row r="232" spans="1:7" x14ac:dyDescent="0.2">
      <c r="A232">
        <v>3648</v>
      </c>
      <c r="B232" s="106" t="s">
        <v>1097</v>
      </c>
      <c r="C232">
        <v>0.05</v>
      </c>
      <c r="D232">
        <v>0.05</v>
      </c>
      <c r="E232">
        <v>0.05</v>
      </c>
      <c r="F232">
        <v>0.05</v>
      </c>
      <c r="G232">
        <v>0</v>
      </c>
    </row>
    <row r="233" spans="1:7" x14ac:dyDescent="0.2">
      <c r="A233">
        <v>3655</v>
      </c>
      <c r="B233" s="106" t="s">
        <v>1098</v>
      </c>
      <c r="C233">
        <v>0</v>
      </c>
      <c r="D233" s="106">
        <v>0.1</v>
      </c>
      <c r="E233">
        <v>0.1</v>
      </c>
      <c r="F233">
        <v>0.1</v>
      </c>
      <c r="G233">
        <v>0</v>
      </c>
    </row>
    <row r="234" spans="1:7" x14ac:dyDescent="0.2">
      <c r="A234">
        <v>3656</v>
      </c>
      <c r="B234" s="106" t="s">
        <v>1099</v>
      </c>
      <c r="C234">
        <v>0</v>
      </c>
      <c r="D234" s="106">
        <v>0</v>
      </c>
      <c r="E234">
        <v>0</v>
      </c>
      <c r="F234">
        <v>0</v>
      </c>
      <c r="G234">
        <v>0</v>
      </c>
    </row>
    <row r="235" spans="1:7" x14ac:dyDescent="0.2">
      <c r="A235">
        <v>3659</v>
      </c>
      <c r="B235" s="106" t="s">
        <v>1100</v>
      </c>
      <c r="C235">
        <v>0.05</v>
      </c>
      <c r="D235">
        <v>0.05</v>
      </c>
      <c r="E235">
        <v>0</v>
      </c>
      <c r="F235">
        <v>0</v>
      </c>
      <c r="G235">
        <v>0</v>
      </c>
    </row>
    <row r="236" spans="1:7" x14ac:dyDescent="0.2">
      <c r="A236">
        <v>3660</v>
      </c>
      <c r="B236" s="106" t="s">
        <v>1101</v>
      </c>
      <c r="C236">
        <v>0.05</v>
      </c>
      <c r="D236" s="106">
        <v>0.05</v>
      </c>
      <c r="E236" s="106">
        <v>0.05</v>
      </c>
      <c r="F236" s="106">
        <v>0.05</v>
      </c>
      <c r="G236" s="106">
        <v>0.15</v>
      </c>
    </row>
    <row r="237" spans="1:7" x14ac:dyDescent="0.2">
      <c r="A237">
        <v>3661</v>
      </c>
      <c r="B237" s="106" t="s">
        <v>1102</v>
      </c>
      <c r="C237">
        <v>0.05</v>
      </c>
      <c r="D237" s="106">
        <v>0.05</v>
      </c>
      <c r="E237">
        <v>0.05</v>
      </c>
      <c r="F237" s="106">
        <v>0.05</v>
      </c>
      <c r="G237" s="106">
        <v>0.15</v>
      </c>
    </row>
    <row r="238" spans="1:7" x14ac:dyDescent="0.2">
      <c r="A238">
        <v>3662</v>
      </c>
      <c r="B238" s="106" t="s">
        <v>1103</v>
      </c>
      <c r="C238">
        <v>0</v>
      </c>
      <c r="D238" s="106">
        <v>0</v>
      </c>
      <c r="E238">
        <v>0</v>
      </c>
      <c r="F238" s="106">
        <v>0</v>
      </c>
      <c r="G238" s="106">
        <v>0</v>
      </c>
    </row>
    <row r="239" spans="1:7" x14ac:dyDescent="0.2">
      <c r="A239">
        <v>3667</v>
      </c>
      <c r="B239" s="106" t="s">
        <v>2102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">
      <c r="A240">
        <v>3668</v>
      </c>
      <c r="B240" s="106" t="s">
        <v>1104</v>
      </c>
      <c r="C240">
        <v>0.05</v>
      </c>
      <c r="D240" s="106">
        <v>0.05</v>
      </c>
      <c r="E240">
        <v>0.05</v>
      </c>
      <c r="F240" s="106">
        <v>0.05</v>
      </c>
      <c r="G240">
        <v>0.15</v>
      </c>
    </row>
    <row r="241" spans="1:7" x14ac:dyDescent="0.2">
      <c r="A241">
        <v>3678</v>
      </c>
      <c r="B241" s="106" t="s">
        <v>1105</v>
      </c>
      <c r="C241">
        <v>0.1</v>
      </c>
      <c r="D241">
        <v>0.1</v>
      </c>
      <c r="E241">
        <v>0.1</v>
      </c>
      <c r="F241">
        <v>0.1</v>
      </c>
      <c r="G241">
        <v>0.3</v>
      </c>
    </row>
    <row r="242" spans="1:7" x14ac:dyDescent="0.2">
      <c r="A242">
        <v>3681</v>
      </c>
      <c r="B242" s="106" t="s">
        <v>1106</v>
      </c>
      <c r="C242">
        <v>0.05</v>
      </c>
      <c r="D242">
        <v>0.05</v>
      </c>
      <c r="E242">
        <v>0.05</v>
      </c>
      <c r="F242">
        <v>0.05</v>
      </c>
      <c r="G242">
        <v>0.15</v>
      </c>
    </row>
    <row r="243" spans="1:7" x14ac:dyDescent="0.2">
      <c r="A243">
        <v>3683</v>
      </c>
      <c r="B243" s="106" t="s">
        <v>2284</v>
      </c>
      <c r="C243">
        <v>0</v>
      </c>
      <c r="D243" t="s">
        <v>166</v>
      </c>
      <c r="E243">
        <v>0</v>
      </c>
      <c r="F243" t="s">
        <v>166</v>
      </c>
      <c r="G243">
        <v>0</v>
      </c>
    </row>
    <row r="244" spans="1:7" x14ac:dyDescent="0.2">
      <c r="A244">
        <v>3694</v>
      </c>
      <c r="B244" s="106" t="s">
        <v>1107</v>
      </c>
      <c r="C244">
        <v>0.05</v>
      </c>
      <c r="D244">
        <v>0.05</v>
      </c>
      <c r="E244">
        <v>0.05</v>
      </c>
      <c r="F244">
        <v>0.05</v>
      </c>
      <c r="G244">
        <v>0.15</v>
      </c>
    </row>
    <row r="245" spans="1:7" x14ac:dyDescent="0.2">
      <c r="A245">
        <v>3697</v>
      </c>
      <c r="B245" s="106" t="s">
        <v>1108</v>
      </c>
      <c r="C245">
        <v>0.15</v>
      </c>
      <c r="D245" s="106">
        <v>0.15</v>
      </c>
      <c r="E245" s="106">
        <v>0.05</v>
      </c>
      <c r="F245" s="106">
        <v>0.15</v>
      </c>
      <c r="G245" s="106">
        <v>0.45</v>
      </c>
    </row>
    <row r="246" spans="1:7" x14ac:dyDescent="0.2">
      <c r="A246">
        <v>3708</v>
      </c>
      <c r="B246" s="106" t="s">
        <v>1109</v>
      </c>
      <c r="C246">
        <v>0.1</v>
      </c>
      <c r="D246" s="106">
        <v>0.1</v>
      </c>
      <c r="E246" s="106">
        <v>0.1</v>
      </c>
      <c r="F246" s="106">
        <v>0.1</v>
      </c>
      <c r="G246" s="106">
        <v>0.3</v>
      </c>
    </row>
    <row r="247" spans="1:7" x14ac:dyDescent="0.2">
      <c r="A247">
        <v>3738</v>
      </c>
      <c r="B247" s="106" t="s">
        <v>1110</v>
      </c>
      <c r="C247">
        <v>0.05</v>
      </c>
      <c r="D247">
        <v>0.05</v>
      </c>
      <c r="E247">
        <v>0.05</v>
      </c>
      <c r="F247">
        <v>0.05</v>
      </c>
      <c r="G247" s="106">
        <v>0.15</v>
      </c>
    </row>
    <row r="248" spans="1:7" x14ac:dyDescent="0.2">
      <c r="A248">
        <v>3774</v>
      </c>
      <c r="B248" s="106" t="s">
        <v>1111</v>
      </c>
      <c r="C248">
        <v>0.05</v>
      </c>
      <c r="D248">
        <v>0.05</v>
      </c>
      <c r="E248">
        <v>0.05</v>
      </c>
      <c r="F248">
        <v>0.05</v>
      </c>
      <c r="G248" s="106">
        <v>0.15</v>
      </c>
    </row>
    <row r="249" spans="1:7" x14ac:dyDescent="0.2">
      <c r="A249">
        <v>3778</v>
      </c>
      <c r="B249" s="106" t="s">
        <v>1112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3822</v>
      </c>
      <c r="B250" s="106" t="s">
        <v>1113</v>
      </c>
      <c r="C250">
        <v>0.05</v>
      </c>
      <c r="D250" s="106">
        <v>0.05</v>
      </c>
      <c r="E250" s="106">
        <v>0.05</v>
      </c>
      <c r="F250" s="106">
        <v>0.05</v>
      </c>
      <c r="G250" s="106">
        <v>0.15</v>
      </c>
    </row>
    <row r="251" spans="1:7" x14ac:dyDescent="0.2">
      <c r="A251">
        <v>3843</v>
      </c>
      <c r="B251" s="106" t="s">
        <v>2103</v>
      </c>
      <c r="C251">
        <v>0</v>
      </c>
      <c r="D251" s="106">
        <v>0</v>
      </c>
      <c r="E251" s="106">
        <v>0</v>
      </c>
      <c r="F251" s="106">
        <v>0</v>
      </c>
      <c r="G251" s="106">
        <v>0</v>
      </c>
    </row>
    <row r="252" spans="1:7" x14ac:dyDescent="0.2">
      <c r="A252">
        <v>3865</v>
      </c>
      <c r="B252" s="106" t="s">
        <v>1114</v>
      </c>
      <c r="C252">
        <v>0.05</v>
      </c>
      <c r="D252">
        <v>0.05</v>
      </c>
      <c r="E252" s="106">
        <v>0</v>
      </c>
      <c r="F252">
        <v>0</v>
      </c>
      <c r="G252" s="106">
        <v>0.15</v>
      </c>
    </row>
    <row r="253" spans="1:7" x14ac:dyDescent="0.2">
      <c r="A253">
        <v>3877</v>
      </c>
      <c r="B253" s="106" t="s">
        <v>1115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">
      <c r="A254">
        <v>3878</v>
      </c>
      <c r="B254" s="106" t="s">
        <v>1116</v>
      </c>
      <c r="C254">
        <v>0</v>
      </c>
      <c r="D254">
        <v>0</v>
      </c>
      <c r="E254" s="106">
        <v>0</v>
      </c>
      <c r="F254" s="106">
        <v>0</v>
      </c>
      <c r="G254" s="106">
        <v>0</v>
      </c>
    </row>
    <row r="255" spans="1:7" x14ac:dyDescent="0.2">
      <c r="A255">
        <v>3912</v>
      </c>
      <c r="B255" s="106" t="s">
        <v>2551</v>
      </c>
      <c r="C255">
        <v>0</v>
      </c>
      <c r="D255" s="106" t="s">
        <v>166</v>
      </c>
      <c r="E255" t="s">
        <v>166</v>
      </c>
      <c r="F255" s="106">
        <v>0</v>
      </c>
      <c r="G255" t="s">
        <v>166</v>
      </c>
    </row>
    <row r="256" spans="1:7" x14ac:dyDescent="0.2">
      <c r="A256">
        <v>3916</v>
      </c>
      <c r="B256" s="106" t="s">
        <v>2552</v>
      </c>
      <c r="C256">
        <v>0</v>
      </c>
      <c r="D256">
        <v>0</v>
      </c>
      <c r="E256" t="s">
        <v>166</v>
      </c>
      <c r="F256" s="106" t="s">
        <v>166</v>
      </c>
      <c r="G256" s="106" t="s">
        <v>166</v>
      </c>
    </row>
    <row r="257" spans="1:7" x14ac:dyDescent="0.2">
      <c r="A257">
        <v>3928</v>
      </c>
      <c r="B257" s="106" t="s">
        <v>2104</v>
      </c>
      <c r="C257">
        <v>0</v>
      </c>
      <c r="D257" s="106">
        <v>0</v>
      </c>
      <c r="E257" s="106">
        <v>0</v>
      </c>
      <c r="F257" s="106">
        <v>0</v>
      </c>
      <c r="G257" s="106">
        <v>0</v>
      </c>
    </row>
    <row r="258" spans="1:7" x14ac:dyDescent="0.2">
      <c r="A258">
        <v>3946</v>
      </c>
      <c r="B258" s="106" t="s">
        <v>2285</v>
      </c>
      <c r="C258">
        <v>0</v>
      </c>
      <c r="D258" t="s">
        <v>166</v>
      </c>
      <c r="E258">
        <v>0</v>
      </c>
      <c r="F258" t="s">
        <v>166</v>
      </c>
      <c r="G258">
        <v>0</v>
      </c>
    </row>
    <row r="259" spans="1:7" x14ac:dyDescent="0.2">
      <c r="A259">
        <v>3950</v>
      </c>
      <c r="B259" s="106" t="s">
        <v>2105</v>
      </c>
      <c r="C259">
        <v>0.1</v>
      </c>
      <c r="D259">
        <v>0.1</v>
      </c>
      <c r="E259" s="106">
        <v>0.1</v>
      </c>
      <c r="F259" s="106">
        <v>0.1</v>
      </c>
      <c r="G259" s="106">
        <v>0</v>
      </c>
    </row>
    <row r="260" spans="1:7" x14ac:dyDescent="0.2">
      <c r="A260">
        <v>3963</v>
      </c>
      <c r="B260" s="106" t="s">
        <v>2106</v>
      </c>
      <c r="C260">
        <v>0</v>
      </c>
      <c r="D260">
        <v>0</v>
      </c>
      <c r="E260" s="106">
        <v>0</v>
      </c>
      <c r="F260" s="106">
        <v>0</v>
      </c>
      <c r="G260" s="106">
        <v>0</v>
      </c>
    </row>
    <row r="261" spans="1:7" x14ac:dyDescent="0.2">
      <c r="A261">
        <v>3964</v>
      </c>
      <c r="B261" s="106" t="s">
        <v>1117</v>
      </c>
      <c r="C261">
        <v>0.05</v>
      </c>
      <c r="D261">
        <v>0.05</v>
      </c>
      <c r="E261">
        <v>0.05</v>
      </c>
      <c r="F261">
        <v>0.05</v>
      </c>
      <c r="G261">
        <v>0.15</v>
      </c>
    </row>
    <row r="262" spans="1:7" x14ac:dyDescent="0.2">
      <c r="A262">
        <v>3968</v>
      </c>
      <c r="B262" s="106" t="s">
        <v>1118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">
      <c r="A263">
        <v>3983</v>
      </c>
      <c r="B263" s="106" t="s">
        <v>1119</v>
      </c>
      <c r="C263">
        <v>0.05</v>
      </c>
      <c r="D263" s="106">
        <v>0.1</v>
      </c>
      <c r="E263" s="106">
        <v>0.1</v>
      </c>
      <c r="F263" s="106">
        <v>0.1</v>
      </c>
      <c r="G263" s="106">
        <v>0.3</v>
      </c>
    </row>
    <row r="264" spans="1:7" x14ac:dyDescent="0.2">
      <c r="A264">
        <v>3996</v>
      </c>
      <c r="B264" s="106" t="s">
        <v>1120</v>
      </c>
      <c r="C264">
        <v>0.05</v>
      </c>
      <c r="D264">
        <v>0.05</v>
      </c>
      <c r="E264" s="106">
        <v>0.05</v>
      </c>
      <c r="F264" s="106">
        <v>0.05</v>
      </c>
      <c r="G264" s="106">
        <v>0.15</v>
      </c>
    </row>
    <row r="265" spans="1:7" x14ac:dyDescent="0.2">
      <c r="A265">
        <v>4004</v>
      </c>
      <c r="B265" s="106" t="s">
        <v>2107</v>
      </c>
      <c r="C265">
        <v>0</v>
      </c>
      <c r="D265" s="106">
        <v>0</v>
      </c>
      <c r="E265" s="106">
        <v>0</v>
      </c>
      <c r="F265" s="106">
        <v>0</v>
      </c>
      <c r="G265" s="106">
        <v>0</v>
      </c>
    </row>
    <row r="266" spans="1:7" x14ac:dyDescent="0.2">
      <c r="A266">
        <v>4021</v>
      </c>
      <c r="B266" s="106" t="s">
        <v>2108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4022</v>
      </c>
      <c r="B267" s="106" t="s">
        <v>2553</v>
      </c>
      <c r="C267">
        <v>0</v>
      </c>
      <c r="D267" t="s">
        <v>166</v>
      </c>
      <c r="E267" t="s">
        <v>166</v>
      </c>
      <c r="F267">
        <v>0</v>
      </c>
      <c r="G267">
        <v>0</v>
      </c>
    </row>
    <row r="268" spans="1:7" x14ac:dyDescent="0.2">
      <c r="A268">
        <v>4025</v>
      </c>
      <c r="B268" s="106" t="s">
        <v>1121</v>
      </c>
      <c r="C268">
        <v>0.1</v>
      </c>
      <c r="D268">
        <v>0.1</v>
      </c>
      <c r="E268">
        <v>0.1</v>
      </c>
      <c r="F268">
        <v>0.1</v>
      </c>
      <c r="G268">
        <v>0.3</v>
      </c>
    </row>
    <row r="269" spans="1:7" x14ac:dyDescent="0.2">
      <c r="A269">
        <v>4041</v>
      </c>
      <c r="B269" s="106" t="s">
        <v>1122</v>
      </c>
      <c r="C269">
        <v>0</v>
      </c>
      <c r="D269">
        <v>0.05</v>
      </c>
      <c r="E269" s="106">
        <v>0.05</v>
      </c>
      <c r="F269">
        <v>0.05</v>
      </c>
      <c r="G269">
        <v>0.15</v>
      </c>
    </row>
    <row r="270" spans="1:7" x14ac:dyDescent="0.2">
      <c r="A270">
        <v>4042</v>
      </c>
      <c r="B270" s="106" t="s">
        <v>914</v>
      </c>
      <c r="C270">
        <v>0.05</v>
      </c>
      <c r="D270" s="106">
        <v>0.05</v>
      </c>
      <c r="E270" s="106">
        <v>0</v>
      </c>
      <c r="F270" s="106">
        <v>0</v>
      </c>
      <c r="G270" s="106">
        <v>0</v>
      </c>
    </row>
    <row r="271" spans="1:7" x14ac:dyDescent="0.2">
      <c r="A271">
        <v>4043</v>
      </c>
      <c r="B271" s="106" t="s">
        <v>1123</v>
      </c>
      <c r="C271">
        <v>0.05</v>
      </c>
      <c r="D271" s="106">
        <v>0.05</v>
      </c>
      <c r="E271" s="106">
        <v>0.05</v>
      </c>
      <c r="F271" s="106">
        <v>0.05</v>
      </c>
      <c r="G271" s="106">
        <v>0.15</v>
      </c>
    </row>
    <row r="272" spans="1:7" x14ac:dyDescent="0.2">
      <c r="A272">
        <v>4045</v>
      </c>
      <c r="B272" s="106" t="s">
        <v>1124</v>
      </c>
      <c r="C272">
        <v>0.05</v>
      </c>
      <c r="D272">
        <v>0.05</v>
      </c>
      <c r="E272">
        <v>0.05</v>
      </c>
      <c r="F272">
        <v>0.05</v>
      </c>
      <c r="G272">
        <v>0.15</v>
      </c>
    </row>
    <row r="273" spans="1:7" x14ac:dyDescent="0.2">
      <c r="A273">
        <v>4046</v>
      </c>
      <c r="B273" s="106" t="s">
        <v>2554</v>
      </c>
      <c r="C273">
        <v>0</v>
      </c>
      <c r="D273" t="s">
        <v>166</v>
      </c>
      <c r="E273" t="s">
        <v>166</v>
      </c>
      <c r="F273">
        <v>0.05</v>
      </c>
      <c r="G273" s="106">
        <v>0.15</v>
      </c>
    </row>
    <row r="274" spans="1:7" x14ac:dyDescent="0.2">
      <c r="A274">
        <v>4047</v>
      </c>
      <c r="B274" s="106" t="s">
        <v>1125</v>
      </c>
      <c r="C274">
        <v>0.05</v>
      </c>
      <c r="D274" s="106">
        <v>0.05</v>
      </c>
      <c r="E274">
        <v>0.05</v>
      </c>
      <c r="F274" s="106">
        <v>0.05</v>
      </c>
      <c r="G274" s="106">
        <v>0.15</v>
      </c>
    </row>
    <row r="275" spans="1:7" x14ac:dyDescent="0.2">
      <c r="A275">
        <v>4062</v>
      </c>
      <c r="B275" s="106" t="s">
        <v>247</v>
      </c>
      <c r="C275">
        <v>0.05</v>
      </c>
      <c r="D275">
        <v>0.05</v>
      </c>
      <c r="E275">
        <v>0.05</v>
      </c>
      <c r="F275">
        <v>0.05</v>
      </c>
      <c r="G275">
        <v>0.15</v>
      </c>
    </row>
    <row r="276" spans="1:7" x14ac:dyDescent="0.2">
      <c r="A276">
        <v>4064</v>
      </c>
      <c r="B276" s="106" t="s">
        <v>2555</v>
      </c>
      <c r="C276">
        <v>0</v>
      </c>
      <c r="D276">
        <v>0</v>
      </c>
      <c r="E276" t="s">
        <v>166</v>
      </c>
      <c r="F276" t="s">
        <v>166</v>
      </c>
      <c r="G276">
        <v>0</v>
      </c>
    </row>
    <row r="277" spans="1:7" x14ac:dyDescent="0.2">
      <c r="A277">
        <v>4091</v>
      </c>
      <c r="B277" s="106" t="s">
        <v>1126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4092</v>
      </c>
      <c r="B278" s="106" t="s">
        <v>1127</v>
      </c>
      <c r="C278">
        <v>0.05</v>
      </c>
      <c r="D278">
        <v>0</v>
      </c>
      <c r="E278">
        <v>0.1</v>
      </c>
      <c r="F278">
        <v>0.1</v>
      </c>
      <c r="G278">
        <v>0.3</v>
      </c>
    </row>
    <row r="279" spans="1:7" x14ac:dyDescent="0.2">
      <c r="A279">
        <v>4099</v>
      </c>
      <c r="B279" s="106" t="s">
        <v>2109</v>
      </c>
      <c r="C279">
        <v>0.05</v>
      </c>
      <c r="D279">
        <v>0.05</v>
      </c>
      <c r="E279">
        <v>0.05</v>
      </c>
      <c r="F279">
        <v>0.05</v>
      </c>
      <c r="G279" s="106">
        <v>0.15</v>
      </c>
    </row>
    <row r="280" spans="1:7" x14ac:dyDescent="0.2">
      <c r="A280">
        <v>4100</v>
      </c>
      <c r="B280" s="106" t="s">
        <v>1128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4112</v>
      </c>
      <c r="B281" s="106" t="s">
        <v>1129</v>
      </c>
      <c r="C281">
        <v>0.1</v>
      </c>
      <c r="D281" s="106">
        <v>0.1</v>
      </c>
      <c r="E281">
        <v>0.1</v>
      </c>
      <c r="F281">
        <v>0.1</v>
      </c>
      <c r="G281" s="106">
        <v>0.3</v>
      </c>
    </row>
    <row r="282" spans="1:7" x14ac:dyDescent="0.2">
      <c r="A282">
        <v>4114</v>
      </c>
      <c r="B282" s="106" t="s">
        <v>1130</v>
      </c>
      <c r="C282">
        <v>0.15</v>
      </c>
      <c r="D282">
        <v>0.15</v>
      </c>
      <c r="E282">
        <v>0.15</v>
      </c>
      <c r="F282">
        <v>0.15</v>
      </c>
      <c r="G282">
        <v>0.45</v>
      </c>
    </row>
    <row r="283" spans="1:7" x14ac:dyDescent="0.2">
      <c r="A283">
        <v>4151</v>
      </c>
      <c r="B283" s="106" t="s">
        <v>1131</v>
      </c>
      <c r="C283">
        <v>0.05</v>
      </c>
      <c r="D283">
        <v>0.05</v>
      </c>
      <c r="E283">
        <v>0.05</v>
      </c>
      <c r="F283">
        <v>0.05</v>
      </c>
      <c r="G283">
        <v>0.15</v>
      </c>
    </row>
    <row r="284" spans="1:7" x14ac:dyDescent="0.2">
      <c r="A284">
        <v>4182</v>
      </c>
      <c r="B284" s="106" t="s">
        <v>50</v>
      </c>
      <c r="C284">
        <v>0.05</v>
      </c>
      <c r="D284">
        <v>0</v>
      </c>
      <c r="E284">
        <v>0.05</v>
      </c>
      <c r="F284">
        <v>0</v>
      </c>
      <c r="G284">
        <v>0</v>
      </c>
    </row>
    <row r="285" spans="1:7" x14ac:dyDescent="0.2">
      <c r="A285">
        <v>4183</v>
      </c>
      <c r="B285" s="106" t="s">
        <v>229</v>
      </c>
      <c r="C285">
        <v>0.05</v>
      </c>
      <c r="D285">
        <v>0</v>
      </c>
      <c r="E285">
        <v>0</v>
      </c>
      <c r="F285">
        <v>0</v>
      </c>
      <c r="G285">
        <v>0</v>
      </c>
    </row>
    <row r="286" spans="1:7" x14ac:dyDescent="0.2">
      <c r="A286">
        <v>4186</v>
      </c>
      <c r="B286" s="106" t="s">
        <v>1132</v>
      </c>
      <c r="C286">
        <v>0.05</v>
      </c>
      <c r="D286">
        <v>0</v>
      </c>
      <c r="E286">
        <v>0.1</v>
      </c>
      <c r="F286">
        <v>0.05</v>
      </c>
      <c r="G286">
        <v>0</v>
      </c>
    </row>
    <row r="287" spans="1:7" x14ac:dyDescent="0.2">
      <c r="A287">
        <v>4187</v>
      </c>
      <c r="B287" s="106" t="s">
        <v>2110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4202</v>
      </c>
      <c r="B288" s="106" t="s">
        <v>51</v>
      </c>
      <c r="C288">
        <v>0.05</v>
      </c>
      <c r="D288">
        <v>0.05</v>
      </c>
      <c r="E288">
        <v>0.05</v>
      </c>
      <c r="F288">
        <v>0.05</v>
      </c>
      <c r="G288">
        <v>0</v>
      </c>
    </row>
    <row r="289" spans="1:7" x14ac:dyDescent="0.2">
      <c r="A289">
        <v>4203</v>
      </c>
      <c r="B289" s="106" t="s">
        <v>1133</v>
      </c>
      <c r="C289">
        <v>0</v>
      </c>
      <c r="D289">
        <v>0</v>
      </c>
      <c r="E289" s="106">
        <v>0</v>
      </c>
      <c r="F289" s="106">
        <v>0</v>
      </c>
      <c r="G289" s="106">
        <v>0</v>
      </c>
    </row>
    <row r="290" spans="1:7" x14ac:dyDescent="0.2">
      <c r="A290">
        <v>4204</v>
      </c>
      <c r="B290" s="106" t="s">
        <v>245</v>
      </c>
      <c r="C290">
        <v>0</v>
      </c>
      <c r="D290">
        <v>0</v>
      </c>
      <c r="E290">
        <v>0</v>
      </c>
      <c r="F290">
        <v>0.05</v>
      </c>
      <c r="G290">
        <v>0.15</v>
      </c>
    </row>
    <row r="291" spans="1:7" x14ac:dyDescent="0.2">
      <c r="A291">
        <v>4205</v>
      </c>
      <c r="B291" s="106" t="s">
        <v>1134</v>
      </c>
      <c r="C291">
        <v>0</v>
      </c>
      <c r="D291" s="106">
        <v>0</v>
      </c>
      <c r="E291" s="106">
        <v>0.05</v>
      </c>
      <c r="F291" s="106">
        <v>0.05</v>
      </c>
      <c r="G291" s="106">
        <v>0.15</v>
      </c>
    </row>
    <row r="292" spans="1:7" x14ac:dyDescent="0.2">
      <c r="A292">
        <v>4208</v>
      </c>
      <c r="B292" s="106" t="s">
        <v>55</v>
      </c>
      <c r="C292">
        <v>0.05</v>
      </c>
      <c r="D292">
        <v>0.05</v>
      </c>
      <c r="E292">
        <v>0.05</v>
      </c>
      <c r="F292">
        <v>0.05</v>
      </c>
      <c r="G292">
        <v>0.15</v>
      </c>
    </row>
    <row r="293" spans="1:7" x14ac:dyDescent="0.2">
      <c r="A293">
        <v>4212</v>
      </c>
      <c r="B293" s="106" t="s">
        <v>1135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4216</v>
      </c>
      <c r="B294" s="106" t="s">
        <v>1136</v>
      </c>
      <c r="C294">
        <v>0.05</v>
      </c>
      <c r="D294">
        <v>0.05</v>
      </c>
      <c r="E294">
        <v>0.05</v>
      </c>
      <c r="F294">
        <v>0.05</v>
      </c>
      <c r="G294">
        <v>0.15</v>
      </c>
    </row>
    <row r="295" spans="1:7" x14ac:dyDescent="0.2">
      <c r="A295">
        <v>4218</v>
      </c>
      <c r="B295" s="106" t="s">
        <v>1137</v>
      </c>
      <c r="C295">
        <v>0</v>
      </c>
      <c r="D295">
        <v>0</v>
      </c>
      <c r="E295">
        <v>0</v>
      </c>
      <c r="F295">
        <v>0.05</v>
      </c>
      <c r="G295">
        <v>0</v>
      </c>
    </row>
    <row r="296" spans="1:7" x14ac:dyDescent="0.2">
      <c r="A296">
        <v>4221</v>
      </c>
      <c r="B296" s="106" t="s">
        <v>2556</v>
      </c>
      <c r="C296">
        <v>0.05</v>
      </c>
      <c r="D296">
        <v>0.05</v>
      </c>
      <c r="E296" t="s">
        <v>166</v>
      </c>
      <c r="F296">
        <v>0.05</v>
      </c>
      <c r="G296">
        <v>0</v>
      </c>
    </row>
    <row r="297" spans="1:7" x14ac:dyDescent="0.2">
      <c r="A297">
        <v>4245</v>
      </c>
      <c r="B297" s="106" t="s">
        <v>2286</v>
      </c>
      <c r="C297">
        <v>0</v>
      </c>
      <c r="D297">
        <v>0</v>
      </c>
      <c r="E297">
        <v>0</v>
      </c>
      <c r="F297" t="s">
        <v>166</v>
      </c>
      <c r="G297">
        <v>0</v>
      </c>
    </row>
    <row r="298" spans="1:7" x14ac:dyDescent="0.2">
      <c r="A298">
        <v>4246</v>
      </c>
      <c r="B298" s="106" t="s">
        <v>2287</v>
      </c>
      <c r="C298">
        <v>0</v>
      </c>
      <c r="D298" t="s">
        <v>166</v>
      </c>
      <c r="E298">
        <v>0</v>
      </c>
      <c r="F298" s="106" t="s">
        <v>166</v>
      </c>
      <c r="G298" s="106">
        <v>0</v>
      </c>
    </row>
    <row r="299" spans="1:7" x14ac:dyDescent="0.2">
      <c r="A299">
        <v>4272</v>
      </c>
      <c r="B299" s="106" t="s">
        <v>1138</v>
      </c>
      <c r="C299">
        <v>0.05</v>
      </c>
      <c r="D299" t="s">
        <v>166</v>
      </c>
      <c r="E299">
        <v>0.05</v>
      </c>
      <c r="F299">
        <v>0.05</v>
      </c>
      <c r="G299" s="106">
        <v>0</v>
      </c>
    </row>
    <row r="300" spans="1:7" x14ac:dyDescent="0.2">
      <c r="A300">
        <v>4286</v>
      </c>
      <c r="B300" s="106" t="s">
        <v>1139</v>
      </c>
      <c r="C300">
        <v>0.05</v>
      </c>
      <c r="D300">
        <v>0</v>
      </c>
      <c r="E300">
        <v>0.05</v>
      </c>
      <c r="F300">
        <v>0</v>
      </c>
      <c r="G300" s="106">
        <v>0.15</v>
      </c>
    </row>
    <row r="301" spans="1:7" x14ac:dyDescent="0.2">
      <c r="A301">
        <v>4290</v>
      </c>
      <c r="B301" s="106" t="s">
        <v>1140</v>
      </c>
      <c r="C301">
        <v>0</v>
      </c>
      <c r="D301">
        <v>0</v>
      </c>
      <c r="E301" s="106">
        <v>0</v>
      </c>
      <c r="F301">
        <v>0</v>
      </c>
      <c r="G301" s="106">
        <v>0</v>
      </c>
    </row>
    <row r="302" spans="1:7" x14ac:dyDescent="0.2">
      <c r="A302">
        <v>4299</v>
      </c>
      <c r="B302" s="106" t="s">
        <v>1141</v>
      </c>
      <c r="C302">
        <v>0.05</v>
      </c>
      <c r="D302">
        <v>0.05</v>
      </c>
      <c r="E302" s="106">
        <v>0.05</v>
      </c>
      <c r="F302">
        <v>0.05</v>
      </c>
      <c r="G302" s="106">
        <v>0.15</v>
      </c>
    </row>
    <row r="303" spans="1:7" x14ac:dyDescent="0.2">
      <c r="A303">
        <v>4307</v>
      </c>
      <c r="B303" s="106" t="s">
        <v>1142</v>
      </c>
      <c r="C303">
        <v>0</v>
      </c>
      <c r="D303" s="106">
        <v>0</v>
      </c>
      <c r="E303" s="106">
        <v>0</v>
      </c>
      <c r="F303" s="106">
        <v>0</v>
      </c>
      <c r="G303" s="106">
        <v>0</v>
      </c>
    </row>
    <row r="304" spans="1:7" x14ac:dyDescent="0.2">
      <c r="A304">
        <v>4310</v>
      </c>
      <c r="B304" s="106" t="s">
        <v>1143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4321</v>
      </c>
      <c r="B305" s="106" t="s">
        <v>1144</v>
      </c>
      <c r="C305">
        <v>0</v>
      </c>
      <c r="D305" s="106">
        <v>0</v>
      </c>
      <c r="E305">
        <v>0</v>
      </c>
      <c r="F305">
        <v>0</v>
      </c>
      <c r="G305">
        <v>0</v>
      </c>
    </row>
    <row r="306" spans="1:7" x14ac:dyDescent="0.2">
      <c r="A306">
        <v>4337</v>
      </c>
      <c r="B306" s="106" t="s">
        <v>1145</v>
      </c>
      <c r="C306">
        <v>0.1</v>
      </c>
      <c r="D306" s="106">
        <v>0.1</v>
      </c>
      <c r="E306">
        <v>0.1</v>
      </c>
      <c r="F306">
        <v>0.1</v>
      </c>
      <c r="G306">
        <v>0.3</v>
      </c>
    </row>
    <row r="307" spans="1:7" x14ac:dyDescent="0.2">
      <c r="A307">
        <v>4344</v>
      </c>
      <c r="B307" s="106" t="s">
        <v>1146</v>
      </c>
      <c r="C307">
        <v>0</v>
      </c>
      <c r="D307">
        <v>0</v>
      </c>
      <c r="E307">
        <v>0</v>
      </c>
      <c r="F307">
        <v>0.05</v>
      </c>
      <c r="G307">
        <v>0</v>
      </c>
    </row>
    <row r="308" spans="1:7" x14ac:dyDescent="0.2">
      <c r="A308">
        <v>4345</v>
      </c>
      <c r="B308" s="106" t="s">
        <v>1147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">
      <c r="A309">
        <v>4362</v>
      </c>
      <c r="B309" s="106" t="s">
        <v>2557</v>
      </c>
      <c r="C309">
        <v>0.05</v>
      </c>
      <c r="D309" t="s">
        <v>166</v>
      </c>
      <c r="E309" t="s">
        <v>166</v>
      </c>
      <c r="F309">
        <v>0</v>
      </c>
      <c r="G309">
        <v>0</v>
      </c>
    </row>
    <row r="310" spans="1:7" x14ac:dyDescent="0.2">
      <c r="A310">
        <v>4368</v>
      </c>
      <c r="B310" s="106" t="s">
        <v>1148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4401</v>
      </c>
      <c r="B311" s="106" t="s">
        <v>241</v>
      </c>
      <c r="C311">
        <v>0.05</v>
      </c>
      <c r="D311">
        <v>0.05</v>
      </c>
      <c r="E311">
        <v>0.05</v>
      </c>
      <c r="F311">
        <v>0.05</v>
      </c>
      <c r="G311">
        <v>0.15</v>
      </c>
    </row>
    <row r="312" spans="1:7" x14ac:dyDescent="0.2">
      <c r="A312">
        <v>4403</v>
      </c>
      <c r="B312" s="106" t="s">
        <v>1149</v>
      </c>
      <c r="C312">
        <v>0.05</v>
      </c>
      <c r="D312">
        <v>0.05</v>
      </c>
      <c r="E312">
        <v>0</v>
      </c>
      <c r="F312">
        <v>0</v>
      </c>
      <c r="G312">
        <v>0</v>
      </c>
    </row>
    <row r="313" spans="1:7" x14ac:dyDescent="0.2">
      <c r="A313">
        <v>4404</v>
      </c>
      <c r="B313" s="106" t="s">
        <v>2288</v>
      </c>
      <c r="C313">
        <v>0</v>
      </c>
      <c r="D313">
        <v>0</v>
      </c>
      <c r="E313">
        <v>0</v>
      </c>
      <c r="F313" t="s">
        <v>166</v>
      </c>
      <c r="G313">
        <v>0</v>
      </c>
    </row>
    <row r="314" spans="1:7" x14ac:dyDescent="0.2">
      <c r="A314">
        <v>4410</v>
      </c>
      <c r="B314" s="106" t="s">
        <v>1150</v>
      </c>
      <c r="C314">
        <v>0.05</v>
      </c>
      <c r="D314">
        <v>0.05</v>
      </c>
      <c r="E314" s="106">
        <v>0.05</v>
      </c>
      <c r="F314">
        <v>0.05</v>
      </c>
      <c r="G314" s="106">
        <v>0.15</v>
      </c>
    </row>
    <row r="315" spans="1:7" x14ac:dyDescent="0.2">
      <c r="A315">
        <v>4452</v>
      </c>
      <c r="B315" s="106" t="s">
        <v>1151</v>
      </c>
      <c r="C315">
        <v>0.15</v>
      </c>
      <c r="D315">
        <v>0.15</v>
      </c>
      <c r="E315">
        <v>0.15</v>
      </c>
      <c r="F315">
        <v>0.15</v>
      </c>
      <c r="G315">
        <v>0.45</v>
      </c>
    </row>
    <row r="316" spans="1:7" x14ac:dyDescent="0.2">
      <c r="A316">
        <v>4461</v>
      </c>
      <c r="B316" s="106" t="s">
        <v>1152</v>
      </c>
      <c r="C316">
        <v>0.1</v>
      </c>
      <c r="D316">
        <v>0.1</v>
      </c>
      <c r="E316">
        <v>0.1</v>
      </c>
      <c r="F316">
        <v>0.1</v>
      </c>
      <c r="G316">
        <v>0.3</v>
      </c>
    </row>
    <row r="317" spans="1:7" x14ac:dyDescent="0.2">
      <c r="A317">
        <v>4462</v>
      </c>
      <c r="B317" s="106" t="s">
        <v>2190</v>
      </c>
      <c r="C317">
        <v>0</v>
      </c>
      <c r="D317" t="s">
        <v>166</v>
      </c>
      <c r="E317" s="106">
        <v>0.05</v>
      </c>
      <c r="F317" s="106">
        <v>0</v>
      </c>
      <c r="G317" t="s">
        <v>166</v>
      </c>
    </row>
    <row r="318" spans="1:7" x14ac:dyDescent="0.2">
      <c r="A318">
        <v>4503</v>
      </c>
      <c r="B318" s="106" t="s">
        <v>1153</v>
      </c>
      <c r="C318">
        <v>0</v>
      </c>
      <c r="D318">
        <v>0</v>
      </c>
      <c r="E318">
        <v>0</v>
      </c>
      <c r="F318">
        <v>0.05</v>
      </c>
      <c r="G318">
        <v>0</v>
      </c>
    </row>
    <row r="319" spans="1:7" x14ac:dyDescent="0.2">
      <c r="A319">
        <v>4507</v>
      </c>
      <c r="B319" s="106" t="s">
        <v>2191</v>
      </c>
      <c r="C319">
        <v>0</v>
      </c>
      <c r="D319">
        <v>0</v>
      </c>
      <c r="E319">
        <v>0</v>
      </c>
      <c r="F319" s="106">
        <v>0</v>
      </c>
      <c r="G319" t="s">
        <v>166</v>
      </c>
    </row>
    <row r="320" spans="1:7" x14ac:dyDescent="0.2">
      <c r="A320">
        <v>4512</v>
      </c>
      <c r="B320" s="106" t="s">
        <v>1154</v>
      </c>
      <c r="C320">
        <v>0.05</v>
      </c>
      <c r="D320">
        <v>0.05</v>
      </c>
      <c r="E320">
        <v>0.05</v>
      </c>
      <c r="F320" s="106">
        <v>0</v>
      </c>
      <c r="G320">
        <v>0</v>
      </c>
    </row>
    <row r="321" spans="1:7" x14ac:dyDescent="0.2">
      <c r="A321">
        <v>4519</v>
      </c>
      <c r="B321" s="106" t="s">
        <v>702</v>
      </c>
      <c r="C321">
        <v>0.2</v>
      </c>
      <c r="D321">
        <v>0.2</v>
      </c>
      <c r="E321">
        <v>0.2</v>
      </c>
      <c r="F321" s="106">
        <v>0.2</v>
      </c>
      <c r="G321">
        <v>0.6</v>
      </c>
    </row>
    <row r="322" spans="1:7" x14ac:dyDescent="0.2">
      <c r="A322">
        <v>4521</v>
      </c>
      <c r="B322" s="106" t="s">
        <v>1155</v>
      </c>
      <c r="C322">
        <v>0.1</v>
      </c>
      <c r="D322">
        <v>0.1</v>
      </c>
      <c r="E322">
        <v>0.1</v>
      </c>
      <c r="F322">
        <v>0.1</v>
      </c>
      <c r="G322">
        <v>0.3</v>
      </c>
    </row>
    <row r="323" spans="1:7" x14ac:dyDescent="0.2">
      <c r="A323">
        <v>4523</v>
      </c>
      <c r="B323" s="106" t="s">
        <v>2558</v>
      </c>
      <c r="C323">
        <v>0</v>
      </c>
      <c r="D323">
        <v>0</v>
      </c>
      <c r="E323" t="s">
        <v>166</v>
      </c>
      <c r="F323">
        <v>0</v>
      </c>
      <c r="G323" t="s">
        <v>166</v>
      </c>
    </row>
    <row r="324" spans="1:7" x14ac:dyDescent="0.2">
      <c r="A324">
        <v>4527</v>
      </c>
      <c r="B324" s="106" t="s">
        <v>1156</v>
      </c>
      <c r="C324">
        <v>0</v>
      </c>
      <c r="D324">
        <v>0</v>
      </c>
      <c r="E324">
        <v>0</v>
      </c>
      <c r="F324">
        <v>0</v>
      </c>
      <c r="G324">
        <v>0.15</v>
      </c>
    </row>
    <row r="325" spans="1:7" x14ac:dyDescent="0.2">
      <c r="A325">
        <v>4528</v>
      </c>
      <c r="B325" s="106" t="s">
        <v>1157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">
      <c r="A326">
        <v>4530</v>
      </c>
      <c r="B326" s="106" t="s">
        <v>2111</v>
      </c>
      <c r="C326">
        <v>0.1</v>
      </c>
      <c r="D326">
        <v>0.1</v>
      </c>
      <c r="E326">
        <v>0.1</v>
      </c>
      <c r="F326" s="106">
        <v>0</v>
      </c>
      <c r="G326">
        <v>0</v>
      </c>
    </row>
    <row r="327" spans="1:7" x14ac:dyDescent="0.2">
      <c r="A327">
        <v>4534</v>
      </c>
      <c r="B327" s="106" t="s">
        <v>1158</v>
      </c>
      <c r="C327">
        <v>0.1</v>
      </c>
      <c r="D327">
        <v>0.1</v>
      </c>
      <c r="E327">
        <v>0.1</v>
      </c>
      <c r="F327" s="106">
        <v>0.1</v>
      </c>
      <c r="G327">
        <v>0.3</v>
      </c>
    </row>
    <row r="328" spans="1:7" x14ac:dyDescent="0.2">
      <c r="A328">
        <v>4536</v>
      </c>
      <c r="B328" s="106" t="s">
        <v>1159</v>
      </c>
      <c r="C328">
        <v>0.05</v>
      </c>
      <c r="D328">
        <v>0.05</v>
      </c>
      <c r="E328">
        <v>0.05</v>
      </c>
      <c r="F328">
        <v>0.05</v>
      </c>
      <c r="G328">
        <v>0.15</v>
      </c>
    </row>
    <row r="329" spans="1:7" x14ac:dyDescent="0.2">
      <c r="A329">
        <v>4538</v>
      </c>
      <c r="B329" s="106" t="s">
        <v>1160</v>
      </c>
      <c r="C329">
        <v>0</v>
      </c>
      <c r="D329">
        <v>0</v>
      </c>
      <c r="E329">
        <v>0.05</v>
      </c>
      <c r="F329">
        <v>0</v>
      </c>
      <c r="G329" s="106">
        <v>0</v>
      </c>
    </row>
    <row r="330" spans="1:7" x14ac:dyDescent="0.2">
      <c r="A330">
        <v>4540</v>
      </c>
      <c r="B330" s="106" t="s">
        <v>1161</v>
      </c>
      <c r="C330">
        <v>0</v>
      </c>
      <c r="D330">
        <v>0</v>
      </c>
      <c r="E330">
        <v>0</v>
      </c>
      <c r="F330">
        <v>0.05</v>
      </c>
      <c r="G330">
        <v>0</v>
      </c>
    </row>
    <row r="331" spans="1:7" x14ac:dyDescent="0.2">
      <c r="A331">
        <v>4541</v>
      </c>
      <c r="B331" s="106" t="s">
        <v>2112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4543</v>
      </c>
      <c r="B332" s="106" t="s">
        <v>1162</v>
      </c>
      <c r="C332">
        <v>0</v>
      </c>
      <c r="D332">
        <v>0.1</v>
      </c>
      <c r="E332">
        <v>0.05</v>
      </c>
      <c r="F332">
        <v>0.1</v>
      </c>
      <c r="G332">
        <v>0.3</v>
      </c>
    </row>
    <row r="333" spans="1:7" x14ac:dyDescent="0.2">
      <c r="A333">
        <v>4547</v>
      </c>
      <c r="B333" s="106" t="s">
        <v>1163</v>
      </c>
      <c r="C333">
        <v>0</v>
      </c>
      <c r="D333">
        <v>0</v>
      </c>
      <c r="E333">
        <v>0.05</v>
      </c>
      <c r="F333">
        <v>0.05</v>
      </c>
      <c r="G333">
        <v>0.15</v>
      </c>
    </row>
    <row r="334" spans="1:7" x14ac:dyDescent="0.2">
      <c r="A334">
        <v>4554</v>
      </c>
      <c r="B334" s="106" t="s">
        <v>1164</v>
      </c>
      <c r="C334">
        <v>0.05</v>
      </c>
      <c r="D334">
        <v>0.05</v>
      </c>
      <c r="E334">
        <v>0.05</v>
      </c>
      <c r="F334">
        <v>0.05</v>
      </c>
      <c r="G334">
        <v>0.15</v>
      </c>
    </row>
    <row r="335" spans="1:7" x14ac:dyDescent="0.2">
      <c r="A335">
        <v>4555</v>
      </c>
      <c r="B335" s="106" t="s">
        <v>1165</v>
      </c>
      <c r="C335">
        <v>0.15</v>
      </c>
      <c r="D335">
        <v>0.15</v>
      </c>
      <c r="E335">
        <v>0.15</v>
      </c>
      <c r="F335">
        <v>0.15</v>
      </c>
      <c r="G335" s="106">
        <v>0.45</v>
      </c>
    </row>
    <row r="336" spans="1:7" x14ac:dyDescent="0.2">
      <c r="A336">
        <v>4559</v>
      </c>
      <c r="B336" s="106" t="s">
        <v>1166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">
      <c r="A337">
        <v>4568</v>
      </c>
      <c r="B337" s="106" t="s">
        <v>2559</v>
      </c>
      <c r="C337">
        <v>0</v>
      </c>
      <c r="D337">
        <v>0</v>
      </c>
      <c r="E337" t="s">
        <v>166</v>
      </c>
      <c r="F337" t="s">
        <v>166</v>
      </c>
      <c r="G337" t="s">
        <v>166</v>
      </c>
    </row>
    <row r="338" spans="1:7" x14ac:dyDescent="0.2">
      <c r="A338">
        <v>4574</v>
      </c>
      <c r="B338" s="106" t="s">
        <v>1167</v>
      </c>
      <c r="C338">
        <v>0.1</v>
      </c>
      <c r="D338">
        <v>0.1</v>
      </c>
      <c r="E338">
        <v>0.1</v>
      </c>
      <c r="F338" s="106">
        <v>0.05</v>
      </c>
      <c r="G338" s="106">
        <v>0.3</v>
      </c>
    </row>
    <row r="339" spans="1:7" x14ac:dyDescent="0.2">
      <c r="A339">
        <v>4578</v>
      </c>
      <c r="B339" s="106" t="s">
        <v>2289</v>
      </c>
      <c r="C339">
        <v>0</v>
      </c>
      <c r="D339">
        <v>0</v>
      </c>
      <c r="E339">
        <v>0</v>
      </c>
      <c r="F339" t="s">
        <v>166</v>
      </c>
      <c r="G339" t="s">
        <v>166</v>
      </c>
    </row>
    <row r="340" spans="1:7" x14ac:dyDescent="0.2">
      <c r="A340">
        <v>4612</v>
      </c>
      <c r="B340" s="106" t="s">
        <v>1168</v>
      </c>
      <c r="C340">
        <v>0.1</v>
      </c>
      <c r="D340">
        <v>0.1</v>
      </c>
      <c r="E340">
        <v>0.1</v>
      </c>
      <c r="F340">
        <v>0.1</v>
      </c>
      <c r="G340">
        <v>0.3</v>
      </c>
    </row>
    <row r="341" spans="1:7" x14ac:dyDescent="0.2">
      <c r="A341">
        <v>4613</v>
      </c>
      <c r="B341" s="106" t="s">
        <v>242</v>
      </c>
      <c r="C341">
        <v>0.05</v>
      </c>
      <c r="D341">
        <v>0.05</v>
      </c>
      <c r="E341">
        <v>0.05</v>
      </c>
      <c r="F341">
        <v>0.05</v>
      </c>
      <c r="G341">
        <v>0.15</v>
      </c>
    </row>
    <row r="342" spans="1:7" x14ac:dyDescent="0.2">
      <c r="A342">
        <v>4617</v>
      </c>
      <c r="B342" s="106" t="s">
        <v>1169</v>
      </c>
      <c r="C342">
        <v>0.05</v>
      </c>
      <c r="D342" s="106">
        <v>0</v>
      </c>
      <c r="E342">
        <v>0</v>
      </c>
      <c r="F342" s="106">
        <v>0</v>
      </c>
      <c r="G342">
        <v>0.15</v>
      </c>
    </row>
    <row r="343" spans="1:7" x14ac:dyDescent="0.2">
      <c r="A343">
        <v>4619</v>
      </c>
      <c r="B343" s="106" t="s">
        <v>2192</v>
      </c>
      <c r="C343">
        <v>0</v>
      </c>
      <c r="D343" s="106">
        <v>0</v>
      </c>
      <c r="E343">
        <v>0</v>
      </c>
      <c r="F343" s="106">
        <v>0</v>
      </c>
      <c r="G343" t="s">
        <v>166</v>
      </c>
    </row>
    <row r="344" spans="1:7" x14ac:dyDescent="0.2">
      <c r="A344">
        <v>4633</v>
      </c>
      <c r="B344" s="106" t="s">
        <v>1170</v>
      </c>
      <c r="C344">
        <v>0.05</v>
      </c>
      <c r="D344">
        <v>0.05</v>
      </c>
      <c r="E344">
        <v>0.05</v>
      </c>
      <c r="F344">
        <v>0.05</v>
      </c>
      <c r="G344">
        <v>0.15</v>
      </c>
    </row>
    <row r="345" spans="1:7" x14ac:dyDescent="0.2">
      <c r="A345">
        <v>4634</v>
      </c>
      <c r="B345" s="106" t="s">
        <v>74</v>
      </c>
      <c r="C345">
        <v>0.05</v>
      </c>
      <c r="D345">
        <v>0.05</v>
      </c>
      <c r="E345">
        <v>0.05</v>
      </c>
      <c r="F345">
        <v>0.05</v>
      </c>
      <c r="G345">
        <v>0.15</v>
      </c>
    </row>
    <row r="346" spans="1:7" x14ac:dyDescent="0.2">
      <c r="A346">
        <v>4658</v>
      </c>
      <c r="B346" s="106" t="s">
        <v>1171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4665</v>
      </c>
      <c r="B347" s="106" t="s">
        <v>1172</v>
      </c>
      <c r="C347">
        <v>0.05</v>
      </c>
      <c r="D347">
        <v>0.05</v>
      </c>
      <c r="E347">
        <v>0.05</v>
      </c>
      <c r="F347">
        <v>0.05</v>
      </c>
      <c r="G347" s="106">
        <v>0.15</v>
      </c>
    </row>
    <row r="348" spans="1:7" x14ac:dyDescent="0.2">
      <c r="A348">
        <v>4666</v>
      </c>
      <c r="B348" s="106" t="s">
        <v>2290</v>
      </c>
      <c r="C348">
        <v>0</v>
      </c>
      <c r="D348">
        <v>0</v>
      </c>
      <c r="E348">
        <v>0</v>
      </c>
      <c r="F348" t="s">
        <v>166</v>
      </c>
      <c r="G348">
        <v>0</v>
      </c>
    </row>
    <row r="349" spans="1:7" x14ac:dyDescent="0.2">
      <c r="A349">
        <v>4668</v>
      </c>
      <c r="B349" s="106" t="s">
        <v>1173</v>
      </c>
      <c r="C349">
        <v>0.05</v>
      </c>
      <c r="D349">
        <v>0.05</v>
      </c>
      <c r="E349">
        <v>0.05</v>
      </c>
      <c r="F349">
        <v>0.05</v>
      </c>
      <c r="G349">
        <v>0</v>
      </c>
    </row>
    <row r="350" spans="1:7" x14ac:dyDescent="0.2">
      <c r="A350">
        <v>4671</v>
      </c>
      <c r="B350" s="106" t="s">
        <v>1174</v>
      </c>
      <c r="C350">
        <v>0</v>
      </c>
      <c r="D350">
        <v>0</v>
      </c>
      <c r="E350">
        <v>0</v>
      </c>
      <c r="F350">
        <v>0.05</v>
      </c>
      <c r="G350">
        <v>0</v>
      </c>
    </row>
    <row r="351" spans="1:7" x14ac:dyDescent="0.2">
      <c r="A351">
        <v>4676</v>
      </c>
      <c r="B351" s="106" t="s">
        <v>1175</v>
      </c>
      <c r="C351">
        <v>0</v>
      </c>
      <c r="D351">
        <v>0</v>
      </c>
      <c r="E351">
        <v>0</v>
      </c>
      <c r="F351" s="106">
        <v>0</v>
      </c>
      <c r="G351">
        <v>0</v>
      </c>
    </row>
    <row r="352" spans="1:7" x14ac:dyDescent="0.2">
      <c r="A352">
        <v>4678</v>
      </c>
      <c r="B352" s="106" t="s">
        <v>2113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4681</v>
      </c>
      <c r="B353" s="106" t="s">
        <v>2193</v>
      </c>
      <c r="C353">
        <v>0</v>
      </c>
      <c r="D353" s="106">
        <v>0</v>
      </c>
      <c r="E353" s="106">
        <v>0</v>
      </c>
      <c r="F353">
        <v>0.05</v>
      </c>
      <c r="G353" t="s">
        <v>166</v>
      </c>
    </row>
    <row r="354" spans="1:7" x14ac:dyDescent="0.2">
      <c r="A354">
        <v>4694</v>
      </c>
      <c r="B354" s="106" t="s">
        <v>2114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">
      <c r="A355">
        <v>4696</v>
      </c>
      <c r="B355" s="106" t="s">
        <v>1176</v>
      </c>
      <c r="C355">
        <v>0</v>
      </c>
      <c r="D355">
        <v>0</v>
      </c>
      <c r="E355">
        <v>0</v>
      </c>
      <c r="F355">
        <v>0</v>
      </c>
      <c r="G355" s="106">
        <v>0</v>
      </c>
    </row>
    <row r="356" spans="1:7" x14ac:dyDescent="0.2">
      <c r="A356">
        <v>4704</v>
      </c>
      <c r="B356" s="106" t="s">
        <v>2115</v>
      </c>
      <c r="C356">
        <v>0</v>
      </c>
      <c r="D356" s="106">
        <v>0</v>
      </c>
      <c r="E356" s="106">
        <v>0</v>
      </c>
      <c r="F356" s="106">
        <v>0</v>
      </c>
      <c r="G356" s="106">
        <v>0</v>
      </c>
    </row>
    <row r="357" spans="1:7" x14ac:dyDescent="0.2">
      <c r="A357">
        <v>4716</v>
      </c>
      <c r="B357" s="106" t="s">
        <v>1177</v>
      </c>
      <c r="C357">
        <v>0.2</v>
      </c>
      <c r="D357">
        <v>0.2</v>
      </c>
      <c r="E357">
        <v>0.2</v>
      </c>
      <c r="F357">
        <v>0.2</v>
      </c>
      <c r="G357">
        <v>0.6</v>
      </c>
    </row>
    <row r="358" spans="1:7" x14ac:dyDescent="0.2">
      <c r="A358">
        <v>4719</v>
      </c>
      <c r="B358" s="106" t="s">
        <v>1178</v>
      </c>
      <c r="C358">
        <v>0</v>
      </c>
      <c r="D358" s="106">
        <v>0</v>
      </c>
      <c r="E358" s="106">
        <v>0.05</v>
      </c>
      <c r="F358" s="106">
        <v>0.05</v>
      </c>
      <c r="G358" s="106">
        <v>0</v>
      </c>
    </row>
    <row r="359" spans="1:7" x14ac:dyDescent="0.2">
      <c r="A359">
        <v>4725</v>
      </c>
      <c r="B359" s="106" t="s">
        <v>1179</v>
      </c>
      <c r="C359">
        <v>0.05</v>
      </c>
      <c r="D359" s="106">
        <v>0.05</v>
      </c>
      <c r="E359" s="106">
        <v>0.05</v>
      </c>
      <c r="F359" s="106">
        <v>0.05</v>
      </c>
      <c r="G359">
        <v>0.15</v>
      </c>
    </row>
    <row r="360" spans="1:7" x14ac:dyDescent="0.2">
      <c r="A360">
        <v>4726</v>
      </c>
      <c r="B360" s="106" t="s">
        <v>2116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">
      <c r="A361">
        <v>4732</v>
      </c>
      <c r="B361" s="106" t="s">
        <v>1180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">
      <c r="A362">
        <v>4812</v>
      </c>
      <c r="B362" s="106" t="s">
        <v>1181</v>
      </c>
      <c r="C362">
        <v>0.1</v>
      </c>
      <c r="D362">
        <v>0.1</v>
      </c>
      <c r="E362">
        <v>0.1</v>
      </c>
      <c r="F362">
        <v>0</v>
      </c>
      <c r="G362" s="106">
        <v>0.3</v>
      </c>
    </row>
    <row r="363" spans="1:7" x14ac:dyDescent="0.2">
      <c r="A363">
        <v>4820</v>
      </c>
      <c r="B363" s="106" t="s">
        <v>1182</v>
      </c>
      <c r="C363">
        <v>0.05</v>
      </c>
      <c r="D363" s="106">
        <v>0.05</v>
      </c>
      <c r="E363">
        <v>0.05</v>
      </c>
      <c r="F363" s="106">
        <v>0.05</v>
      </c>
      <c r="G363">
        <v>0.6</v>
      </c>
    </row>
    <row r="364" spans="1:7" x14ac:dyDescent="0.2">
      <c r="A364">
        <v>4825</v>
      </c>
      <c r="B364" s="106" t="s">
        <v>1183</v>
      </c>
      <c r="C364">
        <v>0.1</v>
      </c>
      <c r="D364" s="106">
        <v>0.1</v>
      </c>
      <c r="E364">
        <v>0.1</v>
      </c>
      <c r="F364" s="106">
        <v>0.1</v>
      </c>
      <c r="G364">
        <v>0.3</v>
      </c>
    </row>
    <row r="365" spans="1:7" x14ac:dyDescent="0.2">
      <c r="A365">
        <v>4826</v>
      </c>
      <c r="B365" s="106" t="s">
        <v>1184</v>
      </c>
      <c r="C365">
        <v>0</v>
      </c>
      <c r="D365">
        <v>0</v>
      </c>
      <c r="E365">
        <v>0</v>
      </c>
      <c r="F365" s="106">
        <v>0</v>
      </c>
      <c r="G365">
        <v>0</v>
      </c>
    </row>
    <row r="366" spans="1:7" x14ac:dyDescent="0.2">
      <c r="A366">
        <v>4828</v>
      </c>
      <c r="B366" s="106" t="s">
        <v>1185</v>
      </c>
      <c r="C366">
        <v>0</v>
      </c>
      <c r="D366">
        <v>0</v>
      </c>
      <c r="E366">
        <v>0</v>
      </c>
      <c r="F366" s="106">
        <v>0</v>
      </c>
      <c r="G366">
        <v>0</v>
      </c>
    </row>
    <row r="367" spans="1:7" x14ac:dyDescent="0.2">
      <c r="A367">
        <v>4839</v>
      </c>
      <c r="B367" s="106" t="s">
        <v>1186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">
      <c r="A368">
        <v>4848</v>
      </c>
      <c r="B368" s="106" t="s">
        <v>1187</v>
      </c>
      <c r="C368">
        <v>0.05</v>
      </c>
      <c r="D368" s="106">
        <v>0.05</v>
      </c>
      <c r="E368" s="106">
        <v>0.05</v>
      </c>
      <c r="F368" s="106">
        <v>0.05</v>
      </c>
      <c r="G368" s="106">
        <v>0.15</v>
      </c>
    </row>
    <row r="369" spans="1:7" x14ac:dyDescent="0.2">
      <c r="A369">
        <v>4849</v>
      </c>
      <c r="B369" s="106" t="s">
        <v>917</v>
      </c>
      <c r="C369">
        <v>0.1</v>
      </c>
      <c r="D369" s="106">
        <v>0.1</v>
      </c>
      <c r="E369" s="106">
        <v>0.1</v>
      </c>
      <c r="F369" s="106">
        <v>0.1</v>
      </c>
      <c r="G369" s="106">
        <v>0.3</v>
      </c>
    </row>
    <row r="370" spans="1:7" x14ac:dyDescent="0.2">
      <c r="A370">
        <v>4912</v>
      </c>
      <c r="B370" s="106" t="s">
        <v>2560</v>
      </c>
      <c r="C370">
        <v>0</v>
      </c>
      <c r="D370" s="106">
        <v>0</v>
      </c>
      <c r="E370" t="s">
        <v>166</v>
      </c>
      <c r="F370" s="106" t="s">
        <v>166</v>
      </c>
      <c r="G370" s="106" t="s">
        <v>166</v>
      </c>
    </row>
    <row r="371" spans="1:7" x14ac:dyDescent="0.2">
      <c r="A371">
        <v>4917</v>
      </c>
      <c r="B371" s="106" t="s">
        <v>1188</v>
      </c>
      <c r="C371">
        <v>0.05</v>
      </c>
      <c r="D371" s="106">
        <v>0.05</v>
      </c>
      <c r="E371">
        <v>0</v>
      </c>
      <c r="F371" s="106">
        <v>0</v>
      </c>
      <c r="G371" s="106">
        <v>0</v>
      </c>
    </row>
    <row r="372" spans="1:7" x14ac:dyDescent="0.2">
      <c r="A372">
        <v>4919</v>
      </c>
      <c r="B372" s="106" t="s">
        <v>1189</v>
      </c>
      <c r="C372">
        <v>0.15</v>
      </c>
      <c r="D372">
        <v>0.15</v>
      </c>
      <c r="E372">
        <v>0.1</v>
      </c>
      <c r="F372">
        <v>0.1</v>
      </c>
      <c r="G372">
        <v>0.3</v>
      </c>
    </row>
    <row r="373" spans="1:7" x14ac:dyDescent="0.2">
      <c r="A373">
        <v>4923</v>
      </c>
      <c r="B373" s="106" t="s">
        <v>2561</v>
      </c>
      <c r="C373">
        <v>0</v>
      </c>
      <c r="D373" t="s">
        <v>166</v>
      </c>
      <c r="E373" s="106" t="s">
        <v>166</v>
      </c>
      <c r="F373" t="s">
        <v>166</v>
      </c>
      <c r="G373" s="106" t="s">
        <v>166</v>
      </c>
    </row>
    <row r="374" spans="1:7" x14ac:dyDescent="0.2">
      <c r="A374">
        <v>4928</v>
      </c>
      <c r="B374" s="106" t="s">
        <v>2562</v>
      </c>
      <c r="C374">
        <v>0</v>
      </c>
      <c r="D374" t="s">
        <v>166</v>
      </c>
      <c r="E374" s="106" t="s">
        <v>166</v>
      </c>
      <c r="F374" s="106" t="s">
        <v>166</v>
      </c>
      <c r="G374" s="106">
        <v>0</v>
      </c>
    </row>
    <row r="375" spans="1:7" x14ac:dyDescent="0.2">
      <c r="A375">
        <v>4929</v>
      </c>
      <c r="B375" s="106" t="s">
        <v>1190</v>
      </c>
      <c r="C375">
        <v>0.05</v>
      </c>
      <c r="D375">
        <v>0.05</v>
      </c>
      <c r="E375" s="106">
        <v>0.05</v>
      </c>
      <c r="F375">
        <v>0.05</v>
      </c>
      <c r="G375">
        <v>0.15</v>
      </c>
    </row>
    <row r="376" spans="1:7" x14ac:dyDescent="0.2">
      <c r="A376">
        <v>4951</v>
      </c>
      <c r="B376" s="106" t="s">
        <v>1191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 x14ac:dyDescent="0.2">
      <c r="A377">
        <v>4955</v>
      </c>
      <c r="B377" s="106" t="s">
        <v>1192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4958</v>
      </c>
      <c r="B378" s="106" t="s">
        <v>1193</v>
      </c>
      <c r="C378">
        <v>0.05</v>
      </c>
      <c r="D378">
        <v>0.05</v>
      </c>
      <c r="E378">
        <v>0.05</v>
      </c>
      <c r="F378" s="106">
        <v>0.05</v>
      </c>
      <c r="G378" s="106">
        <v>0.15</v>
      </c>
    </row>
    <row r="379" spans="1:7" x14ac:dyDescent="0.2">
      <c r="A379">
        <v>4967</v>
      </c>
      <c r="B379" s="106" t="s">
        <v>1194</v>
      </c>
      <c r="C379">
        <v>0.2</v>
      </c>
      <c r="D379" s="106">
        <v>0.2</v>
      </c>
      <c r="E379" s="106">
        <v>0.2</v>
      </c>
      <c r="F379" s="106">
        <v>0.15</v>
      </c>
      <c r="G379">
        <v>0.45</v>
      </c>
    </row>
    <row r="380" spans="1:7" x14ac:dyDescent="0.2">
      <c r="A380">
        <v>4968</v>
      </c>
      <c r="B380" s="106" t="s">
        <v>1195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4971</v>
      </c>
      <c r="B381" s="106" t="s">
        <v>2563</v>
      </c>
      <c r="C381">
        <v>0.05</v>
      </c>
      <c r="D381" s="106">
        <v>0.05</v>
      </c>
      <c r="E381" t="s">
        <v>166</v>
      </c>
      <c r="F381" s="106">
        <v>0.05</v>
      </c>
      <c r="G381" t="s">
        <v>166</v>
      </c>
    </row>
    <row r="382" spans="1:7" x14ac:dyDescent="0.2">
      <c r="A382">
        <v>4975</v>
      </c>
      <c r="B382" s="106" t="s">
        <v>1196</v>
      </c>
      <c r="C382">
        <v>0.05</v>
      </c>
      <c r="D382">
        <v>0.05</v>
      </c>
      <c r="E382">
        <v>0.05</v>
      </c>
      <c r="F382">
        <v>0.05</v>
      </c>
      <c r="G382">
        <v>0.15</v>
      </c>
    </row>
    <row r="383" spans="1:7" x14ac:dyDescent="0.2">
      <c r="A383">
        <v>4985</v>
      </c>
      <c r="B383" s="106" t="s">
        <v>1197</v>
      </c>
      <c r="C383">
        <v>0.1</v>
      </c>
      <c r="D383">
        <v>0.1</v>
      </c>
      <c r="E383">
        <v>0.1</v>
      </c>
      <c r="F383">
        <v>0.1</v>
      </c>
      <c r="G383">
        <v>0.3</v>
      </c>
    </row>
    <row r="384" spans="1:7" x14ac:dyDescent="0.2">
      <c r="A384">
        <v>4994</v>
      </c>
      <c r="B384" s="106" t="s">
        <v>2291</v>
      </c>
      <c r="C384">
        <v>0</v>
      </c>
      <c r="D384">
        <v>0</v>
      </c>
      <c r="E384">
        <v>0.05</v>
      </c>
      <c r="F384" s="106" t="s">
        <v>166</v>
      </c>
      <c r="G384">
        <v>0.15</v>
      </c>
    </row>
    <row r="385" spans="1:7" x14ac:dyDescent="0.2">
      <c r="A385">
        <v>4996</v>
      </c>
      <c r="B385" s="106" t="s">
        <v>249</v>
      </c>
      <c r="C385">
        <v>0.05</v>
      </c>
      <c r="D385" s="106">
        <v>0.05</v>
      </c>
      <c r="E385" s="106">
        <v>0.05</v>
      </c>
      <c r="F385">
        <v>0.05</v>
      </c>
      <c r="G385">
        <v>0</v>
      </c>
    </row>
    <row r="386" spans="1:7" x14ac:dyDescent="0.2">
      <c r="A386">
        <v>4997</v>
      </c>
      <c r="B386" s="106" t="s">
        <v>1198</v>
      </c>
      <c r="C386">
        <v>0</v>
      </c>
      <c r="D386" s="106">
        <v>0</v>
      </c>
      <c r="E386" s="106">
        <v>0</v>
      </c>
      <c r="F386">
        <v>0</v>
      </c>
      <c r="G386">
        <v>0</v>
      </c>
    </row>
    <row r="387" spans="1:7" x14ac:dyDescent="0.2">
      <c r="A387">
        <v>5009</v>
      </c>
      <c r="B387" s="106" t="s">
        <v>2194</v>
      </c>
      <c r="C387">
        <v>0</v>
      </c>
      <c r="D387" t="s">
        <v>166</v>
      </c>
      <c r="E387">
        <v>0</v>
      </c>
      <c r="F387" s="106">
        <v>0</v>
      </c>
      <c r="G387" t="s">
        <v>166</v>
      </c>
    </row>
    <row r="388" spans="1:7" x14ac:dyDescent="0.2">
      <c r="A388">
        <v>5018</v>
      </c>
      <c r="B388" s="106" t="s">
        <v>1199</v>
      </c>
      <c r="C388">
        <v>0</v>
      </c>
      <c r="D388" s="106">
        <v>0</v>
      </c>
      <c r="E388" s="106">
        <v>0</v>
      </c>
      <c r="F388" s="106">
        <v>0</v>
      </c>
      <c r="G388" s="106">
        <v>0</v>
      </c>
    </row>
    <row r="389" spans="1:7" x14ac:dyDescent="0.2">
      <c r="A389">
        <v>5101</v>
      </c>
      <c r="B389" s="106" t="s">
        <v>2117</v>
      </c>
      <c r="C389">
        <v>0</v>
      </c>
      <c r="D389">
        <v>0</v>
      </c>
      <c r="E389" s="106">
        <v>0</v>
      </c>
      <c r="F389" s="106">
        <v>0</v>
      </c>
      <c r="G389" s="106">
        <v>0</v>
      </c>
    </row>
    <row r="390" spans="1:7" x14ac:dyDescent="0.2">
      <c r="A390">
        <v>5105</v>
      </c>
      <c r="B390" s="106" t="s">
        <v>1200</v>
      </c>
      <c r="C390">
        <v>0.05</v>
      </c>
      <c r="D390">
        <v>0.05</v>
      </c>
      <c r="E390" s="106">
        <v>0.05</v>
      </c>
      <c r="F390" s="106">
        <v>0.05</v>
      </c>
      <c r="G390" s="106">
        <v>0.15</v>
      </c>
    </row>
    <row r="391" spans="1:7" x14ac:dyDescent="0.2">
      <c r="A391">
        <v>5121</v>
      </c>
      <c r="B391" s="106" t="s">
        <v>1201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">
      <c r="A392">
        <v>5142</v>
      </c>
      <c r="B392" s="106" t="s">
        <v>2292</v>
      </c>
      <c r="C392">
        <v>0.05</v>
      </c>
      <c r="D392" t="s">
        <v>166</v>
      </c>
      <c r="E392">
        <v>0.05</v>
      </c>
      <c r="F392" t="s">
        <v>166</v>
      </c>
      <c r="G392">
        <v>0.15</v>
      </c>
    </row>
    <row r="393" spans="1:7" x14ac:dyDescent="0.2">
      <c r="A393">
        <v>5185</v>
      </c>
      <c r="B393" s="106" t="s">
        <v>1202</v>
      </c>
      <c r="C393">
        <v>0</v>
      </c>
      <c r="D393">
        <v>0</v>
      </c>
      <c r="E393">
        <v>0</v>
      </c>
      <c r="F393">
        <v>0.05</v>
      </c>
      <c r="G393">
        <v>0.15</v>
      </c>
    </row>
    <row r="394" spans="1:7" x14ac:dyDescent="0.2">
      <c r="A394">
        <v>5186</v>
      </c>
      <c r="B394" s="106" t="s">
        <v>1203</v>
      </c>
      <c r="C394">
        <v>0.05</v>
      </c>
      <c r="D394" s="106">
        <v>0.05</v>
      </c>
      <c r="E394">
        <v>0.05</v>
      </c>
      <c r="F394" s="106">
        <v>0.05</v>
      </c>
      <c r="G394">
        <v>0.3</v>
      </c>
    </row>
    <row r="395" spans="1:7" x14ac:dyDescent="0.2">
      <c r="A395">
        <v>5191</v>
      </c>
      <c r="B395" s="106" t="s">
        <v>1204</v>
      </c>
      <c r="C395">
        <v>0.05</v>
      </c>
      <c r="D395">
        <v>0.05</v>
      </c>
      <c r="E395">
        <v>0.05</v>
      </c>
      <c r="F395">
        <v>0.05</v>
      </c>
      <c r="G395">
        <v>0.15</v>
      </c>
    </row>
    <row r="396" spans="1:7" x14ac:dyDescent="0.2">
      <c r="A396">
        <v>5192</v>
      </c>
      <c r="B396" s="106" t="s">
        <v>1205</v>
      </c>
      <c r="C396">
        <v>0.05</v>
      </c>
      <c r="D396">
        <v>0.05</v>
      </c>
      <c r="E396">
        <v>0.05</v>
      </c>
      <c r="F396">
        <v>0</v>
      </c>
      <c r="G396" s="106">
        <v>0.15</v>
      </c>
    </row>
    <row r="397" spans="1:7" x14ac:dyDescent="0.2">
      <c r="A397">
        <v>5195</v>
      </c>
      <c r="B397" s="106" t="s">
        <v>2293</v>
      </c>
      <c r="C397">
        <v>0</v>
      </c>
      <c r="D397" t="s">
        <v>166</v>
      </c>
      <c r="E397">
        <v>0</v>
      </c>
      <c r="F397" t="s">
        <v>166</v>
      </c>
      <c r="G397" s="106">
        <v>0</v>
      </c>
    </row>
    <row r="398" spans="1:7" x14ac:dyDescent="0.2">
      <c r="A398">
        <v>5201</v>
      </c>
      <c r="B398" s="106" t="s">
        <v>1206</v>
      </c>
      <c r="C398">
        <v>0.1</v>
      </c>
      <c r="D398">
        <v>0.1</v>
      </c>
      <c r="E398">
        <v>0.1</v>
      </c>
      <c r="F398">
        <v>0.1</v>
      </c>
      <c r="G398">
        <v>0.15</v>
      </c>
    </row>
    <row r="399" spans="1:7" x14ac:dyDescent="0.2">
      <c r="A399">
        <v>5202</v>
      </c>
      <c r="B399" s="106" t="s">
        <v>2195</v>
      </c>
      <c r="C399">
        <v>0</v>
      </c>
      <c r="D399" t="s">
        <v>166</v>
      </c>
      <c r="E399" s="106">
        <v>0</v>
      </c>
      <c r="F399">
        <v>0</v>
      </c>
      <c r="G399" t="s">
        <v>166</v>
      </c>
    </row>
    <row r="400" spans="1:7" x14ac:dyDescent="0.2">
      <c r="A400">
        <v>5210</v>
      </c>
      <c r="B400" s="106" t="s">
        <v>1207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5214</v>
      </c>
      <c r="B401" s="106" t="s">
        <v>2564</v>
      </c>
      <c r="C401">
        <v>0</v>
      </c>
      <c r="D401" t="s">
        <v>166</v>
      </c>
      <c r="E401" t="s">
        <v>166</v>
      </c>
      <c r="F401" t="s">
        <v>166</v>
      </c>
      <c r="G401">
        <v>0</v>
      </c>
    </row>
    <row r="402" spans="1:7" x14ac:dyDescent="0.2">
      <c r="A402">
        <v>5218</v>
      </c>
      <c r="B402" s="106" t="s">
        <v>1208</v>
      </c>
      <c r="C402">
        <v>0</v>
      </c>
      <c r="D402" s="106">
        <v>0</v>
      </c>
      <c r="E402" s="106">
        <v>0</v>
      </c>
      <c r="F402" s="106">
        <v>0</v>
      </c>
      <c r="G402" s="106">
        <v>0</v>
      </c>
    </row>
    <row r="403" spans="1:7" x14ac:dyDescent="0.2">
      <c r="A403">
        <v>5232</v>
      </c>
      <c r="B403" s="106" t="s">
        <v>1209</v>
      </c>
      <c r="C403">
        <v>0.1</v>
      </c>
      <c r="D403">
        <v>0.1</v>
      </c>
      <c r="E403">
        <v>0.1</v>
      </c>
      <c r="F403">
        <v>0.1</v>
      </c>
      <c r="G403">
        <v>0.3</v>
      </c>
    </row>
    <row r="404" spans="1:7" x14ac:dyDescent="0.2">
      <c r="A404">
        <v>5269</v>
      </c>
      <c r="B404" s="106" t="s">
        <v>2294</v>
      </c>
      <c r="C404">
        <v>0</v>
      </c>
      <c r="D404" s="106">
        <v>0</v>
      </c>
      <c r="E404">
        <v>0</v>
      </c>
      <c r="F404" t="s">
        <v>166</v>
      </c>
      <c r="G404">
        <v>0</v>
      </c>
    </row>
    <row r="405" spans="1:7" x14ac:dyDescent="0.2">
      <c r="A405">
        <v>5273</v>
      </c>
      <c r="B405" s="106" t="s">
        <v>1210</v>
      </c>
      <c r="C405">
        <v>0.1</v>
      </c>
      <c r="D405" s="106">
        <v>0.1</v>
      </c>
      <c r="E405">
        <v>0.1</v>
      </c>
      <c r="F405">
        <v>0.1</v>
      </c>
      <c r="G405" s="106">
        <v>0.3</v>
      </c>
    </row>
    <row r="406" spans="1:7" x14ac:dyDescent="0.2">
      <c r="A406">
        <v>5301</v>
      </c>
      <c r="B406" s="106" t="s">
        <v>1211</v>
      </c>
      <c r="C406">
        <v>0.05</v>
      </c>
      <c r="D406">
        <v>0.05</v>
      </c>
      <c r="E406">
        <v>0.05</v>
      </c>
      <c r="F406" s="106">
        <v>0.05</v>
      </c>
      <c r="G406" s="106">
        <v>0.15</v>
      </c>
    </row>
    <row r="407" spans="1:7" x14ac:dyDescent="0.2">
      <c r="A407">
        <v>5302</v>
      </c>
      <c r="B407" s="106" t="s">
        <v>1212</v>
      </c>
      <c r="C407">
        <v>0.05</v>
      </c>
      <c r="D407">
        <v>0.1</v>
      </c>
      <c r="E407">
        <v>0.1</v>
      </c>
      <c r="F407" s="106">
        <v>0.1</v>
      </c>
      <c r="G407" s="106">
        <v>0.3</v>
      </c>
    </row>
    <row r="408" spans="1:7" x14ac:dyDescent="0.2">
      <c r="A408">
        <v>5310</v>
      </c>
      <c r="B408" s="106" t="s">
        <v>1213</v>
      </c>
      <c r="C408">
        <v>0</v>
      </c>
      <c r="D408">
        <v>0</v>
      </c>
      <c r="E408" s="106">
        <v>0</v>
      </c>
      <c r="F408">
        <v>0</v>
      </c>
      <c r="G408">
        <v>0</v>
      </c>
    </row>
    <row r="409" spans="1:7" x14ac:dyDescent="0.2">
      <c r="A409">
        <v>5332</v>
      </c>
      <c r="B409" s="106" t="s">
        <v>1214</v>
      </c>
      <c r="C409">
        <v>0.1</v>
      </c>
      <c r="D409">
        <v>0.1</v>
      </c>
      <c r="E409" s="106">
        <v>0.1</v>
      </c>
      <c r="F409">
        <v>0.1</v>
      </c>
      <c r="G409">
        <v>0.3</v>
      </c>
    </row>
    <row r="410" spans="1:7" x14ac:dyDescent="0.2">
      <c r="A410">
        <v>5333</v>
      </c>
      <c r="B410" s="106" t="s">
        <v>255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5334</v>
      </c>
      <c r="B411" s="106" t="s">
        <v>2196</v>
      </c>
      <c r="C411">
        <v>0</v>
      </c>
      <c r="D411">
        <v>0</v>
      </c>
      <c r="E411">
        <v>0</v>
      </c>
      <c r="F411">
        <v>0</v>
      </c>
      <c r="G411" s="106" t="s">
        <v>166</v>
      </c>
    </row>
    <row r="412" spans="1:7" x14ac:dyDescent="0.2">
      <c r="A412">
        <v>5344</v>
      </c>
      <c r="B412" s="106" t="s">
        <v>1215</v>
      </c>
      <c r="C412">
        <v>0.15</v>
      </c>
      <c r="D412">
        <v>0.15</v>
      </c>
      <c r="E412">
        <v>0.15</v>
      </c>
      <c r="F412">
        <v>0.15</v>
      </c>
      <c r="G412">
        <v>0.45</v>
      </c>
    </row>
    <row r="413" spans="1:7" x14ac:dyDescent="0.2">
      <c r="A413">
        <v>5352</v>
      </c>
      <c r="B413" s="106" t="s">
        <v>1216</v>
      </c>
      <c r="C413">
        <v>0.15</v>
      </c>
      <c r="D413">
        <v>0.15</v>
      </c>
      <c r="E413">
        <v>0.15</v>
      </c>
      <c r="F413">
        <v>0.15</v>
      </c>
      <c r="G413">
        <v>0.45</v>
      </c>
    </row>
    <row r="414" spans="1:7" x14ac:dyDescent="0.2">
      <c r="A414">
        <v>5358</v>
      </c>
      <c r="B414" s="106" t="s">
        <v>1217</v>
      </c>
      <c r="C414">
        <v>0.05</v>
      </c>
      <c r="D414" t="s">
        <v>166</v>
      </c>
      <c r="E414">
        <v>0.05</v>
      </c>
      <c r="F414">
        <v>0</v>
      </c>
      <c r="G414">
        <v>0.15</v>
      </c>
    </row>
    <row r="415" spans="1:7" x14ac:dyDescent="0.2">
      <c r="A415">
        <v>5384</v>
      </c>
      <c r="B415" s="106" t="s">
        <v>2295</v>
      </c>
      <c r="C415">
        <v>0.05</v>
      </c>
      <c r="D415" s="106" t="s">
        <v>166</v>
      </c>
      <c r="E415">
        <v>0.05</v>
      </c>
      <c r="F415" s="106" t="s">
        <v>166</v>
      </c>
      <c r="G415">
        <v>0.15</v>
      </c>
    </row>
    <row r="416" spans="1:7" x14ac:dyDescent="0.2">
      <c r="A416">
        <v>5393</v>
      </c>
      <c r="B416" s="106" t="s">
        <v>254</v>
      </c>
      <c r="C416">
        <v>0.05</v>
      </c>
      <c r="D416">
        <v>0.05</v>
      </c>
      <c r="E416">
        <v>0.05</v>
      </c>
      <c r="F416" s="106">
        <v>0.05</v>
      </c>
      <c r="G416" s="106">
        <v>0.15</v>
      </c>
    </row>
    <row r="417" spans="1:7" x14ac:dyDescent="0.2">
      <c r="A417">
        <v>5401</v>
      </c>
      <c r="B417" s="106" t="s">
        <v>1218</v>
      </c>
      <c r="C417">
        <v>0</v>
      </c>
      <c r="D417" s="106" t="s">
        <v>166</v>
      </c>
      <c r="E417" s="106">
        <v>0</v>
      </c>
      <c r="F417">
        <v>0</v>
      </c>
      <c r="G417" s="106">
        <v>0</v>
      </c>
    </row>
    <row r="418" spans="1:7" x14ac:dyDescent="0.2">
      <c r="A418">
        <v>5408</v>
      </c>
      <c r="B418" s="106" t="s">
        <v>2565</v>
      </c>
      <c r="C418">
        <v>0</v>
      </c>
      <c r="D418">
        <v>0</v>
      </c>
      <c r="E418" t="s">
        <v>166</v>
      </c>
      <c r="F418">
        <v>0</v>
      </c>
      <c r="G418">
        <v>0</v>
      </c>
    </row>
    <row r="419" spans="1:7" x14ac:dyDescent="0.2">
      <c r="A419">
        <v>5410</v>
      </c>
      <c r="B419" s="106" t="s">
        <v>1219</v>
      </c>
      <c r="C419">
        <v>0.05</v>
      </c>
      <c r="D419">
        <v>0.05</v>
      </c>
      <c r="E419">
        <v>0.05</v>
      </c>
      <c r="F419">
        <v>0.05</v>
      </c>
      <c r="G419">
        <v>0.15</v>
      </c>
    </row>
    <row r="420" spans="1:7" x14ac:dyDescent="0.2">
      <c r="A420">
        <v>5440</v>
      </c>
      <c r="B420" s="106" t="s">
        <v>1220</v>
      </c>
      <c r="C420">
        <v>0.05</v>
      </c>
      <c r="D420">
        <v>0</v>
      </c>
      <c r="E420">
        <v>0.05</v>
      </c>
      <c r="F420" s="106">
        <v>0</v>
      </c>
      <c r="G420">
        <v>0.15</v>
      </c>
    </row>
    <row r="421" spans="1:7" x14ac:dyDescent="0.2">
      <c r="A421">
        <v>5451</v>
      </c>
      <c r="B421" s="106" t="s">
        <v>1221</v>
      </c>
      <c r="C421">
        <v>0.05</v>
      </c>
      <c r="D421">
        <v>0</v>
      </c>
      <c r="E421">
        <v>0.05</v>
      </c>
      <c r="F421">
        <v>0.05</v>
      </c>
      <c r="G421">
        <v>0.15</v>
      </c>
    </row>
    <row r="422" spans="1:7" x14ac:dyDescent="0.2">
      <c r="A422">
        <v>5463</v>
      </c>
      <c r="B422" s="106" t="s">
        <v>75</v>
      </c>
      <c r="C422">
        <v>0.05</v>
      </c>
      <c r="D422">
        <v>0.05</v>
      </c>
      <c r="E422">
        <v>0.05</v>
      </c>
      <c r="F422">
        <v>0.05</v>
      </c>
      <c r="G422">
        <v>0.15</v>
      </c>
    </row>
    <row r="423" spans="1:7" x14ac:dyDescent="0.2">
      <c r="A423">
        <v>5464</v>
      </c>
      <c r="B423" s="106" t="s">
        <v>2197</v>
      </c>
      <c r="C423">
        <v>0</v>
      </c>
      <c r="D423">
        <v>0</v>
      </c>
      <c r="E423">
        <v>0</v>
      </c>
      <c r="F423">
        <v>0</v>
      </c>
      <c r="G423" t="s">
        <v>166</v>
      </c>
    </row>
    <row r="424" spans="1:7" x14ac:dyDescent="0.2">
      <c r="A424">
        <v>5471</v>
      </c>
      <c r="B424" s="106" t="s">
        <v>231</v>
      </c>
      <c r="C424">
        <v>0.1</v>
      </c>
      <c r="D424">
        <v>0.1</v>
      </c>
      <c r="E424">
        <v>0.1</v>
      </c>
      <c r="F424">
        <v>0.1</v>
      </c>
      <c r="G424" s="106">
        <v>0.3</v>
      </c>
    </row>
    <row r="425" spans="1:7" x14ac:dyDescent="0.2">
      <c r="A425">
        <v>5476</v>
      </c>
      <c r="B425" s="106" t="s">
        <v>1222</v>
      </c>
      <c r="C425">
        <v>0</v>
      </c>
      <c r="D425" s="106">
        <v>0</v>
      </c>
      <c r="E425">
        <v>0</v>
      </c>
      <c r="F425" s="106">
        <v>0</v>
      </c>
      <c r="G425" s="106">
        <v>0</v>
      </c>
    </row>
    <row r="426" spans="1:7" x14ac:dyDescent="0.2">
      <c r="A426">
        <v>5480</v>
      </c>
      <c r="B426" s="106" t="s">
        <v>1223</v>
      </c>
      <c r="C426">
        <v>0.05</v>
      </c>
      <c r="D426" s="106">
        <v>0</v>
      </c>
      <c r="E426">
        <v>0.05</v>
      </c>
      <c r="F426" s="106">
        <v>0</v>
      </c>
      <c r="G426">
        <v>0.15</v>
      </c>
    </row>
    <row r="427" spans="1:7" x14ac:dyDescent="0.2">
      <c r="A427">
        <v>5481</v>
      </c>
      <c r="B427" s="106" t="s">
        <v>1224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">
      <c r="A428">
        <v>5482</v>
      </c>
      <c r="B428" s="106" t="s">
        <v>1225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5486</v>
      </c>
      <c r="B429" s="106" t="s">
        <v>1226</v>
      </c>
      <c r="C429">
        <v>0.05</v>
      </c>
      <c r="D429">
        <v>0.05</v>
      </c>
      <c r="E429">
        <v>0.05</v>
      </c>
      <c r="F429">
        <v>0.05</v>
      </c>
      <c r="G429">
        <v>0.15</v>
      </c>
    </row>
    <row r="430" spans="1:7" x14ac:dyDescent="0.2">
      <c r="A430">
        <v>5602</v>
      </c>
      <c r="B430" s="106" t="s">
        <v>1227</v>
      </c>
      <c r="C430">
        <v>0.05</v>
      </c>
      <c r="D430">
        <v>0.05</v>
      </c>
      <c r="E430">
        <v>0.05</v>
      </c>
      <c r="F430">
        <v>0.05</v>
      </c>
      <c r="G430">
        <v>0.15</v>
      </c>
    </row>
    <row r="431" spans="1:7" x14ac:dyDescent="0.2">
      <c r="A431">
        <v>5603</v>
      </c>
      <c r="B431" s="106" t="s">
        <v>1228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5631</v>
      </c>
      <c r="B432" s="106" t="s">
        <v>1229</v>
      </c>
      <c r="C432">
        <v>0</v>
      </c>
      <c r="D432">
        <v>0</v>
      </c>
      <c r="E432">
        <v>0</v>
      </c>
      <c r="F432" s="106">
        <v>0</v>
      </c>
      <c r="G432" s="106">
        <v>0</v>
      </c>
    </row>
    <row r="433" spans="1:7" x14ac:dyDescent="0.2">
      <c r="A433">
        <v>5632</v>
      </c>
      <c r="B433" s="106" t="s">
        <v>1230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5659</v>
      </c>
      <c r="B434" s="106" t="s">
        <v>1231</v>
      </c>
      <c r="C434">
        <v>0.05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5706</v>
      </c>
      <c r="B435" s="106" t="s">
        <v>2296</v>
      </c>
      <c r="C435">
        <v>0</v>
      </c>
      <c r="D435" t="s">
        <v>166</v>
      </c>
      <c r="E435">
        <v>0</v>
      </c>
      <c r="F435" t="s">
        <v>166</v>
      </c>
      <c r="G435" t="s">
        <v>166</v>
      </c>
    </row>
    <row r="436" spans="1:7" x14ac:dyDescent="0.2">
      <c r="A436">
        <v>5711</v>
      </c>
      <c r="B436" s="106" t="s">
        <v>1232</v>
      </c>
      <c r="C436">
        <v>0.05</v>
      </c>
      <c r="D436">
        <v>0</v>
      </c>
      <c r="E436">
        <v>0.05</v>
      </c>
      <c r="F436">
        <v>0.05</v>
      </c>
      <c r="G436" s="106">
        <v>0.15</v>
      </c>
    </row>
    <row r="437" spans="1:7" x14ac:dyDescent="0.2">
      <c r="A437">
        <v>5713</v>
      </c>
      <c r="B437" s="106" t="s">
        <v>2118</v>
      </c>
      <c r="C437">
        <v>0</v>
      </c>
      <c r="D437" s="106" t="s">
        <v>166</v>
      </c>
      <c r="E437" s="106">
        <v>0</v>
      </c>
      <c r="F437" s="106">
        <v>0</v>
      </c>
      <c r="G437" s="106">
        <v>0.3</v>
      </c>
    </row>
    <row r="438" spans="1:7" x14ac:dyDescent="0.2">
      <c r="A438">
        <v>5714</v>
      </c>
      <c r="B438" s="106" t="s">
        <v>1233</v>
      </c>
      <c r="C438">
        <v>0.1</v>
      </c>
      <c r="D438" s="106">
        <v>0.1</v>
      </c>
      <c r="E438" s="106">
        <v>0.1</v>
      </c>
      <c r="F438" s="106">
        <v>0.1</v>
      </c>
      <c r="G438" s="106">
        <v>0.3</v>
      </c>
    </row>
    <row r="439" spans="1:7" x14ac:dyDescent="0.2">
      <c r="A439">
        <v>5741</v>
      </c>
      <c r="B439" s="106" t="s">
        <v>1234</v>
      </c>
      <c r="C439">
        <v>0.05</v>
      </c>
      <c r="D439" s="106">
        <v>0.05</v>
      </c>
      <c r="E439" s="106">
        <v>0.05</v>
      </c>
      <c r="F439">
        <v>0.05</v>
      </c>
      <c r="G439" s="106">
        <v>0.15</v>
      </c>
    </row>
    <row r="440" spans="1:7" x14ac:dyDescent="0.2">
      <c r="A440">
        <v>5803</v>
      </c>
      <c r="B440" s="106" t="s">
        <v>27</v>
      </c>
      <c r="C440">
        <v>0</v>
      </c>
      <c r="D440" s="106">
        <v>0</v>
      </c>
      <c r="E440">
        <v>0</v>
      </c>
      <c r="F440" s="106" t="s">
        <v>166</v>
      </c>
      <c r="G440" t="s">
        <v>166</v>
      </c>
    </row>
    <row r="441" spans="1:7" x14ac:dyDescent="0.2">
      <c r="A441">
        <v>5805</v>
      </c>
      <c r="B441" s="106" t="s">
        <v>2297</v>
      </c>
      <c r="C441">
        <v>0.05</v>
      </c>
      <c r="D441">
        <v>0.05</v>
      </c>
      <c r="E441">
        <v>0.05</v>
      </c>
      <c r="F441" t="s">
        <v>166</v>
      </c>
      <c r="G441">
        <v>0</v>
      </c>
    </row>
    <row r="442" spans="1:7" x14ac:dyDescent="0.2">
      <c r="A442">
        <v>5807</v>
      </c>
      <c r="B442" s="106" t="s">
        <v>1235</v>
      </c>
      <c r="C442">
        <v>0.05</v>
      </c>
      <c r="D442">
        <v>0.05</v>
      </c>
      <c r="E442" s="106">
        <v>0.05</v>
      </c>
      <c r="F442">
        <v>0.05</v>
      </c>
      <c r="G442">
        <v>0.15</v>
      </c>
    </row>
    <row r="443" spans="1:7" x14ac:dyDescent="0.2">
      <c r="A443">
        <v>5809</v>
      </c>
      <c r="B443" s="106" t="s">
        <v>1236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">
      <c r="A444">
        <v>5852</v>
      </c>
      <c r="B444" s="106" t="s">
        <v>2566</v>
      </c>
      <c r="C444">
        <v>0</v>
      </c>
      <c r="D444">
        <v>0</v>
      </c>
      <c r="E444" t="s">
        <v>166</v>
      </c>
      <c r="F444">
        <v>0</v>
      </c>
      <c r="G444" s="106">
        <v>0</v>
      </c>
    </row>
    <row r="445" spans="1:7" x14ac:dyDescent="0.2">
      <c r="A445">
        <v>5901</v>
      </c>
      <c r="B445" s="106" t="s">
        <v>243</v>
      </c>
      <c r="C445">
        <v>0</v>
      </c>
      <c r="D445">
        <v>0</v>
      </c>
      <c r="E445">
        <v>0</v>
      </c>
      <c r="F445">
        <v>0</v>
      </c>
      <c r="G445" s="106">
        <v>0</v>
      </c>
    </row>
    <row r="446" spans="1:7" x14ac:dyDescent="0.2">
      <c r="A446">
        <v>5902</v>
      </c>
      <c r="B446" s="106" t="s">
        <v>1237</v>
      </c>
      <c r="C446">
        <v>0.05</v>
      </c>
      <c r="D446">
        <v>0.05</v>
      </c>
      <c r="E446">
        <v>0.05</v>
      </c>
      <c r="F446">
        <v>0.05</v>
      </c>
      <c r="G446" s="106">
        <v>0.15</v>
      </c>
    </row>
    <row r="447" spans="1:7" x14ac:dyDescent="0.2">
      <c r="A447">
        <v>5911</v>
      </c>
      <c r="B447" s="106" t="s">
        <v>1238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5932</v>
      </c>
      <c r="B448" s="106" t="s">
        <v>1239</v>
      </c>
      <c r="C448">
        <v>0.05</v>
      </c>
      <c r="D448" s="106">
        <v>0.05</v>
      </c>
      <c r="E448" s="106">
        <v>0.05</v>
      </c>
      <c r="F448">
        <v>0.05</v>
      </c>
      <c r="G448">
        <v>0.15</v>
      </c>
    </row>
    <row r="449" spans="1:7" x14ac:dyDescent="0.2">
      <c r="A449">
        <v>5938</v>
      </c>
      <c r="B449" s="106" t="s">
        <v>2567</v>
      </c>
      <c r="C449">
        <v>0</v>
      </c>
      <c r="D449">
        <v>0.05</v>
      </c>
      <c r="E449" t="s">
        <v>166</v>
      </c>
      <c r="F449">
        <v>0.05</v>
      </c>
      <c r="G449" t="s">
        <v>166</v>
      </c>
    </row>
    <row r="450" spans="1:7" x14ac:dyDescent="0.2">
      <c r="A450">
        <v>5943</v>
      </c>
      <c r="B450" s="106" t="s">
        <v>1240</v>
      </c>
      <c r="C450">
        <v>0.05</v>
      </c>
      <c r="D450">
        <v>0</v>
      </c>
      <c r="E450">
        <v>0.05</v>
      </c>
      <c r="F450">
        <v>0</v>
      </c>
      <c r="G450">
        <v>0.15</v>
      </c>
    </row>
    <row r="451" spans="1:7" x14ac:dyDescent="0.2">
      <c r="A451">
        <v>5946</v>
      </c>
      <c r="B451" s="106" t="s">
        <v>1241</v>
      </c>
      <c r="C451">
        <v>0</v>
      </c>
      <c r="D451">
        <v>0.05</v>
      </c>
      <c r="E451">
        <v>0.05</v>
      </c>
      <c r="F451">
        <v>0</v>
      </c>
      <c r="G451">
        <v>0</v>
      </c>
    </row>
    <row r="452" spans="1:7" x14ac:dyDescent="0.2">
      <c r="A452">
        <v>5947</v>
      </c>
      <c r="B452" s="106" t="s">
        <v>246</v>
      </c>
      <c r="C452">
        <v>0.15</v>
      </c>
      <c r="D452">
        <v>0.15</v>
      </c>
      <c r="E452">
        <v>0.15</v>
      </c>
      <c r="F452">
        <v>0.15</v>
      </c>
      <c r="G452">
        <v>0.45</v>
      </c>
    </row>
    <row r="453" spans="1:7" x14ac:dyDescent="0.2">
      <c r="A453">
        <v>5949</v>
      </c>
      <c r="B453" s="106" t="s">
        <v>1242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">
      <c r="A454">
        <v>5951</v>
      </c>
      <c r="B454" s="106" t="s">
        <v>1243</v>
      </c>
      <c r="C454">
        <v>0.05</v>
      </c>
      <c r="D454">
        <v>0.05</v>
      </c>
      <c r="E454">
        <v>0.05</v>
      </c>
      <c r="F454">
        <v>0.05</v>
      </c>
      <c r="G454">
        <v>0.15</v>
      </c>
    </row>
    <row r="455" spans="1:7" x14ac:dyDescent="0.2">
      <c r="A455">
        <v>5957</v>
      </c>
      <c r="B455" s="106" t="s">
        <v>1244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">
      <c r="A456">
        <v>5976</v>
      </c>
      <c r="B456" s="106" t="s">
        <v>1245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">
      <c r="A457">
        <v>5981</v>
      </c>
      <c r="B457" s="106" t="s">
        <v>1246</v>
      </c>
      <c r="C457">
        <v>0</v>
      </c>
      <c r="D457" s="106">
        <v>0</v>
      </c>
      <c r="E457">
        <v>0</v>
      </c>
      <c r="F457">
        <v>0</v>
      </c>
      <c r="G457" s="106">
        <v>0</v>
      </c>
    </row>
    <row r="458" spans="1:7" x14ac:dyDescent="0.2">
      <c r="A458">
        <v>5985</v>
      </c>
      <c r="B458" s="106" t="s">
        <v>2568</v>
      </c>
      <c r="C458">
        <v>0</v>
      </c>
      <c r="D458" s="106" t="s">
        <v>166</v>
      </c>
      <c r="E458" t="s">
        <v>166</v>
      </c>
      <c r="F458">
        <v>0</v>
      </c>
      <c r="G458" s="106" t="s">
        <v>166</v>
      </c>
    </row>
    <row r="459" spans="1:7" x14ac:dyDescent="0.2">
      <c r="A459">
        <v>5991</v>
      </c>
      <c r="B459" s="106" t="s">
        <v>1247</v>
      </c>
      <c r="C459">
        <v>0.05</v>
      </c>
      <c r="D459">
        <v>0.05</v>
      </c>
      <c r="E459">
        <v>0.05</v>
      </c>
      <c r="F459">
        <v>0.05</v>
      </c>
      <c r="G459">
        <v>0.15</v>
      </c>
    </row>
    <row r="460" spans="1:7" x14ac:dyDescent="0.2">
      <c r="A460">
        <v>5998</v>
      </c>
      <c r="B460" s="106" t="s">
        <v>1248</v>
      </c>
      <c r="C460">
        <v>0.05</v>
      </c>
      <c r="D460">
        <v>0.05</v>
      </c>
      <c r="E460">
        <v>0.05</v>
      </c>
      <c r="F460">
        <v>0.05</v>
      </c>
      <c r="G460">
        <v>0.15</v>
      </c>
    </row>
    <row r="461" spans="1:7" x14ac:dyDescent="0.2">
      <c r="A461">
        <v>6005</v>
      </c>
      <c r="B461" s="106" t="s">
        <v>1249</v>
      </c>
      <c r="C461">
        <v>0.1</v>
      </c>
      <c r="D461" s="106">
        <v>0.1</v>
      </c>
      <c r="E461">
        <v>0.1</v>
      </c>
      <c r="F461">
        <v>0.1</v>
      </c>
      <c r="G461">
        <v>0.3</v>
      </c>
    </row>
    <row r="462" spans="1:7" x14ac:dyDescent="0.2">
      <c r="A462">
        <v>6028</v>
      </c>
      <c r="B462" s="106" t="s">
        <v>925</v>
      </c>
      <c r="C462">
        <v>0.15</v>
      </c>
      <c r="D462">
        <v>0.15</v>
      </c>
      <c r="E462">
        <v>0.15</v>
      </c>
      <c r="F462">
        <v>0.15</v>
      </c>
      <c r="G462">
        <v>0.45</v>
      </c>
    </row>
    <row r="463" spans="1:7" x14ac:dyDescent="0.2">
      <c r="A463">
        <v>6037</v>
      </c>
      <c r="B463" s="106" t="s">
        <v>1250</v>
      </c>
      <c r="C463">
        <v>0</v>
      </c>
      <c r="D463" t="s">
        <v>166</v>
      </c>
      <c r="E463">
        <v>0</v>
      </c>
      <c r="F463">
        <v>0</v>
      </c>
      <c r="G463">
        <v>0</v>
      </c>
    </row>
    <row r="464" spans="1:7" x14ac:dyDescent="0.2">
      <c r="A464">
        <v>6047</v>
      </c>
      <c r="B464" s="106" t="s">
        <v>1251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">
      <c r="A465">
        <v>6048</v>
      </c>
      <c r="B465" s="106" t="s">
        <v>1252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">
      <c r="A466">
        <v>6054</v>
      </c>
      <c r="B466" s="106" t="s">
        <v>1253</v>
      </c>
      <c r="C466">
        <v>0.05</v>
      </c>
      <c r="D466">
        <v>0</v>
      </c>
      <c r="E466">
        <v>0.05</v>
      </c>
      <c r="F466">
        <v>0.05</v>
      </c>
      <c r="G466">
        <v>0.15</v>
      </c>
    </row>
    <row r="467" spans="1:7" x14ac:dyDescent="0.2">
      <c r="A467">
        <v>6055</v>
      </c>
      <c r="B467" s="106" t="s">
        <v>1254</v>
      </c>
      <c r="C467">
        <v>0.05</v>
      </c>
      <c r="D467" s="106">
        <v>0.05</v>
      </c>
      <c r="E467" s="106">
        <v>0.05</v>
      </c>
      <c r="F467" s="106">
        <v>0.05</v>
      </c>
      <c r="G467" s="106">
        <v>0.15</v>
      </c>
    </row>
    <row r="468" spans="1:7" x14ac:dyDescent="0.2">
      <c r="A468">
        <v>6058</v>
      </c>
      <c r="B468" s="106" t="s">
        <v>1255</v>
      </c>
      <c r="C468">
        <v>0.05</v>
      </c>
      <c r="D468" s="106">
        <v>0.05</v>
      </c>
      <c r="E468" s="106">
        <v>0.05</v>
      </c>
      <c r="F468" s="106">
        <v>0.05</v>
      </c>
      <c r="G468" s="106">
        <v>0.15</v>
      </c>
    </row>
    <row r="469" spans="1:7" x14ac:dyDescent="0.2">
      <c r="A469">
        <v>6088</v>
      </c>
      <c r="B469" s="106" t="s">
        <v>1256</v>
      </c>
      <c r="C469">
        <v>0</v>
      </c>
      <c r="D469">
        <v>0.05</v>
      </c>
      <c r="E469">
        <v>0.05</v>
      </c>
      <c r="F469" s="106">
        <v>0.05</v>
      </c>
      <c r="G469" s="106">
        <v>0.6</v>
      </c>
    </row>
    <row r="470" spans="1:7" x14ac:dyDescent="0.2">
      <c r="A470">
        <v>6093</v>
      </c>
      <c r="B470" s="106" t="s">
        <v>1257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">
      <c r="A471">
        <v>6098</v>
      </c>
      <c r="B471" s="106" t="s">
        <v>258</v>
      </c>
      <c r="C471">
        <v>0.1</v>
      </c>
      <c r="D471">
        <v>0.1</v>
      </c>
      <c r="E471">
        <v>0.1</v>
      </c>
      <c r="F471">
        <v>0.1</v>
      </c>
      <c r="G471">
        <v>0.3</v>
      </c>
    </row>
    <row r="472" spans="1:7" x14ac:dyDescent="0.2">
      <c r="A472">
        <v>6099</v>
      </c>
      <c r="B472" s="106" t="s">
        <v>1258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">
      <c r="A473">
        <v>6101</v>
      </c>
      <c r="B473" s="106" t="s">
        <v>1259</v>
      </c>
      <c r="C473">
        <v>0.05</v>
      </c>
      <c r="D473">
        <v>0.05</v>
      </c>
      <c r="E473">
        <v>0.05</v>
      </c>
      <c r="F473">
        <v>0.05</v>
      </c>
      <c r="G473">
        <v>0.15</v>
      </c>
    </row>
    <row r="474" spans="1:7" x14ac:dyDescent="0.2">
      <c r="A474">
        <v>6103</v>
      </c>
      <c r="B474" s="106" t="s">
        <v>1260</v>
      </c>
      <c r="C474">
        <v>0.1</v>
      </c>
      <c r="D474" s="106">
        <v>0.1</v>
      </c>
      <c r="E474" s="106">
        <v>0.1</v>
      </c>
      <c r="F474">
        <v>0.05</v>
      </c>
      <c r="G474" s="106">
        <v>0.3</v>
      </c>
    </row>
    <row r="475" spans="1:7" x14ac:dyDescent="0.2">
      <c r="A475">
        <v>6104</v>
      </c>
      <c r="B475" s="106" t="s">
        <v>1261</v>
      </c>
      <c r="C475">
        <v>0</v>
      </c>
      <c r="D475">
        <v>0</v>
      </c>
      <c r="E475">
        <v>0.05</v>
      </c>
      <c r="F475">
        <v>0</v>
      </c>
      <c r="G475">
        <v>0.15</v>
      </c>
    </row>
    <row r="476" spans="1:7" x14ac:dyDescent="0.2">
      <c r="A476">
        <v>6113</v>
      </c>
      <c r="B476" s="106" t="s">
        <v>2119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">
      <c r="A477">
        <v>6118</v>
      </c>
      <c r="B477" s="106" t="s">
        <v>1262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">
      <c r="A478">
        <v>6134</v>
      </c>
      <c r="B478" s="106" t="s">
        <v>698</v>
      </c>
      <c r="C478">
        <v>0.05</v>
      </c>
      <c r="D478">
        <v>0.05</v>
      </c>
      <c r="E478">
        <v>0.05</v>
      </c>
      <c r="F478">
        <v>0.05</v>
      </c>
      <c r="G478">
        <v>0.15</v>
      </c>
    </row>
    <row r="479" spans="1:7" x14ac:dyDescent="0.2">
      <c r="A479">
        <v>6135</v>
      </c>
      <c r="B479" s="106" t="s">
        <v>235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6136</v>
      </c>
      <c r="B480" s="106" t="s">
        <v>1263</v>
      </c>
      <c r="C480">
        <v>0.05</v>
      </c>
      <c r="D480">
        <v>0.05</v>
      </c>
      <c r="E480">
        <v>0.05</v>
      </c>
      <c r="F480">
        <v>0.05</v>
      </c>
      <c r="G480">
        <v>0.15</v>
      </c>
    </row>
    <row r="481" spans="1:7" x14ac:dyDescent="0.2">
      <c r="A481">
        <v>6141</v>
      </c>
      <c r="B481" s="106" t="s">
        <v>2198</v>
      </c>
      <c r="C481">
        <v>0</v>
      </c>
      <c r="D481">
        <v>0</v>
      </c>
      <c r="E481">
        <v>0</v>
      </c>
      <c r="F481">
        <v>0</v>
      </c>
      <c r="G481" t="s">
        <v>166</v>
      </c>
    </row>
    <row r="482" spans="1:7" x14ac:dyDescent="0.2">
      <c r="A482">
        <v>6143</v>
      </c>
      <c r="B482" s="106" t="s">
        <v>1264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">
      <c r="A483">
        <v>6146</v>
      </c>
      <c r="B483" s="106" t="s">
        <v>1265</v>
      </c>
      <c r="C483">
        <v>0.45</v>
      </c>
      <c r="D483">
        <v>0.45</v>
      </c>
      <c r="E483">
        <v>0.45</v>
      </c>
      <c r="F483">
        <v>0.45</v>
      </c>
      <c r="G483" s="106">
        <v>1.35</v>
      </c>
    </row>
    <row r="484" spans="1:7" x14ac:dyDescent="0.2">
      <c r="A484">
        <v>6151</v>
      </c>
      <c r="B484" s="106" t="s">
        <v>1266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 x14ac:dyDescent="0.2">
      <c r="A485">
        <v>6157</v>
      </c>
      <c r="B485" s="106" t="s">
        <v>1267</v>
      </c>
      <c r="C485">
        <v>0.05</v>
      </c>
      <c r="D485">
        <v>0.05</v>
      </c>
      <c r="E485">
        <v>0.05</v>
      </c>
      <c r="F485">
        <v>0.05</v>
      </c>
      <c r="G485">
        <v>0.15</v>
      </c>
    </row>
    <row r="486" spans="1:7" x14ac:dyDescent="0.2">
      <c r="A486">
        <v>6165</v>
      </c>
      <c r="B486" s="106" t="s">
        <v>1268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6184</v>
      </c>
      <c r="B487" s="106" t="s">
        <v>1269</v>
      </c>
      <c r="C487">
        <v>0.05</v>
      </c>
      <c r="D487">
        <v>0.05</v>
      </c>
      <c r="E487">
        <v>0.05</v>
      </c>
      <c r="F487">
        <v>0.05</v>
      </c>
      <c r="G487">
        <v>0.15</v>
      </c>
    </row>
    <row r="488" spans="1:7" x14ac:dyDescent="0.2">
      <c r="A488">
        <v>6194</v>
      </c>
      <c r="B488" s="106" t="s">
        <v>1270</v>
      </c>
      <c r="C488">
        <v>0.1</v>
      </c>
      <c r="D488">
        <v>0.1</v>
      </c>
      <c r="E488">
        <v>0.1</v>
      </c>
      <c r="F488">
        <v>0.1</v>
      </c>
      <c r="G488">
        <v>0.3</v>
      </c>
    </row>
    <row r="489" spans="1:7" x14ac:dyDescent="0.2">
      <c r="A489">
        <v>6196</v>
      </c>
      <c r="B489" s="106" t="s">
        <v>1271</v>
      </c>
      <c r="C489">
        <v>0.1</v>
      </c>
      <c r="D489" s="106">
        <v>0.1</v>
      </c>
      <c r="E489">
        <v>0.1</v>
      </c>
      <c r="F489" s="106">
        <v>0.1</v>
      </c>
      <c r="G489">
        <v>0.3</v>
      </c>
    </row>
    <row r="490" spans="1:7" x14ac:dyDescent="0.2">
      <c r="A490">
        <v>6197</v>
      </c>
      <c r="B490" s="106" t="s">
        <v>2569</v>
      </c>
      <c r="C490">
        <v>0</v>
      </c>
      <c r="D490" s="106" t="s">
        <v>166</v>
      </c>
      <c r="E490" s="106" t="s">
        <v>166</v>
      </c>
      <c r="F490" s="106" t="s">
        <v>166</v>
      </c>
      <c r="G490" s="106" t="s">
        <v>166</v>
      </c>
    </row>
    <row r="491" spans="1:7" x14ac:dyDescent="0.2">
      <c r="A491">
        <v>6200</v>
      </c>
      <c r="B491" s="106" t="s">
        <v>1272</v>
      </c>
      <c r="C491">
        <v>0.1</v>
      </c>
      <c r="D491">
        <v>0.1</v>
      </c>
      <c r="E491" s="106">
        <v>0.1</v>
      </c>
      <c r="F491" s="106">
        <v>0.1</v>
      </c>
      <c r="G491">
        <v>0.3</v>
      </c>
    </row>
    <row r="492" spans="1:7" x14ac:dyDescent="0.2">
      <c r="A492">
        <v>6201</v>
      </c>
      <c r="B492" s="106" t="s">
        <v>2199</v>
      </c>
      <c r="C492">
        <v>0</v>
      </c>
      <c r="D492">
        <v>0.05</v>
      </c>
      <c r="E492">
        <v>0.15</v>
      </c>
      <c r="F492">
        <v>0.15</v>
      </c>
      <c r="G492" t="s">
        <v>166</v>
      </c>
    </row>
    <row r="493" spans="1:7" x14ac:dyDescent="0.2">
      <c r="A493">
        <v>6217</v>
      </c>
      <c r="B493" s="106" t="s">
        <v>1273</v>
      </c>
      <c r="C493">
        <v>0</v>
      </c>
      <c r="D493" s="106">
        <v>0</v>
      </c>
      <c r="E493" s="106">
        <v>0</v>
      </c>
      <c r="F493" s="106">
        <v>0</v>
      </c>
      <c r="G493">
        <v>0</v>
      </c>
    </row>
    <row r="494" spans="1:7" x14ac:dyDescent="0.2">
      <c r="A494">
        <v>6218</v>
      </c>
      <c r="B494" s="106" t="s">
        <v>1274</v>
      </c>
      <c r="C494">
        <v>0</v>
      </c>
      <c r="D494" s="106">
        <v>0</v>
      </c>
      <c r="E494" s="106">
        <v>0</v>
      </c>
      <c r="F494" s="106">
        <v>0</v>
      </c>
      <c r="G494" s="106">
        <v>0</v>
      </c>
    </row>
    <row r="495" spans="1:7" x14ac:dyDescent="0.2">
      <c r="A495">
        <v>6237</v>
      </c>
      <c r="B495" s="106" t="s">
        <v>1275</v>
      </c>
      <c r="C495">
        <v>0.05</v>
      </c>
      <c r="D495">
        <v>0.05</v>
      </c>
      <c r="E495" s="106">
        <v>0.05</v>
      </c>
      <c r="F495" s="106">
        <v>0.05</v>
      </c>
      <c r="G495" s="106">
        <v>0.15</v>
      </c>
    </row>
    <row r="496" spans="1:7" x14ac:dyDescent="0.2">
      <c r="A496">
        <v>6240</v>
      </c>
      <c r="B496" s="106" t="s">
        <v>1276</v>
      </c>
      <c r="C496">
        <v>0.05</v>
      </c>
      <c r="D496">
        <v>0.55000000000000004</v>
      </c>
      <c r="E496">
        <v>0.55000000000000004</v>
      </c>
      <c r="F496" s="106">
        <v>3.2</v>
      </c>
      <c r="G496">
        <v>0.15</v>
      </c>
    </row>
    <row r="497" spans="1:7" x14ac:dyDescent="0.2">
      <c r="A497">
        <v>6247</v>
      </c>
      <c r="B497" s="106" t="s">
        <v>1277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">
      <c r="A498">
        <v>6250</v>
      </c>
      <c r="B498" s="106" t="s">
        <v>2570</v>
      </c>
      <c r="C498">
        <v>0</v>
      </c>
      <c r="D498" s="106">
        <v>0</v>
      </c>
      <c r="E498" t="s">
        <v>166</v>
      </c>
      <c r="F498" t="s">
        <v>166</v>
      </c>
      <c r="G498">
        <v>0</v>
      </c>
    </row>
    <row r="499" spans="1:7" x14ac:dyDescent="0.2">
      <c r="A499">
        <v>6258</v>
      </c>
      <c r="B499" s="106" t="s">
        <v>1278</v>
      </c>
      <c r="C499">
        <v>0.15</v>
      </c>
      <c r="D499">
        <v>0.15</v>
      </c>
      <c r="E499">
        <v>0.15</v>
      </c>
      <c r="F499">
        <v>0.15</v>
      </c>
      <c r="G499">
        <v>0.45</v>
      </c>
    </row>
    <row r="500" spans="1:7" x14ac:dyDescent="0.2">
      <c r="A500">
        <v>6262</v>
      </c>
      <c r="B500" s="106" t="s">
        <v>1279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">
      <c r="A501">
        <v>6264</v>
      </c>
      <c r="B501" s="106" t="s">
        <v>2200</v>
      </c>
      <c r="C501">
        <v>0</v>
      </c>
      <c r="D501" t="s">
        <v>166</v>
      </c>
      <c r="E501">
        <v>0</v>
      </c>
      <c r="F501">
        <v>0</v>
      </c>
      <c r="G501" s="106" t="s">
        <v>166</v>
      </c>
    </row>
    <row r="502" spans="1:7" x14ac:dyDescent="0.2">
      <c r="A502">
        <v>6266</v>
      </c>
      <c r="B502" s="106" t="s">
        <v>2120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">
      <c r="A503">
        <v>6269</v>
      </c>
      <c r="B503" s="106" t="s">
        <v>1280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">
      <c r="A504">
        <v>6273</v>
      </c>
      <c r="B504" s="106" t="s">
        <v>1281</v>
      </c>
      <c r="C504">
        <v>0.85</v>
      </c>
      <c r="D504">
        <v>0.85</v>
      </c>
      <c r="E504">
        <v>0.85</v>
      </c>
      <c r="F504">
        <v>0.9</v>
      </c>
      <c r="G504">
        <v>2.5499999999999998</v>
      </c>
    </row>
    <row r="505" spans="1:7" x14ac:dyDescent="0.2">
      <c r="A505">
        <v>6274</v>
      </c>
      <c r="B505" s="106" t="s">
        <v>1282</v>
      </c>
      <c r="C505">
        <v>0.05</v>
      </c>
      <c r="D505">
        <v>0.05</v>
      </c>
      <c r="E505">
        <v>0.05</v>
      </c>
      <c r="F505">
        <v>0</v>
      </c>
      <c r="G505">
        <v>0</v>
      </c>
    </row>
    <row r="506" spans="1:7" x14ac:dyDescent="0.2">
      <c r="A506">
        <v>6278</v>
      </c>
      <c r="B506" s="106" t="s">
        <v>1283</v>
      </c>
      <c r="C506">
        <v>0.05</v>
      </c>
      <c r="D506" s="106">
        <v>0.05</v>
      </c>
      <c r="E506" s="106">
        <v>0.05</v>
      </c>
      <c r="F506" s="106">
        <v>0.05</v>
      </c>
      <c r="G506" s="106">
        <v>0.15</v>
      </c>
    </row>
    <row r="507" spans="1:7" x14ac:dyDescent="0.2">
      <c r="A507">
        <v>6284</v>
      </c>
      <c r="B507" s="106" t="s">
        <v>1284</v>
      </c>
      <c r="C507">
        <v>0.1</v>
      </c>
      <c r="D507" s="106">
        <v>0.1</v>
      </c>
      <c r="E507" s="106">
        <v>0.1</v>
      </c>
      <c r="F507" s="106">
        <v>0.1</v>
      </c>
      <c r="G507" s="106">
        <v>0.3</v>
      </c>
    </row>
    <row r="508" spans="1:7" x14ac:dyDescent="0.2">
      <c r="A508">
        <v>6287</v>
      </c>
      <c r="B508" s="106" t="s">
        <v>699</v>
      </c>
      <c r="C508">
        <v>0</v>
      </c>
      <c r="D508">
        <v>0.05</v>
      </c>
      <c r="E508" s="106">
        <v>0.05</v>
      </c>
      <c r="F508" s="106">
        <v>0.1</v>
      </c>
      <c r="G508" s="106">
        <v>0.3</v>
      </c>
    </row>
    <row r="509" spans="1:7" x14ac:dyDescent="0.2">
      <c r="A509">
        <v>6298</v>
      </c>
      <c r="B509" s="106" t="s">
        <v>2121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">
      <c r="A510">
        <v>6301</v>
      </c>
      <c r="B510" s="106" t="s">
        <v>62</v>
      </c>
      <c r="C510">
        <v>0</v>
      </c>
      <c r="D510">
        <v>0</v>
      </c>
      <c r="E510">
        <v>0</v>
      </c>
      <c r="F510">
        <v>0</v>
      </c>
      <c r="G510" s="106">
        <v>0.15</v>
      </c>
    </row>
    <row r="511" spans="1:7" x14ac:dyDescent="0.2">
      <c r="A511">
        <v>6302</v>
      </c>
      <c r="B511" s="106" t="s">
        <v>926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">
      <c r="A512">
        <v>6305</v>
      </c>
      <c r="B512" s="106" t="s">
        <v>32</v>
      </c>
      <c r="C512">
        <v>0.05</v>
      </c>
      <c r="D512">
        <v>0.05</v>
      </c>
      <c r="E512">
        <v>0.05</v>
      </c>
      <c r="F512">
        <v>0.05</v>
      </c>
      <c r="G512">
        <v>0.15</v>
      </c>
    </row>
    <row r="513" spans="1:7" x14ac:dyDescent="0.2">
      <c r="A513">
        <v>6306</v>
      </c>
      <c r="B513" s="106" t="s">
        <v>2298</v>
      </c>
      <c r="C513">
        <v>0</v>
      </c>
      <c r="D513" t="s">
        <v>166</v>
      </c>
      <c r="E513">
        <v>0</v>
      </c>
      <c r="F513" t="s">
        <v>166</v>
      </c>
      <c r="G513" t="s">
        <v>166</v>
      </c>
    </row>
    <row r="514" spans="1:7" x14ac:dyDescent="0.2">
      <c r="A514">
        <v>6310</v>
      </c>
      <c r="B514" s="106" t="s">
        <v>1285</v>
      </c>
      <c r="C514">
        <v>0</v>
      </c>
      <c r="D514" t="s">
        <v>166</v>
      </c>
      <c r="E514">
        <v>0</v>
      </c>
      <c r="F514">
        <v>0</v>
      </c>
      <c r="G514">
        <v>0</v>
      </c>
    </row>
    <row r="515" spans="1:7" x14ac:dyDescent="0.2">
      <c r="A515">
        <v>6315</v>
      </c>
      <c r="B515" s="106" t="s">
        <v>1286</v>
      </c>
      <c r="C515">
        <v>0.05</v>
      </c>
      <c r="D515">
        <v>0.05</v>
      </c>
      <c r="E515">
        <v>0.05</v>
      </c>
      <c r="F515">
        <v>0.05</v>
      </c>
      <c r="G515">
        <v>0.15</v>
      </c>
    </row>
    <row r="516" spans="1:7" x14ac:dyDescent="0.2">
      <c r="A516">
        <v>6316</v>
      </c>
      <c r="B516" s="106" t="s">
        <v>1287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6325</v>
      </c>
      <c r="B517" s="106" t="s">
        <v>1288</v>
      </c>
      <c r="C517">
        <v>0</v>
      </c>
      <c r="D517">
        <v>0</v>
      </c>
      <c r="E517">
        <v>0</v>
      </c>
      <c r="F517">
        <v>0.05</v>
      </c>
      <c r="G517">
        <v>0</v>
      </c>
    </row>
    <row r="518" spans="1:7" x14ac:dyDescent="0.2">
      <c r="A518">
        <v>6326</v>
      </c>
      <c r="B518" s="106" t="s">
        <v>1289</v>
      </c>
      <c r="C518">
        <v>0</v>
      </c>
      <c r="D518" s="106">
        <v>0</v>
      </c>
      <c r="E518" s="106">
        <v>0</v>
      </c>
      <c r="F518">
        <v>0</v>
      </c>
      <c r="G518">
        <v>0</v>
      </c>
    </row>
    <row r="519" spans="1:7" x14ac:dyDescent="0.2">
      <c r="A519">
        <v>6330</v>
      </c>
      <c r="B519" s="106" t="s">
        <v>1290</v>
      </c>
      <c r="C519">
        <v>0.05</v>
      </c>
      <c r="D519" s="106">
        <v>0.05</v>
      </c>
      <c r="E519" s="106">
        <v>0.05</v>
      </c>
      <c r="F519">
        <v>0</v>
      </c>
      <c r="G519">
        <v>0.15</v>
      </c>
    </row>
    <row r="520" spans="1:7" x14ac:dyDescent="0.2">
      <c r="A520">
        <v>6331</v>
      </c>
      <c r="B520" s="106" t="s">
        <v>1291</v>
      </c>
      <c r="C520">
        <v>0</v>
      </c>
      <c r="D520" s="106">
        <v>0</v>
      </c>
      <c r="E520" s="106">
        <v>0</v>
      </c>
      <c r="F520">
        <v>0</v>
      </c>
      <c r="G520" s="106">
        <v>0</v>
      </c>
    </row>
    <row r="521" spans="1:7" x14ac:dyDescent="0.2">
      <c r="A521">
        <v>6332</v>
      </c>
      <c r="B521" s="106" t="s">
        <v>1292</v>
      </c>
      <c r="C521">
        <v>0.05</v>
      </c>
      <c r="D521" s="106">
        <v>0.05</v>
      </c>
      <c r="E521" s="106">
        <v>0.05</v>
      </c>
      <c r="F521">
        <v>0.05</v>
      </c>
      <c r="G521">
        <v>0.15</v>
      </c>
    </row>
    <row r="522" spans="1:7" x14ac:dyDescent="0.2">
      <c r="A522">
        <v>6339</v>
      </c>
      <c r="B522" s="106" t="s">
        <v>2122</v>
      </c>
      <c r="C522">
        <v>0.05</v>
      </c>
      <c r="D522">
        <v>0.05</v>
      </c>
      <c r="E522">
        <v>0.05</v>
      </c>
      <c r="F522">
        <v>0.05</v>
      </c>
      <c r="G522">
        <v>0.15</v>
      </c>
    </row>
    <row r="523" spans="1:7" x14ac:dyDescent="0.2">
      <c r="A523">
        <v>6349</v>
      </c>
      <c r="B523" s="106" t="s">
        <v>1293</v>
      </c>
      <c r="C523">
        <v>0.05</v>
      </c>
      <c r="D523">
        <v>0.05</v>
      </c>
      <c r="E523">
        <v>0.05</v>
      </c>
      <c r="F523">
        <v>0.05</v>
      </c>
      <c r="G523">
        <v>0.15</v>
      </c>
    </row>
    <row r="524" spans="1:7" x14ac:dyDescent="0.2">
      <c r="A524">
        <v>6351</v>
      </c>
      <c r="B524" s="106" t="s">
        <v>1294</v>
      </c>
      <c r="C524">
        <v>0.05</v>
      </c>
      <c r="D524">
        <v>0.05</v>
      </c>
      <c r="E524">
        <v>0.05</v>
      </c>
      <c r="F524">
        <v>0.05</v>
      </c>
      <c r="G524">
        <v>0.15</v>
      </c>
    </row>
    <row r="525" spans="1:7" x14ac:dyDescent="0.2">
      <c r="A525">
        <v>6358</v>
      </c>
      <c r="B525" s="106" t="s">
        <v>1295</v>
      </c>
      <c r="C525">
        <v>0.05</v>
      </c>
      <c r="D525">
        <v>0.05</v>
      </c>
      <c r="E525">
        <v>0.05</v>
      </c>
      <c r="F525">
        <v>0.05</v>
      </c>
      <c r="G525">
        <v>0.15</v>
      </c>
    </row>
    <row r="526" spans="1:7" x14ac:dyDescent="0.2">
      <c r="A526">
        <v>6361</v>
      </c>
      <c r="B526" s="106" t="s">
        <v>1296</v>
      </c>
      <c r="C526">
        <v>0.05</v>
      </c>
      <c r="D526">
        <v>0.1</v>
      </c>
      <c r="E526">
        <v>0.1</v>
      </c>
      <c r="F526">
        <v>0.1</v>
      </c>
      <c r="G526">
        <v>0.15</v>
      </c>
    </row>
    <row r="527" spans="1:7" x14ac:dyDescent="0.2">
      <c r="A527">
        <v>6362</v>
      </c>
      <c r="B527" s="106" t="s">
        <v>1297</v>
      </c>
      <c r="C527">
        <v>0.05</v>
      </c>
      <c r="D527" s="106">
        <v>0.05</v>
      </c>
      <c r="E527">
        <v>0.05</v>
      </c>
      <c r="F527">
        <v>0.05</v>
      </c>
      <c r="G527">
        <v>0.15</v>
      </c>
    </row>
    <row r="528" spans="1:7" x14ac:dyDescent="0.2">
      <c r="A528">
        <v>6363</v>
      </c>
      <c r="B528" s="106" t="s">
        <v>1298</v>
      </c>
      <c r="C528">
        <v>0</v>
      </c>
      <c r="D528" s="106">
        <v>0</v>
      </c>
      <c r="E528" s="106">
        <v>0</v>
      </c>
      <c r="F528">
        <v>0</v>
      </c>
      <c r="G528">
        <v>0</v>
      </c>
    </row>
    <row r="529" spans="1:7" x14ac:dyDescent="0.2">
      <c r="A529">
        <v>6367</v>
      </c>
      <c r="B529" s="106" t="s">
        <v>1299</v>
      </c>
      <c r="C529">
        <v>0.3</v>
      </c>
      <c r="D529" s="106">
        <v>0.3</v>
      </c>
      <c r="E529">
        <v>0</v>
      </c>
      <c r="F529">
        <v>0.05</v>
      </c>
      <c r="G529">
        <v>0.9</v>
      </c>
    </row>
    <row r="530" spans="1:7" x14ac:dyDescent="0.2">
      <c r="A530">
        <v>6368</v>
      </c>
      <c r="B530" s="106" t="s">
        <v>1300</v>
      </c>
      <c r="C530">
        <v>0</v>
      </c>
      <c r="D530">
        <v>0</v>
      </c>
      <c r="E530">
        <v>0</v>
      </c>
      <c r="F530" s="106">
        <v>0</v>
      </c>
      <c r="G530">
        <v>0</v>
      </c>
    </row>
    <row r="531" spans="1:7" x14ac:dyDescent="0.2">
      <c r="A531">
        <v>6371</v>
      </c>
      <c r="B531" s="106" t="s">
        <v>61</v>
      </c>
      <c r="C531">
        <v>0.1</v>
      </c>
      <c r="D531">
        <v>0.1</v>
      </c>
      <c r="E531">
        <v>0.1</v>
      </c>
      <c r="F531" s="106">
        <v>0.1</v>
      </c>
      <c r="G531">
        <v>0.3</v>
      </c>
    </row>
    <row r="532" spans="1:7" x14ac:dyDescent="0.2">
      <c r="A532">
        <v>6379</v>
      </c>
      <c r="B532" s="106" t="s">
        <v>2123</v>
      </c>
      <c r="C532">
        <v>0</v>
      </c>
      <c r="D532" s="106">
        <v>0</v>
      </c>
      <c r="E532" s="106">
        <v>0</v>
      </c>
      <c r="F532">
        <v>0</v>
      </c>
      <c r="G532" s="106">
        <v>0</v>
      </c>
    </row>
    <row r="533" spans="1:7" x14ac:dyDescent="0.2">
      <c r="A533">
        <v>6381</v>
      </c>
      <c r="B533" s="106" t="s">
        <v>1301</v>
      </c>
      <c r="C533">
        <v>0.05</v>
      </c>
      <c r="D533">
        <v>0.05</v>
      </c>
      <c r="E533">
        <v>0.05</v>
      </c>
      <c r="F533">
        <v>0.05</v>
      </c>
      <c r="G533">
        <v>0.15</v>
      </c>
    </row>
    <row r="534" spans="1:7" x14ac:dyDescent="0.2">
      <c r="A534">
        <v>6383</v>
      </c>
      <c r="B534" s="106" t="s">
        <v>933</v>
      </c>
      <c r="C534">
        <v>0.15</v>
      </c>
      <c r="D534">
        <v>0.15</v>
      </c>
      <c r="E534">
        <v>0.15</v>
      </c>
      <c r="F534">
        <v>0.2</v>
      </c>
      <c r="G534">
        <v>0.45</v>
      </c>
    </row>
    <row r="535" spans="1:7" x14ac:dyDescent="0.2">
      <c r="A535">
        <v>6395</v>
      </c>
      <c r="B535" s="106" t="s">
        <v>2571</v>
      </c>
      <c r="C535">
        <v>0</v>
      </c>
      <c r="D535" t="s">
        <v>166</v>
      </c>
      <c r="E535" t="s">
        <v>166</v>
      </c>
      <c r="F535">
        <v>0</v>
      </c>
      <c r="G535" t="s">
        <v>166</v>
      </c>
    </row>
    <row r="536" spans="1:7" x14ac:dyDescent="0.2">
      <c r="A536">
        <v>6407</v>
      </c>
      <c r="B536" s="106" t="s">
        <v>1302</v>
      </c>
      <c r="C536">
        <v>0.05</v>
      </c>
      <c r="D536">
        <v>0.05</v>
      </c>
      <c r="E536" s="106">
        <v>0.05</v>
      </c>
      <c r="F536">
        <v>0.05</v>
      </c>
      <c r="G536" s="106">
        <v>0.15</v>
      </c>
    </row>
    <row r="537" spans="1:7" x14ac:dyDescent="0.2">
      <c r="A537">
        <v>6412</v>
      </c>
      <c r="B537" s="106" t="s">
        <v>1303</v>
      </c>
      <c r="C537">
        <v>0</v>
      </c>
      <c r="D537">
        <v>0</v>
      </c>
      <c r="E537" s="106">
        <v>0</v>
      </c>
      <c r="F537">
        <v>0</v>
      </c>
      <c r="G537" s="106">
        <v>0</v>
      </c>
    </row>
    <row r="538" spans="1:7" x14ac:dyDescent="0.2">
      <c r="A538">
        <v>6413</v>
      </c>
      <c r="B538" s="106" t="s">
        <v>1304</v>
      </c>
      <c r="C538">
        <v>0.05</v>
      </c>
      <c r="D538">
        <v>0.05</v>
      </c>
      <c r="E538">
        <v>0.05</v>
      </c>
      <c r="F538">
        <v>0.05</v>
      </c>
      <c r="G538">
        <v>0.15</v>
      </c>
    </row>
    <row r="539" spans="1:7" x14ac:dyDescent="0.2">
      <c r="A539">
        <v>6428</v>
      </c>
      <c r="B539" s="106" t="s">
        <v>1305</v>
      </c>
      <c r="C539">
        <v>0.05</v>
      </c>
      <c r="D539">
        <v>0.05</v>
      </c>
      <c r="E539">
        <v>0.05</v>
      </c>
      <c r="F539">
        <v>0.05</v>
      </c>
      <c r="G539" s="106">
        <v>0.15</v>
      </c>
    </row>
    <row r="540" spans="1:7" x14ac:dyDescent="0.2">
      <c r="A540">
        <v>6430</v>
      </c>
      <c r="B540" s="106" t="s">
        <v>1306</v>
      </c>
      <c r="C540">
        <v>0.05</v>
      </c>
      <c r="D540">
        <v>0.05</v>
      </c>
      <c r="E540">
        <v>0.05</v>
      </c>
      <c r="F540">
        <v>0.05</v>
      </c>
      <c r="G540">
        <v>0.15</v>
      </c>
    </row>
    <row r="541" spans="1:7" x14ac:dyDescent="0.2">
      <c r="A541">
        <v>6436</v>
      </c>
      <c r="B541" s="106" t="s">
        <v>1307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">
      <c r="A542">
        <v>6444</v>
      </c>
      <c r="B542" s="106" t="s">
        <v>1308</v>
      </c>
      <c r="C542">
        <v>0.05</v>
      </c>
      <c r="D542">
        <v>0.05</v>
      </c>
      <c r="E542">
        <v>0.05</v>
      </c>
      <c r="F542">
        <v>0.05</v>
      </c>
      <c r="G542">
        <v>0.15</v>
      </c>
    </row>
    <row r="543" spans="1:7" x14ac:dyDescent="0.2">
      <c r="A543">
        <v>6448</v>
      </c>
      <c r="B543" s="106" t="s">
        <v>707</v>
      </c>
      <c r="C543">
        <v>0.05</v>
      </c>
      <c r="D543">
        <v>0.05</v>
      </c>
      <c r="E543">
        <v>0.05</v>
      </c>
      <c r="F543">
        <v>0.05</v>
      </c>
      <c r="G543">
        <v>0.15</v>
      </c>
    </row>
    <row r="544" spans="1:7" x14ac:dyDescent="0.2">
      <c r="A544">
        <v>6454</v>
      </c>
      <c r="B544" s="106" t="s">
        <v>1309</v>
      </c>
      <c r="C544">
        <v>0.05</v>
      </c>
      <c r="D544">
        <v>0.05</v>
      </c>
      <c r="E544">
        <v>0.05</v>
      </c>
      <c r="F544">
        <v>0.05</v>
      </c>
      <c r="G544">
        <v>0.15</v>
      </c>
    </row>
    <row r="545" spans="1:7" x14ac:dyDescent="0.2">
      <c r="A545">
        <v>6457</v>
      </c>
      <c r="B545" s="106" t="s">
        <v>239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">
      <c r="A546">
        <v>6463</v>
      </c>
      <c r="B546" s="106" t="s">
        <v>1310</v>
      </c>
      <c r="C546">
        <v>0.05</v>
      </c>
      <c r="D546">
        <v>0.05</v>
      </c>
      <c r="E546">
        <v>0.05</v>
      </c>
      <c r="F546">
        <v>0.05</v>
      </c>
      <c r="G546">
        <v>0.15</v>
      </c>
    </row>
    <row r="547" spans="1:7" x14ac:dyDescent="0.2">
      <c r="A547">
        <v>6465</v>
      </c>
      <c r="B547" s="106" t="s">
        <v>700</v>
      </c>
      <c r="C547">
        <v>0.2</v>
      </c>
      <c r="D547">
        <v>0.2</v>
      </c>
      <c r="E547" s="106">
        <v>0.2</v>
      </c>
      <c r="F547" s="106">
        <v>0.2</v>
      </c>
      <c r="G547">
        <v>0.6</v>
      </c>
    </row>
    <row r="548" spans="1:7" x14ac:dyDescent="0.2">
      <c r="A548">
        <v>6472</v>
      </c>
      <c r="B548" s="106" t="s">
        <v>70</v>
      </c>
      <c r="C548">
        <v>0</v>
      </c>
      <c r="D548">
        <v>0.05</v>
      </c>
      <c r="E548">
        <v>0</v>
      </c>
      <c r="F548">
        <v>0.05</v>
      </c>
      <c r="G548">
        <v>0</v>
      </c>
    </row>
    <row r="549" spans="1:7" x14ac:dyDescent="0.2">
      <c r="A549">
        <v>6474</v>
      </c>
      <c r="B549" s="106" t="s">
        <v>240</v>
      </c>
      <c r="C549">
        <v>0</v>
      </c>
      <c r="D549" s="106">
        <v>0</v>
      </c>
      <c r="E549">
        <v>0</v>
      </c>
      <c r="F549" s="106">
        <v>0</v>
      </c>
      <c r="G549" s="106">
        <v>0</v>
      </c>
    </row>
    <row r="550" spans="1:7" x14ac:dyDescent="0.2">
      <c r="A550">
        <v>6479</v>
      </c>
      <c r="B550" s="106" t="s">
        <v>920</v>
      </c>
      <c r="C550">
        <v>0.05</v>
      </c>
      <c r="D550" s="106">
        <v>0.05</v>
      </c>
      <c r="E550">
        <v>0.05</v>
      </c>
      <c r="F550" s="106">
        <v>0.05</v>
      </c>
      <c r="G550" s="106">
        <v>0.15</v>
      </c>
    </row>
    <row r="551" spans="1:7" x14ac:dyDescent="0.2">
      <c r="A551">
        <v>6481</v>
      </c>
      <c r="B551" s="106" t="s">
        <v>2299</v>
      </c>
      <c r="C551">
        <v>0</v>
      </c>
      <c r="D551">
        <v>0</v>
      </c>
      <c r="E551">
        <v>0</v>
      </c>
      <c r="F551" t="s">
        <v>166</v>
      </c>
      <c r="G551" t="s">
        <v>166</v>
      </c>
    </row>
    <row r="552" spans="1:7" x14ac:dyDescent="0.2">
      <c r="A552">
        <v>6482</v>
      </c>
      <c r="B552" s="106" t="s">
        <v>1311</v>
      </c>
      <c r="C552">
        <v>0.05</v>
      </c>
      <c r="D552">
        <v>0.05</v>
      </c>
      <c r="E552">
        <v>0</v>
      </c>
      <c r="F552">
        <v>0.05</v>
      </c>
      <c r="G552">
        <v>0.15</v>
      </c>
    </row>
    <row r="553" spans="1:7" x14ac:dyDescent="0.2">
      <c r="A553">
        <v>6490</v>
      </c>
      <c r="B553" s="106" t="s">
        <v>1312</v>
      </c>
      <c r="C553">
        <v>0.05</v>
      </c>
      <c r="D553">
        <v>0.05</v>
      </c>
      <c r="E553">
        <v>0.05</v>
      </c>
      <c r="F553">
        <v>0.05</v>
      </c>
      <c r="G553">
        <v>0.15</v>
      </c>
    </row>
    <row r="554" spans="1:7" x14ac:dyDescent="0.2">
      <c r="A554">
        <v>6501</v>
      </c>
      <c r="B554" s="106" t="s">
        <v>2124</v>
      </c>
      <c r="C554">
        <v>0</v>
      </c>
      <c r="D554">
        <v>0</v>
      </c>
      <c r="E554">
        <v>0.1</v>
      </c>
      <c r="F554">
        <v>0</v>
      </c>
      <c r="G554">
        <v>0</v>
      </c>
    </row>
    <row r="555" spans="1:7" x14ac:dyDescent="0.2">
      <c r="A555">
        <v>6503</v>
      </c>
      <c r="B555" s="106" t="s">
        <v>2300</v>
      </c>
      <c r="C555">
        <v>0</v>
      </c>
      <c r="D555" s="106" t="s">
        <v>166</v>
      </c>
      <c r="E555" s="106">
        <v>0</v>
      </c>
      <c r="F555" t="s">
        <v>166</v>
      </c>
      <c r="G555" s="106" t="s">
        <v>166</v>
      </c>
    </row>
    <row r="556" spans="1:7" x14ac:dyDescent="0.2">
      <c r="A556">
        <v>6505</v>
      </c>
      <c r="B556" s="106" t="s">
        <v>1313</v>
      </c>
      <c r="C556">
        <v>0</v>
      </c>
      <c r="D556">
        <v>0</v>
      </c>
      <c r="E556" s="106">
        <v>0</v>
      </c>
      <c r="F556">
        <v>0.05</v>
      </c>
      <c r="G556">
        <v>0</v>
      </c>
    </row>
    <row r="557" spans="1:7" x14ac:dyDescent="0.2">
      <c r="A557">
        <v>6506</v>
      </c>
      <c r="B557" s="106" t="s">
        <v>1314</v>
      </c>
      <c r="C557">
        <v>0.1</v>
      </c>
      <c r="D557" s="106">
        <v>0.1</v>
      </c>
      <c r="E557" s="106">
        <v>0.1</v>
      </c>
      <c r="F557" s="106">
        <v>0.1</v>
      </c>
      <c r="G557" s="106">
        <v>0.3</v>
      </c>
    </row>
    <row r="558" spans="1:7" x14ac:dyDescent="0.2">
      <c r="A558">
        <v>6508</v>
      </c>
      <c r="B558" s="106" t="s">
        <v>1315</v>
      </c>
      <c r="C558">
        <v>0.05</v>
      </c>
      <c r="D558" s="106">
        <v>0.05</v>
      </c>
      <c r="E558">
        <v>0.05</v>
      </c>
      <c r="F558" s="106">
        <v>0.05</v>
      </c>
      <c r="G558">
        <v>0.15</v>
      </c>
    </row>
    <row r="559" spans="1:7" x14ac:dyDescent="0.2">
      <c r="A559">
        <v>6535</v>
      </c>
      <c r="B559" s="106" t="s">
        <v>1316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">
      <c r="A560">
        <v>6540</v>
      </c>
      <c r="B560" s="106" t="s">
        <v>2572</v>
      </c>
      <c r="C560">
        <v>0</v>
      </c>
      <c r="D560">
        <v>0</v>
      </c>
      <c r="E560" t="s">
        <v>166</v>
      </c>
      <c r="F560" s="106" t="s">
        <v>166</v>
      </c>
      <c r="G560" s="106" t="s">
        <v>166</v>
      </c>
    </row>
    <row r="561" spans="1:7" x14ac:dyDescent="0.2">
      <c r="A561">
        <v>6546</v>
      </c>
      <c r="B561" s="106" t="s">
        <v>2573</v>
      </c>
      <c r="C561">
        <v>0</v>
      </c>
      <c r="D561">
        <v>0</v>
      </c>
      <c r="E561" t="s">
        <v>166</v>
      </c>
      <c r="F561" s="106" t="s">
        <v>166</v>
      </c>
      <c r="G561" s="106" t="s">
        <v>166</v>
      </c>
    </row>
    <row r="562" spans="1:7" x14ac:dyDescent="0.2">
      <c r="A562">
        <v>6547</v>
      </c>
      <c r="B562" s="106" t="s">
        <v>1317</v>
      </c>
      <c r="C562">
        <v>0.05</v>
      </c>
      <c r="D562">
        <v>0.05</v>
      </c>
      <c r="E562">
        <v>0.05</v>
      </c>
      <c r="F562">
        <v>0.05</v>
      </c>
      <c r="G562">
        <v>0.15</v>
      </c>
    </row>
    <row r="563" spans="1:7" x14ac:dyDescent="0.2">
      <c r="A563">
        <v>6551</v>
      </c>
      <c r="B563" s="106" t="s">
        <v>1318</v>
      </c>
      <c r="C563">
        <v>0.05</v>
      </c>
      <c r="D563">
        <v>0.05</v>
      </c>
      <c r="E563">
        <v>0.05</v>
      </c>
      <c r="F563">
        <v>0</v>
      </c>
      <c r="G563">
        <v>0</v>
      </c>
    </row>
    <row r="564" spans="1:7" x14ac:dyDescent="0.2">
      <c r="A564">
        <v>6586</v>
      </c>
      <c r="B564" s="106" t="s">
        <v>1319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">
      <c r="A565">
        <v>6588</v>
      </c>
      <c r="B565" s="106" t="s">
        <v>703</v>
      </c>
      <c r="C565">
        <v>0.1</v>
      </c>
      <c r="D565">
        <v>0.1</v>
      </c>
      <c r="E565">
        <v>0.05</v>
      </c>
      <c r="F565">
        <v>0.1</v>
      </c>
      <c r="G565">
        <v>0.3</v>
      </c>
    </row>
    <row r="566" spans="1:7" x14ac:dyDescent="0.2">
      <c r="A566">
        <v>6617</v>
      </c>
      <c r="B566" s="106" t="s">
        <v>2301</v>
      </c>
      <c r="C566">
        <v>0.05</v>
      </c>
      <c r="D566" t="s">
        <v>166</v>
      </c>
      <c r="E566">
        <v>0.05</v>
      </c>
      <c r="F566" t="s">
        <v>166</v>
      </c>
      <c r="G566">
        <v>0.15</v>
      </c>
    </row>
    <row r="567" spans="1:7" x14ac:dyDescent="0.2">
      <c r="A567">
        <v>6619</v>
      </c>
      <c r="B567" s="106" t="s">
        <v>2201</v>
      </c>
      <c r="C567">
        <v>0</v>
      </c>
      <c r="D567" s="106">
        <v>0</v>
      </c>
      <c r="E567">
        <v>0</v>
      </c>
      <c r="F567" s="106">
        <v>0</v>
      </c>
      <c r="G567" t="s">
        <v>166</v>
      </c>
    </row>
    <row r="568" spans="1:7" x14ac:dyDescent="0.2">
      <c r="A568">
        <v>6622</v>
      </c>
      <c r="B568" s="106" t="s">
        <v>1320</v>
      </c>
      <c r="C568">
        <v>0.1</v>
      </c>
      <c r="D568">
        <v>0.1</v>
      </c>
      <c r="E568">
        <v>0.1</v>
      </c>
      <c r="F568">
        <v>0.1</v>
      </c>
      <c r="G568">
        <v>0.3</v>
      </c>
    </row>
    <row r="569" spans="1:7" x14ac:dyDescent="0.2">
      <c r="A569">
        <v>6638</v>
      </c>
      <c r="B569" s="106" t="s">
        <v>2125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6640</v>
      </c>
      <c r="B570" s="106" t="s">
        <v>1321</v>
      </c>
      <c r="C570">
        <v>0.05</v>
      </c>
      <c r="D570">
        <v>0.05</v>
      </c>
      <c r="E570" s="106">
        <v>0.15</v>
      </c>
      <c r="F570" s="106">
        <v>0.1</v>
      </c>
      <c r="G570" s="106">
        <v>0.6</v>
      </c>
    </row>
    <row r="571" spans="1:7" x14ac:dyDescent="0.2">
      <c r="A571">
        <v>6641</v>
      </c>
      <c r="B571" s="106" t="s">
        <v>1322</v>
      </c>
      <c r="C571">
        <v>0.05</v>
      </c>
      <c r="D571">
        <v>0.05</v>
      </c>
      <c r="E571" s="106">
        <v>0.05</v>
      </c>
      <c r="F571" s="106">
        <v>0.05</v>
      </c>
      <c r="G571" s="106">
        <v>0.15</v>
      </c>
    </row>
    <row r="572" spans="1:7" x14ac:dyDescent="0.2">
      <c r="A572">
        <v>6645</v>
      </c>
      <c r="B572" s="106" t="s">
        <v>1323</v>
      </c>
      <c r="C572">
        <v>0.15</v>
      </c>
      <c r="D572">
        <v>0.15</v>
      </c>
      <c r="E572" s="106">
        <v>0.15</v>
      </c>
      <c r="F572">
        <v>0.15</v>
      </c>
      <c r="G572">
        <v>0.45</v>
      </c>
    </row>
    <row r="573" spans="1:7" x14ac:dyDescent="0.2">
      <c r="A573">
        <v>6652</v>
      </c>
      <c r="B573" s="106" t="s">
        <v>1324</v>
      </c>
      <c r="C573">
        <v>0.05</v>
      </c>
      <c r="D573">
        <v>0.05</v>
      </c>
      <c r="E573" s="106">
        <v>0.05</v>
      </c>
      <c r="F573">
        <v>0.05</v>
      </c>
      <c r="G573">
        <v>0.15</v>
      </c>
    </row>
    <row r="574" spans="1:7" x14ac:dyDescent="0.2">
      <c r="A574">
        <v>6653</v>
      </c>
      <c r="B574" s="106" t="s">
        <v>1325</v>
      </c>
      <c r="C574">
        <v>0</v>
      </c>
      <c r="D574" t="s">
        <v>166</v>
      </c>
      <c r="E574">
        <v>0</v>
      </c>
      <c r="F574">
        <v>0</v>
      </c>
      <c r="G574">
        <v>0</v>
      </c>
    </row>
    <row r="575" spans="1:7" x14ac:dyDescent="0.2">
      <c r="A575">
        <v>6654</v>
      </c>
      <c r="B575" s="106" t="s">
        <v>2302</v>
      </c>
      <c r="C575">
        <v>0</v>
      </c>
      <c r="D575" s="106" t="s">
        <v>166</v>
      </c>
      <c r="E575" s="106">
        <v>0</v>
      </c>
      <c r="F575" t="s">
        <v>166</v>
      </c>
      <c r="G575">
        <v>0</v>
      </c>
    </row>
    <row r="576" spans="1:7" x14ac:dyDescent="0.2">
      <c r="A576">
        <v>6674</v>
      </c>
      <c r="B576" s="106" t="s">
        <v>251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6676</v>
      </c>
      <c r="B577" s="106" t="s">
        <v>1326</v>
      </c>
      <c r="C577">
        <v>0</v>
      </c>
      <c r="D577">
        <v>0</v>
      </c>
      <c r="E577" s="106">
        <v>0</v>
      </c>
      <c r="F577" s="106">
        <v>0</v>
      </c>
      <c r="G577" s="106">
        <v>0</v>
      </c>
    </row>
    <row r="578" spans="1:7" x14ac:dyDescent="0.2">
      <c r="A578">
        <v>6702</v>
      </c>
      <c r="B578" s="106" t="s">
        <v>253</v>
      </c>
      <c r="C578">
        <v>0.2</v>
      </c>
      <c r="D578">
        <v>0.2</v>
      </c>
      <c r="E578" s="106">
        <v>0.2</v>
      </c>
      <c r="F578">
        <v>0.2</v>
      </c>
      <c r="G578" s="106">
        <v>0.6</v>
      </c>
    </row>
    <row r="579" spans="1:7" x14ac:dyDescent="0.2">
      <c r="A579">
        <v>6704</v>
      </c>
      <c r="B579" s="106" t="s">
        <v>1327</v>
      </c>
      <c r="C579">
        <v>0</v>
      </c>
      <c r="D579">
        <v>0</v>
      </c>
      <c r="E579">
        <v>0</v>
      </c>
      <c r="F579" s="106">
        <v>0</v>
      </c>
      <c r="G579">
        <v>0.15</v>
      </c>
    </row>
    <row r="580" spans="1:7" x14ac:dyDescent="0.2">
      <c r="A580">
        <v>6706</v>
      </c>
      <c r="B580" s="106" t="s">
        <v>1328</v>
      </c>
      <c r="C580">
        <v>0</v>
      </c>
      <c r="D580">
        <v>0</v>
      </c>
      <c r="E580">
        <v>0</v>
      </c>
      <c r="F580">
        <v>0.05</v>
      </c>
      <c r="G580">
        <v>0</v>
      </c>
    </row>
    <row r="581" spans="1:7" x14ac:dyDescent="0.2">
      <c r="A581">
        <v>6715</v>
      </c>
      <c r="B581" s="106" t="s">
        <v>1329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">
      <c r="A582">
        <v>6723</v>
      </c>
      <c r="B582" s="106" t="s">
        <v>1330</v>
      </c>
      <c r="C582">
        <v>0.05</v>
      </c>
      <c r="D582">
        <v>0.05</v>
      </c>
      <c r="E582">
        <v>0.05</v>
      </c>
      <c r="F582">
        <v>0.05</v>
      </c>
      <c r="G582">
        <v>0.15</v>
      </c>
    </row>
    <row r="583" spans="1:7" x14ac:dyDescent="0.2">
      <c r="A583">
        <v>6724</v>
      </c>
      <c r="B583" s="106" t="s">
        <v>1331</v>
      </c>
      <c r="C583">
        <v>0.05</v>
      </c>
      <c r="D583">
        <v>0.05</v>
      </c>
      <c r="E583">
        <v>0.05</v>
      </c>
      <c r="F583">
        <v>0.05</v>
      </c>
      <c r="G583">
        <v>0.15</v>
      </c>
    </row>
    <row r="584" spans="1:7" x14ac:dyDescent="0.2">
      <c r="A584">
        <v>6748</v>
      </c>
      <c r="B584" s="106" t="s">
        <v>1332</v>
      </c>
      <c r="C584">
        <v>0</v>
      </c>
      <c r="D584">
        <v>0</v>
      </c>
      <c r="E584">
        <v>0</v>
      </c>
      <c r="F584" s="106">
        <v>0</v>
      </c>
      <c r="G584">
        <v>0</v>
      </c>
    </row>
    <row r="585" spans="1:7" x14ac:dyDescent="0.2">
      <c r="A585">
        <v>6750</v>
      </c>
      <c r="B585" s="106" t="s">
        <v>1333</v>
      </c>
      <c r="C585">
        <v>0.05</v>
      </c>
      <c r="D585">
        <v>0.1</v>
      </c>
      <c r="E585" s="106">
        <v>0</v>
      </c>
      <c r="F585" s="106">
        <v>0</v>
      </c>
      <c r="G585" s="106">
        <v>0</v>
      </c>
    </row>
    <row r="586" spans="1:7" x14ac:dyDescent="0.2">
      <c r="A586">
        <v>6754</v>
      </c>
      <c r="B586" s="106" t="s">
        <v>1334</v>
      </c>
      <c r="C586">
        <v>0</v>
      </c>
      <c r="D586">
        <v>0.05</v>
      </c>
      <c r="E586">
        <v>0.05</v>
      </c>
      <c r="F586">
        <v>0</v>
      </c>
      <c r="G586">
        <v>0.15</v>
      </c>
    </row>
    <row r="587" spans="1:7" x14ac:dyDescent="0.2">
      <c r="A587">
        <v>6755</v>
      </c>
      <c r="B587" s="106" t="s">
        <v>893</v>
      </c>
      <c r="C587">
        <v>0.05</v>
      </c>
      <c r="D587">
        <v>0.05</v>
      </c>
      <c r="E587">
        <v>0.05</v>
      </c>
      <c r="F587">
        <v>0.05</v>
      </c>
      <c r="G587">
        <v>0.15</v>
      </c>
    </row>
    <row r="588" spans="1:7" x14ac:dyDescent="0.2">
      <c r="A588">
        <v>6762</v>
      </c>
      <c r="B588" s="106" t="s">
        <v>1335</v>
      </c>
      <c r="C588">
        <v>0.2</v>
      </c>
      <c r="D588">
        <v>0.2</v>
      </c>
      <c r="E588">
        <v>0.2</v>
      </c>
      <c r="F588">
        <v>0.2</v>
      </c>
      <c r="G588">
        <v>0.6</v>
      </c>
    </row>
    <row r="589" spans="1:7" x14ac:dyDescent="0.2">
      <c r="A589">
        <v>6763</v>
      </c>
      <c r="B589" s="106" t="s">
        <v>1336</v>
      </c>
      <c r="C589">
        <v>0.05</v>
      </c>
      <c r="D589">
        <v>0.05</v>
      </c>
      <c r="E589">
        <v>0.05</v>
      </c>
      <c r="F589">
        <v>0.05</v>
      </c>
      <c r="G589">
        <v>0.15</v>
      </c>
    </row>
    <row r="590" spans="1:7" x14ac:dyDescent="0.2">
      <c r="A590">
        <v>6770</v>
      </c>
      <c r="B590" s="106" t="s">
        <v>25</v>
      </c>
      <c r="C590">
        <v>0.05</v>
      </c>
      <c r="D590" s="106">
        <v>0.05</v>
      </c>
      <c r="E590">
        <v>0.05</v>
      </c>
      <c r="F590">
        <v>0.05</v>
      </c>
      <c r="G590">
        <v>0.15</v>
      </c>
    </row>
    <row r="591" spans="1:7" x14ac:dyDescent="0.2">
      <c r="A591">
        <v>6785</v>
      </c>
      <c r="B591" s="106" t="s">
        <v>1337</v>
      </c>
      <c r="C591">
        <v>0.05</v>
      </c>
      <c r="D591" s="106">
        <v>0</v>
      </c>
      <c r="E591">
        <v>0.05</v>
      </c>
      <c r="F591">
        <v>0</v>
      </c>
      <c r="G591">
        <v>0.15</v>
      </c>
    </row>
    <row r="592" spans="1:7" x14ac:dyDescent="0.2">
      <c r="A592">
        <v>6789</v>
      </c>
      <c r="B592" s="106" t="s">
        <v>2303</v>
      </c>
      <c r="C592">
        <v>0.05</v>
      </c>
      <c r="D592">
        <v>0</v>
      </c>
      <c r="E592">
        <v>0</v>
      </c>
      <c r="F592" t="s">
        <v>166</v>
      </c>
      <c r="G592" t="s">
        <v>166</v>
      </c>
    </row>
    <row r="593" spans="1:7" x14ac:dyDescent="0.2">
      <c r="A593">
        <v>6794</v>
      </c>
      <c r="B593" s="106" t="s">
        <v>1338</v>
      </c>
      <c r="C593">
        <v>0.05</v>
      </c>
      <c r="D593">
        <v>0.05</v>
      </c>
      <c r="E593">
        <v>0.05</v>
      </c>
      <c r="F593">
        <v>0.05</v>
      </c>
      <c r="G593">
        <v>0.15</v>
      </c>
    </row>
    <row r="594" spans="1:7" x14ac:dyDescent="0.2">
      <c r="A594">
        <v>6798</v>
      </c>
      <c r="B594" s="106" t="s">
        <v>1339</v>
      </c>
      <c r="C594">
        <v>0.05</v>
      </c>
      <c r="D594">
        <v>0.05</v>
      </c>
      <c r="E594">
        <v>0.05</v>
      </c>
      <c r="F594">
        <v>0.05</v>
      </c>
      <c r="G594">
        <v>0.15</v>
      </c>
    </row>
    <row r="595" spans="1:7" x14ac:dyDescent="0.2">
      <c r="A595">
        <v>6804</v>
      </c>
      <c r="B595" s="106" t="s">
        <v>1340</v>
      </c>
      <c r="C595">
        <v>0.05</v>
      </c>
      <c r="D595">
        <v>0.05</v>
      </c>
      <c r="E595">
        <v>0.05</v>
      </c>
      <c r="F595" s="106">
        <v>0.05</v>
      </c>
      <c r="G595">
        <v>0.15</v>
      </c>
    </row>
    <row r="596" spans="1:7" x14ac:dyDescent="0.2">
      <c r="A596">
        <v>6806</v>
      </c>
      <c r="B596" s="106" t="s">
        <v>1341</v>
      </c>
      <c r="C596">
        <v>0.25</v>
      </c>
      <c r="D596">
        <v>0.25</v>
      </c>
      <c r="E596">
        <v>0.25</v>
      </c>
      <c r="F596">
        <v>0.25</v>
      </c>
      <c r="G596">
        <v>0.75</v>
      </c>
    </row>
    <row r="597" spans="1:7" x14ac:dyDescent="0.2">
      <c r="A597">
        <v>6807</v>
      </c>
      <c r="B597" s="106" t="s">
        <v>256</v>
      </c>
      <c r="C597">
        <v>0.05</v>
      </c>
      <c r="D597">
        <v>0.05</v>
      </c>
      <c r="E597">
        <v>0.05</v>
      </c>
      <c r="F597">
        <v>0.05</v>
      </c>
      <c r="G597">
        <v>0.15</v>
      </c>
    </row>
    <row r="598" spans="1:7" x14ac:dyDescent="0.2">
      <c r="A598">
        <v>6814</v>
      </c>
      <c r="B598" s="106" t="s">
        <v>1342</v>
      </c>
      <c r="C598">
        <v>0.05</v>
      </c>
      <c r="D598">
        <v>0</v>
      </c>
      <c r="E598" s="106">
        <v>0.05</v>
      </c>
      <c r="F598" s="106">
        <v>0.05</v>
      </c>
      <c r="G598" s="106">
        <v>0.15</v>
      </c>
    </row>
    <row r="599" spans="1:7" x14ac:dyDescent="0.2">
      <c r="A599">
        <v>6817</v>
      </c>
      <c r="B599" s="106" t="s">
        <v>1343</v>
      </c>
      <c r="C599">
        <v>0</v>
      </c>
      <c r="D599">
        <v>0</v>
      </c>
      <c r="E599">
        <v>0</v>
      </c>
      <c r="F599" s="106">
        <v>0</v>
      </c>
      <c r="G599">
        <v>0</v>
      </c>
    </row>
    <row r="600" spans="1:7" x14ac:dyDescent="0.2">
      <c r="A600">
        <v>6823</v>
      </c>
      <c r="B600" s="106" t="s">
        <v>1344</v>
      </c>
      <c r="C600">
        <v>0.05</v>
      </c>
      <c r="D600">
        <v>0.05</v>
      </c>
      <c r="E600">
        <v>0.05</v>
      </c>
      <c r="F600">
        <v>0.05</v>
      </c>
      <c r="G600">
        <v>0.15</v>
      </c>
    </row>
    <row r="601" spans="1:7" x14ac:dyDescent="0.2">
      <c r="A601">
        <v>6839</v>
      </c>
      <c r="B601" s="106" t="s">
        <v>1345</v>
      </c>
      <c r="C601">
        <v>0.05</v>
      </c>
      <c r="D601">
        <v>0.05</v>
      </c>
      <c r="E601">
        <v>0.05</v>
      </c>
      <c r="F601">
        <v>0.05</v>
      </c>
      <c r="G601">
        <v>0.15</v>
      </c>
    </row>
    <row r="602" spans="1:7" x14ac:dyDescent="0.2">
      <c r="A602">
        <v>6845</v>
      </c>
      <c r="B602" s="106" t="s">
        <v>234</v>
      </c>
      <c r="C602">
        <v>0</v>
      </c>
      <c r="D602" s="106">
        <v>0</v>
      </c>
      <c r="E602">
        <v>0.1</v>
      </c>
      <c r="F602" s="106">
        <v>0.05</v>
      </c>
      <c r="G602">
        <v>0.15</v>
      </c>
    </row>
    <row r="603" spans="1:7" x14ac:dyDescent="0.2">
      <c r="A603">
        <v>6848</v>
      </c>
      <c r="B603" s="106" t="s">
        <v>1346</v>
      </c>
      <c r="C603">
        <v>0.05</v>
      </c>
      <c r="D603" s="106">
        <v>0.05</v>
      </c>
      <c r="E603" s="106">
        <v>0.05</v>
      </c>
      <c r="F603" s="106">
        <v>0.05</v>
      </c>
      <c r="G603" s="106">
        <v>0.15</v>
      </c>
    </row>
    <row r="604" spans="1:7" x14ac:dyDescent="0.2">
      <c r="A604">
        <v>6850</v>
      </c>
      <c r="B604" s="106" t="s">
        <v>2126</v>
      </c>
      <c r="C604">
        <v>0</v>
      </c>
      <c r="D604" s="106">
        <v>0</v>
      </c>
      <c r="E604" s="106">
        <v>0</v>
      </c>
      <c r="F604" s="106">
        <v>0</v>
      </c>
      <c r="G604" s="106">
        <v>0</v>
      </c>
    </row>
    <row r="605" spans="1:7" x14ac:dyDescent="0.2">
      <c r="A605">
        <v>6853</v>
      </c>
      <c r="B605" s="106" t="s">
        <v>2304</v>
      </c>
      <c r="C605">
        <v>0</v>
      </c>
      <c r="D605">
        <v>0</v>
      </c>
      <c r="E605">
        <v>0</v>
      </c>
      <c r="F605" t="s">
        <v>166</v>
      </c>
      <c r="G605">
        <v>0.15</v>
      </c>
    </row>
    <row r="606" spans="1:7" x14ac:dyDescent="0.2">
      <c r="A606">
        <v>6856</v>
      </c>
      <c r="B606" s="106" t="s">
        <v>252</v>
      </c>
      <c r="C606">
        <v>0.15</v>
      </c>
      <c r="D606">
        <v>0.15</v>
      </c>
      <c r="E606">
        <v>0.15</v>
      </c>
      <c r="F606">
        <v>0.15</v>
      </c>
      <c r="G606">
        <v>0.45</v>
      </c>
    </row>
    <row r="607" spans="1:7" x14ac:dyDescent="0.2">
      <c r="A607">
        <v>6857</v>
      </c>
      <c r="B607" s="106" t="s">
        <v>1347</v>
      </c>
      <c r="C607">
        <v>0.15</v>
      </c>
      <c r="D607">
        <v>0.1</v>
      </c>
      <c r="E607" s="106">
        <v>0.1</v>
      </c>
      <c r="F607" s="106">
        <v>0.1</v>
      </c>
      <c r="G607">
        <v>0.3</v>
      </c>
    </row>
    <row r="608" spans="1:7" x14ac:dyDescent="0.2">
      <c r="A608">
        <v>6861</v>
      </c>
      <c r="B608" s="106" t="s">
        <v>1348</v>
      </c>
      <c r="C608">
        <v>0.65</v>
      </c>
      <c r="D608">
        <v>0.65</v>
      </c>
      <c r="E608" s="106">
        <v>0.65</v>
      </c>
      <c r="F608" s="106">
        <v>0.65</v>
      </c>
      <c r="G608" s="106">
        <v>1.95</v>
      </c>
    </row>
    <row r="609" spans="1:7" x14ac:dyDescent="0.2">
      <c r="A609">
        <v>6871</v>
      </c>
      <c r="B609" s="106" t="s">
        <v>1349</v>
      </c>
      <c r="C609">
        <v>0.05</v>
      </c>
      <c r="D609">
        <v>0.05</v>
      </c>
      <c r="E609">
        <v>0.05</v>
      </c>
      <c r="F609">
        <v>0.05</v>
      </c>
      <c r="G609">
        <v>0.15</v>
      </c>
    </row>
    <row r="610" spans="1:7" x14ac:dyDescent="0.2">
      <c r="A610">
        <v>6875</v>
      </c>
      <c r="B610" s="106" t="s">
        <v>1350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">
      <c r="A611">
        <v>6879</v>
      </c>
      <c r="B611" s="106" t="s">
        <v>1351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">
      <c r="A612">
        <v>6902</v>
      </c>
      <c r="B612" s="106" t="s">
        <v>1352</v>
      </c>
      <c r="C612">
        <v>0</v>
      </c>
      <c r="D612">
        <v>0</v>
      </c>
      <c r="E612">
        <v>0</v>
      </c>
      <c r="F612">
        <v>0</v>
      </c>
      <c r="G612">
        <v>0.3</v>
      </c>
    </row>
    <row r="613" spans="1:7" x14ac:dyDescent="0.2">
      <c r="A613">
        <v>6908</v>
      </c>
      <c r="B613" s="106" t="s">
        <v>2574</v>
      </c>
      <c r="C613">
        <v>0</v>
      </c>
      <c r="D613">
        <v>0</v>
      </c>
      <c r="E613" t="s">
        <v>166</v>
      </c>
      <c r="F613">
        <v>0</v>
      </c>
      <c r="G613">
        <v>0</v>
      </c>
    </row>
    <row r="614" spans="1:7" x14ac:dyDescent="0.2">
      <c r="A614">
        <v>6915</v>
      </c>
      <c r="B614" s="106" t="s">
        <v>1353</v>
      </c>
      <c r="C614">
        <v>0.05</v>
      </c>
      <c r="D614">
        <v>0.05</v>
      </c>
      <c r="E614">
        <v>0.05</v>
      </c>
      <c r="F614">
        <v>0.05</v>
      </c>
      <c r="G614">
        <v>0</v>
      </c>
    </row>
    <row r="615" spans="1:7" x14ac:dyDescent="0.2">
      <c r="A615">
        <v>6916</v>
      </c>
      <c r="B615" s="106" t="s">
        <v>1354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">
      <c r="A616">
        <v>6923</v>
      </c>
      <c r="B616" s="106" t="s">
        <v>64</v>
      </c>
      <c r="C616">
        <v>0.05</v>
      </c>
      <c r="D616">
        <v>0.05</v>
      </c>
      <c r="E616">
        <v>0.05</v>
      </c>
      <c r="F616">
        <v>0.05</v>
      </c>
      <c r="G616">
        <v>0.15</v>
      </c>
    </row>
    <row r="617" spans="1:7" x14ac:dyDescent="0.2">
      <c r="A617">
        <v>6926</v>
      </c>
      <c r="B617" s="106" t="s">
        <v>1355</v>
      </c>
      <c r="C617">
        <v>0.05</v>
      </c>
      <c r="D617">
        <v>0.05</v>
      </c>
      <c r="E617">
        <v>0.05</v>
      </c>
      <c r="F617">
        <v>0.05</v>
      </c>
      <c r="G617">
        <v>0.15</v>
      </c>
    </row>
    <row r="618" spans="1:7" x14ac:dyDescent="0.2">
      <c r="A618">
        <v>6941</v>
      </c>
      <c r="B618" s="106" t="s">
        <v>1356</v>
      </c>
      <c r="C618">
        <v>0.05</v>
      </c>
      <c r="D618" s="106">
        <v>0.05</v>
      </c>
      <c r="E618">
        <v>0.05</v>
      </c>
      <c r="F618" s="106">
        <v>0.05</v>
      </c>
      <c r="G618" s="106">
        <v>0.15</v>
      </c>
    </row>
    <row r="619" spans="1:7" x14ac:dyDescent="0.2">
      <c r="A619">
        <v>6947</v>
      </c>
      <c r="B619" s="106" t="s">
        <v>1357</v>
      </c>
      <c r="C619">
        <v>0.05</v>
      </c>
      <c r="D619">
        <v>0.05</v>
      </c>
      <c r="E619">
        <v>0.05</v>
      </c>
      <c r="F619">
        <v>0.05</v>
      </c>
      <c r="G619">
        <v>0.15</v>
      </c>
    </row>
    <row r="620" spans="1:7" x14ac:dyDescent="0.2">
      <c r="A620">
        <v>6951</v>
      </c>
      <c r="B620" s="106" t="s">
        <v>244</v>
      </c>
      <c r="C620">
        <v>0.05</v>
      </c>
      <c r="D620">
        <v>0.1</v>
      </c>
      <c r="E620">
        <v>0.1</v>
      </c>
      <c r="F620">
        <v>0.1</v>
      </c>
      <c r="G620">
        <v>0.3</v>
      </c>
    </row>
    <row r="621" spans="1:7" x14ac:dyDescent="0.2">
      <c r="A621">
        <v>6952</v>
      </c>
      <c r="B621" s="106" t="s">
        <v>705</v>
      </c>
      <c r="C621">
        <v>0.05</v>
      </c>
      <c r="D621" s="106">
        <v>0.05</v>
      </c>
      <c r="E621">
        <v>0.05</v>
      </c>
      <c r="F621">
        <v>0.05</v>
      </c>
      <c r="G621">
        <v>0.15</v>
      </c>
    </row>
    <row r="622" spans="1:7" x14ac:dyDescent="0.2">
      <c r="A622">
        <v>6958</v>
      </c>
      <c r="B622" s="106" t="s">
        <v>1358</v>
      </c>
      <c r="C622">
        <v>0.05</v>
      </c>
      <c r="D622">
        <v>0.05</v>
      </c>
      <c r="E622">
        <v>0.05</v>
      </c>
      <c r="F622">
        <v>0.05</v>
      </c>
      <c r="G622">
        <v>0.15</v>
      </c>
    </row>
    <row r="623" spans="1:7" x14ac:dyDescent="0.2">
      <c r="A623">
        <v>6961</v>
      </c>
      <c r="B623" s="106" t="s">
        <v>1359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">
      <c r="A624">
        <v>6962</v>
      </c>
      <c r="B624" s="106" t="s">
        <v>1360</v>
      </c>
      <c r="C624">
        <v>0.5</v>
      </c>
      <c r="D624">
        <v>0.5</v>
      </c>
      <c r="E624">
        <v>0.5</v>
      </c>
      <c r="F624">
        <v>0.5</v>
      </c>
      <c r="G624">
        <v>1.5</v>
      </c>
    </row>
    <row r="625" spans="1:7" x14ac:dyDescent="0.2">
      <c r="A625">
        <v>6965</v>
      </c>
      <c r="B625" s="106" t="s">
        <v>708</v>
      </c>
      <c r="C625">
        <v>0</v>
      </c>
      <c r="D625">
        <v>0</v>
      </c>
      <c r="E625">
        <v>0</v>
      </c>
      <c r="F625" s="106">
        <v>0</v>
      </c>
      <c r="G625" s="106">
        <v>0</v>
      </c>
    </row>
    <row r="626" spans="1:7" x14ac:dyDescent="0.2">
      <c r="A626">
        <v>6966</v>
      </c>
      <c r="B626" s="106" t="s">
        <v>2305</v>
      </c>
      <c r="C626">
        <v>0</v>
      </c>
      <c r="D626">
        <v>0</v>
      </c>
      <c r="E626">
        <v>0</v>
      </c>
      <c r="F626" s="106" t="s">
        <v>166</v>
      </c>
      <c r="G626" s="106" t="s">
        <v>166</v>
      </c>
    </row>
    <row r="627" spans="1:7" x14ac:dyDescent="0.2">
      <c r="A627">
        <v>6967</v>
      </c>
      <c r="B627" s="106" t="s">
        <v>1361</v>
      </c>
      <c r="C627">
        <v>0.05</v>
      </c>
      <c r="D627">
        <v>0.05</v>
      </c>
      <c r="E627">
        <v>0.05</v>
      </c>
      <c r="F627">
        <v>0.05</v>
      </c>
      <c r="G627">
        <v>0.15</v>
      </c>
    </row>
    <row r="628" spans="1:7" x14ac:dyDescent="0.2">
      <c r="A628">
        <v>6971</v>
      </c>
      <c r="B628" s="106" t="s">
        <v>1362</v>
      </c>
      <c r="C628">
        <v>0.15</v>
      </c>
      <c r="D628">
        <v>0.15</v>
      </c>
      <c r="E628">
        <v>0.15</v>
      </c>
      <c r="F628">
        <v>0.15</v>
      </c>
      <c r="G628">
        <v>0.45</v>
      </c>
    </row>
    <row r="629" spans="1:7" x14ac:dyDescent="0.2">
      <c r="A629">
        <v>6976</v>
      </c>
      <c r="B629" s="106" t="s">
        <v>1363</v>
      </c>
      <c r="C629">
        <v>0.55000000000000004</v>
      </c>
      <c r="D629">
        <v>0.1</v>
      </c>
      <c r="E629">
        <v>0.1</v>
      </c>
      <c r="F629">
        <v>0.1</v>
      </c>
      <c r="G629">
        <v>0.3</v>
      </c>
    </row>
    <row r="630" spans="1:7" x14ac:dyDescent="0.2">
      <c r="A630">
        <v>6981</v>
      </c>
      <c r="B630" s="106" t="s">
        <v>2127</v>
      </c>
      <c r="C630">
        <v>0</v>
      </c>
      <c r="D630" s="106" t="s">
        <v>166</v>
      </c>
      <c r="E630">
        <v>0</v>
      </c>
      <c r="F630">
        <v>0</v>
      </c>
      <c r="G630">
        <v>0</v>
      </c>
    </row>
    <row r="631" spans="1:7" x14ac:dyDescent="0.2">
      <c r="A631">
        <v>6988</v>
      </c>
      <c r="B631" s="106" t="s">
        <v>73</v>
      </c>
      <c r="C631">
        <v>0.1</v>
      </c>
      <c r="D631" s="106">
        <v>0.1</v>
      </c>
      <c r="E631" s="106">
        <v>0.1</v>
      </c>
      <c r="F631" s="106">
        <v>0.1</v>
      </c>
      <c r="G631" s="106">
        <v>0.3</v>
      </c>
    </row>
    <row r="632" spans="1:7" x14ac:dyDescent="0.2">
      <c r="A632">
        <v>6989</v>
      </c>
      <c r="B632" s="106" t="s">
        <v>1364</v>
      </c>
      <c r="C632">
        <v>0</v>
      </c>
      <c r="D632" s="106">
        <v>0</v>
      </c>
      <c r="E632" s="106">
        <v>0</v>
      </c>
      <c r="F632" s="106">
        <v>0</v>
      </c>
      <c r="G632" s="106">
        <v>0</v>
      </c>
    </row>
    <row r="633" spans="1:7" x14ac:dyDescent="0.2">
      <c r="A633">
        <v>6995</v>
      </c>
      <c r="B633" s="106" t="s">
        <v>53</v>
      </c>
      <c r="C633">
        <v>0.05</v>
      </c>
      <c r="D633">
        <v>0.05</v>
      </c>
      <c r="E633" s="106">
        <v>0.05</v>
      </c>
      <c r="F633">
        <v>0.05</v>
      </c>
      <c r="G633" s="106">
        <v>0.15</v>
      </c>
    </row>
    <row r="634" spans="1:7" x14ac:dyDescent="0.2">
      <c r="A634">
        <v>6997</v>
      </c>
      <c r="B634" s="106" t="s">
        <v>2306</v>
      </c>
      <c r="C634">
        <v>0</v>
      </c>
      <c r="D634">
        <v>0</v>
      </c>
      <c r="E634">
        <v>0</v>
      </c>
      <c r="F634" t="s">
        <v>166</v>
      </c>
      <c r="G634" t="s">
        <v>166</v>
      </c>
    </row>
    <row r="635" spans="1:7" x14ac:dyDescent="0.2">
      <c r="A635">
        <v>7003</v>
      </c>
      <c r="B635" s="106" t="s">
        <v>1365</v>
      </c>
      <c r="C635">
        <v>0.05</v>
      </c>
      <c r="D635">
        <v>0.05</v>
      </c>
      <c r="E635">
        <v>0.05</v>
      </c>
      <c r="F635">
        <v>0.05</v>
      </c>
      <c r="G635">
        <v>0.15</v>
      </c>
    </row>
    <row r="636" spans="1:7" x14ac:dyDescent="0.2">
      <c r="A636">
        <v>7011</v>
      </c>
      <c r="B636" s="106" t="s">
        <v>2575</v>
      </c>
      <c r="C636">
        <v>0</v>
      </c>
      <c r="D636" s="106" t="s">
        <v>166</v>
      </c>
      <c r="E636" s="106" t="s">
        <v>166</v>
      </c>
      <c r="F636" s="106" t="s">
        <v>166</v>
      </c>
      <c r="G636" s="106" t="s">
        <v>166</v>
      </c>
    </row>
    <row r="637" spans="1:7" x14ac:dyDescent="0.2">
      <c r="A637">
        <v>7012</v>
      </c>
      <c r="B637" s="106" t="s">
        <v>1366</v>
      </c>
      <c r="C637">
        <v>0</v>
      </c>
      <c r="D637" s="106" t="s">
        <v>166</v>
      </c>
      <c r="E637" s="106">
        <v>0</v>
      </c>
      <c r="F637" s="106">
        <v>0.05</v>
      </c>
      <c r="G637" s="106">
        <v>0.15</v>
      </c>
    </row>
    <row r="638" spans="1:7" x14ac:dyDescent="0.2">
      <c r="A638">
        <v>7014</v>
      </c>
      <c r="B638" s="106" t="s">
        <v>1367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">
      <c r="A639">
        <v>7030</v>
      </c>
      <c r="B639" s="106" t="s">
        <v>1368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7102</v>
      </c>
      <c r="B640" s="106" t="s">
        <v>1369</v>
      </c>
      <c r="C640">
        <v>0.1</v>
      </c>
      <c r="D640">
        <v>0.1</v>
      </c>
      <c r="E640">
        <v>0.1</v>
      </c>
      <c r="F640">
        <v>0.05</v>
      </c>
      <c r="G640">
        <v>0.15</v>
      </c>
    </row>
    <row r="641" spans="1:7" x14ac:dyDescent="0.2">
      <c r="A641">
        <v>7105</v>
      </c>
      <c r="B641" s="106" t="s">
        <v>1370</v>
      </c>
      <c r="C641">
        <v>0.05</v>
      </c>
      <c r="D641">
        <v>0.05</v>
      </c>
      <c r="E641">
        <v>0.25</v>
      </c>
      <c r="F641">
        <v>0.05</v>
      </c>
      <c r="G641">
        <v>0.15</v>
      </c>
    </row>
    <row r="642" spans="1:7" x14ac:dyDescent="0.2">
      <c r="A642">
        <v>7150</v>
      </c>
      <c r="B642" s="106" t="s">
        <v>1371</v>
      </c>
      <c r="C642">
        <v>0</v>
      </c>
      <c r="D642">
        <v>0</v>
      </c>
      <c r="E642" s="106">
        <v>0</v>
      </c>
      <c r="F642" s="106">
        <v>0</v>
      </c>
      <c r="G642" s="106">
        <v>0</v>
      </c>
    </row>
    <row r="643" spans="1:7" x14ac:dyDescent="0.2">
      <c r="A643">
        <v>7164</v>
      </c>
      <c r="B643" s="106" t="s">
        <v>1372</v>
      </c>
      <c r="C643">
        <v>0</v>
      </c>
      <c r="D643">
        <v>0</v>
      </c>
      <c r="E643" s="106">
        <v>0</v>
      </c>
      <c r="F643" s="106">
        <v>0</v>
      </c>
      <c r="G643" s="106">
        <v>0</v>
      </c>
    </row>
    <row r="644" spans="1:7" x14ac:dyDescent="0.2">
      <c r="A644">
        <v>7173</v>
      </c>
      <c r="B644" s="106" t="s">
        <v>1373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">
      <c r="A645">
        <v>7180</v>
      </c>
      <c r="B645" s="106" t="s">
        <v>2307</v>
      </c>
      <c r="C645">
        <v>0</v>
      </c>
      <c r="D645" s="106">
        <v>0.05</v>
      </c>
      <c r="E645">
        <v>0</v>
      </c>
      <c r="F645" t="s">
        <v>166</v>
      </c>
      <c r="G645">
        <v>0</v>
      </c>
    </row>
    <row r="646" spans="1:7" x14ac:dyDescent="0.2">
      <c r="A646">
        <v>7181</v>
      </c>
      <c r="B646" s="106" t="s">
        <v>72</v>
      </c>
      <c r="C646">
        <v>0.05</v>
      </c>
      <c r="D646" s="106">
        <v>0.05</v>
      </c>
      <c r="E646">
        <v>0.05</v>
      </c>
      <c r="F646">
        <v>0.05</v>
      </c>
      <c r="G646">
        <v>0.15</v>
      </c>
    </row>
    <row r="647" spans="1:7" x14ac:dyDescent="0.2">
      <c r="A647">
        <v>7184</v>
      </c>
      <c r="B647" s="106" t="s">
        <v>1374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">
      <c r="A648">
        <v>7186</v>
      </c>
      <c r="B648" s="106" t="s">
        <v>913</v>
      </c>
      <c r="C648">
        <v>0.05</v>
      </c>
      <c r="D648">
        <v>0.05</v>
      </c>
      <c r="E648">
        <v>0.05</v>
      </c>
      <c r="F648">
        <v>0</v>
      </c>
      <c r="G648">
        <v>0.15</v>
      </c>
    </row>
    <row r="649" spans="1:7" x14ac:dyDescent="0.2">
      <c r="A649">
        <v>7187</v>
      </c>
      <c r="B649" s="106" t="s">
        <v>2308</v>
      </c>
      <c r="C649">
        <v>0</v>
      </c>
      <c r="D649">
        <v>0</v>
      </c>
      <c r="E649">
        <v>0</v>
      </c>
      <c r="F649" t="s">
        <v>166</v>
      </c>
      <c r="G649">
        <v>0</v>
      </c>
    </row>
    <row r="650" spans="1:7" x14ac:dyDescent="0.2">
      <c r="A650">
        <v>7189</v>
      </c>
      <c r="B650" s="106" t="s">
        <v>47</v>
      </c>
      <c r="C650">
        <v>0.05</v>
      </c>
      <c r="D650">
        <v>0.05</v>
      </c>
      <c r="E650">
        <v>0.05</v>
      </c>
      <c r="F650">
        <v>0.05</v>
      </c>
      <c r="G650">
        <v>0.15</v>
      </c>
    </row>
    <row r="651" spans="1:7" x14ac:dyDescent="0.2">
      <c r="A651">
        <v>7190</v>
      </c>
      <c r="B651" s="106" t="s">
        <v>1375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">
      <c r="A652">
        <v>7191</v>
      </c>
      <c r="B652" s="106" t="s">
        <v>2576</v>
      </c>
      <c r="C652">
        <v>0</v>
      </c>
      <c r="D652" t="s">
        <v>166</v>
      </c>
      <c r="E652" t="s">
        <v>166</v>
      </c>
      <c r="F652" t="s">
        <v>166</v>
      </c>
      <c r="G652">
        <v>0</v>
      </c>
    </row>
    <row r="653" spans="1:7" x14ac:dyDescent="0.2">
      <c r="A653">
        <v>7202</v>
      </c>
      <c r="B653" s="106" t="s">
        <v>1376</v>
      </c>
      <c r="C653">
        <v>0.05</v>
      </c>
      <c r="D653">
        <v>0.05</v>
      </c>
      <c r="E653">
        <v>0.05</v>
      </c>
      <c r="F653">
        <v>0</v>
      </c>
      <c r="G653">
        <v>0.15</v>
      </c>
    </row>
    <row r="654" spans="1:7" x14ac:dyDescent="0.2">
      <c r="A654">
        <v>7203</v>
      </c>
      <c r="B654" s="106" t="s">
        <v>250</v>
      </c>
      <c r="C654">
        <v>0.15</v>
      </c>
      <c r="D654">
        <v>0.15</v>
      </c>
      <c r="E654">
        <v>0.15</v>
      </c>
      <c r="F654">
        <v>0.15</v>
      </c>
      <c r="G654" s="106">
        <v>0.45</v>
      </c>
    </row>
    <row r="655" spans="1:7" x14ac:dyDescent="0.2">
      <c r="A655">
        <v>7205</v>
      </c>
      <c r="B655" s="106" t="s">
        <v>66</v>
      </c>
      <c r="C655">
        <v>0.05</v>
      </c>
      <c r="D655">
        <v>0.05</v>
      </c>
      <c r="E655" s="106">
        <v>0.05</v>
      </c>
      <c r="F655">
        <v>0.05</v>
      </c>
      <c r="G655">
        <v>0.15</v>
      </c>
    </row>
    <row r="656" spans="1:7" x14ac:dyDescent="0.2">
      <c r="A656">
        <v>7212</v>
      </c>
      <c r="B656" s="106" t="s">
        <v>2128</v>
      </c>
      <c r="C656">
        <v>0</v>
      </c>
      <c r="D656">
        <v>0</v>
      </c>
      <c r="E656" s="106">
        <v>0</v>
      </c>
      <c r="F656">
        <v>0</v>
      </c>
      <c r="G656">
        <v>0</v>
      </c>
    </row>
    <row r="657" spans="1:7" x14ac:dyDescent="0.2">
      <c r="A657">
        <v>7220</v>
      </c>
      <c r="B657" s="106" t="s">
        <v>1377</v>
      </c>
      <c r="C657">
        <v>0.05</v>
      </c>
      <c r="D657">
        <v>0.05</v>
      </c>
      <c r="E657">
        <v>0.05</v>
      </c>
      <c r="F657">
        <v>0.05</v>
      </c>
      <c r="G657">
        <v>0.15</v>
      </c>
    </row>
    <row r="658" spans="1:7" x14ac:dyDescent="0.2">
      <c r="A658">
        <v>7222</v>
      </c>
      <c r="B658" s="106" t="s">
        <v>1378</v>
      </c>
      <c r="C658">
        <v>0.05</v>
      </c>
      <c r="D658">
        <v>0.05</v>
      </c>
      <c r="E658">
        <v>0.05</v>
      </c>
      <c r="F658">
        <v>0.05</v>
      </c>
      <c r="G658">
        <v>0.15</v>
      </c>
    </row>
    <row r="659" spans="1:7" x14ac:dyDescent="0.2">
      <c r="A659">
        <v>7224</v>
      </c>
      <c r="B659" s="106" t="s">
        <v>1379</v>
      </c>
      <c r="C659">
        <v>0.05</v>
      </c>
      <c r="D659">
        <v>0.05</v>
      </c>
      <c r="E659">
        <v>0.05</v>
      </c>
      <c r="F659">
        <v>0.05</v>
      </c>
      <c r="G659">
        <v>0</v>
      </c>
    </row>
    <row r="660" spans="1:7" x14ac:dyDescent="0.2">
      <c r="A660">
        <v>7226</v>
      </c>
      <c r="B660" s="106" t="s">
        <v>1380</v>
      </c>
      <c r="C660">
        <v>0</v>
      </c>
      <c r="D660" s="106" t="s">
        <v>166</v>
      </c>
      <c r="E660">
        <v>0</v>
      </c>
      <c r="F660" s="106">
        <v>0</v>
      </c>
      <c r="G660">
        <v>0</v>
      </c>
    </row>
    <row r="661" spans="1:7" x14ac:dyDescent="0.2">
      <c r="A661">
        <v>7231</v>
      </c>
      <c r="B661" s="106" t="s">
        <v>1381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">
      <c r="A662">
        <v>7236</v>
      </c>
      <c r="B662" s="106" t="s">
        <v>1382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">
      <c r="A663">
        <v>7239</v>
      </c>
      <c r="B663" s="106" t="s">
        <v>1383</v>
      </c>
      <c r="C663">
        <v>0.05</v>
      </c>
      <c r="D663">
        <v>0.05</v>
      </c>
      <c r="E663">
        <v>0.05</v>
      </c>
      <c r="F663">
        <v>0.05</v>
      </c>
      <c r="G663">
        <v>0.15</v>
      </c>
    </row>
    <row r="664" spans="1:7" x14ac:dyDescent="0.2">
      <c r="A664">
        <v>7240</v>
      </c>
      <c r="B664" s="106" t="s">
        <v>1384</v>
      </c>
      <c r="C664">
        <v>0.05</v>
      </c>
      <c r="D664">
        <v>0.05</v>
      </c>
      <c r="E664">
        <v>0.05</v>
      </c>
      <c r="F664">
        <v>0.05</v>
      </c>
      <c r="G664">
        <v>0.15</v>
      </c>
    </row>
    <row r="665" spans="1:7" x14ac:dyDescent="0.2">
      <c r="A665">
        <v>7244</v>
      </c>
      <c r="B665" s="106" t="s">
        <v>1385</v>
      </c>
      <c r="C665">
        <v>0</v>
      </c>
      <c r="D665" s="106" t="s">
        <v>166</v>
      </c>
      <c r="E665">
        <v>0</v>
      </c>
      <c r="F665" s="106">
        <v>0.05</v>
      </c>
      <c r="G665" s="106">
        <v>0.15</v>
      </c>
    </row>
    <row r="666" spans="1:7" x14ac:dyDescent="0.2">
      <c r="A666">
        <v>7261</v>
      </c>
      <c r="B666" s="106" t="s">
        <v>927</v>
      </c>
      <c r="C666">
        <v>0</v>
      </c>
      <c r="D666" s="106" t="s">
        <v>166</v>
      </c>
      <c r="E666" s="106">
        <v>0</v>
      </c>
      <c r="F666" s="106">
        <v>0</v>
      </c>
      <c r="G666" s="106">
        <v>0</v>
      </c>
    </row>
    <row r="667" spans="1:7" x14ac:dyDescent="0.2">
      <c r="A667">
        <v>7277</v>
      </c>
      <c r="B667" s="106" t="s">
        <v>1386</v>
      </c>
      <c r="C667">
        <v>0.05</v>
      </c>
      <c r="D667">
        <v>0.05</v>
      </c>
      <c r="E667" s="106">
        <v>0.05</v>
      </c>
      <c r="F667">
        <v>0.05</v>
      </c>
      <c r="G667" s="106">
        <v>0.15</v>
      </c>
    </row>
    <row r="668" spans="1:7" x14ac:dyDescent="0.2">
      <c r="A668">
        <v>7278</v>
      </c>
      <c r="B668" s="106" t="s">
        <v>48</v>
      </c>
      <c r="C668">
        <v>0</v>
      </c>
      <c r="D668">
        <v>0.05</v>
      </c>
      <c r="E668">
        <v>0</v>
      </c>
      <c r="F668">
        <v>0.05</v>
      </c>
      <c r="G668">
        <v>0.15</v>
      </c>
    </row>
    <row r="669" spans="1:7" x14ac:dyDescent="0.2">
      <c r="A669">
        <v>7280</v>
      </c>
      <c r="B669" s="106" t="s">
        <v>1387</v>
      </c>
      <c r="C669">
        <v>0.05</v>
      </c>
      <c r="D669">
        <v>0.05</v>
      </c>
      <c r="E669">
        <v>0.05</v>
      </c>
      <c r="F669">
        <v>0.05</v>
      </c>
      <c r="G669">
        <v>0.15</v>
      </c>
    </row>
    <row r="670" spans="1:7" x14ac:dyDescent="0.2">
      <c r="A670">
        <v>7282</v>
      </c>
      <c r="B670" s="106" t="s">
        <v>701</v>
      </c>
      <c r="C670">
        <v>0.05</v>
      </c>
      <c r="D670">
        <v>0.05</v>
      </c>
      <c r="E670">
        <v>0.05</v>
      </c>
      <c r="F670">
        <v>0.05</v>
      </c>
      <c r="G670">
        <v>0.15</v>
      </c>
    </row>
    <row r="671" spans="1:7" x14ac:dyDescent="0.2">
      <c r="A671">
        <v>7283</v>
      </c>
      <c r="B671" s="106" t="s">
        <v>1388</v>
      </c>
      <c r="C671">
        <v>0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7294</v>
      </c>
      <c r="B672" s="106" t="s">
        <v>2129</v>
      </c>
      <c r="C672">
        <v>0.05</v>
      </c>
      <c r="D672">
        <v>0.05</v>
      </c>
      <c r="E672">
        <v>0.05</v>
      </c>
      <c r="F672">
        <v>0.05</v>
      </c>
      <c r="G672">
        <v>0.15</v>
      </c>
    </row>
    <row r="673" spans="1:7" x14ac:dyDescent="0.2">
      <c r="A673">
        <v>7296</v>
      </c>
      <c r="B673" s="106" t="s">
        <v>1389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">
      <c r="A674">
        <v>7309</v>
      </c>
      <c r="B674" s="106" t="s">
        <v>1390</v>
      </c>
      <c r="C674">
        <v>0.3</v>
      </c>
      <c r="D674">
        <v>0.3</v>
      </c>
      <c r="E674">
        <v>0.3</v>
      </c>
      <c r="F674">
        <v>0.3</v>
      </c>
      <c r="G674">
        <v>0.9</v>
      </c>
    </row>
    <row r="675" spans="1:7" x14ac:dyDescent="0.2">
      <c r="A675">
        <v>7313</v>
      </c>
      <c r="B675" s="106" t="s">
        <v>1391</v>
      </c>
      <c r="C675">
        <v>0.1</v>
      </c>
      <c r="D675" s="106">
        <v>0.1</v>
      </c>
      <c r="E675">
        <v>0.1</v>
      </c>
      <c r="F675" s="106">
        <v>0.05</v>
      </c>
      <c r="G675" s="106">
        <v>0.3</v>
      </c>
    </row>
    <row r="676" spans="1:7" x14ac:dyDescent="0.2">
      <c r="A676">
        <v>7321</v>
      </c>
      <c r="B676" s="106" t="s">
        <v>1392</v>
      </c>
      <c r="C676">
        <v>0.05</v>
      </c>
      <c r="D676">
        <v>0.05</v>
      </c>
      <c r="E676">
        <v>0.05</v>
      </c>
      <c r="F676">
        <v>0.05</v>
      </c>
      <c r="G676">
        <v>0.15</v>
      </c>
    </row>
    <row r="677" spans="1:7" x14ac:dyDescent="0.2">
      <c r="A677">
        <v>7322</v>
      </c>
      <c r="B677" s="106" t="s">
        <v>2130</v>
      </c>
      <c r="C677">
        <v>0.05</v>
      </c>
      <c r="D677">
        <v>0.05</v>
      </c>
      <c r="E677">
        <v>0.05</v>
      </c>
      <c r="F677">
        <v>0.05</v>
      </c>
      <c r="G677" s="106">
        <v>0.15</v>
      </c>
    </row>
    <row r="678" spans="1:7" x14ac:dyDescent="0.2">
      <c r="A678">
        <v>7416</v>
      </c>
      <c r="B678" s="106" t="s">
        <v>1393</v>
      </c>
      <c r="C678">
        <v>0.05</v>
      </c>
      <c r="D678" s="106">
        <v>0.05</v>
      </c>
      <c r="E678">
        <v>0.05</v>
      </c>
      <c r="F678">
        <v>0.05</v>
      </c>
      <c r="G678" s="106">
        <v>0.15</v>
      </c>
    </row>
    <row r="679" spans="1:7" x14ac:dyDescent="0.2">
      <c r="A679">
        <v>7420</v>
      </c>
      <c r="B679" s="106" t="s">
        <v>1394</v>
      </c>
      <c r="C679">
        <v>0</v>
      </c>
      <c r="D679" s="106">
        <v>0</v>
      </c>
      <c r="E679">
        <v>0</v>
      </c>
      <c r="F679">
        <v>0</v>
      </c>
      <c r="G679">
        <v>0</v>
      </c>
    </row>
    <row r="680" spans="1:7" x14ac:dyDescent="0.2">
      <c r="A680">
        <v>7421</v>
      </c>
      <c r="B680" s="106" t="s">
        <v>2577</v>
      </c>
      <c r="C680">
        <v>0</v>
      </c>
      <c r="D680" t="s">
        <v>166</v>
      </c>
      <c r="E680" t="s">
        <v>166</v>
      </c>
      <c r="F680">
        <v>0</v>
      </c>
      <c r="G680" t="s">
        <v>166</v>
      </c>
    </row>
    <row r="681" spans="1:7" x14ac:dyDescent="0.2">
      <c r="A681">
        <v>7427</v>
      </c>
      <c r="B681" s="106" t="s">
        <v>1395</v>
      </c>
      <c r="C681">
        <v>0</v>
      </c>
      <c r="D681">
        <v>0</v>
      </c>
      <c r="E681">
        <v>0.05</v>
      </c>
      <c r="F681">
        <v>0.05</v>
      </c>
      <c r="G681">
        <v>0.15</v>
      </c>
    </row>
    <row r="682" spans="1:7" x14ac:dyDescent="0.2">
      <c r="A682">
        <v>7442</v>
      </c>
      <c r="B682" s="106" t="s">
        <v>1396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">
      <c r="A683">
        <v>7445</v>
      </c>
      <c r="B683" s="106" t="s">
        <v>1397</v>
      </c>
      <c r="C683">
        <v>0.05</v>
      </c>
      <c r="D683">
        <v>0.05</v>
      </c>
      <c r="E683">
        <v>0.05</v>
      </c>
      <c r="F683">
        <v>0.05</v>
      </c>
      <c r="G683">
        <v>0.15</v>
      </c>
    </row>
    <row r="684" spans="1:7" x14ac:dyDescent="0.2">
      <c r="A684">
        <v>7447</v>
      </c>
      <c r="B684" s="106" t="s">
        <v>2578</v>
      </c>
      <c r="C684">
        <v>0</v>
      </c>
      <c r="D684" t="s">
        <v>166</v>
      </c>
      <c r="E684" s="106" t="s">
        <v>166</v>
      </c>
      <c r="F684" t="s">
        <v>166</v>
      </c>
      <c r="G684" t="s">
        <v>166</v>
      </c>
    </row>
    <row r="685" spans="1:7" x14ac:dyDescent="0.2">
      <c r="A685">
        <v>7451</v>
      </c>
      <c r="B685" s="106" t="s">
        <v>1398</v>
      </c>
      <c r="C685">
        <v>0.05</v>
      </c>
      <c r="D685">
        <v>0.05</v>
      </c>
      <c r="E685">
        <v>0.05</v>
      </c>
      <c r="F685">
        <v>0.05</v>
      </c>
      <c r="G685" s="106">
        <v>0</v>
      </c>
    </row>
    <row r="686" spans="1:7" x14ac:dyDescent="0.2">
      <c r="A686">
        <v>7453</v>
      </c>
      <c r="B686" s="106" t="s">
        <v>58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">
      <c r="A687">
        <v>7455</v>
      </c>
      <c r="B687" s="106" t="s">
        <v>2202</v>
      </c>
      <c r="C687">
        <v>0</v>
      </c>
      <c r="D687">
        <v>0</v>
      </c>
      <c r="E687">
        <v>0</v>
      </c>
      <c r="F687">
        <v>0</v>
      </c>
      <c r="G687" t="s">
        <v>166</v>
      </c>
    </row>
    <row r="688" spans="1:7" x14ac:dyDescent="0.2">
      <c r="A688">
        <v>7458</v>
      </c>
      <c r="B688" s="106" t="s">
        <v>1399</v>
      </c>
      <c r="C688">
        <v>0.1</v>
      </c>
      <c r="D688">
        <v>0.1</v>
      </c>
      <c r="E688">
        <v>0.1</v>
      </c>
      <c r="F688">
        <v>0.1</v>
      </c>
      <c r="G688">
        <v>0.3</v>
      </c>
    </row>
    <row r="689" spans="1:7" x14ac:dyDescent="0.2">
      <c r="A689">
        <v>7459</v>
      </c>
      <c r="B689" s="106" t="s">
        <v>1400</v>
      </c>
      <c r="C689">
        <v>0.05</v>
      </c>
      <c r="D689">
        <v>0.05</v>
      </c>
      <c r="E689">
        <v>0.05</v>
      </c>
      <c r="F689">
        <v>0.05</v>
      </c>
      <c r="G689" s="106">
        <v>0.15</v>
      </c>
    </row>
    <row r="690" spans="1:7" x14ac:dyDescent="0.2">
      <c r="A690">
        <v>7463</v>
      </c>
      <c r="B690" s="106" t="s">
        <v>1401</v>
      </c>
      <c r="C690">
        <v>0.05</v>
      </c>
      <c r="D690">
        <v>0.05</v>
      </c>
      <c r="E690">
        <v>0.05</v>
      </c>
      <c r="F690" s="106">
        <v>0.05</v>
      </c>
      <c r="G690" s="106">
        <v>0.15</v>
      </c>
    </row>
    <row r="691" spans="1:7" x14ac:dyDescent="0.2">
      <c r="A691">
        <v>7475</v>
      </c>
      <c r="B691" s="106" t="s">
        <v>1402</v>
      </c>
      <c r="C691">
        <v>0.05</v>
      </c>
      <c r="D691">
        <v>0.05</v>
      </c>
      <c r="E691">
        <v>0.05</v>
      </c>
      <c r="F691">
        <v>0.05</v>
      </c>
      <c r="G691">
        <v>0.15</v>
      </c>
    </row>
    <row r="692" spans="1:7" x14ac:dyDescent="0.2">
      <c r="A692">
        <v>7476</v>
      </c>
      <c r="B692" s="106" t="s">
        <v>1403</v>
      </c>
      <c r="C692">
        <v>0.2</v>
      </c>
      <c r="D692">
        <v>0.2</v>
      </c>
      <c r="E692">
        <v>0</v>
      </c>
      <c r="F692">
        <v>0.2</v>
      </c>
      <c r="G692">
        <v>0</v>
      </c>
    </row>
    <row r="693" spans="1:7" x14ac:dyDescent="0.2">
      <c r="A693">
        <v>7480</v>
      </c>
      <c r="B693" s="106" t="s">
        <v>1404</v>
      </c>
      <c r="C693">
        <v>0</v>
      </c>
      <c r="D693">
        <v>0</v>
      </c>
      <c r="E693">
        <v>0.05</v>
      </c>
      <c r="F693">
        <v>0.05</v>
      </c>
      <c r="G693">
        <v>0.15</v>
      </c>
    </row>
    <row r="694" spans="1:7" x14ac:dyDescent="0.2">
      <c r="A694">
        <v>7482</v>
      </c>
      <c r="B694" s="106" t="s">
        <v>1405</v>
      </c>
      <c r="C694">
        <v>0.05</v>
      </c>
      <c r="D694">
        <v>0.05</v>
      </c>
      <c r="E694">
        <v>0.05</v>
      </c>
      <c r="F694">
        <v>0.05</v>
      </c>
      <c r="G694">
        <v>0.15</v>
      </c>
    </row>
    <row r="695" spans="1:7" x14ac:dyDescent="0.2">
      <c r="A695">
        <v>7487</v>
      </c>
      <c r="B695" s="106" t="s">
        <v>1406</v>
      </c>
      <c r="C695">
        <v>0.05</v>
      </c>
      <c r="D695">
        <v>0.05</v>
      </c>
      <c r="E695">
        <v>0.05</v>
      </c>
      <c r="F695">
        <v>0.05</v>
      </c>
      <c r="G695">
        <v>0.15</v>
      </c>
    </row>
    <row r="696" spans="1:7" x14ac:dyDescent="0.2">
      <c r="A696">
        <v>7494</v>
      </c>
      <c r="B696" s="106" t="s">
        <v>1407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7506</v>
      </c>
      <c r="B697" s="106" t="s">
        <v>1408</v>
      </c>
      <c r="C697">
        <v>0</v>
      </c>
      <c r="D697">
        <v>0</v>
      </c>
      <c r="E697">
        <v>0</v>
      </c>
      <c r="F697">
        <v>0</v>
      </c>
      <c r="G697" s="106">
        <v>0</v>
      </c>
    </row>
    <row r="698" spans="1:7" x14ac:dyDescent="0.2">
      <c r="A698">
        <v>7508</v>
      </c>
      <c r="B698" s="106" t="s">
        <v>2309</v>
      </c>
      <c r="C698">
        <v>0</v>
      </c>
      <c r="D698">
        <v>0</v>
      </c>
      <c r="E698">
        <v>0</v>
      </c>
      <c r="F698" t="s">
        <v>166</v>
      </c>
      <c r="G698">
        <v>0</v>
      </c>
    </row>
    <row r="699" spans="1:7" x14ac:dyDescent="0.2">
      <c r="A699">
        <v>7510</v>
      </c>
      <c r="B699" s="106" t="s">
        <v>1409</v>
      </c>
      <c r="C699">
        <v>0</v>
      </c>
      <c r="D699" t="s">
        <v>166</v>
      </c>
      <c r="E699">
        <v>0</v>
      </c>
      <c r="F699">
        <v>0</v>
      </c>
      <c r="G699">
        <v>0</v>
      </c>
    </row>
    <row r="700" spans="1:7" x14ac:dyDescent="0.2">
      <c r="A700">
        <v>7512</v>
      </c>
      <c r="B700" s="106" t="s">
        <v>2131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">
      <c r="A701">
        <v>7522</v>
      </c>
      <c r="B701" s="106" t="s">
        <v>1410</v>
      </c>
      <c r="C701">
        <v>0</v>
      </c>
      <c r="D701" s="106" t="s">
        <v>166</v>
      </c>
      <c r="E701" s="106">
        <v>0</v>
      </c>
      <c r="F701" s="106">
        <v>0</v>
      </c>
      <c r="G701" s="106">
        <v>0</v>
      </c>
    </row>
    <row r="702" spans="1:7" x14ac:dyDescent="0.2">
      <c r="A702">
        <v>7524</v>
      </c>
      <c r="B702" s="106" t="s">
        <v>1411</v>
      </c>
      <c r="C702">
        <v>0</v>
      </c>
      <c r="D702" s="106">
        <v>0</v>
      </c>
      <c r="E702" s="106">
        <v>0</v>
      </c>
      <c r="F702" s="106">
        <v>0</v>
      </c>
      <c r="G702" s="106">
        <v>0</v>
      </c>
    </row>
    <row r="703" spans="1:7" x14ac:dyDescent="0.2">
      <c r="A703">
        <v>7525</v>
      </c>
      <c r="B703" s="106" t="s">
        <v>2203</v>
      </c>
      <c r="C703">
        <v>0</v>
      </c>
      <c r="D703">
        <v>0</v>
      </c>
      <c r="E703">
        <v>0</v>
      </c>
      <c r="F703">
        <v>0</v>
      </c>
      <c r="G703" t="s">
        <v>166</v>
      </c>
    </row>
    <row r="704" spans="1:7" x14ac:dyDescent="0.2">
      <c r="A704">
        <v>7532</v>
      </c>
      <c r="B704" s="106" t="s">
        <v>1412</v>
      </c>
      <c r="C704">
        <v>0.05</v>
      </c>
      <c r="D704">
        <v>0.05</v>
      </c>
      <c r="E704">
        <v>0.05</v>
      </c>
      <c r="F704">
        <v>0.05</v>
      </c>
      <c r="G704">
        <v>0.15</v>
      </c>
    </row>
    <row r="705" spans="1:7" x14ac:dyDescent="0.2">
      <c r="A705">
        <v>7545</v>
      </c>
      <c r="B705" s="106" t="s">
        <v>1413</v>
      </c>
      <c r="C705">
        <v>0.05</v>
      </c>
      <c r="D705">
        <v>0.05</v>
      </c>
      <c r="E705">
        <v>0.05</v>
      </c>
      <c r="F705">
        <v>0.05</v>
      </c>
      <c r="G705">
        <v>0.15</v>
      </c>
    </row>
    <row r="706" spans="1:7" x14ac:dyDescent="0.2">
      <c r="A706">
        <v>7570</v>
      </c>
      <c r="B706" s="106" t="s">
        <v>1414</v>
      </c>
      <c r="C706">
        <v>0.05</v>
      </c>
      <c r="D706">
        <v>0.05</v>
      </c>
      <c r="E706">
        <v>0.05</v>
      </c>
      <c r="F706">
        <v>0</v>
      </c>
      <c r="G706">
        <v>0.15</v>
      </c>
    </row>
    <row r="707" spans="1:7" x14ac:dyDescent="0.2">
      <c r="A707">
        <v>7581</v>
      </c>
      <c r="B707" s="106" t="s">
        <v>2579</v>
      </c>
      <c r="C707">
        <v>0</v>
      </c>
      <c r="D707">
        <v>0</v>
      </c>
      <c r="E707" t="s">
        <v>166</v>
      </c>
      <c r="F707">
        <v>0</v>
      </c>
      <c r="G707" t="s">
        <v>166</v>
      </c>
    </row>
    <row r="708" spans="1:7" x14ac:dyDescent="0.2">
      <c r="A708">
        <v>7593</v>
      </c>
      <c r="B708" s="106" t="s">
        <v>1415</v>
      </c>
      <c r="C708">
        <v>0</v>
      </c>
      <c r="D708">
        <v>0</v>
      </c>
      <c r="E708" s="106">
        <v>0</v>
      </c>
      <c r="F708" s="106">
        <v>0</v>
      </c>
      <c r="G708" s="106">
        <v>0</v>
      </c>
    </row>
    <row r="709" spans="1:7" x14ac:dyDescent="0.2">
      <c r="A709">
        <v>7599</v>
      </c>
      <c r="B709" s="106" t="s">
        <v>1416</v>
      </c>
      <c r="C709">
        <v>0.05</v>
      </c>
      <c r="D709" s="106">
        <v>0.05</v>
      </c>
      <c r="E709">
        <v>0.05</v>
      </c>
      <c r="F709" s="106">
        <v>0</v>
      </c>
      <c r="G709" s="106">
        <v>0.15</v>
      </c>
    </row>
    <row r="710" spans="1:7" x14ac:dyDescent="0.2">
      <c r="A710">
        <v>7601</v>
      </c>
      <c r="B710" s="106" t="s">
        <v>1417</v>
      </c>
      <c r="C710">
        <v>0</v>
      </c>
      <c r="D710">
        <v>0</v>
      </c>
      <c r="E710">
        <v>0.05</v>
      </c>
      <c r="F710" s="106">
        <v>0.05</v>
      </c>
      <c r="G710" s="106">
        <v>0.15</v>
      </c>
    </row>
    <row r="711" spans="1:7" x14ac:dyDescent="0.2">
      <c r="A711">
        <v>7605</v>
      </c>
      <c r="B711" s="106" t="s">
        <v>2580</v>
      </c>
      <c r="C711">
        <v>0.05</v>
      </c>
      <c r="D711" t="s">
        <v>166</v>
      </c>
      <c r="E711" t="s">
        <v>166</v>
      </c>
      <c r="F711" s="106" t="s">
        <v>166</v>
      </c>
      <c r="G711" t="s">
        <v>166</v>
      </c>
    </row>
    <row r="712" spans="1:7" x14ac:dyDescent="0.2">
      <c r="A712">
        <v>7609</v>
      </c>
      <c r="B712" s="106" t="s">
        <v>2310</v>
      </c>
      <c r="C712">
        <v>0</v>
      </c>
      <c r="D712" t="s">
        <v>166</v>
      </c>
      <c r="E712">
        <v>0</v>
      </c>
      <c r="F712" s="106" t="s">
        <v>166</v>
      </c>
      <c r="G712">
        <v>0</v>
      </c>
    </row>
    <row r="713" spans="1:7" x14ac:dyDescent="0.2">
      <c r="A713">
        <v>7611</v>
      </c>
      <c r="B713" s="106" t="s">
        <v>1418</v>
      </c>
      <c r="C713">
        <v>0.05</v>
      </c>
      <c r="D713">
        <v>0.05</v>
      </c>
      <c r="E713">
        <v>0.05</v>
      </c>
      <c r="F713">
        <v>0.05</v>
      </c>
      <c r="G713">
        <v>0.15</v>
      </c>
    </row>
    <row r="714" spans="1:7" x14ac:dyDescent="0.2">
      <c r="A714">
        <v>7613</v>
      </c>
      <c r="B714" s="106" t="s">
        <v>1419</v>
      </c>
      <c r="C714">
        <v>0.05</v>
      </c>
      <c r="D714">
        <v>0.05</v>
      </c>
      <c r="E714">
        <v>0.05</v>
      </c>
      <c r="F714">
        <v>0</v>
      </c>
      <c r="G714">
        <v>0</v>
      </c>
    </row>
    <row r="715" spans="1:7" x14ac:dyDescent="0.2">
      <c r="A715">
        <v>7615</v>
      </c>
      <c r="B715" s="106" t="s">
        <v>1420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">
      <c r="A716">
        <v>7616</v>
      </c>
      <c r="B716" s="106" t="s">
        <v>1421</v>
      </c>
      <c r="C716">
        <v>0.05</v>
      </c>
      <c r="D716">
        <v>0.05</v>
      </c>
      <c r="E716">
        <v>0.05</v>
      </c>
      <c r="F716">
        <v>0.05</v>
      </c>
      <c r="G716">
        <v>0.15</v>
      </c>
    </row>
    <row r="717" spans="1:7" x14ac:dyDescent="0.2">
      <c r="A717">
        <v>7618</v>
      </c>
      <c r="B717" s="106" t="s">
        <v>2581</v>
      </c>
      <c r="C717">
        <v>0</v>
      </c>
      <c r="D717">
        <v>0</v>
      </c>
      <c r="E717" t="s">
        <v>166</v>
      </c>
      <c r="F717">
        <v>0</v>
      </c>
      <c r="G717" t="s">
        <v>166</v>
      </c>
    </row>
    <row r="718" spans="1:7" x14ac:dyDescent="0.2">
      <c r="A718">
        <v>7628</v>
      </c>
      <c r="B718" s="106" t="s">
        <v>1422</v>
      </c>
      <c r="C718">
        <v>0.05</v>
      </c>
      <c r="D718">
        <v>0.05</v>
      </c>
      <c r="E718">
        <v>0</v>
      </c>
      <c r="F718">
        <v>0.05</v>
      </c>
      <c r="G718">
        <v>0</v>
      </c>
    </row>
    <row r="719" spans="1:7" x14ac:dyDescent="0.2">
      <c r="A719">
        <v>7630</v>
      </c>
      <c r="B719" s="106" t="s">
        <v>1423</v>
      </c>
      <c r="C719">
        <v>0.1</v>
      </c>
      <c r="D719" s="106">
        <v>0.1</v>
      </c>
      <c r="E719" s="106">
        <v>0.1</v>
      </c>
      <c r="F719" s="106">
        <v>0.1</v>
      </c>
      <c r="G719" s="106">
        <v>0.3</v>
      </c>
    </row>
    <row r="720" spans="1:7" x14ac:dyDescent="0.2">
      <c r="A720">
        <v>7637</v>
      </c>
      <c r="B720" s="106" t="s">
        <v>1424</v>
      </c>
      <c r="C720">
        <v>0</v>
      </c>
      <c r="D720">
        <v>0.05</v>
      </c>
      <c r="E720">
        <v>0</v>
      </c>
      <c r="F720" s="106">
        <v>0</v>
      </c>
      <c r="G720" s="106">
        <v>0</v>
      </c>
    </row>
    <row r="721" spans="1:7" x14ac:dyDescent="0.2">
      <c r="A721">
        <v>7640</v>
      </c>
      <c r="B721" s="106" t="s">
        <v>1425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">
      <c r="A722">
        <v>7701</v>
      </c>
      <c r="B722" s="106" t="s">
        <v>1426</v>
      </c>
      <c r="C722">
        <v>0.1</v>
      </c>
      <c r="D722">
        <v>0.1</v>
      </c>
      <c r="E722">
        <v>0.1</v>
      </c>
      <c r="F722">
        <v>0.1</v>
      </c>
      <c r="G722">
        <v>0.3</v>
      </c>
    </row>
    <row r="723" spans="1:7" x14ac:dyDescent="0.2">
      <c r="A723">
        <v>7702</v>
      </c>
      <c r="B723" s="106" t="s">
        <v>1427</v>
      </c>
      <c r="C723">
        <v>0.05</v>
      </c>
      <c r="D723">
        <v>0.05</v>
      </c>
      <c r="E723">
        <v>0.05</v>
      </c>
      <c r="F723">
        <v>0.05</v>
      </c>
      <c r="G723">
        <v>0.15</v>
      </c>
    </row>
    <row r="724" spans="1:7" x14ac:dyDescent="0.2">
      <c r="A724">
        <v>7723</v>
      </c>
      <c r="B724" s="106" t="s">
        <v>1428</v>
      </c>
      <c r="C724">
        <v>0.05</v>
      </c>
      <c r="D724">
        <v>0.05</v>
      </c>
      <c r="E724">
        <v>0.05</v>
      </c>
      <c r="F724">
        <v>0.05</v>
      </c>
      <c r="G724">
        <v>0.15</v>
      </c>
    </row>
    <row r="725" spans="1:7" x14ac:dyDescent="0.2">
      <c r="A725">
        <v>7727</v>
      </c>
      <c r="B725" s="106" t="s">
        <v>2204</v>
      </c>
      <c r="C725">
        <v>0</v>
      </c>
      <c r="D725">
        <v>0</v>
      </c>
      <c r="E725">
        <v>0</v>
      </c>
      <c r="F725">
        <v>0</v>
      </c>
      <c r="G725" t="s">
        <v>166</v>
      </c>
    </row>
    <row r="726" spans="1:7" x14ac:dyDescent="0.2">
      <c r="A726">
        <v>7729</v>
      </c>
      <c r="B726" s="106" t="s">
        <v>915</v>
      </c>
      <c r="C726">
        <v>0.1</v>
      </c>
      <c r="D726">
        <v>0.1</v>
      </c>
      <c r="E726">
        <v>0.1</v>
      </c>
      <c r="F726">
        <v>0.1</v>
      </c>
      <c r="G726">
        <v>0.3</v>
      </c>
    </row>
    <row r="727" spans="1:7" x14ac:dyDescent="0.2">
      <c r="A727">
        <v>7730</v>
      </c>
      <c r="B727" s="106" t="s">
        <v>2582</v>
      </c>
      <c r="C727">
        <v>0.05</v>
      </c>
      <c r="D727" s="106">
        <v>0.05</v>
      </c>
      <c r="E727" t="s">
        <v>166</v>
      </c>
      <c r="F727">
        <v>0.05</v>
      </c>
      <c r="G727">
        <v>0</v>
      </c>
    </row>
    <row r="728" spans="1:7" x14ac:dyDescent="0.2">
      <c r="A728">
        <v>7733</v>
      </c>
      <c r="B728" s="106" t="s">
        <v>1429</v>
      </c>
      <c r="C728">
        <v>0.05</v>
      </c>
      <c r="D728">
        <v>0.05</v>
      </c>
      <c r="E728">
        <v>0.05</v>
      </c>
      <c r="F728">
        <v>0.05</v>
      </c>
      <c r="G728">
        <v>0.15</v>
      </c>
    </row>
    <row r="729" spans="1:7" x14ac:dyDescent="0.2">
      <c r="A729">
        <v>7735</v>
      </c>
      <c r="B729" s="106" t="s">
        <v>2311</v>
      </c>
      <c r="C729">
        <v>0.15</v>
      </c>
      <c r="D729" t="s">
        <v>166</v>
      </c>
      <c r="E729" s="106">
        <v>0.15</v>
      </c>
      <c r="F729" s="106" t="s">
        <v>166</v>
      </c>
      <c r="G729" s="106">
        <v>0.45</v>
      </c>
    </row>
    <row r="730" spans="1:7" x14ac:dyDescent="0.2">
      <c r="A730">
        <v>7740</v>
      </c>
      <c r="B730" s="106" t="s">
        <v>1430</v>
      </c>
      <c r="C730">
        <v>0.05</v>
      </c>
      <c r="D730">
        <v>0.05</v>
      </c>
      <c r="E730">
        <v>0.05</v>
      </c>
      <c r="F730" s="106">
        <v>0.05</v>
      </c>
      <c r="G730" s="106">
        <v>0.15</v>
      </c>
    </row>
    <row r="731" spans="1:7" x14ac:dyDescent="0.2">
      <c r="A731">
        <v>7741</v>
      </c>
      <c r="B731" s="106" t="s">
        <v>2132</v>
      </c>
      <c r="C731">
        <v>0.2</v>
      </c>
      <c r="D731">
        <v>0.05</v>
      </c>
      <c r="E731">
        <v>0.2</v>
      </c>
      <c r="F731" s="106">
        <v>0.2</v>
      </c>
      <c r="G731" s="106">
        <v>0.6</v>
      </c>
    </row>
    <row r="732" spans="1:7" x14ac:dyDescent="0.2">
      <c r="A732">
        <v>7743</v>
      </c>
      <c r="B732" s="106" t="s">
        <v>1431</v>
      </c>
      <c r="C732">
        <v>0</v>
      </c>
      <c r="D732" s="106">
        <v>0.05</v>
      </c>
      <c r="E732" s="106">
        <v>0</v>
      </c>
      <c r="F732" s="106">
        <v>0</v>
      </c>
      <c r="G732">
        <v>0</v>
      </c>
    </row>
    <row r="733" spans="1:7" x14ac:dyDescent="0.2">
      <c r="A733">
        <v>7747</v>
      </c>
      <c r="B733" s="106" t="s">
        <v>1432</v>
      </c>
      <c r="C733">
        <v>0.1</v>
      </c>
      <c r="D733" s="106">
        <v>0.05</v>
      </c>
      <c r="E733" s="106">
        <v>0.05</v>
      </c>
      <c r="F733" s="106">
        <v>0.1</v>
      </c>
      <c r="G733">
        <v>0.3</v>
      </c>
    </row>
    <row r="734" spans="1:7" x14ac:dyDescent="0.2">
      <c r="A734">
        <v>7752</v>
      </c>
      <c r="B734" s="106" t="s">
        <v>1433</v>
      </c>
      <c r="C734">
        <v>0.05</v>
      </c>
      <c r="D734">
        <v>0.05</v>
      </c>
      <c r="E734">
        <v>0.05</v>
      </c>
      <c r="F734">
        <v>0.05</v>
      </c>
      <c r="G734">
        <v>0.15</v>
      </c>
    </row>
    <row r="735" spans="1:7" x14ac:dyDescent="0.2">
      <c r="A735">
        <v>7762</v>
      </c>
      <c r="B735" s="106" t="s">
        <v>60</v>
      </c>
      <c r="C735">
        <v>0.05</v>
      </c>
      <c r="D735">
        <v>0.05</v>
      </c>
      <c r="E735">
        <v>0.05</v>
      </c>
      <c r="F735">
        <v>0.05</v>
      </c>
      <c r="G735">
        <v>0.15</v>
      </c>
    </row>
    <row r="736" spans="1:7" x14ac:dyDescent="0.2">
      <c r="A736">
        <v>7769</v>
      </c>
      <c r="B736" s="106" t="s">
        <v>1434</v>
      </c>
      <c r="C736">
        <v>0</v>
      </c>
      <c r="D736" s="106">
        <v>0</v>
      </c>
      <c r="E736">
        <v>0</v>
      </c>
      <c r="F736">
        <v>0</v>
      </c>
      <c r="G736" s="106">
        <v>0</v>
      </c>
    </row>
    <row r="737" spans="1:7" x14ac:dyDescent="0.2">
      <c r="A737">
        <v>7782</v>
      </c>
      <c r="B737" s="106" t="s">
        <v>1435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">
      <c r="A738">
        <v>7817</v>
      </c>
      <c r="B738" s="106" t="s">
        <v>929</v>
      </c>
      <c r="C738">
        <v>0</v>
      </c>
      <c r="D738">
        <v>0</v>
      </c>
      <c r="E738" s="106">
        <v>0</v>
      </c>
      <c r="F738" s="106" t="s">
        <v>166</v>
      </c>
      <c r="G738" s="106">
        <v>0</v>
      </c>
    </row>
    <row r="739" spans="1:7" x14ac:dyDescent="0.2">
      <c r="A739">
        <v>7819</v>
      </c>
      <c r="B739" s="106" t="s">
        <v>1436</v>
      </c>
      <c r="C739">
        <v>0</v>
      </c>
      <c r="D739">
        <v>0</v>
      </c>
      <c r="E739" s="106">
        <v>0</v>
      </c>
      <c r="F739">
        <v>0</v>
      </c>
      <c r="G739" s="106">
        <v>0</v>
      </c>
    </row>
    <row r="740" spans="1:7" x14ac:dyDescent="0.2">
      <c r="A740">
        <v>7822</v>
      </c>
      <c r="B740" s="106" t="s">
        <v>1437</v>
      </c>
      <c r="C740">
        <v>0</v>
      </c>
      <c r="D740">
        <v>0</v>
      </c>
      <c r="E740" s="106">
        <v>0</v>
      </c>
      <c r="F740">
        <v>0</v>
      </c>
      <c r="G740" s="106">
        <v>0</v>
      </c>
    </row>
    <row r="741" spans="1:7" x14ac:dyDescent="0.2">
      <c r="A741">
        <v>7832</v>
      </c>
      <c r="B741" s="106" t="s">
        <v>2583</v>
      </c>
      <c r="C741">
        <v>0</v>
      </c>
      <c r="D741">
        <v>0</v>
      </c>
      <c r="E741" t="s">
        <v>166</v>
      </c>
      <c r="F741" t="s">
        <v>166</v>
      </c>
      <c r="G741" t="s">
        <v>166</v>
      </c>
    </row>
    <row r="742" spans="1:7" x14ac:dyDescent="0.2">
      <c r="A742">
        <v>7840</v>
      </c>
      <c r="B742" s="106" t="s">
        <v>1438</v>
      </c>
      <c r="C742">
        <v>0.05</v>
      </c>
      <c r="D742">
        <v>0.05</v>
      </c>
      <c r="E742">
        <v>0.05</v>
      </c>
      <c r="F742">
        <v>0.05</v>
      </c>
      <c r="G742">
        <v>0.15</v>
      </c>
    </row>
    <row r="743" spans="1:7" x14ac:dyDescent="0.2">
      <c r="A743">
        <v>7844</v>
      </c>
      <c r="B743" s="106" t="s">
        <v>1439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">
      <c r="A744">
        <v>7846</v>
      </c>
      <c r="B744" s="106" t="s">
        <v>1440</v>
      </c>
      <c r="C744">
        <v>0.1</v>
      </c>
      <c r="D744">
        <v>0.1</v>
      </c>
      <c r="E744">
        <v>0.1</v>
      </c>
      <c r="F744">
        <v>0.1</v>
      </c>
      <c r="G744">
        <v>0.3</v>
      </c>
    </row>
    <row r="745" spans="1:7" x14ac:dyDescent="0.2">
      <c r="A745">
        <v>7856</v>
      </c>
      <c r="B745" s="106" t="s">
        <v>1441</v>
      </c>
      <c r="C745">
        <v>0</v>
      </c>
      <c r="D745" s="106">
        <v>0</v>
      </c>
      <c r="E745">
        <v>0</v>
      </c>
      <c r="F745" s="106">
        <v>0</v>
      </c>
      <c r="G745" s="106">
        <v>0</v>
      </c>
    </row>
    <row r="746" spans="1:7" x14ac:dyDescent="0.2">
      <c r="A746">
        <v>7860</v>
      </c>
      <c r="B746" s="106" t="s">
        <v>1442</v>
      </c>
      <c r="C746">
        <v>0.05</v>
      </c>
      <c r="D746" s="106">
        <v>0</v>
      </c>
      <c r="E746">
        <v>0</v>
      </c>
      <c r="F746" s="106">
        <v>0</v>
      </c>
      <c r="G746" s="106">
        <v>0</v>
      </c>
    </row>
    <row r="747" spans="1:7" x14ac:dyDescent="0.2">
      <c r="A747">
        <v>7867</v>
      </c>
      <c r="B747" s="106" t="s">
        <v>2584</v>
      </c>
      <c r="C747">
        <v>0</v>
      </c>
      <c r="D747" t="s">
        <v>166</v>
      </c>
      <c r="E747" t="s">
        <v>166</v>
      </c>
      <c r="F747" t="s">
        <v>166</v>
      </c>
      <c r="G747" t="s">
        <v>166</v>
      </c>
    </row>
    <row r="748" spans="1:7" x14ac:dyDescent="0.2">
      <c r="A748">
        <v>7885</v>
      </c>
      <c r="B748" s="106" t="s">
        <v>1443</v>
      </c>
      <c r="C748">
        <v>0.05</v>
      </c>
      <c r="D748">
        <v>0.05</v>
      </c>
      <c r="E748">
        <v>0.05</v>
      </c>
      <c r="F748">
        <v>0.05</v>
      </c>
      <c r="G748">
        <v>0.15</v>
      </c>
    </row>
    <row r="749" spans="1:7" x14ac:dyDescent="0.2">
      <c r="A749">
        <v>7898</v>
      </c>
      <c r="B749" s="106" t="s">
        <v>1444</v>
      </c>
      <c r="C749">
        <v>0.05</v>
      </c>
      <c r="D749" s="106">
        <v>0</v>
      </c>
      <c r="E749">
        <v>0.05</v>
      </c>
      <c r="F749" s="106">
        <v>0</v>
      </c>
      <c r="G749">
        <v>0.15</v>
      </c>
    </row>
    <row r="750" spans="1:7" x14ac:dyDescent="0.2">
      <c r="A750">
        <v>7911</v>
      </c>
      <c r="B750" s="106" t="s">
        <v>1445</v>
      </c>
      <c r="C750">
        <v>0.05</v>
      </c>
      <c r="D750" s="106">
        <v>0.05</v>
      </c>
      <c r="E750">
        <v>0.05</v>
      </c>
      <c r="F750" s="106">
        <v>0.05</v>
      </c>
      <c r="G750">
        <v>0.15</v>
      </c>
    </row>
    <row r="751" spans="1:7" x14ac:dyDescent="0.2">
      <c r="A751">
        <v>7912</v>
      </c>
      <c r="B751" s="106" t="s">
        <v>1446</v>
      </c>
      <c r="C751">
        <v>0.05</v>
      </c>
      <c r="D751" s="106">
        <v>0.05</v>
      </c>
      <c r="E751">
        <v>0.05</v>
      </c>
      <c r="F751" s="106">
        <v>0</v>
      </c>
      <c r="G751">
        <v>0</v>
      </c>
    </row>
    <row r="752" spans="1:7" x14ac:dyDescent="0.2">
      <c r="A752">
        <v>7915</v>
      </c>
      <c r="B752" s="106" t="s">
        <v>2133</v>
      </c>
      <c r="C752">
        <v>0</v>
      </c>
      <c r="D752">
        <v>0</v>
      </c>
      <c r="E752">
        <v>0</v>
      </c>
      <c r="F752" s="106">
        <v>0</v>
      </c>
      <c r="G752">
        <v>0</v>
      </c>
    </row>
    <row r="753" spans="1:7" x14ac:dyDescent="0.2">
      <c r="A753">
        <v>7916</v>
      </c>
      <c r="B753" s="106" t="s">
        <v>1447</v>
      </c>
      <c r="C753">
        <v>0</v>
      </c>
      <c r="D753">
        <v>0</v>
      </c>
      <c r="E753">
        <v>0</v>
      </c>
      <c r="F753" s="106">
        <v>0</v>
      </c>
      <c r="G753" s="106">
        <v>0</v>
      </c>
    </row>
    <row r="754" spans="1:7" x14ac:dyDescent="0.2">
      <c r="A754">
        <v>7931</v>
      </c>
      <c r="B754" s="106" t="s">
        <v>2312</v>
      </c>
      <c r="C754">
        <v>0.05</v>
      </c>
      <c r="D754">
        <v>0</v>
      </c>
      <c r="E754">
        <v>0.05</v>
      </c>
      <c r="F754" s="106" t="s">
        <v>166</v>
      </c>
      <c r="G754" s="106">
        <v>0.15</v>
      </c>
    </row>
    <row r="755" spans="1:7" x14ac:dyDescent="0.2">
      <c r="A755">
        <v>7936</v>
      </c>
      <c r="B755" s="106" t="s">
        <v>1448</v>
      </c>
      <c r="C755">
        <v>0.05</v>
      </c>
      <c r="D755">
        <v>0.05</v>
      </c>
      <c r="E755" s="106">
        <v>0.05</v>
      </c>
      <c r="F755">
        <v>0.05</v>
      </c>
      <c r="G755" s="106">
        <v>0.15</v>
      </c>
    </row>
    <row r="756" spans="1:7" x14ac:dyDescent="0.2">
      <c r="A756">
        <v>7937</v>
      </c>
      <c r="B756" s="106" t="s">
        <v>1449</v>
      </c>
      <c r="C756">
        <v>0.05</v>
      </c>
      <c r="D756">
        <v>0.05</v>
      </c>
      <c r="E756" s="106">
        <v>0.05</v>
      </c>
      <c r="F756">
        <v>0.05</v>
      </c>
      <c r="G756" s="106">
        <v>0.15</v>
      </c>
    </row>
    <row r="757" spans="1:7" x14ac:dyDescent="0.2">
      <c r="A757">
        <v>7942</v>
      </c>
      <c r="B757" s="106" t="s">
        <v>2134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7949</v>
      </c>
      <c r="B758" s="106" t="s">
        <v>1450</v>
      </c>
      <c r="C758">
        <v>0</v>
      </c>
      <c r="D758">
        <v>0</v>
      </c>
      <c r="E758">
        <v>0</v>
      </c>
      <c r="F758">
        <v>0</v>
      </c>
      <c r="G758" s="106">
        <v>0</v>
      </c>
    </row>
    <row r="759" spans="1:7" x14ac:dyDescent="0.2">
      <c r="A759">
        <v>7951</v>
      </c>
      <c r="B759" s="106" t="s">
        <v>1451</v>
      </c>
      <c r="C759">
        <v>0.1</v>
      </c>
      <c r="D759">
        <v>0.1</v>
      </c>
      <c r="E759">
        <v>0.1</v>
      </c>
      <c r="F759">
        <v>0.1</v>
      </c>
      <c r="G759">
        <v>0.45</v>
      </c>
    </row>
    <row r="760" spans="1:7" x14ac:dyDescent="0.2">
      <c r="A760">
        <v>7952</v>
      </c>
      <c r="B760" s="106" t="s">
        <v>1452</v>
      </c>
      <c r="C760">
        <v>0.1</v>
      </c>
      <c r="D760">
        <v>0.1</v>
      </c>
      <c r="E760">
        <v>0.1</v>
      </c>
      <c r="F760">
        <v>0.1</v>
      </c>
      <c r="G760">
        <v>0.3</v>
      </c>
    </row>
    <row r="761" spans="1:7" x14ac:dyDescent="0.2">
      <c r="A761">
        <v>7962</v>
      </c>
      <c r="B761" s="106" t="s">
        <v>1453</v>
      </c>
      <c r="C761">
        <v>0.05</v>
      </c>
      <c r="D761" s="106">
        <v>0.05</v>
      </c>
      <c r="E761" s="106">
        <v>0.05</v>
      </c>
      <c r="F761" s="106">
        <v>0.05</v>
      </c>
      <c r="G761">
        <v>0.15</v>
      </c>
    </row>
    <row r="762" spans="1:7" x14ac:dyDescent="0.2">
      <c r="A762">
        <v>7965</v>
      </c>
      <c r="B762" s="106" t="s">
        <v>1454</v>
      </c>
      <c r="C762">
        <v>0.05</v>
      </c>
      <c r="D762">
        <v>0.05</v>
      </c>
      <c r="E762">
        <v>0.05</v>
      </c>
      <c r="F762" s="106">
        <v>0.5</v>
      </c>
      <c r="G762" s="106">
        <v>1.65</v>
      </c>
    </row>
    <row r="763" spans="1:7" x14ac:dyDescent="0.2">
      <c r="A763">
        <v>7970</v>
      </c>
      <c r="B763" s="106" t="s">
        <v>1455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7979</v>
      </c>
      <c r="B764" s="106" t="s">
        <v>2313</v>
      </c>
      <c r="C764">
        <v>0</v>
      </c>
      <c r="D764" t="s">
        <v>166</v>
      </c>
      <c r="E764">
        <v>0</v>
      </c>
      <c r="F764" t="s">
        <v>166</v>
      </c>
      <c r="G764" s="106">
        <v>0</v>
      </c>
    </row>
    <row r="765" spans="1:7" x14ac:dyDescent="0.2">
      <c r="A765">
        <v>7981</v>
      </c>
      <c r="B765" s="106" t="s">
        <v>1456</v>
      </c>
      <c r="C765">
        <v>0.05</v>
      </c>
      <c r="D765">
        <v>0.05</v>
      </c>
      <c r="E765">
        <v>0.05</v>
      </c>
      <c r="F765">
        <v>0.05</v>
      </c>
      <c r="G765">
        <v>0.15</v>
      </c>
    </row>
    <row r="766" spans="1:7" x14ac:dyDescent="0.2">
      <c r="A766">
        <v>7984</v>
      </c>
      <c r="B766" s="106" t="s">
        <v>1457</v>
      </c>
      <c r="C766">
        <v>0.05</v>
      </c>
      <c r="D766">
        <v>0.05</v>
      </c>
      <c r="E766">
        <v>0.05</v>
      </c>
      <c r="F766">
        <v>0.05</v>
      </c>
      <c r="G766">
        <v>0.15</v>
      </c>
    </row>
    <row r="767" spans="1:7" x14ac:dyDescent="0.2">
      <c r="A767">
        <v>7988</v>
      </c>
      <c r="B767" s="106" t="s">
        <v>1458</v>
      </c>
      <c r="C767">
        <v>0.05</v>
      </c>
      <c r="D767">
        <v>0.05</v>
      </c>
      <c r="E767">
        <v>0.05</v>
      </c>
      <c r="F767">
        <v>0.05</v>
      </c>
      <c r="G767">
        <v>0.15</v>
      </c>
    </row>
    <row r="768" spans="1:7" x14ac:dyDescent="0.2">
      <c r="A768">
        <v>7989</v>
      </c>
      <c r="B768" s="106" t="s">
        <v>2135</v>
      </c>
      <c r="C768">
        <v>0</v>
      </c>
      <c r="D768">
        <v>0</v>
      </c>
      <c r="E768">
        <v>0.05</v>
      </c>
      <c r="F768" s="106">
        <v>0.05</v>
      </c>
      <c r="G768">
        <v>0</v>
      </c>
    </row>
    <row r="769" spans="1:7" x14ac:dyDescent="0.2">
      <c r="A769">
        <v>7990</v>
      </c>
      <c r="B769" s="106" t="s">
        <v>2314</v>
      </c>
      <c r="C769">
        <v>0</v>
      </c>
      <c r="D769">
        <v>0</v>
      </c>
      <c r="E769">
        <v>0</v>
      </c>
      <c r="F769" s="106" t="s">
        <v>166</v>
      </c>
      <c r="G769" t="s">
        <v>166</v>
      </c>
    </row>
    <row r="770" spans="1:7" x14ac:dyDescent="0.2">
      <c r="A770">
        <v>7999</v>
      </c>
      <c r="B770" s="106" t="s">
        <v>1459</v>
      </c>
      <c r="C770">
        <v>0.05</v>
      </c>
      <c r="D770">
        <v>0.05</v>
      </c>
      <c r="E770" s="106">
        <v>0.05</v>
      </c>
      <c r="F770" s="106">
        <v>0.05</v>
      </c>
      <c r="G770" s="106">
        <v>0.15</v>
      </c>
    </row>
    <row r="771" spans="1:7" x14ac:dyDescent="0.2">
      <c r="A771">
        <v>8001</v>
      </c>
      <c r="B771" s="106" t="s">
        <v>1460</v>
      </c>
      <c r="C771">
        <v>0.05</v>
      </c>
      <c r="D771">
        <v>0.05</v>
      </c>
      <c r="E771" s="106">
        <v>0.05</v>
      </c>
      <c r="F771" s="106">
        <v>0.05</v>
      </c>
      <c r="G771" s="106">
        <v>0.15</v>
      </c>
    </row>
    <row r="772" spans="1:7" x14ac:dyDescent="0.2">
      <c r="A772">
        <v>8008</v>
      </c>
      <c r="B772" s="106" t="s">
        <v>1461</v>
      </c>
      <c r="C772">
        <v>0.05</v>
      </c>
      <c r="D772" s="106">
        <v>0.05</v>
      </c>
      <c r="E772">
        <v>0.05</v>
      </c>
      <c r="F772" s="106">
        <v>0.05</v>
      </c>
      <c r="G772">
        <v>0.15</v>
      </c>
    </row>
    <row r="773" spans="1:7" x14ac:dyDescent="0.2">
      <c r="A773">
        <v>8011</v>
      </c>
      <c r="B773" s="106" t="s">
        <v>1462</v>
      </c>
      <c r="C773">
        <v>0.05</v>
      </c>
      <c r="D773">
        <v>0.05</v>
      </c>
      <c r="E773">
        <v>0.05</v>
      </c>
      <c r="F773">
        <v>0.05</v>
      </c>
      <c r="G773">
        <v>0.15</v>
      </c>
    </row>
    <row r="774" spans="1:7" x14ac:dyDescent="0.2">
      <c r="A774">
        <v>8015</v>
      </c>
      <c r="B774" s="106" t="s">
        <v>1463</v>
      </c>
      <c r="C774">
        <v>0</v>
      </c>
      <c r="D774">
        <v>0</v>
      </c>
      <c r="E774">
        <v>0</v>
      </c>
      <c r="F774">
        <v>0</v>
      </c>
      <c r="G774">
        <v>0.15</v>
      </c>
    </row>
    <row r="775" spans="1:7" x14ac:dyDescent="0.2">
      <c r="A775">
        <v>8016</v>
      </c>
      <c r="B775" s="106" t="s">
        <v>1464</v>
      </c>
      <c r="C775">
        <v>0.05</v>
      </c>
      <c r="D775">
        <v>0.05</v>
      </c>
      <c r="E775">
        <v>0.05</v>
      </c>
      <c r="F775">
        <v>0.05</v>
      </c>
      <c r="G775">
        <v>0.15</v>
      </c>
    </row>
    <row r="776" spans="1:7" x14ac:dyDescent="0.2">
      <c r="A776">
        <v>8020</v>
      </c>
      <c r="B776" s="106" t="s">
        <v>2315</v>
      </c>
      <c r="C776">
        <v>0</v>
      </c>
      <c r="D776" t="s">
        <v>166</v>
      </c>
      <c r="E776">
        <v>0</v>
      </c>
      <c r="F776" t="s">
        <v>166</v>
      </c>
      <c r="G776" s="106" t="s">
        <v>166</v>
      </c>
    </row>
    <row r="777" spans="1:7" x14ac:dyDescent="0.2">
      <c r="A777">
        <v>8028</v>
      </c>
      <c r="B777" s="106" t="s">
        <v>1465</v>
      </c>
      <c r="C777">
        <v>0.05</v>
      </c>
      <c r="D777">
        <v>0.05</v>
      </c>
      <c r="E777">
        <v>0.05</v>
      </c>
      <c r="F777">
        <v>0.05</v>
      </c>
      <c r="G777">
        <v>0.15</v>
      </c>
    </row>
    <row r="778" spans="1:7" x14ac:dyDescent="0.2">
      <c r="A778">
        <v>8029</v>
      </c>
      <c r="B778" s="106" t="s">
        <v>2585</v>
      </c>
      <c r="C778">
        <v>0</v>
      </c>
      <c r="D778" t="s">
        <v>166</v>
      </c>
      <c r="E778" t="s">
        <v>166</v>
      </c>
      <c r="F778" t="s">
        <v>166</v>
      </c>
      <c r="G778" t="s">
        <v>166</v>
      </c>
    </row>
    <row r="779" spans="1:7" x14ac:dyDescent="0.2">
      <c r="A779">
        <v>8031</v>
      </c>
      <c r="B779" s="106" t="s">
        <v>1466</v>
      </c>
      <c r="C779">
        <v>0.05</v>
      </c>
      <c r="D779">
        <v>0.05</v>
      </c>
      <c r="E779">
        <v>0.05</v>
      </c>
      <c r="F779">
        <v>0.05</v>
      </c>
      <c r="G779">
        <v>0.15</v>
      </c>
    </row>
    <row r="780" spans="1:7" x14ac:dyDescent="0.2">
      <c r="A780">
        <v>8032</v>
      </c>
      <c r="B780" s="106" t="s">
        <v>1467</v>
      </c>
      <c r="C780">
        <v>0.1</v>
      </c>
      <c r="D780">
        <v>0.1</v>
      </c>
      <c r="E780">
        <v>0.1</v>
      </c>
      <c r="F780">
        <v>0.1</v>
      </c>
      <c r="G780">
        <v>0.3</v>
      </c>
    </row>
    <row r="781" spans="1:7" x14ac:dyDescent="0.2">
      <c r="A781">
        <v>8035</v>
      </c>
      <c r="B781" s="106" t="s">
        <v>1468</v>
      </c>
      <c r="C781">
        <v>0.4</v>
      </c>
      <c r="D781">
        <v>0.4</v>
      </c>
      <c r="E781">
        <v>0.4</v>
      </c>
      <c r="F781">
        <v>0.4</v>
      </c>
      <c r="G781">
        <v>1.35</v>
      </c>
    </row>
    <row r="782" spans="1:7" x14ac:dyDescent="0.2">
      <c r="A782">
        <v>8041</v>
      </c>
      <c r="B782" s="106" t="s">
        <v>1469</v>
      </c>
      <c r="C782">
        <v>0</v>
      </c>
      <c r="D782">
        <v>0.05</v>
      </c>
      <c r="E782">
        <v>0.05</v>
      </c>
      <c r="F782" s="106">
        <v>0.05</v>
      </c>
      <c r="G782" s="106">
        <v>0.15</v>
      </c>
    </row>
    <row r="783" spans="1:7" x14ac:dyDescent="0.2">
      <c r="A783">
        <v>8043</v>
      </c>
      <c r="B783" s="106" t="s">
        <v>1470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">
      <c r="A784">
        <v>8050</v>
      </c>
      <c r="B784" s="106" t="s">
        <v>1471</v>
      </c>
      <c r="C784">
        <v>0.05</v>
      </c>
      <c r="D784">
        <v>0.05</v>
      </c>
      <c r="E784">
        <v>0.05</v>
      </c>
      <c r="F784">
        <v>0.05</v>
      </c>
      <c r="G784">
        <v>0.15</v>
      </c>
    </row>
    <row r="785" spans="1:7" x14ac:dyDescent="0.2">
      <c r="A785">
        <v>8051</v>
      </c>
      <c r="B785" s="106" t="s">
        <v>2136</v>
      </c>
      <c r="C785">
        <v>0.05</v>
      </c>
      <c r="D785">
        <v>0.05</v>
      </c>
      <c r="E785">
        <v>0.05</v>
      </c>
      <c r="F785">
        <v>0.05</v>
      </c>
      <c r="G785">
        <v>0.15</v>
      </c>
    </row>
    <row r="786" spans="1:7" x14ac:dyDescent="0.2">
      <c r="A786">
        <v>8056</v>
      </c>
      <c r="B786" s="106" t="s">
        <v>2586</v>
      </c>
      <c r="C786">
        <v>0</v>
      </c>
      <c r="D786" t="s">
        <v>166</v>
      </c>
      <c r="E786" t="s">
        <v>166</v>
      </c>
      <c r="F786" t="s">
        <v>166</v>
      </c>
      <c r="G786" t="s">
        <v>166</v>
      </c>
    </row>
    <row r="787" spans="1:7" x14ac:dyDescent="0.2">
      <c r="A787">
        <v>8057</v>
      </c>
      <c r="B787" s="106" t="s">
        <v>1472</v>
      </c>
      <c r="C787">
        <v>0.15</v>
      </c>
      <c r="D787">
        <v>0.15</v>
      </c>
      <c r="E787">
        <v>0.15</v>
      </c>
      <c r="F787">
        <v>0.15</v>
      </c>
      <c r="G787">
        <v>0.45</v>
      </c>
    </row>
    <row r="788" spans="1:7" x14ac:dyDescent="0.2">
      <c r="A788">
        <v>8059</v>
      </c>
      <c r="B788" s="106" t="s">
        <v>1473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">
      <c r="A789">
        <v>8060</v>
      </c>
      <c r="B789" s="106" t="s">
        <v>2205</v>
      </c>
      <c r="C789">
        <v>0</v>
      </c>
      <c r="D789">
        <v>0</v>
      </c>
      <c r="E789">
        <v>0</v>
      </c>
      <c r="F789">
        <v>0</v>
      </c>
      <c r="G789" t="s">
        <v>166</v>
      </c>
    </row>
    <row r="790" spans="1:7" x14ac:dyDescent="0.2">
      <c r="A790">
        <v>8074</v>
      </c>
      <c r="B790" s="106" t="s">
        <v>1474</v>
      </c>
      <c r="C790">
        <v>0</v>
      </c>
      <c r="D790">
        <v>0</v>
      </c>
      <c r="E790">
        <v>0</v>
      </c>
      <c r="F790">
        <v>0.1</v>
      </c>
      <c r="G790">
        <v>0</v>
      </c>
    </row>
    <row r="791" spans="1:7" x14ac:dyDescent="0.2">
      <c r="A791">
        <v>8075</v>
      </c>
      <c r="B791" s="106" t="s">
        <v>1475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">
      <c r="A792">
        <v>8077</v>
      </c>
      <c r="B792" s="106" t="s">
        <v>1476</v>
      </c>
      <c r="C792">
        <v>0.05</v>
      </c>
      <c r="D792">
        <v>0.05</v>
      </c>
      <c r="E792">
        <v>0.05</v>
      </c>
      <c r="F792">
        <v>0</v>
      </c>
      <c r="G792" s="106">
        <v>0.15</v>
      </c>
    </row>
    <row r="793" spans="1:7" x14ac:dyDescent="0.2">
      <c r="A793">
        <v>8079</v>
      </c>
      <c r="B793" s="106" t="s">
        <v>1477</v>
      </c>
      <c r="C793">
        <v>0.1</v>
      </c>
      <c r="D793">
        <v>0.1</v>
      </c>
      <c r="E793">
        <v>0.1</v>
      </c>
      <c r="F793">
        <v>0.1</v>
      </c>
      <c r="G793">
        <v>0.3</v>
      </c>
    </row>
    <row r="794" spans="1:7" x14ac:dyDescent="0.2">
      <c r="A794">
        <v>8086</v>
      </c>
      <c r="B794" s="106" t="s">
        <v>919</v>
      </c>
      <c r="C794">
        <v>0</v>
      </c>
      <c r="D794">
        <v>0</v>
      </c>
      <c r="E794">
        <v>0</v>
      </c>
      <c r="F794">
        <v>0.05</v>
      </c>
      <c r="G794">
        <v>0</v>
      </c>
    </row>
    <row r="795" spans="1:7" x14ac:dyDescent="0.2">
      <c r="A795">
        <v>8089</v>
      </c>
      <c r="B795" s="106" t="s">
        <v>1478</v>
      </c>
      <c r="C795">
        <v>0.05</v>
      </c>
      <c r="D795">
        <v>0.05</v>
      </c>
      <c r="E795">
        <v>0.05</v>
      </c>
      <c r="F795">
        <v>0.05</v>
      </c>
      <c r="G795">
        <v>0.15</v>
      </c>
    </row>
    <row r="796" spans="1:7" x14ac:dyDescent="0.2">
      <c r="A796">
        <v>8093</v>
      </c>
      <c r="B796" s="106" t="s">
        <v>1479</v>
      </c>
      <c r="C796">
        <v>0.05</v>
      </c>
      <c r="D796">
        <v>0.05</v>
      </c>
      <c r="E796" s="106">
        <v>0.05</v>
      </c>
      <c r="F796">
        <v>0.05</v>
      </c>
      <c r="G796">
        <v>0.15</v>
      </c>
    </row>
    <row r="797" spans="1:7" x14ac:dyDescent="0.2">
      <c r="A797">
        <v>8096</v>
      </c>
      <c r="B797" s="106" t="s">
        <v>2137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">
      <c r="A798">
        <v>8097</v>
      </c>
      <c r="B798" s="106" t="s">
        <v>1480</v>
      </c>
      <c r="C798">
        <v>0.05</v>
      </c>
      <c r="D798">
        <v>0.05</v>
      </c>
      <c r="E798">
        <v>0.05</v>
      </c>
      <c r="F798">
        <v>0.05</v>
      </c>
      <c r="G798">
        <v>0.15</v>
      </c>
    </row>
    <row r="799" spans="1:7" x14ac:dyDescent="0.2">
      <c r="A799">
        <v>8098</v>
      </c>
      <c r="B799" s="106" t="s">
        <v>1481</v>
      </c>
      <c r="C799">
        <v>0.05</v>
      </c>
      <c r="D799">
        <v>0.05</v>
      </c>
      <c r="E799">
        <v>0.05</v>
      </c>
      <c r="F799">
        <v>0.05</v>
      </c>
      <c r="G799">
        <v>0.15</v>
      </c>
    </row>
    <row r="800" spans="1:7" x14ac:dyDescent="0.2">
      <c r="A800">
        <v>8101</v>
      </c>
      <c r="B800" s="106" t="s">
        <v>1482</v>
      </c>
      <c r="C800">
        <v>0</v>
      </c>
      <c r="D800">
        <v>0</v>
      </c>
      <c r="E800">
        <v>0</v>
      </c>
      <c r="F800">
        <v>0</v>
      </c>
      <c r="G800" s="106">
        <v>0</v>
      </c>
    </row>
    <row r="801" spans="1:7" x14ac:dyDescent="0.2">
      <c r="A801">
        <v>8103</v>
      </c>
      <c r="B801" s="106" t="s">
        <v>1483</v>
      </c>
      <c r="C801">
        <v>0.05</v>
      </c>
      <c r="D801">
        <v>0.05</v>
      </c>
      <c r="E801">
        <v>0.05</v>
      </c>
      <c r="F801">
        <v>0.05</v>
      </c>
      <c r="G801" s="106">
        <v>0.15</v>
      </c>
    </row>
    <row r="802" spans="1:7" x14ac:dyDescent="0.2">
      <c r="A802">
        <v>8111</v>
      </c>
      <c r="B802" s="106" t="s">
        <v>2587</v>
      </c>
      <c r="C802">
        <v>0</v>
      </c>
      <c r="D802">
        <v>0</v>
      </c>
      <c r="E802" t="s">
        <v>166</v>
      </c>
      <c r="F802">
        <v>0</v>
      </c>
      <c r="G802">
        <v>0</v>
      </c>
    </row>
    <row r="803" spans="1:7" x14ac:dyDescent="0.2">
      <c r="A803">
        <v>8113</v>
      </c>
      <c r="B803" s="106" t="s">
        <v>1484</v>
      </c>
      <c r="C803">
        <v>0.1</v>
      </c>
      <c r="D803">
        <v>0.1</v>
      </c>
      <c r="E803">
        <v>0.1</v>
      </c>
      <c r="F803">
        <v>0.1</v>
      </c>
      <c r="G803" s="106">
        <v>0.3</v>
      </c>
    </row>
    <row r="804" spans="1:7" x14ac:dyDescent="0.2">
      <c r="A804">
        <v>8114</v>
      </c>
      <c r="B804" s="106" t="s">
        <v>1485</v>
      </c>
      <c r="C804">
        <v>0.05</v>
      </c>
      <c r="D804">
        <v>0.05</v>
      </c>
      <c r="E804">
        <v>0.05</v>
      </c>
      <c r="F804">
        <v>0.05</v>
      </c>
      <c r="G804">
        <v>0.15</v>
      </c>
    </row>
    <row r="805" spans="1:7" x14ac:dyDescent="0.2">
      <c r="A805">
        <v>8130</v>
      </c>
      <c r="B805" s="106" t="s">
        <v>1486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">
      <c r="A806">
        <v>8131</v>
      </c>
      <c r="B806" s="106" t="s">
        <v>1487</v>
      </c>
      <c r="C806">
        <v>0.05</v>
      </c>
      <c r="D806">
        <v>0.05</v>
      </c>
      <c r="E806">
        <v>0.05</v>
      </c>
      <c r="F806">
        <v>0.05</v>
      </c>
      <c r="G806">
        <v>0.15</v>
      </c>
    </row>
    <row r="807" spans="1:7" x14ac:dyDescent="0.2">
      <c r="A807">
        <v>8132</v>
      </c>
      <c r="B807" s="106" t="s">
        <v>1488</v>
      </c>
      <c r="C807">
        <v>0</v>
      </c>
      <c r="D807">
        <v>0.05</v>
      </c>
      <c r="E807">
        <v>0.05</v>
      </c>
      <c r="F807">
        <v>0</v>
      </c>
      <c r="G807">
        <v>0</v>
      </c>
    </row>
    <row r="808" spans="1:7" x14ac:dyDescent="0.2">
      <c r="A808">
        <v>8137</v>
      </c>
      <c r="B808" s="106" t="s">
        <v>1489</v>
      </c>
      <c r="C808">
        <v>0.05</v>
      </c>
      <c r="D808">
        <v>0.05</v>
      </c>
      <c r="E808">
        <v>0.05</v>
      </c>
      <c r="F808" s="106">
        <v>0.05</v>
      </c>
      <c r="G808" s="106">
        <v>0.15</v>
      </c>
    </row>
    <row r="809" spans="1:7" x14ac:dyDescent="0.2">
      <c r="A809">
        <v>8140</v>
      </c>
      <c r="B809" s="106" t="s">
        <v>1490</v>
      </c>
      <c r="C809">
        <v>0.05</v>
      </c>
      <c r="D809">
        <v>0.05</v>
      </c>
      <c r="E809">
        <v>0.05</v>
      </c>
      <c r="F809">
        <v>0.05</v>
      </c>
      <c r="G809">
        <v>0.15</v>
      </c>
    </row>
    <row r="810" spans="1:7" x14ac:dyDescent="0.2">
      <c r="A810">
        <v>8141</v>
      </c>
      <c r="B810" s="106" t="s">
        <v>1491</v>
      </c>
      <c r="C810">
        <v>0.05</v>
      </c>
      <c r="D810">
        <v>0.05</v>
      </c>
      <c r="E810">
        <v>0.05</v>
      </c>
      <c r="F810">
        <v>0.05</v>
      </c>
      <c r="G810">
        <v>0.15</v>
      </c>
    </row>
    <row r="811" spans="1:7" x14ac:dyDescent="0.2">
      <c r="A811">
        <v>8142</v>
      </c>
      <c r="B811" s="106" t="s">
        <v>1492</v>
      </c>
      <c r="C811">
        <v>0.05</v>
      </c>
      <c r="D811">
        <v>0.05</v>
      </c>
      <c r="E811">
        <v>0.05</v>
      </c>
      <c r="F811">
        <v>0.05</v>
      </c>
      <c r="G811">
        <v>0.15</v>
      </c>
    </row>
    <row r="812" spans="1:7" x14ac:dyDescent="0.2">
      <c r="A812">
        <v>8150</v>
      </c>
      <c r="B812" s="106" t="s">
        <v>1493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">
      <c r="A813">
        <v>8153</v>
      </c>
      <c r="B813" s="106" t="s">
        <v>1494</v>
      </c>
      <c r="C813">
        <v>0.1</v>
      </c>
      <c r="D813">
        <v>0.05</v>
      </c>
      <c r="E813">
        <v>0.1</v>
      </c>
      <c r="F813">
        <v>0.05</v>
      </c>
      <c r="G813">
        <v>0.3</v>
      </c>
    </row>
    <row r="814" spans="1:7" x14ac:dyDescent="0.2">
      <c r="A814">
        <v>8158</v>
      </c>
      <c r="B814" s="106" t="s">
        <v>1495</v>
      </c>
      <c r="C814">
        <v>0.05</v>
      </c>
      <c r="D814">
        <v>0.05</v>
      </c>
      <c r="E814">
        <v>0.05</v>
      </c>
      <c r="F814">
        <v>0.05</v>
      </c>
      <c r="G814">
        <v>0.15</v>
      </c>
    </row>
    <row r="815" spans="1:7" x14ac:dyDescent="0.2">
      <c r="A815">
        <v>8160</v>
      </c>
      <c r="B815" s="106" t="s">
        <v>1496</v>
      </c>
      <c r="C815">
        <v>0.05</v>
      </c>
      <c r="D815">
        <v>0.05</v>
      </c>
      <c r="E815">
        <v>0.05</v>
      </c>
      <c r="F815">
        <v>0.05</v>
      </c>
      <c r="G815">
        <v>0.15</v>
      </c>
    </row>
    <row r="816" spans="1:7" x14ac:dyDescent="0.2">
      <c r="A816">
        <v>8163</v>
      </c>
      <c r="B816" s="106" t="s">
        <v>1497</v>
      </c>
      <c r="C816">
        <v>0.05</v>
      </c>
      <c r="D816">
        <v>0.05</v>
      </c>
      <c r="E816">
        <v>0.05</v>
      </c>
      <c r="F816">
        <v>0.05</v>
      </c>
      <c r="G816">
        <v>0.15</v>
      </c>
    </row>
    <row r="817" spans="1:7" x14ac:dyDescent="0.2">
      <c r="A817">
        <v>8173</v>
      </c>
      <c r="B817" s="106" t="s">
        <v>1498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">
      <c r="A818">
        <v>8174</v>
      </c>
      <c r="B818" s="106" t="s">
        <v>1499</v>
      </c>
      <c r="C818">
        <v>0.1</v>
      </c>
      <c r="D818">
        <v>0.1</v>
      </c>
      <c r="E818">
        <v>0.1</v>
      </c>
      <c r="F818">
        <v>0.1</v>
      </c>
      <c r="G818">
        <v>0.3</v>
      </c>
    </row>
    <row r="819" spans="1:7" x14ac:dyDescent="0.2">
      <c r="A819">
        <v>8179</v>
      </c>
      <c r="B819" s="106" t="s">
        <v>1500</v>
      </c>
      <c r="C819">
        <v>0.05</v>
      </c>
      <c r="D819">
        <v>0</v>
      </c>
      <c r="E819">
        <v>0</v>
      </c>
      <c r="F819" s="106">
        <v>0</v>
      </c>
      <c r="G819" s="106">
        <v>0</v>
      </c>
    </row>
    <row r="820" spans="1:7" x14ac:dyDescent="0.2">
      <c r="A820">
        <v>8182</v>
      </c>
      <c r="B820" s="106" t="s">
        <v>1501</v>
      </c>
      <c r="C820">
        <v>0.05</v>
      </c>
      <c r="D820">
        <v>0.05</v>
      </c>
      <c r="E820">
        <v>0.05</v>
      </c>
      <c r="F820" s="106">
        <v>0.05</v>
      </c>
      <c r="G820" s="106">
        <v>0.15</v>
      </c>
    </row>
    <row r="821" spans="1:7" x14ac:dyDescent="0.2">
      <c r="A821">
        <v>8184</v>
      </c>
      <c r="B821" s="106" t="s">
        <v>1502</v>
      </c>
      <c r="C821">
        <v>0.05</v>
      </c>
      <c r="D821">
        <v>0.05</v>
      </c>
      <c r="E821">
        <v>0.05</v>
      </c>
      <c r="F821">
        <v>0.05</v>
      </c>
      <c r="G821">
        <v>0.15</v>
      </c>
    </row>
    <row r="822" spans="1:7" x14ac:dyDescent="0.2">
      <c r="A822">
        <v>8185</v>
      </c>
      <c r="B822" s="106" t="s">
        <v>1503</v>
      </c>
      <c r="C822">
        <v>0.05</v>
      </c>
      <c r="D822">
        <v>0.05</v>
      </c>
      <c r="E822">
        <v>0.05</v>
      </c>
      <c r="F822">
        <v>0.05</v>
      </c>
      <c r="G822">
        <v>0.15</v>
      </c>
    </row>
    <row r="823" spans="1:7" x14ac:dyDescent="0.2">
      <c r="A823">
        <v>8194</v>
      </c>
      <c r="B823" s="106" t="s">
        <v>1504</v>
      </c>
      <c r="C823">
        <v>0.05</v>
      </c>
      <c r="D823">
        <v>0.05</v>
      </c>
      <c r="E823">
        <v>0.05</v>
      </c>
      <c r="F823">
        <v>0.05</v>
      </c>
      <c r="G823">
        <v>0.15</v>
      </c>
    </row>
    <row r="824" spans="1:7" x14ac:dyDescent="0.2">
      <c r="A824">
        <v>8200</v>
      </c>
      <c r="B824" s="106" t="s">
        <v>1505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">
      <c r="A825">
        <v>8203</v>
      </c>
      <c r="B825" s="106" t="s">
        <v>1506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">
      <c r="A826">
        <v>8214</v>
      </c>
      <c r="B826" s="106" t="s">
        <v>1507</v>
      </c>
      <c r="C826">
        <v>0</v>
      </c>
      <c r="D826">
        <v>0.05</v>
      </c>
      <c r="E826">
        <v>0.05</v>
      </c>
      <c r="F826">
        <v>0</v>
      </c>
      <c r="G826">
        <v>0.15</v>
      </c>
    </row>
    <row r="827" spans="1:7" x14ac:dyDescent="0.2">
      <c r="A827">
        <v>8217</v>
      </c>
      <c r="B827" s="106" t="s">
        <v>1508</v>
      </c>
      <c r="C827">
        <v>0.15</v>
      </c>
      <c r="D827">
        <v>0.55000000000000004</v>
      </c>
      <c r="E827">
        <v>0.1</v>
      </c>
      <c r="F827">
        <v>0.05</v>
      </c>
      <c r="G827">
        <v>0.15</v>
      </c>
    </row>
    <row r="828" spans="1:7" x14ac:dyDescent="0.2">
      <c r="A828">
        <v>8227</v>
      </c>
      <c r="B828" s="106" t="s">
        <v>1509</v>
      </c>
      <c r="C828">
        <v>0.15</v>
      </c>
      <c r="D828">
        <v>0.2</v>
      </c>
      <c r="E828">
        <v>0.2</v>
      </c>
      <c r="F828">
        <v>0.2</v>
      </c>
      <c r="G828">
        <v>0.6</v>
      </c>
    </row>
    <row r="829" spans="1:7" x14ac:dyDescent="0.2">
      <c r="A829">
        <v>8230</v>
      </c>
      <c r="B829" s="106" t="s">
        <v>1510</v>
      </c>
      <c r="C829">
        <v>0.05</v>
      </c>
      <c r="D829">
        <v>0.05</v>
      </c>
      <c r="E829">
        <v>0.05</v>
      </c>
      <c r="F829">
        <v>0.05</v>
      </c>
      <c r="G829">
        <v>0.15</v>
      </c>
    </row>
    <row r="830" spans="1:7" x14ac:dyDescent="0.2">
      <c r="A830">
        <v>8233</v>
      </c>
      <c r="B830" s="106" t="s">
        <v>2588</v>
      </c>
      <c r="C830">
        <v>0</v>
      </c>
      <c r="D830" t="s">
        <v>166</v>
      </c>
      <c r="E830" t="s">
        <v>166</v>
      </c>
      <c r="F830" t="s">
        <v>166</v>
      </c>
      <c r="G830">
        <v>0</v>
      </c>
    </row>
    <row r="831" spans="1:7" x14ac:dyDescent="0.2">
      <c r="A831">
        <v>8237</v>
      </c>
      <c r="B831" s="106" t="s">
        <v>1511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">
      <c r="A832">
        <v>8242</v>
      </c>
      <c r="B832" s="106" t="s">
        <v>1512</v>
      </c>
      <c r="C832">
        <v>0</v>
      </c>
      <c r="D832">
        <v>0</v>
      </c>
      <c r="E832">
        <v>0.05</v>
      </c>
      <c r="F832">
        <v>0.05</v>
      </c>
      <c r="G832">
        <v>0.15</v>
      </c>
    </row>
    <row r="833" spans="1:7" x14ac:dyDescent="0.2">
      <c r="A833">
        <v>8244</v>
      </c>
      <c r="B833" s="106" t="s">
        <v>1513</v>
      </c>
      <c r="C833">
        <v>0.1</v>
      </c>
      <c r="D833">
        <v>0.1</v>
      </c>
      <c r="E833">
        <v>0.1</v>
      </c>
      <c r="F833">
        <v>0.1</v>
      </c>
      <c r="G833">
        <v>0.3</v>
      </c>
    </row>
    <row r="834" spans="1:7" x14ac:dyDescent="0.2">
      <c r="A834">
        <v>8251</v>
      </c>
      <c r="B834" s="106" t="s">
        <v>1514</v>
      </c>
      <c r="C834">
        <v>0.05</v>
      </c>
      <c r="D834">
        <v>0.05</v>
      </c>
      <c r="E834">
        <v>0.05</v>
      </c>
      <c r="F834">
        <v>0.05</v>
      </c>
      <c r="G834">
        <v>0.15</v>
      </c>
    </row>
    <row r="835" spans="1:7" x14ac:dyDescent="0.2">
      <c r="A835">
        <v>8252</v>
      </c>
      <c r="B835" s="106" t="s">
        <v>1515</v>
      </c>
      <c r="C835">
        <v>0.05</v>
      </c>
      <c r="D835">
        <v>0.05</v>
      </c>
      <c r="E835">
        <v>0.05</v>
      </c>
      <c r="F835">
        <v>0.05</v>
      </c>
      <c r="G835">
        <v>0.15</v>
      </c>
    </row>
    <row r="836" spans="1:7" x14ac:dyDescent="0.2">
      <c r="A836">
        <v>8253</v>
      </c>
      <c r="B836" s="106" t="s">
        <v>892</v>
      </c>
      <c r="C836">
        <v>0.05</v>
      </c>
      <c r="D836">
        <v>0.05</v>
      </c>
      <c r="E836">
        <v>0.05</v>
      </c>
      <c r="F836">
        <v>0.05</v>
      </c>
      <c r="G836">
        <v>0.15</v>
      </c>
    </row>
    <row r="837" spans="1:7" x14ac:dyDescent="0.2">
      <c r="A837">
        <v>8267</v>
      </c>
      <c r="B837" s="106" t="s">
        <v>232</v>
      </c>
      <c r="C837">
        <v>0.05</v>
      </c>
      <c r="D837">
        <v>0.05</v>
      </c>
      <c r="E837">
        <v>0.05</v>
      </c>
      <c r="F837">
        <v>0.05</v>
      </c>
      <c r="G837">
        <v>0.15</v>
      </c>
    </row>
    <row r="838" spans="1:7" x14ac:dyDescent="0.2">
      <c r="A838">
        <v>8273</v>
      </c>
      <c r="B838" s="106" t="s">
        <v>2138</v>
      </c>
      <c r="C838">
        <v>0</v>
      </c>
      <c r="D838" t="s">
        <v>166</v>
      </c>
      <c r="E838" s="106">
        <v>0</v>
      </c>
      <c r="F838">
        <v>0</v>
      </c>
      <c r="G838">
        <v>0</v>
      </c>
    </row>
    <row r="839" spans="1:7" x14ac:dyDescent="0.2">
      <c r="A839">
        <v>8275</v>
      </c>
      <c r="B839" s="106" t="s">
        <v>1516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">
      <c r="A840">
        <v>8276</v>
      </c>
      <c r="B840" s="106" t="s">
        <v>1517</v>
      </c>
      <c r="C840">
        <v>0.05</v>
      </c>
      <c r="D840">
        <v>0.05</v>
      </c>
      <c r="E840">
        <v>0.05</v>
      </c>
      <c r="F840">
        <v>0.05</v>
      </c>
      <c r="G840">
        <v>0.15</v>
      </c>
    </row>
    <row r="841" spans="1:7" x14ac:dyDescent="0.2">
      <c r="A841">
        <v>8278</v>
      </c>
      <c r="B841" s="106" t="s">
        <v>1518</v>
      </c>
      <c r="C841">
        <v>0.05</v>
      </c>
      <c r="D841">
        <v>0.05</v>
      </c>
      <c r="E841">
        <v>0.05</v>
      </c>
      <c r="F841">
        <v>0.05</v>
      </c>
      <c r="G841">
        <v>0.15</v>
      </c>
    </row>
    <row r="842" spans="1:7" x14ac:dyDescent="0.2">
      <c r="A842">
        <v>8279</v>
      </c>
      <c r="B842" s="106" t="s">
        <v>1519</v>
      </c>
      <c r="C842">
        <v>0.1</v>
      </c>
      <c r="D842">
        <v>0.1</v>
      </c>
      <c r="E842">
        <v>0.1</v>
      </c>
      <c r="F842">
        <v>0.1</v>
      </c>
      <c r="G842">
        <v>0.3</v>
      </c>
    </row>
    <row r="843" spans="1:7" x14ac:dyDescent="0.2">
      <c r="A843">
        <v>8281</v>
      </c>
      <c r="B843" s="106" t="s">
        <v>1520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">
      <c r="A844">
        <v>8282</v>
      </c>
      <c r="B844" s="106" t="s">
        <v>1521</v>
      </c>
      <c r="C844">
        <v>0.05</v>
      </c>
      <c r="D844">
        <v>0.05</v>
      </c>
      <c r="E844">
        <v>0.05</v>
      </c>
      <c r="F844">
        <v>0.05</v>
      </c>
      <c r="G844">
        <v>0.15</v>
      </c>
    </row>
    <row r="845" spans="1:7" x14ac:dyDescent="0.2">
      <c r="A845">
        <v>8283</v>
      </c>
      <c r="B845" s="106" t="s">
        <v>1522</v>
      </c>
      <c r="C845">
        <v>0.1</v>
      </c>
      <c r="D845">
        <v>0.1</v>
      </c>
      <c r="E845">
        <v>0.1</v>
      </c>
      <c r="F845">
        <v>0.1</v>
      </c>
      <c r="G845">
        <v>0.3</v>
      </c>
    </row>
    <row r="846" spans="1:7" x14ac:dyDescent="0.2">
      <c r="A846">
        <v>8289</v>
      </c>
      <c r="B846" s="106" t="s">
        <v>1523</v>
      </c>
      <c r="C846">
        <v>0</v>
      </c>
      <c r="D846">
        <v>0.05</v>
      </c>
      <c r="E846">
        <v>0.05</v>
      </c>
      <c r="F846" s="106">
        <v>0</v>
      </c>
      <c r="G846" s="106">
        <v>0</v>
      </c>
    </row>
    <row r="847" spans="1:7" x14ac:dyDescent="0.2">
      <c r="A847">
        <v>8303</v>
      </c>
      <c r="B847" s="106" t="s">
        <v>1524</v>
      </c>
      <c r="C847">
        <v>0.05</v>
      </c>
      <c r="D847">
        <v>0.05</v>
      </c>
      <c r="E847">
        <v>0.05</v>
      </c>
      <c r="F847" s="106">
        <v>0.05</v>
      </c>
      <c r="G847" s="106">
        <v>0</v>
      </c>
    </row>
    <row r="848" spans="1:7" x14ac:dyDescent="0.2">
      <c r="A848">
        <v>8308</v>
      </c>
      <c r="B848" s="106" t="s">
        <v>56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">
      <c r="A849">
        <v>8309</v>
      </c>
      <c r="B849" s="106" t="s">
        <v>1525</v>
      </c>
      <c r="C849">
        <v>0.1</v>
      </c>
      <c r="D849">
        <v>0.1</v>
      </c>
      <c r="E849">
        <v>0.1</v>
      </c>
      <c r="F849" s="106">
        <v>0.1</v>
      </c>
      <c r="G849">
        <v>0.3</v>
      </c>
    </row>
    <row r="850" spans="1:7" x14ac:dyDescent="0.2">
      <c r="A850">
        <v>8316</v>
      </c>
      <c r="B850" s="106" t="s">
        <v>894</v>
      </c>
      <c r="C850">
        <v>0</v>
      </c>
      <c r="D850">
        <v>0</v>
      </c>
      <c r="E850">
        <v>0</v>
      </c>
      <c r="F850" s="106">
        <v>0</v>
      </c>
      <c r="G850">
        <v>0</v>
      </c>
    </row>
    <row r="851" spans="1:7" x14ac:dyDescent="0.2">
      <c r="A851">
        <v>8331</v>
      </c>
      <c r="B851" s="106" t="s">
        <v>1526</v>
      </c>
      <c r="C851">
        <v>0.05</v>
      </c>
      <c r="D851">
        <v>0.05</v>
      </c>
      <c r="E851">
        <v>0.05</v>
      </c>
      <c r="F851">
        <v>0.05</v>
      </c>
      <c r="G851">
        <v>0.15</v>
      </c>
    </row>
    <row r="852" spans="1:7" x14ac:dyDescent="0.2">
      <c r="A852">
        <v>8337</v>
      </c>
      <c r="B852" s="106" t="s">
        <v>1527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">
      <c r="A853">
        <v>8338</v>
      </c>
      <c r="B853" s="106" t="s">
        <v>1528</v>
      </c>
      <c r="C853">
        <v>0</v>
      </c>
      <c r="D853">
        <v>0</v>
      </c>
      <c r="E853">
        <v>0.05</v>
      </c>
      <c r="F853">
        <v>0</v>
      </c>
      <c r="G853">
        <v>0</v>
      </c>
    </row>
    <row r="854" spans="1:7" x14ac:dyDescent="0.2">
      <c r="A854">
        <v>8341</v>
      </c>
      <c r="B854" s="106" t="s">
        <v>1529</v>
      </c>
      <c r="C854">
        <v>0.05</v>
      </c>
      <c r="D854">
        <v>0.05</v>
      </c>
      <c r="E854">
        <v>0.05</v>
      </c>
      <c r="F854">
        <v>0.05</v>
      </c>
      <c r="G854">
        <v>0.15</v>
      </c>
    </row>
    <row r="855" spans="1:7" x14ac:dyDescent="0.2">
      <c r="A855">
        <v>8342</v>
      </c>
      <c r="B855" s="106" t="s">
        <v>1530</v>
      </c>
      <c r="C855">
        <v>0.05</v>
      </c>
      <c r="D855">
        <v>0.05</v>
      </c>
      <c r="E855">
        <v>0.05</v>
      </c>
      <c r="F855">
        <v>0.05</v>
      </c>
      <c r="G855">
        <v>0.15</v>
      </c>
    </row>
    <row r="856" spans="1:7" x14ac:dyDescent="0.2">
      <c r="A856">
        <v>8343</v>
      </c>
      <c r="B856" s="106" t="s">
        <v>1531</v>
      </c>
      <c r="C856">
        <v>0.05</v>
      </c>
      <c r="D856">
        <v>0.05</v>
      </c>
      <c r="E856">
        <v>0.05</v>
      </c>
      <c r="F856">
        <v>0.05</v>
      </c>
      <c r="G856">
        <v>0.15</v>
      </c>
    </row>
    <row r="857" spans="1:7" x14ac:dyDescent="0.2">
      <c r="A857">
        <v>8344</v>
      </c>
      <c r="B857" s="106" t="s">
        <v>1532</v>
      </c>
      <c r="C857">
        <v>0.05</v>
      </c>
      <c r="D857">
        <v>0.05</v>
      </c>
      <c r="E857">
        <v>0.05</v>
      </c>
      <c r="F857" s="106">
        <v>0.05</v>
      </c>
      <c r="G857">
        <v>0.15</v>
      </c>
    </row>
    <row r="858" spans="1:7" x14ac:dyDescent="0.2">
      <c r="A858">
        <v>8345</v>
      </c>
      <c r="B858" s="106" t="s">
        <v>1533</v>
      </c>
      <c r="C858">
        <v>0.05</v>
      </c>
      <c r="D858">
        <v>0.05</v>
      </c>
      <c r="E858">
        <v>0.05</v>
      </c>
      <c r="F858" s="106">
        <v>0.05</v>
      </c>
      <c r="G858">
        <v>0.15</v>
      </c>
    </row>
    <row r="859" spans="1:7" x14ac:dyDescent="0.2">
      <c r="A859">
        <v>8346</v>
      </c>
      <c r="B859" s="106" t="s">
        <v>1534</v>
      </c>
      <c r="C859">
        <v>0</v>
      </c>
      <c r="D859">
        <v>0</v>
      </c>
      <c r="E859">
        <v>0</v>
      </c>
      <c r="F859">
        <v>0.05</v>
      </c>
      <c r="G859">
        <v>0</v>
      </c>
    </row>
    <row r="860" spans="1:7" x14ac:dyDescent="0.2">
      <c r="A860">
        <v>8350</v>
      </c>
      <c r="B860" s="106" t="s">
        <v>1535</v>
      </c>
      <c r="C860">
        <v>0</v>
      </c>
      <c r="D860" s="106">
        <v>0</v>
      </c>
      <c r="E860">
        <v>0</v>
      </c>
      <c r="F860" s="106">
        <v>0</v>
      </c>
      <c r="G860">
        <v>0</v>
      </c>
    </row>
    <row r="861" spans="1:7" x14ac:dyDescent="0.2">
      <c r="A861">
        <v>8354</v>
      </c>
      <c r="B861" s="106" t="s">
        <v>2139</v>
      </c>
      <c r="C861">
        <v>0</v>
      </c>
      <c r="D861" t="s">
        <v>166</v>
      </c>
      <c r="E861">
        <v>0.05</v>
      </c>
      <c r="F861" s="106">
        <v>0.05</v>
      </c>
      <c r="G861">
        <v>0.15</v>
      </c>
    </row>
    <row r="862" spans="1:7" x14ac:dyDescent="0.2">
      <c r="A862">
        <v>8355</v>
      </c>
      <c r="B862" s="106" t="s">
        <v>1536</v>
      </c>
      <c r="C862">
        <v>0</v>
      </c>
      <c r="D862">
        <v>0.05</v>
      </c>
      <c r="E862">
        <v>0.05</v>
      </c>
      <c r="F862">
        <v>0</v>
      </c>
      <c r="G862">
        <v>0.15</v>
      </c>
    </row>
    <row r="863" spans="1:7" x14ac:dyDescent="0.2">
      <c r="A863">
        <v>8356</v>
      </c>
      <c r="B863" s="106" t="s">
        <v>1537</v>
      </c>
      <c r="C863">
        <v>0.05</v>
      </c>
      <c r="D863">
        <v>0.05</v>
      </c>
      <c r="E863">
        <v>0.05</v>
      </c>
      <c r="F863">
        <v>0.05</v>
      </c>
      <c r="G863">
        <v>0.15</v>
      </c>
    </row>
    <row r="864" spans="1:7" x14ac:dyDescent="0.2">
      <c r="A864">
        <v>8358</v>
      </c>
      <c r="B864" s="106" t="s">
        <v>1538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">
      <c r="A865">
        <v>8359</v>
      </c>
      <c r="B865" s="106" t="s">
        <v>932</v>
      </c>
      <c r="C865">
        <v>0.05</v>
      </c>
      <c r="D865">
        <v>0.05</v>
      </c>
      <c r="E865">
        <v>0.05</v>
      </c>
      <c r="F865">
        <v>0.05</v>
      </c>
      <c r="G865">
        <v>0.15</v>
      </c>
    </row>
    <row r="866" spans="1:7" x14ac:dyDescent="0.2">
      <c r="A866">
        <v>8361</v>
      </c>
      <c r="B866" s="106" t="s">
        <v>1539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">
      <c r="A867">
        <v>8362</v>
      </c>
      <c r="B867" s="106" t="s">
        <v>1540</v>
      </c>
      <c r="C867">
        <v>0.05</v>
      </c>
      <c r="D867">
        <v>0.05</v>
      </c>
      <c r="E867">
        <v>0.05</v>
      </c>
      <c r="F867">
        <v>0.05</v>
      </c>
      <c r="G867">
        <v>0.15</v>
      </c>
    </row>
    <row r="868" spans="1:7" x14ac:dyDescent="0.2">
      <c r="A868">
        <v>8363</v>
      </c>
      <c r="B868" s="106" t="s">
        <v>1541</v>
      </c>
      <c r="C868">
        <v>0.1</v>
      </c>
      <c r="D868" s="106">
        <v>0.1</v>
      </c>
      <c r="E868">
        <v>0.1</v>
      </c>
      <c r="F868" s="106">
        <v>0.1</v>
      </c>
      <c r="G868">
        <v>0.3</v>
      </c>
    </row>
    <row r="869" spans="1:7" x14ac:dyDescent="0.2">
      <c r="A869">
        <v>8364</v>
      </c>
      <c r="B869" s="106" t="s">
        <v>1542</v>
      </c>
      <c r="C869">
        <v>0.05</v>
      </c>
      <c r="D869" s="106">
        <v>0.05</v>
      </c>
      <c r="E869">
        <v>0.05</v>
      </c>
      <c r="F869" s="106">
        <v>0.05</v>
      </c>
      <c r="G869">
        <v>0.15</v>
      </c>
    </row>
    <row r="870" spans="1:7" x14ac:dyDescent="0.2">
      <c r="A870">
        <v>8365</v>
      </c>
      <c r="B870" s="106" t="s">
        <v>1543</v>
      </c>
      <c r="C870">
        <v>0.05</v>
      </c>
      <c r="D870" s="106">
        <v>0.05</v>
      </c>
      <c r="E870">
        <v>0.05</v>
      </c>
      <c r="F870" s="106">
        <v>0.05</v>
      </c>
      <c r="G870" s="106">
        <v>0.15</v>
      </c>
    </row>
    <row r="871" spans="1:7" x14ac:dyDescent="0.2">
      <c r="A871">
        <v>8366</v>
      </c>
      <c r="B871" s="106" t="s">
        <v>1544</v>
      </c>
      <c r="C871">
        <v>0.05</v>
      </c>
      <c r="D871">
        <v>0.05</v>
      </c>
      <c r="E871">
        <v>0.05</v>
      </c>
      <c r="F871">
        <v>0.05</v>
      </c>
      <c r="G871">
        <v>0.15</v>
      </c>
    </row>
    <row r="872" spans="1:7" x14ac:dyDescent="0.2">
      <c r="A872">
        <v>8367</v>
      </c>
      <c r="B872" s="106" t="s">
        <v>1545</v>
      </c>
      <c r="C872">
        <v>0.05</v>
      </c>
      <c r="D872">
        <v>0.05</v>
      </c>
      <c r="E872">
        <v>0.05</v>
      </c>
      <c r="F872">
        <v>0.05</v>
      </c>
      <c r="G872">
        <v>0.15</v>
      </c>
    </row>
    <row r="873" spans="1:7" x14ac:dyDescent="0.2">
      <c r="A873">
        <v>8368</v>
      </c>
      <c r="B873" s="106" t="s">
        <v>2140</v>
      </c>
      <c r="C873">
        <v>0.05</v>
      </c>
      <c r="D873">
        <v>0.05</v>
      </c>
      <c r="E873">
        <v>0.05</v>
      </c>
      <c r="F873">
        <v>0.05</v>
      </c>
      <c r="G873">
        <v>0.15</v>
      </c>
    </row>
    <row r="874" spans="1:7" x14ac:dyDescent="0.2">
      <c r="A874">
        <v>8369</v>
      </c>
      <c r="B874" s="106" t="s">
        <v>1546</v>
      </c>
      <c r="C874">
        <v>0.1</v>
      </c>
      <c r="D874">
        <v>0.1</v>
      </c>
      <c r="E874">
        <v>0.1</v>
      </c>
      <c r="F874" s="106">
        <v>0.1</v>
      </c>
      <c r="G874">
        <v>0.3</v>
      </c>
    </row>
    <row r="875" spans="1:7" x14ac:dyDescent="0.2">
      <c r="A875">
        <v>8370</v>
      </c>
      <c r="B875" s="106" t="s">
        <v>1547</v>
      </c>
      <c r="C875">
        <v>0.05</v>
      </c>
      <c r="D875">
        <v>0.05</v>
      </c>
      <c r="E875">
        <v>0.05</v>
      </c>
      <c r="F875" s="106">
        <v>0.05</v>
      </c>
      <c r="G875">
        <v>0.15</v>
      </c>
    </row>
    <row r="876" spans="1:7" x14ac:dyDescent="0.2">
      <c r="A876">
        <v>8379</v>
      </c>
      <c r="B876" s="106" t="s">
        <v>1548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">
      <c r="A877">
        <v>8382</v>
      </c>
      <c r="B877" s="106" t="s">
        <v>1549</v>
      </c>
      <c r="C877">
        <v>0.05</v>
      </c>
      <c r="D877">
        <v>0.05</v>
      </c>
      <c r="E877">
        <v>0.05</v>
      </c>
      <c r="F877">
        <v>0.05</v>
      </c>
      <c r="G877">
        <v>0.15</v>
      </c>
    </row>
    <row r="878" spans="1:7" x14ac:dyDescent="0.2">
      <c r="A878">
        <v>8383</v>
      </c>
      <c r="B878" s="106" t="s">
        <v>1550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">
      <c r="A879">
        <v>8385</v>
      </c>
      <c r="B879" s="106" t="s">
        <v>1551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">
      <c r="A880">
        <v>8387</v>
      </c>
      <c r="B880" s="106" t="s">
        <v>1552</v>
      </c>
      <c r="C880">
        <v>0.05</v>
      </c>
      <c r="D880">
        <v>0.05</v>
      </c>
      <c r="E880">
        <v>0.05</v>
      </c>
      <c r="F880" s="106">
        <v>0.05</v>
      </c>
      <c r="G880" s="106">
        <v>0.15</v>
      </c>
    </row>
    <row r="881" spans="1:7" x14ac:dyDescent="0.2">
      <c r="A881">
        <v>8388</v>
      </c>
      <c r="B881" s="106" t="s">
        <v>1553</v>
      </c>
      <c r="C881">
        <v>0.05</v>
      </c>
      <c r="D881">
        <v>0.05</v>
      </c>
      <c r="E881" s="106">
        <v>0.05</v>
      </c>
      <c r="F881" s="106">
        <v>0.05</v>
      </c>
      <c r="G881" s="106">
        <v>0.15</v>
      </c>
    </row>
    <row r="882" spans="1:7" x14ac:dyDescent="0.2">
      <c r="A882">
        <v>8392</v>
      </c>
      <c r="B882" s="106" t="s">
        <v>2316</v>
      </c>
      <c r="C882">
        <v>0</v>
      </c>
      <c r="D882">
        <v>0</v>
      </c>
      <c r="E882" s="106">
        <v>0</v>
      </c>
      <c r="F882" s="106" t="s">
        <v>166</v>
      </c>
      <c r="G882" s="106" t="s">
        <v>166</v>
      </c>
    </row>
    <row r="883" spans="1:7" x14ac:dyDescent="0.2">
      <c r="A883">
        <v>8393</v>
      </c>
      <c r="B883" s="106" t="s">
        <v>1554</v>
      </c>
      <c r="C883">
        <v>0.05</v>
      </c>
      <c r="D883">
        <v>0.05</v>
      </c>
      <c r="E883">
        <v>0.05</v>
      </c>
      <c r="F883">
        <v>0.05</v>
      </c>
      <c r="G883" s="106">
        <v>0.15</v>
      </c>
    </row>
    <row r="884" spans="1:7" x14ac:dyDescent="0.2">
      <c r="A884">
        <v>8395</v>
      </c>
      <c r="B884" s="106" t="s">
        <v>1555</v>
      </c>
      <c r="C884">
        <v>0.05</v>
      </c>
      <c r="D884">
        <v>0</v>
      </c>
      <c r="E884">
        <v>0.05</v>
      </c>
      <c r="F884">
        <v>0</v>
      </c>
      <c r="G884" s="106">
        <v>0.15</v>
      </c>
    </row>
    <row r="885" spans="1:7" x14ac:dyDescent="0.2">
      <c r="A885">
        <v>8397</v>
      </c>
      <c r="B885" s="106" t="s">
        <v>1556</v>
      </c>
      <c r="C885">
        <v>0.1</v>
      </c>
      <c r="D885">
        <v>0.1</v>
      </c>
      <c r="E885">
        <v>0.1</v>
      </c>
      <c r="F885">
        <v>0.1</v>
      </c>
      <c r="G885" s="106">
        <v>0.3</v>
      </c>
    </row>
    <row r="886" spans="1:7" x14ac:dyDescent="0.2">
      <c r="A886">
        <v>8399</v>
      </c>
      <c r="B886" s="106" t="s">
        <v>1557</v>
      </c>
      <c r="C886">
        <v>0.05</v>
      </c>
      <c r="D886">
        <v>0.05</v>
      </c>
      <c r="E886">
        <v>0.05</v>
      </c>
      <c r="F886">
        <v>0.05</v>
      </c>
      <c r="G886">
        <v>0.15</v>
      </c>
    </row>
    <row r="887" spans="1:7" x14ac:dyDescent="0.2">
      <c r="A887">
        <v>8416</v>
      </c>
      <c r="B887" s="106" t="s">
        <v>1558</v>
      </c>
      <c r="C887">
        <v>0</v>
      </c>
      <c r="D887" s="106">
        <v>0.05</v>
      </c>
      <c r="E887">
        <v>0</v>
      </c>
      <c r="F887" s="106">
        <v>0</v>
      </c>
      <c r="G887" s="106">
        <v>0</v>
      </c>
    </row>
    <row r="888" spans="1:7" x14ac:dyDescent="0.2">
      <c r="A888">
        <v>8424</v>
      </c>
      <c r="B888" s="106" t="s">
        <v>1559</v>
      </c>
      <c r="C888">
        <v>0</v>
      </c>
      <c r="D888" s="106" t="s">
        <v>166</v>
      </c>
      <c r="E888">
        <v>0</v>
      </c>
      <c r="F888" s="106">
        <v>0</v>
      </c>
      <c r="G888" s="106">
        <v>0</v>
      </c>
    </row>
    <row r="889" spans="1:7" x14ac:dyDescent="0.2">
      <c r="A889">
        <v>8425</v>
      </c>
      <c r="B889" s="106" t="s">
        <v>2317</v>
      </c>
      <c r="C889">
        <v>0.1</v>
      </c>
      <c r="D889" t="s">
        <v>166</v>
      </c>
      <c r="E889">
        <v>0.1</v>
      </c>
      <c r="F889" t="s">
        <v>166</v>
      </c>
      <c r="G889">
        <v>0.3</v>
      </c>
    </row>
    <row r="890" spans="1:7" x14ac:dyDescent="0.2">
      <c r="A890">
        <v>8439</v>
      </c>
      <c r="B890" s="106" t="s">
        <v>1560</v>
      </c>
      <c r="C890">
        <v>0.1</v>
      </c>
      <c r="D890">
        <v>0.1</v>
      </c>
      <c r="E890">
        <v>0.1</v>
      </c>
      <c r="F890">
        <v>0.1</v>
      </c>
      <c r="G890">
        <v>0.3</v>
      </c>
    </row>
    <row r="891" spans="1:7" x14ac:dyDescent="0.2">
      <c r="A891">
        <v>8521</v>
      </c>
      <c r="B891" s="106" t="s">
        <v>1561</v>
      </c>
      <c r="C891">
        <v>0.05</v>
      </c>
      <c r="D891">
        <v>0.05</v>
      </c>
      <c r="E891">
        <v>0.05</v>
      </c>
      <c r="F891">
        <v>0.05</v>
      </c>
      <c r="G891">
        <v>0.15</v>
      </c>
    </row>
    <row r="892" spans="1:7" x14ac:dyDescent="0.2">
      <c r="A892">
        <v>8522</v>
      </c>
      <c r="B892" s="106" t="s">
        <v>1562</v>
      </c>
      <c r="C892">
        <v>0.1</v>
      </c>
      <c r="D892">
        <v>0.1</v>
      </c>
      <c r="E892">
        <v>0.1</v>
      </c>
      <c r="F892">
        <v>0.05</v>
      </c>
      <c r="G892">
        <v>0.3</v>
      </c>
    </row>
    <row r="893" spans="1:7" x14ac:dyDescent="0.2">
      <c r="A893">
        <v>8530</v>
      </c>
      <c r="B893" s="106" t="s">
        <v>1563</v>
      </c>
      <c r="C893">
        <v>0.05</v>
      </c>
      <c r="D893">
        <v>0.05</v>
      </c>
      <c r="E893">
        <v>0.05</v>
      </c>
      <c r="F893">
        <v>0.05</v>
      </c>
      <c r="G893">
        <v>0.15</v>
      </c>
    </row>
    <row r="894" spans="1:7" x14ac:dyDescent="0.2">
      <c r="A894">
        <v>8537</v>
      </c>
      <c r="B894" s="106" t="s">
        <v>1564</v>
      </c>
      <c r="C894">
        <v>0.05</v>
      </c>
      <c r="D894">
        <v>0.05</v>
      </c>
      <c r="E894">
        <v>0.05</v>
      </c>
      <c r="F894">
        <v>0.05</v>
      </c>
      <c r="G894">
        <v>0.15</v>
      </c>
    </row>
    <row r="895" spans="1:7" x14ac:dyDescent="0.2">
      <c r="A895">
        <v>8541</v>
      </c>
      <c r="B895" s="106" t="s">
        <v>1565</v>
      </c>
      <c r="C895">
        <v>0.05</v>
      </c>
      <c r="D895">
        <v>0.05</v>
      </c>
      <c r="E895">
        <v>0.05</v>
      </c>
      <c r="F895">
        <v>0.05</v>
      </c>
      <c r="G895">
        <v>0.15</v>
      </c>
    </row>
    <row r="896" spans="1:7" x14ac:dyDescent="0.2">
      <c r="A896">
        <v>8542</v>
      </c>
      <c r="B896" s="106" t="s">
        <v>1566</v>
      </c>
      <c r="C896">
        <v>0.05</v>
      </c>
      <c r="D896">
        <v>0.05</v>
      </c>
      <c r="E896">
        <v>0.05</v>
      </c>
      <c r="F896">
        <v>0.05</v>
      </c>
      <c r="G896">
        <v>0.15</v>
      </c>
    </row>
    <row r="897" spans="1:7" x14ac:dyDescent="0.2">
      <c r="A897">
        <v>8544</v>
      </c>
      <c r="B897" s="106" t="s">
        <v>1567</v>
      </c>
      <c r="C897">
        <v>0.05</v>
      </c>
      <c r="D897">
        <v>0.05</v>
      </c>
      <c r="E897">
        <v>0.05</v>
      </c>
      <c r="F897">
        <v>0.05</v>
      </c>
      <c r="G897">
        <v>0</v>
      </c>
    </row>
    <row r="898" spans="1:7" x14ac:dyDescent="0.2">
      <c r="A898">
        <v>8551</v>
      </c>
      <c r="B898" s="106" t="s">
        <v>1568</v>
      </c>
      <c r="C898">
        <v>0.05</v>
      </c>
      <c r="D898">
        <v>0.05</v>
      </c>
      <c r="E898" s="106">
        <v>0.05</v>
      </c>
      <c r="F898">
        <v>0.05</v>
      </c>
      <c r="G898" s="106">
        <v>0.15</v>
      </c>
    </row>
    <row r="899" spans="1:7" x14ac:dyDescent="0.2">
      <c r="A899">
        <v>8558</v>
      </c>
      <c r="B899" s="106" t="s">
        <v>1569</v>
      </c>
      <c r="C899">
        <v>0.05</v>
      </c>
      <c r="D899" s="106">
        <v>0.05</v>
      </c>
      <c r="E899">
        <v>0.05</v>
      </c>
      <c r="F899">
        <v>0.05</v>
      </c>
      <c r="G899">
        <v>0.15</v>
      </c>
    </row>
    <row r="900" spans="1:7" x14ac:dyDescent="0.2">
      <c r="A900">
        <v>8562</v>
      </c>
      <c r="B900" s="106" t="s">
        <v>2589</v>
      </c>
      <c r="C900">
        <v>0</v>
      </c>
      <c r="D900" s="106">
        <v>0</v>
      </c>
      <c r="E900" t="s">
        <v>166</v>
      </c>
      <c r="F900" s="106" t="s">
        <v>166</v>
      </c>
      <c r="G900">
        <v>0</v>
      </c>
    </row>
    <row r="901" spans="1:7" x14ac:dyDescent="0.2">
      <c r="A901">
        <v>8563</v>
      </c>
      <c r="B901" s="106" t="s">
        <v>1570</v>
      </c>
      <c r="C901">
        <v>0</v>
      </c>
      <c r="D901">
        <v>0.05</v>
      </c>
      <c r="E901">
        <v>0</v>
      </c>
      <c r="F901">
        <v>0</v>
      </c>
      <c r="G901">
        <v>0.15</v>
      </c>
    </row>
    <row r="902" spans="1:7" x14ac:dyDescent="0.2">
      <c r="A902">
        <v>8566</v>
      </c>
      <c r="B902" s="106" t="s">
        <v>1571</v>
      </c>
      <c r="C902">
        <v>0.05</v>
      </c>
      <c r="D902">
        <v>0.1</v>
      </c>
      <c r="E902" s="106">
        <v>0.1</v>
      </c>
      <c r="F902">
        <v>0.1</v>
      </c>
      <c r="G902">
        <v>0.3</v>
      </c>
    </row>
    <row r="903" spans="1:7" x14ac:dyDescent="0.2">
      <c r="A903">
        <v>8589</v>
      </c>
      <c r="B903" s="106" t="s">
        <v>1572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">
      <c r="A904">
        <v>8593</v>
      </c>
      <c r="B904" s="106" t="s">
        <v>237</v>
      </c>
      <c r="C904">
        <v>0</v>
      </c>
      <c r="D904">
        <v>0</v>
      </c>
      <c r="E904">
        <v>0</v>
      </c>
      <c r="F904">
        <v>0</v>
      </c>
      <c r="G904" s="106">
        <v>0</v>
      </c>
    </row>
    <row r="905" spans="1:7" x14ac:dyDescent="0.2">
      <c r="A905">
        <v>8595</v>
      </c>
      <c r="B905" s="106" t="s">
        <v>1573</v>
      </c>
      <c r="C905">
        <v>0</v>
      </c>
      <c r="D905">
        <v>0</v>
      </c>
      <c r="E905">
        <v>0</v>
      </c>
      <c r="F905">
        <v>0</v>
      </c>
      <c r="G905" s="106">
        <v>0</v>
      </c>
    </row>
    <row r="906" spans="1:7" x14ac:dyDescent="0.2">
      <c r="A906">
        <v>8601</v>
      </c>
      <c r="B906" s="106" t="s">
        <v>26</v>
      </c>
      <c r="C906">
        <v>0</v>
      </c>
      <c r="D906">
        <v>0.05</v>
      </c>
      <c r="E906">
        <v>0.05</v>
      </c>
      <c r="F906" s="106">
        <v>0</v>
      </c>
      <c r="G906" s="106">
        <v>0.15</v>
      </c>
    </row>
    <row r="907" spans="1:7" x14ac:dyDescent="0.2">
      <c r="A907">
        <v>8604</v>
      </c>
      <c r="B907" s="106" t="s">
        <v>706</v>
      </c>
      <c r="C907">
        <v>0</v>
      </c>
      <c r="D907">
        <v>0</v>
      </c>
      <c r="E907">
        <v>0</v>
      </c>
      <c r="F907" s="106">
        <v>0</v>
      </c>
      <c r="G907" s="106">
        <v>0</v>
      </c>
    </row>
    <row r="908" spans="1:7" x14ac:dyDescent="0.2">
      <c r="A908">
        <v>8613</v>
      </c>
      <c r="B908" s="106" t="s">
        <v>1574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">
      <c r="A909">
        <v>8614</v>
      </c>
      <c r="B909" s="106" t="s">
        <v>2590</v>
      </c>
      <c r="C909">
        <v>0</v>
      </c>
      <c r="D909" s="106">
        <v>0</v>
      </c>
      <c r="E909" t="s">
        <v>166</v>
      </c>
      <c r="F909" s="106">
        <v>0</v>
      </c>
      <c r="G909" s="106">
        <v>0</v>
      </c>
    </row>
    <row r="910" spans="1:7" x14ac:dyDescent="0.2">
      <c r="A910">
        <v>8622</v>
      </c>
      <c r="B910" s="106" t="s">
        <v>1575</v>
      </c>
      <c r="C910">
        <v>0.05</v>
      </c>
      <c r="D910" s="106">
        <v>0.05</v>
      </c>
      <c r="E910">
        <v>0.05</v>
      </c>
      <c r="F910" s="106">
        <v>0.05</v>
      </c>
      <c r="G910" s="106">
        <v>0</v>
      </c>
    </row>
    <row r="911" spans="1:7" x14ac:dyDescent="0.2">
      <c r="A911">
        <v>8624</v>
      </c>
      <c r="B911" s="106" t="s">
        <v>1576</v>
      </c>
      <c r="C911">
        <v>0</v>
      </c>
      <c r="D911" s="106" t="s">
        <v>166</v>
      </c>
      <c r="E911">
        <v>0</v>
      </c>
      <c r="F911">
        <v>0</v>
      </c>
      <c r="G911">
        <v>0</v>
      </c>
    </row>
    <row r="912" spans="1:7" x14ac:dyDescent="0.2">
      <c r="A912">
        <v>8628</v>
      </c>
      <c r="B912" s="106" t="s">
        <v>1577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">
      <c r="A913">
        <v>8630</v>
      </c>
      <c r="B913" s="106" t="s">
        <v>1578</v>
      </c>
      <c r="C913">
        <v>0</v>
      </c>
      <c r="D913">
        <v>0.1</v>
      </c>
      <c r="E913">
        <v>0.1</v>
      </c>
      <c r="F913">
        <v>0.1</v>
      </c>
      <c r="G913">
        <v>0.3</v>
      </c>
    </row>
    <row r="914" spans="1:7" x14ac:dyDescent="0.2">
      <c r="A914">
        <v>8692</v>
      </c>
      <c r="B914" s="106" t="s">
        <v>1579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">
      <c r="A915">
        <v>8697</v>
      </c>
      <c r="B915" s="106" t="s">
        <v>1580</v>
      </c>
      <c r="C915">
        <v>0.05</v>
      </c>
      <c r="D915">
        <v>0.05</v>
      </c>
      <c r="E915">
        <v>0.05</v>
      </c>
      <c r="F915">
        <v>0.05</v>
      </c>
      <c r="G915">
        <v>0.15</v>
      </c>
    </row>
    <row r="916" spans="1:7" x14ac:dyDescent="0.2">
      <c r="A916">
        <v>8698</v>
      </c>
      <c r="B916" s="106" t="s">
        <v>1581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">
      <c r="A917">
        <v>8708</v>
      </c>
      <c r="B917" s="106" t="s">
        <v>1582</v>
      </c>
      <c r="C917">
        <v>0.05</v>
      </c>
      <c r="D917">
        <v>0.05</v>
      </c>
      <c r="E917">
        <v>0.05</v>
      </c>
      <c r="F917">
        <v>0.05</v>
      </c>
      <c r="G917">
        <v>0.15</v>
      </c>
    </row>
    <row r="918" spans="1:7" x14ac:dyDescent="0.2">
      <c r="A918">
        <v>8714</v>
      </c>
      <c r="B918" s="106" t="s">
        <v>1583</v>
      </c>
      <c r="C918">
        <v>0</v>
      </c>
      <c r="D918">
        <v>0</v>
      </c>
      <c r="E918">
        <v>0</v>
      </c>
      <c r="F918">
        <v>0</v>
      </c>
      <c r="G918" s="106">
        <v>0</v>
      </c>
    </row>
    <row r="919" spans="1:7" x14ac:dyDescent="0.2">
      <c r="A919">
        <v>8725</v>
      </c>
      <c r="B919" s="106" t="s">
        <v>1584</v>
      </c>
      <c r="C919">
        <v>0.05</v>
      </c>
      <c r="D919">
        <v>0.05</v>
      </c>
      <c r="E919" s="106">
        <v>0.1</v>
      </c>
      <c r="F919" s="106">
        <v>0.05</v>
      </c>
      <c r="G919" s="106">
        <v>0</v>
      </c>
    </row>
    <row r="920" spans="1:7" x14ac:dyDescent="0.2">
      <c r="A920">
        <v>8729</v>
      </c>
      <c r="B920" s="106" t="s">
        <v>1585</v>
      </c>
      <c r="C920">
        <v>0.05</v>
      </c>
      <c r="D920">
        <v>0.05</v>
      </c>
      <c r="E920" s="106">
        <v>0.05</v>
      </c>
      <c r="F920" s="106">
        <v>0.05</v>
      </c>
      <c r="G920" s="106">
        <v>0.15</v>
      </c>
    </row>
    <row r="921" spans="1:7" x14ac:dyDescent="0.2">
      <c r="A921">
        <v>8750</v>
      </c>
      <c r="B921" s="106" t="s">
        <v>31</v>
      </c>
      <c r="C921">
        <v>0.05</v>
      </c>
      <c r="D921" s="106">
        <v>0.05</v>
      </c>
      <c r="E921">
        <v>0.05</v>
      </c>
      <c r="F921">
        <v>0.05</v>
      </c>
      <c r="G921" s="106">
        <v>0</v>
      </c>
    </row>
    <row r="922" spans="1:7" x14ac:dyDescent="0.2">
      <c r="A922">
        <v>8766</v>
      </c>
      <c r="B922" s="106" t="s">
        <v>1586</v>
      </c>
      <c r="C922">
        <v>0.1</v>
      </c>
      <c r="D922" s="106">
        <v>0.1</v>
      </c>
      <c r="E922">
        <v>0.1</v>
      </c>
      <c r="F922">
        <v>0.1</v>
      </c>
      <c r="G922" s="106">
        <v>0.3</v>
      </c>
    </row>
    <row r="923" spans="1:7" x14ac:dyDescent="0.2">
      <c r="A923">
        <v>8769</v>
      </c>
      <c r="B923" s="106" t="s">
        <v>2591</v>
      </c>
      <c r="C923">
        <v>0</v>
      </c>
      <c r="D923">
        <v>0</v>
      </c>
      <c r="E923" t="s">
        <v>166</v>
      </c>
      <c r="F923" t="s">
        <v>166</v>
      </c>
      <c r="G923" t="s">
        <v>166</v>
      </c>
    </row>
    <row r="924" spans="1:7" x14ac:dyDescent="0.2">
      <c r="A924">
        <v>8795</v>
      </c>
      <c r="B924" s="106" t="s">
        <v>71</v>
      </c>
      <c r="C924">
        <v>0.05</v>
      </c>
      <c r="D924">
        <v>0.05</v>
      </c>
      <c r="E924">
        <v>0.05</v>
      </c>
      <c r="F924">
        <v>0.05</v>
      </c>
      <c r="G924">
        <v>0.15</v>
      </c>
    </row>
    <row r="925" spans="1:7" x14ac:dyDescent="0.2">
      <c r="A925">
        <v>8798</v>
      </c>
      <c r="B925" s="106" t="s">
        <v>1587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">
      <c r="A926">
        <v>8801</v>
      </c>
      <c r="B926" s="106" t="s">
        <v>2206</v>
      </c>
      <c r="C926">
        <v>0.05</v>
      </c>
      <c r="D926" s="106">
        <v>0.05</v>
      </c>
      <c r="E926">
        <v>0.05</v>
      </c>
      <c r="F926">
        <v>0.05</v>
      </c>
      <c r="G926" t="s">
        <v>166</v>
      </c>
    </row>
    <row r="927" spans="1:7" x14ac:dyDescent="0.2">
      <c r="A927">
        <v>8803</v>
      </c>
      <c r="B927" s="106" t="s">
        <v>1588</v>
      </c>
      <c r="C927">
        <v>0.05</v>
      </c>
      <c r="D927">
        <v>0.05</v>
      </c>
      <c r="E927">
        <v>0.05</v>
      </c>
      <c r="F927">
        <v>0.05</v>
      </c>
      <c r="G927">
        <v>0.15</v>
      </c>
    </row>
    <row r="928" spans="1:7" x14ac:dyDescent="0.2">
      <c r="A928">
        <v>8804</v>
      </c>
      <c r="B928" s="106" t="s">
        <v>1589</v>
      </c>
      <c r="C928">
        <v>0.05</v>
      </c>
      <c r="D928">
        <v>0.05</v>
      </c>
      <c r="E928">
        <v>0.05</v>
      </c>
      <c r="F928">
        <v>0.05</v>
      </c>
      <c r="G928">
        <v>0.15</v>
      </c>
    </row>
    <row r="929" spans="1:7" x14ac:dyDescent="0.2">
      <c r="A929">
        <v>8806</v>
      </c>
      <c r="B929" s="106" t="s">
        <v>2592</v>
      </c>
      <c r="C929">
        <v>0</v>
      </c>
      <c r="D929" t="s">
        <v>166</v>
      </c>
      <c r="E929" t="s">
        <v>166</v>
      </c>
      <c r="F929" t="s">
        <v>166</v>
      </c>
      <c r="G929">
        <v>0</v>
      </c>
    </row>
    <row r="930" spans="1:7" x14ac:dyDescent="0.2">
      <c r="A930">
        <v>8841</v>
      </c>
      <c r="B930" s="106" t="s">
        <v>2593</v>
      </c>
      <c r="C930">
        <v>0</v>
      </c>
      <c r="D930" t="s">
        <v>166</v>
      </c>
      <c r="E930" t="s">
        <v>166</v>
      </c>
      <c r="F930" s="106" t="s">
        <v>166</v>
      </c>
      <c r="G930" t="s">
        <v>166</v>
      </c>
    </row>
    <row r="931" spans="1:7" x14ac:dyDescent="0.2">
      <c r="A931">
        <v>8850</v>
      </c>
      <c r="B931" s="106" t="s">
        <v>2141</v>
      </c>
      <c r="C931">
        <v>0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8871</v>
      </c>
      <c r="B932" s="106" t="s">
        <v>1590</v>
      </c>
      <c r="C932">
        <v>0.05</v>
      </c>
      <c r="D932" t="s">
        <v>166</v>
      </c>
      <c r="E932">
        <v>0.05</v>
      </c>
      <c r="F932">
        <v>0</v>
      </c>
      <c r="G932">
        <v>0.15</v>
      </c>
    </row>
    <row r="933" spans="1:7" x14ac:dyDescent="0.2">
      <c r="A933">
        <v>8876</v>
      </c>
      <c r="B933" s="106" t="s">
        <v>1591</v>
      </c>
      <c r="C933">
        <v>0.05</v>
      </c>
      <c r="D933">
        <v>0.05</v>
      </c>
      <c r="E933">
        <v>0</v>
      </c>
      <c r="F933">
        <v>0.05</v>
      </c>
      <c r="G933">
        <v>0.15</v>
      </c>
    </row>
    <row r="934" spans="1:7" x14ac:dyDescent="0.2">
      <c r="A934">
        <v>8892</v>
      </c>
      <c r="B934" s="106" t="s">
        <v>1592</v>
      </c>
      <c r="C934">
        <v>0</v>
      </c>
      <c r="D934">
        <v>0.05</v>
      </c>
      <c r="E934" s="106">
        <v>0.05</v>
      </c>
      <c r="F934" s="106">
        <v>0</v>
      </c>
      <c r="G934" s="106">
        <v>0.15</v>
      </c>
    </row>
    <row r="935" spans="1:7" x14ac:dyDescent="0.2">
      <c r="A935">
        <v>8897</v>
      </c>
      <c r="B935" s="106" t="s">
        <v>1593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">
      <c r="A936">
        <v>8904</v>
      </c>
      <c r="B936" s="106" t="s">
        <v>1594</v>
      </c>
      <c r="C936">
        <v>0.05</v>
      </c>
      <c r="D936">
        <v>0</v>
      </c>
      <c r="E936">
        <v>0.05</v>
      </c>
      <c r="F936">
        <v>0.05</v>
      </c>
      <c r="G936">
        <v>0.15</v>
      </c>
    </row>
    <row r="937" spans="1:7" x14ac:dyDescent="0.2">
      <c r="A937">
        <v>8917</v>
      </c>
      <c r="B937" s="106" t="s">
        <v>1595</v>
      </c>
      <c r="C937">
        <v>0.05</v>
      </c>
      <c r="D937">
        <v>0.05</v>
      </c>
      <c r="E937">
        <v>0.05</v>
      </c>
      <c r="F937">
        <v>0</v>
      </c>
      <c r="G937">
        <v>0.15</v>
      </c>
    </row>
    <row r="938" spans="1:7" x14ac:dyDescent="0.2">
      <c r="A938">
        <v>8920</v>
      </c>
      <c r="B938" s="106" t="s">
        <v>2142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">
      <c r="A939">
        <v>8923</v>
      </c>
      <c r="B939" s="106" t="s">
        <v>1596</v>
      </c>
      <c r="C939">
        <v>0</v>
      </c>
      <c r="D939">
        <v>0</v>
      </c>
      <c r="E939">
        <v>0.05</v>
      </c>
      <c r="F939">
        <v>0.05</v>
      </c>
      <c r="G939">
        <v>0.15</v>
      </c>
    </row>
    <row r="940" spans="1:7" x14ac:dyDescent="0.2">
      <c r="A940">
        <v>8928</v>
      </c>
      <c r="B940" s="106" t="s">
        <v>1597</v>
      </c>
      <c r="C940">
        <v>0.1</v>
      </c>
      <c r="D940">
        <v>0.1</v>
      </c>
      <c r="E940">
        <v>0.1</v>
      </c>
      <c r="F940">
        <v>0.1</v>
      </c>
      <c r="G940">
        <v>0.3</v>
      </c>
    </row>
    <row r="941" spans="1:7" x14ac:dyDescent="0.2">
      <c r="A941">
        <v>8940</v>
      </c>
      <c r="B941" s="106" t="s">
        <v>1598</v>
      </c>
      <c r="C941">
        <v>0.05</v>
      </c>
      <c r="D941">
        <v>0.05</v>
      </c>
      <c r="E941">
        <v>0.05</v>
      </c>
      <c r="F941">
        <v>0.05</v>
      </c>
      <c r="G941" s="106">
        <v>0.15</v>
      </c>
    </row>
    <row r="942" spans="1:7" x14ac:dyDescent="0.2">
      <c r="A942">
        <v>8999</v>
      </c>
      <c r="B942" s="106" t="s">
        <v>1599</v>
      </c>
      <c r="C942">
        <v>0</v>
      </c>
      <c r="D942" s="106">
        <v>0</v>
      </c>
      <c r="E942">
        <v>0</v>
      </c>
      <c r="F942" s="106">
        <v>0</v>
      </c>
      <c r="G942">
        <v>0</v>
      </c>
    </row>
    <row r="943" spans="1:7" x14ac:dyDescent="0.2">
      <c r="A943">
        <v>9001</v>
      </c>
      <c r="B943" s="106" t="s">
        <v>1600</v>
      </c>
      <c r="C943">
        <v>0.1</v>
      </c>
      <c r="D943">
        <v>0.1</v>
      </c>
      <c r="E943">
        <v>0.1</v>
      </c>
      <c r="F943">
        <v>0.1</v>
      </c>
      <c r="G943">
        <v>0.3</v>
      </c>
    </row>
    <row r="944" spans="1:7" x14ac:dyDescent="0.2">
      <c r="A944">
        <v>9003</v>
      </c>
      <c r="B944" s="106" t="s">
        <v>2318</v>
      </c>
      <c r="C944">
        <v>0</v>
      </c>
      <c r="D944" s="106" t="s">
        <v>166</v>
      </c>
      <c r="E944" s="106">
        <v>0</v>
      </c>
      <c r="F944" s="106" t="s">
        <v>166</v>
      </c>
      <c r="G944" s="106">
        <v>0</v>
      </c>
    </row>
    <row r="945" spans="1:7" x14ac:dyDescent="0.2">
      <c r="A945">
        <v>9005</v>
      </c>
      <c r="B945" s="106" t="s">
        <v>1601</v>
      </c>
      <c r="C945">
        <v>0.05</v>
      </c>
      <c r="D945">
        <v>0.05</v>
      </c>
      <c r="E945">
        <v>0.05</v>
      </c>
      <c r="F945">
        <v>0.05</v>
      </c>
      <c r="G945">
        <v>0.15</v>
      </c>
    </row>
    <row r="946" spans="1:7" x14ac:dyDescent="0.2">
      <c r="A946">
        <v>9006</v>
      </c>
      <c r="B946" s="106" t="s">
        <v>1602</v>
      </c>
      <c r="C946">
        <v>0.05</v>
      </c>
      <c r="D946">
        <v>0.05</v>
      </c>
      <c r="E946">
        <v>0.05</v>
      </c>
      <c r="F946">
        <v>0.05</v>
      </c>
      <c r="G946">
        <v>0.15</v>
      </c>
    </row>
    <row r="947" spans="1:7" x14ac:dyDescent="0.2">
      <c r="A947">
        <v>9007</v>
      </c>
      <c r="B947" s="106" t="s">
        <v>1603</v>
      </c>
      <c r="C947">
        <v>0.05</v>
      </c>
      <c r="D947">
        <v>0.05</v>
      </c>
      <c r="E947">
        <v>0.05</v>
      </c>
      <c r="F947">
        <v>0.05</v>
      </c>
      <c r="G947">
        <v>0.15</v>
      </c>
    </row>
    <row r="948" spans="1:7" x14ac:dyDescent="0.2">
      <c r="A948">
        <v>9008</v>
      </c>
      <c r="B948" s="106" t="s">
        <v>1604</v>
      </c>
      <c r="C948">
        <v>0</v>
      </c>
      <c r="D948">
        <v>0</v>
      </c>
      <c r="E948" s="106">
        <v>0</v>
      </c>
      <c r="F948">
        <v>0</v>
      </c>
      <c r="G948">
        <v>0</v>
      </c>
    </row>
    <row r="949" spans="1:7" x14ac:dyDescent="0.2">
      <c r="A949">
        <v>9009</v>
      </c>
      <c r="B949" s="106" t="s">
        <v>1605</v>
      </c>
      <c r="C949">
        <v>0.1</v>
      </c>
      <c r="D949">
        <v>0.1</v>
      </c>
      <c r="E949" s="106">
        <v>0.1</v>
      </c>
      <c r="F949" s="106">
        <v>0.1</v>
      </c>
      <c r="G949" s="106">
        <v>0.3</v>
      </c>
    </row>
    <row r="950" spans="1:7" x14ac:dyDescent="0.2">
      <c r="A950">
        <v>9010</v>
      </c>
      <c r="B950" s="106" t="s">
        <v>1606</v>
      </c>
      <c r="C950">
        <v>0.1</v>
      </c>
      <c r="D950">
        <v>0.1</v>
      </c>
      <c r="E950">
        <v>0.1</v>
      </c>
      <c r="F950">
        <v>0.1</v>
      </c>
      <c r="G950">
        <v>0.3</v>
      </c>
    </row>
    <row r="951" spans="1:7" x14ac:dyDescent="0.2">
      <c r="A951">
        <v>9014</v>
      </c>
      <c r="B951" s="106" t="s">
        <v>1607</v>
      </c>
      <c r="C951">
        <v>0.05</v>
      </c>
      <c r="D951">
        <v>0.05</v>
      </c>
      <c r="E951">
        <v>0.05</v>
      </c>
      <c r="F951">
        <v>0.05</v>
      </c>
      <c r="G951">
        <v>0.15</v>
      </c>
    </row>
    <row r="952" spans="1:7" x14ac:dyDescent="0.2">
      <c r="A952">
        <v>9021</v>
      </c>
      <c r="B952" s="106" t="s">
        <v>1608</v>
      </c>
      <c r="C952">
        <v>0</v>
      </c>
      <c r="D952">
        <v>0</v>
      </c>
      <c r="E952" s="106">
        <v>0.15</v>
      </c>
      <c r="F952" s="106">
        <v>0.2</v>
      </c>
      <c r="G952" s="106">
        <v>0.6</v>
      </c>
    </row>
    <row r="953" spans="1:7" x14ac:dyDescent="0.2">
      <c r="A953">
        <v>9031</v>
      </c>
      <c r="B953" s="106" t="s">
        <v>1609</v>
      </c>
      <c r="C953">
        <v>0.05</v>
      </c>
      <c r="D953">
        <v>0.05</v>
      </c>
      <c r="E953">
        <v>0.05</v>
      </c>
      <c r="F953">
        <v>0.05</v>
      </c>
      <c r="G953">
        <v>0.15</v>
      </c>
    </row>
    <row r="954" spans="1:7" x14ac:dyDescent="0.2">
      <c r="A954">
        <v>9039</v>
      </c>
      <c r="B954" s="106" t="s">
        <v>1610</v>
      </c>
      <c r="C954">
        <v>0.15</v>
      </c>
      <c r="D954">
        <v>0.15</v>
      </c>
      <c r="E954">
        <v>0.15</v>
      </c>
      <c r="F954">
        <v>0.15</v>
      </c>
      <c r="G954">
        <v>0.45</v>
      </c>
    </row>
    <row r="955" spans="1:7" x14ac:dyDescent="0.2">
      <c r="A955">
        <v>9041</v>
      </c>
      <c r="B955" s="106" t="s">
        <v>1611</v>
      </c>
      <c r="C955">
        <v>0.1</v>
      </c>
      <c r="D955">
        <v>0.1</v>
      </c>
      <c r="E955">
        <v>0.1</v>
      </c>
      <c r="F955">
        <v>0.1</v>
      </c>
      <c r="G955">
        <v>0.3</v>
      </c>
    </row>
    <row r="956" spans="1:7" x14ac:dyDescent="0.2">
      <c r="A956">
        <v>9042</v>
      </c>
      <c r="B956" s="106" t="s">
        <v>1612</v>
      </c>
      <c r="C956">
        <v>0.1</v>
      </c>
      <c r="D956" s="106">
        <v>0.1</v>
      </c>
      <c r="E956">
        <v>0.1</v>
      </c>
      <c r="F956" s="106">
        <v>0.1</v>
      </c>
      <c r="G956">
        <v>0.3</v>
      </c>
    </row>
    <row r="957" spans="1:7" x14ac:dyDescent="0.2">
      <c r="A957">
        <v>9044</v>
      </c>
      <c r="B957" s="106" t="s">
        <v>1613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">
      <c r="A958">
        <v>9045</v>
      </c>
      <c r="B958" s="106" t="s">
        <v>1614</v>
      </c>
      <c r="C958">
        <v>0.1</v>
      </c>
      <c r="D958">
        <v>0.1</v>
      </c>
      <c r="E958">
        <v>0.1</v>
      </c>
      <c r="F958">
        <v>0.1</v>
      </c>
      <c r="G958">
        <v>0.3</v>
      </c>
    </row>
    <row r="959" spans="1:7" x14ac:dyDescent="0.2">
      <c r="A959">
        <v>9046</v>
      </c>
      <c r="B959" s="106" t="s">
        <v>1615</v>
      </c>
      <c r="C959">
        <v>0.1</v>
      </c>
      <c r="D959">
        <v>0.1</v>
      </c>
      <c r="E959">
        <v>0.1</v>
      </c>
      <c r="F959" s="106">
        <v>0.1</v>
      </c>
      <c r="G959">
        <v>0.3</v>
      </c>
    </row>
    <row r="960" spans="1:7" x14ac:dyDescent="0.2">
      <c r="A960">
        <v>9048</v>
      </c>
      <c r="B960" s="106" t="s">
        <v>1616</v>
      </c>
      <c r="C960">
        <v>0.1</v>
      </c>
      <c r="D960">
        <v>0.1</v>
      </c>
      <c r="E960">
        <v>0.1</v>
      </c>
      <c r="F960" s="106">
        <v>0.1</v>
      </c>
      <c r="G960">
        <v>0.3</v>
      </c>
    </row>
    <row r="961" spans="1:7" x14ac:dyDescent="0.2">
      <c r="A961">
        <v>9052</v>
      </c>
      <c r="B961" s="106" t="s">
        <v>1617</v>
      </c>
      <c r="C961">
        <v>0.05</v>
      </c>
      <c r="D961">
        <v>0.05</v>
      </c>
      <c r="E961">
        <v>0.05</v>
      </c>
      <c r="F961">
        <v>0.05</v>
      </c>
      <c r="G961">
        <v>0.15</v>
      </c>
    </row>
    <row r="962" spans="1:7" x14ac:dyDescent="0.2">
      <c r="A962">
        <v>9058</v>
      </c>
      <c r="B962" s="106" t="s">
        <v>1618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">
      <c r="A963">
        <v>9062</v>
      </c>
      <c r="B963" s="106" t="s">
        <v>704</v>
      </c>
      <c r="C963">
        <v>0.15</v>
      </c>
      <c r="D963">
        <v>0.15</v>
      </c>
      <c r="E963">
        <v>0.15</v>
      </c>
      <c r="F963" s="106">
        <v>0.15</v>
      </c>
      <c r="G963">
        <v>0.45</v>
      </c>
    </row>
    <row r="964" spans="1:7" x14ac:dyDescent="0.2">
      <c r="A964">
        <v>9065</v>
      </c>
      <c r="B964" s="106" t="s">
        <v>1619</v>
      </c>
      <c r="C964">
        <v>0</v>
      </c>
      <c r="D964">
        <v>0</v>
      </c>
      <c r="E964" s="106">
        <v>0</v>
      </c>
      <c r="F964" s="106">
        <v>0</v>
      </c>
      <c r="G964" s="106">
        <v>0</v>
      </c>
    </row>
    <row r="965" spans="1:7" x14ac:dyDescent="0.2">
      <c r="A965">
        <v>9068</v>
      </c>
      <c r="B965" s="106" t="s">
        <v>2319</v>
      </c>
      <c r="C965">
        <v>0</v>
      </c>
      <c r="D965">
        <v>0</v>
      </c>
      <c r="E965" s="106">
        <v>0</v>
      </c>
      <c r="F965" t="s">
        <v>166</v>
      </c>
      <c r="G965" s="106">
        <v>0</v>
      </c>
    </row>
    <row r="966" spans="1:7" x14ac:dyDescent="0.2">
      <c r="A966">
        <v>9069</v>
      </c>
      <c r="B966" s="106" t="s">
        <v>1620</v>
      </c>
      <c r="C966">
        <v>0</v>
      </c>
      <c r="D966" s="106">
        <v>0</v>
      </c>
      <c r="E966">
        <v>0.05</v>
      </c>
      <c r="F966">
        <v>0</v>
      </c>
      <c r="G966">
        <v>0</v>
      </c>
    </row>
    <row r="967" spans="1:7" x14ac:dyDescent="0.2">
      <c r="A967">
        <v>9070</v>
      </c>
      <c r="B967" s="106" t="s">
        <v>1621</v>
      </c>
      <c r="C967">
        <v>0.1</v>
      </c>
      <c r="D967" s="106">
        <v>0.1</v>
      </c>
      <c r="E967">
        <v>0.1</v>
      </c>
      <c r="F967">
        <v>0.1</v>
      </c>
      <c r="G967">
        <v>0.3</v>
      </c>
    </row>
    <row r="968" spans="1:7" x14ac:dyDescent="0.2">
      <c r="A968">
        <v>9075</v>
      </c>
      <c r="B968" s="106" t="s">
        <v>1622</v>
      </c>
      <c r="C968">
        <v>0</v>
      </c>
      <c r="D968">
        <v>0.1</v>
      </c>
      <c r="E968">
        <v>0.1</v>
      </c>
      <c r="F968">
        <v>0.1</v>
      </c>
      <c r="G968">
        <v>0.15</v>
      </c>
    </row>
    <row r="969" spans="1:7" x14ac:dyDescent="0.2">
      <c r="A969">
        <v>9076</v>
      </c>
      <c r="B969" s="106" t="s">
        <v>1623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">
      <c r="A970">
        <v>9090</v>
      </c>
      <c r="B970" s="106" t="s">
        <v>1624</v>
      </c>
      <c r="C970">
        <v>0.05</v>
      </c>
      <c r="D970">
        <v>0.05</v>
      </c>
      <c r="E970">
        <v>0.05</v>
      </c>
      <c r="F970">
        <v>0.05</v>
      </c>
      <c r="G970">
        <v>0.15</v>
      </c>
    </row>
    <row r="971" spans="1:7" x14ac:dyDescent="0.2">
      <c r="A971">
        <v>9099</v>
      </c>
      <c r="B971" s="106" t="s">
        <v>1625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">
      <c r="A972">
        <v>9101</v>
      </c>
      <c r="B972" s="106" t="s">
        <v>1626</v>
      </c>
      <c r="C972">
        <v>0.05</v>
      </c>
      <c r="D972">
        <v>0.05</v>
      </c>
      <c r="E972">
        <v>0.05</v>
      </c>
      <c r="F972">
        <v>0.05</v>
      </c>
      <c r="G972">
        <v>0.15</v>
      </c>
    </row>
    <row r="973" spans="1:7" x14ac:dyDescent="0.2">
      <c r="A973">
        <v>9104</v>
      </c>
      <c r="B973" s="106" t="s">
        <v>1627</v>
      </c>
      <c r="C973">
        <v>0.05</v>
      </c>
      <c r="D973">
        <v>0.05</v>
      </c>
      <c r="E973">
        <v>0.05</v>
      </c>
      <c r="F973">
        <v>0.05</v>
      </c>
      <c r="G973">
        <v>0.15</v>
      </c>
    </row>
    <row r="974" spans="1:7" x14ac:dyDescent="0.2">
      <c r="A974">
        <v>9107</v>
      </c>
      <c r="B974" s="106" t="s">
        <v>1628</v>
      </c>
      <c r="C974">
        <v>0.05</v>
      </c>
      <c r="D974">
        <v>0.05</v>
      </c>
      <c r="E974">
        <v>0.05</v>
      </c>
      <c r="F974">
        <v>0</v>
      </c>
      <c r="G974">
        <v>0</v>
      </c>
    </row>
    <row r="975" spans="1:7" x14ac:dyDescent="0.2">
      <c r="A975">
        <v>9130</v>
      </c>
      <c r="B975" s="106" t="s">
        <v>1629</v>
      </c>
      <c r="C975">
        <v>0.05</v>
      </c>
      <c r="D975">
        <v>0.05</v>
      </c>
      <c r="E975">
        <v>0.05</v>
      </c>
      <c r="F975">
        <v>0.05</v>
      </c>
      <c r="G975">
        <v>0.15</v>
      </c>
    </row>
    <row r="976" spans="1:7" x14ac:dyDescent="0.2">
      <c r="A976">
        <v>9142</v>
      </c>
      <c r="B976" s="106" t="s">
        <v>1630</v>
      </c>
      <c r="C976">
        <v>0.1</v>
      </c>
      <c r="D976" s="106">
        <v>0.1</v>
      </c>
      <c r="E976">
        <v>0.1</v>
      </c>
      <c r="F976" s="106">
        <v>0.1</v>
      </c>
      <c r="G976">
        <v>0.3</v>
      </c>
    </row>
    <row r="977" spans="1:7" x14ac:dyDescent="0.2">
      <c r="A977">
        <v>9232</v>
      </c>
      <c r="B977" s="106" t="s">
        <v>1631</v>
      </c>
      <c r="C977">
        <v>0.55000000000000004</v>
      </c>
      <c r="D977" s="106">
        <v>0.05</v>
      </c>
      <c r="E977">
        <v>0.05</v>
      </c>
      <c r="F977" s="106">
        <v>0.05</v>
      </c>
      <c r="G977">
        <v>0.15</v>
      </c>
    </row>
    <row r="978" spans="1:7" x14ac:dyDescent="0.2">
      <c r="A978">
        <v>9260</v>
      </c>
      <c r="B978" s="106" t="s">
        <v>1632</v>
      </c>
      <c r="C978">
        <v>0.05</v>
      </c>
      <c r="D978">
        <v>0.05</v>
      </c>
      <c r="E978" s="106">
        <v>0.05</v>
      </c>
      <c r="F978" s="106">
        <v>0.1</v>
      </c>
      <c r="G978" s="106">
        <v>0.3</v>
      </c>
    </row>
    <row r="979" spans="1:7" x14ac:dyDescent="0.2">
      <c r="A979">
        <v>9267</v>
      </c>
      <c r="B979" s="106" t="s">
        <v>1633</v>
      </c>
      <c r="C979">
        <v>0.05</v>
      </c>
      <c r="D979" s="106">
        <v>0.05</v>
      </c>
      <c r="E979">
        <v>0.05</v>
      </c>
      <c r="F979">
        <v>0.05</v>
      </c>
      <c r="G979">
        <v>3.6</v>
      </c>
    </row>
    <row r="980" spans="1:7" x14ac:dyDescent="0.2">
      <c r="A980">
        <v>9277</v>
      </c>
      <c r="B980" s="106" t="s">
        <v>1634</v>
      </c>
      <c r="C980">
        <v>0</v>
      </c>
      <c r="D980">
        <v>0</v>
      </c>
      <c r="E980">
        <v>0.05</v>
      </c>
      <c r="F980">
        <v>0</v>
      </c>
      <c r="G980">
        <v>0.15</v>
      </c>
    </row>
    <row r="981" spans="1:7" x14ac:dyDescent="0.2">
      <c r="A981">
        <v>9303</v>
      </c>
      <c r="B981" s="106" t="s">
        <v>1635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">
      <c r="A982">
        <v>9306</v>
      </c>
      <c r="B982" s="106" t="s">
        <v>1636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">
      <c r="A983">
        <v>9308</v>
      </c>
      <c r="B983" s="106" t="s">
        <v>1637</v>
      </c>
      <c r="C983">
        <v>0.05</v>
      </c>
      <c r="D983">
        <v>0.05</v>
      </c>
      <c r="E983">
        <v>0.05</v>
      </c>
      <c r="F983">
        <v>0.05</v>
      </c>
      <c r="G983" s="106">
        <v>0.15</v>
      </c>
    </row>
    <row r="984" spans="1:7" x14ac:dyDescent="0.2">
      <c r="A984">
        <v>9310</v>
      </c>
      <c r="B984" s="106" t="s">
        <v>1638</v>
      </c>
      <c r="C984">
        <v>0.05</v>
      </c>
      <c r="D984">
        <v>0.05</v>
      </c>
      <c r="E984">
        <v>0.05</v>
      </c>
      <c r="F984" s="106">
        <v>0</v>
      </c>
      <c r="G984" s="106">
        <v>0</v>
      </c>
    </row>
    <row r="985" spans="1:7" x14ac:dyDescent="0.2">
      <c r="A985">
        <v>9319</v>
      </c>
      <c r="B985" s="106" t="s">
        <v>2594</v>
      </c>
      <c r="C985">
        <v>0.05</v>
      </c>
      <c r="D985">
        <v>0.05</v>
      </c>
      <c r="E985" t="s">
        <v>166</v>
      </c>
      <c r="F985" s="106">
        <v>0.05</v>
      </c>
      <c r="G985" s="106" t="s">
        <v>166</v>
      </c>
    </row>
    <row r="986" spans="1:7" x14ac:dyDescent="0.2">
      <c r="A986">
        <v>9351</v>
      </c>
      <c r="B986" s="106" t="s">
        <v>1639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">
      <c r="A987">
        <v>9366</v>
      </c>
      <c r="B987" s="106" t="s">
        <v>2595</v>
      </c>
      <c r="C987">
        <v>0</v>
      </c>
      <c r="D987" t="s">
        <v>166</v>
      </c>
      <c r="E987" t="s">
        <v>166</v>
      </c>
      <c r="F987">
        <v>0</v>
      </c>
      <c r="G987">
        <v>0</v>
      </c>
    </row>
    <row r="988" spans="1:7" x14ac:dyDescent="0.2">
      <c r="A988">
        <v>9375</v>
      </c>
      <c r="B988" s="106" t="s">
        <v>1640</v>
      </c>
      <c r="C988">
        <v>0.05</v>
      </c>
      <c r="D988" s="106">
        <v>0.05</v>
      </c>
      <c r="E988">
        <v>0.05</v>
      </c>
      <c r="F988">
        <v>0.05</v>
      </c>
      <c r="G988">
        <v>0.15</v>
      </c>
    </row>
    <row r="989" spans="1:7" x14ac:dyDescent="0.2">
      <c r="A989">
        <v>9384</v>
      </c>
      <c r="B989" s="106" t="s">
        <v>1641</v>
      </c>
      <c r="C989">
        <v>0.05</v>
      </c>
      <c r="D989" s="106">
        <v>0.05</v>
      </c>
      <c r="E989">
        <v>0.05</v>
      </c>
      <c r="F989" s="106">
        <v>0.05</v>
      </c>
      <c r="G989">
        <v>0.15</v>
      </c>
    </row>
    <row r="990" spans="1:7" x14ac:dyDescent="0.2">
      <c r="A990">
        <v>9401</v>
      </c>
      <c r="B990" s="106" t="s">
        <v>1642</v>
      </c>
      <c r="C990">
        <v>0</v>
      </c>
      <c r="D990">
        <v>0</v>
      </c>
      <c r="E990">
        <v>0</v>
      </c>
      <c r="F990" s="106">
        <v>0</v>
      </c>
      <c r="G990">
        <v>0</v>
      </c>
    </row>
    <row r="991" spans="1:7" x14ac:dyDescent="0.2">
      <c r="A991">
        <v>9405</v>
      </c>
      <c r="B991" s="106" t="s">
        <v>2143</v>
      </c>
      <c r="C991">
        <v>0</v>
      </c>
      <c r="D991">
        <v>0</v>
      </c>
      <c r="E991" s="106">
        <v>0</v>
      </c>
      <c r="F991">
        <v>0</v>
      </c>
      <c r="G991">
        <v>0</v>
      </c>
    </row>
    <row r="992" spans="1:7" x14ac:dyDescent="0.2">
      <c r="A992">
        <v>9409</v>
      </c>
      <c r="B992" s="106" t="s">
        <v>1643</v>
      </c>
      <c r="C992">
        <v>0.05</v>
      </c>
      <c r="D992">
        <v>0.05</v>
      </c>
      <c r="E992" s="106">
        <v>0.05</v>
      </c>
      <c r="F992">
        <v>0.05</v>
      </c>
      <c r="G992">
        <v>0.15</v>
      </c>
    </row>
    <row r="993" spans="1:7" x14ac:dyDescent="0.2">
      <c r="A993">
        <v>9412</v>
      </c>
      <c r="B993" s="106" t="s">
        <v>928</v>
      </c>
      <c r="C993">
        <v>0.05</v>
      </c>
      <c r="D993">
        <v>0.05</v>
      </c>
      <c r="E993">
        <v>0.05</v>
      </c>
      <c r="F993">
        <v>0.05</v>
      </c>
      <c r="G993">
        <v>0.15</v>
      </c>
    </row>
    <row r="994" spans="1:7" x14ac:dyDescent="0.2">
      <c r="A994">
        <v>9413</v>
      </c>
      <c r="B994" s="106" t="s">
        <v>1644</v>
      </c>
      <c r="C994">
        <v>0.05</v>
      </c>
      <c r="D994">
        <v>0.05</v>
      </c>
      <c r="E994">
        <v>0.05</v>
      </c>
      <c r="F994">
        <v>0.05</v>
      </c>
      <c r="G994">
        <v>0.15</v>
      </c>
    </row>
    <row r="995" spans="1:7" x14ac:dyDescent="0.2">
      <c r="A995">
        <v>9414</v>
      </c>
      <c r="B995" s="106" t="s">
        <v>2596</v>
      </c>
      <c r="C995">
        <v>0.05</v>
      </c>
      <c r="D995">
        <v>0.05</v>
      </c>
      <c r="E995" t="s">
        <v>166</v>
      </c>
      <c r="F995" t="s">
        <v>166</v>
      </c>
      <c r="G995">
        <v>0.15</v>
      </c>
    </row>
    <row r="996" spans="1:7" x14ac:dyDescent="0.2">
      <c r="A996">
        <v>9416</v>
      </c>
      <c r="B996" s="106" t="s">
        <v>1645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">
      <c r="A997">
        <v>9417</v>
      </c>
      <c r="B997" s="106" t="s">
        <v>1646</v>
      </c>
      <c r="C997">
        <v>0</v>
      </c>
      <c r="D997">
        <v>0</v>
      </c>
      <c r="E997">
        <v>0</v>
      </c>
      <c r="F997" s="106">
        <v>0</v>
      </c>
      <c r="G997">
        <v>0</v>
      </c>
    </row>
    <row r="998" spans="1:7" x14ac:dyDescent="0.2">
      <c r="A998">
        <v>9419</v>
      </c>
      <c r="B998" s="106" t="s">
        <v>2144</v>
      </c>
      <c r="C998">
        <v>0</v>
      </c>
      <c r="D998">
        <v>0</v>
      </c>
      <c r="E998">
        <v>0</v>
      </c>
      <c r="F998" s="106">
        <v>0</v>
      </c>
      <c r="G998">
        <v>0</v>
      </c>
    </row>
    <row r="999" spans="1:7" x14ac:dyDescent="0.2">
      <c r="A999">
        <v>9422</v>
      </c>
      <c r="B999" s="106" t="s">
        <v>1647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">
      <c r="A1000">
        <v>9424</v>
      </c>
      <c r="B1000" s="106" t="s">
        <v>2597</v>
      </c>
      <c r="C1000">
        <v>0.05</v>
      </c>
      <c r="D1000" s="106" t="s">
        <v>166</v>
      </c>
      <c r="E1000" t="s">
        <v>166</v>
      </c>
      <c r="F1000" s="106" t="s">
        <v>166</v>
      </c>
      <c r="G1000" t="s">
        <v>166</v>
      </c>
    </row>
    <row r="1001" spans="1:7" x14ac:dyDescent="0.2">
      <c r="A1001">
        <v>9432</v>
      </c>
      <c r="B1001" s="106" t="s">
        <v>1648</v>
      </c>
      <c r="C1001">
        <v>0</v>
      </c>
      <c r="D1001" s="106">
        <v>0</v>
      </c>
      <c r="E1001" s="106">
        <v>0</v>
      </c>
      <c r="F1001" s="106">
        <v>0.1</v>
      </c>
      <c r="G1001" s="106">
        <v>0.3</v>
      </c>
    </row>
    <row r="1002" spans="1:7" x14ac:dyDescent="0.2">
      <c r="A1002">
        <v>9433</v>
      </c>
      <c r="B1002" s="106" t="s">
        <v>918</v>
      </c>
      <c r="C1002">
        <v>0.05</v>
      </c>
      <c r="D1002" s="106">
        <v>0.05</v>
      </c>
      <c r="E1002" s="106">
        <v>0.05</v>
      </c>
      <c r="F1002" s="106">
        <v>0.05</v>
      </c>
      <c r="G1002" s="106">
        <v>0.15</v>
      </c>
    </row>
    <row r="1003" spans="1:7" x14ac:dyDescent="0.2">
      <c r="A1003">
        <v>9435</v>
      </c>
      <c r="B1003" s="106" t="s">
        <v>2207</v>
      </c>
      <c r="C1003">
        <v>0</v>
      </c>
      <c r="D1003" t="s">
        <v>166</v>
      </c>
      <c r="E1003">
        <v>0</v>
      </c>
      <c r="F1003">
        <v>0</v>
      </c>
      <c r="G1003" t="s">
        <v>166</v>
      </c>
    </row>
    <row r="1004" spans="1:7" x14ac:dyDescent="0.2">
      <c r="A1004">
        <v>9437</v>
      </c>
      <c r="B1004" s="106" t="s">
        <v>758</v>
      </c>
      <c r="C1004">
        <v>0.05</v>
      </c>
      <c r="D1004" s="106">
        <v>0.05</v>
      </c>
      <c r="E1004">
        <v>0.05</v>
      </c>
      <c r="F1004">
        <v>0.05</v>
      </c>
      <c r="G1004" s="106">
        <v>0.15</v>
      </c>
    </row>
    <row r="1005" spans="1:7" x14ac:dyDescent="0.2">
      <c r="A1005">
        <v>9438</v>
      </c>
      <c r="B1005" s="106" t="s">
        <v>1649</v>
      </c>
      <c r="C1005">
        <v>0</v>
      </c>
      <c r="D1005" s="106">
        <v>0</v>
      </c>
      <c r="E1005">
        <v>0</v>
      </c>
      <c r="F1005">
        <v>0</v>
      </c>
      <c r="G1005">
        <v>0</v>
      </c>
    </row>
    <row r="1006" spans="1:7" x14ac:dyDescent="0.2">
      <c r="A1006">
        <v>9449</v>
      </c>
      <c r="B1006" s="106" t="s">
        <v>1650</v>
      </c>
      <c r="C1006">
        <v>0.05</v>
      </c>
      <c r="D1006">
        <v>0.05</v>
      </c>
      <c r="E1006">
        <v>0.05</v>
      </c>
      <c r="F1006">
        <v>0.05</v>
      </c>
      <c r="G1006">
        <v>0.15</v>
      </c>
    </row>
    <row r="1007" spans="1:7" x14ac:dyDescent="0.2">
      <c r="A1007">
        <v>9450</v>
      </c>
      <c r="B1007" s="106" t="s">
        <v>1651</v>
      </c>
      <c r="C1007">
        <v>0</v>
      </c>
      <c r="D1007" s="106">
        <v>0</v>
      </c>
      <c r="E1007" s="106">
        <v>0</v>
      </c>
      <c r="F1007" s="106">
        <v>0</v>
      </c>
      <c r="G1007" s="106">
        <v>0</v>
      </c>
    </row>
    <row r="1008" spans="1:7" x14ac:dyDescent="0.2">
      <c r="A1008">
        <v>9468</v>
      </c>
      <c r="B1008" s="106" t="s">
        <v>1652</v>
      </c>
      <c r="C1008">
        <v>0.05</v>
      </c>
      <c r="D1008" s="106">
        <v>0</v>
      </c>
      <c r="E1008" s="106">
        <v>0.05</v>
      </c>
      <c r="F1008" s="106">
        <v>0</v>
      </c>
      <c r="G1008" s="106">
        <v>0</v>
      </c>
    </row>
    <row r="1009" spans="1:7" x14ac:dyDescent="0.2">
      <c r="A1009">
        <v>9470</v>
      </c>
      <c r="B1009" s="106" t="s">
        <v>1653</v>
      </c>
      <c r="C1009">
        <v>0.2</v>
      </c>
      <c r="D1009">
        <v>0.2</v>
      </c>
      <c r="E1009">
        <v>0.15</v>
      </c>
      <c r="F1009">
        <v>0.2</v>
      </c>
      <c r="G1009">
        <v>0.45</v>
      </c>
    </row>
    <row r="1010" spans="1:7" x14ac:dyDescent="0.2">
      <c r="A1010">
        <v>9475</v>
      </c>
      <c r="B1010" s="106" t="s">
        <v>1654</v>
      </c>
      <c r="C1010">
        <v>0.05</v>
      </c>
      <c r="D1010">
        <v>0.05</v>
      </c>
      <c r="E1010">
        <v>0.05</v>
      </c>
      <c r="F1010">
        <v>0.05</v>
      </c>
      <c r="G1010">
        <v>0.15</v>
      </c>
    </row>
    <row r="1011" spans="1:7" x14ac:dyDescent="0.2">
      <c r="A1011">
        <v>9479</v>
      </c>
      <c r="B1011" s="106" t="s">
        <v>2320</v>
      </c>
      <c r="C1011">
        <v>0</v>
      </c>
      <c r="D1011" s="106" t="s">
        <v>166</v>
      </c>
      <c r="E1011" s="106">
        <v>0</v>
      </c>
      <c r="F1011" s="106" t="s">
        <v>166</v>
      </c>
      <c r="G1011" s="106">
        <v>0</v>
      </c>
    </row>
    <row r="1012" spans="1:7" x14ac:dyDescent="0.2">
      <c r="A1012">
        <v>9504</v>
      </c>
      <c r="B1012" s="106" t="s">
        <v>1655</v>
      </c>
      <c r="C1012">
        <v>0.05</v>
      </c>
      <c r="D1012" s="106">
        <v>0.05</v>
      </c>
      <c r="E1012" s="106">
        <v>0.05</v>
      </c>
      <c r="F1012" s="106">
        <v>0.05</v>
      </c>
      <c r="G1012" s="106">
        <v>0.15</v>
      </c>
    </row>
    <row r="1013" spans="1:7" x14ac:dyDescent="0.2">
      <c r="A1013">
        <v>9517</v>
      </c>
      <c r="B1013" s="106" t="s">
        <v>1656</v>
      </c>
      <c r="C1013">
        <v>0.05</v>
      </c>
      <c r="D1013" s="106">
        <v>0.05</v>
      </c>
      <c r="E1013" s="106">
        <v>0.05</v>
      </c>
      <c r="F1013" s="106">
        <v>0.05</v>
      </c>
      <c r="G1013" s="106">
        <v>0</v>
      </c>
    </row>
    <row r="1014" spans="1:7" x14ac:dyDescent="0.2">
      <c r="A1014">
        <v>9519</v>
      </c>
      <c r="B1014" s="106" t="s">
        <v>1657</v>
      </c>
      <c r="C1014">
        <v>0</v>
      </c>
      <c r="D1014">
        <v>0</v>
      </c>
      <c r="E1014" s="106">
        <v>0</v>
      </c>
      <c r="F1014" s="106">
        <v>0</v>
      </c>
      <c r="G1014" s="106">
        <v>0</v>
      </c>
    </row>
    <row r="1015" spans="1:7" x14ac:dyDescent="0.2">
      <c r="A1015">
        <v>9532</v>
      </c>
      <c r="B1015" s="106" t="s">
        <v>1658</v>
      </c>
      <c r="C1015">
        <v>0.05</v>
      </c>
      <c r="D1015">
        <v>0.05</v>
      </c>
      <c r="E1015" s="106">
        <v>0.05</v>
      </c>
      <c r="F1015" s="106">
        <v>0.05</v>
      </c>
      <c r="G1015" s="106">
        <v>0.15</v>
      </c>
    </row>
    <row r="1016" spans="1:7" x14ac:dyDescent="0.2">
      <c r="A1016">
        <v>9533</v>
      </c>
      <c r="B1016" s="106" t="s">
        <v>1659</v>
      </c>
      <c r="C1016">
        <v>0.1</v>
      </c>
      <c r="D1016">
        <v>0.1</v>
      </c>
      <c r="E1016">
        <v>0.1</v>
      </c>
      <c r="F1016">
        <v>0.1</v>
      </c>
      <c r="G1016">
        <v>0.3</v>
      </c>
    </row>
    <row r="1017" spans="1:7" x14ac:dyDescent="0.2">
      <c r="A1017">
        <v>9535</v>
      </c>
      <c r="B1017" s="106" t="s">
        <v>2321</v>
      </c>
      <c r="C1017">
        <v>0</v>
      </c>
      <c r="D1017">
        <v>0</v>
      </c>
      <c r="E1017">
        <v>0</v>
      </c>
      <c r="F1017" s="106" t="s">
        <v>166</v>
      </c>
      <c r="G1017">
        <v>0.15</v>
      </c>
    </row>
    <row r="1018" spans="1:7" x14ac:dyDescent="0.2">
      <c r="A1018">
        <v>9536</v>
      </c>
      <c r="B1018" s="106" t="s">
        <v>1660</v>
      </c>
      <c r="C1018">
        <v>0.05</v>
      </c>
      <c r="D1018">
        <v>0.05</v>
      </c>
      <c r="E1018">
        <v>0.05</v>
      </c>
      <c r="F1018" s="106">
        <v>0.05</v>
      </c>
      <c r="G1018">
        <v>0.15</v>
      </c>
    </row>
    <row r="1019" spans="1:7" x14ac:dyDescent="0.2">
      <c r="A1019">
        <v>9543</v>
      </c>
      <c r="B1019" s="106" t="s">
        <v>1661</v>
      </c>
      <c r="C1019">
        <v>0.05</v>
      </c>
      <c r="D1019">
        <v>0.05</v>
      </c>
      <c r="E1019">
        <v>0.05</v>
      </c>
      <c r="F1019">
        <v>0.05</v>
      </c>
      <c r="G1019">
        <v>0.15</v>
      </c>
    </row>
    <row r="1020" spans="1:7" x14ac:dyDescent="0.2">
      <c r="A1020">
        <v>9551</v>
      </c>
      <c r="B1020" s="106" t="s">
        <v>1662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">
      <c r="A1021">
        <v>9601</v>
      </c>
      <c r="B1021" s="106" t="s">
        <v>1663</v>
      </c>
      <c r="C1021">
        <v>0.3</v>
      </c>
      <c r="D1021" s="106">
        <v>0.3</v>
      </c>
      <c r="E1021">
        <v>0.3</v>
      </c>
      <c r="F1021" s="106">
        <v>0.3</v>
      </c>
      <c r="G1021">
        <v>0.9</v>
      </c>
    </row>
    <row r="1022" spans="1:7" x14ac:dyDescent="0.2">
      <c r="A1022">
        <v>9602</v>
      </c>
      <c r="B1022" s="106" t="s">
        <v>2322</v>
      </c>
      <c r="C1022">
        <v>0</v>
      </c>
      <c r="D1022" s="106" t="s">
        <v>166</v>
      </c>
      <c r="E1022">
        <v>0</v>
      </c>
      <c r="F1022" s="106" t="s">
        <v>166</v>
      </c>
      <c r="G1022">
        <v>0</v>
      </c>
    </row>
    <row r="1023" spans="1:7" x14ac:dyDescent="0.2">
      <c r="A1023">
        <v>9603</v>
      </c>
      <c r="B1023" s="106" t="s">
        <v>930</v>
      </c>
      <c r="C1023">
        <v>0</v>
      </c>
      <c r="D1023" s="106">
        <v>0</v>
      </c>
      <c r="E1023">
        <v>0</v>
      </c>
      <c r="F1023" s="106" t="s">
        <v>166</v>
      </c>
      <c r="G1023" s="106" t="s">
        <v>166</v>
      </c>
    </row>
    <row r="1024" spans="1:7" x14ac:dyDescent="0.2">
      <c r="A1024">
        <v>9605</v>
      </c>
      <c r="B1024" s="106" t="s">
        <v>1664</v>
      </c>
      <c r="C1024">
        <v>0.3</v>
      </c>
      <c r="D1024">
        <v>0.3</v>
      </c>
      <c r="E1024">
        <v>0.3</v>
      </c>
      <c r="F1024">
        <v>0.3</v>
      </c>
      <c r="G1024">
        <v>0.9</v>
      </c>
    </row>
    <row r="1025" spans="1:7" x14ac:dyDescent="0.2">
      <c r="A1025">
        <v>9613</v>
      </c>
      <c r="B1025" s="106" t="s">
        <v>2323</v>
      </c>
      <c r="C1025">
        <v>0</v>
      </c>
      <c r="D1025" t="s">
        <v>166</v>
      </c>
      <c r="E1025">
        <v>0</v>
      </c>
      <c r="F1025" t="s">
        <v>166</v>
      </c>
      <c r="G1025">
        <v>0</v>
      </c>
    </row>
    <row r="1026" spans="1:7" x14ac:dyDescent="0.2">
      <c r="A1026">
        <v>9619</v>
      </c>
      <c r="B1026" s="106" t="s">
        <v>1665</v>
      </c>
      <c r="C1026">
        <v>0</v>
      </c>
      <c r="D1026" s="106">
        <v>0</v>
      </c>
      <c r="E1026" s="106">
        <v>0</v>
      </c>
      <c r="F1026" s="106">
        <v>0</v>
      </c>
      <c r="G1026" s="106">
        <v>0</v>
      </c>
    </row>
    <row r="1027" spans="1:7" x14ac:dyDescent="0.2">
      <c r="A1027">
        <v>9622</v>
      </c>
      <c r="B1027" s="106" t="s">
        <v>1666</v>
      </c>
      <c r="C1027">
        <v>0</v>
      </c>
      <c r="D1027">
        <v>0.05</v>
      </c>
      <c r="E1027">
        <v>0</v>
      </c>
      <c r="F1027">
        <v>0</v>
      </c>
      <c r="G1027">
        <v>0</v>
      </c>
    </row>
    <row r="1028" spans="1:7" x14ac:dyDescent="0.2">
      <c r="A1028">
        <v>9627</v>
      </c>
      <c r="B1028" s="106" t="s">
        <v>1667</v>
      </c>
      <c r="C1028">
        <v>0.15</v>
      </c>
      <c r="D1028">
        <v>0.15</v>
      </c>
      <c r="E1028">
        <v>0</v>
      </c>
      <c r="F1028">
        <v>0</v>
      </c>
      <c r="G1028">
        <v>0</v>
      </c>
    </row>
    <row r="1029" spans="1:7" x14ac:dyDescent="0.2">
      <c r="A1029">
        <v>9628</v>
      </c>
      <c r="B1029" s="106" t="s">
        <v>2324</v>
      </c>
      <c r="C1029">
        <v>0</v>
      </c>
      <c r="D1029">
        <v>0</v>
      </c>
      <c r="E1029">
        <v>0</v>
      </c>
      <c r="F1029" t="s">
        <v>166</v>
      </c>
      <c r="G1029" t="s">
        <v>166</v>
      </c>
    </row>
    <row r="1030" spans="1:7" x14ac:dyDescent="0.2">
      <c r="A1030">
        <v>9663</v>
      </c>
      <c r="B1030" s="106" t="s">
        <v>1668</v>
      </c>
      <c r="C1030">
        <v>0.15</v>
      </c>
      <c r="D1030" s="106">
        <v>0.15</v>
      </c>
      <c r="E1030" s="106">
        <v>0.15</v>
      </c>
      <c r="F1030" s="106">
        <v>0.15</v>
      </c>
      <c r="G1030" s="106">
        <v>0.45</v>
      </c>
    </row>
    <row r="1031" spans="1:7" x14ac:dyDescent="0.2">
      <c r="A1031">
        <v>9675</v>
      </c>
      <c r="B1031" s="106" t="s">
        <v>1669</v>
      </c>
      <c r="C1031">
        <v>0.05</v>
      </c>
      <c r="D1031">
        <v>0.05</v>
      </c>
      <c r="E1031">
        <v>0.05</v>
      </c>
      <c r="F1031">
        <v>0.05</v>
      </c>
      <c r="G1031">
        <v>0.15</v>
      </c>
    </row>
    <row r="1032" spans="1:7" x14ac:dyDescent="0.2">
      <c r="A1032">
        <v>9681</v>
      </c>
      <c r="B1032" s="106" t="s">
        <v>1670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">
      <c r="A1033">
        <v>9697</v>
      </c>
      <c r="B1033" s="106" t="s">
        <v>1671</v>
      </c>
      <c r="C1033">
        <v>0.05</v>
      </c>
      <c r="D1033">
        <v>0.05</v>
      </c>
      <c r="E1033">
        <v>0.05</v>
      </c>
      <c r="F1033">
        <v>0.1</v>
      </c>
      <c r="G1033">
        <v>0.15</v>
      </c>
    </row>
    <row r="1034" spans="1:7" x14ac:dyDescent="0.2">
      <c r="A1034">
        <v>9706</v>
      </c>
      <c r="B1034" s="106" t="s">
        <v>257</v>
      </c>
      <c r="C1034">
        <v>0.15</v>
      </c>
      <c r="D1034">
        <v>0.1</v>
      </c>
      <c r="E1034">
        <v>0.15</v>
      </c>
      <c r="F1034">
        <v>0.15</v>
      </c>
      <c r="G1034">
        <v>0.3</v>
      </c>
    </row>
    <row r="1035" spans="1:7" x14ac:dyDescent="0.2">
      <c r="A1035">
        <v>9717</v>
      </c>
      <c r="B1035" s="106" t="s">
        <v>1672</v>
      </c>
      <c r="C1035">
        <v>0</v>
      </c>
      <c r="D1035">
        <v>0.05</v>
      </c>
      <c r="E1035">
        <v>0</v>
      </c>
      <c r="F1035">
        <v>0.05</v>
      </c>
      <c r="G1035">
        <v>0</v>
      </c>
    </row>
    <row r="1036" spans="1:7" x14ac:dyDescent="0.2">
      <c r="A1036">
        <v>9719</v>
      </c>
      <c r="B1036" s="106" t="s">
        <v>2208</v>
      </c>
      <c r="C1036">
        <v>0</v>
      </c>
      <c r="D1036">
        <v>0</v>
      </c>
      <c r="E1036">
        <v>0</v>
      </c>
      <c r="F1036">
        <v>0</v>
      </c>
      <c r="G1036" t="s">
        <v>166</v>
      </c>
    </row>
    <row r="1037" spans="1:7" x14ac:dyDescent="0.2">
      <c r="A1037">
        <v>9722</v>
      </c>
      <c r="B1037" s="106" t="s">
        <v>2325</v>
      </c>
      <c r="C1037">
        <v>0</v>
      </c>
      <c r="D1037">
        <v>0</v>
      </c>
      <c r="E1037">
        <v>0</v>
      </c>
      <c r="F1037" t="s">
        <v>166</v>
      </c>
      <c r="G1037" t="s">
        <v>166</v>
      </c>
    </row>
    <row r="1038" spans="1:7" x14ac:dyDescent="0.2">
      <c r="A1038">
        <v>9726</v>
      </c>
      <c r="B1038" s="106" t="s">
        <v>1673</v>
      </c>
      <c r="C1038">
        <v>0</v>
      </c>
      <c r="D1038" s="106">
        <v>0</v>
      </c>
      <c r="E1038" s="106">
        <v>0</v>
      </c>
      <c r="F1038" s="106">
        <v>0</v>
      </c>
      <c r="G1038" s="106">
        <v>0</v>
      </c>
    </row>
    <row r="1039" spans="1:7" x14ac:dyDescent="0.2">
      <c r="A1039">
        <v>9729</v>
      </c>
      <c r="B1039" s="106" t="s">
        <v>1674</v>
      </c>
      <c r="C1039">
        <v>0.05</v>
      </c>
      <c r="D1039">
        <v>0.05</v>
      </c>
      <c r="E1039">
        <v>0.05</v>
      </c>
      <c r="F1039">
        <v>0.05</v>
      </c>
      <c r="G1039">
        <v>0.15</v>
      </c>
    </row>
    <row r="1040" spans="1:7" x14ac:dyDescent="0.2">
      <c r="A1040">
        <v>9735</v>
      </c>
      <c r="B1040" s="106" t="s">
        <v>2145</v>
      </c>
      <c r="C1040">
        <v>0</v>
      </c>
      <c r="D1040" s="106">
        <v>0</v>
      </c>
      <c r="E1040" s="106">
        <v>0</v>
      </c>
      <c r="F1040" s="106">
        <v>0</v>
      </c>
      <c r="G1040">
        <v>0</v>
      </c>
    </row>
    <row r="1041" spans="1:7" x14ac:dyDescent="0.2">
      <c r="A1041">
        <v>9740</v>
      </c>
      <c r="B1041" s="106" t="s">
        <v>1675</v>
      </c>
      <c r="C1041">
        <v>0.15</v>
      </c>
      <c r="D1041" s="106">
        <v>0.15</v>
      </c>
      <c r="E1041" s="106">
        <v>0.15</v>
      </c>
      <c r="F1041">
        <v>0.15</v>
      </c>
      <c r="G1041">
        <v>0.45</v>
      </c>
    </row>
    <row r="1042" spans="1:7" x14ac:dyDescent="0.2">
      <c r="A1042">
        <v>9743</v>
      </c>
      <c r="B1042" s="106" t="s">
        <v>2326</v>
      </c>
      <c r="C1042">
        <v>0</v>
      </c>
      <c r="D1042">
        <v>0</v>
      </c>
      <c r="E1042">
        <v>0</v>
      </c>
      <c r="F1042" t="s">
        <v>166</v>
      </c>
      <c r="G1042">
        <v>0.15</v>
      </c>
    </row>
    <row r="1043" spans="1:7" x14ac:dyDescent="0.2">
      <c r="A1043">
        <v>9744</v>
      </c>
      <c r="B1043" s="106" t="s">
        <v>1676</v>
      </c>
      <c r="C1043">
        <v>0.1</v>
      </c>
      <c r="D1043">
        <v>0.1</v>
      </c>
      <c r="E1043">
        <v>0.1</v>
      </c>
      <c r="F1043">
        <v>0.1</v>
      </c>
      <c r="G1043">
        <v>0.3</v>
      </c>
    </row>
    <row r="1044" spans="1:7" x14ac:dyDescent="0.2">
      <c r="A1044">
        <v>9746</v>
      </c>
      <c r="B1044" s="106" t="s">
        <v>909</v>
      </c>
      <c r="C1044">
        <v>0</v>
      </c>
      <c r="D1044" t="s">
        <v>166</v>
      </c>
      <c r="E1044">
        <v>0.1</v>
      </c>
      <c r="F1044" t="s">
        <v>166</v>
      </c>
      <c r="G1044">
        <v>0.3</v>
      </c>
    </row>
    <row r="1045" spans="1:7" x14ac:dyDescent="0.2">
      <c r="A1045">
        <v>9757</v>
      </c>
      <c r="B1045" s="106" t="s">
        <v>2598</v>
      </c>
      <c r="C1045">
        <v>0</v>
      </c>
      <c r="D1045">
        <v>0.05</v>
      </c>
      <c r="E1045" t="s">
        <v>166</v>
      </c>
      <c r="F1045">
        <v>0.05</v>
      </c>
      <c r="G1045" t="s">
        <v>166</v>
      </c>
    </row>
    <row r="1046" spans="1:7" x14ac:dyDescent="0.2">
      <c r="A1046">
        <v>9759</v>
      </c>
      <c r="B1046" s="106" t="s">
        <v>756</v>
      </c>
      <c r="C1046">
        <v>0.1</v>
      </c>
      <c r="D1046">
        <v>0.1</v>
      </c>
      <c r="E1046">
        <v>0.1</v>
      </c>
      <c r="F1046">
        <v>0.1</v>
      </c>
      <c r="G1046">
        <v>0.3</v>
      </c>
    </row>
    <row r="1047" spans="1:7" x14ac:dyDescent="0.2">
      <c r="A1047">
        <v>9765</v>
      </c>
      <c r="B1047" s="106" t="s">
        <v>1677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">
      <c r="A1048">
        <v>9783</v>
      </c>
      <c r="B1048" s="106" t="s">
        <v>2146</v>
      </c>
      <c r="C1048">
        <v>0.05</v>
      </c>
      <c r="D1048">
        <v>0</v>
      </c>
      <c r="E1048">
        <v>0</v>
      </c>
      <c r="F1048">
        <v>0</v>
      </c>
      <c r="G1048">
        <v>0</v>
      </c>
    </row>
    <row r="1049" spans="1:7" x14ac:dyDescent="0.2">
      <c r="A1049">
        <v>9787</v>
      </c>
      <c r="B1049" s="106" t="s">
        <v>1678</v>
      </c>
      <c r="C1049">
        <v>0</v>
      </c>
      <c r="D1049" s="106">
        <v>0</v>
      </c>
      <c r="E1049">
        <v>0.1</v>
      </c>
      <c r="F1049" s="106">
        <v>0</v>
      </c>
      <c r="G1049">
        <v>0</v>
      </c>
    </row>
    <row r="1050" spans="1:7" x14ac:dyDescent="0.2">
      <c r="A1050">
        <v>9788</v>
      </c>
      <c r="B1050" s="106" t="s">
        <v>1679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">
      <c r="A1051">
        <v>9790</v>
      </c>
      <c r="B1051" s="106" t="s">
        <v>2599</v>
      </c>
      <c r="C1051">
        <v>0</v>
      </c>
      <c r="D1051">
        <v>0</v>
      </c>
      <c r="E1051" t="s">
        <v>166</v>
      </c>
      <c r="F1051">
        <v>0.05</v>
      </c>
      <c r="G1051">
        <v>0</v>
      </c>
    </row>
    <row r="1052" spans="1:7" x14ac:dyDescent="0.2">
      <c r="A1052">
        <v>9795</v>
      </c>
      <c r="B1052" s="106" t="s">
        <v>2327</v>
      </c>
      <c r="C1052">
        <v>0</v>
      </c>
      <c r="D1052" t="s">
        <v>166</v>
      </c>
      <c r="E1052">
        <v>0</v>
      </c>
      <c r="F1052" t="s">
        <v>166</v>
      </c>
      <c r="G1052" t="s">
        <v>166</v>
      </c>
    </row>
    <row r="1053" spans="1:7" x14ac:dyDescent="0.2">
      <c r="A1053">
        <v>9824</v>
      </c>
      <c r="B1053" s="106" t="s">
        <v>1680</v>
      </c>
      <c r="C1053">
        <v>0.1</v>
      </c>
      <c r="D1053">
        <v>0.1</v>
      </c>
      <c r="E1053">
        <v>0.1</v>
      </c>
      <c r="F1053">
        <v>0.1</v>
      </c>
      <c r="G1053" s="106">
        <v>0.15</v>
      </c>
    </row>
    <row r="1054" spans="1:7" x14ac:dyDescent="0.2">
      <c r="A1054">
        <v>9830</v>
      </c>
      <c r="B1054" s="106" t="s">
        <v>1681</v>
      </c>
      <c r="C1054">
        <v>0.05</v>
      </c>
      <c r="D1054">
        <v>0</v>
      </c>
      <c r="E1054">
        <v>0</v>
      </c>
      <c r="F1054">
        <v>0</v>
      </c>
      <c r="G1054">
        <v>0</v>
      </c>
    </row>
    <row r="1055" spans="1:7" x14ac:dyDescent="0.2">
      <c r="A1055">
        <v>9831</v>
      </c>
      <c r="B1055" s="106" t="s">
        <v>1682</v>
      </c>
      <c r="C1055">
        <v>0.05</v>
      </c>
      <c r="D1055" s="106">
        <v>0.05</v>
      </c>
      <c r="E1055">
        <v>0.05</v>
      </c>
      <c r="F1055" s="106">
        <v>0.05</v>
      </c>
      <c r="G1055">
        <v>0.15</v>
      </c>
    </row>
    <row r="1056" spans="1:7" x14ac:dyDescent="0.2">
      <c r="A1056">
        <v>9837</v>
      </c>
      <c r="B1056" s="106" t="s">
        <v>1683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">
      <c r="A1057">
        <v>9843</v>
      </c>
      <c r="B1057" s="106" t="s">
        <v>1684</v>
      </c>
      <c r="C1057">
        <v>0</v>
      </c>
      <c r="D1057">
        <v>0.3</v>
      </c>
      <c r="E1057">
        <v>0</v>
      </c>
      <c r="F1057">
        <v>0</v>
      </c>
      <c r="G1057">
        <v>0.9</v>
      </c>
    </row>
    <row r="1058" spans="1:7" x14ac:dyDescent="0.2">
      <c r="A1058">
        <v>9850</v>
      </c>
      <c r="B1058" s="106" t="s">
        <v>1685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">
      <c r="A1059">
        <v>9854</v>
      </c>
      <c r="B1059" s="106" t="s">
        <v>1686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">
      <c r="A1060">
        <v>9856</v>
      </c>
      <c r="B1060" s="106" t="s">
        <v>1687</v>
      </c>
      <c r="C1060">
        <v>0.05</v>
      </c>
      <c r="D1060">
        <v>0</v>
      </c>
      <c r="E1060" s="106">
        <v>0</v>
      </c>
      <c r="F1060" s="106">
        <v>0</v>
      </c>
      <c r="G1060" s="106">
        <v>0.15</v>
      </c>
    </row>
    <row r="1061" spans="1:7" x14ac:dyDescent="0.2">
      <c r="A1061">
        <v>9861</v>
      </c>
      <c r="B1061" s="106" t="s">
        <v>1688</v>
      </c>
      <c r="C1061">
        <v>0.05</v>
      </c>
      <c r="D1061">
        <v>0.05</v>
      </c>
      <c r="E1061">
        <v>0.05</v>
      </c>
      <c r="F1061">
        <v>0.05</v>
      </c>
      <c r="G1061">
        <v>0.15</v>
      </c>
    </row>
    <row r="1062" spans="1:7" x14ac:dyDescent="0.2">
      <c r="A1062">
        <v>9869</v>
      </c>
      <c r="B1062" s="106" t="s">
        <v>1689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">
      <c r="A1063">
        <v>9872</v>
      </c>
      <c r="B1063" s="106" t="s">
        <v>1690</v>
      </c>
      <c r="C1063">
        <v>0</v>
      </c>
      <c r="D1063">
        <v>0.05</v>
      </c>
      <c r="E1063">
        <v>0.05</v>
      </c>
      <c r="F1063">
        <v>0.05</v>
      </c>
      <c r="G1063">
        <v>0.15</v>
      </c>
    </row>
    <row r="1064" spans="1:7" x14ac:dyDescent="0.2">
      <c r="A1064">
        <v>9882</v>
      </c>
      <c r="B1064" s="106" t="s">
        <v>1691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">
      <c r="A1065">
        <v>9896</v>
      </c>
      <c r="B1065" s="106" t="s">
        <v>1692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">
      <c r="A1066">
        <v>9900</v>
      </c>
      <c r="B1066" s="106" t="s">
        <v>1693</v>
      </c>
      <c r="C1066">
        <v>0.05</v>
      </c>
      <c r="D1066">
        <v>0.05</v>
      </c>
      <c r="E1066" s="106">
        <v>0.05</v>
      </c>
      <c r="F1066">
        <v>0.05</v>
      </c>
      <c r="G1066">
        <v>0.15</v>
      </c>
    </row>
    <row r="1067" spans="1:7" x14ac:dyDescent="0.2">
      <c r="A1067">
        <v>9902</v>
      </c>
      <c r="B1067" s="106" t="s">
        <v>1694</v>
      </c>
      <c r="C1067">
        <v>0.05</v>
      </c>
      <c r="D1067">
        <v>0.05</v>
      </c>
      <c r="E1067">
        <v>0.05</v>
      </c>
      <c r="F1067">
        <v>0.05</v>
      </c>
      <c r="G1067">
        <v>0.15</v>
      </c>
    </row>
    <row r="1068" spans="1:7" x14ac:dyDescent="0.2">
      <c r="A1068">
        <v>9919</v>
      </c>
      <c r="B1068" s="106" t="s">
        <v>1695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">
      <c r="A1069">
        <v>9928</v>
      </c>
      <c r="B1069" s="106" t="s">
        <v>2209</v>
      </c>
      <c r="C1069">
        <v>0</v>
      </c>
      <c r="D1069">
        <v>0</v>
      </c>
      <c r="E1069">
        <v>0</v>
      </c>
      <c r="F1069">
        <v>0.05</v>
      </c>
      <c r="G1069" t="s">
        <v>166</v>
      </c>
    </row>
    <row r="1070" spans="1:7" x14ac:dyDescent="0.2">
      <c r="A1070">
        <v>9930</v>
      </c>
      <c r="B1070" s="106" t="s">
        <v>1696</v>
      </c>
      <c r="C1070">
        <v>0</v>
      </c>
      <c r="D1070">
        <v>0</v>
      </c>
      <c r="E1070">
        <v>0</v>
      </c>
      <c r="F1070">
        <v>0</v>
      </c>
      <c r="G1070">
        <v>0.15</v>
      </c>
    </row>
    <row r="1071" spans="1:7" x14ac:dyDescent="0.2">
      <c r="A1071">
        <v>9945</v>
      </c>
      <c r="B1071" s="106" t="s">
        <v>1697</v>
      </c>
      <c r="C1071">
        <v>0.05</v>
      </c>
      <c r="D1071">
        <v>0.05</v>
      </c>
      <c r="E1071">
        <v>0.05</v>
      </c>
      <c r="F1071">
        <v>0.05</v>
      </c>
      <c r="G1071">
        <v>0.15</v>
      </c>
    </row>
    <row r="1072" spans="1:7" x14ac:dyDescent="0.2">
      <c r="A1072">
        <v>9946</v>
      </c>
      <c r="B1072" s="106" t="s">
        <v>1698</v>
      </c>
      <c r="C1072">
        <v>0.05</v>
      </c>
      <c r="D1072">
        <v>0.05</v>
      </c>
      <c r="E1072">
        <v>0.05</v>
      </c>
      <c r="F1072">
        <v>0.05</v>
      </c>
      <c r="G1072">
        <v>0.15</v>
      </c>
    </row>
    <row r="1073" spans="1:7" x14ac:dyDescent="0.2">
      <c r="A1073">
        <v>9948</v>
      </c>
      <c r="B1073" s="106" t="s">
        <v>1699</v>
      </c>
      <c r="C1073">
        <v>0</v>
      </c>
      <c r="D1073">
        <v>0.05</v>
      </c>
      <c r="E1073">
        <v>0</v>
      </c>
      <c r="F1073">
        <v>0</v>
      </c>
      <c r="G1073">
        <v>0.15</v>
      </c>
    </row>
    <row r="1074" spans="1:7" x14ac:dyDescent="0.2">
      <c r="A1074">
        <v>9962</v>
      </c>
      <c r="B1074" s="106" t="s">
        <v>1700</v>
      </c>
      <c r="C1074">
        <v>0.05</v>
      </c>
      <c r="D1074">
        <v>0.05</v>
      </c>
      <c r="E1074">
        <v>0.05</v>
      </c>
      <c r="F1074">
        <v>0.05</v>
      </c>
      <c r="G1074">
        <v>0</v>
      </c>
    </row>
    <row r="1075" spans="1:7" x14ac:dyDescent="0.2">
      <c r="A1075">
        <v>9974</v>
      </c>
      <c r="B1075" s="106" t="s">
        <v>2328</v>
      </c>
      <c r="C1075">
        <v>0.05</v>
      </c>
      <c r="D1075">
        <v>0.1</v>
      </c>
      <c r="E1075">
        <v>0</v>
      </c>
      <c r="F1075" t="s">
        <v>166</v>
      </c>
      <c r="G1075">
        <v>0.3</v>
      </c>
    </row>
    <row r="1076" spans="1:7" x14ac:dyDescent="0.2">
      <c r="A1076">
        <v>9979</v>
      </c>
      <c r="B1076" s="106" t="s">
        <v>1701</v>
      </c>
      <c r="C1076">
        <v>0.05</v>
      </c>
      <c r="D1076">
        <v>0.05</v>
      </c>
      <c r="E1076">
        <v>0.05</v>
      </c>
      <c r="F1076">
        <v>0.05</v>
      </c>
      <c r="G1076">
        <v>0.15</v>
      </c>
    </row>
    <row r="1077" spans="1:7" x14ac:dyDescent="0.2">
      <c r="A1077">
        <v>9982</v>
      </c>
      <c r="B1077" s="106" t="s">
        <v>1702</v>
      </c>
      <c r="C1077">
        <v>0.05</v>
      </c>
      <c r="D1077">
        <v>0.05</v>
      </c>
      <c r="E1077">
        <v>0.05</v>
      </c>
      <c r="F1077">
        <v>0.05</v>
      </c>
      <c r="G1077">
        <v>0.15</v>
      </c>
    </row>
    <row r="1078" spans="1:7" x14ac:dyDescent="0.2">
      <c r="A1078">
        <v>9983</v>
      </c>
      <c r="B1078" s="106" t="s">
        <v>1703</v>
      </c>
      <c r="C1078">
        <v>1.25</v>
      </c>
      <c r="D1078">
        <v>1.1499999999999999</v>
      </c>
      <c r="E1078">
        <v>1.1000000000000001</v>
      </c>
      <c r="F1078">
        <v>1.2</v>
      </c>
      <c r="G1078">
        <v>14.55</v>
      </c>
    </row>
    <row r="1079" spans="1:7" x14ac:dyDescent="0.2">
      <c r="A1079">
        <v>9989</v>
      </c>
      <c r="B1079" s="106" t="s">
        <v>923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">
      <c r="A1080">
        <v>9991</v>
      </c>
      <c r="B1080" s="106" t="s">
        <v>2600</v>
      </c>
      <c r="C1080">
        <v>0</v>
      </c>
      <c r="D1080" t="s">
        <v>166</v>
      </c>
      <c r="E1080" t="s">
        <v>166</v>
      </c>
      <c r="F1080" t="s">
        <v>166</v>
      </c>
      <c r="G1080">
        <v>0</v>
      </c>
    </row>
    <row r="1081" spans="1:7" x14ac:dyDescent="0.2">
      <c r="A1081">
        <v>9994</v>
      </c>
      <c r="B1081" s="106" t="s">
        <v>1704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">
      <c r="B1082" s="106"/>
    </row>
    <row r="1083" spans="1:7" x14ac:dyDescent="0.2">
      <c r="B1083" s="106"/>
    </row>
    <row r="1084" spans="1:7" x14ac:dyDescent="0.2">
      <c r="B1084" s="106"/>
    </row>
    <row r="1085" spans="1:7" x14ac:dyDescent="0.2">
      <c r="B1085" s="106"/>
      <c r="G1085" s="106"/>
    </row>
    <row r="1086" spans="1:7" x14ac:dyDescent="0.2">
      <c r="B1086" s="106"/>
    </row>
    <row r="1087" spans="1:7" x14ac:dyDescent="0.2">
      <c r="B1087" s="106"/>
    </row>
    <row r="1088" spans="1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746</v>
      </c>
      <c r="D1" s="139">
        <v>0.1</v>
      </c>
    </row>
    <row r="2" spans="1:4" s="106" customFormat="1" x14ac:dyDescent="0.2">
      <c r="A2" s="13" t="s">
        <v>744</v>
      </c>
      <c r="B2" s="1" t="s">
        <v>753</v>
      </c>
      <c r="C2" s="1" t="s">
        <v>745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747</v>
      </c>
      <c r="B8" s="1" t="s">
        <v>754</v>
      </c>
    </row>
    <row r="9" spans="1:4" s="106" customFormat="1" x14ac:dyDescent="0.2">
      <c r="A9" s="140" t="s">
        <v>748</v>
      </c>
      <c r="B9" s="142">
        <v>198</v>
      </c>
    </row>
    <row r="10" spans="1:4" s="106" customFormat="1" x14ac:dyDescent="0.2">
      <c r="A10" s="140" t="s">
        <v>749</v>
      </c>
      <c r="B10" s="142">
        <v>385</v>
      </c>
    </row>
    <row r="11" spans="1:4" s="106" customFormat="1" x14ac:dyDescent="0.2">
      <c r="A11" s="1" t="s">
        <v>750</v>
      </c>
      <c r="B11" s="143">
        <v>2.8000000000000001E-2</v>
      </c>
    </row>
    <row r="12" spans="1:4" s="106" customFormat="1" x14ac:dyDescent="0.2">
      <c r="A12" s="1" t="s">
        <v>172</v>
      </c>
      <c r="B12" s="143">
        <v>1.0999999999999999E-2</v>
      </c>
    </row>
    <row r="15" spans="1:4" ht="15" x14ac:dyDescent="0.2">
      <c r="A15" s="78" t="s">
        <v>104</v>
      </c>
    </row>
    <row r="16" spans="1:4" x14ac:dyDescent="0.2">
      <c r="B16" s="1"/>
    </row>
    <row r="17" spans="1:2" ht="15.75" thickBot="1" x14ac:dyDescent="0.3">
      <c r="A17" s="69" t="s">
        <v>105</v>
      </c>
    </row>
    <row r="18" spans="1:2" ht="15.75" thickBot="1" x14ac:dyDescent="0.25">
      <c r="A18" s="71" t="s">
        <v>106</v>
      </c>
      <c r="B18" s="72" t="s">
        <v>107</v>
      </c>
    </row>
    <row r="19" spans="1:2" ht="15.75" thickBot="1" x14ac:dyDescent="0.3">
      <c r="A19" s="73" t="s">
        <v>108</v>
      </c>
      <c r="B19" s="70" t="s">
        <v>109</v>
      </c>
    </row>
    <row r="20" spans="1:2" ht="15.75" thickBot="1" x14ac:dyDescent="0.3">
      <c r="A20" s="73" t="s">
        <v>110</v>
      </c>
      <c r="B20" s="70" t="s">
        <v>111</v>
      </c>
    </row>
    <row r="21" spans="1:2" ht="15.75" thickBot="1" x14ac:dyDescent="0.3">
      <c r="A21" s="73" t="s">
        <v>112</v>
      </c>
      <c r="B21" s="70" t="s">
        <v>113</v>
      </c>
    </row>
    <row r="22" spans="1:2" ht="15.75" thickBot="1" x14ac:dyDescent="0.3">
      <c r="A22" s="73" t="s">
        <v>114</v>
      </c>
      <c r="B22" s="70" t="s">
        <v>115</v>
      </c>
    </row>
    <row r="23" spans="1:2" ht="15.75" thickBot="1" x14ac:dyDescent="0.3">
      <c r="A23" s="74" t="s">
        <v>116</v>
      </c>
      <c r="B23" s="75" t="s">
        <v>117</v>
      </c>
    </row>
    <row r="24" spans="1:2" ht="15.75" thickBot="1" x14ac:dyDescent="0.3">
      <c r="A24" s="76" t="s">
        <v>118</v>
      </c>
      <c r="B24" s="77" t="s">
        <v>119</v>
      </c>
    </row>
    <row r="25" spans="1:2" ht="15.75" thickBot="1" x14ac:dyDescent="0.3">
      <c r="A25" s="73" t="s">
        <v>120</v>
      </c>
      <c r="B25" s="70" t="s">
        <v>121</v>
      </c>
    </row>
    <row r="26" spans="1:2" ht="15.75" thickBot="1" x14ac:dyDescent="0.3">
      <c r="A26" s="73" t="s">
        <v>122</v>
      </c>
      <c r="B26" s="70" t="s">
        <v>123</v>
      </c>
    </row>
    <row r="27" spans="1:2" ht="15.75" thickBot="1" x14ac:dyDescent="0.3">
      <c r="A27" s="69" t="s">
        <v>124</v>
      </c>
    </row>
    <row r="28" spans="1:2" ht="15.75" thickBot="1" x14ac:dyDescent="0.25">
      <c r="A28" s="71" t="s">
        <v>106</v>
      </c>
      <c r="B28" s="72" t="s">
        <v>107</v>
      </c>
    </row>
    <row r="29" spans="1:2" ht="15.75" thickBot="1" x14ac:dyDescent="0.3">
      <c r="A29" s="73" t="s">
        <v>110</v>
      </c>
      <c r="B29" s="70" t="s">
        <v>111</v>
      </c>
    </row>
    <row r="30" spans="1:2" ht="15.75" thickBot="1" x14ac:dyDescent="0.3">
      <c r="A30" s="73" t="s">
        <v>112</v>
      </c>
      <c r="B30" s="70" t="s">
        <v>125</v>
      </c>
    </row>
    <row r="31" spans="1:2" ht="15.75" thickBot="1" x14ac:dyDescent="0.3">
      <c r="A31" s="73" t="s">
        <v>114</v>
      </c>
      <c r="B31" s="70" t="s">
        <v>126</v>
      </c>
    </row>
    <row r="32" spans="1:2" ht="15.75" thickBot="1" x14ac:dyDescent="0.3">
      <c r="A32" s="74" t="s">
        <v>127</v>
      </c>
      <c r="B32" s="75" t="s">
        <v>128</v>
      </c>
    </row>
    <row r="35" spans="1:8" ht="15" x14ac:dyDescent="0.2">
      <c r="A35" s="78" t="s">
        <v>129</v>
      </c>
    </row>
    <row r="36" spans="1:8" ht="15" thickBot="1" x14ac:dyDescent="0.25"/>
    <row r="37" spans="1:8" ht="15.75" thickBot="1" x14ac:dyDescent="0.25">
      <c r="A37" s="71" t="s">
        <v>130</v>
      </c>
      <c r="B37" s="72" t="s">
        <v>96</v>
      </c>
    </row>
    <row r="38" spans="1:8" ht="15.75" thickBot="1" x14ac:dyDescent="0.3">
      <c r="A38" s="73" t="s">
        <v>110</v>
      </c>
      <c r="B38" s="70" t="s">
        <v>131</v>
      </c>
    </row>
    <row r="39" spans="1:8" ht="15.75" thickBot="1" x14ac:dyDescent="0.3">
      <c r="A39" s="73" t="s">
        <v>112</v>
      </c>
      <c r="B39" s="70" t="s">
        <v>132</v>
      </c>
    </row>
    <row r="40" spans="1:8" ht="15.75" thickBot="1" x14ac:dyDescent="0.3">
      <c r="A40" s="73" t="s">
        <v>133</v>
      </c>
      <c r="B40" s="70" t="s">
        <v>134</v>
      </c>
    </row>
    <row r="41" spans="1:8" ht="15.75" thickBot="1" x14ac:dyDescent="0.3">
      <c r="A41" s="73" t="s">
        <v>114</v>
      </c>
      <c r="B41" s="70" t="s">
        <v>135</v>
      </c>
    </row>
    <row r="42" spans="1:8" ht="15.75" thickBot="1" x14ac:dyDescent="0.3">
      <c r="A42" s="73" t="s">
        <v>116</v>
      </c>
      <c r="B42" s="70" t="s">
        <v>136</v>
      </c>
    </row>
    <row r="43" spans="1:8" ht="15.75" thickBot="1" x14ac:dyDescent="0.3">
      <c r="A43" s="73" t="s">
        <v>137</v>
      </c>
      <c r="B43" s="70" t="s">
        <v>138</v>
      </c>
    </row>
    <row r="44" spans="1:8" ht="15" x14ac:dyDescent="0.25">
      <c r="A44" s="80" t="s">
        <v>139</v>
      </c>
      <c r="B44" s="356" t="s">
        <v>141</v>
      </c>
    </row>
    <row r="45" spans="1:8" ht="30.75" thickBot="1" x14ac:dyDescent="0.3">
      <c r="A45" s="73" t="s">
        <v>140</v>
      </c>
      <c r="B45" s="357"/>
    </row>
    <row r="47" spans="1:8" ht="15" thickBot="1" x14ac:dyDescent="0.25"/>
    <row r="48" spans="1:8" ht="15" thickBot="1" x14ac:dyDescent="0.25">
      <c r="A48" s="358" t="s">
        <v>90</v>
      </c>
      <c r="B48" s="359"/>
      <c r="C48" s="362" t="s">
        <v>142</v>
      </c>
      <c r="D48" s="363"/>
      <c r="E48" s="363"/>
      <c r="F48" s="363"/>
      <c r="G48" s="364"/>
      <c r="H48" s="86"/>
    </row>
    <row r="49" spans="1:8" ht="15" thickBot="1" x14ac:dyDescent="0.25">
      <c r="A49" s="360"/>
      <c r="B49" s="361"/>
      <c r="C49" s="365" t="s">
        <v>143</v>
      </c>
      <c r="D49" s="366"/>
      <c r="E49" s="81" t="s">
        <v>144</v>
      </c>
      <c r="F49" s="367" t="s">
        <v>145</v>
      </c>
      <c r="G49" s="368"/>
    </row>
    <row r="50" spans="1:8" ht="15" thickBot="1" x14ac:dyDescent="0.25">
      <c r="A50" s="87" t="s">
        <v>146</v>
      </c>
      <c r="B50" s="82" t="s">
        <v>147</v>
      </c>
      <c r="C50" s="82" t="s">
        <v>148</v>
      </c>
      <c r="D50" s="83" t="s">
        <v>147</v>
      </c>
      <c r="E50" s="83" t="s">
        <v>148</v>
      </c>
      <c r="F50" s="81" t="s">
        <v>148</v>
      </c>
      <c r="G50" s="84" t="s">
        <v>147</v>
      </c>
      <c r="H50" s="84" t="s">
        <v>148</v>
      </c>
    </row>
    <row r="51" spans="1:8" ht="28.5" customHeight="1" thickBot="1" x14ac:dyDescent="0.25">
      <c r="A51" s="88" t="s">
        <v>149</v>
      </c>
      <c r="B51" s="353" t="s">
        <v>150</v>
      </c>
      <c r="C51" s="354"/>
      <c r="D51" s="353" t="s">
        <v>151</v>
      </c>
      <c r="E51" s="355"/>
      <c r="F51" s="355"/>
      <c r="G51" s="355"/>
      <c r="H51" s="354"/>
    </row>
    <row r="52" spans="1:8" ht="43.5" thickBot="1" x14ac:dyDescent="0.25">
      <c r="A52" s="88" t="s">
        <v>152</v>
      </c>
      <c r="B52" s="353" t="s">
        <v>153</v>
      </c>
      <c r="C52" s="354"/>
      <c r="D52" s="85" t="s">
        <v>154</v>
      </c>
      <c r="E52" s="85" t="s">
        <v>155</v>
      </c>
      <c r="F52" s="85" t="s">
        <v>155</v>
      </c>
      <c r="G52" s="85" t="s">
        <v>154</v>
      </c>
      <c r="H52" s="85" t="s">
        <v>155</v>
      </c>
    </row>
    <row r="53" spans="1:8" ht="15" thickBot="1" x14ac:dyDescent="0.25">
      <c r="A53" s="88" t="s">
        <v>156</v>
      </c>
      <c r="B53" s="353" t="s">
        <v>157</v>
      </c>
      <c r="C53" s="354"/>
      <c r="D53" s="353" t="s">
        <v>143</v>
      </c>
      <c r="E53" s="354"/>
      <c r="F53" s="85" t="s">
        <v>158</v>
      </c>
      <c r="G53" s="353" t="s">
        <v>159</v>
      </c>
      <c r="H53" s="354"/>
    </row>
    <row r="54" spans="1:8" ht="15" thickBot="1" x14ac:dyDescent="0.25">
      <c r="A54" s="88" t="s">
        <v>96</v>
      </c>
      <c r="B54" s="353" t="s">
        <v>160</v>
      </c>
      <c r="C54" s="355"/>
      <c r="D54" s="355"/>
      <c r="E54" s="355"/>
      <c r="F54" s="354"/>
      <c r="G54" s="353" t="s">
        <v>161</v>
      </c>
      <c r="H54" s="354"/>
    </row>
    <row r="55" spans="1:8" ht="42.75" x14ac:dyDescent="0.2">
      <c r="A55" s="141" t="s">
        <v>750</v>
      </c>
      <c r="B55" s="79" t="s">
        <v>163</v>
      </c>
      <c r="C55" s="356" t="s">
        <v>166</v>
      </c>
      <c r="D55" s="79" t="s">
        <v>163</v>
      </c>
      <c r="E55" s="356" t="s">
        <v>166</v>
      </c>
      <c r="F55" s="356" t="s">
        <v>166</v>
      </c>
      <c r="G55" s="79" t="s">
        <v>169</v>
      </c>
      <c r="H55" s="356" t="s">
        <v>166</v>
      </c>
    </row>
    <row r="56" spans="1:8" ht="42.75" x14ac:dyDescent="0.2">
      <c r="A56" s="89" t="s">
        <v>162</v>
      </c>
      <c r="B56" s="90" t="s">
        <v>752</v>
      </c>
      <c r="C56" s="369"/>
      <c r="D56" s="79" t="s">
        <v>167</v>
      </c>
      <c r="E56" s="369"/>
      <c r="F56" s="369"/>
      <c r="G56" s="79" t="s">
        <v>170</v>
      </c>
      <c r="H56" s="369"/>
    </row>
    <row r="57" spans="1:8" ht="42.75" x14ac:dyDescent="0.2">
      <c r="A57" s="89"/>
      <c r="B57" s="79" t="s">
        <v>164</v>
      </c>
      <c r="C57" s="369"/>
      <c r="D57" s="79" t="s">
        <v>164</v>
      </c>
      <c r="E57" s="369"/>
      <c r="F57" s="369"/>
      <c r="G57" s="79" t="s">
        <v>171</v>
      </c>
      <c r="H57" s="369"/>
    </row>
    <row r="58" spans="1:8" ht="15" thickBot="1" x14ac:dyDescent="0.25">
      <c r="A58" s="88"/>
      <c r="B58" s="85" t="s">
        <v>165</v>
      </c>
      <c r="C58" s="357"/>
      <c r="D58" s="85" t="s">
        <v>168</v>
      </c>
      <c r="E58" s="357"/>
      <c r="F58" s="357"/>
      <c r="G58" s="85"/>
      <c r="H58" s="357"/>
    </row>
    <row r="59" spans="1:8" ht="42.75" x14ac:dyDescent="0.2">
      <c r="A59" s="141" t="s">
        <v>751</v>
      </c>
      <c r="B59" s="356" t="s">
        <v>166</v>
      </c>
      <c r="C59" s="370">
        <v>1.0999999999999999E-2</v>
      </c>
      <c r="D59" s="356" t="s">
        <v>166</v>
      </c>
      <c r="E59" s="373">
        <v>1.0999999999999999E-2</v>
      </c>
      <c r="F59" s="373">
        <v>3.9E-2</v>
      </c>
      <c r="G59" s="356" t="s">
        <v>166</v>
      </c>
      <c r="H59" s="79" t="s">
        <v>169</v>
      </c>
    </row>
    <row r="60" spans="1:8" ht="42.75" x14ac:dyDescent="0.2">
      <c r="A60" s="89" t="s">
        <v>162</v>
      </c>
      <c r="B60" s="369"/>
      <c r="C60" s="371"/>
      <c r="D60" s="369"/>
      <c r="E60" s="374"/>
      <c r="F60" s="374"/>
      <c r="G60" s="369"/>
      <c r="H60" s="79" t="s">
        <v>170</v>
      </c>
    </row>
    <row r="61" spans="1:8" ht="43.5" thickBot="1" x14ac:dyDescent="0.25">
      <c r="A61" s="88"/>
      <c r="B61" s="357"/>
      <c r="C61" s="372"/>
      <c r="D61" s="357"/>
      <c r="E61" s="375"/>
      <c r="F61" s="375"/>
      <c r="G61" s="357"/>
      <c r="H61" s="85" t="s">
        <v>171</v>
      </c>
    </row>
    <row r="62" spans="1:8" ht="127.5" customHeight="1" x14ac:dyDescent="0.2">
      <c r="A62" s="89" t="s">
        <v>173</v>
      </c>
      <c r="B62" s="356" t="s">
        <v>166</v>
      </c>
      <c r="C62" s="384" t="s">
        <v>175</v>
      </c>
      <c r="D62" s="356" t="s">
        <v>166</v>
      </c>
      <c r="E62" s="356" t="s">
        <v>166</v>
      </c>
      <c r="F62" s="356" t="s">
        <v>166</v>
      </c>
      <c r="G62" s="356" t="s">
        <v>166</v>
      </c>
      <c r="H62" s="356" t="s">
        <v>176</v>
      </c>
    </row>
    <row r="63" spans="1:8" ht="15" thickBot="1" x14ac:dyDescent="0.25">
      <c r="A63" s="88" t="s">
        <v>174</v>
      </c>
      <c r="B63" s="357"/>
      <c r="C63" s="385"/>
      <c r="D63" s="357"/>
      <c r="E63" s="357"/>
      <c r="F63" s="357"/>
      <c r="G63" s="357"/>
      <c r="H63" s="357"/>
    </row>
    <row r="64" spans="1:8" ht="15" thickBot="1" x14ac:dyDescent="0.25">
      <c r="A64" s="88" t="s">
        <v>177</v>
      </c>
      <c r="B64" s="353" t="s">
        <v>178</v>
      </c>
      <c r="C64" s="355"/>
      <c r="D64" s="355"/>
      <c r="E64" s="355"/>
      <c r="F64" s="355"/>
      <c r="G64" s="355"/>
      <c r="H64" s="354"/>
    </row>
    <row r="65" spans="1:8" ht="14.25" customHeight="1" x14ac:dyDescent="0.2">
      <c r="A65" s="376" t="s">
        <v>179</v>
      </c>
      <c r="B65" s="378" t="s">
        <v>180</v>
      </c>
      <c r="C65" s="379"/>
      <c r="D65" s="379"/>
      <c r="E65" s="379"/>
      <c r="F65" s="379"/>
      <c r="G65" s="379"/>
      <c r="H65" s="380"/>
    </row>
    <row r="66" spans="1:8" ht="15" thickBot="1" x14ac:dyDescent="0.25">
      <c r="A66" s="377"/>
      <c r="B66" s="381" t="s">
        <v>181</v>
      </c>
      <c r="C66" s="382"/>
      <c r="D66" s="382"/>
      <c r="E66" s="382"/>
      <c r="F66" s="382"/>
      <c r="G66" s="382"/>
      <c r="H66" s="383"/>
    </row>
    <row r="67" spans="1:8" ht="14.25" customHeight="1" x14ac:dyDescent="0.2">
      <c r="A67" s="376" t="s">
        <v>182</v>
      </c>
      <c r="B67" s="378" t="s">
        <v>183</v>
      </c>
      <c r="C67" s="379"/>
      <c r="D67" s="379"/>
      <c r="E67" s="379"/>
      <c r="F67" s="379"/>
      <c r="G67" s="379"/>
      <c r="H67" s="380"/>
    </row>
    <row r="68" spans="1:8" ht="15" thickBot="1" x14ac:dyDescent="0.25">
      <c r="A68" s="377"/>
      <c r="B68" s="381" t="s">
        <v>184</v>
      </c>
      <c r="C68" s="382"/>
      <c r="D68" s="382"/>
      <c r="E68" s="382"/>
      <c r="F68" s="382"/>
      <c r="G68" s="382"/>
      <c r="H68" s="383"/>
    </row>
    <row r="69" spans="1:8" ht="28.5" customHeight="1" x14ac:dyDescent="0.2">
      <c r="A69" s="376" t="s">
        <v>185</v>
      </c>
      <c r="B69" s="378" t="s">
        <v>186</v>
      </c>
      <c r="C69" s="379"/>
      <c r="D69" s="380"/>
      <c r="E69" s="378" t="s">
        <v>187</v>
      </c>
      <c r="F69" s="379"/>
      <c r="G69" s="379"/>
      <c r="H69" s="380"/>
    </row>
    <row r="70" spans="1:8" ht="28.5" customHeight="1" x14ac:dyDescent="0.2">
      <c r="A70" s="386"/>
      <c r="B70" s="387"/>
      <c r="C70" s="388"/>
      <c r="D70" s="389"/>
      <c r="E70" s="387" t="s">
        <v>188</v>
      </c>
      <c r="F70" s="388"/>
      <c r="G70" s="388"/>
      <c r="H70" s="389"/>
    </row>
    <row r="71" spans="1:8" ht="28.5" customHeight="1" thickBot="1" x14ac:dyDescent="0.25">
      <c r="A71" s="377"/>
      <c r="B71" s="381"/>
      <c r="C71" s="382"/>
      <c r="D71" s="383"/>
      <c r="E71" s="381" t="s">
        <v>189</v>
      </c>
      <c r="F71" s="382"/>
      <c r="G71" s="382"/>
      <c r="H71" s="383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 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2019-12-26T11:25:22Z</dcterms:modified>
</cp:coreProperties>
</file>