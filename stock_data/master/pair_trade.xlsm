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105" windowWidth="12765" windowHeight="5715" activeTab="6"/>
  </bookViews>
  <sheets>
    <sheet name="表紙-" sheetId="1" r:id="rId1"/>
    <sheet name="建玉管理" sheetId="2" r:id="rId2"/>
    <sheet name="取引履歴" sheetId="13" r:id="rId3"/>
    <sheet name="資産状況" sheetId="15" r:id="rId4"/>
    <sheet name="監視" sheetId="3" r:id="rId5"/>
    <sheet name="シミュレーション" sheetId="4" r:id="rId6"/>
    <sheet name="Search Result" sheetId="5" r:id="rId7"/>
    <sheet name="個別計算" sheetId="6" r:id="rId8"/>
    <sheet name="日経サヤ計算" sheetId="11" r:id="rId9"/>
    <sheet name="グラフ" sheetId="7" r:id="rId10"/>
    <sheet name="code" sheetId="8" r:id="rId11"/>
    <sheet name="元データ" sheetId="9" r:id="rId12"/>
    <sheet name="改訂欄" sheetId="10" r:id="rId13"/>
    <sheet name="Fee_Refer" sheetId="17" r:id="rId14"/>
    <sheet name="Faiue" sheetId="18" r:id="rId15"/>
  </sheets>
  <functionGroups/>
  <definedNames>
    <definedName name="_xlnm._FilterDatabase" localSheetId="11" hidden="1">元データ!$A$1:$AH$284</definedName>
  </definedNames>
  <calcPr calcId="125725"/>
</workbook>
</file>

<file path=xl/calcChain.xml><?xml version="1.0" encoding="utf-8"?>
<calcChain xmlns="http://schemas.openxmlformats.org/spreadsheetml/2006/main">
  <c r="AC12" i="13"/>
  <c r="C12"/>
  <c r="J12"/>
  <c r="M12"/>
  <c r="P12" s="1"/>
  <c r="J13"/>
  <c r="M13"/>
  <c r="P13" s="1"/>
  <c r="Q13" s="1"/>
  <c r="AA10"/>
  <c r="AB10"/>
  <c r="V10"/>
  <c r="P11"/>
  <c r="Q11" s="1"/>
  <c r="M11"/>
  <c r="J11"/>
  <c r="P10"/>
  <c r="M10"/>
  <c r="J10"/>
  <c r="C10"/>
  <c r="AB6"/>
  <c r="AB8"/>
  <c r="AB4"/>
  <c r="AA6"/>
  <c r="AA8"/>
  <c r="AA4"/>
  <c r="P9"/>
  <c r="Q9" s="1"/>
  <c r="M9"/>
  <c r="J9"/>
  <c r="V8"/>
  <c r="P8"/>
  <c r="Q8" s="1"/>
  <c r="M8"/>
  <c r="J8"/>
  <c r="C8"/>
  <c r="V6"/>
  <c r="V4"/>
  <c r="P1" i="2"/>
  <c r="U8" s="1"/>
  <c r="V8" s="1"/>
  <c r="M9"/>
  <c r="P9" s="1"/>
  <c r="J9"/>
  <c r="M8"/>
  <c r="P8" s="1"/>
  <c r="J8"/>
  <c r="C8"/>
  <c r="M7"/>
  <c r="P7" s="1"/>
  <c r="J7"/>
  <c r="M6"/>
  <c r="P6" s="1"/>
  <c r="J6"/>
  <c r="C6"/>
  <c r="M5"/>
  <c r="P5" s="1"/>
  <c r="J5"/>
  <c r="M4"/>
  <c r="P4" s="1"/>
  <c r="J4"/>
  <c r="C4"/>
  <c r="R12" i="13" l="1"/>
  <c r="S12" s="1"/>
  <c r="Q12"/>
  <c r="Q10"/>
  <c r="R8"/>
  <c r="S8" s="1"/>
  <c r="U12"/>
  <c r="R10"/>
  <c r="J2" i="2"/>
  <c r="U4"/>
  <c r="V4" s="1"/>
  <c r="U6"/>
  <c r="V6" s="1"/>
  <c r="R6" i="13"/>
  <c r="R4"/>
  <c r="R8" i="2"/>
  <c r="S8" s="1"/>
  <c r="Q9"/>
  <c r="Q8"/>
  <c r="Q6"/>
  <c r="R4"/>
  <c r="S4" s="1"/>
  <c r="Q7"/>
  <c r="R6"/>
  <c r="S6" s="1"/>
  <c r="Q5"/>
  <c r="Q4"/>
  <c r="V12" i="13" l="1"/>
  <c r="AA12"/>
  <c r="AB12"/>
  <c r="R2"/>
  <c r="S4"/>
  <c r="AC4"/>
  <c r="S6"/>
  <c r="AC6"/>
  <c r="AC8"/>
  <c r="S10"/>
  <c r="AC10"/>
  <c r="S2" i="2"/>
  <c r="R2"/>
</calcChain>
</file>

<file path=xl/sharedStrings.xml><?xml version="1.0" encoding="utf-8"?>
<sst xmlns="http://schemas.openxmlformats.org/spreadsheetml/2006/main" count="1743" uniqueCount="459">
  <si>
    <t>サヤ</t>
    <phoneticPr fontId="1" type="noConversion"/>
  </si>
  <si>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</si>
  <si>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</si>
  <si>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</si>
  <si>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</si>
  <si>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</si>
  <si>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</si>
  <si>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</si>
  <si>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</si>
  <si>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相関係数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</si>
  <si>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</si>
  <si>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</si>
  <si>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</si>
  <si>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</si>
  <si>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</si>
  <si>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</si>
  <si>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</si>
  <si>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</si>
  <si>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</si>
  <si>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</si>
  <si>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サヤ移動平均（σ）</t>
    <phoneticPr fontId="1" type="noConversion"/>
  </si>
  <si>
    <t>同業/異業</t>
    <phoneticPr fontId="1" type="noConversion"/>
  </si>
  <si>
    <t>銘柄名</t>
    <phoneticPr fontId="1" type="noConversion"/>
  </si>
  <si>
    <t>業種分類</t>
    <phoneticPr fontId="1" type="noConversion"/>
  </si>
  <si>
    <t>勝率</t>
    <phoneticPr fontId="1" type="noConversion"/>
  </si>
  <si>
    <t>１年間で最大サヤ</t>
    <phoneticPr fontId="1" type="noConversion"/>
  </si>
  <si>
    <t>今日時点のサヤ</t>
    <phoneticPr fontId="1" type="noConversion"/>
  </si>
  <si>
    <t>標準偏差</t>
    <phoneticPr fontId="1" type="noConversion"/>
  </si>
  <si>
    <t>サヤ移動平均（+1σ）</t>
    <phoneticPr fontId="1" type="noConversion"/>
  </si>
  <si>
    <t>指数（σ）</t>
    <phoneticPr fontId="1" type="noConversion"/>
  </si>
  <si>
    <t>売買指示</t>
    <phoneticPr fontId="1" type="noConversion"/>
  </si>
  <si>
    <t>売買金額</t>
    <phoneticPr fontId="1" type="noConversion"/>
  </si>
  <si>
    <t>売り　６，０００</t>
    <phoneticPr fontId="1" type="noConversion"/>
  </si>
  <si>
    <t>株価１（今日）</t>
    <phoneticPr fontId="1" type="noConversion"/>
  </si>
  <si>
    <t>株価２（今日）</t>
    <phoneticPr fontId="1" type="noConversion"/>
  </si>
  <si>
    <t>銘柄コード２</t>
    <phoneticPr fontId="1" type="noConversion"/>
  </si>
  <si>
    <t>銘柄１の株価</t>
    <phoneticPr fontId="1" type="noConversion"/>
  </si>
  <si>
    <t>銘柄２の株価</t>
    <phoneticPr fontId="1" type="noConversion"/>
  </si>
  <si>
    <t>銘柄１の変動率</t>
    <phoneticPr fontId="1" type="noConversion"/>
  </si>
  <si>
    <t>銘柄２の変動率</t>
    <phoneticPr fontId="1" type="noConversion"/>
  </si>
  <si>
    <t>銘柄１－２</t>
    <phoneticPr fontId="1" type="noConversion"/>
  </si>
  <si>
    <t>バッグテスト収益率</t>
    <phoneticPr fontId="1" type="noConversion"/>
  </si>
  <si>
    <t>勝ち回数</t>
    <phoneticPr fontId="1" type="noConversion"/>
  </si>
  <si>
    <t>負け回数</t>
    <phoneticPr fontId="1" type="noConversion"/>
  </si>
  <si>
    <t>銘柄コード</t>
    <phoneticPr fontId="1" type="noConversion"/>
  </si>
  <si>
    <t>会社名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</si>
  <si>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</si>
  <si>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</si>
  <si>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</si>
  <si>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SYM_B_NAME</t>
  </si>
  <si>
    <t>アルプスアルパイン</t>
  </si>
  <si>
    <t>コンコルディア・フィナンシャルグループ</t>
  </si>
  <si>
    <t>三井住友トラスト・ホールディングス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</si>
  <si>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</si>
  <si>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</si>
  <si>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</si>
  <si>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</si>
  <si>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</si>
  <si>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</si>
  <si>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</si>
  <si>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SYM_A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</si>
  <si>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</si>
  <si>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</si>
  <si>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</si>
  <si>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</si>
  <si>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</si>
  <si>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</si>
  <si>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</si>
  <si>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SYM_B_INDUSTRY</t>
  </si>
  <si>
    <t>OPEN_B</t>
  </si>
  <si>
    <t>CLOSE_B</t>
  </si>
  <si>
    <t>PAIR_LOT_SIZE</t>
  </si>
  <si>
    <t>TRADE_B</t>
  </si>
  <si>
    <t>CORR_3M</t>
  </si>
  <si>
    <t>CORR_1Y</t>
  </si>
  <si>
    <t>COINT_3M</t>
  </si>
  <si>
    <t>COINT_1Y</t>
  </si>
  <si>
    <t>ABS_SIGMA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</si>
  <si>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</si>
  <si>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</si>
  <si>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</si>
  <si>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</si>
  <si>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</si>
  <si>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</si>
  <si>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</si>
  <si>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</si>
  <si>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</si>
  <si>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</si>
  <si>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BUY</t>
  </si>
  <si>
    <t>化学</t>
  </si>
  <si>
    <t>SELL</t>
  </si>
  <si>
    <t>三越伊勢丹ホールディングス</t>
  </si>
  <si>
    <t>カネカ</t>
  </si>
  <si>
    <t>王子ホールディングス</t>
  </si>
  <si>
    <t>マスタファイル</t>
    <phoneticPr fontId="1" type="noConversion"/>
  </si>
  <si>
    <t>G:\Stock\pairs_trade\pair_trade\stock_data</t>
    <phoneticPr fontId="1" type="noConversion"/>
  </si>
  <si>
    <t>G:\Stock\pairs_trade\pair_trade\stock_data\master\master.csv</t>
    <phoneticPr fontId="1" type="noConversion"/>
  </si>
  <si>
    <t>入力データパス</t>
    <phoneticPr fontId="1" type="noConversion"/>
  </si>
  <si>
    <t>資産残高の推移</t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</si>
  <si>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</si>
  <si>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</si>
  <si>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</si>
  <si>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</si>
  <si>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仕掛けタイミング（σ）</t>
    <phoneticPr fontId="1" type="noConversion"/>
  </si>
  <si>
    <t>SIGMA</t>
  </si>
  <si>
    <t>stop_profit_times</t>
  </si>
  <si>
    <t>stop_loss_times</t>
  </si>
  <si>
    <t>max_day_over_times</t>
  </si>
  <si>
    <t>関電工</t>
  </si>
  <si>
    <t>建設業</t>
  </si>
  <si>
    <t>スカパーＪＳＡＴホールディングス</t>
  </si>
  <si>
    <t>情報・通信業</t>
  </si>
  <si>
    <t>パルプ・紙</t>
  </si>
  <si>
    <t>西日本フィナンシャルホールディングス</t>
  </si>
  <si>
    <t>銀行業</t>
  </si>
  <si>
    <t>エクセディ</t>
  </si>
  <si>
    <t>輸送用機器</t>
  </si>
  <si>
    <t>コーエーテクモホールディングス</t>
  </si>
  <si>
    <t>レーザーテック</t>
  </si>
  <si>
    <t>電気機器</t>
  </si>
  <si>
    <t>三菱瓦斯化学</t>
  </si>
  <si>
    <t>その他製品</t>
  </si>
  <si>
    <t>ダイセル</t>
  </si>
  <si>
    <t>日清紡ホールディングス</t>
  </si>
  <si>
    <t>東海理化電機製作所</t>
  </si>
  <si>
    <t>ジェイ　エフ　イー　ホールディングス</t>
  </si>
  <si>
    <t>鉄鋼</t>
  </si>
  <si>
    <t>ニコン</t>
  </si>
  <si>
    <t>精密機器</t>
  </si>
  <si>
    <t>ほくほくフィナンシャルグループ</t>
  </si>
  <si>
    <t>小売業</t>
  </si>
  <si>
    <t>日本たばこ産業</t>
  </si>
  <si>
    <t>食料品</t>
  </si>
  <si>
    <t>宇部興産</t>
  </si>
  <si>
    <t>日本テレビホールディングス</t>
  </si>
  <si>
    <t>ＩＨＩ</t>
  </si>
  <si>
    <t>機械</t>
  </si>
  <si>
    <t>イズミ</t>
  </si>
  <si>
    <t>めぶきフィナンシャルグループ</t>
  </si>
  <si>
    <t>卸売業</t>
  </si>
  <si>
    <t>りそなホールディングス</t>
  </si>
  <si>
    <t>住友林業</t>
  </si>
  <si>
    <t>良品計画</t>
  </si>
  <si>
    <t>日産自動車</t>
  </si>
  <si>
    <t>パナソニック</t>
  </si>
  <si>
    <t>ニチアス</t>
  </si>
  <si>
    <t>ガラス・土石製品</t>
  </si>
  <si>
    <t>シチズン時計</t>
  </si>
  <si>
    <t>椿本チエイン</t>
  </si>
  <si>
    <t>小松製作所</t>
  </si>
  <si>
    <t>保険業</t>
  </si>
  <si>
    <t>神戸製鋼所</t>
  </si>
  <si>
    <t>マキタ</t>
  </si>
  <si>
    <t>五洋建設</t>
  </si>
  <si>
    <t>サンドラッグ</t>
  </si>
  <si>
    <t>戸田建設</t>
  </si>
  <si>
    <t>スタンレー電気</t>
  </si>
  <si>
    <t>飯田グループホールディングス</t>
  </si>
  <si>
    <t>不動産業</t>
  </si>
  <si>
    <t>日本発條</t>
  </si>
  <si>
    <t>金属製品</t>
  </si>
  <si>
    <t>日本製鉄</t>
  </si>
  <si>
    <t>日野自動車</t>
  </si>
  <si>
    <t>証券、商品先物取引業</t>
  </si>
  <si>
    <t>住友化学</t>
  </si>
  <si>
    <t>本田技研工業</t>
  </si>
  <si>
    <t>八十二銀行</t>
  </si>
  <si>
    <t>伊予銀行</t>
  </si>
  <si>
    <t>ジョイフル本田</t>
  </si>
  <si>
    <t>西武ホールディングス</t>
  </si>
  <si>
    <t>陸運業</t>
  </si>
  <si>
    <t>日本郵政</t>
  </si>
  <si>
    <t>サービス業</t>
  </si>
  <si>
    <t>エイチ・ツー・オー　リテイリング</t>
  </si>
  <si>
    <t>みずほフィナンシャルグループ</t>
  </si>
  <si>
    <t>西松建設</t>
  </si>
  <si>
    <t>デンカ</t>
  </si>
  <si>
    <t>イビデン</t>
  </si>
  <si>
    <t>アドバンテスト</t>
  </si>
  <si>
    <t>安川電機</t>
  </si>
  <si>
    <t>オムロン</t>
  </si>
  <si>
    <t>パイロットコーポレーション</t>
  </si>
  <si>
    <t>クラレ</t>
  </si>
  <si>
    <t>ＦＵＪＩ</t>
  </si>
  <si>
    <t>ＴＤＫ</t>
  </si>
  <si>
    <t>七十七銀行</t>
  </si>
  <si>
    <t>北陸電力</t>
  </si>
  <si>
    <t>電気・ガス業</t>
  </si>
  <si>
    <t>トヨタ紡織</t>
  </si>
  <si>
    <t>ケーヒン</t>
  </si>
  <si>
    <t>宝ホールディングス</t>
  </si>
  <si>
    <t>ＪＸＴＧホールディングス</t>
  </si>
  <si>
    <t>石油・石炭製品</t>
  </si>
  <si>
    <t>ニッコンホールディングス</t>
  </si>
  <si>
    <t>日鉄物産</t>
  </si>
  <si>
    <t>住友ゴム工業</t>
  </si>
  <si>
    <t>ゴム製品</t>
  </si>
  <si>
    <t>電源開発</t>
  </si>
  <si>
    <t>ＡＧＣ</t>
  </si>
  <si>
    <t>日本電気硝子</t>
  </si>
  <si>
    <t>日揮</t>
  </si>
  <si>
    <t>東海カーボン</t>
  </si>
  <si>
    <t>住友電気工業</t>
  </si>
  <si>
    <t>非鉄金属</t>
  </si>
  <si>
    <t>日本ペイントホールディングス</t>
  </si>
  <si>
    <t>ジェイテクト</t>
  </si>
  <si>
    <t>きんでん</t>
  </si>
  <si>
    <t>ゆうちょ銀行</t>
  </si>
  <si>
    <t>いすゞ自動車</t>
  </si>
  <si>
    <t>ＤＩＣ</t>
  </si>
  <si>
    <t>ＮＴＮ</t>
  </si>
  <si>
    <t>阪和興業</t>
  </si>
  <si>
    <t>あい　ホールディングス</t>
  </si>
  <si>
    <t>三菱ケミカルホールディングス</t>
  </si>
  <si>
    <t>Ｔ＆Ｄホールディングス</t>
  </si>
  <si>
    <t>三井住友フィナンシャルグループ</t>
  </si>
  <si>
    <t>キヤノン</t>
  </si>
  <si>
    <t>大正製薬ホールディングス</t>
  </si>
  <si>
    <t>医薬品</t>
  </si>
  <si>
    <t>かんぽ生命保険</t>
  </si>
  <si>
    <t>カルビー</t>
  </si>
  <si>
    <t>日本精工</t>
  </si>
  <si>
    <t>日東電工</t>
  </si>
  <si>
    <t>東洋インキＳＣホールディングス</t>
  </si>
  <si>
    <t>マルハニチロ</t>
  </si>
  <si>
    <t>水産・農林業</t>
  </si>
  <si>
    <t>久光製薬</t>
  </si>
  <si>
    <t>平和堂</t>
  </si>
  <si>
    <t>第四北越フィナンシャルグループ</t>
  </si>
  <si>
    <t>マツダ</t>
  </si>
  <si>
    <t>九州フィナンシャルグループ</t>
  </si>
  <si>
    <t>塩野義製薬</t>
  </si>
  <si>
    <t>川崎重工業</t>
  </si>
  <si>
    <t>コニカミノルタ</t>
  </si>
  <si>
    <t>出光興産</t>
  </si>
  <si>
    <t>三菱商事</t>
  </si>
  <si>
    <t>ＴＨＫ</t>
  </si>
  <si>
    <t>堀場製作所</t>
  </si>
  <si>
    <t>丸一鋼管</t>
  </si>
  <si>
    <t>日本触媒</t>
  </si>
  <si>
    <t>ワコールホールディングス</t>
  </si>
  <si>
    <t>繊維製品</t>
  </si>
  <si>
    <t>ジーエス・ユアサ　コーポレーション</t>
  </si>
  <si>
    <t>アルフレッサ　ホールディングス</t>
  </si>
  <si>
    <t>九電工</t>
  </si>
  <si>
    <t>三菱鉛筆</t>
  </si>
  <si>
    <t>エイチ・アイ・エス</t>
  </si>
  <si>
    <t>太平洋セメント</t>
  </si>
  <si>
    <t>あおぞら銀行</t>
  </si>
  <si>
    <t>三菱ＵＦＪフィナンシャル・グループ</t>
  </si>
  <si>
    <t>東北電力</t>
  </si>
  <si>
    <t>四国電力</t>
  </si>
  <si>
    <t>東京瓦斯</t>
  </si>
  <si>
    <t>大阪瓦斯</t>
  </si>
  <si>
    <t>クミアイ化学工業</t>
  </si>
  <si>
    <t>4/2/10</t>
  </si>
  <si>
    <t>銘柄コード１</t>
    <phoneticPr fontId="1" type="noConversion"/>
  </si>
  <si>
    <t>決済</t>
    <phoneticPr fontId="1" type="noConversion"/>
  </si>
  <si>
    <t>現物</t>
    <phoneticPr fontId="1" type="noConversion"/>
  </si>
  <si>
    <t>選択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</si>
  <si>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</si>
  <si>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</si>
  <si>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</si>
  <si>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</si>
  <si>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</si>
  <si>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</si>
  <si>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</si>
  <si>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</si>
  <si>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</si>
  <si>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</si>
  <si>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</si>
  <si>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</si>
  <si>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現物</t>
    <phoneticPr fontId="1" type="noConversion"/>
  </si>
  <si>
    <t>制度信用</t>
  </si>
  <si>
    <t>制度</t>
  </si>
  <si>
    <t>制度</t>
    <phoneticPr fontId="1" type="noConversion"/>
  </si>
  <si>
    <t>制度</t>
    <phoneticPr fontId="1" type="noConversion"/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</si>
  <si>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</si>
  <si>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</si>
  <si>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</si>
  <si>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</si>
  <si>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</si>
  <si>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</si>
  <si>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</si>
  <si>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</si>
  <si>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</si>
  <si>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</si>
  <si>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</si>
  <si>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</si>
  <si>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</si>
  <si>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</si>
  <si>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</si>
  <si>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</si>
  <si>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</si>
  <si>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</si>
  <si>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</si>
  <si>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</si>
  <si>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</si>
  <si>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</si>
  <si>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</si>
  <si>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</si>
  <si>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</si>
  <si>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</si>
  <si>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</si>
  <si>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</si>
  <si>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</si>
  <si>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</si>
  <si>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</si>
  <si>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</si>
  <si>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</si>
  <si>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</si>
  <si>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</si>
  <si>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</si>
  <si>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</si>
  <si>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</si>
  <si>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</si>
  <si>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</si>
  <si>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</si>
  <si>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</si>
  <si>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</si>
  <si>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</si>
  <si>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</si>
  <si>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</si>
  <si>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</si>
  <si>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</si>
  <si>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</si>
  <si>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</si>
  <si>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</si>
  <si>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</si>
  <si>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</si>
  <si>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</si>
  <si>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</si>
  <si>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</si>
  <si>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</si>
  <si>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</si>
  <si>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</si>
  <si>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</si>
  <si>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</si>
  <si>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</si>
  <si>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</si>
  <si>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</si>
  <si>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</si>
  <si>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</si>
  <si>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</si>
  <si>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</si>
  <si>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</si>
  <si>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</si>
  <si>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買方金利</t>
  </si>
  <si>
    <t>（年率）</t>
  </si>
  <si>
    <t>通常</t>
  </si>
  <si>
    <t>：2.80％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</si>
  <si>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</si>
  <si>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</si>
  <si>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</si>
  <si>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</si>
  <si>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</si>
  <si>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</si>
  <si>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</si>
  <si>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</si>
  <si>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</si>
  <si>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</si>
  <si>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</si>
  <si>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</si>
  <si>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</si>
  <si>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</si>
  <si>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</si>
  <si>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</si>
  <si>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</si>
  <si>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</si>
  <si>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</si>
  <si>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</si>
  <si>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</si>
  <si>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</si>
  <si>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</si>
  <si>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</si>
  <si>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</si>
  <si>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</si>
  <si>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</si>
  <si>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</si>
  <si>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</si>
  <si>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</si>
  <si>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</si>
  <si>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</si>
  <si>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</si>
  <si>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</si>
  <si>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r>
      <t xml:space="preserve">OVRE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</si>
  <si>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</si>
  <si>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</si>
  <si>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</si>
  <si>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</si>
  <si>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</si>
  <si>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</si>
  <si>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</si>
  <si>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</si>
  <si>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DATE</t>
  </si>
  <si>
    <t>saya_divide</t>
  </si>
  <si>
    <t>saya_divide_mean</t>
  </si>
  <si>
    <t>saya_divide_std</t>
  </si>
  <si>
    <t>saya_divide_sigma</t>
  </si>
  <si>
    <t>deviation_rate(%)</t>
  </si>
  <si>
    <t>RAW DATA</t>
    <phoneticPr fontId="1" type="noConversion"/>
  </si>
  <si>
    <t>+1-Sigama</t>
  </si>
  <si>
    <t>-1-Sigama</t>
  </si>
  <si>
    <t>+2-Sigama</t>
  </si>
  <si>
    <t>-2-Sigama</t>
  </si>
  <si>
    <t>STOP LOSS</t>
    <phoneticPr fontId="1" type="noConversion"/>
  </si>
  <si>
    <t>1/8/9</t>
  </si>
  <si>
    <t>1/6/9</t>
  </si>
  <si>
    <t>1/3/9</t>
  </si>
  <si>
    <t>2/2/10</t>
  </si>
  <si>
    <t>銘柄１（売り銘柄）</t>
  </si>
  <si>
    <t>銘柄２（買い銘柄）</t>
  </si>
  <si>
    <t>シグマ</t>
  </si>
  <si>
    <t>バックテスト</t>
  </si>
  <si>
    <t>相関</t>
  </si>
  <si>
    <t>Code</t>
  </si>
  <si>
    <t>Name</t>
  </si>
  <si>
    <t>業種</t>
  </si>
  <si>
    <t>Price</t>
  </si>
  <si>
    <t>Lot</t>
  </si>
  <si>
    <t>σ</t>
  </si>
  <si>
    <t>離率</t>
  </si>
  <si>
    <t>Mount1</t>
  </si>
  <si>
    <t>Mount2</t>
  </si>
  <si>
    <t>差分</t>
  </si>
  <si>
    <t>Total Profit</t>
  </si>
  <si>
    <t>Ave Profit</t>
  </si>
  <si>
    <t>Total 
Times</t>
  </si>
  <si>
    <t>Profit
Times</t>
  </si>
  <si>
    <t>ST/SP/OM</t>
  </si>
  <si>
    <t>PL</t>
  </si>
  <si>
    <t>Open
Days</t>
  </si>
  <si>
    <t>CORR
3M</t>
  </si>
  <si>
    <t>CORR
1Y</t>
  </si>
  <si>
    <t>Coint 
3M</t>
  </si>
  <si>
    <t>Coint 
1Y</t>
  </si>
  <si>
    <t>1/9/6</t>
  </si>
  <si>
    <t>3/7/8</t>
  </si>
  <si>
    <t>4/9/5</t>
  </si>
  <si>
    <t>1/6/8</t>
  </si>
  <si>
    <t>2/7/4</t>
  </si>
  <si>
    <t>2/5/2</t>
  </si>
  <si>
    <t>1/4/7</t>
  </si>
  <si>
    <t>3/5/9</t>
  </si>
  <si>
    <t>1/5/7</t>
  </si>
  <si>
    <t>2/5/3</t>
  </si>
  <si>
    <t>7/7/7</t>
  </si>
  <si>
    <t>4/5/2</t>
  </si>
  <si>
    <t>4/3/9</t>
  </si>
  <si>
    <t>4/3/8</t>
  </si>
  <si>
    <t>6/3/7</t>
  </si>
  <si>
    <t>OPEN_1942</t>
  </si>
  <si>
    <t>CLOSE_1942</t>
  </si>
  <si>
    <t>OPEN_9412</t>
  </si>
  <si>
    <t>CLOSE_9412</t>
  </si>
  <si>
    <t>1942_9412</t>
    <phoneticPr fontId="1" type="noConversion"/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</si>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</sst>
</file>

<file path=xl/styles.xml><?xml version="1.0" encoding="utf-8"?>
<styleSheet xmlns="http://schemas.openxmlformats.org/spreadsheetml/2006/main">
  <numFmts count="10">
    <numFmt numFmtId="6" formatCode="&quot;¥&quot;#,##0;[Red]\-&quot;¥&quot;#,##0"/>
    <numFmt numFmtId="176" formatCode="&quot;¥&quot;#,##0_);\(&quot;¥&quot;#,##0\)"/>
    <numFmt numFmtId="177" formatCode="yyyy/m/d;@"/>
    <numFmt numFmtId="178" formatCode="0_);\(0\)"/>
    <numFmt numFmtId="179" formatCode="0.0_ "/>
    <numFmt numFmtId="180" formatCode="0.00_ "/>
    <numFmt numFmtId="181" formatCode="0_ "/>
    <numFmt numFmtId="182" formatCode="0_);[Red]\(0\)"/>
    <numFmt numFmtId="183" formatCode="0_ ;[Red]\-0\ "/>
    <numFmt numFmtId="184" formatCode="&quot;¥&quot;#,##0"/>
  </numFmts>
  <fonts count="37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sz val="11"/>
      <color rgb="FF000000"/>
      <name val="FangSong"/>
      <family val="3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sz val="11"/>
      <color rgb="FFFF0000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sz val="10"/>
      <color theme="4"/>
      <name val="FangSong"/>
      <family val="3"/>
      <charset val="134"/>
    </font>
    <font>
      <b/>
      <sz val="8"/>
      <color theme="3" tint="0.59999389629810485"/>
      <name val="Tahoma"/>
      <family val="2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0"/>
      <color theme="3" tint="0.39997558519241921"/>
      <name val="Tahoma"/>
      <family val="2"/>
    </font>
  </fonts>
  <fills count="24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2" fillId="0" borderId="0" applyNumberFormat="0" applyFill="0" applyBorder="0" applyAlignment="0" applyProtection="0">
      <alignment vertical="top"/>
      <protection locked="0"/>
    </xf>
  </cellStyleXfs>
  <cellXfs count="233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3" borderId="1" xfId="0" applyFont="1" applyFill="1" applyBorder="1"/>
    <xf numFmtId="14" fontId="2" fillId="0" borderId="1" xfId="0" applyNumberFormat="1" applyFont="1" applyBorder="1"/>
    <xf numFmtId="0" fontId="0" fillId="5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6" borderId="3" xfId="0" applyFill="1" applyBorder="1"/>
    <xf numFmtId="0" fontId="0" fillId="0" borderId="0" xfId="0" applyBorder="1"/>
    <xf numFmtId="176" fontId="0" fillId="0" borderId="1" xfId="0" applyNumberFormat="1" applyBorder="1"/>
    <xf numFmtId="0" fontId="0" fillId="0" borderId="4" xfId="0" applyBorder="1"/>
    <xf numFmtId="0" fontId="2" fillId="2" borderId="0" xfId="0" applyFont="1" applyFill="1"/>
    <xf numFmtId="0" fontId="2" fillId="8" borderId="0" xfId="0" applyFont="1" applyFill="1"/>
    <xf numFmtId="0" fontId="2" fillId="8" borderId="1" xfId="0" applyFont="1" applyFill="1" applyBorder="1"/>
    <xf numFmtId="14" fontId="0" fillId="2" borderId="1" xfId="0" applyNumberFormat="1" applyFill="1" applyBorder="1"/>
    <xf numFmtId="0" fontId="0" fillId="2" borderId="1" xfId="0" applyFill="1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5" fillId="0" borderId="0" xfId="0" applyFont="1"/>
    <xf numFmtId="0" fontId="0" fillId="0" borderId="0" xfId="0" applyAlignment="1">
      <alignment vertical="center"/>
    </xf>
    <xf numFmtId="0" fontId="0" fillId="14" borderId="1" xfId="0" applyFill="1" applyBorder="1"/>
    <xf numFmtId="0" fontId="0" fillId="15" borderId="1" xfId="0" applyFill="1" applyBorder="1"/>
    <xf numFmtId="181" fontId="0" fillId="15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79" fontId="0" fillId="15" borderId="1" xfId="0" applyNumberFormat="1" applyFill="1" applyBorder="1"/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/>
    </xf>
    <xf numFmtId="0" fontId="10" fillId="0" borderId="0" xfId="0" applyFont="1"/>
    <xf numFmtId="0" fontId="11" fillId="0" borderId="0" xfId="0" applyFont="1"/>
    <xf numFmtId="0" fontId="16" fillId="4" borderId="6" xfId="0" applyFont="1" applyFill="1" applyBorder="1" applyAlignment="1">
      <alignment horizontal="center"/>
    </xf>
    <xf numFmtId="178" fontId="16" fillId="4" borderId="6" xfId="0" applyNumberFormat="1" applyFont="1" applyFill="1" applyBorder="1" applyAlignment="1">
      <alignment horizontal="center" vertical="center"/>
    </xf>
    <xf numFmtId="0" fontId="10" fillId="4" borderId="6" xfId="0" applyFont="1" applyFill="1" applyBorder="1" applyAlignment="1">
      <alignment horizontal="center" vertical="center"/>
    </xf>
    <xf numFmtId="0" fontId="16" fillId="4" borderId="6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/>
    </xf>
    <xf numFmtId="178" fontId="16" fillId="10" borderId="1" xfId="0" applyNumberFormat="1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/>
    </xf>
    <xf numFmtId="178" fontId="16" fillId="4" borderId="1" xfId="0" applyNumberFormat="1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10" fillId="4" borderId="6" xfId="0" applyFont="1" applyFill="1" applyBorder="1" applyAlignment="1">
      <alignment horizontal="center"/>
    </xf>
    <xf numFmtId="0" fontId="10" fillId="10" borderId="1" xfId="0" applyFont="1" applyFill="1" applyBorder="1" applyAlignment="1">
      <alignment horizontal="center"/>
    </xf>
    <xf numFmtId="0" fontId="10" fillId="4" borderId="1" xfId="0" applyFont="1" applyFill="1" applyBorder="1" applyAlignment="1">
      <alignment horizontal="center"/>
    </xf>
    <xf numFmtId="179" fontId="16" fillId="4" borderId="6" xfId="0" applyNumberFormat="1" applyFont="1" applyFill="1" applyBorder="1" applyAlignment="1">
      <alignment horizontal="center"/>
    </xf>
    <xf numFmtId="179" fontId="16" fillId="10" borderId="1" xfId="0" applyNumberFormat="1" applyFont="1" applyFill="1" applyBorder="1" applyAlignment="1">
      <alignment horizontal="center"/>
    </xf>
    <xf numFmtId="179" fontId="16" fillId="4" borderId="1" xfId="0" applyNumberFormat="1" applyFont="1" applyFill="1" applyBorder="1" applyAlignment="1">
      <alignment horizontal="center"/>
    </xf>
    <xf numFmtId="180" fontId="16" fillId="4" borderId="6" xfId="0" applyNumberFormat="1" applyFont="1" applyFill="1" applyBorder="1" applyAlignment="1">
      <alignment horizontal="center"/>
    </xf>
    <xf numFmtId="6" fontId="16" fillId="4" borderId="6" xfId="0" applyNumberFormat="1" applyFont="1" applyFill="1" applyBorder="1" applyAlignment="1">
      <alignment horizontal="center"/>
    </xf>
    <xf numFmtId="10" fontId="16" fillId="4" borderId="6" xfId="0" applyNumberFormat="1" applyFont="1" applyFill="1" applyBorder="1" applyAlignment="1">
      <alignment horizontal="center"/>
    </xf>
    <xf numFmtId="180" fontId="16" fillId="10" borderId="1" xfId="0" applyNumberFormat="1" applyFont="1" applyFill="1" applyBorder="1" applyAlignment="1">
      <alignment horizontal="center"/>
    </xf>
    <xf numFmtId="6" fontId="16" fillId="10" borderId="1" xfId="0" applyNumberFormat="1" applyFont="1" applyFill="1" applyBorder="1" applyAlignment="1">
      <alignment horizontal="center"/>
    </xf>
    <xf numFmtId="10" fontId="16" fillId="10" borderId="1" xfId="0" applyNumberFormat="1" applyFont="1" applyFill="1" applyBorder="1" applyAlignment="1">
      <alignment horizontal="center"/>
    </xf>
    <xf numFmtId="180" fontId="16" fillId="4" borderId="1" xfId="0" applyNumberFormat="1" applyFont="1" applyFill="1" applyBorder="1" applyAlignment="1">
      <alignment horizontal="center"/>
    </xf>
    <xf numFmtId="6" fontId="16" fillId="4" borderId="1" xfId="0" applyNumberFormat="1" applyFont="1" applyFill="1" applyBorder="1" applyAlignment="1">
      <alignment horizontal="center"/>
    </xf>
    <xf numFmtId="10" fontId="16" fillId="4" borderId="1" xfId="0" applyNumberFormat="1" applyFont="1" applyFill="1" applyBorder="1" applyAlignment="1">
      <alignment horizontal="center"/>
    </xf>
    <xf numFmtId="0" fontId="17" fillId="4" borderId="6" xfId="0" applyFont="1" applyFill="1" applyBorder="1" applyAlignment="1">
      <alignment horizontal="center" shrinkToFit="1"/>
    </xf>
    <xf numFmtId="0" fontId="10" fillId="4" borderId="6" xfId="0" applyFont="1" applyFill="1" applyBorder="1" applyAlignment="1">
      <alignment horizontal="left" shrinkToFit="1"/>
    </xf>
    <xf numFmtId="0" fontId="17" fillId="10" borderId="6" xfId="0" applyFont="1" applyFill="1" applyBorder="1" applyAlignment="1">
      <alignment horizontal="left" shrinkToFit="1"/>
    </xf>
    <xf numFmtId="0" fontId="17" fillId="4" borderId="6" xfId="0" applyFont="1" applyFill="1" applyBorder="1" applyAlignment="1">
      <alignment horizontal="left" shrinkToFit="1"/>
    </xf>
    <xf numFmtId="0" fontId="18" fillId="0" borderId="0" xfId="0" applyFont="1"/>
    <xf numFmtId="0" fontId="22" fillId="0" borderId="0" xfId="0" applyFont="1"/>
    <xf numFmtId="0" fontId="13" fillId="9" borderId="13" xfId="0" applyFont="1" applyFill="1" applyBorder="1" applyAlignment="1">
      <alignment horizontal="center" vertical="center"/>
    </xf>
    <xf numFmtId="0" fontId="14" fillId="9" borderId="15" xfId="0" applyFont="1" applyFill="1" applyBorder="1" applyAlignment="1">
      <alignment horizontal="center"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15" xfId="0" applyFont="1" applyFill="1" applyBorder="1" applyAlignment="1">
      <alignment horizontal="center" vertical="center"/>
    </xf>
    <xf numFmtId="0" fontId="14" fillId="9" borderId="16" xfId="0" applyFont="1" applyFill="1" applyBorder="1" applyAlignment="1">
      <alignment horizontal="center" vertical="center"/>
    </xf>
    <xf numFmtId="0" fontId="15" fillId="9" borderId="16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5" fillId="9" borderId="17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 wrapText="1"/>
    </xf>
    <xf numFmtId="0" fontId="14" fillId="9" borderId="15" xfId="0" applyFont="1" applyFill="1" applyBorder="1" applyAlignment="1">
      <alignment horizontal="center" vertical="center" wrapText="1"/>
    </xf>
    <xf numFmtId="0" fontId="23" fillId="0" borderId="0" xfId="0" applyFont="1" applyAlignment="1">
      <alignment horizontal="left" wrapText="1" indent="1"/>
    </xf>
    <xf numFmtId="0" fontId="25" fillId="0" borderId="21" xfId="0" applyFont="1" applyBorder="1" applyAlignment="1">
      <alignment horizontal="left" wrapText="1"/>
    </xf>
    <xf numFmtId="0" fontId="24" fillId="16" borderId="22" xfId="0" applyFont="1" applyFill="1" applyBorder="1" applyAlignment="1">
      <alignment horizontal="center" vertical="center" wrapText="1"/>
    </xf>
    <xf numFmtId="0" fontId="24" fillId="16" borderId="23" xfId="0" applyFont="1" applyFill="1" applyBorder="1" applyAlignment="1">
      <alignment horizontal="center" vertical="center" wrapText="1"/>
    </xf>
    <xf numFmtId="0" fontId="23" fillId="17" borderId="24" xfId="0" applyFont="1" applyFill="1" applyBorder="1" applyAlignment="1">
      <alignment horizontal="left" wrapText="1"/>
    </xf>
    <xf numFmtId="0" fontId="23" fillId="15" borderId="24" xfId="0" applyFont="1" applyFill="1" applyBorder="1" applyAlignment="1">
      <alignment horizontal="left" wrapText="1"/>
    </xf>
    <xf numFmtId="0" fontId="25" fillId="15" borderId="21" xfId="0" applyFont="1" applyFill="1" applyBorder="1" applyAlignment="1">
      <alignment horizontal="left" wrapText="1"/>
    </xf>
    <xf numFmtId="0" fontId="23" fillId="18" borderId="24" xfId="0" applyFont="1" applyFill="1" applyBorder="1" applyAlignment="1">
      <alignment horizontal="left" wrapText="1"/>
    </xf>
    <xf numFmtId="0" fontId="25" fillId="18" borderId="21" xfId="0" applyFont="1" applyFill="1" applyBorder="1" applyAlignment="1">
      <alignment horizontal="left" wrapText="1"/>
    </xf>
    <xf numFmtId="0" fontId="26" fillId="0" borderId="0" xfId="0" applyFont="1"/>
    <xf numFmtId="0" fontId="25" fillId="0" borderId="25" xfId="0" applyFont="1" applyBorder="1" applyAlignment="1">
      <alignment horizontal="left" vertical="center" wrapText="1"/>
    </xf>
    <xf numFmtId="0" fontId="23" fillId="17" borderId="26" xfId="0" applyFont="1" applyFill="1" applyBorder="1" applyAlignment="1">
      <alignment horizontal="left" wrapText="1"/>
    </xf>
    <xf numFmtId="0" fontId="27" fillId="21" borderId="21" xfId="0" applyFont="1" applyFill="1" applyBorder="1" applyAlignment="1">
      <alignment horizontal="left" vertical="center" wrapText="1"/>
    </xf>
    <xf numFmtId="0" fontId="27" fillId="19" borderId="21" xfId="0" applyFont="1" applyFill="1" applyBorder="1" applyAlignment="1">
      <alignment horizontal="left" vertical="center" wrapText="1"/>
    </xf>
    <xf numFmtId="0" fontId="27" fillId="20" borderId="21" xfId="0" applyFont="1" applyFill="1" applyBorder="1" applyAlignment="1">
      <alignment horizontal="left" vertical="center" wrapText="1"/>
    </xf>
    <xf numFmtId="0" fontId="27" fillId="22" borderId="21" xfId="0" applyFont="1" applyFill="1" applyBorder="1" applyAlignment="1">
      <alignment horizontal="left" vertical="center" wrapText="1"/>
    </xf>
    <xf numFmtId="0" fontId="25" fillId="0" borderId="21" xfId="0" applyFont="1" applyBorder="1" applyAlignment="1">
      <alignment horizontal="left" vertical="center" wrapText="1"/>
    </xf>
    <xf numFmtId="0" fontId="0" fillId="0" borderId="32" xfId="0" applyBorder="1"/>
    <xf numFmtId="0" fontId="27" fillId="16" borderId="24" xfId="0" applyFont="1" applyFill="1" applyBorder="1" applyAlignment="1">
      <alignment horizontal="left" vertical="center" wrapText="1"/>
    </xf>
    <xf numFmtId="0" fontId="25" fillId="23" borderId="24" xfId="0" applyFont="1" applyFill="1" applyBorder="1" applyAlignment="1">
      <alignment horizontal="left" vertical="center" wrapText="1"/>
    </xf>
    <xf numFmtId="0" fontId="25" fillId="23" borderId="26" xfId="0" applyFont="1" applyFill="1" applyBorder="1" applyAlignment="1">
      <alignment horizontal="left" vertical="center" wrapText="1"/>
    </xf>
    <xf numFmtId="0" fontId="25" fillId="15" borderId="25" xfId="0" applyFont="1" applyFill="1" applyBorder="1" applyAlignment="1">
      <alignment horizontal="left" vertical="center" wrapText="1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center" vertical="center"/>
    </xf>
    <xf numFmtId="10" fontId="21" fillId="0" borderId="20" xfId="0" applyNumberFormat="1" applyFont="1" applyBorder="1"/>
    <xf numFmtId="0" fontId="15" fillId="9" borderId="15" xfId="0" applyFont="1" applyFill="1" applyBorder="1" applyAlignment="1">
      <alignment horizontal="center" vertical="center" wrapText="1"/>
    </xf>
    <xf numFmtId="0" fontId="30" fillId="10" borderId="1" xfId="0" applyFont="1" applyFill="1" applyBorder="1" applyAlignment="1">
      <alignment horizontal="center"/>
    </xf>
    <xf numFmtId="6" fontId="31" fillId="0" borderId="13" xfId="0" applyNumberFormat="1" applyFont="1" applyBorder="1"/>
    <xf numFmtId="184" fontId="21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21" fillId="0" borderId="38" xfId="0" applyFont="1" applyBorder="1"/>
    <xf numFmtId="0" fontId="0" fillId="0" borderId="38" xfId="0" applyBorder="1"/>
    <xf numFmtId="0" fontId="16" fillId="10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9" fillId="12" borderId="11" xfId="0" applyFont="1" applyFill="1" applyBorder="1" applyAlignment="1">
      <alignment horizontal="center" vertical="center" wrapText="1"/>
    </xf>
    <xf numFmtId="0" fontId="3" fillId="11" borderId="10" xfId="0" applyFont="1" applyFill="1" applyBorder="1" applyAlignment="1">
      <alignment horizontal="center" vertical="center"/>
    </xf>
    <xf numFmtId="0" fontId="7" fillId="7" borderId="10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6" fillId="5" borderId="7" xfId="0" applyFont="1" applyFill="1" applyBorder="1" applyAlignment="1">
      <alignment horizontal="center"/>
    </xf>
    <xf numFmtId="0" fontId="8" fillId="5" borderId="8" xfId="0" applyFont="1" applyFill="1" applyBorder="1" applyAlignment="1">
      <alignment horizontal="center" vertical="center" wrapText="1"/>
    </xf>
    <xf numFmtId="0" fontId="8" fillId="5" borderId="9" xfId="0" applyFont="1" applyFill="1" applyBorder="1" applyAlignment="1">
      <alignment horizontal="center" vertical="center" wrapText="1"/>
    </xf>
    <xf numFmtId="0" fontId="7" fillId="7" borderId="11" xfId="0" applyFont="1" applyFill="1" applyBorder="1" applyAlignment="1">
      <alignment horizontal="center" vertical="center"/>
    </xf>
    <xf numFmtId="0" fontId="7" fillId="7" borderId="12" xfId="0" applyFont="1" applyFill="1" applyBorder="1" applyAlignment="1">
      <alignment horizontal="center" vertical="center" wrapText="1"/>
    </xf>
    <xf numFmtId="0" fontId="7" fillId="13" borderId="10" xfId="0" applyFont="1" applyFill="1" applyBorder="1" applyAlignment="1">
      <alignment horizontal="center" vertical="center"/>
    </xf>
    <xf numFmtId="0" fontId="7" fillId="13" borderId="11" xfId="0" applyFont="1" applyFill="1" applyBorder="1" applyAlignment="1">
      <alignment horizontal="center" vertical="center"/>
    </xf>
    <xf numFmtId="0" fontId="7" fillId="13" borderId="12" xfId="0" applyFont="1" applyFill="1" applyBorder="1" applyAlignment="1">
      <alignment horizontal="center" vertical="center" wrapText="1"/>
    </xf>
    <xf numFmtId="0" fontId="7" fillId="12" borderId="10" xfId="0" applyFont="1" applyFill="1" applyBorder="1" applyAlignment="1">
      <alignment horizontal="center" vertical="center" wrapText="1"/>
    </xf>
    <xf numFmtId="0" fontId="7" fillId="12" borderId="11" xfId="0" applyFont="1" applyFill="1" applyBorder="1" applyAlignment="1">
      <alignment horizontal="center" vertical="center" wrapText="1"/>
    </xf>
    <xf numFmtId="0" fontId="7" fillId="12" borderId="12" xfId="0" applyFont="1" applyFill="1" applyBorder="1" applyAlignment="1">
      <alignment horizontal="center" vertical="center" wrapText="1"/>
    </xf>
    <xf numFmtId="0" fontId="8" fillId="5" borderId="10" xfId="0" applyFont="1" applyFill="1" applyBorder="1" applyAlignment="1">
      <alignment horizontal="center" vertical="center" wrapText="1"/>
    </xf>
    <xf numFmtId="0" fontId="8" fillId="5" borderId="11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center" vertical="center"/>
    </xf>
    <xf numFmtId="0" fontId="32" fillId="0" borderId="0" xfId="1" applyAlignment="1" applyProtection="1"/>
    <xf numFmtId="0" fontId="7" fillId="11" borderId="11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 wrapText="1"/>
    </xf>
    <xf numFmtId="183" fontId="21" fillId="0" borderId="19" xfId="0" applyNumberFormat="1" applyFont="1" applyBorder="1"/>
    <xf numFmtId="0" fontId="11" fillId="10" borderId="1" xfId="0" applyFont="1" applyFill="1" applyBorder="1" applyAlignment="1">
      <alignment horizontal="center" vertical="center"/>
    </xf>
    <xf numFmtId="0" fontId="11" fillId="10" borderId="5" xfId="0" applyFont="1" applyFill="1" applyBorder="1" applyAlignment="1">
      <alignment horizontal="center" vertical="center"/>
    </xf>
    <xf numFmtId="0" fontId="11" fillId="10" borderId="6" xfId="0" applyFont="1" applyFill="1" applyBorder="1" applyAlignment="1">
      <alignment horizontal="center" vertical="center"/>
    </xf>
    <xf numFmtId="183" fontId="16" fillId="10" borderId="1" xfId="0" applyNumberFormat="1" applyFont="1" applyFill="1" applyBorder="1" applyAlignment="1">
      <alignment horizontal="center" vertical="center"/>
    </xf>
    <xf numFmtId="10" fontId="16" fillId="10" borderId="1" xfId="0" applyNumberFormat="1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14" fontId="11" fillId="10" borderId="1" xfId="0" applyNumberFormat="1" applyFont="1" applyFill="1" applyBorder="1" applyAlignment="1">
      <alignment horizontal="center" vertical="center"/>
    </xf>
    <xf numFmtId="177" fontId="16" fillId="10" borderId="14" xfId="0" applyNumberFormat="1" applyFont="1" applyFill="1" applyBorder="1" applyAlignment="1">
      <alignment horizontal="left" vertical="center"/>
    </xf>
    <xf numFmtId="177" fontId="16" fillId="10" borderId="6" xfId="0" applyNumberFormat="1" applyFont="1" applyFill="1" applyBorder="1" applyAlignment="1">
      <alignment horizontal="left" vertical="center"/>
    </xf>
    <xf numFmtId="14" fontId="20" fillId="0" borderId="0" xfId="0" applyNumberFormat="1" applyFont="1" applyAlignment="1">
      <alignment horizontal="left"/>
    </xf>
    <xf numFmtId="0" fontId="20" fillId="0" borderId="0" xfId="0" applyFont="1" applyAlignment="1">
      <alignment horizontal="left"/>
    </xf>
    <xf numFmtId="0" fontId="11" fillId="10" borderId="14" xfId="0" applyFont="1" applyFill="1" applyBorder="1" applyAlignment="1">
      <alignment horizontal="center" vertical="center"/>
    </xf>
    <xf numFmtId="183" fontId="16" fillId="10" borderId="6" xfId="0" applyNumberFormat="1" applyFont="1" applyFill="1" applyBorder="1" applyAlignment="1">
      <alignment horizontal="center" vertical="center"/>
    </xf>
    <xf numFmtId="10" fontId="16" fillId="10" borderId="6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/>
    </xf>
    <xf numFmtId="182" fontId="28" fillId="10" borderId="18" xfId="0" applyNumberFormat="1" applyFont="1" applyFill="1" applyBorder="1" applyAlignment="1">
      <alignment horizontal="center" vertical="center"/>
    </xf>
    <xf numFmtId="182" fontId="28" fillId="10" borderId="14" xfId="0" applyNumberFormat="1" applyFont="1" applyFill="1" applyBorder="1" applyAlignment="1">
      <alignment horizontal="center" vertical="center"/>
    </xf>
    <xf numFmtId="182" fontId="28" fillId="10" borderId="1" xfId="0" applyNumberFormat="1" applyFont="1" applyFill="1" applyBorder="1" applyAlignment="1">
      <alignment horizontal="center" vertical="center"/>
    </xf>
    <xf numFmtId="177" fontId="16" fillId="10" borderId="5" xfId="0" applyNumberFormat="1" applyFont="1" applyFill="1" applyBorder="1" applyAlignment="1">
      <alignment horizontal="center" vertical="center"/>
    </xf>
    <xf numFmtId="177" fontId="16" fillId="10" borderId="6" xfId="0" applyNumberFormat="1" applyFont="1" applyFill="1" applyBorder="1" applyAlignment="1">
      <alignment horizontal="center" vertical="center"/>
    </xf>
    <xf numFmtId="14" fontId="11" fillId="10" borderId="6" xfId="0" applyNumberFormat="1" applyFont="1" applyFill="1" applyBorder="1" applyAlignment="1">
      <alignment horizontal="center" vertical="center"/>
    </xf>
    <xf numFmtId="182" fontId="16" fillId="10" borderId="18" xfId="0" applyNumberFormat="1" applyFont="1" applyFill="1" applyBorder="1" applyAlignment="1">
      <alignment horizontal="center" vertical="center"/>
    </xf>
    <xf numFmtId="182" fontId="16" fillId="10" borderId="14" xfId="0" applyNumberFormat="1" applyFont="1" applyFill="1" applyBorder="1" applyAlignment="1">
      <alignment horizontal="center" vertical="center"/>
    </xf>
    <xf numFmtId="0" fontId="16" fillId="10" borderId="6" xfId="0" applyFont="1" applyFill="1" applyBorder="1" applyAlignment="1">
      <alignment horizontal="center" vertical="center"/>
    </xf>
    <xf numFmtId="14" fontId="16" fillId="10" borderId="1" xfId="0" applyNumberFormat="1" applyFont="1" applyFill="1" applyBorder="1" applyAlignment="1">
      <alignment horizontal="center" vertical="center"/>
    </xf>
    <xf numFmtId="182" fontId="16" fillId="10" borderId="1" xfId="0" applyNumberFormat="1" applyFont="1" applyFill="1" applyBorder="1" applyAlignment="1">
      <alignment horizontal="center" vertical="center"/>
    </xf>
    <xf numFmtId="177" fontId="16" fillId="10" borderId="18" xfId="0" applyNumberFormat="1" applyFont="1" applyFill="1" applyBorder="1" applyAlignment="1">
      <alignment horizontal="center" vertical="center"/>
    </xf>
    <xf numFmtId="177" fontId="16" fillId="10" borderId="14" xfId="0" applyNumberFormat="1" applyFont="1" applyFill="1" applyBorder="1" applyAlignment="1">
      <alignment horizontal="center" vertical="center"/>
    </xf>
    <xf numFmtId="0" fontId="16" fillId="10" borderId="5" xfId="0" applyFont="1" applyFill="1" applyBorder="1" applyAlignment="1">
      <alignment horizontal="center" vertical="center"/>
    </xf>
    <xf numFmtId="14" fontId="16" fillId="10" borderId="18" xfId="0" applyNumberFormat="1" applyFont="1" applyFill="1" applyBorder="1" applyAlignment="1">
      <alignment horizontal="center" vertical="center"/>
    </xf>
    <xf numFmtId="14" fontId="16" fillId="10" borderId="14" xfId="0" applyNumberFormat="1" applyFont="1" applyFill="1" applyBorder="1" applyAlignment="1">
      <alignment horizontal="center" vertical="center"/>
    </xf>
    <xf numFmtId="182" fontId="35" fillId="10" borderId="5" xfId="0" applyNumberFormat="1" applyFont="1" applyFill="1" applyBorder="1" applyAlignment="1">
      <alignment horizontal="center" vertical="center"/>
    </xf>
    <xf numFmtId="182" fontId="35" fillId="10" borderId="6" xfId="0" applyNumberFormat="1" applyFont="1" applyFill="1" applyBorder="1" applyAlignment="1">
      <alignment horizontal="center" vertical="center"/>
    </xf>
    <xf numFmtId="0" fontId="34" fillId="10" borderId="6" xfId="0" applyFont="1" applyFill="1" applyBorder="1" applyAlignment="1">
      <alignment horizontal="center" vertical="center"/>
    </xf>
    <xf numFmtId="0" fontId="34" fillId="10" borderId="1" xfId="0" applyFont="1" applyFill="1" applyBorder="1" applyAlignment="1">
      <alignment horizontal="center" vertical="center"/>
    </xf>
    <xf numFmtId="14" fontId="2" fillId="0" borderId="4" xfId="0" applyNumberFormat="1" applyFont="1" applyBorder="1" applyAlignment="1"/>
    <xf numFmtId="0" fontId="0" fillId="0" borderId="0" xfId="0" applyBorder="1" applyAlignment="1"/>
    <xf numFmtId="0" fontId="0" fillId="0" borderId="0" xfId="0" applyAlignment="1"/>
    <xf numFmtId="0" fontId="3" fillId="13" borderId="7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6" fillId="12" borderId="7" xfId="0" applyFont="1" applyFill="1" applyBorder="1" applyAlignment="1">
      <alignment horizontal="left"/>
    </xf>
    <xf numFmtId="0" fontId="3" fillId="11" borderId="7" xfId="0" applyFont="1" applyFill="1" applyBorder="1" applyAlignment="1">
      <alignment horizontal="left" vertical="center"/>
    </xf>
    <xf numFmtId="0" fontId="3" fillId="7" borderId="7" xfId="0" applyFont="1" applyFill="1" applyBorder="1" applyAlignment="1">
      <alignment horizontal="left"/>
    </xf>
    <xf numFmtId="0" fontId="2" fillId="2" borderId="0" xfId="0" applyFont="1" applyFill="1" applyAlignment="1"/>
    <xf numFmtId="0" fontId="33" fillId="0" borderId="0" xfId="0" applyFont="1" applyAlignment="1">
      <alignment horizontal="center" vertical="center"/>
    </xf>
    <xf numFmtId="0" fontId="25" fillId="0" borderId="34" xfId="0" applyFont="1" applyBorder="1" applyAlignment="1">
      <alignment horizontal="left" vertical="center" wrapText="1"/>
    </xf>
    <xf numFmtId="0" fontId="25" fillId="0" borderId="23" xfId="0" applyFont="1" applyBorder="1" applyAlignment="1">
      <alignment horizontal="left" vertical="center" wrapText="1"/>
    </xf>
    <xf numFmtId="0" fontId="25" fillId="0" borderId="31" xfId="0" applyFont="1" applyBorder="1" applyAlignment="1">
      <alignment horizontal="left" vertical="center" wrapText="1"/>
    </xf>
    <xf numFmtId="0" fontId="25" fillId="0" borderId="27" xfId="0" applyFont="1" applyBorder="1" applyAlignment="1">
      <alignment horizontal="left" vertical="center" wrapText="1"/>
    </xf>
    <xf numFmtId="0" fontId="25" fillId="0" borderId="24" xfId="0" applyFont="1" applyBorder="1" applyAlignment="1">
      <alignment horizontal="left" vertical="center" wrapText="1"/>
    </xf>
    <xf numFmtId="0" fontId="27" fillId="19" borderId="29" xfId="0" applyFont="1" applyFill="1" applyBorder="1" applyAlignment="1">
      <alignment horizontal="left" vertical="center" wrapText="1"/>
    </xf>
    <xf numFmtId="0" fontId="27" fillId="19" borderId="30" xfId="0" applyFont="1" applyFill="1" applyBorder="1" applyAlignment="1">
      <alignment horizontal="left" vertical="center" wrapText="1"/>
    </xf>
    <xf numFmtId="0" fontId="27" fillId="19" borderId="33" xfId="0" applyFont="1" applyFill="1" applyBorder="1" applyAlignment="1">
      <alignment horizontal="left" vertical="center" wrapText="1"/>
    </xf>
    <xf numFmtId="0" fontId="27" fillId="19" borderId="21" xfId="0" applyFont="1" applyFill="1" applyBorder="1" applyAlignment="1">
      <alignment horizontal="left" vertical="center" wrapText="1"/>
    </xf>
    <xf numFmtId="0" fontId="27" fillId="16" borderId="34" xfId="0" applyFont="1" applyFill="1" applyBorder="1" applyAlignment="1">
      <alignment horizontal="left" vertical="center" wrapText="1"/>
    </xf>
    <xf numFmtId="0" fontId="27" fillId="16" borderId="31" xfId="0" applyFont="1" applyFill="1" applyBorder="1" applyAlignment="1">
      <alignment horizontal="left" vertical="center" wrapText="1"/>
    </xf>
    <xf numFmtId="0" fontId="27" fillId="16" borderId="23" xfId="0" applyFont="1" applyFill="1" applyBorder="1" applyAlignment="1">
      <alignment horizontal="left" vertical="center" wrapText="1"/>
    </xf>
    <xf numFmtId="0" fontId="27" fillId="20" borderId="34" xfId="0" applyFont="1" applyFill="1" applyBorder="1" applyAlignment="1">
      <alignment horizontal="left" vertical="center" wrapText="1"/>
    </xf>
    <xf numFmtId="0" fontId="27" fillId="20" borderId="23" xfId="0" applyFont="1" applyFill="1" applyBorder="1" applyAlignment="1">
      <alignment horizontal="left" vertical="center" wrapText="1"/>
    </xf>
    <xf numFmtId="0" fontId="27" fillId="22" borderId="34" xfId="0" applyFont="1" applyFill="1" applyBorder="1" applyAlignment="1">
      <alignment horizontal="left" vertical="center" wrapText="1"/>
    </xf>
    <xf numFmtId="0" fontId="27" fillId="22" borderId="23" xfId="0" applyFont="1" applyFill="1" applyBorder="1" applyAlignment="1">
      <alignment horizontal="left" vertical="center" wrapText="1"/>
    </xf>
    <xf numFmtId="0" fontId="25" fillId="0" borderId="26" xfId="0" applyFont="1" applyBorder="1" applyAlignment="1">
      <alignment horizontal="left" vertical="center" wrapText="1"/>
    </xf>
    <xf numFmtId="10" fontId="25" fillId="15" borderId="27" xfId="0" applyNumberFormat="1" applyFont="1" applyFill="1" applyBorder="1" applyAlignment="1">
      <alignment horizontal="left" vertical="center" wrapText="1"/>
    </xf>
    <xf numFmtId="10" fontId="25" fillId="15" borderId="26" xfId="0" applyNumberFormat="1" applyFont="1" applyFill="1" applyBorder="1" applyAlignment="1">
      <alignment horizontal="left" vertical="center" wrapText="1"/>
    </xf>
    <xf numFmtId="10" fontId="25" fillId="15" borderId="24" xfId="0" applyNumberFormat="1" applyFont="1" applyFill="1" applyBorder="1" applyAlignment="1">
      <alignment horizontal="left" vertical="center" wrapText="1"/>
    </xf>
    <xf numFmtId="10" fontId="25" fillId="0" borderId="27" xfId="0" applyNumberFormat="1" applyFont="1" applyBorder="1" applyAlignment="1">
      <alignment horizontal="left" vertical="center" wrapText="1"/>
    </xf>
    <xf numFmtId="10" fontId="25" fillId="0" borderId="26" xfId="0" applyNumberFormat="1" applyFont="1" applyBorder="1" applyAlignment="1">
      <alignment horizontal="left" vertical="center" wrapText="1"/>
    </xf>
    <xf numFmtId="10" fontId="25" fillId="0" borderId="24" xfId="0" applyNumberFormat="1" applyFont="1" applyBorder="1" applyAlignment="1">
      <alignment horizontal="left" vertical="center" wrapText="1"/>
    </xf>
    <xf numFmtId="0" fontId="25" fillId="23" borderId="27" xfId="0" applyFont="1" applyFill="1" applyBorder="1" applyAlignment="1">
      <alignment horizontal="left" vertical="center" wrapText="1"/>
    </xf>
    <xf numFmtId="0" fontId="25" fillId="23" borderId="24" xfId="0" applyFont="1" applyFill="1" applyBorder="1" applyAlignment="1">
      <alignment horizontal="left" vertical="center" wrapText="1"/>
    </xf>
    <xf numFmtId="0" fontId="25" fillId="0" borderId="29" xfId="0" applyFont="1" applyBorder="1" applyAlignment="1">
      <alignment horizontal="left" vertical="center" wrapText="1"/>
    </xf>
    <xf numFmtId="0" fontId="25" fillId="0" borderId="32" xfId="0" applyFont="1" applyBorder="1" applyAlignment="1">
      <alignment horizontal="left" vertical="center" wrapText="1"/>
    </xf>
    <xf numFmtId="0" fontId="25" fillId="0" borderId="30" xfId="0" applyFont="1" applyBorder="1" applyAlignment="1">
      <alignment horizontal="left" vertical="center" wrapText="1"/>
    </xf>
    <xf numFmtId="0" fontId="25" fillId="0" borderId="33" xfId="0" applyFont="1" applyBorder="1" applyAlignment="1">
      <alignment horizontal="left" vertical="center" wrapText="1"/>
    </xf>
    <xf numFmtId="0" fontId="25" fillId="0" borderId="28" xfId="0" applyFont="1" applyBorder="1" applyAlignment="1">
      <alignment horizontal="left" vertical="center" wrapText="1"/>
    </xf>
    <xf numFmtId="0" fontId="25" fillId="0" borderId="21" xfId="0" applyFont="1" applyBorder="1" applyAlignment="1">
      <alignment horizontal="left" vertical="center" wrapText="1"/>
    </xf>
    <xf numFmtId="0" fontId="25" fillId="15" borderId="27" xfId="0" applyFont="1" applyFill="1" applyBorder="1" applyAlignment="1">
      <alignment horizontal="left" vertical="center" wrapText="1"/>
    </xf>
    <xf numFmtId="0" fontId="25" fillId="15" borderId="24" xfId="0" applyFont="1" applyFill="1" applyBorder="1" applyAlignment="1">
      <alignment horizontal="left" vertical="center" wrapText="1"/>
    </xf>
    <xf numFmtId="0" fontId="25" fillId="23" borderId="26" xfId="0" applyFont="1" applyFill="1" applyBorder="1" applyAlignment="1">
      <alignment horizontal="left" vertical="center" wrapText="1"/>
    </xf>
    <xf numFmtId="0" fontId="25" fillId="0" borderId="35" xfId="0" applyFont="1" applyBorder="1" applyAlignment="1">
      <alignment horizontal="left" vertical="center" wrapText="1"/>
    </xf>
    <xf numFmtId="0" fontId="25" fillId="0" borderId="0" xfId="0" applyFont="1" applyAlignment="1">
      <alignment horizontal="left" vertical="center" wrapText="1"/>
    </xf>
    <xf numFmtId="0" fontId="25" fillId="0" borderId="25" xfId="0" applyFont="1" applyBorder="1" applyAlignment="1">
      <alignment horizontal="left" vertical="center" wrapText="1"/>
    </xf>
    <xf numFmtId="0" fontId="16" fillId="4" borderId="39" xfId="0" applyFont="1" applyFill="1" applyBorder="1" applyAlignment="1">
      <alignment horizontal="center"/>
    </xf>
    <xf numFmtId="0" fontId="16" fillId="10" borderId="39" xfId="0" applyFont="1" applyFill="1" applyBorder="1" applyAlignment="1">
      <alignment horizontal="center"/>
    </xf>
    <xf numFmtId="182" fontId="36" fillId="10" borderId="5" xfId="0" applyNumberFormat="1" applyFont="1" applyFill="1" applyBorder="1" applyAlignment="1">
      <alignment horizontal="center" vertical="center"/>
    </xf>
    <xf numFmtId="182" fontId="36" fillId="10" borderId="6" xfId="0" applyNumberFormat="1" applyFont="1" applyFill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/>
    <c:plotArea>
      <c:layout>
        <c:manualLayout>
          <c:layoutTarget val="inner"/>
          <c:xMode val="edge"/>
          <c:yMode val="edge"/>
          <c:x val="0.10761277057364702"/>
          <c:y val="0.32811630502905142"/>
          <c:w val="0.65364151343755017"/>
          <c:h val="0.61719517455522965"/>
        </c:manualLayout>
      </c:layout>
      <c:lineChart>
        <c:grouping val="standard"/>
        <c:ser>
          <c:idx val="0"/>
          <c:order val="0"/>
          <c:tx>
            <c:strRef>
              <c:f>個別計算!$G$5</c:f>
              <c:strCache>
                <c:ptCount val="1"/>
              </c:strCache>
            </c:strRef>
          </c:tx>
          <c:cat>
            <c:numRef>
              <c:f>個別計算!$F$6:$F$11</c:f>
              <c:numCache>
                <c:formatCode>General</c:formatCode>
                <c:ptCount val="6"/>
              </c:numCache>
            </c:numRef>
          </c:cat>
          <c:val>
            <c:numRef>
              <c:f>個別計算!$G$6:$G$11</c:f>
              <c:numCache>
                <c:formatCode>General</c:formatCode>
                <c:ptCount val="6"/>
              </c:numCache>
            </c:numRef>
          </c:val>
        </c:ser>
        <c:marker val="1"/>
        <c:axId val="67876352"/>
        <c:axId val="67877888"/>
      </c:lineChart>
      <c:catAx>
        <c:axId val="67876352"/>
        <c:scaling>
          <c:orientation val="minMax"/>
        </c:scaling>
        <c:axPos val="b"/>
        <c:numFmt formatCode="General" sourceLinked="1"/>
        <c:tickLblPos val="nextTo"/>
        <c:crossAx val="67877888"/>
        <c:crosses val="autoZero"/>
        <c:auto val="1"/>
        <c:lblAlgn val="ctr"/>
        <c:lblOffset val="100"/>
      </c:catAx>
      <c:valAx>
        <c:axId val="67877888"/>
        <c:scaling>
          <c:orientation val="minMax"/>
        </c:scaling>
        <c:axPos val="l"/>
        <c:majorGridlines/>
        <c:numFmt formatCode="General" sourceLinked="1"/>
        <c:tickLblPos val="nextTo"/>
        <c:crossAx val="67876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>
        <c:manualLayout>
          <c:layoutTarget val="inner"/>
          <c:xMode val="edge"/>
          <c:yMode val="edge"/>
          <c:x val="5.0896647511387311E-2"/>
          <c:y val="8.1284574217614369E-2"/>
          <c:w val="0.90558616623761246"/>
          <c:h val="0.79678930149331961"/>
        </c:manualLayout>
      </c:layout>
      <c:lineChart>
        <c:grouping val="standard"/>
        <c:ser>
          <c:idx val="0"/>
          <c:order val="0"/>
          <c:tx>
            <c:strRef>
              <c:f>グラフ!$F$41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  <c:pt idx="0">
                  <c:v>43755</c:v>
                </c:pt>
                <c:pt idx="1">
                  <c:v>43754</c:v>
                </c:pt>
                <c:pt idx="2">
                  <c:v>43753</c:v>
                </c:pt>
                <c:pt idx="3">
                  <c:v>43749</c:v>
                </c:pt>
                <c:pt idx="4">
                  <c:v>43748</c:v>
                </c:pt>
                <c:pt idx="5">
                  <c:v>43747</c:v>
                </c:pt>
                <c:pt idx="6">
                  <c:v>43746</c:v>
                </c:pt>
                <c:pt idx="7">
                  <c:v>43745</c:v>
                </c:pt>
                <c:pt idx="8">
                  <c:v>43742</c:v>
                </c:pt>
                <c:pt idx="9">
                  <c:v>43741</c:v>
                </c:pt>
                <c:pt idx="10">
                  <c:v>43740</c:v>
                </c:pt>
                <c:pt idx="11">
                  <c:v>43739</c:v>
                </c:pt>
                <c:pt idx="12">
                  <c:v>43738</c:v>
                </c:pt>
                <c:pt idx="13">
                  <c:v>43735</c:v>
                </c:pt>
                <c:pt idx="14">
                  <c:v>43734</c:v>
                </c:pt>
                <c:pt idx="15">
                  <c:v>43733</c:v>
                </c:pt>
                <c:pt idx="16">
                  <c:v>43732</c:v>
                </c:pt>
                <c:pt idx="17">
                  <c:v>43728</c:v>
                </c:pt>
                <c:pt idx="18">
                  <c:v>43727</c:v>
                </c:pt>
                <c:pt idx="19">
                  <c:v>43726</c:v>
                </c:pt>
                <c:pt idx="20">
                  <c:v>43725</c:v>
                </c:pt>
                <c:pt idx="21">
                  <c:v>43721</c:v>
                </c:pt>
                <c:pt idx="22">
                  <c:v>43720</c:v>
                </c:pt>
                <c:pt idx="23">
                  <c:v>43719</c:v>
                </c:pt>
                <c:pt idx="24">
                  <c:v>43718</c:v>
                </c:pt>
                <c:pt idx="25">
                  <c:v>43717</c:v>
                </c:pt>
                <c:pt idx="26">
                  <c:v>43714</c:v>
                </c:pt>
                <c:pt idx="27">
                  <c:v>43713</c:v>
                </c:pt>
                <c:pt idx="28">
                  <c:v>43712</c:v>
                </c:pt>
                <c:pt idx="29">
                  <c:v>43711</c:v>
                </c:pt>
                <c:pt idx="30">
                  <c:v>43710</c:v>
                </c:pt>
                <c:pt idx="31">
                  <c:v>43707</c:v>
                </c:pt>
                <c:pt idx="32">
                  <c:v>43706</c:v>
                </c:pt>
                <c:pt idx="33">
                  <c:v>43705</c:v>
                </c:pt>
                <c:pt idx="34">
                  <c:v>43704</c:v>
                </c:pt>
                <c:pt idx="35">
                  <c:v>43703</c:v>
                </c:pt>
                <c:pt idx="36">
                  <c:v>43700</c:v>
                </c:pt>
                <c:pt idx="37">
                  <c:v>43699</c:v>
                </c:pt>
                <c:pt idx="38">
                  <c:v>43698</c:v>
                </c:pt>
                <c:pt idx="39">
                  <c:v>43697</c:v>
                </c:pt>
                <c:pt idx="40">
                  <c:v>43696</c:v>
                </c:pt>
                <c:pt idx="41">
                  <c:v>43693</c:v>
                </c:pt>
                <c:pt idx="42">
                  <c:v>43692</c:v>
                </c:pt>
                <c:pt idx="43">
                  <c:v>43691</c:v>
                </c:pt>
                <c:pt idx="44">
                  <c:v>43690</c:v>
                </c:pt>
                <c:pt idx="45">
                  <c:v>43686</c:v>
                </c:pt>
                <c:pt idx="46">
                  <c:v>43685</c:v>
                </c:pt>
                <c:pt idx="47">
                  <c:v>43684</c:v>
                </c:pt>
                <c:pt idx="48">
                  <c:v>43683</c:v>
                </c:pt>
                <c:pt idx="49">
                  <c:v>43682</c:v>
                </c:pt>
                <c:pt idx="50">
                  <c:v>43679</c:v>
                </c:pt>
                <c:pt idx="51">
                  <c:v>43678</c:v>
                </c:pt>
                <c:pt idx="52">
                  <c:v>43677</c:v>
                </c:pt>
                <c:pt idx="53">
                  <c:v>43676</c:v>
                </c:pt>
                <c:pt idx="54">
                  <c:v>43675</c:v>
                </c:pt>
                <c:pt idx="55">
                  <c:v>43672</c:v>
                </c:pt>
                <c:pt idx="56">
                  <c:v>43671</c:v>
                </c:pt>
                <c:pt idx="57">
                  <c:v>43670</c:v>
                </c:pt>
                <c:pt idx="58">
                  <c:v>43669</c:v>
                </c:pt>
                <c:pt idx="59">
                  <c:v>43668</c:v>
                </c:pt>
                <c:pt idx="60">
                  <c:v>43665</c:v>
                </c:pt>
                <c:pt idx="61">
                  <c:v>43664</c:v>
                </c:pt>
                <c:pt idx="62">
                  <c:v>43663</c:v>
                </c:pt>
                <c:pt idx="63">
                  <c:v>43662</c:v>
                </c:pt>
                <c:pt idx="64">
                  <c:v>43658</c:v>
                </c:pt>
                <c:pt idx="65">
                  <c:v>43657</c:v>
                </c:pt>
                <c:pt idx="66">
                  <c:v>43656</c:v>
                </c:pt>
                <c:pt idx="67">
                  <c:v>43655</c:v>
                </c:pt>
                <c:pt idx="68">
                  <c:v>43654</c:v>
                </c:pt>
                <c:pt idx="69">
                  <c:v>43651</c:v>
                </c:pt>
                <c:pt idx="70">
                  <c:v>43650</c:v>
                </c:pt>
                <c:pt idx="71">
                  <c:v>43649</c:v>
                </c:pt>
                <c:pt idx="72">
                  <c:v>43648</c:v>
                </c:pt>
                <c:pt idx="73">
                  <c:v>43647</c:v>
                </c:pt>
                <c:pt idx="74">
                  <c:v>43644</c:v>
                </c:pt>
                <c:pt idx="75">
                  <c:v>43643</c:v>
                </c:pt>
                <c:pt idx="76">
                  <c:v>43642</c:v>
                </c:pt>
                <c:pt idx="77">
                  <c:v>43641</c:v>
                </c:pt>
                <c:pt idx="78">
                  <c:v>43640</c:v>
                </c:pt>
                <c:pt idx="79">
                  <c:v>43637</c:v>
                </c:pt>
                <c:pt idx="80">
                  <c:v>43636</c:v>
                </c:pt>
                <c:pt idx="81">
                  <c:v>43635</c:v>
                </c:pt>
                <c:pt idx="82">
                  <c:v>43634</c:v>
                </c:pt>
                <c:pt idx="83">
                  <c:v>43633</c:v>
                </c:pt>
                <c:pt idx="84">
                  <c:v>43630</c:v>
                </c:pt>
                <c:pt idx="85">
                  <c:v>43629</c:v>
                </c:pt>
                <c:pt idx="86">
                  <c:v>43628</c:v>
                </c:pt>
                <c:pt idx="87">
                  <c:v>43627</c:v>
                </c:pt>
                <c:pt idx="88">
                  <c:v>43626</c:v>
                </c:pt>
                <c:pt idx="89">
                  <c:v>43623</c:v>
                </c:pt>
                <c:pt idx="90">
                  <c:v>43622</c:v>
                </c:pt>
                <c:pt idx="91">
                  <c:v>43621</c:v>
                </c:pt>
                <c:pt idx="92">
                  <c:v>43620</c:v>
                </c:pt>
                <c:pt idx="93">
                  <c:v>43619</c:v>
                </c:pt>
                <c:pt idx="94">
                  <c:v>43616</c:v>
                </c:pt>
                <c:pt idx="95">
                  <c:v>43615</c:v>
                </c:pt>
                <c:pt idx="96">
                  <c:v>43614</c:v>
                </c:pt>
                <c:pt idx="97">
                  <c:v>43613</c:v>
                </c:pt>
                <c:pt idx="98">
                  <c:v>43612</c:v>
                </c:pt>
                <c:pt idx="99">
                  <c:v>43609</c:v>
                </c:pt>
                <c:pt idx="100">
                  <c:v>43608</c:v>
                </c:pt>
                <c:pt idx="101">
                  <c:v>43607</c:v>
                </c:pt>
                <c:pt idx="102">
                  <c:v>43606</c:v>
                </c:pt>
                <c:pt idx="103">
                  <c:v>43605</c:v>
                </c:pt>
                <c:pt idx="104">
                  <c:v>43602</c:v>
                </c:pt>
                <c:pt idx="105">
                  <c:v>43601</c:v>
                </c:pt>
                <c:pt idx="106">
                  <c:v>43600</c:v>
                </c:pt>
                <c:pt idx="107">
                  <c:v>43599</c:v>
                </c:pt>
                <c:pt idx="108">
                  <c:v>43598</c:v>
                </c:pt>
                <c:pt idx="109">
                  <c:v>43595</c:v>
                </c:pt>
                <c:pt idx="110">
                  <c:v>43594</c:v>
                </c:pt>
                <c:pt idx="111">
                  <c:v>43593</c:v>
                </c:pt>
                <c:pt idx="112">
                  <c:v>43592</c:v>
                </c:pt>
                <c:pt idx="113">
                  <c:v>43581</c:v>
                </c:pt>
                <c:pt idx="114">
                  <c:v>43580</c:v>
                </c:pt>
                <c:pt idx="115">
                  <c:v>43579</c:v>
                </c:pt>
                <c:pt idx="116">
                  <c:v>43578</c:v>
                </c:pt>
                <c:pt idx="117">
                  <c:v>43577</c:v>
                </c:pt>
                <c:pt idx="118">
                  <c:v>43574</c:v>
                </c:pt>
                <c:pt idx="119">
                  <c:v>43573</c:v>
                </c:pt>
                <c:pt idx="120">
                  <c:v>43572</c:v>
                </c:pt>
                <c:pt idx="121">
                  <c:v>43571</c:v>
                </c:pt>
                <c:pt idx="122">
                  <c:v>43570</c:v>
                </c:pt>
                <c:pt idx="123">
                  <c:v>43567</c:v>
                </c:pt>
                <c:pt idx="124">
                  <c:v>43566</c:v>
                </c:pt>
                <c:pt idx="125">
                  <c:v>43565</c:v>
                </c:pt>
                <c:pt idx="126">
                  <c:v>43564</c:v>
                </c:pt>
                <c:pt idx="127">
                  <c:v>43563</c:v>
                </c:pt>
                <c:pt idx="128">
                  <c:v>43560</c:v>
                </c:pt>
                <c:pt idx="129">
                  <c:v>43559</c:v>
                </c:pt>
                <c:pt idx="130">
                  <c:v>43558</c:v>
                </c:pt>
                <c:pt idx="131">
                  <c:v>43557</c:v>
                </c:pt>
                <c:pt idx="132">
                  <c:v>43556</c:v>
                </c:pt>
                <c:pt idx="133">
                  <c:v>43553</c:v>
                </c:pt>
                <c:pt idx="134">
                  <c:v>43552</c:v>
                </c:pt>
                <c:pt idx="135">
                  <c:v>43551</c:v>
                </c:pt>
                <c:pt idx="136">
                  <c:v>43550</c:v>
                </c:pt>
                <c:pt idx="137">
                  <c:v>43549</c:v>
                </c:pt>
                <c:pt idx="138">
                  <c:v>43546</c:v>
                </c:pt>
                <c:pt idx="139">
                  <c:v>43544</c:v>
                </c:pt>
                <c:pt idx="140">
                  <c:v>43543</c:v>
                </c:pt>
                <c:pt idx="141">
                  <c:v>43542</c:v>
                </c:pt>
                <c:pt idx="142">
                  <c:v>43539</c:v>
                </c:pt>
                <c:pt idx="143">
                  <c:v>43538</c:v>
                </c:pt>
                <c:pt idx="144">
                  <c:v>43537</c:v>
                </c:pt>
                <c:pt idx="145">
                  <c:v>43536</c:v>
                </c:pt>
                <c:pt idx="146">
                  <c:v>43535</c:v>
                </c:pt>
                <c:pt idx="147">
                  <c:v>43532</c:v>
                </c:pt>
                <c:pt idx="148">
                  <c:v>43531</c:v>
                </c:pt>
                <c:pt idx="149">
                  <c:v>43530</c:v>
                </c:pt>
                <c:pt idx="150">
                  <c:v>43529</c:v>
                </c:pt>
                <c:pt idx="151">
                  <c:v>43528</c:v>
                </c:pt>
                <c:pt idx="152">
                  <c:v>43525</c:v>
                </c:pt>
                <c:pt idx="153">
                  <c:v>43524</c:v>
                </c:pt>
                <c:pt idx="154">
                  <c:v>43523</c:v>
                </c:pt>
                <c:pt idx="155">
                  <c:v>43522</c:v>
                </c:pt>
                <c:pt idx="156">
                  <c:v>43521</c:v>
                </c:pt>
                <c:pt idx="157">
                  <c:v>43518</c:v>
                </c:pt>
                <c:pt idx="158">
                  <c:v>43517</c:v>
                </c:pt>
                <c:pt idx="159">
                  <c:v>43516</c:v>
                </c:pt>
                <c:pt idx="160">
                  <c:v>43515</c:v>
                </c:pt>
                <c:pt idx="161">
                  <c:v>43514</c:v>
                </c:pt>
                <c:pt idx="162">
                  <c:v>43511</c:v>
                </c:pt>
                <c:pt idx="163">
                  <c:v>43510</c:v>
                </c:pt>
                <c:pt idx="164">
                  <c:v>43509</c:v>
                </c:pt>
                <c:pt idx="165">
                  <c:v>43508</c:v>
                </c:pt>
                <c:pt idx="166">
                  <c:v>43504</c:v>
                </c:pt>
                <c:pt idx="167">
                  <c:v>43503</c:v>
                </c:pt>
                <c:pt idx="168">
                  <c:v>43502</c:v>
                </c:pt>
                <c:pt idx="169">
                  <c:v>43501</c:v>
                </c:pt>
                <c:pt idx="170">
                  <c:v>43500</c:v>
                </c:pt>
                <c:pt idx="171">
                  <c:v>43497</c:v>
                </c:pt>
                <c:pt idx="172">
                  <c:v>43496</c:v>
                </c:pt>
                <c:pt idx="173">
                  <c:v>43495</c:v>
                </c:pt>
                <c:pt idx="174">
                  <c:v>43494</c:v>
                </c:pt>
                <c:pt idx="175">
                  <c:v>43493</c:v>
                </c:pt>
                <c:pt idx="176">
                  <c:v>43490</c:v>
                </c:pt>
                <c:pt idx="177">
                  <c:v>43489</c:v>
                </c:pt>
                <c:pt idx="178">
                  <c:v>43488</c:v>
                </c:pt>
                <c:pt idx="179">
                  <c:v>43487</c:v>
                </c:pt>
                <c:pt idx="180">
                  <c:v>43486</c:v>
                </c:pt>
                <c:pt idx="181">
                  <c:v>43483</c:v>
                </c:pt>
                <c:pt idx="182">
                  <c:v>43482</c:v>
                </c:pt>
                <c:pt idx="183">
                  <c:v>43481</c:v>
                </c:pt>
                <c:pt idx="184">
                  <c:v>43480</c:v>
                </c:pt>
                <c:pt idx="185">
                  <c:v>43476</c:v>
                </c:pt>
                <c:pt idx="186">
                  <c:v>43475</c:v>
                </c:pt>
                <c:pt idx="187">
                  <c:v>43474</c:v>
                </c:pt>
                <c:pt idx="188">
                  <c:v>43473</c:v>
                </c:pt>
                <c:pt idx="189">
                  <c:v>43472</c:v>
                </c:pt>
                <c:pt idx="190">
                  <c:v>43469</c:v>
                </c:pt>
                <c:pt idx="191">
                  <c:v>43462</c:v>
                </c:pt>
                <c:pt idx="192">
                  <c:v>43461</c:v>
                </c:pt>
                <c:pt idx="193">
                  <c:v>43460</c:v>
                </c:pt>
                <c:pt idx="194">
                  <c:v>43459</c:v>
                </c:pt>
                <c:pt idx="195">
                  <c:v>43455</c:v>
                </c:pt>
                <c:pt idx="196">
                  <c:v>43454</c:v>
                </c:pt>
                <c:pt idx="197">
                  <c:v>43453</c:v>
                </c:pt>
                <c:pt idx="198">
                  <c:v>43452</c:v>
                </c:pt>
                <c:pt idx="199">
                  <c:v>43451</c:v>
                </c:pt>
                <c:pt idx="200">
                  <c:v>43448</c:v>
                </c:pt>
                <c:pt idx="201">
                  <c:v>43447</c:v>
                </c:pt>
                <c:pt idx="202">
                  <c:v>43446</c:v>
                </c:pt>
                <c:pt idx="203">
                  <c:v>43445</c:v>
                </c:pt>
                <c:pt idx="204">
                  <c:v>43444</c:v>
                </c:pt>
                <c:pt idx="205">
                  <c:v>43441</c:v>
                </c:pt>
                <c:pt idx="206">
                  <c:v>43440</c:v>
                </c:pt>
                <c:pt idx="207">
                  <c:v>43439</c:v>
                </c:pt>
                <c:pt idx="208">
                  <c:v>43438</c:v>
                </c:pt>
                <c:pt idx="209">
                  <c:v>43437</c:v>
                </c:pt>
                <c:pt idx="210">
                  <c:v>43434</c:v>
                </c:pt>
                <c:pt idx="211">
                  <c:v>43433</c:v>
                </c:pt>
                <c:pt idx="212">
                  <c:v>43432</c:v>
                </c:pt>
                <c:pt idx="213">
                  <c:v>43431</c:v>
                </c:pt>
                <c:pt idx="214">
                  <c:v>43430</c:v>
                </c:pt>
                <c:pt idx="215">
                  <c:v>43426</c:v>
                </c:pt>
                <c:pt idx="216">
                  <c:v>43425</c:v>
                </c:pt>
                <c:pt idx="217">
                  <c:v>43424</c:v>
                </c:pt>
                <c:pt idx="218">
                  <c:v>43423</c:v>
                </c:pt>
                <c:pt idx="219">
                  <c:v>43420</c:v>
                </c:pt>
                <c:pt idx="220">
                  <c:v>43419</c:v>
                </c:pt>
                <c:pt idx="221">
                  <c:v>43418</c:v>
                </c:pt>
                <c:pt idx="222">
                  <c:v>43417</c:v>
                </c:pt>
                <c:pt idx="223">
                  <c:v>43416</c:v>
                </c:pt>
                <c:pt idx="224">
                  <c:v>43413</c:v>
                </c:pt>
                <c:pt idx="225">
                  <c:v>43412</c:v>
                </c:pt>
                <c:pt idx="226">
                  <c:v>43411</c:v>
                </c:pt>
                <c:pt idx="227">
                  <c:v>43410</c:v>
                </c:pt>
                <c:pt idx="228">
                  <c:v>43409</c:v>
                </c:pt>
                <c:pt idx="229">
                  <c:v>43406</c:v>
                </c:pt>
                <c:pt idx="230">
                  <c:v>43405</c:v>
                </c:pt>
                <c:pt idx="231">
                  <c:v>43404</c:v>
                </c:pt>
                <c:pt idx="232">
                  <c:v>43403</c:v>
                </c:pt>
                <c:pt idx="233">
                  <c:v>43402</c:v>
                </c:pt>
                <c:pt idx="234">
                  <c:v>43399</c:v>
                </c:pt>
                <c:pt idx="235">
                  <c:v>43398</c:v>
                </c:pt>
                <c:pt idx="236">
                  <c:v>43397</c:v>
                </c:pt>
                <c:pt idx="237">
                  <c:v>43396</c:v>
                </c:pt>
                <c:pt idx="238">
                  <c:v>43395</c:v>
                </c:pt>
                <c:pt idx="239">
                  <c:v>43392</c:v>
                </c:pt>
                <c:pt idx="240">
                  <c:v>43391</c:v>
                </c:pt>
                <c:pt idx="241">
                  <c:v>43390</c:v>
                </c:pt>
                <c:pt idx="242">
                  <c:v>43389</c:v>
                </c:pt>
                <c:pt idx="243">
                  <c:v>43388</c:v>
                </c:pt>
                <c:pt idx="244">
                  <c:v>43385</c:v>
                </c:pt>
                <c:pt idx="245">
                  <c:v>43384</c:v>
                </c:pt>
                <c:pt idx="246">
                  <c:v>43383</c:v>
                </c:pt>
                <c:pt idx="247">
                  <c:v>43382</c:v>
                </c:pt>
                <c:pt idx="248">
                  <c:v>43378</c:v>
                </c:pt>
                <c:pt idx="249">
                  <c:v>43377</c:v>
                </c:pt>
                <c:pt idx="250">
                  <c:v>43376</c:v>
                </c:pt>
                <c:pt idx="251">
                  <c:v>43375</c:v>
                </c:pt>
                <c:pt idx="252">
                  <c:v>43374</c:v>
                </c:pt>
                <c:pt idx="253">
                  <c:v>43371</c:v>
                </c:pt>
                <c:pt idx="254">
                  <c:v>43370</c:v>
                </c:pt>
                <c:pt idx="255">
                  <c:v>43369</c:v>
                </c:pt>
                <c:pt idx="256">
                  <c:v>43368</c:v>
                </c:pt>
                <c:pt idx="257">
                  <c:v>43364</c:v>
                </c:pt>
                <c:pt idx="258">
                  <c:v>43363</c:v>
                </c:pt>
                <c:pt idx="259">
                  <c:v>43362</c:v>
                </c:pt>
                <c:pt idx="260">
                  <c:v>43361</c:v>
                </c:pt>
                <c:pt idx="261">
                  <c:v>43357</c:v>
                </c:pt>
                <c:pt idx="262">
                  <c:v>43356</c:v>
                </c:pt>
                <c:pt idx="263">
                  <c:v>43355</c:v>
                </c:pt>
                <c:pt idx="264">
                  <c:v>43354</c:v>
                </c:pt>
                <c:pt idx="265">
                  <c:v>43353</c:v>
                </c:pt>
                <c:pt idx="266">
                  <c:v>43350</c:v>
                </c:pt>
                <c:pt idx="267">
                  <c:v>43349</c:v>
                </c:pt>
                <c:pt idx="268">
                  <c:v>43348</c:v>
                </c:pt>
                <c:pt idx="269">
                  <c:v>43347</c:v>
                </c:pt>
                <c:pt idx="270">
                  <c:v>43346</c:v>
                </c:pt>
                <c:pt idx="271">
                  <c:v>43343</c:v>
                </c:pt>
                <c:pt idx="272">
                  <c:v>43342</c:v>
                </c:pt>
                <c:pt idx="273">
                  <c:v>43341</c:v>
                </c:pt>
                <c:pt idx="274">
                  <c:v>43340</c:v>
                </c:pt>
                <c:pt idx="275">
                  <c:v>43339</c:v>
                </c:pt>
                <c:pt idx="276">
                  <c:v>43336</c:v>
                </c:pt>
                <c:pt idx="277">
                  <c:v>43335</c:v>
                </c:pt>
                <c:pt idx="278">
                  <c:v>43334</c:v>
                </c:pt>
                <c:pt idx="279">
                  <c:v>43333</c:v>
                </c:pt>
                <c:pt idx="280">
                  <c:v>43332</c:v>
                </c:pt>
                <c:pt idx="281">
                  <c:v>43329</c:v>
                </c:pt>
                <c:pt idx="282">
                  <c:v>43328</c:v>
                </c:pt>
                <c:pt idx="283">
                  <c:v>43327</c:v>
                </c:pt>
                <c:pt idx="284">
                  <c:v>43326</c:v>
                </c:pt>
                <c:pt idx="285">
                  <c:v>43325</c:v>
                </c:pt>
                <c:pt idx="286">
                  <c:v>43322</c:v>
                </c:pt>
                <c:pt idx="287">
                  <c:v>43321</c:v>
                </c:pt>
                <c:pt idx="288">
                  <c:v>43320</c:v>
                </c:pt>
                <c:pt idx="289">
                  <c:v>43319</c:v>
                </c:pt>
                <c:pt idx="290">
                  <c:v>43318</c:v>
                </c:pt>
                <c:pt idx="291">
                  <c:v>43315</c:v>
                </c:pt>
                <c:pt idx="292">
                  <c:v>43314</c:v>
                </c:pt>
                <c:pt idx="293">
                  <c:v>43313</c:v>
                </c:pt>
                <c:pt idx="294">
                  <c:v>43312</c:v>
                </c:pt>
                <c:pt idx="295">
                  <c:v>43311</c:v>
                </c:pt>
                <c:pt idx="296">
                  <c:v>43308</c:v>
                </c:pt>
                <c:pt idx="297">
                  <c:v>43307</c:v>
                </c:pt>
                <c:pt idx="298">
                  <c:v>43306</c:v>
                </c:pt>
                <c:pt idx="299">
                  <c:v>43305</c:v>
                </c:pt>
                <c:pt idx="300">
                  <c:v>43304</c:v>
                </c:pt>
                <c:pt idx="301">
                  <c:v>43301</c:v>
                </c:pt>
                <c:pt idx="302">
                  <c:v>43300</c:v>
                </c:pt>
                <c:pt idx="303">
                  <c:v>43299</c:v>
                </c:pt>
                <c:pt idx="304">
                  <c:v>43298</c:v>
                </c:pt>
                <c:pt idx="305">
                  <c:v>43294</c:v>
                </c:pt>
                <c:pt idx="306">
                  <c:v>43293</c:v>
                </c:pt>
                <c:pt idx="307">
                  <c:v>43292</c:v>
                </c:pt>
                <c:pt idx="308">
                  <c:v>43291</c:v>
                </c:pt>
                <c:pt idx="309">
                  <c:v>43290</c:v>
                </c:pt>
                <c:pt idx="310">
                  <c:v>43287</c:v>
                </c:pt>
                <c:pt idx="311">
                  <c:v>43286</c:v>
                </c:pt>
                <c:pt idx="312">
                  <c:v>43285</c:v>
                </c:pt>
                <c:pt idx="313">
                  <c:v>43284</c:v>
                </c:pt>
                <c:pt idx="314">
                  <c:v>43283</c:v>
                </c:pt>
                <c:pt idx="315">
                  <c:v>43280</c:v>
                </c:pt>
                <c:pt idx="316">
                  <c:v>43279</c:v>
                </c:pt>
                <c:pt idx="317">
                  <c:v>43278</c:v>
                </c:pt>
                <c:pt idx="318">
                  <c:v>43277</c:v>
                </c:pt>
                <c:pt idx="319">
                  <c:v>43276</c:v>
                </c:pt>
                <c:pt idx="320">
                  <c:v>43273</c:v>
                </c:pt>
                <c:pt idx="321">
                  <c:v>43272</c:v>
                </c:pt>
                <c:pt idx="322">
                  <c:v>43271</c:v>
                </c:pt>
                <c:pt idx="323">
                  <c:v>43270</c:v>
                </c:pt>
                <c:pt idx="324">
                  <c:v>43269</c:v>
                </c:pt>
                <c:pt idx="325">
                  <c:v>43266</c:v>
                </c:pt>
                <c:pt idx="326">
                  <c:v>43265</c:v>
                </c:pt>
                <c:pt idx="327">
                  <c:v>43264</c:v>
                </c:pt>
                <c:pt idx="328">
                  <c:v>43263</c:v>
                </c:pt>
                <c:pt idx="329">
                  <c:v>43262</c:v>
                </c:pt>
                <c:pt idx="330">
                  <c:v>43259</c:v>
                </c:pt>
                <c:pt idx="331">
                  <c:v>43258</c:v>
                </c:pt>
                <c:pt idx="332">
                  <c:v>43257</c:v>
                </c:pt>
                <c:pt idx="333">
                  <c:v>43256</c:v>
                </c:pt>
                <c:pt idx="334">
                  <c:v>43255</c:v>
                </c:pt>
                <c:pt idx="335">
                  <c:v>43252</c:v>
                </c:pt>
                <c:pt idx="336">
                  <c:v>43251</c:v>
                </c:pt>
                <c:pt idx="337">
                  <c:v>43250</c:v>
                </c:pt>
                <c:pt idx="338">
                  <c:v>43249</c:v>
                </c:pt>
                <c:pt idx="339">
                  <c:v>43248</c:v>
                </c:pt>
                <c:pt idx="340">
                  <c:v>43245</c:v>
                </c:pt>
                <c:pt idx="341">
                  <c:v>43244</c:v>
                </c:pt>
                <c:pt idx="342">
                  <c:v>43243</c:v>
                </c:pt>
                <c:pt idx="343">
                  <c:v>43242</c:v>
                </c:pt>
                <c:pt idx="344">
                  <c:v>43241</c:v>
                </c:pt>
                <c:pt idx="345">
                  <c:v>43238</c:v>
                </c:pt>
                <c:pt idx="346">
                  <c:v>43237</c:v>
                </c:pt>
                <c:pt idx="347">
                  <c:v>43236</c:v>
                </c:pt>
                <c:pt idx="348">
                  <c:v>43235</c:v>
                </c:pt>
                <c:pt idx="349">
                  <c:v>43234</c:v>
                </c:pt>
                <c:pt idx="350">
                  <c:v>43231</c:v>
                </c:pt>
                <c:pt idx="351">
                  <c:v>43230</c:v>
                </c:pt>
                <c:pt idx="352">
                  <c:v>43229</c:v>
                </c:pt>
                <c:pt idx="353">
                  <c:v>43228</c:v>
                </c:pt>
                <c:pt idx="354">
                  <c:v>43227</c:v>
                </c:pt>
                <c:pt idx="355">
                  <c:v>43222</c:v>
                </c:pt>
                <c:pt idx="356">
                  <c:v>43221</c:v>
                </c:pt>
                <c:pt idx="357">
                  <c:v>43217</c:v>
                </c:pt>
                <c:pt idx="358">
                  <c:v>43216</c:v>
                </c:pt>
                <c:pt idx="359">
                  <c:v>43215</c:v>
                </c:pt>
                <c:pt idx="360">
                  <c:v>43214</c:v>
                </c:pt>
                <c:pt idx="361">
                  <c:v>43213</c:v>
                </c:pt>
                <c:pt idx="362">
                  <c:v>43210</c:v>
                </c:pt>
                <c:pt idx="363">
                  <c:v>43209</c:v>
                </c:pt>
                <c:pt idx="364">
                  <c:v>43208</c:v>
                </c:pt>
                <c:pt idx="365">
                  <c:v>43207</c:v>
                </c:pt>
                <c:pt idx="366">
                  <c:v>43206</c:v>
                </c:pt>
                <c:pt idx="367">
                  <c:v>43203</c:v>
                </c:pt>
                <c:pt idx="368">
                  <c:v>43202</c:v>
                </c:pt>
                <c:pt idx="369">
                  <c:v>43201</c:v>
                </c:pt>
                <c:pt idx="370">
                  <c:v>43200</c:v>
                </c:pt>
                <c:pt idx="371">
                  <c:v>43199</c:v>
                </c:pt>
                <c:pt idx="372">
                  <c:v>43196</c:v>
                </c:pt>
                <c:pt idx="373">
                  <c:v>43195</c:v>
                </c:pt>
                <c:pt idx="374">
                  <c:v>43194</c:v>
                </c:pt>
                <c:pt idx="375">
                  <c:v>43193</c:v>
                </c:pt>
                <c:pt idx="376">
                  <c:v>43192</c:v>
                </c:pt>
                <c:pt idx="377">
                  <c:v>43189</c:v>
                </c:pt>
                <c:pt idx="378">
                  <c:v>43188</c:v>
                </c:pt>
                <c:pt idx="379">
                  <c:v>43187</c:v>
                </c:pt>
                <c:pt idx="380">
                  <c:v>43186</c:v>
                </c:pt>
                <c:pt idx="381">
                  <c:v>43185</c:v>
                </c:pt>
                <c:pt idx="382">
                  <c:v>43182</c:v>
                </c:pt>
                <c:pt idx="383">
                  <c:v>43181</c:v>
                </c:pt>
                <c:pt idx="384">
                  <c:v>43179</c:v>
                </c:pt>
                <c:pt idx="385">
                  <c:v>43178</c:v>
                </c:pt>
                <c:pt idx="386">
                  <c:v>43175</c:v>
                </c:pt>
                <c:pt idx="387">
                  <c:v>43174</c:v>
                </c:pt>
                <c:pt idx="388">
                  <c:v>43173</c:v>
                </c:pt>
                <c:pt idx="389">
                  <c:v>43172</c:v>
                </c:pt>
                <c:pt idx="390">
                  <c:v>43171</c:v>
                </c:pt>
                <c:pt idx="391">
                  <c:v>43168</c:v>
                </c:pt>
                <c:pt idx="392">
                  <c:v>43167</c:v>
                </c:pt>
                <c:pt idx="393">
                  <c:v>43166</c:v>
                </c:pt>
                <c:pt idx="394">
                  <c:v>43165</c:v>
                </c:pt>
                <c:pt idx="395">
                  <c:v>43164</c:v>
                </c:pt>
                <c:pt idx="396">
                  <c:v>43161</c:v>
                </c:pt>
                <c:pt idx="397">
                  <c:v>43160</c:v>
                </c:pt>
                <c:pt idx="398">
                  <c:v>43159</c:v>
                </c:pt>
                <c:pt idx="399">
                  <c:v>43158</c:v>
                </c:pt>
                <c:pt idx="400">
                  <c:v>43157</c:v>
                </c:pt>
                <c:pt idx="401">
                  <c:v>43154</c:v>
                </c:pt>
                <c:pt idx="402">
                  <c:v>43153</c:v>
                </c:pt>
                <c:pt idx="403">
                  <c:v>43152</c:v>
                </c:pt>
                <c:pt idx="404">
                  <c:v>43151</c:v>
                </c:pt>
                <c:pt idx="405">
                  <c:v>43150</c:v>
                </c:pt>
                <c:pt idx="406">
                  <c:v>43147</c:v>
                </c:pt>
                <c:pt idx="407">
                  <c:v>43146</c:v>
                </c:pt>
                <c:pt idx="408">
                  <c:v>43145</c:v>
                </c:pt>
                <c:pt idx="409">
                  <c:v>43144</c:v>
                </c:pt>
                <c:pt idx="410">
                  <c:v>43140</c:v>
                </c:pt>
                <c:pt idx="411">
                  <c:v>43139</c:v>
                </c:pt>
                <c:pt idx="412">
                  <c:v>43138</c:v>
                </c:pt>
                <c:pt idx="413">
                  <c:v>43137</c:v>
                </c:pt>
                <c:pt idx="414">
                  <c:v>43136</c:v>
                </c:pt>
                <c:pt idx="415">
                  <c:v>43133</c:v>
                </c:pt>
                <c:pt idx="416">
                  <c:v>43132</c:v>
                </c:pt>
                <c:pt idx="417">
                  <c:v>43131</c:v>
                </c:pt>
                <c:pt idx="418">
                  <c:v>43130</c:v>
                </c:pt>
                <c:pt idx="419">
                  <c:v>43129</c:v>
                </c:pt>
                <c:pt idx="420">
                  <c:v>43126</c:v>
                </c:pt>
                <c:pt idx="421">
                  <c:v>43125</c:v>
                </c:pt>
                <c:pt idx="422">
                  <c:v>43124</c:v>
                </c:pt>
                <c:pt idx="423">
                  <c:v>43123</c:v>
                </c:pt>
                <c:pt idx="424">
                  <c:v>43122</c:v>
                </c:pt>
                <c:pt idx="425">
                  <c:v>43119</c:v>
                </c:pt>
                <c:pt idx="426">
                  <c:v>43118</c:v>
                </c:pt>
                <c:pt idx="427">
                  <c:v>43117</c:v>
                </c:pt>
                <c:pt idx="428">
                  <c:v>43116</c:v>
                </c:pt>
                <c:pt idx="429">
                  <c:v>43115</c:v>
                </c:pt>
                <c:pt idx="430">
                  <c:v>43112</c:v>
                </c:pt>
                <c:pt idx="431">
                  <c:v>43111</c:v>
                </c:pt>
                <c:pt idx="432">
                  <c:v>43110</c:v>
                </c:pt>
                <c:pt idx="433">
                  <c:v>43109</c:v>
                </c:pt>
                <c:pt idx="434">
                  <c:v>43105</c:v>
                </c:pt>
                <c:pt idx="435">
                  <c:v>43104</c:v>
                </c:pt>
                <c:pt idx="436">
                  <c:v>43098</c:v>
                </c:pt>
                <c:pt idx="437">
                  <c:v>43097</c:v>
                </c:pt>
                <c:pt idx="438">
                  <c:v>43096</c:v>
                </c:pt>
                <c:pt idx="439">
                  <c:v>43095</c:v>
                </c:pt>
                <c:pt idx="440">
                  <c:v>43094</c:v>
                </c:pt>
                <c:pt idx="441">
                  <c:v>43091</c:v>
                </c:pt>
                <c:pt idx="442">
                  <c:v>43090</c:v>
                </c:pt>
                <c:pt idx="443">
                  <c:v>43089</c:v>
                </c:pt>
                <c:pt idx="444">
                  <c:v>43088</c:v>
                </c:pt>
                <c:pt idx="445">
                  <c:v>43087</c:v>
                </c:pt>
                <c:pt idx="446">
                  <c:v>43084</c:v>
                </c:pt>
                <c:pt idx="447">
                  <c:v>43083</c:v>
                </c:pt>
                <c:pt idx="448">
                  <c:v>43082</c:v>
                </c:pt>
                <c:pt idx="449">
                  <c:v>43081</c:v>
                </c:pt>
                <c:pt idx="450">
                  <c:v>43080</c:v>
                </c:pt>
                <c:pt idx="451">
                  <c:v>43077</c:v>
                </c:pt>
                <c:pt idx="452">
                  <c:v>43076</c:v>
                </c:pt>
                <c:pt idx="453">
                  <c:v>43075</c:v>
                </c:pt>
                <c:pt idx="454">
                  <c:v>43074</c:v>
                </c:pt>
                <c:pt idx="455">
                  <c:v>43073</c:v>
                </c:pt>
                <c:pt idx="456">
                  <c:v>43070</c:v>
                </c:pt>
                <c:pt idx="457">
                  <c:v>43069</c:v>
                </c:pt>
                <c:pt idx="458">
                  <c:v>43068</c:v>
                </c:pt>
                <c:pt idx="459">
                  <c:v>43067</c:v>
                </c:pt>
                <c:pt idx="460">
                  <c:v>43066</c:v>
                </c:pt>
                <c:pt idx="461">
                  <c:v>43063</c:v>
                </c:pt>
                <c:pt idx="462">
                  <c:v>43061</c:v>
                </c:pt>
                <c:pt idx="463">
                  <c:v>43060</c:v>
                </c:pt>
                <c:pt idx="464">
                  <c:v>43059</c:v>
                </c:pt>
                <c:pt idx="465">
                  <c:v>43056</c:v>
                </c:pt>
                <c:pt idx="466">
                  <c:v>43055</c:v>
                </c:pt>
                <c:pt idx="467">
                  <c:v>43054</c:v>
                </c:pt>
                <c:pt idx="468">
                  <c:v>43053</c:v>
                </c:pt>
                <c:pt idx="469">
                  <c:v>43052</c:v>
                </c:pt>
                <c:pt idx="470">
                  <c:v>43049</c:v>
                </c:pt>
                <c:pt idx="471">
                  <c:v>43048</c:v>
                </c:pt>
                <c:pt idx="472">
                  <c:v>43047</c:v>
                </c:pt>
                <c:pt idx="473">
                  <c:v>43046</c:v>
                </c:pt>
                <c:pt idx="474">
                  <c:v>43045</c:v>
                </c:pt>
                <c:pt idx="475">
                  <c:v>43041</c:v>
                </c:pt>
                <c:pt idx="476">
                  <c:v>43040</c:v>
                </c:pt>
                <c:pt idx="477">
                  <c:v>43039</c:v>
                </c:pt>
                <c:pt idx="478">
                  <c:v>43038</c:v>
                </c:pt>
                <c:pt idx="479">
                  <c:v>43035</c:v>
                </c:pt>
                <c:pt idx="480">
                  <c:v>43034</c:v>
                </c:pt>
                <c:pt idx="481">
                  <c:v>43033</c:v>
                </c:pt>
                <c:pt idx="482">
                  <c:v>43032</c:v>
                </c:pt>
                <c:pt idx="483">
                  <c:v>43031</c:v>
                </c:pt>
                <c:pt idx="484">
                  <c:v>43028</c:v>
                </c:pt>
                <c:pt idx="485">
                  <c:v>43027</c:v>
                </c:pt>
                <c:pt idx="486">
                  <c:v>43026</c:v>
                </c:pt>
                <c:pt idx="487">
                  <c:v>43025</c:v>
                </c:pt>
                <c:pt idx="488">
                  <c:v>43024</c:v>
                </c:pt>
                <c:pt idx="489">
                  <c:v>43021</c:v>
                </c:pt>
                <c:pt idx="490">
                  <c:v>43020</c:v>
                </c:pt>
                <c:pt idx="491">
                  <c:v>43019</c:v>
                </c:pt>
                <c:pt idx="492">
                  <c:v>43018</c:v>
                </c:pt>
                <c:pt idx="493">
                  <c:v>43014</c:v>
                </c:pt>
                <c:pt idx="494">
                  <c:v>43013</c:v>
                </c:pt>
                <c:pt idx="495">
                  <c:v>43012</c:v>
                </c:pt>
                <c:pt idx="496">
                  <c:v>43011</c:v>
                </c:pt>
                <c:pt idx="497">
                  <c:v>43010</c:v>
                </c:pt>
                <c:pt idx="498">
                  <c:v>43007</c:v>
                </c:pt>
                <c:pt idx="499">
                  <c:v>43006</c:v>
                </c:pt>
                <c:pt idx="500">
                  <c:v>43005</c:v>
                </c:pt>
                <c:pt idx="501">
                  <c:v>43004</c:v>
                </c:pt>
                <c:pt idx="502">
                  <c:v>43003</c:v>
                </c:pt>
                <c:pt idx="503">
                  <c:v>43000</c:v>
                </c:pt>
                <c:pt idx="504">
                  <c:v>42999</c:v>
                </c:pt>
                <c:pt idx="505">
                  <c:v>42998</c:v>
                </c:pt>
                <c:pt idx="506">
                  <c:v>42997</c:v>
                </c:pt>
                <c:pt idx="507">
                  <c:v>42993</c:v>
                </c:pt>
                <c:pt idx="508">
                  <c:v>42992</c:v>
                </c:pt>
                <c:pt idx="509">
                  <c:v>42991</c:v>
                </c:pt>
                <c:pt idx="510">
                  <c:v>42990</c:v>
                </c:pt>
                <c:pt idx="511">
                  <c:v>42989</c:v>
                </c:pt>
                <c:pt idx="512">
                  <c:v>42986</c:v>
                </c:pt>
                <c:pt idx="513">
                  <c:v>42985</c:v>
                </c:pt>
                <c:pt idx="514">
                  <c:v>42984</c:v>
                </c:pt>
                <c:pt idx="515">
                  <c:v>42983</c:v>
                </c:pt>
                <c:pt idx="516">
                  <c:v>42982</c:v>
                </c:pt>
                <c:pt idx="517">
                  <c:v>42979</c:v>
                </c:pt>
                <c:pt idx="518">
                  <c:v>42978</c:v>
                </c:pt>
                <c:pt idx="519">
                  <c:v>42977</c:v>
                </c:pt>
                <c:pt idx="520">
                  <c:v>42976</c:v>
                </c:pt>
                <c:pt idx="521">
                  <c:v>42975</c:v>
                </c:pt>
                <c:pt idx="522">
                  <c:v>42972</c:v>
                </c:pt>
                <c:pt idx="523">
                  <c:v>42971</c:v>
                </c:pt>
                <c:pt idx="524">
                  <c:v>42970</c:v>
                </c:pt>
                <c:pt idx="525">
                  <c:v>42969</c:v>
                </c:pt>
                <c:pt idx="526">
                  <c:v>42968</c:v>
                </c:pt>
                <c:pt idx="527">
                  <c:v>42965</c:v>
                </c:pt>
                <c:pt idx="528">
                  <c:v>42964</c:v>
                </c:pt>
                <c:pt idx="529">
                  <c:v>42963</c:v>
                </c:pt>
                <c:pt idx="530">
                  <c:v>42962</c:v>
                </c:pt>
                <c:pt idx="531">
                  <c:v>42961</c:v>
                </c:pt>
                <c:pt idx="532">
                  <c:v>42957</c:v>
                </c:pt>
                <c:pt idx="533">
                  <c:v>42956</c:v>
                </c:pt>
                <c:pt idx="534">
                  <c:v>42955</c:v>
                </c:pt>
                <c:pt idx="535">
                  <c:v>42954</c:v>
                </c:pt>
                <c:pt idx="536">
                  <c:v>42951</c:v>
                </c:pt>
                <c:pt idx="537">
                  <c:v>42950</c:v>
                </c:pt>
                <c:pt idx="538">
                  <c:v>42949</c:v>
                </c:pt>
                <c:pt idx="539">
                  <c:v>42948</c:v>
                </c:pt>
                <c:pt idx="540">
                  <c:v>42947</c:v>
                </c:pt>
                <c:pt idx="541">
                  <c:v>42944</c:v>
                </c:pt>
                <c:pt idx="542">
                  <c:v>42943</c:v>
                </c:pt>
                <c:pt idx="543">
                  <c:v>42942</c:v>
                </c:pt>
                <c:pt idx="544">
                  <c:v>42941</c:v>
                </c:pt>
                <c:pt idx="545">
                  <c:v>42940</c:v>
                </c:pt>
                <c:pt idx="546">
                  <c:v>42937</c:v>
                </c:pt>
                <c:pt idx="547">
                  <c:v>42936</c:v>
                </c:pt>
                <c:pt idx="548">
                  <c:v>42935</c:v>
                </c:pt>
                <c:pt idx="549">
                  <c:v>42934</c:v>
                </c:pt>
                <c:pt idx="550">
                  <c:v>42930</c:v>
                </c:pt>
                <c:pt idx="551">
                  <c:v>42929</c:v>
                </c:pt>
                <c:pt idx="552">
                  <c:v>42928</c:v>
                </c:pt>
                <c:pt idx="553">
                  <c:v>42927</c:v>
                </c:pt>
                <c:pt idx="554">
                  <c:v>42926</c:v>
                </c:pt>
                <c:pt idx="555">
                  <c:v>42923</c:v>
                </c:pt>
                <c:pt idx="556">
                  <c:v>42922</c:v>
                </c:pt>
                <c:pt idx="557">
                  <c:v>42921</c:v>
                </c:pt>
                <c:pt idx="558">
                  <c:v>42920</c:v>
                </c:pt>
                <c:pt idx="559">
                  <c:v>42919</c:v>
                </c:pt>
                <c:pt idx="560">
                  <c:v>42916</c:v>
                </c:pt>
                <c:pt idx="561">
                  <c:v>42915</c:v>
                </c:pt>
                <c:pt idx="562">
                  <c:v>42914</c:v>
                </c:pt>
                <c:pt idx="563">
                  <c:v>42913</c:v>
                </c:pt>
                <c:pt idx="564">
                  <c:v>42912</c:v>
                </c:pt>
                <c:pt idx="565">
                  <c:v>42909</c:v>
                </c:pt>
                <c:pt idx="566">
                  <c:v>42908</c:v>
                </c:pt>
                <c:pt idx="567">
                  <c:v>42907</c:v>
                </c:pt>
                <c:pt idx="568">
                  <c:v>42906</c:v>
                </c:pt>
                <c:pt idx="569">
                  <c:v>42905</c:v>
                </c:pt>
                <c:pt idx="570">
                  <c:v>42902</c:v>
                </c:pt>
                <c:pt idx="571">
                  <c:v>42901</c:v>
                </c:pt>
                <c:pt idx="572">
                  <c:v>42900</c:v>
                </c:pt>
                <c:pt idx="573">
                  <c:v>42899</c:v>
                </c:pt>
                <c:pt idx="574">
                  <c:v>42898</c:v>
                </c:pt>
                <c:pt idx="575">
                  <c:v>42895</c:v>
                </c:pt>
                <c:pt idx="576">
                  <c:v>42894</c:v>
                </c:pt>
                <c:pt idx="577">
                  <c:v>42893</c:v>
                </c:pt>
                <c:pt idx="578">
                  <c:v>42892</c:v>
                </c:pt>
                <c:pt idx="579">
                  <c:v>42891</c:v>
                </c:pt>
                <c:pt idx="580">
                  <c:v>42888</c:v>
                </c:pt>
                <c:pt idx="581">
                  <c:v>42887</c:v>
                </c:pt>
                <c:pt idx="582">
                  <c:v>42886</c:v>
                </c:pt>
                <c:pt idx="583">
                  <c:v>42885</c:v>
                </c:pt>
                <c:pt idx="584">
                  <c:v>42884</c:v>
                </c:pt>
                <c:pt idx="585">
                  <c:v>42881</c:v>
                </c:pt>
                <c:pt idx="586">
                  <c:v>42880</c:v>
                </c:pt>
                <c:pt idx="587">
                  <c:v>42879</c:v>
                </c:pt>
                <c:pt idx="588">
                  <c:v>42878</c:v>
                </c:pt>
                <c:pt idx="589">
                  <c:v>42877</c:v>
                </c:pt>
                <c:pt idx="590">
                  <c:v>42874</c:v>
                </c:pt>
                <c:pt idx="591">
                  <c:v>42873</c:v>
                </c:pt>
                <c:pt idx="592">
                  <c:v>42872</c:v>
                </c:pt>
                <c:pt idx="593">
                  <c:v>42871</c:v>
                </c:pt>
                <c:pt idx="594">
                  <c:v>42870</c:v>
                </c:pt>
                <c:pt idx="595">
                  <c:v>42867</c:v>
                </c:pt>
                <c:pt idx="596">
                  <c:v>42866</c:v>
                </c:pt>
                <c:pt idx="597">
                  <c:v>42865</c:v>
                </c:pt>
                <c:pt idx="598">
                  <c:v>42864</c:v>
                </c:pt>
                <c:pt idx="599">
                  <c:v>42863</c:v>
                </c:pt>
                <c:pt idx="600">
                  <c:v>42857</c:v>
                </c:pt>
                <c:pt idx="601">
                  <c:v>42856</c:v>
                </c:pt>
                <c:pt idx="602">
                  <c:v>42853</c:v>
                </c:pt>
                <c:pt idx="603">
                  <c:v>42852</c:v>
                </c:pt>
                <c:pt idx="604">
                  <c:v>42851</c:v>
                </c:pt>
                <c:pt idx="605">
                  <c:v>42850</c:v>
                </c:pt>
                <c:pt idx="606">
                  <c:v>42849</c:v>
                </c:pt>
                <c:pt idx="607">
                  <c:v>42846</c:v>
                </c:pt>
                <c:pt idx="608">
                  <c:v>42845</c:v>
                </c:pt>
                <c:pt idx="609">
                  <c:v>42844</c:v>
                </c:pt>
                <c:pt idx="610">
                  <c:v>42843</c:v>
                </c:pt>
                <c:pt idx="611">
                  <c:v>42842</c:v>
                </c:pt>
                <c:pt idx="612">
                  <c:v>42839</c:v>
                </c:pt>
                <c:pt idx="613">
                  <c:v>42838</c:v>
                </c:pt>
                <c:pt idx="614">
                  <c:v>42837</c:v>
                </c:pt>
                <c:pt idx="615">
                  <c:v>42836</c:v>
                </c:pt>
                <c:pt idx="616">
                  <c:v>42835</c:v>
                </c:pt>
                <c:pt idx="617">
                  <c:v>42832</c:v>
                </c:pt>
                <c:pt idx="618">
                  <c:v>42831</c:v>
                </c:pt>
                <c:pt idx="619">
                  <c:v>42830</c:v>
                </c:pt>
                <c:pt idx="620">
                  <c:v>42829</c:v>
                </c:pt>
                <c:pt idx="621">
                  <c:v>42828</c:v>
                </c:pt>
                <c:pt idx="622">
                  <c:v>42825</c:v>
                </c:pt>
                <c:pt idx="623">
                  <c:v>42824</c:v>
                </c:pt>
                <c:pt idx="624">
                  <c:v>42823</c:v>
                </c:pt>
                <c:pt idx="625">
                  <c:v>42822</c:v>
                </c:pt>
                <c:pt idx="626">
                  <c:v>42821</c:v>
                </c:pt>
                <c:pt idx="627">
                  <c:v>42818</c:v>
                </c:pt>
                <c:pt idx="628">
                  <c:v>42817</c:v>
                </c:pt>
                <c:pt idx="629">
                  <c:v>42816</c:v>
                </c:pt>
                <c:pt idx="630">
                  <c:v>42815</c:v>
                </c:pt>
                <c:pt idx="631">
                  <c:v>42811</c:v>
                </c:pt>
                <c:pt idx="632">
                  <c:v>42810</c:v>
                </c:pt>
                <c:pt idx="633">
                  <c:v>42809</c:v>
                </c:pt>
                <c:pt idx="634">
                  <c:v>42808</c:v>
                </c:pt>
                <c:pt idx="635">
                  <c:v>42807</c:v>
                </c:pt>
                <c:pt idx="636">
                  <c:v>42804</c:v>
                </c:pt>
                <c:pt idx="637">
                  <c:v>42803</c:v>
                </c:pt>
                <c:pt idx="638">
                  <c:v>42802</c:v>
                </c:pt>
                <c:pt idx="639">
                  <c:v>42801</c:v>
                </c:pt>
                <c:pt idx="640">
                  <c:v>42800</c:v>
                </c:pt>
                <c:pt idx="641">
                  <c:v>42797</c:v>
                </c:pt>
                <c:pt idx="642">
                  <c:v>42796</c:v>
                </c:pt>
                <c:pt idx="643">
                  <c:v>42795</c:v>
                </c:pt>
                <c:pt idx="644">
                  <c:v>42794</c:v>
                </c:pt>
                <c:pt idx="645">
                  <c:v>42793</c:v>
                </c:pt>
                <c:pt idx="646">
                  <c:v>42790</c:v>
                </c:pt>
                <c:pt idx="647">
                  <c:v>42789</c:v>
                </c:pt>
                <c:pt idx="648">
                  <c:v>42788</c:v>
                </c:pt>
                <c:pt idx="649">
                  <c:v>42787</c:v>
                </c:pt>
                <c:pt idx="650">
                  <c:v>42786</c:v>
                </c:pt>
                <c:pt idx="651">
                  <c:v>42783</c:v>
                </c:pt>
                <c:pt idx="652">
                  <c:v>42782</c:v>
                </c:pt>
                <c:pt idx="653">
                  <c:v>42781</c:v>
                </c:pt>
                <c:pt idx="654">
                  <c:v>42780</c:v>
                </c:pt>
                <c:pt idx="655">
                  <c:v>42779</c:v>
                </c:pt>
                <c:pt idx="656">
                  <c:v>42776</c:v>
                </c:pt>
                <c:pt idx="657">
                  <c:v>42775</c:v>
                </c:pt>
                <c:pt idx="658">
                  <c:v>42774</c:v>
                </c:pt>
                <c:pt idx="659">
                  <c:v>42773</c:v>
                </c:pt>
                <c:pt idx="660">
                  <c:v>42772</c:v>
                </c:pt>
                <c:pt idx="661">
                  <c:v>42769</c:v>
                </c:pt>
              </c:numCache>
            </c:numRef>
          </c:cat>
          <c:val>
            <c:numRef>
              <c:f>グラフ!$F$42:$F$703</c:f>
              <c:numCache>
                <c:formatCode>General</c:formatCode>
                <c:ptCount val="662"/>
                <c:pt idx="0">
                  <c:v>2.2954545454545401</c:v>
                </c:pt>
                <c:pt idx="1">
                  <c:v>2.2713004484304902</c:v>
                </c:pt>
                <c:pt idx="2">
                  <c:v>2.2863534675615198</c:v>
                </c:pt>
                <c:pt idx="3">
                  <c:v>2.2737556561085901</c:v>
                </c:pt>
                <c:pt idx="4">
                  <c:v>2.2157303370786501</c:v>
                </c:pt>
                <c:pt idx="5">
                  <c:v>2.2017937219730901</c:v>
                </c:pt>
                <c:pt idx="6">
                  <c:v>2.17937219730941</c:v>
                </c:pt>
                <c:pt idx="7">
                  <c:v>2.1949541284403602</c:v>
                </c:pt>
                <c:pt idx="8">
                  <c:v>2.19585253456221</c:v>
                </c:pt>
                <c:pt idx="9">
                  <c:v>2.1908045977011401</c:v>
                </c:pt>
                <c:pt idx="10">
                  <c:v>2.1941309255079</c:v>
                </c:pt>
                <c:pt idx="11">
                  <c:v>2.1959459459459398</c:v>
                </c:pt>
                <c:pt idx="12">
                  <c:v>2.2105263157894699</c:v>
                </c:pt>
                <c:pt idx="13">
                  <c:v>2.2448512585812299</c:v>
                </c:pt>
                <c:pt idx="14">
                  <c:v>2.2538975501113501</c:v>
                </c:pt>
                <c:pt idx="15">
                  <c:v>2.1907894736842102</c:v>
                </c:pt>
                <c:pt idx="16">
                  <c:v>2.2130044843049301</c:v>
                </c:pt>
                <c:pt idx="17">
                  <c:v>2.1977528089887599</c:v>
                </c:pt>
                <c:pt idx="18">
                  <c:v>2.2247191011235898</c:v>
                </c:pt>
                <c:pt idx="19">
                  <c:v>2.2262443438914001</c:v>
                </c:pt>
                <c:pt idx="20">
                  <c:v>2.2680180180180098</c:v>
                </c:pt>
                <c:pt idx="21">
                  <c:v>2.2136363636363598</c:v>
                </c:pt>
                <c:pt idx="22">
                  <c:v>2.1795454545454498</c:v>
                </c:pt>
                <c:pt idx="23">
                  <c:v>2.1659090909090901</c:v>
                </c:pt>
                <c:pt idx="24">
                  <c:v>2.1458333333333299</c:v>
                </c:pt>
                <c:pt idx="25">
                  <c:v>2.13551401869158</c:v>
                </c:pt>
                <c:pt idx="26">
                  <c:v>2.16904761904761</c:v>
                </c:pt>
                <c:pt idx="27">
                  <c:v>2.1750599520383598</c:v>
                </c:pt>
                <c:pt idx="28">
                  <c:v>2.1352657004830902</c:v>
                </c:pt>
                <c:pt idx="29">
                  <c:v>2.1618357487922699</c:v>
                </c:pt>
                <c:pt idx="30">
                  <c:v>2.0976190476190402</c:v>
                </c:pt>
                <c:pt idx="31">
                  <c:v>2.1334894613583102</c:v>
                </c:pt>
                <c:pt idx="32">
                  <c:v>2.1267942583732</c:v>
                </c:pt>
                <c:pt idx="33">
                  <c:v>2.12048192771084</c:v>
                </c:pt>
                <c:pt idx="34">
                  <c:v>2.1193317422434301</c:v>
                </c:pt>
                <c:pt idx="35">
                  <c:v>2.1084337349397502</c:v>
                </c:pt>
                <c:pt idx="36">
                  <c:v>2.11666666666666</c:v>
                </c:pt>
                <c:pt idx="37">
                  <c:v>2.1124401913875599</c:v>
                </c:pt>
                <c:pt idx="38">
                  <c:v>2.1373493975903601</c:v>
                </c:pt>
                <c:pt idx="39">
                  <c:v>2.1255924170616098</c:v>
                </c:pt>
                <c:pt idx="40">
                  <c:v>2.11961722488038</c:v>
                </c:pt>
                <c:pt idx="41">
                  <c:v>2.1225961538461502</c:v>
                </c:pt>
                <c:pt idx="42">
                  <c:v>2.1674876847290601</c:v>
                </c:pt>
                <c:pt idx="43">
                  <c:v>2.14043583535108</c:v>
                </c:pt>
                <c:pt idx="44">
                  <c:v>2.15024630541871</c:v>
                </c:pt>
                <c:pt idx="45">
                  <c:v>2.1397590361445702</c:v>
                </c:pt>
                <c:pt idx="46">
                  <c:v>2.1598062953995099</c:v>
                </c:pt>
                <c:pt idx="47">
                  <c:v>2.1073985680190899</c:v>
                </c:pt>
                <c:pt idx="48">
                  <c:v>2.11722488038277</c:v>
                </c:pt>
                <c:pt idx="49">
                  <c:v>2.1199040767385999</c:v>
                </c:pt>
                <c:pt idx="50">
                  <c:v>2.16152019002375</c:v>
                </c:pt>
                <c:pt idx="51">
                  <c:v>2.2042253521126698</c:v>
                </c:pt>
                <c:pt idx="52">
                  <c:v>2.2134570765661201</c:v>
                </c:pt>
                <c:pt idx="53">
                  <c:v>2.1981351981351902</c:v>
                </c:pt>
                <c:pt idx="54">
                  <c:v>2.1347031963470302</c:v>
                </c:pt>
                <c:pt idx="55">
                  <c:v>2.12018140589569</c:v>
                </c:pt>
                <c:pt idx="56">
                  <c:v>2.1269841269841199</c:v>
                </c:pt>
                <c:pt idx="57">
                  <c:v>2.1617312072892898</c:v>
                </c:pt>
                <c:pt idx="58">
                  <c:v>2.1666666666666599</c:v>
                </c:pt>
                <c:pt idx="59">
                  <c:v>2.14942528735632</c:v>
                </c:pt>
                <c:pt idx="60">
                  <c:v>2.1705069124423901</c:v>
                </c:pt>
                <c:pt idx="61">
                  <c:v>2.1627358490566002</c:v>
                </c:pt>
                <c:pt idx="62">
                  <c:v>2.1809744779582299</c:v>
                </c:pt>
                <c:pt idx="63">
                  <c:v>2.1517241379310299</c:v>
                </c:pt>
                <c:pt idx="64">
                  <c:v>2.1559633027522902</c:v>
                </c:pt>
                <c:pt idx="65">
                  <c:v>2.1589861751152002</c:v>
                </c:pt>
                <c:pt idx="66">
                  <c:v>2.18075117370892</c:v>
                </c:pt>
                <c:pt idx="67">
                  <c:v>2.1293302540415699</c:v>
                </c:pt>
                <c:pt idx="68">
                  <c:v>2.1392111368909501</c:v>
                </c:pt>
                <c:pt idx="69">
                  <c:v>2.1444954128440301</c:v>
                </c:pt>
                <c:pt idx="70">
                  <c:v>2.1199095022624399</c:v>
                </c:pt>
                <c:pt idx="71">
                  <c:v>2.0812641083521402</c:v>
                </c:pt>
                <c:pt idx="72">
                  <c:v>2.1118721461187202</c:v>
                </c:pt>
                <c:pt idx="73">
                  <c:v>2.11415525114155</c:v>
                </c:pt>
                <c:pt idx="74">
                  <c:v>2.1428571428571401</c:v>
                </c:pt>
                <c:pt idx="75">
                  <c:v>2.1053864168618199</c:v>
                </c:pt>
                <c:pt idx="76">
                  <c:v>2.0780141843971598</c:v>
                </c:pt>
                <c:pt idx="77">
                  <c:v>2.0821596244131402</c:v>
                </c:pt>
                <c:pt idx="78">
                  <c:v>2.13095238095238</c:v>
                </c:pt>
                <c:pt idx="79">
                  <c:v>2.05555555555555</c:v>
                </c:pt>
                <c:pt idx="80">
                  <c:v>2.1357142857142799</c:v>
                </c:pt>
                <c:pt idx="81">
                  <c:v>2.1531100478468899</c:v>
                </c:pt>
                <c:pt idx="82">
                  <c:v>2.1231884057971002</c:v>
                </c:pt>
                <c:pt idx="83">
                  <c:v>2.1490384615384599</c:v>
                </c:pt>
                <c:pt idx="84">
                  <c:v>2.1158392434988098</c:v>
                </c:pt>
                <c:pt idx="85">
                  <c:v>2.1018957345971501</c:v>
                </c:pt>
                <c:pt idx="86">
                  <c:v>2.1320754716981098</c:v>
                </c:pt>
                <c:pt idx="87">
                  <c:v>2.1547619047619002</c:v>
                </c:pt>
                <c:pt idx="88">
                  <c:v>2.1367924528301798</c:v>
                </c:pt>
                <c:pt idx="89">
                  <c:v>2.1018957345971501</c:v>
                </c:pt>
                <c:pt idx="90">
                  <c:v>2.11401425178147</c:v>
                </c:pt>
                <c:pt idx="91">
                  <c:v>2.1514423076922999</c:v>
                </c:pt>
                <c:pt idx="92">
                  <c:v>2.10551558752997</c:v>
                </c:pt>
                <c:pt idx="93">
                  <c:v>2.11463414634146</c:v>
                </c:pt>
                <c:pt idx="94">
                  <c:v>2.1307506053268699</c:v>
                </c:pt>
                <c:pt idx="95">
                  <c:v>2.1116389548693499</c:v>
                </c:pt>
                <c:pt idx="96">
                  <c:v>2.1142857142857099</c:v>
                </c:pt>
                <c:pt idx="97">
                  <c:v>2.0781990521327001</c:v>
                </c:pt>
                <c:pt idx="98">
                  <c:v>2.1238095238095198</c:v>
                </c:pt>
                <c:pt idx="99">
                  <c:v>2.1318944844124701</c:v>
                </c:pt>
                <c:pt idx="100">
                  <c:v>2.1258907363420398</c:v>
                </c:pt>
                <c:pt idx="101">
                  <c:v>2.15035799522673</c:v>
                </c:pt>
                <c:pt idx="102">
                  <c:v>2.0892018779342698</c:v>
                </c:pt>
                <c:pt idx="103">
                  <c:v>2.1551312649164598</c:v>
                </c:pt>
                <c:pt idx="104">
                  <c:v>2.14251207729468</c:v>
                </c:pt>
                <c:pt idx="105">
                  <c:v>2.1945812807881699</c:v>
                </c:pt>
                <c:pt idx="106">
                  <c:v>2.1965601965601902</c:v>
                </c:pt>
                <c:pt idx="107">
                  <c:v>2.1193317422434301</c:v>
                </c:pt>
                <c:pt idx="108">
                  <c:v>2.1071428571428501</c:v>
                </c:pt>
                <c:pt idx="109">
                  <c:v>2.0771028037383101</c:v>
                </c:pt>
                <c:pt idx="110">
                  <c:v>2.1004672897196199</c:v>
                </c:pt>
                <c:pt idx="111">
                  <c:v>2.0990783410138198</c:v>
                </c:pt>
                <c:pt idx="112">
                  <c:v>2.1803652968036502</c:v>
                </c:pt>
                <c:pt idx="113">
                  <c:v>2.1058558558558498</c:v>
                </c:pt>
                <c:pt idx="114">
                  <c:v>2.0900900900900901</c:v>
                </c:pt>
                <c:pt idx="115">
                  <c:v>2.0539325842696599</c:v>
                </c:pt>
                <c:pt idx="116">
                  <c:v>2.0874439461883401</c:v>
                </c:pt>
                <c:pt idx="117">
                  <c:v>2.0837104072398098</c:v>
                </c:pt>
                <c:pt idx="118">
                  <c:v>2.0515695067264499</c:v>
                </c:pt>
                <c:pt idx="119">
                  <c:v>2.04708520179372</c:v>
                </c:pt>
                <c:pt idx="120">
                  <c:v>2.0707964601769899</c:v>
                </c:pt>
                <c:pt idx="121">
                  <c:v>2.0659340659340599</c:v>
                </c:pt>
                <c:pt idx="122">
                  <c:v>2.0590809628008699</c:v>
                </c:pt>
                <c:pt idx="123">
                  <c:v>2.0712694877505502</c:v>
                </c:pt>
                <c:pt idx="124">
                  <c:v>2.0598669623059802</c:v>
                </c:pt>
                <c:pt idx="125">
                  <c:v>2.0864745011086399</c:v>
                </c:pt>
                <c:pt idx="126">
                  <c:v>2.0700218818380698</c:v>
                </c:pt>
                <c:pt idx="127">
                  <c:v>2.0851528384279399</c:v>
                </c:pt>
                <c:pt idx="128">
                  <c:v>2.0840517241379302</c:v>
                </c:pt>
                <c:pt idx="129">
                  <c:v>2.0978260869565202</c:v>
                </c:pt>
                <c:pt idx="130">
                  <c:v>2.0757575757575699</c:v>
                </c:pt>
                <c:pt idx="131">
                  <c:v>2.0774193548387099</c:v>
                </c:pt>
                <c:pt idx="132">
                  <c:v>2.0444915254237199</c:v>
                </c:pt>
                <c:pt idx="133">
                  <c:v>2.0565217391304298</c:v>
                </c:pt>
                <c:pt idx="134">
                  <c:v>2.0365591397849401</c:v>
                </c:pt>
                <c:pt idx="135">
                  <c:v>2.0552016985138</c:v>
                </c:pt>
                <c:pt idx="136">
                  <c:v>2.02479338842975</c:v>
                </c:pt>
                <c:pt idx="137">
                  <c:v>2.0295983086680698</c:v>
                </c:pt>
                <c:pt idx="138">
                  <c:v>2.0040733197556002</c:v>
                </c:pt>
                <c:pt idx="139">
                  <c:v>2.03305785123966</c:v>
                </c:pt>
                <c:pt idx="140">
                  <c:v>2.05010438413361</c:v>
                </c:pt>
                <c:pt idx="141">
                  <c:v>2.0777310924369701</c:v>
                </c:pt>
                <c:pt idx="142">
                  <c:v>2.0715789473684199</c:v>
                </c:pt>
                <c:pt idx="143">
                  <c:v>2.1142241379310298</c:v>
                </c:pt>
                <c:pt idx="144">
                  <c:v>2.1349036402569501</c:v>
                </c:pt>
                <c:pt idx="145">
                  <c:v>2.1097046413502101</c:v>
                </c:pt>
                <c:pt idx="146">
                  <c:v>2.1111111111111098</c:v>
                </c:pt>
                <c:pt idx="147">
                  <c:v>2.1040339702759998</c:v>
                </c:pt>
                <c:pt idx="148">
                  <c:v>2.1224066390041401</c:v>
                </c:pt>
                <c:pt idx="149">
                  <c:v>2.0882956878850099</c:v>
                </c:pt>
                <c:pt idx="150">
                  <c:v>2.0736196319018401</c:v>
                </c:pt>
                <c:pt idx="151">
                  <c:v>2.0342741935483799</c:v>
                </c:pt>
                <c:pt idx="152">
                  <c:v>2.0468431771894</c:v>
                </c:pt>
                <c:pt idx="153">
                  <c:v>2</c:v>
                </c:pt>
                <c:pt idx="154">
                  <c:v>2.0443548387096699</c:v>
                </c:pt>
                <c:pt idx="155">
                  <c:v>2.0699588477366202</c:v>
                </c:pt>
                <c:pt idx="156">
                  <c:v>2.1097560975609699</c:v>
                </c:pt>
                <c:pt idx="157">
                  <c:v>2.0578842315369199</c:v>
                </c:pt>
                <c:pt idx="158">
                  <c:v>2.02574257425742</c:v>
                </c:pt>
                <c:pt idx="159">
                  <c:v>2.0903614457831301</c:v>
                </c:pt>
                <c:pt idx="160">
                  <c:v>2.0744466800804799</c:v>
                </c:pt>
                <c:pt idx="161">
                  <c:v>2.06</c:v>
                </c:pt>
                <c:pt idx="162">
                  <c:v>2.0419999999999998</c:v>
                </c:pt>
                <c:pt idx="163">
                  <c:v>1.9902152641878601</c:v>
                </c:pt>
                <c:pt idx="164">
                  <c:v>2.008</c:v>
                </c:pt>
                <c:pt idx="165">
                  <c:v>2.02032520325203</c:v>
                </c:pt>
                <c:pt idx="166">
                  <c:v>2.0951374207188098</c:v>
                </c:pt>
                <c:pt idx="167">
                  <c:v>2.1014799154334001</c:v>
                </c:pt>
                <c:pt idx="168">
                  <c:v>2.13987473903966</c:v>
                </c:pt>
                <c:pt idx="169">
                  <c:v>2.10537190082644</c:v>
                </c:pt>
                <c:pt idx="170">
                  <c:v>2.12190082644628</c:v>
                </c:pt>
                <c:pt idx="171">
                  <c:v>2.0791666666666599</c:v>
                </c:pt>
                <c:pt idx="172">
                  <c:v>2.1336116910229599</c:v>
                </c:pt>
                <c:pt idx="173">
                  <c:v>2.1063394683026502</c:v>
                </c:pt>
                <c:pt idx="174">
                  <c:v>2.10450819672131</c:v>
                </c:pt>
                <c:pt idx="175">
                  <c:v>2.1294363256784901</c:v>
                </c:pt>
                <c:pt idx="176">
                  <c:v>2.1631799163179899</c:v>
                </c:pt>
                <c:pt idx="177">
                  <c:v>2.19456066945606</c:v>
                </c:pt>
                <c:pt idx="178">
                  <c:v>2.2084210526315702</c:v>
                </c:pt>
                <c:pt idx="179">
                  <c:v>2.1937500000000001</c:v>
                </c:pt>
                <c:pt idx="180">
                  <c:v>2.2141372141372102</c:v>
                </c:pt>
                <c:pt idx="181">
                  <c:v>2.2099792099792102</c:v>
                </c:pt>
                <c:pt idx="182">
                  <c:v>2.1556016597510301</c:v>
                </c:pt>
                <c:pt idx="183">
                  <c:v>2.1789473684210501</c:v>
                </c:pt>
                <c:pt idx="184">
                  <c:v>2.2066805845511399</c:v>
                </c:pt>
                <c:pt idx="185">
                  <c:v>2.2045929018789101</c:v>
                </c:pt>
                <c:pt idx="186">
                  <c:v>2.1677018633540301</c:v>
                </c:pt>
                <c:pt idx="187">
                  <c:v>2.1356275303643701</c:v>
                </c:pt>
                <c:pt idx="188">
                  <c:v>2.1659836065573699</c:v>
                </c:pt>
                <c:pt idx="189">
                  <c:v>2.1376518218623399</c:v>
                </c:pt>
                <c:pt idx="190">
                  <c:v>2.16563146997929</c:v>
                </c:pt>
                <c:pt idx="191">
                  <c:v>2.2750533049040502</c:v>
                </c:pt>
                <c:pt idx="192">
                  <c:v>2.2606837606837602</c:v>
                </c:pt>
                <c:pt idx="193">
                  <c:v>2.2128603104212798</c:v>
                </c:pt>
                <c:pt idx="194">
                  <c:v>2.2035794183445101</c:v>
                </c:pt>
                <c:pt idx="195">
                  <c:v>2.2047413793103399</c:v>
                </c:pt>
                <c:pt idx="196">
                  <c:v>2.1751054852320602</c:v>
                </c:pt>
                <c:pt idx="197">
                  <c:v>2.1670061099796301</c:v>
                </c:pt>
                <c:pt idx="198">
                  <c:v>2.1497975708502</c:v>
                </c:pt>
                <c:pt idx="199">
                  <c:v>2.1203883495145601</c:v>
                </c:pt>
                <c:pt idx="200">
                  <c:v>2.08143939393939</c:v>
                </c:pt>
                <c:pt idx="201">
                  <c:v>2.1037735849056598</c:v>
                </c:pt>
                <c:pt idx="202">
                  <c:v>2.10687022900763</c:v>
                </c:pt>
                <c:pt idx="203">
                  <c:v>2.0905587668593402</c:v>
                </c:pt>
                <c:pt idx="204">
                  <c:v>2.1168582375478899</c:v>
                </c:pt>
                <c:pt idx="205">
                  <c:v>2.11069418386491</c:v>
                </c:pt>
                <c:pt idx="206">
                  <c:v>2.1018867924528299</c:v>
                </c:pt>
                <c:pt idx="207">
                  <c:v>2.1142322097378199</c:v>
                </c:pt>
                <c:pt idx="208">
                  <c:v>2.1031894934333901</c:v>
                </c:pt>
                <c:pt idx="209">
                  <c:v>2.1362799263351699</c:v>
                </c:pt>
                <c:pt idx="210">
                  <c:v>2.1535648994515499</c:v>
                </c:pt>
                <c:pt idx="211">
                  <c:v>2.12363636363636</c:v>
                </c:pt>
                <c:pt idx="212">
                  <c:v>2.14154411764705</c:v>
                </c:pt>
                <c:pt idx="213">
                  <c:v>2.0539568345323702</c:v>
                </c:pt>
                <c:pt idx="214">
                  <c:v>2.05585585585585</c:v>
                </c:pt>
                <c:pt idx="215">
                  <c:v>2.07339449541284</c:v>
                </c:pt>
                <c:pt idx="216">
                  <c:v>2.0939849624060098</c:v>
                </c:pt>
                <c:pt idx="217">
                  <c:v>2.125</c:v>
                </c:pt>
                <c:pt idx="218">
                  <c:v>2.12927756653992</c:v>
                </c:pt>
                <c:pt idx="219">
                  <c:v>2.0934579439252299</c:v>
                </c:pt>
                <c:pt idx="220">
                  <c:v>2.1555977229601502</c:v>
                </c:pt>
                <c:pt idx="221">
                  <c:v>2.1485714285714201</c:v>
                </c:pt>
                <c:pt idx="222">
                  <c:v>2.1612903225806401</c:v>
                </c:pt>
                <c:pt idx="223">
                  <c:v>2.1679104477611899</c:v>
                </c:pt>
                <c:pt idx="224">
                  <c:v>2.15298507462686</c:v>
                </c:pt>
                <c:pt idx="225">
                  <c:v>2.1704545454545401</c:v>
                </c:pt>
                <c:pt idx="226">
                  <c:v>2.2217898832684799</c:v>
                </c:pt>
                <c:pt idx="227">
                  <c:v>2.2718446601941702</c:v>
                </c:pt>
                <c:pt idx="228">
                  <c:v>2.2829457364341001</c:v>
                </c:pt>
                <c:pt idx="229">
                  <c:v>2.2746615087040598</c:v>
                </c:pt>
                <c:pt idx="230">
                  <c:v>2.3019230769230701</c:v>
                </c:pt>
                <c:pt idx="231">
                  <c:v>2.2948207171314698</c:v>
                </c:pt>
                <c:pt idx="232">
                  <c:v>2.1062124248496898</c:v>
                </c:pt>
                <c:pt idx="233">
                  <c:v>2.0998003992015901</c:v>
                </c:pt>
                <c:pt idx="234">
                  <c:v>2.12096774193548</c:v>
                </c:pt>
                <c:pt idx="235">
                  <c:v>2.1135458167330601</c:v>
                </c:pt>
                <c:pt idx="236">
                  <c:v>2.1156069364161798</c:v>
                </c:pt>
                <c:pt idx="237">
                  <c:v>2.0912621359223298</c:v>
                </c:pt>
                <c:pt idx="238">
                  <c:v>2.11089866156787</c:v>
                </c:pt>
                <c:pt idx="239">
                  <c:v>2.1204588910133801</c:v>
                </c:pt>
                <c:pt idx="240">
                  <c:v>2.1145038167938899</c:v>
                </c:pt>
                <c:pt idx="241">
                  <c:v>2.1445086705202301</c:v>
                </c:pt>
                <c:pt idx="242">
                  <c:v>2.1089494163424098</c:v>
                </c:pt>
                <c:pt idx="243">
                  <c:v>2.11198428290766</c:v>
                </c:pt>
                <c:pt idx="244">
                  <c:v>2.15234375</c:v>
                </c:pt>
                <c:pt idx="245">
                  <c:v>2.1617933723196798</c:v>
                </c:pt>
                <c:pt idx="246">
                  <c:v>2.1450094161958502</c:v>
                </c:pt>
                <c:pt idx="247">
                  <c:v>2.1685393258426902</c:v>
                </c:pt>
                <c:pt idx="248">
                  <c:v>2.17777777777777</c:v>
                </c:pt>
                <c:pt idx="249">
                  <c:v>2.1691176470588198</c:v>
                </c:pt>
                <c:pt idx="250">
                  <c:v>2.1546961325966798</c:v>
                </c:pt>
                <c:pt idx="251">
                  <c:v>2.16697247706422</c:v>
                </c:pt>
                <c:pt idx="252">
                  <c:v>2.1514598540145902</c:v>
                </c:pt>
                <c:pt idx="253">
                  <c:v>2.1405109489051002</c:v>
                </c:pt>
                <c:pt idx="254">
                  <c:v>2.1052631578947301</c:v>
                </c:pt>
                <c:pt idx="255">
                  <c:v>2.1124999999999998</c:v>
                </c:pt>
                <c:pt idx="256">
                  <c:v>2.1174377224199201</c:v>
                </c:pt>
                <c:pt idx="257">
                  <c:v>2.08976660682226</c:v>
                </c:pt>
                <c:pt idx="258">
                  <c:v>2.05234657039711</c:v>
                </c:pt>
                <c:pt idx="259">
                  <c:v>2.0543478260869499</c:v>
                </c:pt>
                <c:pt idx="260">
                  <c:v>2.0637522768670298</c:v>
                </c:pt>
                <c:pt idx="261">
                  <c:v>2.0577281191806298</c:v>
                </c:pt>
                <c:pt idx="262">
                  <c:v>2.03538175046554</c:v>
                </c:pt>
                <c:pt idx="263">
                  <c:v>2.0300751879699201</c:v>
                </c:pt>
                <c:pt idx="264">
                  <c:v>2.0151228733459301</c:v>
                </c:pt>
                <c:pt idx="265">
                  <c:v>2.0497131931166299</c:v>
                </c:pt>
                <c:pt idx="266">
                  <c:v>2.06692160611854</c:v>
                </c:pt>
                <c:pt idx="267">
                  <c:v>2.0725190839694601</c:v>
                </c:pt>
                <c:pt idx="268">
                  <c:v>2.04789272030651</c:v>
                </c:pt>
                <c:pt idx="269">
                  <c:v>2.0514285714285698</c:v>
                </c:pt>
                <c:pt idx="270">
                  <c:v>2.05849056603773</c:v>
                </c:pt>
                <c:pt idx="271">
                  <c:v>2.1159695817490398</c:v>
                </c:pt>
                <c:pt idx="272">
                  <c:v>2.0988593155893498</c:v>
                </c:pt>
                <c:pt idx="273">
                  <c:v>2.1062618595825402</c:v>
                </c:pt>
                <c:pt idx="274">
                  <c:v>2.1264367816091898</c:v>
                </c:pt>
                <c:pt idx="275">
                  <c:v>2.1140684410646302</c:v>
                </c:pt>
                <c:pt idx="276">
                  <c:v>2.1142857142857099</c:v>
                </c:pt>
                <c:pt idx="277">
                  <c:v>2.1190019193857901</c:v>
                </c:pt>
                <c:pt idx="278">
                  <c:v>2.1153846153846101</c:v>
                </c:pt>
                <c:pt idx="279">
                  <c:v>2.1042471042470998</c:v>
                </c:pt>
                <c:pt idx="280">
                  <c:v>2.1411992263055999</c:v>
                </c:pt>
                <c:pt idx="281">
                  <c:v>2.1491395793499</c:v>
                </c:pt>
                <c:pt idx="282">
                  <c:v>2.1529636711280999</c:v>
                </c:pt>
                <c:pt idx="283">
                  <c:v>2.1749999999999998</c:v>
                </c:pt>
                <c:pt idx="284">
                  <c:v>2.1912045889101299</c:v>
                </c:pt>
                <c:pt idx="285">
                  <c:v>2.1945525291828698</c:v>
                </c:pt>
                <c:pt idx="286">
                  <c:v>2.1761363636363602</c:v>
                </c:pt>
                <c:pt idx="287">
                  <c:v>2.1425855513307899</c:v>
                </c:pt>
                <c:pt idx="288">
                  <c:v>2.0992509363295802</c:v>
                </c:pt>
                <c:pt idx="289">
                  <c:v>2.0722222222222202</c:v>
                </c:pt>
                <c:pt idx="290">
                  <c:v>2.1268939393939301</c:v>
                </c:pt>
                <c:pt idx="291">
                  <c:v>2.2196531791907499</c:v>
                </c:pt>
                <c:pt idx="292">
                  <c:v>2.2586206896551699</c:v>
                </c:pt>
                <c:pt idx="293">
                  <c:v>2.2267657992565</c:v>
                </c:pt>
                <c:pt idx="294">
                  <c:v>2.1819887429643501</c:v>
                </c:pt>
                <c:pt idx="295">
                  <c:v>2.3438661710037101</c:v>
                </c:pt>
                <c:pt idx="296">
                  <c:v>2.3314711359403999</c:v>
                </c:pt>
                <c:pt idx="297">
                  <c:v>2.3210332103321001</c:v>
                </c:pt>
                <c:pt idx="298">
                  <c:v>2.3068391866913101</c:v>
                </c:pt>
                <c:pt idx="299">
                  <c:v>2.2432432432432399</c:v>
                </c:pt>
                <c:pt idx="300">
                  <c:v>2.2032374100719401</c:v>
                </c:pt>
                <c:pt idx="301">
                  <c:v>2.1776198934280599</c:v>
                </c:pt>
                <c:pt idx="302">
                  <c:v>2.2085561497326198</c:v>
                </c:pt>
                <c:pt idx="303">
                  <c:v>2.2513661202185702</c:v>
                </c:pt>
                <c:pt idx="304">
                  <c:v>2.2364620938628099</c:v>
                </c:pt>
                <c:pt idx="305">
                  <c:v>2.2798507462686501</c:v>
                </c:pt>
                <c:pt idx="306">
                  <c:v>2.23888888888888</c:v>
                </c:pt>
                <c:pt idx="307">
                  <c:v>2.2420856610800701</c:v>
                </c:pt>
                <c:pt idx="308">
                  <c:v>2.2236598890942698</c:v>
                </c:pt>
                <c:pt idx="309">
                  <c:v>2.1798165137614598</c:v>
                </c:pt>
                <c:pt idx="310">
                  <c:v>2.1412844036697201</c:v>
                </c:pt>
                <c:pt idx="311">
                  <c:v>2.2438095238095199</c:v>
                </c:pt>
                <c:pt idx="312">
                  <c:v>2.2317757009345698</c:v>
                </c:pt>
                <c:pt idx="313">
                  <c:v>2.2606177606177602</c:v>
                </c:pt>
                <c:pt idx="314">
                  <c:v>2.2044609665427499</c:v>
                </c:pt>
                <c:pt idx="315">
                  <c:v>2.3030303030303001</c:v>
                </c:pt>
                <c:pt idx="316">
                  <c:v>2.3212237093690198</c:v>
                </c:pt>
                <c:pt idx="317">
                  <c:v>2.3396946564885401</c:v>
                </c:pt>
                <c:pt idx="318">
                  <c:v>2.3193116634799198</c:v>
                </c:pt>
                <c:pt idx="319">
                  <c:v>2.3516699410609001</c:v>
                </c:pt>
                <c:pt idx="320">
                  <c:v>2.36893203883495</c:v>
                </c:pt>
                <c:pt idx="321">
                  <c:v>2.3941176470588199</c:v>
                </c:pt>
                <c:pt idx="322">
                  <c:v>2.3837209302325499</c:v>
                </c:pt>
                <c:pt idx="323">
                  <c:v>2.4296875</c:v>
                </c:pt>
                <c:pt idx="324">
                  <c:v>2.3914728682170501</c:v>
                </c:pt>
                <c:pt idx="325">
                  <c:v>2.3834296724470101</c:v>
                </c:pt>
                <c:pt idx="326">
                  <c:v>2.3815028901734099</c:v>
                </c:pt>
                <c:pt idx="327">
                  <c:v>2.39575289575289</c:v>
                </c:pt>
                <c:pt idx="328">
                  <c:v>2.4074074074073999</c:v>
                </c:pt>
                <c:pt idx="329">
                  <c:v>2.3801169590643201</c:v>
                </c:pt>
                <c:pt idx="330">
                  <c:v>2.3952569169960398</c:v>
                </c:pt>
                <c:pt idx="331">
                  <c:v>2.3801980198019801</c:v>
                </c:pt>
                <c:pt idx="332">
                  <c:v>2.4368737474949902</c:v>
                </c:pt>
                <c:pt idx="333">
                  <c:v>2.43486973947895</c:v>
                </c:pt>
                <c:pt idx="334">
                  <c:v>2.4686868686868602</c:v>
                </c:pt>
                <c:pt idx="335">
                  <c:v>2.4390243902439002</c:v>
                </c:pt>
                <c:pt idx="336">
                  <c:v>2.4338085539714802</c:v>
                </c:pt>
                <c:pt idx="337">
                  <c:v>2.4079999999999999</c:v>
                </c:pt>
                <c:pt idx="338">
                  <c:v>2.4669338677354702</c:v>
                </c:pt>
                <c:pt idx="339">
                  <c:v>2.37972166998011</c:v>
                </c:pt>
                <c:pt idx="340">
                  <c:v>2.4171656686626699</c:v>
                </c:pt>
                <c:pt idx="341">
                  <c:v>2.39484126984126</c:v>
                </c:pt>
                <c:pt idx="342">
                  <c:v>2.3976377952755898</c:v>
                </c:pt>
                <c:pt idx="343">
                  <c:v>2.3793774319066099</c:v>
                </c:pt>
                <c:pt idx="344">
                  <c:v>2.3801169590643201</c:v>
                </c:pt>
                <c:pt idx="345">
                  <c:v>2.421875</c:v>
                </c:pt>
                <c:pt idx="346">
                  <c:v>2.39499036608863</c:v>
                </c:pt>
                <c:pt idx="347">
                  <c:v>2.4177949709864599</c:v>
                </c:pt>
                <c:pt idx="348">
                  <c:v>2.4504854368931999</c:v>
                </c:pt>
                <c:pt idx="349">
                  <c:v>2.44271844660194</c:v>
                </c:pt>
                <c:pt idx="350">
                  <c:v>2.53386454183266</c:v>
                </c:pt>
                <c:pt idx="351">
                  <c:v>2.5472837022132699</c:v>
                </c:pt>
                <c:pt idx="352">
                  <c:v>2.6275720164609</c:v>
                </c:pt>
                <c:pt idx="353">
                  <c:v>2.5717131474103501</c:v>
                </c:pt>
                <c:pt idx="354">
                  <c:v>2.6217303822937601</c:v>
                </c:pt>
                <c:pt idx="355">
                  <c:v>2.61</c:v>
                </c:pt>
                <c:pt idx="356">
                  <c:v>2.5768463073852201</c:v>
                </c:pt>
                <c:pt idx="357">
                  <c:v>2.5971943887775502</c:v>
                </c:pt>
                <c:pt idx="358">
                  <c:v>2.55353535353535</c:v>
                </c:pt>
                <c:pt idx="359">
                  <c:v>2.5813008130081299</c:v>
                </c:pt>
                <c:pt idx="360">
                  <c:v>2.5670731707317</c:v>
                </c:pt>
                <c:pt idx="361">
                  <c:v>2.5181451612903198</c:v>
                </c:pt>
                <c:pt idx="362">
                  <c:v>2.50604838709677</c:v>
                </c:pt>
                <c:pt idx="363">
                  <c:v>2.52941176470588</c:v>
                </c:pt>
                <c:pt idx="364">
                  <c:v>2.51008064516129</c:v>
                </c:pt>
                <c:pt idx="365">
                  <c:v>2.5811088295687798</c:v>
                </c:pt>
                <c:pt idx="366">
                  <c:v>2.6103092783505102</c:v>
                </c:pt>
                <c:pt idx="367">
                  <c:v>2.6104166666666599</c:v>
                </c:pt>
                <c:pt idx="368">
                  <c:v>2.6037344398340201</c:v>
                </c:pt>
                <c:pt idx="369">
                  <c:v>2.6534446764091801</c:v>
                </c:pt>
                <c:pt idx="370">
                  <c:v>2.6234567901234498</c:v>
                </c:pt>
                <c:pt idx="371">
                  <c:v>2.55670103092783</c:v>
                </c:pt>
                <c:pt idx="372">
                  <c:v>2.5092783505154599</c:v>
                </c:pt>
                <c:pt idx="373">
                  <c:v>2.5185950413223099</c:v>
                </c:pt>
                <c:pt idx="374">
                  <c:v>2.5302713987473902</c:v>
                </c:pt>
                <c:pt idx="375">
                  <c:v>2.52642706131078</c:v>
                </c:pt>
                <c:pt idx="376">
                  <c:v>2.5446808510638199</c:v>
                </c:pt>
                <c:pt idx="377">
                  <c:v>2.5355648535564801</c:v>
                </c:pt>
                <c:pt idx="378">
                  <c:v>2.54526315789473</c:v>
                </c:pt>
                <c:pt idx="379">
                  <c:v>2.51050420168067</c:v>
                </c:pt>
                <c:pt idx="380">
                  <c:v>2.4876033057851199</c:v>
                </c:pt>
                <c:pt idx="381">
                  <c:v>2.4978813559322002</c:v>
                </c:pt>
                <c:pt idx="382">
                  <c:v>2.46218487394958</c:v>
                </c:pt>
                <c:pt idx="383">
                  <c:v>2.5114822546972801</c:v>
                </c:pt>
                <c:pt idx="384">
                  <c:v>2.4863731656184398</c:v>
                </c:pt>
                <c:pt idx="385">
                  <c:v>2.4596273291925401</c:v>
                </c:pt>
                <c:pt idx="386">
                  <c:v>2.4528688524590101</c:v>
                </c:pt>
                <c:pt idx="387">
                  <c:v>2.4282828282828199</c:v>
                </c:pt>
                <c:pt idx="388">
                  <c:v>2.44354838709677</c:v>
                </c:pt>
                <c:pt idx="389">
                  <c:v>2.3885601577909199</c:v>
                </c:pt>
                <c:pt idx="390">
                  <c:v>2.4335378323108299</c:v>
                </c:pt>
                <c:pt idx="391">
                  <c:v>2.4748953974895298</c:v>
                </c:pt>
                <c:pt idx="392">
                  <c:v>2.46428571428571</c:v>
                </c:pt>
                <c:pt idx="393">
                  <c:v>2.4518828451882801</c:v>
                </c:pt>
                <c:pt idx="394">
                  <c:v>2.4651162790697598</c:v>
                </c:pt>
                <c:pt idx="395">
                  <c:v>2.44</c:v>
                </c:pt>
                <c:pt idx="396">
                  <c:v>2.4512711864406702</c:v>
                </c:pt>
                <c:pt idx="397">
                  <c:v>2.4665271966527098</c:v>
                </c:pt>
                <c:pt idx="398">
                  <c:v>2.48654244306418</c:v>
                </c:pt>
                <c:pt idx="399">
                  <c:v>2.5154004106776102</c:v>
                </c:pt>
                <c:pt idx="400">
                  <c:v>2.4897959183673399</c:v>
                </c:pt>
                <c:pt idx="401">
                  <c:v>2.4938775510203999</c:v>
                </c:pt>
                <c:pt idx="402">
                  <c:v>2.4867075664621598</c:v>
                </c:pt>
                <c:pt idx="403">
                  <c:v>2.4938775510203999</c:v>
                </c:pt>
                <c:pt idx="404">
                  <c:v>2.4765784114052898</c:v>
                </c:pt>
                <c:pt idx="405">
                  <c:v>2.4599589322381901</c:v>
                </c:pt>
                <c:pt idx="406">
                  <c:v>2.4074844074844002</c:v>
                </c:pt>
                <c:pt idx="407">
                  <c:v>2.4327731092436902</c:v>
                </c:pt>
                <c:pt idx="408">
                  <c:v>2.48085106382978</c:v>
                </c:pt>
                <c:pt idx="409">
                  <c:v>2.4766949152542299</c:v>
                </c:pt>
                <c:pt idx="410">
                  <c:v>2.4602510460251001</c:v>
                </c:pt>
                <c:pt idx="411">
                  <c:v>2.40289256198347</c:v>
                </c:pt>
                <c:pt idx="412">
                  <c:v>2.3247011952191201</c:v>
                </c:pt>
                <c:pt idx="413">
                  <c:v>2.2948207171314698</c:v>
                </c:pt>
                <c:pt idx="414">
                  <c:v>2.4046692607003801</c:v>
                </c:pt>
                <c:pt idx="415">
                  <c:v>2.42034548944337</c:v>
                </c:pt>
                <c:pt idx="416">
                  <c:v>2.4489402697495102</c:v>
                </c:pt>
                <c:pt idx="417">
                  <c:v>2.3359223300970799</c:v>
                </c:pt>
                <c:pt idx="418">
                  <c:v>2.30544747081712</c:v>
                </c:pt>
                <c:pt idx="419">
                  <c:v>2.33011583011583</c:v>
                </c:pt>
                <c:pt idx="420">
                  <c:v>2.3372093023255802</c:v>
                </c:pt>
                <c:pt idx="421">
                  <c:v>2.373046875</c:v>
                </c:pt>
                <c:pt idx="422">
                  <c:v>2.3339694656488499</c:v>
                </c:pt>
                <c:pt idx="423">
                  <c:v>2.35700575815738</c:v>
                </c:pt>
                <c:pt idx="424">
                  <c:v>2.3533980582524201</c:v>
                </c:pt>
                <c:pt idx="425">
                  <c:v>2.390625</c:v>
                </c:pt>
                <c:pt idx="426">
                  <c:v>2.3015564202334602</c:v>
                </c:pt>
                <c:pt idx="427">
                  <c:v>2.2984496124031</c:v>
                </c:pt>
                <c:pt idx="428">
                  <c:v>2.2692307692307598</c:v>
                </c:pt>
                <c:pt idx="429">
                  <c:v>2.3082851637764898</c:v>
                </c:pt>
                <c:pt idx="430">
                  <c:v>2.30994152046783</c:v>
                </c:pt>
                <c:pt idx="431">
                  <c:v>2.2928709055876602</c:v>
                </c:pt>
                <c:pt idx="432">
                  <c:v>2.2813688212927699</c:v>
                </c:pt>
                <c:pt idx="433">
                  <c:v>2.2665406427221102</c:v>
                </c:pt>
                <c:pt idx="434">
                  <c:v>2.3135755258126101</c:v>
                </c:pt>
                <c:pt idx="435">
                  <c:v>2.2846153846153801</c:v>
                </c:pt>
                <c:pt idx="436">
                  <c:v>2.2984496124031</c:v>
                </c:pt>
                <c:pt idx="437">
                  <c:v>2.3067961165048501</c:v>
                </c:pt>
                <c:pt idx="438">
                  <c:v>2.3035019455252899</c:v>
                </c:pt>
                <c:pt idx="439">
                  <c:v>2.2873786407766898</c:v>
                </c:pt>
                <c:pt idx="440">
                  <c:v>2.279296875</c:v>
                </c:pt>
                <c:pt idx="441">
                  <c:v>2.2534113060428802</c:v>
                </c:pt>
                <c:pt idx="442">
                  <c:v>2.2809430255402701</c:v>
                </c:pt>
                <c:pt idx="443">
                  <c:v>2.32803180914512</c:v>
                </c:pt>
                <c:pt idx="444">
                  <c:v>2.3039999999999998</c:v>
                </c:pt>
                <c:pt idx="445">
                  <c:v>2.2729083665338599</c:v>
                </c:pt>
                <c:pt idx="446">
                  <c:v>2.2670682730923599</c:v>
                </c:pt>
                <c:pt idx="447">
                  <c:v>2.2519999999999998</c:v>
                </c:pt>
                <c:pt idx="448">
                  <c:v>2.2075098814229199</c:v>
                </c:pt>
                <c:pt idx="449">
                  <c:v>2.2350597609561702</c:v>
                </c:pt>
                <c:pt idx="450">
                  <c:v>2.2455089820359202</c:v>
                </c:pt>
                <c:pt idx="451">
                  <c:v>2.266</c:v>
                </c:pt>
                <c:pt idx="452">
                  <c:v>2.2650602409638498</c:v>
                </c:pt>
                <c:pt idx="453">
                  <c:v>2.3190184049079701</c:v>
                </c:pt>
                <c:pt idx="454">
                  <c:v>2.38163265306122</c:v>
                </c:pt>
                <c:pt idx="455">
                  <c:v>2.26422764227642</c:v>
                </c:pt>
                <c:pt idx="456">
                  <c:v>2.2175648702594799</c:v>
                </c:pt>
                <c:pt idx="457">
                  <c:v>2.21</c:v>
                </c:pt>
                <c:pt idx="458">
                  <c:v>2.2606924643584501</c:v>
                </c:pt>
                <c:pt idx="459">
                  <c:v>2.2663934426229502</c:v>
                </c:pt>
                <c:pt idx="460">
                  <c:v>2.28073770491803</c:v>
                </c:pt>
                <c:pt idx="461">
                  <c:v>2.28513238289205</c:v>
                </c:pt>
                <c:pt idx="462">
                  <c:v>2.3128834355828198</c:v>
                </c:pt>
                <c:pt idx="463">
                  <c:v>2.28513238289205</c:v>
                </c:pt>
                <c:pt idx="464">
                  <c:v>2.2889344262294999</c:v>
                </c:pt>
                <c:pt idx="465">
                  <c:v>2.27310061601642</c:v>
                </c:pt>
                <c:pt idx="466">
                  <c:v>2.2927835051546301</c:v>
                </c:pt>
                <c:pt idx="467">
                  <c:v>2.3291666666666599</c:v>
                </c:pt>
                <c:pt idx="468">
                  <c:v>2.3442622950819598</c:v>
                </c:pt>
                <c:pt idx="469">
                  <c:v>2.3224489795918299</c:v>
                </c:pt>
                <c:pt idx="470">
                  <c:v>2.3012048192771002</c:v>
                </c:pt>
                <c:pt idx="471">
                  <c:v>2.2857142857142798</c:v>
                </c:pt>
                <c:pt idx="472">
                  <c:v>2.2392156862745098</c:v>
                </c:pt>
                <c:pt idx="473">
                  <c:v>2.20192307692307</c:v>
                </c:pt>
                <c:pt idx="474">
                  <c:v>2.3035019455252899</c:v>
                </c:pt>
                <c:pt idx="475">
                  <c:v>2.1885714285714202</c:v>
                </c:pt>
                <c:pt idx="476">
                  <c:v>2.1569767441860401</c:v>
                </c:pt>
                <c:pt idx="477">
                  <c:v>2.12786259541984</c:v>
                </c:pt>
                <c:pt idx="478">
                  <c:v>2.2157996146435401</c:v>
                </c:pt>
                <c:pt idx="479">
                  <c:v>2.20532319391635</c:v>
                </c:pt>
                <c:pt idx="480">
                  <c:v>2.2370936902485599</c:v>
                </c:pt>
                <c:pt idx="481">
                  <c:v>2.2294455066921599</c:v>
                </c:pt>
                <c:pt idx="482">
                  <c:v>2.2230623818525501</c:v>
                </c:pt>
                <c:pt idx="483">
                  <c:v>2.2144212523719098</c:v>
                </c:pt>
                <c:pt idx="484">
                  <c:v>2.2347328244274798</c:v>
                </c:pt>
                <c:pt idx="485">
                  <c:v>2.1867924528301801</c:v>
                </c:pt>
                <c:pt idx="486">
                  <c:v>2.2360844529750401</c:v>
                </c:pt>
                <c:pt idx="487">
                  <c:v>2.2303262955854102</c:v>
                </c:pt>
                <c:pt idx="488">
                  <c:v>2.2303262955854102</c:v>
                </c:pt>
                <c:pt idx="489">
                  <c:v>2.2046332046332</c:v>
                </c:pt>
                <c:pt idx="490">
                  <c:v>2.2254901960784301</c:v>
                </c:pt>
                <c:pt idx="491">
                  <c:v>2.23828125</c:v>
                </c:pt>
                <c:pt idx="492">
                  <c:v>2.26388888888888</c:v>
                </c:pt>
                <c:pt idx="493">
                  <c:v>2.2191235059760901</c:v>
                </c:pt>
                <c:pt idx="494">
                  <c:v>2.22310756972111</c:v>
                </c:pt>
                <c:pt idx="495">
                  <c:v>2.2425447316103302</c:v>
                </c:pt>
                <c:pt idx="496">
                  <c:v>2.2707509881422898</c:v>
                </c:pt>
                <c:pt idx="497">
                  <c:v>2.28884462151394</c:v>
                </c:pt>
                <c:pt idx="498">
                  <c:v>2.3479125248508899</c:v>
                </c:pt>
                <c:pt idx="499">
                  <c:v>2.3313373253492999</c:v>
                </c:pt>
                <c:pt idx="500">
                  <c:v>2.3127490039840599</c:v>
                </c:pt>
                <c:pt idx="501">
                  <c:v>2.2683397683397599</c:v>
                </c:pt>
                <c:pt idx="502">
                  <c:v>2.2674418604651101</c:v>
                </c:pt>
                <c:pt idx="503">
                  <c:v>2.2239382239382199</c:v>
                </c:pt>
                <c:pt idx="504">
                  <c:v>2.2354085603112801</c:v>
                </c:pt>
                <c:pt idx="505">
                  <c:v>2.2859960552268199</c:v>
                </c:pt>
                <c:pt idx="506">
                  <c:v>2.3300395256916899</c:v>
                </c:pt>
                <c:pt idx="507">
                  <c:v>2.2797619047619002</c:v>
                </c:pt>
                <c:pt idx="508">
                  <c:v>2.2848605577689201</c:v>
                </c:pt>
                <c:pt idx="509">
                  <c:v>2.24055666003976</c:v>
                </c:pt>
                <c:pt idx="510">
                  <c:v>2.2790224032586499</c:v>
                </c:pt>
                <c:pt idx="511">
                  <c:v>2.3333333333333299</c:v>
                </c:pt>
                <c:pt idx="512">
                  <c:v>2.3306122448979498</c:v>
                </c:pt>
                <c:pt idx="513">
                  <c:v>2.3079999999999998</c:v>
                </c:pt>
                <c:pt idx="514">
                  <c:v>2.2969696969696898</c:v>
                </c:pt>
                <c:pt idx="515">
                  <c:v>2.26720647773279</c:v>
                </c:pt>
                <c:pt idx="516">
                  <c:v>2.34949494949494</c:v>
                </c:pt>
                <c:pt idx="517">
                  <c:v>2.3353293413173599</c:v>
                </c:pt>
                <c:pt idx="518">
                  <c:v>2.3559999999999999</c:v>
                </c:pt>
                <c:pt idx="519">
                  <c:v>2.3306930693069301</c:v>
                </c:pt>
                <c:pt idx="520">
                  <c:v>2.3346774193548301</c:v>
                </c:pt>
                <c:pt idx="521">
                  <c:v>2.23300970873786</c:v>
                </c:pt>
                <c:pt idx="522">
                  <c:v>2.2925851703406801</c:v>
                </c:pt>
                <c:pt idx="523">
                  <c:v>2.3225152129817399</c:v>
                </c:pt>
                <c:pt idx="524">
                  <c:v>2.3253012048192701</c:v>
                </c:pt>
                <c:pt idx="525">
                  <c:v>2.3081510934393599</c:v>
                </c:pt>
                <c:pt idx="526">
                  <c:v>2.3373253493013899</c:v>
                </c:pt>
                <c:pt idx="527">
                  <c:v>2.33534136546184</c:v>
                </c:pt>
                <c:pt idx="528">
                  <c:v>2.3439363817097401</c:v>
                </c:pt>
                <c:pt idx="529">
                  <c:v>2.38476953907815</c:v>
                </c:pt>
                <c:pt idx="530">
                  <c:v>2.4104627766599598</c:v>
                </c:pt>
                <c:pt idx="531">
                  <c:v>2.4</c:v>
                </c:pt>
                <c:pt idx="532">
                  <c:v>2.44827586206896</c:v>
                </c:pt>
                <c:pt idx="533">
                  <c:v>2.4746450304259602</c:v>
                </c:pt>
                <c:pt idx="534">
                  <c:v>2.48484848484848</c:v>
                </c:pt>
                <c:pt idx="535">
                  <c:v>2.51008064516129</c:v>
                </c:pt>
                <c:pt idx="536">
                  <c:v>2.6024844720496798</c:v>
                </c:pt>
                <c:pt idx="537">
                  <c:v>2.5942028985507202</c:v>
                </c:pt>
                <c:pt idx="538">
                  <c:v>2.4015748031495998</c:v>
                </c:pt>
                <c:pt idx="539">
                  <c:v>2.4457831325301198</c:v>
                </c:pt>
                <c:pt idx="540">
                  <c:v>2.3838383838383801</c:v>
                </c:pt>
                <c:pt idx="541">
                  <c:v>2.3117408906882502</c:v>
                </c:pt>
                <c:pt idx="542">
                  <c:v>2.2810590631364498</c:v>
                </c:pt>
                <c:pt idx="543">
                  <c:v>2.3313008130081299</c:v>
                </c:pt>
                <c:pt idx="544">
                  <c:v>2.3204081632653</c:v>
                </c:pt>
                <c:pt idx="545">
                  <c:v>2.33673469387755</c:v>
                </c:pt>
                <c:pt idx="546">
                  <c:v>2.3962655601659701</c:v>
                </c:pt>
                <c:pt idx="547">
                  <c:v>2.4149377593360901</c:v>
                </c:pt>
                <c:pt idx="548">
                  <c:v>2.38993710691823</c:v>
                </c:pt>
                <c:pt idx="549">
                  <c:v>2.35490605427974</c:v>
                </c:pt>
                <c:pt idx="550">
                  <c:v>2.38216560509554</c:v>
                </c:pt>
                <c:pt idx="551">
                  <c:v>2.3949044585987198</c:v>
                </c:pt>
                <c:pt idx="552">
                  <c:v>2.3983050847457599</c:v>
                </c:pt>
                <c:pt idx="553">
                  <c:v>2.4159663865546199</c:v>
                </c:pt>
                <c:pt idx="554">
                  <c:v>2.375</c:v>
                </c:pt>
                <c:pt idx="555">
                  <c:v>2.3831578947368399</c:v>
                </c:pt>
                <c:pt idx="556">
                  <c:v>2.4560669456066901</c:v>
                </c:pt>
                <c:pt idx="557">
                  <c:v>2.46218487394958</c:v>
                </c:pt>
                <c:pt idx="558">
                  <c:v>2.4465408805031399</c:v>
                </c:pt>
                <c:pt idx="559">
                  <c:v>2.4543568464730199</c:v>
                </c:pt>
                <c:pt idx="560">
                  <c:v>2.44720496894409</c:v>
                </c:pt>
                <c:pt idx="561">
                  <c:v>2.4176954732510199</c:v>
                </c:pt>
                <c:pt idx="562">
                  <c:v>2.4229166666666599</c:v>
                </c:pt>
                <c:pt idx="563">
                  <c:v>2.44190871369294</c:v>
                </c:pt>
                <c:pt idx="564">
                  <c:v>2.4666666666666601</c:v>
                </c:pt>
                <c:pt idx="565">
                  <c:v>2.4730290456431501</c:v>
                </c:pt>
                <c:pt idx="566">
                  <c:v>2.51050420168067</c:v>
                </c:pt>
                <c:pt idx="567">
                  <c:v>2.4968553459119498</c:v>
                </c:pt>
                <c:pt idx="568">
                  <c:v>2.4504132231404898</c:v>
                </c:pt>
                <c:pt idx="569">
                  <c:v>2.44214876033057</c:v>
                </c:pt>
                <c:pt idx="570">
                  <c:v>2.4178794178794099</c:v>
                </c:pt>
                <c:pt idx="571">
                  <c:v>2.3742331288343501</c:v>
                </c:pt>
                <c:pt idx="572">
                  <c:v>2.3374485596707801</c:v>
                </c:pt>
                <c:pt idx="573">
                  <c:v>2.3987603305785101</c:v>
                </c:pt>
                <c:pt idx="574">
                  <c:v>2.3901437371663201</c:v>
                </c:pt>
                <c:pt idx="575">
                  <c:v>2.2777777777777701</c:v>
                </c:pt>
                <c:pt idx="576">
                  <c:v>2.2942386831275701</c:v>
                </c:pt>
                <c:pt idx="577">
                  <c:v>2.2636916835699799</c:v>
                </c:pt>
                <c:pt idx="578">
                  <c:v>2.2860040567951301</c:v>
                </c:pt>
                <c:pt idx="579">
                  <c:v>2.2509881422924898</c:v>
                </c:pt>
                <c:pt idx="580">
                  <c:v>2.1882352941176402</c:v>
                </c:pt>
                <c:pt idx="581">
                  <c:v>2.2811244979919598</c:v>
                </c:pt>
                <c:pt idx="582">
                  <c:v>2.3298969072164901</c:v>
                </c:pt>
                <c:pt idx="583">
                  <c:v>2.3097165991902799</c:v>
                </c:pt>
                <c:pt idx="584">
                  <c:v>2.3067484662576598</c:v>
                </c:pt>
                <c:pt idx="585">
                  <c:v>2.30061349693251</c:v>
                </c:pt>
                <c:pt idx="586">
                  <c:v>2.2721774193548301</c:v>
                </c:pt>
                <c:pt idx="587">
                  <c:v>2.2877551020408098</c:v>
                </c:pt>
                <c:pt idx="588">
                  <c:v>2.2959183673469301</c:v>
                </c:pt>
                <c:pt idx="589">
                  <c:v>2.2158415841584098</c:v>
                </c:pt>
                <c:pt idx="590">
                  <c:v>2.2240000000000002</c:v>
                </c:pt>
                <c:pt idx="591">
                  <c:v>2.1561904761904702</c:v>
                </c:pt>
                <c:pt idx="592">
                  <c:v>2.1657142857142802</c:v>
                </c:pt>
                <c:pt idx="593">
                  <c:v>2.1663479923518101</c:v>
                </c:pt>
                <c:pt idx="594">
                  <c:v>2.1788461538461501</c:v>
                </c:pt>
                <c:pt idx="595">
                  <c:v>2.1809523809523799</c:v>
                </c:pt>
                <c:pt idx="596">
                  <c:v>2.1564885496183201</c:v>
                </c:pt>
                <c:pt idx="597">
                  <c:v>2.1938579654510502</c:v>
                </c:pt>
                <c:pt idx="598">
                  <c:v>2.1759082217973198</c:v>
                </c:pt>
                <c:pt idx="599">
                  <c:v>2.1063432835820799</c:v>
                </c:pt>
                <c:pt idx="600">
                  <c:v>2.1062618595825402</c:v>
                </c:pt>
                <c:pt idx="601">
                  <c:v>2.1290944123314</c:v>
                </c:pt>
                <c:pt idx="602">
                  <c:v>2.1682974559686801</c:v>
                </c:pt>
                <c:pt idx="603">
                  <c:v>2.0749506903352999</c:v>
                </c:pt>
                <c:pt idx="604">
                  <c:v>2.1015936254979999</c:v>
                </c:pt>
                <c:pt idx="605">
                  <c:v>2.1244979919678699</c:v>
                </c:pt>
                <c:pt idx="606">
                  <c:v>2.1512096774193501</c:v>
                </c:pt>
                <c:pt idx="607">
                  <c:v>2.1625514403292101</c:v>
                </c:pt>
                <c:pt idx="608">
                  <c:v>2.1556016597510301</c:v>
                </c:pt>
                <c:pt idx="609">
                  <c:v>2.1635220125786101</c:v>
                </c:pt>
                <c:pt idx="610">
                  <c:v>2.1799163179916299</c:v>
                </c:pt>
                <c:pt idx="611">
                  <c:v>2.1606765327695499</c:v>
                </c:pt>
                <c:pt idx="612">
                  <c:v>2.1620469083155598</c:v>
                </c:pt>
                <c:pt idx="613">
                  <c:v>2.16</c:v>
                </c:pt>
                <c:pt idx="614">
                  <c:v>2.1255230125522999</c:v>
                </c:pt>
                <c:pt idx="615">
                  <c:v>2.09072164948453</c:v>
                </c:pt>
                <c:pt idx="616">
                  <c:v>2.09183673469387</c:v>
                </c:pt>
                <c:pt idx="617">
                  <c:v>2.0635245901639299</c:v>
                </c:pt>
                <c:pt idx="618">
                  <c:v>2.1205073995771602</c:v>
                </c:pt>
                <c:pt idx="619">
                  <c:v>2.1244813278008299</c:v>
                </c:pt>
                <c:pt idx="620">
                  <c:v>2.13894736842105</c:v>
                </c:pt>
                <c:pt idx="621">
                  <c:v>2.1097046413502101</c:v>
                </c:pt>
                <c:pt idx="622">
                  <c:v>2.1170212765957399</c:v>
                </c:pt>
                <c:pt idx="623">
                  <c:v>2.1073684210526298</c:v>
                </c:pt>
                <c:pt idx="624">
                  <c:v>2.09278350515463</c:v>
                </c:pt>
                <c:pt idx="625">
                  <c:v>2.1183673469387698</c:v>
                </c:pt>
                <c:pt idx="626">
                  <c:v>2.1247401247401201</c:v>
                </c:pt>
                <c:pt idx="627">
                  <c:v>2.1180124223602399</c:v>
                </c:pt>
                <c:pt idx="628">
                  <c:v>2.1375000000000002</c:v>
                </c:pt>
                <c:pt idx="629">
                  <c:v>2.1099585062240598</c:v>
                </c:pt>
                <c:pt idx="630">
                  <c:v>2.0811359026369098</c:v>
                </c:pt>
                <c:pt idx="631">
                  <c:v>2.0508130081300799</c:v>
                </c:pt>
                <c:pt idx="632">
                  <c:v>2.0282258064516099</c:v>
                </c:pt>
                <c:pt idx="633">
                  <c:v>2.0361445783132499</c:v>
                </c:pt>
                <c:pt idx="634">
                  <c:v>2.0078740157480301</c:v>
                </c:pt>
                <c:pt idx="635">
                  <c:v>1.97430830039525</c:v>
                </c:pt>
                <c:pt idx="636">
                  <c:v>1.9249011857707501</c:v>
                </c:pt>
                <c:pt idx="637">
                  <c:v>1.9156862745098</c:v>
                </c:pt>
                <c:pt idx="638">
                  <c:v>1.8939096267190501</c:v>
                </c:pt>
                <c:pt idx="639">
                  <c:v>1.9252525252525201</c:v>
                </c:pt>
                <c:pt idx="640">
                  <c:v>1.9074446680080399</c:v>
                </c:pt>
                <c:pt idx="641">
                  <c:v>1.92184368737474</c:v>
                </c:pt>
                <c:pt idx="642">
                  <c:v>1.8727984344422699</c:v>
                </c:pt>
                <c:pt idx="643">
                  <c:v>1.85770750988142</c:v>
                </c:pt>
                <c:pt idx="644">
                  <c:v>1.8677354709418801</c:v>
                </c:pt>
                <c:pt idx="645">
                  <c:v>1.8313492063492001</c:v>
                </c:pt>
                <c:pt idx="646">
                  <c:v>1.8343195266272101</c:v>
                </c:pt>
                <c:pt idx="647">
                  <c:v>1.8300395256916899</c:v>
                </c:pt>
                <c:pt idx="648">
                  <c:v>1.8366141732283401</c:v>
                </c:pt>
                <c:pt idx="649">
                  <c:v>1.82051282051282</c:v>
                </c:pt>
                <c:pt idx="650">
                  <c:v>1.85</c:v>
                </c:pt>
                <c:pt idx="651">
                  <c:v>1.82965931863727</c:v>
                </c:pt>
                <c:pt idx="652">
                  <c:v>1.83935742971887</c:v>
                </c:pt>
                <c:pt idx="653">
                  <c:v>1.85539714867617</c:v>
                </c:pt>
                <c:pt idx="654">
                  <c:v>1.84630738522954</c:v>
                </c:pt>
                <c:pt idx="655">
                  <c:v>1.8631790744466801</c:v>
                </c:pt>
                <c:pt idx="656">
                  <c:v>1.9194214876033</c:v>
                </c:pt>
                <c:pt idx="657">
                  <c:v>1.9302325581395301</c:v>
                </c:pt>
                <c:pt idx="658">
                  <c:v>1.9496855345911901</c:v>
                </c:pt>
                <c:pt idx="659">
                  <c:v>1.98319327731092</c:v>
                </c:pt>
                <c:pt idx="660">
                  <c:v>2.0660980810234499</c:v>
                </c:pt>
                <c:pt idx="661">
                  <c:v>2.08225108225108</c:v>
                </c:pt>
              </c:numCache>
            </c:numRef>
          </c:val>
        </c:ser>
        <c:ser>
          <c:idx val="1"/>
          <c:order val="1"/>
          <c:tx>
            <c:strRef>
              <c:f>グラフ!$N$41</c:f>
              <c:strCache>
                <c:ptCount val="1"/>
                <c:pt idx="0">
                  <c:v>+2-Sigama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dPt>
            <c:idx val="526"/>
            <c:spPr>
              <a:ln w="25400">
                <a:solidFill>
                  <a:schemeClr val="accent2"/>
                </a:solidFill>
              </a:ln>
            </c:spPr>
          </c:dPt>
          <c:cat>
            <c:numRef>
              <c:f>グラフ!$A$42:$A$703</c:f>
              <c:numCache>
                <c:formatCode>yyyy/mm/dd</c:formatCode>
                <c:ptCount val="662"/>
                <c:pt idx="0">
                  <c:v>43755</c:v>
                </c:pt>
                <c:pt idx="1">
                  <c:v>43754</c:v>
                </c:pt>
                <c:pt idx="2">
                  <c:v>43753</c:v>
                </c:pt>
                <c:pt idx="3">
                  <c:v>43749</c:v>
                </c:pt>
                <c:pt idx="4">
                  <c:v>43748</c:v>
                </c:pt>
                <c:pt idx="5">
                  <c:v>43747</c:v>
                </c:pt>
                <c:pt idx="6">
                  <c:v>43746</c:v>
                </c:pt>
                <c:pt idx="7">
                  <c:v>43745</c:v>
                </c:pt>
                <c:pt idx="8">
                  <c:v>43742</c:v>
                </c:pt>
                <c:pt idx="9">
                  <c:v>43741</c:v>
                </c:pt>
                <c:pt idx="10">
                  <c:v>43740</c:v>
                </c:pt>
                <c:pt idx="11">
                  <c:v>43739</c:v>
                </c:pt>
                <c:pt idx="12">
                  <c:v>43738</c:v>
                </c:pt>
                <c:pt idx="13">
                  <c:v>43735</c:v>
                </c:pt>
                <c:pt idx="14">
                  <c:v>43734</c:v>
                </c:pt>
                <c:pt idx="15">
                  <c:v>43733</c:v>
                </c:pt>
                <c:pt idx="16">
                  <c:v>43732</c:v>
                </c:pt>
                <c:pt idx="17">
                  <c:v>43728</c:v>
                </c:pt>
                <c:pt idx="18">
                  <c:v>43727</c:v>
                </c:pt>
                <c:pt idx="19">
                  <c:v>43726</c:v>
                </c:pt>
                <c:pt idx="20">
                  <c:v>43725</c:v>
                </c:pt>
                <c:pt idx="21">
                  <c:v>43721</c:v>
                </c:pt>
                <c:pt idx="22">
                  <c:v>43720</c:v>
                </c:pt>
                <c:pt idx="23">
                  <c:v>43719</c:v>
                </c:pt>
                <c:pt idx="24">
                  <c:v>43718</c:v>
                </c:pt>
                <c:pt idx="25">
                  <c:v>43717</c:v>
                </c:pt>
                <c:pt idx="26">
                  <c:v>43714</c:v>
                </c:pt>
                <c:pt idx="27">
                  <c:v>43713</c:v>
                </c:pt>
                <c:pt idx="28">
                  <c:v>43712</c:v>
                </c:pt>
                <c:pt idx="29">
                  <c:v>43711</c:v>
                </c:pt>
                <c:pt idx="30">
                  <c:v>43710</c:v>
                </c:pt>
                <c:pt idx="31">
                  <c:v>43707</c:v>
                </c:pt>
                <c:pt idx="32">
                  <c:v>43706</c:v>
                </c:pt>
                <c:pt idx="33">
                  <c:v>43705</c:v>
                </c:pt>
                <c:pt idx="34">
                  <c:v>43704</c:v>
                </c:pt>
                <c:pt idx="35">
                  <c:v>43703</c:v>
                </c:pt>
                <c:pt idx="36">
                  <c:v>43700</c:v>
                </c:pt>
                <c:pt idx="37">
                  <c:v>43699</c:v>
                </c:pt>
                <c:pt idx="38">
                  <c:v>43698</c:v>
                </c:pt>
                <c:pt idx="39">
                  <c:v>43697</c:v>
                </c:pt>
                <c:pt idx="40">
                  <c:v>43696</c:v>
                </c:pt>
                <c:pt idx="41">
                  <c:v>43693</c:v>
                </c:pt>
                <c:pt idx="42">
                  <c:v>43692</c:v>
                </c:pt>
                <c:pt idx="43">
                  <c:v>43691</c:v>
                </c:pt>
                <c:pt idx="44">
                  <c:v>43690</c:v>
                </c:pt>
                <c:pt idx="45">
                  <c:v>43686</c:v>
                </c:pt>
                <c:pt idx="46">
                  <c:v>43685</c:v>
                </c:pt>
                <c:pt idx="47">
                  <c:v>43684</c:v>
                </c:pt>
                <c:pt idx="48">
                  <c:v>43683</c:v>
                </c:pt>
                <c:pt idx="49">
                  <c:v>43682</c:v>
                </c:pt>
                <c:pt idx="50">
                  <c:v>43679</c:v>
                </c:pt>
                <c:pt idx="51">
                  <c:v>43678</c:v>
                </c:pt>
                <c:pt idx="52">
                  <c:v>43677</c:v>
                </c:pt>
                <c:pt idx="53">
                  <c:v>43676</c:v>
                </c:pt>
                <c:pt idx="54">
                  <c:v>43675</c:v>
                </c:pt>
                <c:pt idx="55">
                  <c:v>43672</c:v>
                </c:pt>
                <c:pt idx="56">
                  <c:v>43671</c:v>
                </c:pt>
                <c:pt idx="57">
                  <c:v>43670</c:v>
                </c:pt>
                <c:pt idx="58">
                  <c:v>43669</c:v>
                </c:pt>
                <c:pt idx="59">
                  <c:v>43668</c:v>
                </c:pt>
                <c:pt idx="60">
                  <c:v>43665</c:v>
                </c:pt>
                <c:pt idx="61">
                  <c:v>43664</c:v>
                </c:pt>
                <c:pt idx="62">
                  <c:v>43663</c:v>
                </c:pt>
                <c:pt idx="63">
                  <c:v>43662</c:v>
                </c:pt>
                <c:pt idx="64">
                  <c:v>43658</c:v>
                </c:pt>
                <c:pt idx="65">
                  <c:v>43657</c:v>
                </c:pt>
                <c:pt idx="66">
                  <c:v>43656</c:v>
                </c:pt>
                <c:pt idx="67">
                  <c:v>43655</c:v>
                </c:pt>
                <c:pt idx="68">
                  <c:v>43654</c:v>
                </c:pt>
                <c:pt idx="69">
                  <c:v>43651</c:v>
                </c:pt>
                <c:pt idx="70">
                  <c:v>43650</c:v>
                </c:pt>
                <c:pt idx="71">
                  <c:v>43649</c:v>
                </c:pt>
                <c:pt idx="72">
                  <c:v>43648</c:v>
                </c:pt>
                <c:pt idx="73">
                  <c:v>43647</c:v>
                </c:pt>
                <c:pt idx="74">
                  <c:v>43644</c:v>
                </c:pt>
                <c:pt idx="75">
                  <c:v>43643</c:v>
                </c:pt>
                <c:pt idx="76">
                  <c:v>43642</c:v>
                </c:pt>
                <c:pt idx="77">
                  <c:v>43641</c:v>
                </c:pt>
                <c:pt idx="78">
                  <c:v>43640</c:v>
                </c:pt>
                <c:pt idx="79">
                  <c:v>43637</c:v>
                </c:pt>
                <c:pt idx="80">
                  <c:v>43636</c:v>
                </c:pt>
                <c:pt idx="81">
                  <c:v>43635</c:v>
                </c:pt>
                <c:pt idx="82">
                  <c:v>43634</c:v>
                </c:pt>
                <c:pt idx="83">
                  <c:v>43633</c:v>
                </c:pt>
                <c:pt idx="84">
                  <c:v>43630</c:v>
                </c:pt>
                <c:pt idx="85">
                  <c:v>43629</c:v>
                </c:pt>
                <c:pt idx="86">
                  <c:v>43628</c:v>
                </c:pt>
                <c:pt idx="87">
                  <c:v>43627</c:v>
                </c:pt>
                <c:pt idx="88">
                  <c:v>43626</c:v>
                </c:pt>
                <c:pt idx="89">
                  <c:v>43623</c:v>
                </c:pt>
                <c:pt idx="90">
                  <c:v>43622</c:v>
                </c:pt>
                <c:pt idx="91">
                  <c:v>43621</c:v>
                </c:pt>
                <c:pt idx="92">
                  <c:v>43620</c:v>
                </c:pt>
                <c:pt idx="93">
                  <c:v>43619</c:v>
                </c:pt>
                <c:pt idx="94">
                  <c:v>43616</c:v>
                </c:pt>
                <c:pt idx="95">
                  <c:v>43615</c:v>
                </c:pt>
                <c:pt idx="96">
                  <c:v>43614</c:v>
                </c:pt>
                <c:pt idx="97">
                  <c:v>43613</c:v>
                </c:pt>
                <c:pt idx="98">
                  <c:v>43612</c:v>
                </c:pt>
                <c:pt idx="99">
                  <c:v>43609</c:v>
                </c:pt>
                <c:pt idx="100">
                  <c:v>43608</c:v>
                </c:pt>
                <c:pt idx="101">
                  <c:v>43607</c:v>
                </c:pt>
                <c:pt idx="102">
                  <c:v>43606</c:v>
                </c:pt>
                <c:pt idx="103">
                  <c:v>43605</c:v>
                </c:pt>
                <c:pt idx="104">
                  <c:v>43602</c:v>
                </c:pt>
                <c:pt idx="105">
                  <c:v>43601</c:v>
                </c:pt>
                <c:pt idx="106">
                  <c:v>43600</c:v>
                </c:pt>
                <c:pt idx="107">
                  <c:v>43599</c:v>
                </c:pt>
                <c:pt idx="108">
                  <c:v>43598</c:v>
                </c:pt>
                <c:pt idx="109">
                  <c:v>43595</c:v>
                </c:pt>
                <c:pt idx="110">
                  <c:v>43594</c:v>
                </c:pt>
                <c:pt idx="111">
                  <c:v>43593</c:v>
                </c:pt>
                <c:pt idx="112">
                  <c:v>43592</c:v>
                </c:pt>
                <c:pt idx="113">
                  <c:v>43581</c:v>
                </c:pt>
                <c:pt idx="114">
                  <c:v>43580</c:v>
                </c:pt>
                <c:pt idx="115">
                  <c:v>43579</c:v>
                </c:pt>
                <c:pt idx="116">
                  <c:v>43578</c:v>
                </c:pt>
                <c:pt idx="117">
                  <c:v>43577</c:v>
                </c:pt>
                <c:pt idx="118">
                  <c:v>43574</c:v>
                </c:pt>
                <c:pt idx="119">
                  <c:v>43573</c:v>
                </c:pt>
                <c:pt idx="120">
                  <c:v>43572</c:v>
                </c:pt>
                <c:pt idx="121">
                  <c:v>43571</c:v>
                </c:pt>
                <c:pt idx="122">
                  <c:v>43570</c:v>
                </c:pt>
                <c:pt idx="123">
                  <c:v>43567</c:v>
                </c:pt>
                <c:pt idx="124">
                  <c:v>43566</c:v>
                </c:pt>
                <c:pt idx="125">
                  <c:v>43565</c:v>
                </c:pt>
                <c:pt idx="126">
                  <c:v>43564</c:v>
                </c:pt>
                <c:pt idx="127">
                  <c:v>43563</c:v>
                </c:pt>
                <c:pt idx="128">
                  <c:v>43560</c:v>
                </c:pt>
                <c:pt idx="129">
                  <c:v>43559</c:v>
                </c:pt>
                <c:pt idx="130">
                  <c:v>43558</c:v>
                </c:pt>
                <c:pt idx="131">
                  <c:v>43557</c:v>
                </c:pt>
                <c:pt idx="132">
                  <c:v>43556</c:v>
                </c:pt>
                <c:pt idx="133">
                  <c:v>43553</c:v>
                </c:pt>
                <c:pt idx="134">
                  <c:v>43552</c:v>
                </c:pt>
                <c:pt idx="135">
                  <c:v>43551</c:v>
                </c:pt>
                <c:pt idx="136">
                  <c:v>43550</c:v>
                </c:pt>
                <c:pt idx="137">
                  <c:v>43549</c:v>
                </c:pt>
                <c:pt idx="138">
                  <c:v>43546</c:v>
                </c:pt>
                <c:pt idx="139">
                  <c:v>43544</c:v>
                </c:pt>
                <c:pt idx="140">
                  <c:v>43543</c:v>
                </c:pt>
                <c:pt idx="141">
                  <c:v>43542</c:v>
                </c:pt>
                <c:pt idx="142">
                  <c:v>43539</c:v>
                </c:pt>
                <c:pt idx="143">
                  <c:v>43538</c:v>
                </c:pt>
                <c:pt idx="144">
                  <c:v>43537</c:v>
                </c:pt>
                <c:pt idx="145">
                  <c:v>43536</c:v>
                </c:pt>
                <c:pt idx="146">
                  <c:v>43535</c:v>
                </c:pt>
                <c:pt idx="147">
                  <c:v>43532</c:v>
                </c:pt>
                <c:pt idx="148">
                  <c:v>43531</c:v>
                </c:pt>
                <c:pt idx="149">
                  <c:v>43530</c:v>
                </c:pt>
                <c:pt idx="150">
                  <c:v>43529</c:v>
                </c:pt>
                <c:pt idx="151">
                  <c:v>43528</c:v>
                </c:pt>
                <c:pt idx="152">
                  <c:v>43525</c:v>
                </c:pt>
                <c:pt idx="153">
                  <c:v>43524</c:v>
                </c:pt>
                <c:pt idx="154">
                  <c:v>43523</c:v>
                </c:pt>
                <c:pt idx="155">
                  <c:v>43522</c:v>
                </c:pt>
                <c:pt idx="156">
                  <c:v>43521</c:v>
                </c:pt>
                <c:pt idx="157">
                  <c:v>43518</c:v>
                </c:pt>
                <c:pt idx="158">
                  <c:v>43517</c:v>
                </c:pt>
                <c:pt idx="159">
                  <c:v>43516</c:v>
                </c:pt>
                <c:pt idx="160">
                  <c:v>43515</c:v>
                </c:pt>
                <c:pt idx="161">
                  <c:v>43514</c:v>
                </c:pt>
                <c:pt idx="162">
                  <c:v>43511</c:v>
                </c:pt>
                <c:pt idx="163">
                  <c:v>43510</c:v>
                </c:pt>
                <c:pt idx="164">
                  <c:v>43509</c:v>
                </c:pt>
                <c:pt idx="165">
                  <c:v>43508</c:v>
                </c:pt>
                <c:pt idx="166">
                  <c:v>43504</c:v>
                </c:pt>
                <c:pt idx="167">
                  <c:v>43503</c:v>
                </c:pt>
                <c:pt idx="168">
                  <c:v>43502</c:v>
                </c:pt>
                <c:pt idx="169">
                  <c:v>43501</c:v>
                </c:pt>
                <c:pt idx="170">
                  <c:v>43500</c:v>
                </c:pt>
                <c:pt idx="171">
                  <c:v>43497</c:v>
                </c:pt>
                <c:pt idx="172">
                  <c:v>43496</c:v>
                </c:pt>
                <c:pt idx="173">
                  <c:v>43495</c:v>
                </c:pt>
                <c:pt idx="174">
                  <c:v>43494</c:v>
                </c:pt>
                <c:pt idx="175">
                  <c:v>43493</c:v>
                </c:pt>
                <c:pt idx="176">
                  <c:v>43490</c:v>
                </c:pt>
                <c:pt idx="177">
                  <c:v>43489</c:v>
                </c:pt>
                <c:pt idx="178">
                  <c:v>43488</c:v>
                </c:pt>
                <c:pt idx="179">
                  <c:v>43487</c:v>
                </c:pt>
                <c:pt idx="180">
                  <c:v>43486</c:v>
                </c:pt>
                <c:pt idx="181">
                  <c:v>43483</c:v>
                </c:pt>
                <c:pt idx="182">
                  <c:v>43482</c:v>
                </c:pt>
                <c:pt idx="183">
                  <c:v>43481</c:v>
                </c:pt>
                <c:pt idx="184">
                  <c:v>43480</c:v>
                </c:pt>
                <c:pt idx="185">
                  <c:v>43476</c:v>
                </c:pt>
                <c:pt idx="186">
                  <c:v>43475</c:v>
                </c:pt>
                <c:pt idx="187">
                  <c:v>43474</c:v>
                </c:pt>
                <c:pt idx="188">
                  <c:v>43473</c:v>
                </c:pt>
                <c:pt idx="189">
                  <c:v>43472</c:v>
                </c:pt>
                <c:pt idx="190">
                  <c:v>43469</c:v>
                </c:pt>
                <c:pt idx="191">
                  <c:v>43462</c:v>
                </c:pt>
                <c:pt idx="192">
                  <c:v>43461</c:v>
                </c:pt>
                <c:pt idx="193">
                  <c:v>43460</c:v>
                </c:pt>
                <c:pt idx="194">
                  <c:v>43459</c:v>
                </c:pt>
                <c:pt idx="195">
                  <c:v>43455</c:v>
                </c:pt>
                <c:pt idx="196">
                  <c:v>43454</c:v>
                </c:pt>
                <c:pt idx="197">
                  <c:v>43453</c:v>
                </c:pt>
                <c:pt idx="198">
                  <c:v>43452</c:v>
                </c:pt>
                <c:pt idx="199">
                  <c:v>43451</c:v>
                </c:pt>
                <c:pt idx="200">
                  <c:v>43448</c:v>
                </c:pt>
                <c:pt idx="201">
                  <c:v>43447</c:v>
                </c:pt>
                <c:pt idx="202">
                  <c:v>43446</c:v>
                </c:pt>
                <c:pt idx="203">
                  <c:v>43445</c:v>
                </c:pt>
                <c:pt idx="204">
                  <c:v>43444</c:v>
                </c:pt>
                <c:pt idx="205">
                  <c:v>43441</c:v>
                </c:pt>
                <c:pt idx="206">
                  <c:v>43440</c:v>
                </c:pt>
                <c:pt idx="207">
                  <c:v>43439</c:v>
                </c:pt>
                <c:pt idx="208">
                  <c:v>43438</c:v>
                </c:pt>
                <c:pt idx="209">
                  <c:v>43437</c:v>
                </c:pt>
                <c:pt idx="210">
                  <c:v>43434</c:v>
                </c:pt>
                <c:pt idx="211">
                  <c:v>43433</c:v>
                </c:pt>
                <c:pt idx="212">
                  <c:v>43432</c:v>
                </c:pt>
                <c:pt idx="213">
                  <c:v>43431</c:v>
                </c:pt>
                <c:pt idx="214">
                  <c:v>43430</c:v>
                </c:pt>
                <c:pt idx="215">
                  <c:v>43426</c:v>
                </c:pt>
                <c:pt idx="216">
                  <c:v>43425</c:v>
                </c:pt>
                <c:pt idx="217">
                  <c:v>43424</c:v>
                </c:pt>
                <c:pt idx="218">
                  <c:v>43423</c:v>
                </c:pt>
                <c:pt idx="219">
                  <c:v>43420</c:v>
                </c:pt>
                <c:pt idx="220">
                  <c:v>43419</c:v>
                </c:pt>
                <c:pt idx="221">
                  <c:v>43418</c:v>
                </c:pt>
                <c:pt idx="222">
                  <c:v>43417</c:v>
                </c:pt>
                <c:pt idx="223">
                  <c:v>43416</c:v>
                </c:pt>
                <c:pt idx="224">
                  <c:v>43413</c:v>
                </c:pt>
                <c:pt idx="225">
                  <c:v>43412</c:v>
                </c:pt>
                <c:pt idx="226">
                  <c:v>43411</c:v>
                </c:pt>
                <c:pt idx="227">
                  <c:v>43410</c:v>
                </c:pt>
                <c:pt idx="228">
                  <c:v>43409</c:v>
                </c:pt>
                <c:pt idx="229">
                  <c:v>43406</c:v>
                </c:pt>
                <c:pt idx="230">
                  <c:v>43405</c:v>
                </c:pt>
                <c:pt idx="231">
                  <c:v>43404</c:v>
                </c:pt>
                <c:pt idx="232">
                  <c:v>43403</c:v>
                </c:pt>
                <c:pt idx="233">
                  <c:v>43402</c:v>
                </c:pt>
                <c:pt idx="234">
                  <c:v>43399</c:v>
                </c:pt>
                <c:pt idx="235">
                  <c:v>43398</c:v>
                </c:pt>
                <c:pt idx="236">
                  <c:v>43397</c:v>
                </c:pt>
                <c:pt idx="237">
                  <c:v>43396</c:v>
                </c:pt>
                <c:pt idx="238">
                  <c:v>43395</c:v>
                </c:pt>
                <c:pt idx="239">
                  <c:v>43392</c:v>
                </c:pt>
                <c:pt idx="240">
                  <c:v>43391</c:v>
                </c:pt>
                <c:pt idx="241">
                  <c:v>43390</c:v>
                </c:pt>
                <c:pt idx="242">
                  <c:v>43389</c:v>
                </c:pt>
                <c:pt idx="243">
                  <c:v>43388</c:v>
                </c:pt>
                <c:pt idx="244">
                  <c:v>43385</c:v>
                </c:pt>
                <c:pt idx="245">
                  <c:v>43384</c:v>
                </c:pt>
                <c:pt idx="246">
                  <c:v>43383</c:v>
                </c:pt>
                <c:pt idx="247">
                  <c:v>43382</c:v>
                </c:pt>
                <c:pt idx="248">
                  <c:v>43378</c:v>
                </c:pt>
                <c:pt idx="249">
                  <c:v>43377</c:v>
                </c:pt>
                <c:pt idx="250">
                  <c:v>43376</c:v>
                </c:pt>
                <c:pt idx="251">
                  <c:v>43375</c:v>
                </c:pt>
                <c:pt idx="252">
                  <c:v>43374</c:v>
                </c:pt>
                <c:pt idx="253">
                  <c:v>43371</c:v>
                </c:pt>
                <c:pt idx="254">
                  <c:v>43370</c:v>
                </c:pt>
                <c:pt idx="255">
                  <c:v>43369</c:v>
                </c:pt>
                <c:pt idx="256">
                  <c:v>43368</c:v>
                </c:pt>
                <c:pt idx="257">
                  <c:v>43364</c:v>
                </c:pt>
                <c:pt idx="258">
                  <c:v>43363</c:v>
                </c:pt>
                <c:pt idx="259">
                  <c:v>43362</c:v>
                </c:pt>
                <c:pt idx="260">
                  <c:v>43361</c:v>
                </c:pt>
                <c:pt idx="261">
                  <c:v>43357</c:v>
                </c:pt>
                <c:pt idx="262">
                  <c:v>43356</c:v>
                </c:pt>
                <c:pt idx="263">
                  <c:v>43355</c:v>
                </c:pt>
                <c:pt idx="264">
                  <c:v>43354</c:v>
                </c:pt>
                <c:pt idx="265">
                  <c:v>43353</c:v>
                </c:pt>
                <c:pt idx="266">
                  <c:v>43350</c:v>
                </c:pt>
                <c:pt idx="267">
                  <c:v>43349</c:v>
                </c:pt>
                <c:pt idx="268">
                  <c:v>43348</c:v>
                </c:pt>
                <c:pt idx="269">
                  <c:v>43347</c:v>
                </c:pt>
                <c:pt idx="270">
                  <c:v>43346</c:v>
                </c:pt>
                <c:pt idx="271">
                  <c:v>43343</c:v>
                </c:pt>
                <c:pt idx="272">
                  <c:v>43342</c:v>
                </c:pt>
                <c:pt idx="273">
                  <c:v>43341</c:v>
                </c:pt>
                <c:pt idx="274">
                  <c:v>43340</c:v>
                </c:pt>
                <c:pt idx="275">
                  <c:v>43339</c:v>
                </c:pt>
                <c:pt idx="276">
                  <c:v>43336</c:v>
                </c:pt>
                <c:pt idx="277">
                  <c:v>43335</c:v>
                </c:pt>
                <c:pt idx="278">
                  <c:v>43334</c:v>
                </c:pt>
                <c:pt idx="279">
                  <c:v>43333</c:v>
                </c:pt>
                <c:pt idx="280">
                  <c:v>43332</c:v>
                </c:pt>
                <c:pt idx="281">
                  <c:v>43329</c:v>
                </c:pt>
                <c:pt idx="282">
                  <c:v>43328</c:v>
                </c:pt>
                <c:pt idx="283">
                  <c:v>43327</c:v>
                </c:pt>
                <c:pt idx="284">
                  <c:v>43326</c:v>
                </c:pt>
                <c:pt idx="285">
                  <c:v>43325</c:v>
                </c:pt>
                <c:pt idx="286">
                  <c:v>43322</c:v>
                </c:pt>
                <c:pt idx="287">
                  <c:v>43321</c:v>
                </c:pt>
                <c:pt idx="288">
                  <c:v>43320</c:v>
                </c:pt>
                <c:pt idx="289">
                  <c:v>43319</c:v>
                </c:pt>
                <c:pt idx="290">
                  <c:v>43318</c:v>
                </c:pt>
                <c:pt idx="291">
                  <c:v>43315</c:v>
                </c:pt>
                <c:pt idx="292">
                  <c:v>43314</c:v>
                </c:pt>
                <c:pt idx="293">
                  <c:v>43313</c:v>
                </c:pt>
                <c:pt idx="294">
                  <c:v>43312</c:v>
                </c:pt>
                <c:pt idx="295">
                  <c:v>43311</c:v>
                </c:pt>
                <c:pt idx="296">
                  <c:v>43308</c:v>
                </c:pt>
                <c:pt idx="297">
                  <c:v>43307</c:v>
                </c:pt>
                <c:pt idx="298">
                  <c:v>43306</c:v>
                </c:pt>
                <c:pt idx="299">
                  <c:v>43305</c:v>
                </c:pt>
                <c:pt idx="300">
                  <c:v>43304</c:v>
                </c:pt>
                <c:pt idx="301">
                  <c:v>43301</c:v>
                </c:pt>
                <c:pt idx="302">
                  <c:v>43300</c:v>
                </c:pt>
                <c:pt idx="303">
                  <c:v>43299</c:v>
                </c:pt>
                <c:pt idx="304">
                  <c:v>43298</c:v>
                </c:pt>
                <c:pt idx="305">
                  <c:v>43294</c:v>
                </c:pt>
                <c:pt idx="306">
                  <c:v>43293</c:v>
                </c:pt>
                <c:pt idx="307">
                  <c:v>43292</c:v>
                </c:pt>
                <c:pt idx="308">
                  <c:v>43291</c:v>
                </c:pt>
                <c:pt idx="309">
                  <c:v>43290</c:v>
                </c:pt>
                <c:pt idx="310">
                  <c:v>43287</c:v>
                </c:pt>
                <c:pt idx="311">
                  <c:v>43286</c:v>
                </c:pt>
                <c:pt idx="312">
                  <c:v>43285</c:v>
                </c:pt>
                <c:pt idx="313">
                  <c:v>43284</c:v>
                </c:pt>
                <c:pt idx="314">
                  <c:v>43283</c:v>
                </c:pt>
                <c:pt idx="315">
                  <c:v>43280</c:v>
                </c:pt>
                <c:pt idx="316">
                  <c:v>43279</c:v>
                </c:pt>
                <c:pt idx="317">
                  <c:v>43278</c:v>
                </c:pt>
                <c:pt idx="318">
                  <c:v>43277</c:v>
                </c:pt>
                <c:pt idx="319">
                  <c:v>43276</c:v>
                </c:pt>
                <c:pt idx="320">
                  <c:v>43273</c:v>
                </c:pt>
                <c:pt idx="321">
                  <c:v>43272</c:v>
                </c:pt>
                <c:pt idx="322">
                  <c:v>43271</c:v>
                </c:pt>
                <c:pt idx="323">
                  <c:v>43270</c:v>
                </c:pt>
                <c:pt idx="324">
                  <c:v>43269</c:v>
                </c:pt>
                <c:pt idx="325">
                  <c:v>43266</c:v>
                </c:pt>
                <c:pt idx="326">
                  <c:v>43265</c:v>
                </c:pt>
                <c:pt idx="327">
                  <c:v>43264</c:v>
                </c:pt>
                <c:pt idx="328">
                  <c:v>43263</c:v>
                </c:pt>
                <c:pt idx="329">
                  <c:v>43262</c:v>
                </c:pt>
                <c:pt idx="330">
                  <c:v>43259</c:v>
                </c:pt>
                <c:pt idx="331">
                  <c:v>43258</c:v>
                </c:pt>
                <c:pt idx="332">
                  <c:v>43257</c:v>
                </c:pt>
                <c:pt idx="333">
                  <c:v>43256</c:v>
                </c:pt>
                <c:pt idx="334">
                  <c:v>43255</c:v>
                </c:pt>
                <c:pt idx="335">
                  <c:v>43252</c:v>
                </c:pt>
                <c:pt idx="336">
                  <c:v>43251</c:v>
                </c:pt>
                <c:pt idx="337">
                  <c:v>43250</c:v>
                </c:pt>
                <c:pt idx="338">
                  <c:v>43249</c:v>
                </c:pt>
                <c:pt idx="339">
                  <c:v>43248</c:v>
                </c:pt>
                <c:pt idx="340">
                  <c:v>43245</c:v>
                </c:pt>
                <c:pt idx="341">
                  <c:v>43244</c:v>
                </c:pt>
                <c:pt idx="342">
                  <c:v>43243</c:v>
                </c:pt>
                <c:pt idx="343">
                  <c:v>43242</c:v>
                </c:pt>
                <c:pt idx="344">
                  <c:v>43241</c:v>
                </c:pt>
                <c:pt idx="345">
                  <c:v>43238</c:v>
                </c:pt>
                <c:pt idx="346">
                  <c:v>43237</c:v>
                </c:pt>
                <c:pt idx="347">
                  <c:v>43236</c:v>
                </c:pt>
                <c:pt idx="348">
                  <c:v>43235</c:v>
                </c:pt>
                <c:pt idx="349">
                  <c:v>43234</c:v>
                </c:pt>
                <c:pt idx="350">
                  <c:v>43231</c:v>
                </c:pt>
                <c:pt idx="351">
                  <c:v>43230</c:v>
                </c:pt>
                <c:pt idx="352">
                  <c:v>43229</c:v>
                </c:pt>
                <c:pt idx="353">
                  <c:v>43228</c:v>
                </c:pt>
                <c:pt idx="354">
                  <c:v>43227</c:v>
                </c:pt>
                <c:pt idx="355">
                  <c:v>43222</c:v>
                </c:pt>
                <c:pt idx="356">
                  <c:v>43221</c:v>
                </c:pt>
                <c:pt idx="357">
                  <c:v>43217</c:v>
                </c:pt>
                <c:pt idx="358">
                  <c:v>43216</c:v>
                </c:pt>
                <c:pt idx="359">
                  <c:v>43215</c:v>
                </c:pt>
                <c:pt idx="360">
                  <c:v>43214</c:v>
                </c:pt>
                <c:pt idx="361">
                  <c:v>43213</c:v>
                </c:pt>
                <c:pt idx="362">
                  <c:v>43210</c:v>
                </c:pt>
                <c:pt idx="363">
                  <c:v>43209</c:v>
                </c:pt>
                <c:pt idx="364">
                  <c:v>43208</c:v>
                </c:pt>
                <c:pt idx="365">
                  <c:v>43207</c:v>
                </c:pt>
                <c:pt idx="366">
                  <c:v>43206</c:v>
                </c:pt>
                <c:pt idx="367">
                  <c:v>43203</c:v>
                </c:pt>
                <c:pt idx="368">
                  <c:v>43202</c:v>
                </c:pt>
                <c:pt idx="369">
                  <c:v>43201</c:v>
                </c:pt>
                <c:pt idx="370">
                  <c:v>43200</c:v>
                </c:pt>
                <c:pt idx="371">
                  <c:v>43199</c:v>
                </c:pt>
                <c:pt idx="372">
                  <c:v>43196</c:v>
                </c:pt>
                <c:pt idx="373">
                  <c:v>43195</c:v>
                </c:pt>
                <c:pt idx="374">
                  <c:v>43194</c:v>
                </c:pt>
                <c:pt idx="375">
                  <c:v>43193</c:v>
                </c:pt>
                <c:pt idx="376">
                  <c:v>43192</c:v>
                </c:pt>
                <c:pt idx="377">
                  <c:v>43189</c:v>
                </c:pt>
                <c:pt idx="378">
                  <c:v>43188</c:v>
                </c:pt>
                <c:pt idx="379">
                  <c:v>43187</c:v>
                </c:pt>
                <c:pt idx="380">
                  <c:v>43186</c:v>
                </c:pt>
                <c:pt idx="381">
                  <c:v>43185</c:v>
                </c:pt>
                <c:pt idx="382">
                  <c:v>43182</c:v>
                </c:pt>
                <c:pt idx="383">
                  <c:v>43181</c:v>
                </c:pt>
                <c:pt idx="384">
                  <c:v>43179</c:v>
                </c:pt>
                <c:pt idx="385">
                  <c:v>43178</c:v>
                </c:pt>
                <c:pt idx="386">
                  <c:v>43175</c:v>
                </c:pt>
                <c:pt idx="387">
                  <c:v>43174</c:v>
                </c:pt>
                <c:pt idx="388">
                  <c:v>43173</c:v>
                </c:pt>
                <c:pt idx="389">
                  <c:v>43172</c:v>
                </c:pt>
                <c:pt idx="390">
                  <c:v>43171</c:v>
                </c:pt>
                <c:pt idx="391">
                  <c:v>43168</c:v>
                </c:pt>
                <c:pt idx="392">
                  <c:v>43167</c:v>
                </c:pt>
                <c:pt idx="393">
                  <c:v>43166</c:v>
                </c:pt>
                <c:pt idx="394">
                  <c:v>43165</c:v>
                </c:pt>
                <c:pt idx="395">
                  <c:v>43164</c:v>
                </c:pt>
                <c:pt idx="396">
                  <c:v>43161</c:v>
                </c:pt>
                <c:pt idx="397">
                  <c:v>43160</c:v>
                </c:pt>
                <c:pt idx="398">
                  <c:v>43159</c:v>
                </c:pt>
                <c:pt idx="399">
                  <c:v>43158</c:v>
                </c:pt>
                <c:pt idx="400">
                  <c:v>43157</c:v>
                </c:pt>
                <c:pt idx="401">
                  <c:v>43154</c:v>
                </c:pt>
                <c:pt idx="402">
                  <c:v>43153</c:v>
                </c:pt>
                <c:pt idx="403">
                  <c:v>43152</c:v>
                </c:pt>
                <c:pt idx="404">
                  <c:v>43151</c:v>
                </c:pt>
                <c:pt idx="405">
                  <c:v>43150</c:v>
                </c:pt>
                <c:pt idx="406">
                  <c:v>43147</c:v>
                </c:pt>
                <c:pt idx="407">
                  <c:v>43146</c:v>
                </c:pt>
                <c:pt idx="408">
                  <c:v>43145</c:v>
                </c:pt>
                <c:pt idx="409">
                  <c:v>43144</c:v>
                </c:pt>
                <c:pt idx="410">
                  <c:v>43140</c:v>
                </c:pt>
                <c:pt idx="411">
                  <c:v>43139</c:v>
                </c:pt>
                <c:pt idx="412">
                  <c:v>43138</c:v>
                </c:pt>
                <c:pt idx="413">
                  <c:v>43137</c:v>
                </c:pt>
                <c:pt idx="414">
                  <c:v>43136</c:v>
                </c:pt>
                <c:pt idx="415">
                  <c:v>43133</c:v>
                </c:pt>
                <c:pt idx="416">
                  <c:v>43132</c:v>
                </c:pt>
                <c:pt idx="417">
                  <c:v>43131</c:v>
                </c:pt>
                <c:pt idx="418">
                  <c:v>43130</c:v>
                </c:pt>
                <c:pt idx="419">
                  <c:v>43129</c:v>
                </c:pt>
                <c:pt idx="420">
                  <c:v>43126</c:v>
                </c:pt>
                <c:pt idx="421">
                  <c:v>43125</c:v>
                </c:pt>
                <c:pt idx="422">
                  <c:v>43124</c:v>
                </c:pt>
                <c:pt idx="423">
                  <c:v>43123</c:v>
                </c:pt>
                <c:pt idx="424">
                  <c:v>43122</c:v>
                </c:pt>
                <c:pt idx="425">
                  <c:v>43119</c:v>
                </c:pt>
                <c:pt idx="426">
                  <c:v>43118</c:v>
                </c:pt>
                <c:pt idx="427">
                  <c:v>43117</c:v>
                </c:pt>
                <c:pt idx="428">
                  <c:v>43116</c:v>
                </c:pt>
                <c:pt idx="429">
                  <c:v>43115</c:v>
                </c:pt>
                <c:pt idx="430">
                  <c:v>43112</c:v>
                </c:pt>
                <c:pt idx="431">
                  <c:v>43111</c:v>
                </c:pt>
                <c:pt idx="432">
                  <c:v>43110</c:v>
                </c:pt>
                <c:pt idx="433">
                  <c:v>43109</c:v>
                </c:pt>
                <c:pt idx="434">
                  <c:v>43105</c:v>
                </c:pt>
                <c:pt idx="435">
                  <c:v>43104</c:v>
                </c:pt>
                <c:pt idx="436">
                  <c:v>43098</c:v>
                </c:pt>
                <c:pt idx="437">
                  <c:v>43097</c:v>
                </c:pt>
                <c:pt idx="438">
                  <c:v>43096</c:v>
                </c:pt>
                <c:pt idx="439">
                  <c:v>43095</c:v>
                </c:pt>
                <c:pt idx="440">
                  <c:v>43094</c:v>
                </c:pt>
                <c:pt idx="441">
                  <c:v>43091</c:v>
                </c:pt>
                <c:pt idx="442">
                  <c:v>43090</c:v>
                </c:pt>
                <c:pt idx="443">
                  <c:v>43089</c:v>
                </c:pt>
                <c:pt idx="444">
                  <c:v>43088</c:v>
                </c:pt>
                <c:pt idx="445">
                  <c:v>43087</c:v>
                </c:pt>
                <c:pt idx="446">
                  <c:v>43084</c:v>
                </c:pt>
                <c:pt idx="447">
                  <c:v>43083</c:v>
                </c:pt>
                <c:pt idx="448">
                  <c:v>43082</c:v>
                </c:pt>
                <c:pt idx="449">
                  <c:v>43081</c:v>
                </c:pt>
                <c:pt idx="450">
                  <c:v>43080</c:v>
                </c:pt>
                <c:pt idx="451">
                  <c:v>43077</c:v>
                </c:pt>
                <c:pt idx="452">
                  <c:v>43076</c:v>
                </c:pt>
                <c:pt idx="453">
                  <c:v>43075</c:v>
                </c:pt>
                <c:pt idx="454">
                  <c:v>43074</c:v>
                </c:pt>
                <c:pt idx="455">
                  <c:v>43073</c:v>
                </c:pt>
                <c:pt idx="456">
                  <c:v>43070</c:v>
                </c:pt>
                <c:pt idx="457">
                  <c:v>43069</c:v>
                </c:pt>
                <c:pt idx="458">
                  <c:v>43068</c:v>
                </c:pt>
                <c:pt idx="459">
                  <c:v>43067</c:v>
                </c:pt>
                <c:pt idx="460">
                  <c:v>43066</c:v>
                </c:pt>
                <c:pt idx="461">
                  <c:v>43063</c:v>
                </c:pt>
                <c:pt idx="462">
                  <c:v>43061</c:v>
                </c:pt>
                <c:pt idx="463">
                  <c:v>43060</c:v>
                </c:pt>
                <c:pt idx="464">
                  <c:v>43059</c:v>
                </c:pt>
                <c:pt idx="465">
                  <c:v>43056</c:v>
                </c:pt>
                <c:pt idx="466">
                  <c:v>43055</c:v>
                </c:pt>
                <c:pt idx="467">
                  <c:v>43054</c:v>
                </c:pt>
                <c:pt idx="468">
                  <c:v>43053</c:v>
                </c:pt>
                <c:pt idx="469">
                  <c:v>43052</c:v>
                </c:pt>
                <c:pt idx="470">
                  <c:v>43049</c:v>
                </c:pt>
                <c:pt idx="471">
                  <c:v>43048</c:v>
                </c:pt>
                <c:pt idx="472">
                  <c:v>43047</c:v>
                </c:pt>
                <c:pt idx="473">
                  <c:v>43046</c:v>
                </c:pt>
                <c:pt idx="474">
                  <c:v>43045</c:v>
                </c:pt>
                <c:pt idx="475">
                  <c:v>43041</c:v>
                </c:pt>
                <c:pt idx="476">
                  <c:v>43040</c:v>
                </c:pt>
                <c:pt idx="477">
                  <c:v>43039</c:v>
                </c:pt>
                <c:pt idx="478">
                  <c:v>43038</c:v>
                </c:pt>
                <c:pt idx="479">
                  <c:v>43035</c:v>
                </c:pt>
                <c:pt idx="480">
                  <c:v>43034</c:v>
                </c:pt>
                <c:pt idx="481">
                  <c:v>43033</c:v>
                </c:pt>
                <c:pt idx="482">
                  <c:v>43032</c:v>
                </c:pt>
                <c:pt idx="483">
                  <c:v>43031</c:v>
                </c:pt>
                <c:pt idx="484">
                  <c:v>43028</c:v>
                </c:pt>
                <c:pt idx="485">
                  <c:v>43027</c:v>
                </c:pt>
                <c:pt idx="486">
                  <c:v>43026</c:v>
                </c:pt>
                <c:pt idx="487">
                  <c:v>43025</c:v>
                </c:pt>
                <c:pt idx="488">
                  <c:v>43024</c:v>
                </c:pt>
                <c:pt idx="489">
                  <c:v>43021</c:v>
                </c:pt>
                <c:pt idx="490">
                  <c:v>43020</c:v>
                </c:pt>
                <c:pt idx="491">
                  <c:v>43019</c:v>
                </c:pt>
                <c:pt idx="492">
                  <c:v>43018</c:v>
                </c:pt>
                <c:pt idx="493">
                  <c:v>43014</c:v>
                </c:pt>
                <c:pt idx="494">
                  <c:v>43013</c:v>
                </c:pt>
                <c:pt idx="495">
                  <c:v>43012</c:v>
                </c:pt>
                <c:pt idx="496">
                  <c:v>43011</c:v>
                </c:pt>
                <c:pt idx="497">
                  <c:v>43010</c:v>
                </c:pt>
                <c:pt idx="498">
                  <c:v>43007</c:v>
                </c:pt>
                <c:pt idx="499">
                  <c:v>43006</c:v>
                </c:pt>
                <c:pt idx="500">
                  <c:v>43005</c:v>
                </c:pt>
                <c:pt idx="501">
                  <c:v>43004</c:v>
                </c:pt>
                <c:pt idx="502">
                  <c:v>43003</c:v>
                </c:pt>
                <c:pt idx="503">
                  <c:v>43000</c:v>
                </c:pt>
                <c:pt idx="504">
                  <c:v>42999</c:v>
                </c:pt>
                <c:pt idx="505">
                  <c:v>42998</c:v>
                </c:pt>
                <c:pt idx="506">
                  <c:v>42997</c:v>
                </c:pt>
                <c:pt idx="507">
                  <c:v>42993</c:v>
                </c:pt>
                <c:pt idx="508">
                  <c:v>42992</c:v>
                </c:pt>
                <c:pt idx="509">
                  <c:v>42991</c:v>
                </c:pt>
                <c:pt idx="510">
                  <c:v>42990</c:v>
                </c:pt>
                <c:pt idx="511">
                  <c:v>42989</c:v>
                </c:pt>
                <c:pt idx="512">
                  <c:v>42986</c:v>
                </c:pt>
                <c:pt idx="513">
                  <c:v>42985</c:v>
                </c:pt>
                <c:pt idx="514">
                  <c:v>42984</c:v>
                </c:pt>
                <c:pt idx="515">
                  <c:v>42983</c:v>
                </c:pt>
                <c:pt idx="516">
                  <c:v>42982</c:v>
                </c:pt>
                <c:pt idx="517">
                  <c:v>42979</c:v>
                </c:pt>
                <c:pt idx="518">
                  <c:v>42978</c:v>
                </c:pt>
                <c:pt idx="519">
                  <c:v>42977</c:v>
                </c:pt>
                <c:pt idx="520">
                  <c:v>42976</c:v>
                </c:pt>
                <c:pt idx="521">
                  <c:v>42975</c:v>
                </c:pt>
                <c:pt idx="522">
                  <c:v>42972</c:v>
                </c:pt>
                <c:pt idx="523">
                  <c:v>42971</c:v>
                </c:pt>
                <c:pt idx="524">
                  <c:v>42970</c:v>
                </c:pt>
                <c:pt idx="525">
                  <c:v>42969</c:v>
                </c:pt>
                <c:pt idx="526">
                  <c:v>42968</c:v>
                </c:pt>
                <c:pt idx="527">
                  <c:v>42965</c:v>
                </c:pt>
                <c:pt idx="528">
                  <c:v>42964</c:v>
                </c:pt>
                <c:pt idx="529">
                  <c:v>42963</c:v>
                </c:pt>
                <c:pt idx="530">
                  <c:v>42962</c:v>
                </c:pt>
                <c:pt idx="531">
                  <c:v>42961</c:v>
                </c:pt>
                <c:pt idx="532">
                  <c:v>42957</c:v>
                </c:pt>
                <c:pt idx="533">
                  <c:v>42956</c:v>
                </c:pt>
                <c:pt idx="534">
                  <c:v>42955</c:v>
                </c:pt>
                <c:pt idx="535">
                  <c:v>42954</c:v>
                </c:pt>
                <c:pt idx="536">
                  <c:v>42951</c:v>
                </c:pt>
                <c:pt idx="537">
                  <c:v>42950</c:v>
                </c:pt>
                <c:pt idx="538">
                  <c:v>42949</c:v>
                </c:pt>
                <c:pt idx="539">
                  <c:v>42948</c:v>
                </c:pt>
                <c:pt idx="540">
                  <c:v>42947</c:v>
                </c:pt>
                <c:pt idx="541">
                  <c:v>42944</c:v>
                </c:pt>
                <c:pt idx="542">
                  <c:v>42943</c:v>
                </c:pt>
                <c:pt idx="543">
                  <c:v>42942</c:v>
                </c:pt>
                <c:pt idx="544">
                  <c:v>42941</c:v>
                </c:pt>
                <c:pt idx="545">
                  <c:v>42940</c:v>
                </c:pt>
                <c:pt idx="546">
                  <c:v>42937</c:v>
                </c:pt>
                <c:pt idx="547">
                  <c:v>42936</c:v>
                </c:pt>
                <c:pt idx="548">
                  <c:v>42935</c:v>
                </c:pt>
                <c:pt idx="549">
                  <c:v>42934</c:v>
                </c:pt>
                <c:pt idx="550">
                  <c:v>42930</c:v>
                </c:pt>
                <c:pt idx="551">
                  <c:v>42929</c:v>
                </c:pt>
                <c:pt idx="552">
                  <c:v>42928</c:v>
                </c:pt>
                <c:pt idx="553">
                  <c:v>42927</c:v>
                </c:pt>
                <c:pt idx="554">
                  <c:v>42926</c:v>
                </c:pt>
                <c:pt idx="555">
                  <c:v>42923</c:v>
                </c:pt>
                <c:pt idx="556">
                  <c:v>42922</c:v>
                </c:pt>
                <c:pt idx="557">
                  <c:v>42921</c:v>
                </c:pt>
                <c:pt idx="558">
                  <c:v>42920</c:v>
                </c:pt>
                <c:pt idx="559">
                  <c:v>42919</c:v>
                </c:pt>
                <c:pt idx="560">
                  <c:v>42916</c:v>
                </c:pt>
                <c:pt idx="561">
                  <c:v>42915</c:v>
                </c:pt>
                <c:pt idx="562">
                  <c:v>42914</c:v>
                </c:pt>
                <c:pt idx="563">
                  <c:v>42913</c:v>
                </c:pt>
                <c:pt idx="564">
                  <c:v>42912</c:v>
                </c:pt>
                <c:pt idx="565">
                  <c:v>42909</c:v>
                </c:pt>
                <c:pt idx="566">
                  <c:v>42908</c:v>
                </c:pt>
                <c:pt idx="567">
                  <c:v>42907</c:v>
                </c:pt>
                <c:pt idx="568">
                  <c:v>42906</c:v>
                </c:pt>
                <c:pt idx="569">
                  <c:v>42905</c:v>
                </c:pt>
                <c:pt idx="570">
                  <c:v>42902</c:v>
                </c:pt>
                <c:pt idx="571">
                  <c:v>42901</c:v>
                </c:pt>
                <c:pt idx="572">
                  <c:v>42900</c:v>
                </c:pt>
                <c:pt idx="573">
                  <c:v>42899</c:v>
                </c:pt>
                <c:pt idx="574">
                  <c:v>42898</c:v>
                </c:pt>
                <c:pt idx="575">
                  <c:v>42895</c:v>
                </c:pt>
                <c:pt idx="576">
                  <c:v>42894</c:v>
                </c:pt>
                <c:pt idx="577">
                  <c:v>42893</c:v>
                </c:pt>
                <c:pt idx="578">
                  <c:v>42892</c:v>
                </c:pt>
                <c:pt idx="579">
                  <c:v>42891</c:v>
                </c:pt>
                <c:pt idx="580">
                  <c:v>42888</c:v>
                </c:pt>
                <c:pt idx="581">
                  <c:v>42887</c:v>
                </c:pt>
                <c:pt idx="582">
                  <c:v>42886</c:v>
                </c:pt>
                <c:pt idx="583">
                  <c:v>42885</c:v>
                </c:pt>
                <c:pt idx="584">
                  <c:v>42884</c:v>
                </c:pt>
                <c:pt idx="585">
                  <c:v>42881</c:v>
                </c:pt>
                <c:pt idx="586">
                  <c:v>42880</c:v>
                </c:pt>
                <c:pt idx="587">
                  <c:v>42879</c:v>
                </c:pt>
                <c:pt idx="588">
                  <c:v>42878</c:v>
                </c:pt>
                <c:pt idx="589">
                  <c:v>42877</c:v>
                </c:pt>
                <c:pt idx="590">
                  <c:v>42874</c:v>
                </c:pt>
                <c:pt idx="591">
                  <c:v>42873</c:v>
                </c:pt>
                <c:pt idx="592">
                  <c:v>42872</c:v>
                </c:pt>
                <c:pt idx="593">
                  <c:v>42871</c:v>
                </c:pt>
                <c:pt idx="594">
                  <c:v>42870</c:v>
                </c:pt>
                <c:pt idx="595">
                  <c:v>42867</c:v>
                </c:pt>
                <c:pt idx="596">
                  <c:v>42866</c:v>
                </c:pt>
                <c:pt idx="597">
                  <c:v>42865</c:v>
                </c:pt>
                <c:pt idx="598">
                  <c:v>42864</c:v>
                </c:pt>
                <c:pt idx="599">
                  <c:v>42863</c:v>
                </c:pt>
                <c:pt idx="600">
                  <c:v>42857</c:v>
                </c:pt>
                <c:pt idx="601">
                  <c:v>42856</c:v>
                </c:pt>
                <c:pt idx="602">
                  <c:v>42853</c:v>
                </c:pt>
                <c:pt idx="603">
                  <c:v>42852</c:v>
                </c:pt>
                <c:pt idx="604">
                  <c:v>42851</c:v>
                </c:pt>
                <c:pt idx="605">
                  <c:v>42850</c:v>
                </c:pt>
                <c:pt idx="606">
                  <c:v>42849</c:v>
                </c:pt>
                <c:pt idx="607">
                  <c:v>42846</c:v>
                </c:pt>
                <c:pt idx="608">
                  <c:v>42845</c:v>
                </c:pt>
                <c:pt idx="609">
                  <c:v>42844</c:v>
                </c:pt>
                <c:pt idx="610">
                  <c:v>42843</c:v>
                </c:pt>
                <c:pt idx="611">
                  <c:v>42842</c:v>
                </c:pt>
                <c:pt idx="612">
                  <c:v>42839</c:v>
                </c:pt>
                <c:pt idx="613">
                  <c:v>42838</c:v>
                </c:pt>
                <c:pt idx="614">
                  <c:v>42837</c:v>
                </c:pt>
                <c:pt idx="615">
                  <c:v>42836</c:v>
                </c:pt>
                <c:pt idx="616">
                  <c:v>42835</c:v>
                </c:pt>
                <c:pt idx="617">
                  <c:v>42832</c:v>
                </c:pt>
                <c:pt idx="618">
                  <c:v>42831</c:v>
                </c:pt>
                <c:pt idx="619">
                  <c:v>42830</c:v>
                </c:pt>
                <c:pt idx="620">
                  <c:v>42829</c:v>
                </c:pt>
                <c:pt idx="621">
                  <c:v>42828</c:v>
                </c:pt>
                <c:pt idx="622">
                  <c:v>42825</c:v>
                </c:pt>
                <c:pt idx="623">
                  <c:v>42824</c:v>
                </c:pt>
                <c:pt idx="624">
                  <c:v>42823</c:v>
                </c:pt>
                <c:pt idx="625">
                  <c:v>42822</c:v>
                </c:pt>
                <c:pt idx="626">
                  <c:v>42821</c:v>
                </c:pt>
                <c:pt idx="627">
                  <c:v>42818</c:v>
                </c:pt>
                <c:pt idx="628">
                  <c:v>42817</c:v>
                </c:pt>
                <c:pt idx="629">
                  <c:v>42816</c:v>
                </c:pt>
                <c:pt idx="630">
                  <c:v>42815</c:v>
                </c:pt>
                <c:pt idx="631">
                  <c:v>42811</c:v>
                </c:pt>
                <c:pt idx="632">
                  <c:v>42810</c:v>
                </c:pt>
                <c:pt idx="633">
                  <c:v>42809</c:v>
                </c:pt>
                <c:pt idx="634">
                  <c:v>42808</c:v>
                </c:pt>
                <c:pt idx="635">
                  <c:v>42807</c:v>
                </c:pt>
                <c:pt idx="636">
                  <c:v>42804</c:v>
                </c:pt>
                <c:pt idx="637">
                  <c:v>42803</c:v>
                </c:pt>
                <c:pt idx="638">
                  <c:v>42802</c:v>
                </c:pt>
                <c:pt idx="639">
                  <c:v>42801</c:v>
                </c:pt>
                <c:pt idx="640">
                  <c:v>42800</c:v>
                </c:pt>
                <c:pt idx="641">
                  <c:v>42797</c:v>
                </c:pt>
                <c:pt idx="642">
                  <c:v>42796</c:v>
                </c:pt>
                <c:pt idx="643">
                  <c:v>42795</c:v>
                </c:pt>
                <c:pt idx="644">
                  <c:v>42794</c:v>
                </c:pt>
                <c:pt idx="645">
                  <c:v>42793</c:v>
                </c:pt>
                <c:pt idx="646">
                  <c:v>42790</c:v>
                </c:pt>
                <c:pt idx="647">
                  <c:v>42789</c:v>
                </c:pt>
                <c:pt idx="648">
                  <c:v>42788</c:v>
                </c:pt>
                <c:pt idx="649">
                  <c:v>42787</c:v>
                </c:pt>
                <c:pt idx="650">
                  <c:v>42786</c:v>
                </c:pt>
                <c:pt idx="651">
                  <c:v>42783</c:v>
                </c:pt>
                <c:pt idx="652">
                  <c:v>42782</c:v>
                </c:pt>
                <c:pt idx="653">
                  <c:v>42781</c:v>
                </c:pt>
                <c:pt idx="654">
                  <c:v>42780</c:v>
                </c:pt>
                <c:pt idx="655">
                  <c:v>42779</c:v>
                </c:pt>
                <c:pt idx="656">
                  <c:v>42776</c:v>
                </c:pt>
                <c:pt idx="657">
                  <c:v>42775</c:v>
                </c:pt>
                <c:pt idx="658">
                  <c:v>42774</c:v>
                </c:pt>
                <c:pt idx="659">
                  <c:v>42773</c:v>
                </c:pt>
                <c:pt idx="660">
                  <c:v>42772</c:v>
                </c:pt>
                <c:pt idx="661">
                  <c:v>42769</c:v>
                </c:pt>
              </c:numCache>
            </c:numRef>
          </c:cat>
          <c:val>
            <c:numRef>
              <c:f>グラフ!$N$42:$N$703</c:f>
              <c:numCache>
                <c:formatCode>General</c:formatCode>
                <c:ptCount val="662"/>
                <c:pt idx="0">
                  <c:v>2.2619021329405684</c:v>
                </c:pt>
                <c:pt idx="1">
                  <c:v>2.2555933418739436</c:v>
                </c:pt>
                <c:pt idx="2">
                  <c:v>2.2517166191788678</c:v>
                </c:pt>
                <c:pt idx="3">
                  <c:v>2.2460773641219376</c:v>
                </c:pt>
                <c:pt idx="4">
                  <c:v>2.2402188609067801</c:v>
                </c:pt>
                <c:pt idx="5">
                  <c:v>2.2401837519159011</c:v>
                </c:pt>
                <c:pt idx="6">
                  <c:v>2.2387207293256184</c:v>
                </c:pt>
                <c:pt idx="7">
                  <c:v>2.2381697286322915</c:v>
                </c:pt>
                <c:pt idx="8">
                  <c:v>2.2369592402918368</c:v>
                </c:pt>
                <c:pt idx="9">
                  <c:v>2.2357459587956217</c:v>
                </c:pt>
                <c:pt idx="10">
                  <c:v>2.2346781262848472</c:v>
                </c:pt>
                <c:pt idx="11">
                  <c:v>2.2336118318156761</c:v>
                </c:pt>
                <c:pt idx="12">
                  <c:v>2.2321757370853539</c:v>
                </c:pt>
                <c:pt idx="13">
                  <c:v>2.2302136897806473</c:v>
                </c:pt>
                <c:pt idx="14">
                  <c:v>2.2256811360365547</c:v>
                </c:pt>
                <c:pt idx="15">
                  <c:v>2.2203033545975654</c:v>
                </c:pt>
                <c:pt idx="16">
                  <c:v>2.2188533589543278</c:v>
                </c:pt>
                <c:pt idx="17">
                  <c:v>2.216320075760954</c:v>
                </c:pt>
                <c:pt idx="18">
                  <c:v>2.2144825851247529</c:v>
                </c:pt>
                <c:pt idx="19">
                  <c:v>2.2106773773849842</c:v>
                </c:pt>
                <c:pt idx="20">
                  <c:v>2.2065440989973011</c:v>
                </c:pt>
                <c:pt idx="21">
                  <c:v>2.1977253901815663</c:v>
                </c:pt>
                <c:pt idx="22">
                  <c:v>2.1939506343110047</c:v>
                </c:pt>
                <c:pt idx="23">
                  <c:v>2.1931859274698491</c:v>
                </c:pt>
                <c:pt idx="24">
                  <c:v>2.1922170486849746</c:v>
                </c:pt>
                <c:pt idx="25">
                  <c:v>2.1919675029701589</c:v>
                </c:pt>
                <c:pt idx="26">
                  <c:v>2.1918657950351554</c:v>
                </c:pt>
                <c:pt idx="27">
                  <c:v>2.1911666925107101</c:v>
                </c:pt>
                <c:pt idx="28">
                  <c:v>2.1900775631041043</c:v>
                </c:pt>
                <c:pt idx="29">
                  <c:v>2.1905766205103565</c:v>
                </c:pt>
                <c:pt idx="30">
                  <c:v>2.1899667948821029</c:v>
                </c:pt>
                <c:pt idx="31">
                  <c:v>2.1924295511543002</c:v>
                </c:pt>
                <c:pt idx="32">
                  <c:v>2.1950183802480181</c:v>
                </c:pt>
                <c:pt idx="33">
                  <c:v>2.1949929570503603</c:v>
                </c:pt>
                <c:pt idx="34">
                  <c:v>2.1950537737701921</c:v>
                </c:pt>
                <c:pt idx="35">
                  <c:v>2.1957936654501724</c:v>
                </c:pt>
                <c:pt idx="36">
                  <c:v>2.195885516222186</c:v>
                </c:pt>
                <c:pt idx="37">
                  <c:v>2.1960324685796579</c:v>
                </c:pt>
                <c:pt idx="38">
                  <c:v>2.1976680563665782</c:v>
                </c:pt>
                <c:pt idx="39">
                  <c:v>2.1975728125449092</c:v>
                </c:pt>
                <c:pt idx="40">
                  <c:v>2.1978547921599847</c:v>
                </c:pt>
                <c:pt idx="41">
                  <c:v>2.1994273955455781</c:v>
                </c:pt>
                <c:pt idx="42">
                  <c:v>2.199712062608687</c:v>
                </c:pt>
                <c:pt idx="43">
                  <c:v>2.1989715359673196</c:v>
                </c:pt>
                <c:pt idx="44">
                  <c:v>2.2001217523236334</c:v>
                </c:pt>
                <c:pt idx="45">
                  <c:v>2.2010663766701954</c:v>
                </c:pt>
                <c:pt idx="46">
                  <c:v>2.2012727297427572</c:v>
                </c:pt>
                <c:pt idx="47">
                  <c:v>2.2009488744124064</c:v>
                </c:pt>
                <c:pt idx="48">
                  <c:v>2.201751947477113</c:v>
                </c:pt>
                <c:pt idx="49">
                  <c:v>2.2021228762028509</c:v>
                </c:pt>
                <c:pt idx="50">
                  <c:v>2.2027376677430115</c:v>
                </c:pt>
                <c:pt idx="51">
                  <c:v>2.2017108756552983</c:v>
                </c:pt>
                <c:pt idx="52">
                  <c:v>2.1985424088859729</c:v>
                </c:pt>
                <c:pt idx="53">
                  <c:v>2.1942250807704284</c:v>
                </c:pt>
                <c:pt idx="54">
                  <c:v>2.1908600209854696</c:v>
                </c:pt>
                <c:pt idx="55">
                  <c:v>2.1904074419249562</c:v>
                </c:pt>
                <c:pt idx="56">
                  <c:v>2.1904362656817598</c:v>
                </c:pt>
                <c:pt idx="57">
                  <c:v>2.1902890969397926</c:v>
                </c:pt>
                <c:pt idx="58">
                  <c:v>2.1897589150681167</c:v>
                </c:pt>
                <c:pt idx="59">
                  <c:v>2.1884718779963612</c:v>
                </c:pt>
                <c:pt idx="60">
                  <c:v>2.1885055236897872</c:v>
                </c:pt>
                <c:pt idx="61">
                  <c:v>2.1868123667679922</c:v>
                </c:pt>
                <c:pt idx="62">
                  <c:v>2.1864422854953727</c:v>
                </c:pt>
                <c:pt idx="63">
                  <c:v>2.1846310210515978</c:v>
                </c:pt>
                <c:pt idx="64">
                  <c:v>2.1853696762765265</c:v>
                </c:pt>
                <c:pt idx="65">
                  <c:v>2.1844543818712818</c:v>
                </c:pt>
                <c:pt idx="66">
                  <c:v>2.1828181885156921</c:v>
                </c:pt>
                <c:pt idx="67">
                  <c:v>2.1794883086501429</c:v>
                </c:pt>
                <c:pt idx="68">
                  <c:v>2.1786800617561717</c:v>
                </c:pt>
                <c:pt idx="69">
                  <c:v>2.177880058124456</c:v>
                </c:pt>
                <c:pt idx="70">
                  <c:v>2.1774865720610377</c:v>
                </c:pt>
                <c:pt idx="71">
                  <c:v>2.1772382525064979</c:v>
                </c:pt>
                <c:pt idx="72">
                  <c:v>2.1775857524473445</c:v>
                </c:pt>
                <c:pt idx="73">
                  <c:v>2.1774327709908148</c:v>
                </c:pt>
                <c:pt idx="74">
                  <c:v>2.1776515268513741</c:v>
                </c:pt>
                <c:pt idx="75">
                  <c:v>2.1762914957179409</c:v>
                </c:pt>
                <c:pt idx="76">
                  <c:v>2.1760508589238783</c:v>
                </c:pt>
                <c:pt idx="77">
                  <c:v>2.1766884041097927</c:v>
                </c:pt>
                <c:pt idx="78">
                  <c:v>2.1769815389365106</c:v>
                </c:pt>
                <c:pt idx="79">
                  <c:v>2.1778318295273462</c:v>
                </c:pt>
                <c:pt idx="80">
                  <c:v>2.1780054705486536</c:v>
                </c:pt>
                <c:pt idx="81">
                  <c:v>2.176770273351242</c:v>
                </c:pt>
                <c:pt idx="82">
                  <c:v>2.1751302789946805</c:v>
                </c:pt>
                <c:pt idx="83">
                  <c:v>2.1743600145183546</c:v>
                </c:pt>
                <c:pt idx="84">
                  <c:v>2.1730565410654696</c:v>
                </c:pt>
                <c:pt idx="85">
                  <c:v>2.1725108300418907</c:v>
                </c:pt>
                <c:pt idx="86">
                  <c:v>2.1721827363256239</c:v>
                </c:pt>
                <c:pt idx="87">
                  <c:v>2.1709211280925986</c:v>
                </c:pt>
                <c:pt idx="88">
                  <c:v>2.1686801892808658</c:v>
                </c:pt>
                <c:pt idx="89">
                  <c:v>2.1689307717858815</c:v>
                </c:pt>
                <c:pt idx="90">
                  <c:v>2.1694715779625904</c:v>
                </c:pt>
                <c:pt idx="91">
                  <c:v>2.169195074865538</c:v>
                </c:pt>
                <c:pt idx="92">
                  <c:v>2.1670193554469122</c:v>
                </c:pt>
                <c:pt idx="93">
                  <c:v>2.1669118762499875</c:v>
                </c:pt>
                <c:pt idx="94">
                  <c:v>2.1679573309975941</c:v>
                </c:pt>
                <c:pt idx="95">
                  <c:v>2.1670532186427351</c:v>
                </c:pt>
                <c:pt idx="96">
                  <c:v>2.1674115745652798</c:v>
                </c:pt>
                <c:pt idx="97">
                  <c:v>2.1666241613179391</c:v>
                </c:pt>
                <c:pt idx="98">
                  <c:v>2.1681796335049595</c:v>
                </c:pt>
                <c:pt idx="99">
                  <c:v>2.1675924397684714</c:v>
                </c:pt>
                <c:pt idx="100">
                  <c:v>2.1666097010091181</c:v>
                </c:pt>
                <c:pt idx="101">
                  <c:v>2.1667587156859605</c:v>
                </c:pt>
                <c:pt idx="102">
                  <c:v>2.1675298589771952</c:v>
                </c:pt>
                <c:pt idx="103">
                  <c:v>2.172729569492863</c:v>
                </c:pt>
                <c:pt idx="104">
                  <c:v>2.1765071469120194</c:v>
                </c:pt>
                <c:pt idx="105">
                  <c:v>2.1796316069230315</c:v>
                </c:pt>
                <c:pt idx="106">
                  <c:v>2.1811980152858119</c:v>
                </c:pt>
                <c:pt idx="107">
                  <c:v>2.1822529553644938</c:v>
                </c:pt>
                <c:pt idx="108">
                  <c:v>2.1837638244222011</c:v>
                </c:pt>
                <c:pt idx="109">
                  <c:v>2.1869102468884329</c:v>
                </c:pt>
                <c:pt idx="110">
                  <c:v>2.1923047799342852</c:v>
                </c:pt>
                <c:pt idx="111">
                  <c:v>2.1970212627801944</c:v>
                </c:pt>
                <c:pt idx="112">
                  <c:v>2.1993902815292627</c:v>
                </c:pt>
                <c:pt idx="113">
                  <c:v>2.1973031789983692</c:v>
                </c:pt>
                <c:pt idx="114">
                  <c:v>2.1994476830389234</c:v>
                </c:pt>
                <c:pt idx="115">
                  <c:v>2.200602023676538</c:v>
                </c:pt>
                <c:pt idx="116">
                  <c:v>2.2030236327603108</c:v>
                </c:pt>
                <c:pt idx="117">
                  <c:v>2.2131621167433697</c:v>
                </c:pt>
                <c:pt idx="118">
                  <c:v>2.2214181803866264</c:v>
                </c:pt>
                <c:pt idx="119">
                  <c:v>2.225841547474662</c:v>
                </c:pt>
                <c:pt idx="120">
                  <c:v>2.2295042696947287</c:v>
                </c:pt>
                <c:pt idx="121">
                  <c:v>2.2332072385046899</c:v>
                </c:pt>
                <c:pt idx="122">
                  <c:v>2.2353592738819463</c:v>
                </c:pt>
                <c:pt idx="123">
                  <c:v>2.2370881405953686</c:v>
                </c:pt>
                <c:pt idx="124">
                  <c:v>2.2382247827462933</c:v>
                </c:pt>
                <c:pt idx="125">
                  <c:v>2.2385700492647662</c:v>
                </c:pt>
                <c:pt idx="126">
                  <c:v>2.2385549472402611</c:v>
                </c:pt>
                <c:pt idx="127">
                  <c:v>2.2386940829860094</c:v>
                </c:pt>
                <c:pt idx="128">
                  <c:v>2.2388616840169275</c:v>
                </c:pt>
                <c:pt idx="129">
                  <c:v>2.2388879608506325</c:v>
                </c:pt>
                <c:pt idx="130">
                  <c:v>2.2391210430715547</c:v>
                </c:pt>
                <c:pt idx="131">
                  <c:v>2.2393396074819645</c:v>
                </c:pt>
                <c:pt idx="132">
                  <c:v>2.2394521153362708</c:v>
                </c:pt>
                <c:pt idx="133">
                  <c:v>2.2394530280399012</c:v>
                </c:pt>
                <c:pt idx="134">
                  <c:v>2.2394443118012668</c:v>
                </c:pt>
                <c:pt idx="135">
                  <c:v>2.2396513837457963</c:v>
                </c:pt>
                <c:pt idx="136">
                  <c:v>2.2405436068703555</c:v>
                </c:pt>
                <c:pt idx="137">
                  <c:v>2.2401043068252902</c:v>
                </c:pt>
                <c:pt idx="138">
                  <c:v>2.2400634133178636</c:v>
                </c:pt>
                <c:pt idx="139">
                  <c:v>2.2387701049944182</c:v>
                </c:pt>
                <c:pt idx="140">
                  <c:v>2.2383206661361399</c:v>
                </c:pt>
                <c:pt idx="141">
                  <c:v>2.2380342228530963</c:v>
                </c:pt>
                <c:pt idx="142">
                  <c:v>2.2380069264193696</c:v>
                </c:pt>
                <c:pt idx="143">
                  <c:v>2.2382027031614133</c:v>
                </c:pt>
                <c:pt idx="144">
                  <c:v>2.2384139397882672</c:v>
                </c:pt>
                <c:pt idx="145">
                  <c:v>2.2379706856393926</c:v>
                </c:pt>
                <c:pt idx="146">
                  <c:v>2.2388430696233175</c:v>
                </c:pt>
                <c:pt idx="147">
                  <c:v>2.2394980664573678</c:v>
                </c:pt>
                <c:pt idx="148">
                  <c:v>2.240555035153414</c:v>
                </c:pt>
                <c:pt idx="149">
                  <c:v>2.2416348404014874</c:v>
                </c:pt>
                <c:pt idx="150">
                  <c:v>2.2424389034436745</c:v>
                </c:pt>
                <c:pt idx="151">
                  <c:v>2.2436563207234022</c:v>
                </c:pt>
                <c:pt idx="152">
                  <c:v>2.2463572958336839</c:v>
                </c:pt>
                <c:pt idx="153">
                  <c:v>2.2524273972791455</c:v>
                </c:pt>
                <c:pt idx="154">
                  <c:v>2.257388845379718</c:v>
                </c:pt>
                <c:pt idx="155">
                  <c:v>2.2628502541605888</c:v>
                </c:pt>
                <c:pt idx="156">
                  <c:v>2.2705350899418413</c:v>
                </c:pt>
                <c:pt idx="157">
                  <c:v>2.2775472744134766</c:v>
                </c:pt>
                <c:pt idx="158">
                  <c:v>2.2770325732223262</c:v>
                </c:pt>
                <c:pt idx="159">
                  <c:v>2.2756229346018011</c:v>
                </c:pt>
                <c:pt idx="160">
                  <c:v>2.2755534617156736</c:v>
                </c:pt>
                <c:pt idx="161">
                  <c:v>2.2752683158898726</c:v>
                </c:pt>
                <c:pt idx="162">
                  <c:v>2.2746974502090982</c:v>
                </c:pt>
                <c:pt idx="163">
                  <c:v>2.273730511973981</c:v>
                </c:pt>
                <c:pt idx="164">
                  <c:v>2.2703707432480633</c:v>
                </c:pt>
                <c:pt idx="165">
                  <c:v>2.2676672154879989</c:v>
                </c:pt>
                <c:pt idx="166">
                  <c:v>2.2653638305380919</c:v>
                </c:pt>
                <c:pt idx="167">
                  <c:v>2.2653057940743508</c:v>
                </c:pt>
                <c:pt idx="168">
                  <c:v>2.2652442017718233</c:v>
                </c:pt>
                <c:pt idx="169">
                  <c:v>2.265201760928607</c:v>
                </c:pt>
                <c:pt idx="170">
                  <c:v>2.2653344167795675</c:v>
                </c:pt>
                <c:pt idx="171">
                  <c:v>2.2656782204724299</c:v>
                </c:pt>
                <c:pt idx="172">
                  <c:v>2.265296056581529</c:v>
                </c:pt>
                <c:pt idx="173">
                  <c:v>2.2657253670236499</c:v>
                </c:pt>
                <c:pt idx="174">
                  <c:v>2.2662725015459917</c:v>
                </c:pt>
                <c:pt idx="175">
                  <c:v>2.2665756740363685</c:v>
                </c:pt>
                <c:pt idx="176">
                  <c:v>2.2667498911368278</c:v>
                </c:pt>
                <c:pt idx="177">
                  <c:v>2.2668175696056783</c:v>
                </c:pt>
                <c:pt idx="178">
                  <c:v>2.2658782914183346</c:v>
                </c:pt>
                <c:pt idx="179">
                  <c:v>2.2643236972042233</c:v>
                </c:pt>
                <c:pt idx="180">
                  <c:v>2.2633205757980446</c:v>
                </c:pt>
                <c:pt idx="181">
                  <c:v>2.2614256687176719</c:v>
                </c:pt>
                <c:pt idx="182">
                  <c:v>2.2596218963860411</c:v>
                </c:pt>
                <c:pt idx="183">
                  <c:v>2.2596196162554598</c:v>
                </c:pt>
                <c:pt idx="184">
                  <c:v>2.2599432156811923</c:v>
                </c:pt>
                <c:pt idx="185">
                  <c:v>2.2590919012442665</c:v>
                </c:pt>
                <c:pt idx="186">
                  <c:v>2.2579245677008779</c:v>
                </c:pt>
                <c:pt idx="187">
                  <c:v>2.2580190901492654</c:v>
                </c:pt>
                <c:pt idx="188">
                  <c:v>2.2592614587267592</c:v>
                </c:pt>
                <c:pt idx="189">
                  <c:v>2.2600143190342155</c:v>
                </c:pt>
                <c:pt idx="190">
                  <c:v>2.2617016668494627</c:v>
                </c:pt>
                <c:pt idx="191">
                  <c:v>2.2616079792663801</c:v>
                </c:pt>
                <c:pt idx="192">
                  <c:v>2.2555879313406786</c:v>
                </c:pt>
                <c:pt idx="193">
                  <c:v>2.250216166950334</c:v>
                </c:pt>
                <c:pt idx="194">
                  <c:v>2.2479741206335051</c:v>
                </c:pt>
                <c:pt idx="195">
                  <c:v>2.2459578541176919</c:v>
                </c:pt>
                <c:pt idx="196">
                  <c:v>2.2436201801108475</c:v>
                </c:pt>
                <c:pt idx="197">
                  <c:v>2.2422677514507878</c:v>
                </c:pt>
                <c:pt idx="198">
                  <c:v>2.2410684196247956</c:v>
                </c:pt>
                <c:pt idx="199">
                  <c:v>2.2403837458111466</c:v>
                </c:pt>
                <c:pt idx="200">
                  <c:v>2.240466929060978</c:v>
                </c:pt>
                <c:pt idx="201">
                  <c:v>2.2405326989494641</c:v>
                </c:pt>
                <c:pt idx="202">
                  <c:v>2.2406060793868967</c:v>
                </c:pt>
                <c:pt idx="203">
                  <c:v>2.2407114085793216</c:v>
                </c:pt>
                <c:pt idx="204">
                  <c:v>2.2408115864172937</c:v>
                </c:pt>
                <c:pt idx="205">
                  <c:v>2.2407177575346733</c:v>
                </c:pt>
                <c:pt idx="206">
                  <c:v>2.2411566442698256</c:v>
                </c:pt>
                <c:pt idx="207">
                  <c:v>2.2418160291900411</c:v>
                </c:pt>
                <c:pt idx="208">
                  <c:v>2.2424886154934347</c:v>
                </c:pt>
                <c:pt idx="209">
                  <c:v>2.2438897350035041</c:v>
                </c:pt>
                <c:pt idx="210">
                  <c:v>2.245548237517359</c:v>
                </c:pt>
                <c:pt idx="211">
                  <c:v>2.2469580156864142</c:v>
                </c:pt>
                <c:pt idx="212">
                  <c:v>2.2481788425180129</c:v>
                </c:pt>
                <c:pt idx="213">
                  <c:v>2.2481992601445522</c:v>
                </c:pt>
                <c:pt idx="214">
                  <c:v>2.2477617363343678</c:v>
                </c:pt>
                <c:pt idx="215">
                  <c:v>2.2475060621451544</c:v>
                </c:pt>
                <c:pt idx="216">
                  <c:v>2.2475214531686514</c:v>
                </c:pt>
                <c:pt idx="217">
                  <c:v>2.2506929862280165</c:v>
                </c:pt>
                <c:pt idx="218">
                  <c:v>2.255986433721044</c:v>
                </c:pt>
                <c:pt idx="219">
                  <c:v>2.2591501551039199</c:v>
                </c:pt>
                <c:pt idx="220">
                  <c:v>2.2604405855100027</c:v>
                </c:pt>
                <c:pt idx="221">
                  <c:v>2.2717233617053401</c:v>
                </c:pt>
                <c:pt idx="222">
                  <c:v>2.2813250418761513</c:v>
                </c:pt>
                <c:pt idx="223">
                  <c:v>2.2893593507596455</c:v>
                </c:pt>
                <c:pt idx="224">
                  <c:v>2.295877988332812</c:v>
                </c:pt>
                <c:pt idx="225">
                  <c:v>2.2987613550080019</c:v>
                </c:pt>
                <c:pt idx="226">
                  <c:v>2.2996666302465019</c:v>
                </c:pt>
                <c:pt idx="227">
                  <c:v>2.298247367525148</c:v>
                </c:pt>
                <c:pt idx="228">
                  <c:v>2.295285888986466</c:v>
                </c:pt>
                <c:pt idx="229">
                  <c:v>2.2934862146375847</c:v>
                </c:pt>
                <c:pt idx="230">
                  <c:v>2.2914455362242738</c:v>
                </c:pt>
                <c:pt idx="231">
                  <c:v>2.2899726258114854</c:v>
                </c:pt>
                <c:pt idx="232">
                  <c:v>2.2866844357618379</c:v>
                </c:pt>
                <c:pt idx="233">
                  <c:v>2.2900302766252416</c:v>
                </c:pt>
                <c:pt idx="234">
                  <c:v>2.2924292109807869</c:v>
                </c:pt>
                <c:pt idx="235">
                  <c:v>2.2932988834219685</c:v>
                </c:pt>
                <c:pt idx="236">
                  <c:v>2.2934707745605247</c:v>
                </c:pt>
                <c:pt idx="237">
                  <c:v>2.2966528455069097</c:v>
                </c:pt>
                <c:pt idx="238">
                  <c:v>2.2991178489242552</c:v>
                </c:pt>
                <c:pt idx="239">
                  <c:v>2.302932508524802</c:v>
                </c:pt>
                <c:pt idx="240">
                  <c:v>2.3043247784383509</c:v>
                </c:pt>
                <c:pt idx="241">
                  <c:v>2.3103807715483748</c:v>
                </c:pt>
                <c:pt idx="242">
                  <c:v>2.3172782063094699</c:v>
                </c:pt>
                <c:pt idx="243">
                  <c:v>2.3252498201345895</c:v>
                </c:pt>
                <c:pt idx="244">
                  <c:v>2.331524305377529</c:v>
                </c:pt>
                <c:pt idx="245">
                  <c:v>2.3395768483574697</c:v>
                </c:pt>
                <c:pt idx="246">
                  <c:v>2.3484320290387743</c:v>
                </c:pt>
                <c:pt idx="247">
                  <c:v>2.3588994854725933</c:v>
                </c:pt>
                <c:pt idx="248">
                  <c:v>2.3679347372357267</c:v>
                </c:pt>
                <c:pt idx="249">
                  <c:v>2.3799181253559318</c:v>
                </c:pt>
                <c:pt idx="250">
                  <c:v>2.3886736422545018</c:v>
                </c:pt>
                <c:pt idx="251">
                  <c:v>2.3966940456350816</c:v>
                </c:pt>
                <c:pt idx="252">
                  <c:v>2.4042300654586399</c:v>
                </c:pt>
                <c:pt idx="253">
                  <c:v>2.4124734930354119</c:v>
                </c:pt>
                <c:pt idx="254">
                  <c:v>2.4211615666400399</c:v>
                </c:pt>
                <c:pt idx="255">
                  <c:v>2.427766165373348</c:v>
                </c:pt>
                <c:pt idx="256">
                  <c:v>2.4350072452221521</c:v>
                </c:pt>
                <c:pt idx="257">
                  <c:v>2.44117224423879</c:v>
                </c:pt>
                <c:pt idx="258">
                  <c:v>2.4500795785753637</c:v>
                </c:pt>
                <c:pt idx="259">
                  <c:v>2.4577442299530761</c:v>
                </c:pt>
                <c:pt idx="260">
                  <c:v>2.4671515994167263</c:v>
                </c:pt>
                <c:pt idx="261">
                  <c:v>2.4743802202825838</c:v>
                </c:pt>
                <c:pt idx="262">
                  <c:v>2.480750800036398</c:v>
                </c:pt>
                <c:pt idx="263">
                  <c:v>2.484739788978394</c:v>
                </c:pt>
                <c:pt idx="264">
                  <c:v>2.4914223713155739</c:v>
                </c:pt>
                <c:pt idx="265">
                  <c:v>2.4925670870113561</c:v>
                </c:pt>
                <c:pt idx="266">
                  <c:v>2.4961750991756682</c:v>
                </c:pt>
                <c:pt idx="267">
                  <c:v>2.4988708365276442</c:v>
                </c:pt>
                <c:pt idx="268">
                  <c:v>2.5015207494832579</c:v>
                </c:pt>
                <c:pt idx="269">
                  <c:v>2.5022931435957823</c:v>
                </c:pt>
                <c:pt idx="270">
                  <c:v>2.5028327554341359</c:v>
                </c:pt>
                <c:pt idx="271">
                  <c:v>2.5050237105152298</c:v>
                </c:pt>
                <c:pt idx="272">
                  <c:v>2.5074010129748978</c:v>
                </c:pt>
                <c:pt idx="273">
                  <c:v>2.5100236025785843</c:v>
                </c:pt>
                <c:pt idx="274">
                  <c:v>2.5141072263703199</c:v>
                </c:pt>
                <c:pt idx="275">
                  <c:v>2.51799230876673</c:v>
                </c:pt>
                <c:pt idx="276">
                  <c:v>2.5265328778111718</c:v>
                </c:pt>
                <c:pt idx="277">
                  <c:v>2.535415414091208</c:v>
                </c:pt>
                <c:pt idx="278">
                  <c:v>2.5499149347208663</c:v>
                </c:pt>
                <c:pt idx="279">
                  <c:v>2.5591348580455242</c:v>
                </c:pt>
                <c:pt idx="280">
                  <c:v>2.5709833507724142</c:v>
                </c:pt>
                <c:pt idx="281">
                  <c:v>2.5822292201797281</c:v>
                </c:pt>
                <c:pt idx="282">
                  <c:v>2.5907577272651019</c:v>
                </c:pt>
                <c:pt idx="283">
                  <c:v>2.6001554310164297</c:v>
                </c:pt>
                <c:pt idx="284">
                  <c:v>2.6068727545992219</c:v>
                </c:pt>
                <c:pt idx="285">
                  <c:v>2.6151127365246141</c:v>
                </c:pt>
                <c:pt idx="286">
                  <c:v>2.6221666766703162</c:v>
                </c:pt>
                <c:pt idx="287">
                  <c:v>2.6260064892756261</c:v>
                </c:pt>
                <c:pt idx="288">
                  <c:v>2.6280660112387819</c:v>
                </c:pt>
                <c:pt idx="289">
                  <c:v>2.6291130900416659</c:v>
                </c:pt>
                <c:pt idx="290">
                  <c:v>2.627409779868632</c:v>
                </c:pt>
                <c:pt idx="291">
                  <c:v>2.6310040788733984</c:v>
                </c:pt>
                <c:pt idx="292">
                  <c:v>2.6387112625201619</c:v>
                </c:pt>
                <c:pt idx="293">
                  <c:v>2.646708888999334</c:v>
                </c:pt>
                <c:pt idx="294">
                  <c:v>2.6533438687011341</c:v>
                </c:pt>
                <c:pt idx="295">
                  <c:v>2.6613167497531198</c:v>
                </c:pt>
                <c:pt idx="296">
                  <c:v>2.6695289329552638</c:v>
                </c:pt>
                <c:pt idx="297">
                  <c:v>2.6741411134008737</c:v>
                </c:pt>
                <c:pt idx="298">
                  <c:v>2.676785767099588</c:v>
                </c:pt>
                <c:pt idx="299">
                  <c:v>2.6795422042872441</c:v>
                </c:pt>
                <c:pt idx="300">
                  <c:v>2.68157325978494</c:v>
                </c:pt>
                <c:pt idx="301">
                  <c:v>2.68211647871364</c:v>
                </c:pt>
                <c:pt idx="302">
                  <c:v>2.6820263195763401</c:v>
                </c:pt>
                <c:pt idx="303">
                  <c:v>2.6823019791990901</c:v>
                </c:pt>
                <c:pt idx="304">
                  <c:v>2.6838997430951363</c:v>
                </c:pt>
                <c:pt idx="305">
                  <c:v>2.683654518747288</c:v>
                </c:pt>
                <c:pt idx="306">
                  <c:v>2.6837508270660537</c:v>
                </c:pt>
                <c:pt idx="307">
                  <c:v>2.6827504400052882</c:v>
                </c:pt>
                <c:pt idx="308">
                  <c:v>2.680847273057426</c:v>
                </c:pt>
                <c:pt idx="309">
                  <c:v>2.6790235280892878</c:v>
                </c:pt>
                <c:pt idx="310">
                  <c:v>2.6740339879214341</c:v>
                </c:pt>
                <c:pt idx="311">
                  <c:v>2.6653812541175199</c:v>
                </c:pt>
                <c:pt idx="312">
                  <c:v>2.6617615911688191</c:v>
                </c:pt>
                <c:pt idx="313">
                  <c:v>2.6570052240700353</c:v>
                </c:pt>
                <c:pt idx="314">
                  <c:v>2.6533505747728126</c:v>
                </c:pt>
                <c:pt idx="315">
                  <c:v>2.6462161028483848</c:v>
                </c:pt>
                <c:pt idx="316">
                  <c:v>2.6437075321447261</c:v>
                </c:pt>
                <c:pt idx="317">
                  <c:v>2.6419960889041416</c:v>
                </c:pt>
                <c:pt idx="318">
                  <c:v>2.6406294634882164</c:v>
                </c:pt>
                <c:pt idx="319">
                  <c:v>2.6383080840394508</c:v>
                </c:pt>
                <c:pt idx="320">
                  <c:v>2.6370585544616727</c:v>
                </c:pt>
                <c:pt idx="321">
                  <c:v>2.6361238564069849</c:v>
                </c:pt>
                <c:pt idx="322">
                  <c:v>2.635701900739881</c:v>
                </c:pt>
                <c:pt idx="323">
                  <c:v>2.6351178069078935</c:v>
                </c:pt>
                <c:pt idx="324">
                  <c:v>2.635351967469505</c:v>
                </c:pt>
                <c:pt idx="325">
                  <c:v>2.6355958738707175</c:v>
                </c:pt>
                <c:pt idx="326">
                  <c:v>2.6350897994738403</c:v>
                </c:pt>
                <c:pt idx="327">
                  <c:v>2.6345117672046827</c:v>
                </c:pt>
                <c:pt idx="328">
                  <c:v>2.6340956880967781</c:v>
                </c:pt>
                <c:pt idx="329">
                  <c:v>2.6339495356248355</c:v>
                </c:pt>
                <c:pt idx="330">
                  <c:v>2.6329115626263673</c:v>
                </c:pt>
                <c:pt idx="331">
                  <c:v>2.6321482877481159</c:v>
                </c:pt>
                <c:pt idx="332">
                  <c:v>2.6314570477215775</c:v>
                </c:pt>
                <c:pt idx="333">
                  <c:v>2.6314965293795778</c:v>
                </c:pt>
                <c:pt idx="334">
                  <c:v>2.6314584743793268</c:v>
                </c:pt>
                <c:pt idx="335">
                  <c:v>2.6314967161547136</c:v>
                </c:pt>
                <c:pt idx="336">
                  <c:v>2.6314051295127223</c:v>
                </c:pt>
                <c:pt idx="337">
                  <c:v>2.631913534814398</c:v>
                </c:pt>
                <c:pt idx="338">
                  <c:v>2.6348721717069052</c:v>
                </c:pt>
                <c:pt idx="339">
                  <c:v>2.6396347740421668</c:v>
                </c:pt>
                <c:pt idx="340">
                  <c:v>2.639076302293911</c:v>
                </c:pt>
                <c:pt idx="341">
                  <c:v>2.6390350591157845</c:v>
                </c:pt>
                <c:pt idx="342">
                  <c:v>2.6383804187184352</c:v>
                </c:pt>
                <c:pt idx="343">
                  <c:v>2.6403482550847142</c:v>
                </c:pt>
                <c:pt idx="344">
                  <c:v>2.6432449008231198</c:v>
                </c:pt>
                <c:pt idx="345">
                  <c:v>2.6449165920884821</c:v>
                </c:pt>
                <c:pt idx="346">
                  <c:v>2.6469480778012238</c:v>
                </c:pt>
                <c:pt idx="347">
                  <c:v>2.6474261897079208</c:v>
                </c:pt>
                <c:pt idx="348">
                  <c:v>2.6494238360140434</c:v>
                </c:pt>
                <c:pt idx="349">
                  <c:v>2.6507055712314678</c:v>
                </c:pt>
                <c:pt idx="350">
                  <c:v>2.6520219012808774</c:v>
                </c:pt>
                <c:pt idx="351">
                  <c:v>2.6510964659278331</c:v>
                </c:pt>
                <c:pt idx="352">
                  <c:v>2.6521922787981858</c:v>
                </c:pt>
                <c:pt idx="353">
                  <c:v>2.6492644614229119</c:v>
                </c:pt>
                <c:pt idx="354">
                  <c:v>2.6500541736279666</c:v>
                </c:pt>
                <c:pt idx="355">
                  <c:v>2.6462581973179393</c:v>
                </c:pt>
                <c:pt idx="356">
                  <c:v>2.642707935014263</c:v>
                </c:pt>
                <c:pt idx="357">
                  <c:v>2.6411224297644376</c:v>
                </c:pt>
                <c:pt idx="358">
                  <c:v>2.6385569353212226</c:v>
                </c:pt>
                <c:pt idx="359">
                  <c:v>2.638288175556613</c:v>
                </c:pt>
                <c:pt idx="360">
                  <c:v>2.6348692190726903</c:v>
                </c:pt>
                <c:pt idx="361">
                  <c:v>2.6326975067434146</c:v>
                </c:pt>
                <c:pt idx="362">
                  <c:v>2.6318724437796734</c:v>
                </c:pt>
                <c:pt idx="363">
                  <c:v>2.6310537101519884</c:v>
                </c:pt>
                <c:pt idx="364">
                  <c:v>2.6293070410013626</c:v>
                </c:pt>
                <c:pt idx="365">
                  <c:v>2.6284714018758932</c:v>
                </c:pt>
                <c:pt idx="366">
                  <c:v>2.6244538390048038</c:v>
                </c:pt>
                <c:pt idx="367">
                  <c:v>2.6191152559129618</c:v>
                </c:pt>
                <c:pt idx="368">
                  <c:v>2.612521172316514</c:v>
                </c:pt>
                <c:pt idx="369">
                  <c:v>2.6051140139201809</c:v>
                </c:pt>
                <c:pt idx="370">
                  <c:v>2.59389460754644</c:v>
                </c:pt>
                <c:pt idx="371">
                  <c:v>2.58511760802415</c:v>
                </c:pt>
                <c:pt idx="372">
                  <c:v>2.5805896878466874</c:v>
                </c:pt>
                <c:pt idx="373">
                  <c:v>2.5786834453288976</c:v>
                </c:pt>
                <c:pt idx="374">
                  <c:v>2.5776170568341943</c:v>
                </c:pt>
                <c:pt idx="375">
                  <c:v>2.5745426396477225</c:v>
                </c:pt>
                <c:pt idx="376">
                  <c:v>2.5710327526968997</c:v>
                </c:pt>
                <c:pt idx="377">
                  <c:v>2.5656776175253815</c:v>
                </c:pt>
                <c:pt idx="378">
                  <c:v>2.5605743988971232</c:v>
                </c:pt>
                <c:pt idx="379">
                  <c:v>2.5539206342719516</c:v>
                </c:pt>
                <c:pt idx="380">
                  <c:v>2.5494562592440322</c:v>
                </c:pt>
                <c:pt idx="381">
                  <c:v>2.5463089961401941</c:v>
                </c:pt>
                <c:pt idx="382">
                  <c:v>2.5436281384557651</c:v>
                </c:pt>
                <c:pt idx="383">
                  <c:v>2.5425844766595254</c:v>
                </c:pt>
                <c:pt idx="384">
                  <c:v>2.5375083142106116</c:v>
                </c:pt>
                <c:pt idx="385">
                  <c:v>2.5334825669976464</c:v>
                </c:pt>
                <c:pt idx="386">
                  <c:v>2.5303978059131325</c:v>
                </c:pt>
                <c:pt idx="387">
                  <c:v>2.5274446038998675</c:v>
                </c:pt>
                <c:pt idx="388">
                  <c:v>2.5252876360539513</c:v>
                </c:pt>
                <c:pt idx="389">
                  <c:v>2.5225398335370599</c:v>
                </c:pt>
                <c:pt idx="390">
                  <c:v>2.5215471716675353</c:v>
                </c:pt>
                <c:pt idx="391">
                  <c:v>2.5191393692102126</c:v>
                </c:pt>
                <c:pt idx="392">
                  <c:v>2.5145432685185618</c:v>
                </c:pt>
                <c:pt idx="393">
                  <c:v>2.5104723644239626</c:v>
                </c:pt>
                <c:pt idx="394">
                  <c:v>2.5071052368436368</c:v>
                </c:pt>
                <c:pt idx="395">
                  <c:v>2.5027284385526909</c:v>
                </c:pt>
                <c:pt idx="396">
                  <c:v>2.4994103829310994</c:v>
                </c:pt>
                <c:pt idx="397">
                  <c:v>2.495439427052359</c:v>
                </c:pt>
                <c:pt idx="398">
                  <c:v>2.4909510813297211</c:v>
                </c:pt>
                <c:pt idx="399">
                  <c:v>2.485816772319366</c:v>
                </c:pt>
                <c:pt idx="400">
                  <c:v>2.4769549873028849</c:v>
                </c:pt>
                <c:pt idx="401">
                  <c:v>2.4712706863056035</c:v>
                </c:pt>
                <c:pt idx="402">
                  <c:v>2.4660412760840642</c:v>
                </c:pt>
                <c:pt idx="403">
                  <c:v>2.4622009290221527</c:v>
                </c:pt>
                <c:pt idx="404">
                  <c:v>2.454032489013886</c:v>
                </c:pt>
                <c:pt idx="405">
                  <c:v>2.4469739410955498</c:v>
                </c:pt>
                <c:pt idx="406">
                  <c:v>2.4401792234120561</c:v>
                </c:pt>
                <c:pt idx="407">
                  <c:v>2.4365852427571997</c:v>
                </c:pt>
                <c:pt idx="408">
                  <c:v>2.4313407997114993</c:v>
                </c:pt>
                <c:pt idx="409">
                  <c:v>2.4221120404982823</c:v>
                </c:pt>
                <c:pt idx="410">
                  <c:v>2.4123006841616137</c:v>
                </c:pt>
                <c:pt idx="411">
                  <c:v>2.4043663814396159</c:v>
                </c:pt>
                <c:pt idx="412">
                  <c:v>2.3995329167169039</c:v>
                </c:pt>
                <c:pt idx="413">
                  <c:v>2.3985364343601177</c:v>
                </c:pt>
                <c:pt idx="414">
                  <c:v>2.3982666279874714</c:v>
                </c:pt>
                <c:pt idx="415">
                  <c:v>2.3933799222788896</c:v>
                </c:pt>
                <c:pt idx="416">
                  <c:v>2.3866177282881442</c:v>
                </c:pt>
                <c:pt idx="417">
                  <c:v>2.3765917365145874</c:v>
                </c:pt>
                <c:pt idx="418">
                  <c:v>2.3746372847407078</c:v>
                </c:pt>
                <c:pt idx="419">
                  <c:v>2.37394451512588</c:v>
                </c:pt>
                <c:pt idx="420">
                  <c:v>2.3722111397853749</c:v>
                </c:pt>
                <c:pt idx="421">
                  <c:v>2.3699477320618523</c:v>
                </c:pt>
                <c:pt idx="422">
                  <c:v>2.3656493076255147</c:v>
                </c:pt>
                <c:pt idx="423">
                  <c:v>2.3639616178103178</c:v>
                </c:pt>
                <c:pt idx="424">
                  <c:v>2.3634117965347641</c:v>
                </c:pt>
                <c:pt idx="425">
                  <c:v>2.3621918442597343</c:v>
                </c:pt>
                <c:pt idx="426">
                  <c:v>2.3573593543560003</c:v>
                </c:pt>
                <c:pt idx="427">
                  <c:v>2.3565400048585596</c:v>
                </c:pt>
                <c:pt idx="428">
                  <c:v>2.355802372805528</c:v>
                </c:pt>
                <c:pt idx="429">
                  <c:v>2.3556753922914666</c:v>
                </c:pt>
                <c:pt idx="430">
                  <c:v>2.354360602926663</c:v>
                </c:pt>
                <c:pt idx="431">
                  <c:v>2.353551628978086</c:v>
                </c:pt>
                <c:pt idx="432">
                  <c:v>2.3550965845579923</c:v>
                </c:pt>
                <c:pt idx="433">
                  <c:v>2.3550591686658069</c:v>
                </c:pt>
                <c:pt idx="434">
                  <c:v>2.3554325781961145</c:v>
                </c:pt>
                <c:pt idx="435">
                  <c:v>2.3538692659625768</c:v>
                </c:pt>
                <c:pt idx="436">
                  <c:v>2.3537320826579071</c:v>
                </c:pt>
                <c:pt idx="437">
                  <c:v>2.3552735327741701</c:v>
                </c:pt>
                <c:pt idx="438">
                  <c:v>2.3563518698086385</c:v>
                </c:pt>
                <c:pt idx="439">
                  <c:v>2.3565209456008644</c:v>
                </c:pt>
                <c:pt idx="440">
                  <c:v>2.3568060142022662</c:v>
                </c:pt>
                <c:pt idx="441">
                  <c:v>2.356577639067909</c:v>
                </c:pt>
                <c:pt idx="442">
                  <c:v>2.3598918654482182</c:v>
                </c:pt>
                <c:pt idx="443">
                  <c:v>2.3619197692159659</c:v>
                </c:pt>
                <c:pt idx="444">
                  <c:v>2.3634664516700283</c:v>
                </c:pt>
                <c:pt idx="445">
                  <c:v>2.364567953455992</c:v>
                </c:pt>
                <c:pt idx="446">
                  <c:v>2.3666288798385495</c:v>
                </c:pt>
                <c:pt idx="447">
                  <c:v>2.3664799756403041</c:v>
                </c:pt>
                <c:pt idx="448">
                  <c:v>2.3671390950014235</c:v>
                </c:pt>
                <c:pt idx="449">
                  <c:v>2.3684964501271764</c:v>
                </c:pt>
                <c:pt idx="450">
                  <c:v>2.370225188524743</c:v>
                </c:pt>
                <c:pt idx="451">
                  <c:v>2.3712785772202252</c:v>
                </c:pt>
                <c:pt idx="452">
                  <c:v>2.3733764759354812</c:v>
                </c:pt>
                <c:pt idx="453">
                  <c:v>2.3753434386362087</c:v>
                </c:pt>
                <c:pt idx="454">
                  <c:v>2.3764324494706952</c:v>
                </c:pt>
                <c:pt idx="455">
                  <c:v>2.376652326596723</c:v>
                </c:pt>
                <c:pt idx="456">
                  <c:v>2.3832669538128242</c:v>
                </c:pt>
                <c:pt idx="457">
                  <c:v>2.3885938680407608</c:v>
                </c:pt>
                <c:pt idx="458">
                  <c:v>2.3973659956521423</c:v>
                </c:pt>
                <c:pt idx="459">
                  <c:v>2.4083102540692516</c:v>
                </c:pt>
                <c:pt idx="460">
                  <c:v>2.4194210769736473</c:v>
                </c:pt>
                <c:pt idx="461">
                  <c:v>2.432022294971667</c:v>
                </c:pt>
                <c:pt idx="462">
                  <c:v>2.4533071147558227</c:v>
                </c:pt>
                <c:pt idx="463">
                  <c:v>2.4712751171074347</c:v>
                </c:pt>
                <c:pt idx="464">
                  <c:v>2.4744361298333293</c:v>
                </c:pt>
                <c:pt idx="465">
                  <c:v>2.4797121737147885</c:v>
                </c:pt>
                <c:pt idx="466">
                  <c:v>2.4820711101502471</c:v>
                </c:pt>
                <c:pt idx="467">
                  <c:v>2.4823221994482019</c:v>
                </c:pt>
                <c:pt idx="468">
                  <c:v>2.4816415214486045</c:v>
                </c:pt>
                <c:pt idx="469">
                  <c:v>2.4813307634054262</c:v>
                </c:pt>
                <c:pt idx="470">
                  <c:v>2.4812916826610776</c:v>
                </c:pt>
                <c:pt idx="471">
                  <c:v>2.481943660362723</c:v>
                </c:pt>
                <c:pt idx="472">
                  <c:v>2.4846585588864372</c:v>
                </c:pt>
                <c:pt idx="473">
                  <c:v>2.4881437127923887</c:v>
                </c:pt>
                <c:pt idx="474">
                  <c:v>2.4900181596013193</c:v>
                </c:pt>
                <c:pt idx="475">
                  <c:v>2.4910089055084348</c:v>
                </c:pt>
                <c:pt idx="476">
                  <c:v>2.4921494837472506</c:v>
                </c:pt>
                <c:pt idx="477">
                  <c:v>2.4926582082422559</c:v>
                </c:pt>
                <c:pt idx="478">
                  <c:v>2.4918390461943916</c:v>
                </c:pt>
                <c:pt idx="479">
                  <c:v>2.4942525739085433</c:v>
                </c:pt>
                <c:pt idx="480">
                  <c:v>2.4948146311335648</c:v>
                </c:pt>
                <c:pt idx="481">
                  <c:v>2.4961025982665661</c:v>
                </c:pt>
                <c:pt idx="482">
                  <c:v>2.5002318637832568</c:v>
                </c:pt>
                <c:pt idx="483">
                  <c:v>2.5043421124010314</c:v>
                </c:pt>
                <c:pt idx="484">
                  <c:v>2.5072330072551057</c:v>
                </c:pt>
                <c:pt idx="485">
                  <c:v>2.5107183387029322</c:v>
                </c:pt>
                <c:pt idx="486">
                  <c:v>2.5123708119656487</c:v>
                </c:pt>
                <c:pt idx="487">
                  <c:v>2.5139073291399385</c:v>
                </c:pt>
                <c:pt idx="488">
                  <c:v>2.5153639286771718</c:v>
                </c:pt>
                <c:pt idx="489">
                  <c:v>2.5174122641437395</c:v>
                </c:pt>
                <c:pt idx="490">
                  <c:v>2.5196411128666223</c:v>
                </c:pt>
                <c:pt idx="491">
                  <c:v>2.5225487139434728</c:v>
                </c:pt>
                <c:pt idx="492">
                  <c:v>2.5276269159820259</c:v>
                </c:pt>
                <c:pt idx="493">
                  <c:v>2.532154454762833</c:v>
                </c:pt>
                <c:pt idx="494">
                  <c:v>2.5330866450366676</c:v>
                </c:pt>
                <c:pt idx="495">
                  <c:v>2.533579884723375</c:v>
                </c:pt>
                <c:pt idx="496">
                  <c:v>2.5336589494274548</c:v>
                </c:pt>
                <c:pt idx="497">
                  <c:v>2.5333628099462109</c:v>
                </c:pt>
                <c:pt idx="498">
                  <c:v>2.5330499917930021</c:v>
                </c:pt>
                <c:pt idx="499">
                  <c:v>2.5337282228792835</c:v>
                </c:pt>
                <c:pt idx="500">
                  <c:v>2.5342512716755419</c:v>
                </c:pt>
                <c:pt idx="501">
                  <c:v>2.534703756321786</c:v>
                </c:pt>
                <c:pt idx="502">
                  <c:v>2.534249035889748</c:v>
                </c:pt>
                <c:pt idx="503">
                  <c:v>2.5343349594264009</c:v>
                </c:pt>
                <c:pt idx="504">
                  <c:v>2.5326672569531303</c:v>
                </c:pt>
                <c:pt idx="505">
                  <c:v>2.5321773188807506</c:v>
                </c:pt>
                <c:pt idx="506">
                  <c:v>2.5353806039484152</c:v>
                </c:pt>
                <c:pt idx="507">
                  <c:v>2.5358255289819116</c:v>
                </c:pt>
                <c:pt idx="508">
                  <c:v>2.5353568043764447</c:v>
                </c:pt>
                <c:pt idx="509">
                  <c:v>2.5350551208438996</c:v>
                </c:pt>
                <c:pt idx="510">
                  <c:v>2.5337002816162402</c:v>
                </c:pt>
                <c:pt idx="511">
                  <c:v>2.5333651871591689</c:v>
                </c:pt>
                <c:pt idx="512">
                  <c:v>2.5340380057272891</c:v>
                </c:pt>
                <c:pt idx="513">
                  <c:v>2.5343997370039948</c:v>
                </c:pt>
                <c:pt idx="514">
                  <c:v>2.5345282573724317</c:v>
                </c:pt>
                <c:pt idx="515">
                  <c:v>2.5365700348883844</c:v>
                </c:pt>
                <c:pt idx="516">
                  <c:v>2.537772306502414</c:v>
                </c:pt>
                <c:pt idx="517">
                  <c:v>2.5424021582901779</c:v>
                </c:pt>
                <c:pt idx="518">
                  <c:v>2.5462204295691802</c:v>
                </c:pt>
                <c:pt idx="519">
                  <c:v>2.5495401366494193</c:v>
                </c:pt>
                <c:pt idx="520">
                  <c:v>2.5522444372969262</c:v>
                </c:pt>
                <c:pt idx="521">
                  <c:v>2.5546498754004188</c:v>
                </c:pt>
                <c:pt idx="522">
                  <c:v>2.5570868327992184</c:v>
                </c:pt>
                <c:pt idx="523">
                  <c:v>2.5588427124397679</c:v>
                </c:pt>
                <c:pt idx="524">
                  <c:v>2.5610737428012897</c:v>
                </c:pt>
                <c:pt idx="525">
                  <c:v>2.5659604081971521</c:v>
                </c:pt>
                <c:pt idx="526">
                  <c:v>2.570505155130566</c:v>
                </c:pt>
                <c:pt idx="527">
                  <c:v>2.5735389859238982</c:v>
                </c:pt>
                <c:pt idx="528">
                  <c:v>2.5750470461728519</c:v>
                </c:pt>
                <c:pt idx="529">
                  <c:v>2.57974820361399</c:v>
                </c:pt>
                <c:pt idx="530">
                  <c:v>2.5820854958520001</c:v>
                </c:pt>
                <c:pt idx="531">
                  <c:v>2.5825706322688298</c:v>
                </c:pt>
                <c:pt idx="532">
                  <c:v>2.5823153620821961</c:v>
                </c:pt>
                <c:pt idx="533">
                  <c:v>2.5799690747053576</c:v>
                </c:pt>
                <c:pt idx="534">
                  <c:v>2.576416719965374</c:v>
                </c:pt>
                <c:pt idx="535">
                  <c:v>2.571934898041766</c:v>
                </c:pt>
                <c:pt idx="536">
                  <c:v>2.5655698746576618</c:v>
                </c:pt>
                <c:pt idx="537">
                  <c:v>2.5530344747744902</c:v>
                </c:pt>
                <c:pt idx="538">
                  <c:v>2.5403629890474502</c:v>
                </c:pt>
                <c:pt idx="539">
                  <c:v>2.538261984198408</c:v>
                </c:pt>
                <c:pt idx="540">
                  <c:v>2.5348546529328897</c:v>
                </c:pt>
                <c:pt idx="541">
                  <c:v>2.5346000867753138</c:v>
                </c:pt>
                <c:pt idx="542">
                  <c:v>2.5358999904716</c:v>
                </c:pt>
                <c:pt idx="543">
                  <c:v>2.5383400749823277</c:v>
                </c:pt>
                <c:pt idx="544">
                  <c:v>2.5381223115331761</c:v>
                </c:pt>
                <c:pt idx="545">
                  <c:v>2.537926845281572</c:v>
                </c:pt>
                <c:pt idx="546">
                  <c:v>2.5369743406255241</c:v>
                </c:pt>
                <c:pt idx="547">
                  <c:v>2.534499527758066</c:v>
                </c:pt>
                <c:pt idx="548">
                  <c:v>2.5308926846239443</c:v>
                </c:pt>
                <c:pt idx="549">
                  <c:v>2.5282462988528378</c:v>
                </c:pt>
                <c:pt idx="550">
                  <c:v>2.5269101272933558</c:v>
                </c:pt>
                <c:pt idx="551">
                  <c:v>2.5239621017928959</c:v>
                </c:pt>
                <c:pt idx="552">
                  <c:v>2.5202284802210437</c:v>
                </c:pt>
                <c:pt idx="553">
                  <c:v>2.5162414028358562</c:v>
                </c:pt>
                <c:pt idx="554">
                  <c:v>2.511023187964506</c:v>
                </c:pt>
                <c:pt idx="555">
                  <c:v>2.5076995039026277</c:v>
                </c:pt>
                <c:pt idx="556">
                  <c:v>2.5043123678977697</c:v>
                </c:pt>
                <c:pt idx="557">
                  <c:v>2.497631794269862</c:v>
                </c:pt>
                <c:pt idx="558">
                  <c:v>2.4907050234037378</c:v>
                </c:pt>
                <c:pt idx="559">
                  <c:v>2.4840011328788942</c:v>
                </c:pt>
                <c:pt idx="560">
                  <c:v>2.4771163042904742</c:v>
                </c:pt>
                <c:pt idx="561">
                  <c:v>2.471207035884472</c:v>
                </c:pt>
                <c:pt idx="562">
                  <c:v>2.4683659458524598</c:v>
                </c:pt>
                <c:pt idx="563">
                  <c:v>2.4649137376011443</c:v>
                </c:pt>
                <c:pt idx="564">
                  <c:v>2.460527205473078</c:v>
                </c:pt>
                <c:pt idx="565">
                  <c:v>2.4523924669815358</c:v>
                </c:pt>
                <c:pt idx="566">
                  <c:v>2.4437043599466342</c:v>
                </c:pt>
                <c:pt idx="567">
                  <c:v>2.4306604629585058</c:v>
                </c:pt>
                <c:pt idx="568">
                  <c:v>2.4197170408953657</c:v>
                </c:pt>
                <c:pt idx="569">
                  <c:v>2.4120691949376099</c:v>
                </c:pt>
                <c:pt idx="570">
                  <c:v>2.4036348825943539</c:v>
                </c:pt>
                <c:pt idx="571">
                  <c:v>2.3977415156251638</c:v>
                </c:pt>
                <c:pt idx="572">
                  <c:v>2.3937060505033498</c:v>
                </c:pt>
                <c:pt idx="573">
                  <c:v>2.3912486398121562</c:v>
                </c:pt>
                <c:pt idx="574">
                  <c:v>2.383901271218944</c:v>
                </c:pt>
                <c:pt idx="575">
                  <c:v>2.3769995344806119</c:v>
                </c:pt>
                <c:pt idx="576">
                  <c:v>2.3747408531328182</c:v>
                </c:pt>
                <c:pt idx="577">
                  <c:v>2.3718796938684661</c:v>
                </c:pt>
                <c:pt idx="578">
                  <c:v>2.3695961007623341</c:v>
                </c:pt>
                <c:pt idx="579">
                  <c:v>2.3652107034772079</c:v>
                </c:pt>
                <c:pt idx="580">
                  <c:v>2.3623417464299159</c:v>
                </c:pt>
                <c:pt idx="581">
                  <c:v>2.361117045356306</c:v>
                </c:pt>
                <c:pt idx="582">
                  <c:v>2.3543997636238396</c:v>
                </c:pt>
                <c:pt idx="583">
                  <c:v>2.344319229564912</c:v>
                </c:pt>
                <c:pt idx="584">
                  <c:v>2.334840315342146</c:v>
                </c:pt>
                <c:pt idx="585">
                  <c:v>2.3249867607591259</c:v>
                </c:pt>
                <c:pt idx="586">
                  <c:v>2.31578175477375</c:v>
                </c:pt>
                <c:pt idx="587">
                  <c:v>2.308351950145564</c:v>
                </c:pt>
                <c:pt idx="588">
                  <c:v>2.2987262066216001</c:v>
                </c:pt>
                <c:pt idx="589">
                  <c:v>2.2886863042889383</c:v>
                </c:pt>
                <c:pt idx="590">
                  <c:v>2.2833830547998981</c:v>
                </c:pt>
                <c:pt idx="591">
                  <c:v>2.2775492114718441</c:v>
                </c:pt>
                <c:pt idx="592">
                  <c:v>2.27465024762065</c:v>
                </c:pt>
                <c:pt idx="593">
                  <c:v>2.271515401328672</c:v>
                </c:pt>
                <c:pt idx="594">
                  <c:v>2.2680467432754119</c:v>
                </c:pt>
                <c:pt idx="595">
                  <c:v>2.263981481025322</c:v>
                </c:pt>
                <c:pt idx="596">
                  <c:v>2.2593566118144861</c:v>
                </c:pt>
                <c:pt idx="597">
                  <c:v>2.2554933108577577</c:v>
                </c:pt>
                <c:pt idx="598">
                  <c:v>2.2497778191128917</c:v>
                </c:pt>
                <c:pt idx="599">
                  <c:v>2.2447028718552962</c:v>
                </c:pt>
                <c:pt idx="600">
                  <c:v>2.2423882373575061</c:v>
                </c:pt>
                <c:pt idx="601">
                  <c:v>2.2402755721588239</c:v>
                </c:pt>
                <c:pt idx="602">
                  <c:v>2.2369397770924637</c:v>
                </c:pt>
                <c:pt idx="603">
                  <c:v>2.2319500517172761</c:v>
                </c:pt>
                <c:pt idx="604">
                  <c:v>2.2304567361321479</c:v>
                </c:pt>
                <c:pt idx="605">
                  <c:v>2.2284177517021759</c:v>
                </c:pt>
                <c:pt idx="606">
                  <c:v>2.2251281752635479</c:v>
                </c:pt>
                <c:pt idx="607">
                  <c:v>2.2205003449540461</c:v>
                </c:pt>
                <c:pt idx="608">
                  <c:v>2.215234505193588</c:v>
                </c:pt>
                <c:pt idx="609">
                  <c:v>2.2099803609362558</c:v>
                </c:pt>
                <c:pt idx="610">
                  <c:v>2.2041107497623917</c:v>
                </c:pt>
                <c:pt idx="611">
                  <c:v>2.1970548789595696</c:v>
                </c:pt>
                <c:pt idx="612">
                  <c:v>2.1909304081941117</c:v>
                </c:pt>
                <c:pt idx="613">
                  <c:v>2.184653493229423</c:v>
                </c:pt>
                <c:pt idx="614">
                  <c:v>2.1781512913019778</c:v>
                </c:pt>
                <c:pt idx="615">
                  <c:v>2.1733581144532561</c:v>
                </c:pt>
                <c:pt idx="616">
                  <c:v>2.1700214959186561</c:v>
                </c:pt>
                <c:pt idx="617">
                  <c:v>2.1668449025441685</c:v>
                </c:pt>
                <c:pt idx="618">
                  <c:v>2.1645410772923044</c:v>
                </c:pt>
                <c:pt idx="619">
                  <c:v>2.1593582681590928</c:v>
                </c:pt>
                <c:pt idx="620">
                  <c:v>2.1537842329798162</c:v>
                </c:pt>
                <c:pt idx="621">
                  <c:v>2.1470859584226498</c:v>
                </c:pt>
                <c:pt idx="622">
                  <c:v>2.1420588054179923</c:v>
                </c:pt>
                <c:pt idx="623">
                  <c:v>2.1363318823178061</c:v>
                </c:pt>
                <c:pt idx="624">
                  <c:v>2.1308941734259195</c:v>
                </c:pt>
                <c:pt idx="625">
                  <c:v>2.1260990103160347</c:v>
                </c:pt>
                <c:pt idx="626">
                  <c:v>2.120186593508401</c:v>
                </c:pt>
                <c:pt idx="627">
                  <c:v>2.1138122921926001</c:v>
                </c:pt>
                <c:pt idx="628">
                  <c:v>2.1070254600331362</c:v>
                </c:pt>
                <c:pt idx="629">
                  <c:v>2.0988393426577376</c:v>
                </c:pt>
                <c:pt idx="630">
                  <c:v>2.0920418331568449</c:v>
                </c:pt>
                <c:pt idx="631">
                  <c:v>2.0874604023917089</c:v>
                </c:pt>
                <c:pt idx="632">
                  <c:v>2.0848024588958127</c:v>
                </c:pt>
                <c:pt idx="633">
                  <c:v>2.0824701328202417</c:v>
                </c:pt>
                <c:pt idx="634">
                  <c:v>2.079974960302855</c:v>
                </c:pt>
                <c:pt idx="635">
                  <c:v>2.0824256282107263</c:v>
                </c:pt>
                <c:pt idx="636">
                  <c:v>2.0843704446492408</c:v>
                </c:pt>
                <c:pt idx="637">
                  <c:v>2.0862690221719538</c:v>
                </c:pt>
                <c:pt idx="638">
                  <c:v>2.0868115488414727</c:v>
                </c:pt>
                <c:pt idx="639">
                  <c:v>2.0868371154410026</c:v>
                </c:pt>
                <c:pt idx="640">
                  <c:v>2.0875900780836738</c:v>
                </c:pt>
                <c:pt idx="641">
                  <c:v>2.0881216970777898</c:v>
                </c:pt>
                <c:pt idx="642">
                  <c:v>2.0895535739236957</c:v>
                </c:pt>
                <c:pt idx="643">
                  <c:v>2.0910718448157475</c:v>
                </c:pt>
                <c:pt idx="644">
                  <c:v>2.0934625901791923</c:v>
                </c:pt>
                <c:pt idx="645">
                  <c:v>2.0949343592093537</c:v>
                </c:pt>
                <c:pt idx="646">
                  <c:v>2.0954278167210902</c:v>
                </c:pt>
                <c:pt idx="647">
                  <c:v>2.0991513337333361</c:v>
                </c:pt>
                <c:pt idx="648">
                  <c:v>2.0974757293046626</c:v>
                </c:pt>
                <c:pt idx="649">
                  <c:v>2.0958134411108991</c:v>
                </c:pt>
                <c:pt idx="650">
                  <c:v>2.093504253190603</c:v>
                </c:pt>
                <c:pt idx="651">
                  <c:v>2.0924578828905918</c:v>
                </c:pt>
                <c:pt idx="652">
                  <c:v>2.0903404513049733</c:v>
                </c:pt>
                <c:pt idx="653">
                  <c:v>2.0877431475963188</c:v>
                </c:pt>
                <c:pt idx="654">
                  <c:v>2.0860908227523738</c:v>
                </c:pt>
                <c:pt idx="655">
                  <c:v>2.0836411778954633</c:v>
                </c:pt>
                <c:pt idx="656">
                  <c:v>2.0821451010837628</c:v>
                </c:pt>
                <c:pt idx="657">
                  <c:v>2.0828537576502684</c:v>
                </c:pt>
                <c:pt idx="658">
                  <c:v>2.0831575612873814</c:v>
                </c:pt>
                <c:pt idx="659">
                  <c:v>2.0831997677775376</c:v>
                </c:pt>
                <c:pt idx="660">
                  <c:v>2.0852383343094845</c:v>
                </c:pt>
                <c:pt idx="661">
                  <c:v>0</c:v>
                </c:pt>
              </c:numCache>
            </c:numRef>
          </c:val>
        </c:ser>
        <c:ser>
          <c:idx val="2"/>
          <c:order val="2"/>
          <c:tx>
            <c:strRef>
              <c:f>グラフ!$O$41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  <c:pt idx="0">
                  <c:v>43755</c:v>
                </c:pt>
                <c:pt idx="1">
                  <c:v>43754</c:v>
                </c:pt>
                <c:pt idx="2">
                  <c:v>43753</c:v>
                </c:pt>
                <c:pt idx="3">
                  <c:v>43749</c:v>
                </c:pt>
                <c:pt idx="4">
                  <c:v>43748</c:v>
                </c:pt>
                <c:pt idx="5">
                  <c:v>43747</c:v>
                </c:pt>
                <c:pt idx="6">
                  <c:v>43746</c:v>
                </c:pt>
                <c:pt idx="7">
                  <c:v>43745</c:v>
                </c:pt>
                <c:pt idx="8">
                  <c:v>43742</c:v>
                </c:pt>
                <c:pt idx="9">
                  <c:v>43741</c:v>
                </c:pt>
                <c:pt idx="10">
                  <c:v>43740</c:v>
                </c:pt>
                <c:pt idx="11">
                  <c:v>43739</c:v>
                </c:pt>
                <c:pt idx="12">
                  <c:v>43738</c:v>
                </c:pt>
                <c:pt idx="13">
                  <c:v>43735</c:v>
                </c:pt>
                <c:pt idx="14">
                  <c:v>43734</c:v>
                </c:pt>
                <c:pt idx="15">
                  <c:v>43733</c:v>
                </c:pt>
                <c:pt idx="16">
                  <c:v>43732</c:v>
                </c:pt>
                <c:pt idx="17">
                  <c:v>43728</c:v>
                </c:pt>
                <c:pt idx="18">
                  <c:v>43727</c:v>
                </c:pt>
                <c:pt idx="19">
                  <c:v>43726</c:v>
                </c:pt>
                <c:pt idx="20">
                  <c:v>43725</c:v>
                </c:pt>
                <c:pt idx="21">
                  <c:v>43721</c:v>
                </c:pt>
                <c:pt idx="22">
                  <c:v>43720</c:v>
                </c:pt>
                <c:pt idx="23">
                  <c:v>43719</c:v>
                </c:pt>
                <c:pt idx="24">
                  <c:v>43718</c:v>
                </c:pt>
                <c:pt idx="25">
                  <c:v>43717</c:v>
                </c:pt>
                <c:pt idx="26">
                  <c:v>43714</c:v>
                </c:pt>
                <c:pt idx="27">
                  <c:v>43713</c:v>
                </c:pt>
                <c:pt idx="28">
                  <c:v>43712</c:v>
                </c:pt>
                <c:pt idx="29">
                  <c:v>43711</c:v>
                </c:pt>
                <c:pt idx="30">
                  <c:v>43710</c:v>
                </c:pt>
                <c:pt idx="31">
                  <c:v>43707</c:v>
                </c:pt>
                <c:pt idx="32">
                  <c:v>43706</c:v>
                </c:pt>
                <c:pt idx="33">
                  <c:v>43705</c:v>
                </c:pt>
                <c:pt idx="34">
                  <c:v>43704</c:v>
                </c:pt>
                <c:pt idx="35">
                  <c:v>43703</c:v>
                </c:pt>
                <c:pt idx="36">
                  <c:v>43700</c:v>
                </c:pt>
                <c:pt idx="37">
                  <c:v>43699</c:v>
                </c:pt>
                <c:pt idx="38">
                  <c:v>43698</c:v>
                </c:pt>
                <c:pt idx="39">
                  <c:v>43697</c:v>
                </c:pt>
                <c:pt idx="40">
                  <c:v>43696</c:v>
                </c:pt>
                <c:pt idx="41">
                  <c:v>43693</c:v>
                </c:pt>
                <c:pt idx="42">
                  <c:v>43692</c:v>
                </c:pt>
                <c:pt idx="43">
                  <c:v>43691</c:v>
                </c:pt>
                <c:pt idx="44">
                  <c:v>43690</c:v>
                </c:pt>
                <c:pt idx="45">
                  <c:v>43686</c:v>
                </c:pt>
                <c:pt idx="46">
                  <c:v>43685</c:v>
                </c:pt>
                <c:pt idx="47">
                  <c:v>43684</c:v>
                </c:pt>
                <c:pt idx="48">
                  <c:v>43683</c:v>
                </c:pt>
                <c:pt idx="49">
                  <c:v>43682</c:v>
                </c:pt>
                <c:pt idx="50">
                  <c:v>43679</c:v>
                </c:pt>
                <c:pt idx="51">
                  <c:v>43678</c:v>
                </c:pt>
                <c:pt idx="52">
                  <c:v>43677</c:v>
                </c:pt>
                <c:pt idx="53">
                  <c:v>43676</c:v>
                </c:pt>
                <c:pt idx="54">
                  <c:v>43675</c:v>
                </c:pt>
                <c:pt idx="55">
                  <c:v>43672</c:v>
                </c:pt>
                <c:pt idx="56">
                  <c:v>43671</c:v>
                </c:pt>
                <c:pt idx="57">
                  <c:v>43670</c:v>
                </c:pt>
                <c:pt idx="58">
                  <c:v>43669</c:v>
                </c:pt>
                <c:pt idx="59">
                  <c:v>43668</c:v>
                </c:pt>
                <c:pt idx="60">
                  <c:v>43665</c:v>
                </c:pt>
                <c:pt idx="61">
                  <c:v>43664</c:v>
                </c:pt>
                <c:pt idx="62">
                  <c:v>43663</c:v>
                </c:pt>
                <c:pt idx="63">
                  <c:v>43662</c:v>
                </c:pt>
                <c:pt idx="64">
                  <c:v>43658</c:v>
                </c:pt>
                <c:pt idx="65">
                  <c:v>43657</c:v>
                </c:pt>
                <c:pt idx="66">
                  <c:v>43656</c:v>
                </c:pt>
                <c:pt idx="67">
                  <c:v>43655</c:v>
                </c:pt>
                <c:pt idx="68">
                  <c:v>43654</c:v>
                </c:pt>
                <c:pt idx="69">
                  <c:v>43651</c:v>
                </c:pt>
                <c:pt idx="70">
                  <c:v>43650</c:v>
                </c:pt>
                <c:pt idx="71">
                  <c:v>43649</c:v>
                </c:pt>
                <c:pt idx="72">
                  <c:v>43648</c:v>
                </c:pt>
                <c:pt idx="73">
                  <c:v>43647</c:v>
                </c:pt>
                <c:pt idx="74">
                  <c:v>43644</c:v>
                </c:pt>
                <c:pt idx="75">
                  <c:v>43643</c:v>
                </c:pt>
                <c:pt idx="76">
                  <c:v>43642</c:v>
                </c:pt>
                <c:pt idx="77">
                  <c:v>43641</c:v>
                </c:pt>
                <c:pt idx="78">
                  <c:v>43640</c:v>
                </c:pt>
                <c:pt idx="79">
                  <c:v>43637</c:v>
                </c:pt>
                <c:pt idx="80">
                  <c:v>43636</c:v>
                </c:pt>
                <c:pt idx="81">
                  <c:v>43635</c:v>
                </c:pt>
                <c:pt idx="82">
                  <c:v>43634</c:v>
                </c:pt>
                <c:pt idx="83">
                  <c:v>43633</c:v>
                </c:pt>
                <c:pt idx="84">
                  <c:v>43630</c:v>
                </c:pt>
                <c:pt idx="85">
                  <c:v>43629</c:v>
                </c:pt>
                <c:pt idx="86">
                  <c:v>43628</c:v>
                </c:pt>
                <c:pt idx="87">
                  <c:v>43627</c:v>
                </c:pt>
                <c:pt idx="88">
                  <c:v>43626</c:v>
                </c:pt>
                <c:pt idx="89">
                  <c:v>43623</c:v>
                </c:pt>
                <c:pt idx="90">
                  <c:v>43622</c:v>
                </c:pt>
                <c:pt idx="91">
                  <c:v>43621</c:v>
                </c:pt>
                <c:pt idx="92">
                  <c:v>43620</c:v>
                </c:pt>
                <c:pt idx="93">
                  <c:v>43619</c:v>
                </c:pt>
                <c:pt idx="94">
                  <c:v>43616</c:v>
                </c:pt>
                <c:pt idx="95">
                  <c:v>43615</c:v>
                </c:pt>
                <c:pt idx="96">
                  <c:v>43614</c:v>
                </c:pt>
                <c:pt idx="97">
                  <c:v>43613</c:v>
                </c:pt>
                <c:pt idx="98">
                  <c:v>43612</c:v>
                </c:pt>
                <c:pt idx="99">
                  <c:v>43609</c:v>
                </c:pt>
                <c:pt idx="100">
                  <c:v>43608</c:v>
                </c:pt>
                <c:pt idx="101">
                  <c:v>43607</c:v>
                </c:pt>
                <c:pt idx="102">
                  <c:v>43606</c:v>
                </c:pt>
                <c:pt idx="103">
                  <c:v>43605</c:v>
                </c:pt>
                <c:pt idx="104">
                  <c:v>43602</c:v>
                </c:pt>
                <c:pt idx="105">
                  <c:v>43601</c:v>
                </c:pt>
                <c:pt idx="106">
                  <c:v>43600</c:v>
                </c:pt>
                <c:pt idx="107">
                  <c:v>43599</c:v>
                </c:pt>
                <c:pt idx="108">
                  <c:v>43598</c:v>
                </c:pt>
                <c:pt idx="109">
                  <c:v>43595</c:v>
                </c:pt>
                <c:pt idx="110">
                  <c:v>43594</c:v>
                </c:pt>
                <c:pt idx="111">
                  <c:v>43593</c:v>
                </c:pt>
                <c:pt idx="112">
                  <c:v>43592</c:v>
                </c:pt>
                <c:pt idx="113">
                  <c:v>43581</c:v>
                </c:pt>
                <c:pt idx="114">
                  <c:v>43580</c:v>
                </c:pt>
                <c:pt idx="115">
                  <c:v>43579</c:v>
                </c:pt>
                <c:pt idx="116">
                  <c:v>43578</c:v>
                </c:pt>
                <c:pt idx="117">
                  <c:v>43577</c:v>
                </c:pt>
                <c:pt idx="118">
                  <c:v>43574</c:v>
                </c:pt>
                <c:pt idx="119">
                  <c:v>43573</c:v>
                </c:pt>
                <c:pt idx="120">
                  <c:v>43572</c:v>
                </c:pt>
                <c:pt idx="121">
                  <c:v>43571</c:v>
                </c:pt>
                <c:pt idx="122">
                  <c:v>43570</c:v>
                </c:pt>
                <c:pt idx="123">
                  <c:v>43567</c:v>
                </c:pt>
                <c:pt idx="124">
                  <c:v>43566</c:v>
                </c:pt>
                <c:pt idx="125">
                  <c:v>43565</c:v>
                </c:pt>
                <c:pt idx="126">
                  <c:v>43564</c:v>
                </c:pt>
                <c:pt idx="127">
                  <c:v>43563</c:v>
                </c:pt>
                <c:pt idx="128">
                  <c:v>43560</c:v>
                </c:pt>
                <c:pt idx="129">
                  <c:v>43559</c:v>
                </c:pt>
                <c:pt idx="130">
                  <c:v>43558</c:v>
                </c:pt>
                <c:pt idx="131">
                  <c:v>43557</c:v>
                </c:pt>
                <c:pt idx="132">
                  <c:v>43556</c:v>
                </c:pt>
                <c:pt idx="133">
                  <c:v>43553</c:v>
                </c:pt>
                <c:pt idx="134">
                  <c:v>43552</c:v>
                </c:pt>
                <c:pt idx="135">
                  <c:v>43551</c:v>
                </c:pt>
                <c:pt idx="136">
                  <c:v>43550</c:v>
                </c:pt>
                <c:pt idx="137">
                  <c:v>43549</c:v>
                </c:pt>
                <c:pt idx="138">
                  <c:v>43546</c:v>
                </c:pt>
                <c:pt idx="139">
                  <c:v>43544</c:v>
                </c:pt>
                <c:pt idx="140">
                  <c:v>43543</c:v>
                </c:pt>
                <c:pt idx="141">
                  <c:v>43542</c:v>
                </c:pt>
                <c:pt idx="142">
                  <c:v>43539</c:v>
                </c:pt>
                <c:pt idx="143">
                  <c:v>43538</c:v>
                </c:pt>
                <c:pt idx="144">
                  <c:v>43537</c:v>
                </c:pt>
                <c:pt idx="145">
                  <c:v>43536</c:v>
                </c:pt>
                <c:pt idx="146">
                  <c:v>43535</c:v>
                </c:pt>
                <c:pt idx="147">
                  <c:v>43532</c:v>
                </c:pt>
                <c:pt idx="148">
                  <c:v>43531</c:v>
                </c:pt>
                <c:pt idx="149">
                  <c:v>43530</c:v>
                </c:pt>
                <c:pt idx="150">
                  <c:v>43529</c:v>
                </c:pt>
                <c:pt idx="151">
                  <c:v>43528</c:v>
                </c:pt>
                <c:pt idx="152">
                  <c:v>43525</c:v>
                </c:pt>
                <c:pt idx="153">
                  <c:v>43524</c:v>
                </c:pt>
                <c:pt idx="154">
                  <c:v>43523</c:v>
                </c:pt>
                <c:pt idx="155">
                  <c:v>43522</c:v>
                </c:pt>
                <c:pt idx="156">
                  <c:v>43521</c:v>
                </c:pt>
                <c:pt idx="157">
                  <c:v>43518</c:v>
                </c:pt>
                <c:pt idx="158">
                  <c:v>43517</c:v>
                </c:pt>
                <c:pt idx="159">
                  <c:v>43516</c:v>
                </c:pt>
                <c:pt idx="160">
                  <c:v>43515</c:v>
                </c:pt>
                <c:pt idx="161">
                  <c:v>43514</c:v>
                </c:pt>
                <c:pt idx="162">
                  <c:v>43511</c:v>
                </c:pt>
                <c:pt idx="163">
                  <c:v>43510</c:v>
                </c:pt>
                <c:pt idx="164">
                  <c:v>43509</c:v>
                </c:pt>
                <c:pt idx="165">
                  <c:v>43508</c:v>
                </c:pt>
                <c:pt idx="166">
                  <c:v>43504</c:v>
                </c:pt>
                <c:pt idx="167">
                  <c:v>43503</c:v>
                </c:pt>
                <c:pt idx="168">
                  <c:v>43502</c:v>
                </c:pt>
                <c:pt idx="169">
                  <c:v>43501</c:v>
                </c:pt>
                <c:pt idx="170">
                  <c:v>43500</c:v>
                </c:pt>
                <c:pt idx="171">
                  <c:v>43497</c:v>
                </c:pt>
                <c:pt idx="172">
                  <c:v>43496</c:v>
                </c:pt>
                <c:pt idx="173">
                  <c:v>43495</c:v>
                </c:pt>
                <c:pt idx="174">
                  <c:v>43494</c:v>
                </c:pt>
                <c:pt idx="175">
                  <c:v>43493</c:v>
                </c:pt>
                <c:pt idx="176">
                  <c:v>43490</c:v>
                </c:pt>
                <c:pt idx="177">
                  <c:v>43489</c:v>
                </c:pt>
                <c:pt idx="178">
                  <c:v>43488</c:v>
                </c:pt>
                <c:pt idx="179">
                  <c:v>43487</c:v>
                </c:pt>
                <c:pt idx="180">
                  <c:v>43486</c:v>
                </c:pt>
                <c:pt idx="181">
                  <c:v>43483</c:v>
                </c:pt>
                <c:pt idx="182">
                  <c:v>43482</c:v>
                </c:pt>
                <c:pt idx="183">
                  <c:v>43481</c:v>
                </c:pt>
                <c:pt idx="184">
                  <c:v>43480</c:v>
                </c:pt>
                <c:pt idx="185">
                  <c:v>43476</c:v>
                </c:pt>
                <c:pt idx="186">
                  <c:v>43475</c:v>
                </c:pt>
                <c:pt idx="187">
                  <c:v>43474</c:v>
                </c:pt>
                <c:pt idx="188">
                  <c:v>43473</c:v>
                </c:pt>
                <c:pt idx="189">
                  <c:v>43472</c:v>
                </c:pt>
                <c:pt idx="190">
                  <c:v>43469</c:v>
                </c:pt>
                <c:pt idx="191">
                  <c:v>43462</c:v>
                </c:pt>
                <c:pt idx="192">
                  <c:v>43461</c:v>
                </c:pt>
                <c:pt idx="193">
                  <c:v>43460</c:v>
                </c:pt>
                <c:pt idx="194">
                  <c:v>43459</c:v>
                </c:pt>
                <c:pt idx="195">
                  <c:v>43455</c:v>
                </c:pt>
                <c:pt idx="196">
                  <c:v>43454</c:v>
                </c:pt>
                <c:pt idx="197">
                  <c:v>43453</c:v>
                </c:pt>
                <c:pt idx="198">
                  <c:v>43452</c:v>
                </c:pt>
                <c:pt idx="199">
                  <c:v>43451</c:v>
                </c:pt>
                <c:pt idx="200">
                  <c:v>43448</c:v>
                </c:pt>
                <c:pt idx="201">
                  <c:v>43447</c:v>
                </c:pt>
                <c:pt idx="202">
                  <c:v>43446</c:v>
                </c:pt>
                <c:pt idx="203">
                  <c:v>43445</c:v>
                </c:pt>
                <c:pt idx="204">
                  <c:v>43444</c:v>
                </c:pt>
                <c:pt idx="205">
                  <c:v>43441</c:v>
                </c:pt>
                <c:pt idx="206">
                  <c:v>43440</c:v>
                </c:pt>
                <c:pt idx="207">
                  <c:v>43439</c:v>
                </c:pt>
                <c:pt idx="208">
                  <c:v>43438</c:v>
                </c:pt>
                <c:pt idx="209">
                  <c:v>43437</c:v>
                </c:pt>
                <c:pt idx="210">
                  <c:v>43434</c:v>
                </c:pt>
                <c:pt idx="211">
                  <c:v>43433</c:v>
                </c:pt>
                <c:pt idx="212">
                  <c:v>43432</c:v>
                </c:pt>
                <c:pt idx="213">
                  <c:v>43431</c:v>
                </c:pt>
                <c:pt idx="214">
                  <c:v>43430</c:v>
                </c:pt>
                <c:pt idx="215">
                  <c:v>43426</c:v>
                </c:pt>
                <c:pt idx="216">
                  <c:v>43425</c:v>
                </c:pt>
                <c:pt idx="217">
                  <c:v>43424</c:v>
                </c:pt>
                <c:pt idx="218">
                  <c:v>43423</c:v>
                </c:pt>
                <c:pt idx="219">
                  <c:v>43420</c:v>
                </c:pt>
                <c:pt idx="220">
                  <c:v>43419</c:v>
                </c:pt>
                <c:pt idx="221">
                  <c:v>43418</c:v>
                </c:pt>
                <c:pt idx="222">
                  <c:v>43417</c:v>
                </c:pt>
                <c:pt idx="223">
                  <c:v>43416</c:v>
                </c:pt>
                <c:pt idx="224">
                  <c:v>43413</c:v>
                </c:pt>
                <c:pt idx="225">
                  <c:v>43412</c:v>
                </c:pt>
                <c:pt idx="226">
                  <c:v>43411</c:v>
                </c:pt>
                <c:pt idx="227">
                  <c:v>43410</c:v>
                </c:pt>
                <c:pt idx="228">
                  <c:v>43409</c:v>
                </c:pt>
                <c:pt idx="229">
                  <c:v>43406</c:v>
                </c:pt>
                <c:pt idx="230">
                  <c:v>43405</c:v>
                </c:pt>
                <c:pt idx="231">
                  <c:v>43404</c:v>
                </c:pt>
                <c:pt idx="232">
                  <c:v>43403</c:v>
                </c:pt>
                <c:pt idx="233">
                  <c:v>43402</c:v>
                </c:pt>
                <c:pt idx="234">
                  <c:v>43399</c:v>
                </c:pt>
                <c:pt idx="235">
                  <c:v>43398</c:v>
                </c:pt>
                <c:pt idx="236">
                  <c:v>43397</c:v>
                </c:pt>
                <c:pt idx="237">
                  <c:v>43396</c:v>
                </c:pt>
                <c:pt idx="238">
                  <c:v>43395</c:v>
                </c:pt>
                <c:pt idx="239">
                  <c:v>43392</c:v>
                </c:pt>
                <c:pt idx="240">
                  <c:v>43391</c:v>
                </c:pt>
                <c:pt idx="241">
                  <c:v>43390</c:v>
                </c:pt>
                <c:pt idx="242">
                  <c:v>43389</c:v>
                </c:pt>
                <c:pt idx="243">
                  <c:v>43388</c:v>
                </c:pt>
                <c:pt idx="244">
                  <c:v>43385</c:v>
                </c:pt>
                <c:pt idx="245">
                  <c:v>43384</c:v>
                </c:pt>
                <c:pt idx="246">
                  <c:v>43383</c:v>
                </c:pt>
                <c:pt idx="247">
                  <c:v>43382</c:v>
                </c:pt>
                <c:pt idx="248">
                  <c:v>43378</c:v>
                </c:pt>
                <c:pt idx="249">
                  <c:v>43377</c:v>
                </c:pt>
                <c:pt idx="250">
                  <c:v>43376</c:v>
                </c:pt>
                <c:pt idx="251">
                  <c:v>43375</c:v>
                </c:pt>
                <c:pt idx="252">
                  <c:v>43374</c:v>
                </c:pt>
                <c:pt idx="253">
                  <c:v>43371</c:v>
                </c:pt>
                <c:pt idx="254">
                  <c:v>43370</c:v>
                </c:pt>
                <c:pt idx="255">
                  <c:v>43369</c:v>
                </c:pt>
                <c:pt idx="256">
                  <c:v>43368</c:v>
                </c:pt>
                <c:pt idx="257">
                  <c:v>43364</c:v>
                </c:pt>
                <c:pt idx="258">
                  <c:v>43363</c:v>
                </c:pt>
                <c:pt idx="259">
                  <c:v>43362</c:v>
                </c:pt>
                <c:pt idx="260">
                  <c:v>43361</c:v>
                </c:pt>
                <c:pt idx="261">
                  <c:v>43357</c:v>
                </c:pt>
                <c:pt idx="262">
                  <c:v>43356</c:v>
                </c:pt>
                <c:pt idx="263">
                  <c:v>43355</c:v>
                </c:pt>
                <c:pt idx="264">
                  <c:v>43354</c:v>
                </c:pt>
                <c:pt idx="265">
                  <c:v>43353</c:v>
                </c:pt>
                <c:pt idx="266">
                  <c:v>43350</c:v>
                </c:pt>
                <c:pt idx="267">
                  <c:v>43349</c:v>
                </c:pt>
                <c:pt idx="268">
                  <c:v>43348</c:v>
                </c:pt>
                <c:pt idx="269">
                  <c:v>43347</c:v>
                </c:pt>
                <c:pt idx="270">
                  <c:v>43346</c:v>
                </c:pt>
                <c:pt idx="271">
                  <c:v>43343</c:v>
                </c:pt>
                <c:pt idx="272">
                  <c:v>43342</c:v>
                </c:pt>
                <c:pt idx="273">
                  <c:v>43341</c:v>
                </c:pt>
                <c:pt idx="274">
                  <c:v>43340</c:v>
                </c:pt>
                <c:pt idx="275">
                  <c:v>43339</c:v>
                </c:pt>
                <c:pt idx="276">
                  <c:v>43336</c:v>
                </c:pt>
                <c:pt idx="277">
                  <c:v>43335</c:v>
                </c:pt>
                <c:pt idx="278">
                  <c:v>43334</c:v>
                </c:pt>
                <c:pt idx="279">
                  <c:v>43333</c:v>
                </c:pt>
                <c:pt idx="280">
                  <c:v>43332</c:v>
                </c:pt>
                <c:pt idx="281">
                  <c:v>43329</c:v>
                </c:pt>
                <c:pt idx="282">
                  <c:v>43328</c:v>
                </c:pt>
                <c:pt idx="283">
                  <c:v>43327</c:v>
                </c:pt>
                <c:pt idx="284">
                  <c:v>43326</c:v>
                </c:pt>
                <c:pt idx="285">
                  <c:v>43325</c:v>
                </c:pt>
                <c:pt idx="286">
                  <c:v>43322</c:v>
                </c:pt>
                <c:pt idx="287">
                  <c:v>43321</c:v>
                </c:pt>
                <c:pt idx="288">
                  <c:v>43320</c:v>
                </c:pt>
                <c:pt idx="289">
                  <c:v>43319</c:v>
                </c:pt>
                <c:pt idx="290">
                  <c:v>43318</c:v>
                </c:pt>
                <c:pt idx="291">
                  <c:v>43315</c:v>
                </c:pt>
                <c:pt idx="292">
                  <c:v>43314</c:v>
                </c:pt>
                <c:pt idx="293">
                  <c:v>43313</c:v>
                </c:pt>
                <c:pt idx="294">
                  <c:v>43312</c:v>
                </c:pt>
                <c:pt idx="295">
                  <c:v>43311</c:v>
                </c:pt>
                <c:pt idx="296">
                  <c:v>43308</c:v>
                </c:pt>
                <c:pt idx="297">
                  <c:v>43307</c:v>
                </c:pt>
                <c:pt idx="298">
                  <c:v>43306</c:v>
                </c:pt>
                <c:pt idx="299">
                  <c:v>43305</c:v>
                </c:pt>
                <c:pt idx="300">
                  <c:v>43304</c:v>
                </c:pt>
                <c:pt idx="301">
                  <c:v>43301</c:v>
                </c:pt>
                <c:pt idx="302">
                  <c:v>43300</c:v>
                </c:pt>
                <c:pt idx="303">
                  <c:v>43299</c:v>
                </c:pt>
                <c:pt idx="304">
                  <c:v>43298</c:v>
                </c:pt>
                <c:pt idx="305">
                  <c:v>43294</c:v>
                </c:pt>
                <c:pt idx="306">
                  <c:v>43293</c:v>
                </c:pt>
                <c:pt idx="307">
                  <c:v>43292</c:v>
                </c:pt>
                <c:pt idx="308">
                  <c:v>43291</c:v>
                </c:pt>
                <c:pt idx="309">
                  <c:v>43290</c:v>
                </c:pt>
                <c:pt idx="310">
                  <c:v>43287</c:v>
                </c:pt>
                <c:pt idx="311">
                  <c:v>43286</c:v>
                </c:pt>
                <c:pt idx="312">
                  <c:v>43285</c:v>
                </c:pt>
                <c:pt idx="313">
                  <c:v>43284</c:v>
                </c:pt>
                <c:pt idx="314">
                  <c:v>43283</c:v>
                </c:pt>
                <c:pt idx="315">
                  <c:v>43280</c:v>
                </c:pt>
                <c:pt idx="316">
                  <c:v>43279</c:v>
                </c:pt>
                <c:pt idx="317">
                  <c:v>43278</c:v>
                </c:pt>
                <c:pt idx="318">
                  <c:v>43277</c:v>
                </c:pt>
                <c:pt idx="319">
                  <c:v>43276</c:v>
                </c:pt>
                <c:pt idx="320">
                  <c:v>43273</c:v>
                </c:pt>
                <c:pt idx="321">
                  <c:v>43272</c:v>
                </c:pt>
                <c:pt idx="322">
                  <c:v>43271</c:v>
                </c:pt>
                <c:pt idx="323">
                  <c:v>43270</c:v>
                </c:pt>
                <c:pt idx="324">
                  <c:v>43269</c:v>
                </c:pt>
                <c:pt idx="325">
                  <c:v>43266</c:v>
                </c:pt>
                <c:pt idx="326">
                  <c:v>43265</c:v>
                </c:pt>
                <c:pt idx="327">
                  <c:v>43264</c:v>
                </c:pt>
                <c:pt idx="328">
                  <c:v>43263</c:v>
                </c:pt>
                <c:pt idx="329">
                  <c:v>43262</c:v>
                </c:pt>
                <c:pt idx="330">
                  <c:v>43259</c:v>
                </c:pt>
                <c:pt idx="331">
                  <c:v>43258</c:v>
                </c:pt>
                <c:pt idx="332">
                  <c:v>43257</c:v>
                </c:pt>
                <c:pt idx="333">
                  <c:v>43256</c:v>
                </c:pt>
                <c:pt idx="334">
                  <c:v>43255</c:v>
                </c:pt>
                <c:pt idx="335">
                  <c:v>43252</c:v>
                </c:pt>
                <c:pt idx="336">
                  <c:v>43251</c:v>
                </c:pt>
                <c:pt idx="337">
                  <c:v>43250</c:v>
                </c:pt>
                <c:pt idx="338">
                  <c:v>43249</c:v>
                </c:pt>
                <c:pt idx="339">
                  <c:v>43248</c:v>
                </c:pt>
                <c:pt idx="340">
                  <c:v>43245</c:v>
                </c:pt>
                <c:pt idx="341">
                  <c:v>43244</c:v>
                </c:pt>
                <c:pt idx="342">
                  <c:v>43243</c:v>
                </c:pt>
                <c:pt idx="343">
                  <c:v>43242</c:v>
                </c:pt>
                <c:pt idx="344">
                  <c:v>43241</c:v>
                </c:pt>
                <c:pt idx="345">
                  <c:v>43238</c:v>
                </c:pt>
                <c:pt idx="346">
                  <c:v>43237</c:v>
                </c:pt>
                <c:pt idx="347">
                  <c:v>43236</c:v>
                </c:pt>
                <c:pt idx="348">
                  <c:v>43235</c:v>
                </c:pt>
                <c:pt idx="349">
                  <c:v>43234</c:v>
                </c:pt>
                <c:pt idx="350">
                  <c:v>43231</c:v>
                </c:pt>
                <c:pt idx="351">
                  <c:v>43230</c:v>
                </c:pt>
                <c:pt idx="352">
                  <c:v>43229</c:v>
                </c:pt>
                <c:pt idx="353">
                  <c:v>43228</c:v>
                </c:pt>
                <c:pt idx="354">
                  <c:v>43227</c:v>
                </c:pt>
                <c:pt idx="355">
                  <c:v>43222</c:v>
                </c:pt>
                <c:pt idx="356">
                  <c:v>43221</c:v>
                </c:pt>
                <c:pt idx="357">
                  <c:v>43217</c:v>
                </c:pt>
                <c:pt idx="358">
                  <c:v>43216</c:v>
                </c:pt>
                <c:pt idx="359">
                  <c:v>43215</c:v>
                </c:pt>
                <c:pt idx="360">
                  <c:v>43214</c:v>
                </c:pt>
                <c:pt idx="361">
                  <c:v>43213</c:v>
                </c:pt>
                <c:pt idx="362">
                  <c:v>43210</c:v>
                </c:pt>
                <c:pt idx="363">
                  <c:v>43209</c:v>
                </c:pt>
                <c:pt idx="364">
                  <c:v>43208</c:v>
                </c:pt>
                <c:pt idx="365">
                  <c:v>43207</c:v>
                </c:pt>
                <c:pt idx="366">
                  <c:v>43206</c:v>
                </c:pt>
                <c:pt idx="367">
                  <c:v>43203</c:v>
                </c:pt>
                <c:pt idx="368">
                  <c:v>43202</c:v>
                </c:pt>
                <c:pt idx="369">
                  <c:v>43201</c:v>
                </c:pt>
                <c:pt idx="370">
                  <c:v>43200</c:v>
                </c:pt>
                <c:pt idx="371">
                  <c:v>43199</c:v>
                </c:pt>
                <c:pt idx="372">
                  <c:v>43196</c:v>
                </c:pt>
                <c:pt idx="373">
                  <c:v>43195</c:v>
                </c:pt>
                <c:pt idx="374">
                  <c:v>43194</c:v>
                </c:pt>
                <c:pt idx="375">
                  <c:v>43193</c:v>
                </c:pt>
                <c:pt idx="376">
                  <c:v>43192</c:v>
                </c:pt>
                <c:pt idx="377">
                  <c:v>43189</c:v>
                </c:pt>
                <c:pt idx="378">
                  <c:v>43188</c:v>
                </c:pt>
                <c:pt idx="379">
                  <c:v>43187</c:v>
                </c:pt>
                <c:pt idx="380">
                  <c:v>43186</c:v>
                </c:pt>
                <c:pt idx="381">
                  <c:v>43185</c:v>
                </c:pt>
                <c:pt idx="382">
                  <c:v>43182</c:v>
                </c:pt>
                <c:pt idx="383">
                  <c:v>43181</c:v>
                </c:pt>
                <c:pt idx="384">
                  <c:v>43179</c:v>
                </c:pt>
                <c:pt idx="385">
                  <c:v>43178</c:v>
                </c:pt>
                <c:pt idx="386">
                  <c:v>43175</c:v>
                </c:pt>
                <c:pt idx="387">
                  <c:v>43174</c:v>
                </c:pt>
                <c:pt idx="388">
                  <c:v>43173</c:v>
                </c:pt>
                <c:pt idx="389">
                  <c:v>43172</c:v>
                </c:pt>
                <c:pt idx="390">
                  <c:v>43171</c:v>
                </c:pt>
                <c:pt idx="391">
                  <c:v>43168</c:v>
                </c:pt>
                <c:pt idx="392">
                  <c:v>43167</c:v>
                </c:pt>
                <c:pt idx="393">
                  <c:v>43166</c:v>
                </c:pt>
                <c:pt idx="394">
                  <c:v>43165</c:v>
                </c:pt>
                <c:pt idx="395">
                  <c:v>43164</c:v>
                </c:pt>
                <c:pt idx="396">
                  <c:v>43161</c:v>
                </c:pt>
                <c:pt idx="397">
                  <c:v>43160</c:v>
                </c:pt>
                <c:pt idx="398">
                  <c:v>43159</c:v>
                </c:pt>
                <c:pt idx="399">
                  <c:v>43158</c:v>
                </c:pt>
                <c:pt idx="400">
                  <c:v>43157</c:v>
                </c:pt>
                <c:pt idx="401">
                  <c:v>43154</c:v>
                </c:pt>
                <c:pt idx="402">
                  <c:v>43153</c:v>
                </c:pt>
                <c:pt idx="403">
                  <c:v>43152</c:v>
                </c:pt>
                <c:pt idx="404">
                  <c:v>43151</c:v>
                </c:pt>
                <c:pt idx="405">
                  <c:v>43150</c:v>
                </c:pt>
                <c:pt idx="406">
                  <c:v>43147</c:v>
                </c:pt>
                <c:pt idx="407">
                  <c:v>43146</c:v>
                </c:pt>
                <c:pt idx="408">
                  <c:v>43145</c:v>
                </c:pt>
                <c:pt idx="409">
                  <c:v>43144</c:v>
                </c:pt>
                <c:pt idx="410">
                  <c:v>43140</c:v>
                </c:pt>
                <c:pt idx="411">
                  <c:v>43139</c:v>
                </c:pt>
                <c:pt idx="412">
                  <c:v>43138</c:v>
                </c:pt>
                <c:pt idx="413">
                  <c:v>43137</c:v>
                </c:pt>
                <c:pt idx="414">
                  <c:v>43136</c:v>
                </c:pt>
                <c:pt idx="415">
                  <c:v>43133</c:v>
                </c:pt>
                <c:pt idx="416">
                  <c:v>43132</c:v>
                </c:pt>
                <c:pt idx="417">
                  <c:v>43131</c:v>
                </c:pt>
                <c:pt idx="418">
                  <c:v>43130</c:v>
                </c:pt>
                <c:pt idx="419">
                  <c:v>43129</c:v>
                </c:pt>
                <c:pt idx="420">
                  <c:v>43126</c:v>
                </c:pt>
                <c:pt idx="421">
                  <c:v>43125</c:v>
                </c:pt>
                <c:pt idx="422">
                  <c:v>43124</c:v>
                </c:pt>
                <c:pt idx="423">
                  <c:v>43123</c:v>
                </c:pt>
                <c:pt idx="424">
                  <c:v>43122</c:v>
                </c:pt>
                <c:pt idx="425">
                  <c:v>43119</c:v>
                </c:pt>
                <c:pt idx="426">
                  <c:v>43118</c:v>
                </c:pt>
                <c:pt idx="427">
                  <c:v>43117</c:v>
                </c:pt>
                <c:pt idx="428">
                  <c:v>43116</c:v>
                </c:pt>
                <c:pt idx="429">
                  <c:v>43115</c:v>
                </c:pt>
                <c:pt idx="430">
                  <c:v>43112</c:v>
                </c:pt>
                <c:pt idx="431">
                  <c:v>43111</c:v>
                </c:pt>
                <c:pt idx="432">
                  <c:v>43110</c:v>
                </c:pt>
                <c:pt idx="433">
                  <c:v>43109</c:v>
                </c:pt>
                <c:pt idx="434">
                  <c:v>43105</c:v>
                </c:pt>
                <c:pt idx="435">
                  <c:v>43104</c:v>
                </c:pt>
                <c:pt idx="436">
                  <c:v>43098</c:v>
                </c:pt>
                <c:pt idx="437">
                  <c:v>43097</c:v>
                </c:pt>
                <c:pt idx="438">
                  <c:v>43096</c:v>
                </c:pt>
                <c:pt idx="439">
                  <c:v>43095</c:v>
                </c:pt>
                <c:pt idx="440">
                  <c:v>43094</c:v>
                </c:pt>
                <c:pt idx="441">
                  <c:v>43091</c:v>
                </c:pt>
                <c:pt idx="442">
                  <c:v>43090</c:v>
                </c:pt>
                <c:pt idx="443">
                  <c:v>43089</c:v>
                </c:pt>
                <c:pt idx="444">
                  <c:v>43088</c:v>
                </c:pt>
                <c:pt idx="445">
                  <c:v>43087</c:v>
                </c:pt>
                <c:pt idx="446">
                  <c:v>43084</c:v>
                </c:pt>
                <c:pt idx="447">
                  <c:v>43083</c:v>
                </c:pt>
                <c:pt idx="448">
                  <c:v>43082</c:v>
                </c:pt>
                <c:pt idx="449">
                  <c:v>43081</c:v>
                </c:pt>
                <c:pt idx="450">
                  <c:v>43080</c:v>
                </c:pt>
                <c:pt idx="451">
                  <c:v>43077</c:v>
                </c:pt>
                <c:pt idx="452">
                  <c:v>43076</c:v>
                </c:pt>
                <c:pt idx="453">
                  <c:v>43075</c:v>
                </c:pt>
                <c:pt idx="454">
                  <c:v>43074</c:v>
                </c:pt>
                <c:pt idx="455">
                  <c:v>43073</c:v>
                </c:pt>
                <c:pt idx="456">
                  <c:v>43070</c:v>
                </c:pt>
                <c:pt idx="457">
                  <c:v>43069</c:v>
                </c:pt>
                <c:pt idx="458">
                  <c:v>43068</c:v>
                </c:pt>
                <c:pt idx="459">
                  <c:v>43067</c:v>
                </c:pt>
                <c:pt idx="460">
                  <c:v>43066</c:v>
                </c:pt>
                <c:pt idx="461">
                  <c:v>43063</c:v>
                </c:pt>
                <c:pt idx="462">
                  <c:v>43061</c:v>
                </c:pt>
                <c:pt idx="463">
                  <c:v>43060</c:v>
                </c:pt>
                <c:pt idx="464">
                  <c:v>43059</c:v>
                </c:pt>
                <c:pt idx="465">
                  <c:v>43056</c:v>
                </c:pt>
                <c:pt idx="466">
                  <c:v>43055</c:v>
                </c:pt>
                <c:pt idx="467">
                  <c:v>43054</c:v>
                </c:pt>
                <c:pt idx="468">
                  <c:v>43053</c:v>
                </c:pt>
                <c:pt idx="469">
                  <c:v>43052</c:v>
                </c:pt>
                <c:pt idx="470">
                  <c:v>43049</c:v>
                </c:pt>
                <c:pt idx="471">
                  <c:v>43048</c:v>
                </c:pt>
                <c:pt idx="472">
                  <c:v>43047</c:v>
                </c:pt>
                <c:pt idx="473">
                  <c:v>43046</c:v>
                </c:pt>
                <c:pt idx="474">
                  <c:v>43045</c:v>
                </c:pt>
                <c:pt idx="475">
                  <c:v>43041</c:v>
                </c:pt>
                <c:pt idx="476">
                  <c:v>43040</c:v>
                </c:pt>
                <c:pt idx="477">
                  <c:v>43039</c:v>
                </c:pt>
                <c:pt idx="478">
                  <c:v>43038</c:v>
                </c:pt>
                <c:pt idx="479">
                  <c:v>43035</c:v>
                </c:pt>
                <c:pt idx="480">
                  <c:v>43034</c:v>
                </c:pt>
                <c:pt idx="481">
                  <c:v>43033</c:v>
                </c:pt>
                <c:pt idx="482">
                  <c:v>43032</c:v>
                </c:pt>
                <c:pt idx="483">
                  <c:v>43031</c:v>
                </c:pt>
                <c:pt idx="484">
                  <c:v>43028</c:v>
                </c:pt>
                <c:pt idx="485">
                  <c:v>43027</c:v>
                </c:pt>
                <c:pt idx="486">
                  <c:v>43026</c:v>
                </c:pt>
                <c:pt idx="487">
                  <c:v>43025</c:v>
                </c:pt>
                <c:pt idx="488">
                  <c:v>43024</c:v>
                </c:pt>
                <c:pt idx="489">
                  <c:v>43021</c:v>
                </c:pt>
                <c:pt idx="490">
                  <c:v>43020</c:v>
                </c:pt>
                <c:pt idx="491">
                  <c:v>43019</c:v>
                </c:pt>
                <c:pt idx="492">
                  <c:v>43018</c:v>
                </c:pt>
                <c:pt idx="493">
                  <c:v>43014</c:v>
                </c:pt>
                <c:pt idx="494">
                  <c:v>43013</c:v>
                </c:pt>
                <c:pt idx="495">
                  <c:v>43012</c:v>
                </c:pt>
                <c:pt idx="496">
                  <c:v>43011</c:v>
                </c:pt>
                <c:pt idx="497">
                  <c:v>43010</c:v>
                </c:pt>
                <c:pt idx="498">
                  <c:v>43007</c:v>
                </c:pt>
                <c:pt idx="499">
                  <c:v>43006</c:v>
                </c:pt>
                <c:pt idx="500">
                  <c:v>43005</c:v>
                </c:pt>
                <c:pt idx="501">
                  <c:v>43004</c:v>
                </c:pt>
                <c:pt idx="502">
                  <c:v>43003</c:v>
                </c:pt>
                <c:pt idx="503">
                  <c:v>43000</c:v>
                </c:pt>
                <c:pt idx="504">
                  <c:v>42999</c:v>
                </c:pt>
                <c:pt idx="505">
                  <c:v>42998</c:v>
                </c:pt>
                <c:pt idx="506">
                  <c:v>42997</c:v>
                </c:pt>
                <c:pt idx="507">
                  <c:v>42993</c:v>
                </c:pt>
                <c:pt idx="508">
                  <c:v>42992</c:v>
                </c:pt>
                <c:pt idx="509">
                  <c:v>42991</c:v>
                </c:pt>
                <c:pt idx="510">
                  <c:v>42990</c:v>
                </c:pt>
                <c:pt idx="511">
                  <c:v>42989</c:v>
                </c:pt>
                <c:pt idx="512">
                  <c:v>42986</c:v>
                </c:pt>
                <c:pt idx="513">
                  <c:v>42985</c:v>
                </c:pt>
                <c:pt idx="514">
                  <c:v>42984</c:v>
                </c:pt>
                <c:pt idx="515">
                  <c:v>42983</c:v>
                </c:pt>
                <c:pt idx="516">
                  <c:v>42982</c:v>
                </c:pt>
                <c:pt idx="517">
                  <c:v>42979</c:v>
                </c:pt>
                <c:pt idx="518">
                  <c:v>42978</c:v>
                </c:pt>
                <c:pt idx="519">
                  <c:v>42977</c:v>
                </c:pt>
                <c:pt idx="520">
                  <c:v>42976</c:v>
                </c:pt>
                <c:pt idx="521">
                  <c:v>42975</c:v>
                </c:pt>
                <c:pt idx="522">
                  <c:v>42972</c:v>
                </c:pt>
                <c:pt idx="523">
                  <c:v>42971</c:v>
                </c:pt>
                <c:pt idx="524">
                  <c:v>42970</c:v>
                </c:pt>
                <c:pt idx="525">
                  <c:v>42969</c:v>
                </c:pt>
                <c:pt idx="526">
                  <c:v>42968</c:v>
                </c:pt>
                <c:pt idx="527">
                  <c:v>42965</c:v>
                </c:pt>
                <c:pt idx="528">
                  <c:v>42964</c:v>
                </c:pt>
                <c:pt idx="529">
                  <c:v>42963</c:v>
                </c:pt>
                <c:pt idx="530">
                  <c:v>42962</c:v>
                </c:pt>
                <c:pt idx="531">
                  <c:v>42961</c:v>
                </c:pt>
                <c:pt idx="532">
                  <c:v>42957</c:v>
                </c:pt>
                <c:pt idx="533">
                  <c:v>42956</c:v>
                </c:pt>
                <c:pt idx="534">
                  <c:v>42955</c:v>
                </c:pt>
                <c:pt idx="535">
                  <c:v>42954</c:v>
                </c:pt>
                <c:pt idx="536">
                  <c:v>42951</c:v>
                </c:pt>
                <c:pt idx="537">
                  <c:v>42950</c:v>
                </c:pt>
                <c:pt idx="538">
                  <c:v>42949</c:v>
                </c:pt>
                <c:pt idx="539">
                  <c:v>42948</c:v>
                </c:pt>
                <c:pt idx="540">
                  <c:v>42947</c:v>
                </c:pt>
                <c:pt idx="541">
                  <c:v>42944</c:v>
                </c:pt>
                <c:pt idx="542">
                  <c:v>42943</c:v>
                </c:pt>
                <c:pt idx="543">
                  <c:v>42942</c:v>
                </c:pt>
                <c:pt idx="544">
                  <c:v>42941</c:v>
                </c:pt>
                <c:pt idx="545">
                  <c:v>42940</c:v>
                </c:pt>
                <c:pt idx="546">
                  <c:v>42937</c:v>
                </c:pt>
                <c:pt idx="547">
                  <c:v>42936</c:v>
                </c:pt>
                <c:pt idx="548">
                  <c:v>42935</c:v>
                </c:pt>
                <c:pt idx="549">
                  <c:v>42934</c:v>
                </c:pt>
                <c:pt idx="550">
                  <c:v>42930</c:v>
                </c:pt>
                <c:pt idx="551">
                  <c:v>42929</c:v>
                </c:pt>
                <c:pt idx="552">
                  <c:v>42928</c:v>
                </c:pt>
                <c:pt idx="553">
                  <c:v>42927</c:v>
                </c:pt>
                <c:pt idx="554">
                  <c:v>42926</c:v>
                </c:pt>
                <c:pt idx="555">
                  <c:v>42923</c:v>
                </c:pt>
                <c:pt idx="556">
                  <c:v>42922</c:v>
                </c:pt>
                <c:pt idx="557">
                  <c:v>42921</c:v>
                </c:pt>
                <c:pt idx="558">
                  <c:v>42920</c:v>
                </c:pt>
                <c:pt idx="559">
                  <c:v>42919</c:v>
                </c:pt>
                <c:pt idx="560">
                  <c:v>42916</c:v>
                </c:pt>
                <c:pt idx="561">
                  <c:v>42915</c:v>
                </c:pt>
                <c:pt idx="562">
                  <c:v>42914</c:v>
                </c:pt>
                <c:pt idx="563">
                  <c:v>42913</c:v>
                </c:pt>
                <c:pt idx="564">
                  <c:v>42912</c:v>
                </c:pt>
                <c:pt idx="565">
                  <c:v>42909</c:v>
                </c:pt>
                <c:pt idx="566">
                  <c:v>42908</c:v>
                </c:pt>
                <c:pt idx="567">
                  <c:v>42907</c:v>
                </c:pt>
                <c:pt idx="568">
                  <c:v>42906</c:v>
                </c:pt>
                <c:pt idx="569">
                  <c:v>42905</c:v>
                </c:pt>
                <c:pt idx="570">
                  <c:v>42902</c:v>
                </c:pt>
                <c:pt idx="571">
                  <c:v>42901</c:v>
                </c:pt>
                <c:pt idx="572">
                  <c:v>42900</c:v>
                </c:pt>
                <c:pt idx="573">
                  <c:v>42899</c:v>
                </c:pt>
                <c:pt idx="574">
                  <c:v>42898</c:v>
                </c:pt>
                <c:pt idx="575">
                  <c:v>42895</c:v>
                </c:pt>
                <c:pt idx="576">
                  <c:v>42894</c:v>
                </c:pt>
                <c:pt idx="577">
                  <c:v>42893</c:v>
                </c:pt>
                <c:pt idx="578">
                  <c:v>42892</c:v>
                </c:pt>
                <c:pt idx="579">
                  <c:v>42891</c:v>
                </c:pt>
                <c:pt idx="580">
                  <c:v>42888</c:v>
                </c:pt>
                <c:pt idx="581">
                  <c:v>42887</c:v>
                </c:pt>
                <c:pt idx="582">
                  <c:v>42886</c:v>
                </c:pt>
                <c:pt idx="583">
                  <c:v>42885</c:v>
                </c:pt>
                <c:pt idx="584">
                  <c:v>42884</c:v>
                </c:pt>
                <c:pt idx="585">
                  <c:v>42881</c:v>
                </c:pt>
                <c:pt idx="586">
                  <c:v>42880</c:v>
                </c:pt>
                <c:pt idx="587">
                  <c:v>42879</c:v>
                </c:pt>
                <c:pt idx="588">
                  <c:v>42878</c:v>
                </c:pt>
                <c:pt idx="589">
                  <c:v>42877</c:v>
                </c:pt>
                <c:pt idx="590">
                  <c:v>42874</c:v>
                </c:pt>
                <c:pt idx="591">
                  <c:v>42873</c:v>
                </c:pt>
                <c:pt idx="592">
                  <c:v>42872</c:v>
                </c:pt>
                <c:pt idx="593">
                  <c:v>42871</c:v>
                </c:pt>
                <c:pt idx="594">
                  <c:v>42870</c:v>
                </c:pt>
                <c:pt idx="595">
                  <c:v>42867</c:v>
                </c:pt>
                <c:pt idx="596">
                  <c:v>42866</c:v>
                </c:pt>
                <c:pt idx="597">
                  <c:v>42865</c:v>
                </c:pt>
                <c:pt idx="598">
                  <c:v>42864</c:v>
                </c:pt>
                <c:pt idx="599">
                  <c:v>42863</c:v>
                </c:pt>
                <c:pt idx="600">
                  <c:v>42857</c:v>
                </c:pt>
                <c:pt idx="601">
                  <c:v>42856</c:v>
                </c:pt>
                <c:pt idx="602">
                  <c:v>42853</c:v>
                </c:pt>
                <c:pt idx="603">
                  <c:v>42852</c:v>
                </c:pt>
                <c:pt idx="604">
                  <c:v>42851</c:v>
                </c:pt>
                <c:pt idx="605">
                  <c:v>42850</c:v>
                </c:pt>
                <c:pt idx="606">
                  <c:v>42849</c:v>
                </c:pt>
                <c:pt idx="607">
                  <c:v>42846</c:v>
                </c:pt>
                <c:pt idx="608">
                  <c:v>42845</c:v>
                </c:pt>
                <c:pt idx="609">
                  <c:v>42844</c:v>
                </c:pt>
                <c:pt idx="610">
                  <c:v>42843</c:v>
                </c:pt>
                <c:pt idx="611">
                  <c:v>42842</c:v>
                </c:pt>
                <c:pt idx="612">
                  <c:v>42839</c:v>
                </c:pt>
                <c:pt idx="613">
                  <c:v>42838</c:v>
                </c:pt>
                <c:pt idx="614">
                  <c:v>42837</c:v>
                </c:pt>
                <c:pt idx="615">
                  <c:v>42836</c:v>
                </c:pt>
                <c:pt idx="616">
                  <c:v>42835</c:v>
                </c:pt>
                <c:pt idx="617">
                  <c:v>42832</c:v>
                </c:pt>
                <c:pt idx="618">
                  <c:v>42831</c:v>
                </c:pt>
                <c:pt idx="619">
                  <c:v>42830</c:v>
                </c:pt>
                <c:pt idx="620">
                  <c:v>42829</c:v>
                </c:pt>
                <c:pt idx="621">
                  <c:v>42828</c:v>
                </c:pt>
                <c:pt idx="622">
                  <c:v>42825</c:v>
                </c:pt>
                <c:pt idx="623">
                  <c:v>42824</c:v>
                </c:pt>
                <c:pt idx="624">
                  <c:v>42823</c:v>
                </c:pt>
                <c:pt idx="625">
                  <c:v>42822</c:v>
                </c:pt>
                <c:pt idx="626">
                  <c:v>42821</c:v>
                </c:pt>
                <c:pt idx="627">
                  <c:v>42818</c:v>
                </c:pt>
                <c:pt idx="628">
                  <c:v>42817</c:v>
                </c:pt>
                <c:pt idx="629">
                  <c:v>42816</c:v>
                </c:pt>
                <c:pt idx="630">
                  <c:v>42815</c:v>
                </c:pt>
                <c:pt idx="631">
                  <c:v>42811</c:v>
                </c:pt>
                <c:pt idx="632">
                  <c:v>42810</c:v>
                </c:pt>
                <c:pt idx="633">
                  <c:v>42809</c:v>
                </c:pt>
                <c:pt idx="634">
                  <c:v>42808</c:v>
                </c:pt>
                <c:pt idx="635">
                  <c:v>42807</c:v>
                </c:pt>
                <c:pt idx="636">
                  <c:v>42804</c:v>
                </c:pt>
                <c:pt idx="637">
                  <c:v>42803</c:v>
                </c:pt>
                <c:pt idx="638">
                  <c:v>42802</c:v>
                </c:pt>
                <c:pt idx="639">
                  <c:v>42801</c:v>
                </c:pt>
                <c:pt idx="640">
                  <c:v>42800</c:v>
                </c:pt>
                <c:pt idx="641">
                  <c:v>42797</c:v>
                </c:pt>
                <c:pt idx="642">
                  <c:v>42796</c:v>
                </c:pt>
                <c:pt idx="643">
                  <c:v>42795</c:v>
                </c:pt>
                <c:pt idx="644">
                  <c:v>42794</c:v>
                </c:pt>
                <c:pt idx="645">
                  <c:v>42793</c:v>
                </c:pt>
                <c:pt idx="646">
                  <c:v>42790</c:v>
                </c:pt>
                <c:pt idx="647">
                  <c:v>42789</c:v>
                </c:pt>
                <c:pt idx="648">
                  <c:v>42788</c:v>
                </c:pt>
                <c:pt idx="649">
                  <c:v>42787</c:v>
                </c:pt>
                <c:pt idx="650">
                  <c:v>42786</c:v>
                </c:pt>
                <c:pt idx="651">
                  <c:v>42783</c:v>
                </c:pt>
                <c:pt idx="652">
                  <c:v>42782</c:v>
                </c:pt>
                <c:pt idx="653">
                  <c:v>42781</c:v>
                </c:pt>
                <c:pt idx="654">
                  <c:v>42780</c:v>
                </c:pt>
                <c:pt idx="655">
                  <c:v>42779</c:v>
                </c:pt>
                <c:pt idx="656">
                  <c:v>42776</c:v>
                </c:pt>
                <c:pt idx="657">
                  <c:v>42775</c:v>
                </c:pt>
                <c:pt idx="658">
                  <c:v>42774</c:v>
                </c:pt>
                <c:pt idx="659">
                  <c:v>42773</c:v>
                </c:pt>
                <c:pt idx="660">
                  <c:v>42772</c:v>
                </c:pt>
                <c:pt idx="661">
                  <c:v>42769</c:v>
                </c:pt>
              </c:numCache>
            </c:numRef>
          </c:cat>
          <c:val>
            <c:numRef>
              <c:f>グラフ!$O$42:$O$703</c:f>
              <c:numCache>
                <c:formatCode>General</c:formatCode>
                <c:ptCount val="662"/>
                <c:pt idx="0">
                  <c:v>2.0722669534262317</c:v>
                </c:pt>
                <c:pt idx="1">
                  <c:v>2.0735072610637166</c:v>
                </c:pt>
                <c:pt idx="2">
                  <c:v>2.0722296833845726</c:v>
                </c:pt>
                <c:pt idx="3">
                  <c:v>2.0724237692908627</c:v>
                </c:pt>
                <c:pt idx="4">
                  <c:v>2.0744741851685395</c:v>
                </c:pt>
                <c:pt idx="5">
                  <c:v>2.0702379666521189</c:v>
                </c:pt>
                <c:pt idx="6">
                  <c:v>2.069938870942182</c:v>
                </c:pt>
                <c:pt idx="7">
                  <c:v>2.0697895476498287</c:v>
                </c:pt>
                <c:pt idx="8">
                  <c:v>2.0690862833864632</c:v>
                </c:pt>
                <c:pt idx="9">
                  <c:v>2.069051189602058</c:v>
                </c:pt>
                <c:pt idx="10">
                  <c:v>2.0681199460007527</c:v>
                </c:pt>
                <c:pt idx="11">
                  <c:v>2.0667266353789837</c:v>
                </c:pt>
                <c:pt idx="12">
                  <c:v>2.0664595174626865</c:v>
                </c:pt>
                <c:pt idx="13">
                  <c:v>2.066934513806673</c:v>
                </c:pt>
                <c:pt idx="14">
                  <c:v>2.0685854993973849</c:v>
                </c:pt>
                <c:pt idx="15">
                  <c:v>2.069909899089335</c:v>
                </c:pt>
                <c:pt idx="16">
                  <c:v>2.0693125554818321</c:v>
                </c:pt>
                <c:pt idx="17">
                  <c:v>2.070204180632206</c:v>
                </c:pt>
                <c:pt idx="18">
                  <c:v>2.0695820120295072</c:v>
                </c:pt>
                <c:pt idx="19">
                  <c:v>2.0704516209750761</c:v>
                </c:pt>
                <c:pt idx="20">
                  <c:v>2.0720383996677185</c:v>
                </c:pt>
                <c:pt idx="21">
                  <c:v>2.0766870001328135</c:v>
                </c:pt>
                <c:pt idx="22">
                  <c:v>2.0778124053540354</c:v>
                </c:pt>
                <c:pt idx="23">
                  <c:v>2.0758745414641711</c:v>
                </c:pt>
                <c:pt idx="24">
                  <c:v>2.0757207651264054</c:v>
                </c:pt>
                <c:pt idx="25">
                  <c:v>2.0755986082033209</c:v>
                </c:pt>
                <c:pt idx="26">
                  <c:v>2.075443695275665</c:v>
                </c:pt>
                <c:pt idx="27">
                  <c:v>2.0756444078315504</c:v>
                </c:pt>
                <c:pt idx="28">
                  <c:v>2.0744439885953954</c:v>
                </c:pt>
                <c:pt idx="29">
                  <c:v>2.0744746795740237</c:v>
                </c:pt>
                <c:pt idx="30">
                  <c:v>2.0745692072956774</c:v>
                </c:pt>
                <c:pt idx="31">
                  <c:v>2.0746921105746599</c:v>
                </c:pt>
                <c:pt idx="32">
                  <c:v>2.0737851677529822</c:v>
                </c:pt>
                <c:pt idx="33">
                  <c:v>2.0736115905205197</c:v>
                </c:pt>
                <c:pt idx="34">
                  <c:v>2.0731950652522078</c:v>
                </c:pt>
                <c:pt idx="35">
                  <c:v>2.0713290685454275</c:v>
                </c:pt>
                <c:pt idx="36">
                  <c:v>2.071024779234214</c:v>
                </c:pt>
                <c:pt idx="37">
                  <c:v>2.0704088048593223</c:v>
                </c:pt>
                <c:pt idx="38">
                  <c:v>2.0705845532168414</c:v>
                </c:pt>
                <c:pt idx="39">
                  <c:v>2.0698399692589109</c:v>
                </c:pt>
                <c:pt idx="40">
                  <c:v>2.068611260924595</c:v>
                </c:pt>
                <c:pt idx="41">
                  <c:v>2.0652870671227217</c:v>
                </c:pt>
                <c:pt idx="42">
                  <c:v>2.0640650078554126</c:v>
                </c:pt>
                <c:pt idx="43">
                  <c:v>2.06257147376372</c:v>
                </c:pt>
                <c:pt idx="44">
                  <c:v>2.0590514886440867</c:v>
                </c:pt>
                <c:pt idx="45">
                  <c:v>2.0553559015341847</c:v>
                </c:pt>
                <c:pt idx="46">
                  <c:v>2.0533105464358226</c:v>
                </c:pt>
                <c:pt idx="47">
                  <c:v>2.0511311423137735</c:v>
                </c:pt>
                <c:pt idx="48">
                  <c:v>2.0490395997765671</c:v>
                </c:pt>
                <c:pt idx="49">
                  <c:v>2.0474431939139892</c:v>
                </c:pt>
                <c:pt idx="50">
                  <c:v>2.0452274126556085</c:v>
                </c:pt>
                <c:pt idx="51">
                  <c:v>2.0442529863722618</c:v>
                </c:pt>
                <c:pt idx="52">
                  <c:v>2.0438426939342671</c:v>
                </c:pt>
                <c:pt idx="53">
                  <c:v>2.0447385756994518</c:v>
                </c:pt>
                <c:pt idx="54">
                  <c:v>2.0450614095111503</c:v>
                </c:pt>
                <c:pt idx="55">
                  <c:v>2.0445305989879237</c:v>
                </c:pt>
                <c:pt idx="56">
                  <c:v>2.0433171397607599</c:v>
                </c:pt>
                <c:pt idx="57">
                  <c:v>2.0421425812455278</c:v>
                </c:pt>
                <c:pt idx="58">
                  <c:v>2.0395463716007836</c:v>
                </c:pt>
                <c:pt idx="59">
                  <c:v>2.0378962106048983</c:v>
                </c:pt>
                <c:pt idx="60">
                  <c:v>2.0348528009762528</c:v>
                </c:pt>
                <c:pt idx="61">
                  <c:v>2.0334711521932678</c:v>
                </c:pt>
                <c:pt idx="62">
                  <c:v>2.0301627678491876</c:v>
                </c:pt>
                <c:pt idx="63">
                  <c:v>2.0279373344452218</c:v>
                </c:pt>
                <c:pt idx="64">
                  <c:v>2.0232613240689337</c:v>
                </c:pt>
                <c:pt idx="65">
                  <c:v>2.0208991397671783</c:v>
                </c:pt>
                <c:pt idx="66">
                  <c:v>2.0196318186965883</c:v>
                </c:pt>
                <c:pt idx="67">
                  <c:v>2.0202144963948969</c:v>
                </c:pt>
                <c:pt idx="68">
                  <c:v>2.0194827084442482</c:v>
                </c:pt>
                <c:pt idx="69">
                  <c:v>2.0196163921037038</c:v>
                </c:pt>
                <c:pt idx="70">
                  <c:v>2.0197540975648023</c:v>
                </c:pt>
                <c:pt idx="71">
                  <c:v>2.0197302874950025</c:v>
                </c:pt>
                <c:pt idx="72">
                  <c:v>2.0201787076277351</c:v>
                </c:pt>
                <c:pt idx="73">
                  <c:v>2.0201226710617854</c:v>
                </c:pt>
                <c:pt idx="74">
                  <c:v>2.0201239522109056</c:v>
                </c:pt>
                <c:pt idx="75">
                  <c:v>2.0200290112117387</c:v>
                </c:pt>
                <c:pt idx="76">
                  <c:v>2.0194225337402014</c:v>
                </c:pt>
                <c:pt idx="77">
                  <c:v>2.0176185887983276</c:v>
                </c:pt>
                <c:pt idx="78">
                  <c:v>2.0163836820456491</c:v>
                </c:pt>
                <c:pt idx="79">
                  <c:v>2.0120413279627534</c:v>
                </c:pt>
                <c:pt idx="80">
                  <c:v>2.0115690011588865</c:v>
                </c:pt>
                <c:pt idx="81">
                  <c:v>2.0110507200102181</c:v>
                </c:pt>
                <c:pt idx="82">
                  <c:v>2.0115346090258197</c:v>
                </c:pt>
                <c:pt idx="83">
                  <c:v>2.010563428855205</c:v>
                </c:pt>
                <c:pt idx="84">
                  <c:v>2.0085790119806104</c:v>
                </c:pt>
                <c:pt idx="85">
                  <c:v>2.0084453150650892</c:v>
                </c:pt>
                <c:pt idx="86">
                  <c:v>2.0080414339942561</c:v>
                </c:pt>
                <c:pt idx="87">
                  <c:v>2.0073810296486609</c:v>
                </c:pt>
                <c:pt idx="88">
                  <c:v>2.0066149843334138</c:v>
                </c:pt>
                <c:pt idx="89">
                  <c:v>2.0024556767979385</c:v>
                </c:pt>
                <c:pt idx="90">
                  <c:v>1.9994109843653094</c:v>
                </c:pt>
                <c:pt idx="91">
                  <c:v>1.9971891128349022</c:v>
                </c:pt>
                <c:pt idx="92">
                  <c:v>1.9978633686009084</c:v>
                </c:pt>
                <c:pt idx="93">
                  <c:v>1.9978632298752523</c:v>
                </c:pt>
                <c:pt idx="94">
                  <c:v>1.9974908575996055</c:v>
                </c:pt>
                <c:pt idx="95">
                  <c:v>1.9977182045011048</c:v>
                </c:pt>
                <c:pt idx="96">
                  <c:v>1.9976334984872799</c:v>
                </c:pt>
                <c:pt idx="97">
                  <c:v>1.9974844037981214</c:v>
                </c:pt>
                <c:pt idx="98">
                  <c:v>1.9974066019815004</c:v>
                </c:pt>
                <c:pt idx="99">
                  <c:v>1.9975279275711484</c:v>
                </c:pt>
                <c:pt idx="100">
                  <c:v>1.997780365325402</c:v>
                </c:pt>
                <c:pt idx="101">
                  <c:v>1.9977258996975193</c:v>
                </c:pt>
                <c:pt idx="102">
                  <c:v>1.9972966743020646</c:v>
                </c:pt>
                <c:pt idx="103">
                  <c:v>1.9949065315602972</c:v>
                </c:pt>
                <c:pt idx="104">
                  <c:v>1.9925500151468807</c:v>
                </c:pt>
                <c:pt idx="105">
                  <c:v>1.990791899741349</c:v>
                </c:pt>
                <c:pt idx="106">
                  <c:v>1.9897469829345482</c:v>
                </c:pt>
                <c:pt idx="107">
                  <c:v>1.989049883213706</c:v>
                </c:pt>
                <c:pt idx="108">
                  <c:v>1.9885062119561989</c:v>
                </c:pt>
                <c:pt idx="109">
                  <c:v>1.9872745764573871</c:v>
                </c:pt>
                <c:pt idx="110">
                  <c:v>1.9853354508998751</c:v>
                </c:pt>
                <c:pt idx="111">
                  <c:v>1.9833956510448854</c:v>
                </c:pt>
                <c:pt idx="112">
                  <c:v>1.9828565928915578</c:v>
                </c:pt>
                <c:pt idx="113">
                  <c:v>1.9837506883173905</c:v>
                </c:pt>
                <c:pt idx="114">
                  <c:v>1.9832095909622167</c:v>
                </c:pt>
                <c:pt idx="115">
                  <c:v>1.9833235631718626</c:v>
                </c:pt>
                <c:pt idx="116">
                  <c:v>1.983880591040349</c:v>
                </c:pt>
                <c:pt idx="117">
                  <c:v>1.9787450232897104</c:v>
                </c:pt>
                <c:pt idx="118">
                  <c:v>1.9752082490716134</c:v>
                </c:pt>
                <c:pt idx="119">
                  <c:v>1.9750859700821179</c:v>
                </c:pt>
                <c:pt idx="120">
                  <c:v>1.9755964269700717</c:v>
                </c:pt>
                <c:pt idx="121">
                  <c:v>1.9754653226703303</c:v>
                </c:pt>
                <c:pt idx="122">
                  <c:v>1.9762245251410133</c:v>
                </c:pt>
                <c:pt idx="123">
                  <c:v>1.9773736623523717</c:v>
                </c:pt>
                <c:pt idx="124">
                  <c:v>1.9783311024174264</c:v>
                </c:pt>
                <c:pt idx="125">
                  <c:v>1.979599739557854</c:v>
                </c:pt>
                <c:pt idx="126">
                  <c:v>1.9794805720578392</c:v>
                </c:pt>
                <c:pt idx="127">
                  <c:v>1.9802414817272302</c:v>
                </c:pt>
                <c:pt idx="128">
                  <c:v>1.9806530111117722</c:v>
                </c:pt>
                <c:pt idx="129">
                  <c:v>1.9808002554173074</c:v>
                </c:pt>
                <c:pt idx="130">
                  <c:v>1.9810746972121449</c:v>
                </c:pt>
                <c:pt idx="131">
                  <c:v>1.9817877756846158</c:v>
                </c:pt>
                <c:pt idx="132">
                  <c:v>1.9823277328333488</c:v>
                </c:pt>
                <c:pt idx="133">
                  <c:v>1.9841865717114189</c:v>
                </c:pt>
                <c:pt idx="134">
                  <c:v>1.9854397613981332</c:v>
                </c:pt>
                <c:pt idx="135">
                  <c:v>1.9878919104282833</c:v>
                </c:pt>
                <c:pt idx="136">
                  <c:v>1.9896227059954039</c:v>
                </c:pt>
                <c:pt idx="137">
                  <c:v>1.9926978187126301</c:v>
                </c:pt>
                <c:pt idx="138">
                  <c:v>1.9957239337928367</c:v>
                </c:pt>
                <c:pt idx="139">
                  <c:v>1.998347469177002</c:v>
                </c:pt>
                <c:pt idx="140">
                  <c:v>1.9994048548250403</c:v>
                </c:pt>
                <c:pt idx="141">
                  <c:v>2.0003123677422034</c:v>
                </c:pt>
                <c:pt idx="142">
                  <c:v>2.0007731007084302</c:v>
                </c:pt>
                <c:pt idx="143">
                  <c:v>2.0020018853698862</c:v>
                </c:pt>
                <c:pt idx="144">
                  <c:v>2.0021920735059524</c:v>
                </c:pt>
                <c:pt idx="145">
                  <c:v>2.0015301090859672</c:v>
                </c:pt>
                <c:pt idx="146">
                  <c:v>2.0018815406116421</c:v>
                </c:pt>
                <c:pt idx="147">
                  <c:v>2.002225485576532</c:v>
                </c:pt>
                <c:pt idx="148">
                  <c:v>2.002695352941946</c:v>
                </c:pt>
                <c:pt idx="149">
                  <c:v>2.0028289825940728</c:v>
                </c:pt>
                <c:pt idx="150">
                  <c:v>2.0037499698649857</c:v>
                </c:pt>
                <c:pt idx="151">
                  <c:v>2.0051148169466781</c:v>
                </c:pt>
                <c:pt idx="152">
                  <c:v>2.007414260228916</c:v>
                </c:pt>
                <c:pt idx="153">
                  <c:v>2.0073441983302542</c:v>
                </c:pt>
                <c:pt idx="154">
                  <c:v>2.0099279698679222</c:v>
                </c:pt>
                <c:pt idx="155">
                  <c:v>2.0106080722869111</c:v>
                </c:pt>
                <c:pt idx="156">
                  <c:v>2.0091089492839584</c:v>
                </c:pt>
                <c:pt idx="157">
                  <c:v>2.0070318213342033</c:v>
                </c:pt>
                <c:pt idx="158">
                  <c:v>2.0088352743470339</c:v>
                </c:pt>
                <c:pt idx="159">
                  <c:v>2.0122197882993986</c:v>
                </c:pt>
                <c:pt idx="160">
                  <c:v>2.0131054290829264</c:v>
                </c:pt>
                <c:pt idx="161">
                  <c:v>2.0144332185527873</c:v>
                </c:pt>
                <c:pt idx="162">
                  <c:v>2.0164869358713222</c:v>
                </c:pt>
                <c:pt idx="163">
                  <c:v>2.0187675310643787</c:v>
                </c:pt>
                <c:pt idx="164">
                  <c:v>2.025345523720437</c:v>
                </c:pt>
                <c:pt idx="165">
                  <c:v>2.0310479552408407</c:v>
                </c:pt>
                <c:pt idx="166">
                  <c:v>2.0358627698852083</c:v>
                </c:pt>
                <c:pt idx="167">
                  <c:v>2.037237373010309</c:v>
                </c:pt>
                <c:pt idx="168">
                  <c:v>2.0374981520037565</c:v>
                </c:pt>
                <c:pt idx="169">
                  <c:v>2.036796847350113</c:v>
                </c:pt>
                <c:pt idx="170">
                  <c:v>2.0379167741437927</c:v>
                </c:pt>
                <c:pt idx="171">
                  <c:v>2.0386367716742102</c:v>
                </c:pt>
                <c:pt idx="172">
                  <c:v>2.0407747422192308</c:v>
                </c:pt>
                <c:pt idx="173">
                  <c:v>2.0412768353722899</c:v>
                </c:pt>
                <c:pt idx="174">
                  <c:v>2.0426347224359485</c:v>
                </c:pt>
                <c:pt idx="175">
                  <c:v>2.0440544686212512</c:v>
                </c:pt>
                <c:pt idx="176">
                  <c:v>2.0445538463719326</c:v>
                </c:pt>
                <c:pt idx="177">
                  <c:v>2.0445873028563217</c:v>
                </c:pt>
                <c:pt idx="178">
                  <c:v>2.0443772259652251</c:v>
                </c:pt>
                <c:pt idx="179">
                  <c:v>2.0441208840799563</c:v>
                </c:pt>
                <c:pt idx="180">
                  <c:v>2.0427643563633358</c:v>
                </c:pt>
                <c:pt idx="181">
                  <c:v>2.0419489377333879</c:v>
                </c:pt>
                <c:pt idx="182">
                  <c:v>2.0412849370634394</c:v>
                </c:pt>
                <c:pt idx="183">
                  <c:v>2.0395316157825798</c:v>
                </c:pt>
                <c:pt idx="184">
                  <c:v>2.0358319950762076</c:v>
                </c:pt>
                <c:pt idx="185">
                  <c:v>2.0326211026207535</c:v>
                </c:pt>
                <c:pt idx="186">
                  <c:v>2.0300326861638225</c:v>
                </c:pt>
                <c:pt idx="187">
                  <c:v>2.0270055305374748</c:v>
                </c:pt>
                <c:pt idx="188">
                  <c:v>2.0230899411626808</c:v>
                </c:pt>
                <c:pt idx="189">
                  <c:v>2.0187128563595649</c:v>
                </c:pt>
                <c:pt idx="190">
                  <c:v>2.0137580699172175</c:v>
                </c:pt>
                <c:pt idx="191">
                  <c:v>2.01076060345062</c:v>
                </c:pt>
                <c:pt idx="192">
                  <c:v>2.0112304727420414</c:v>
                </c:pt>
                <c:pt idx="193">
                  <c:v>2.0115845124200056</c:v>
                </c:pt>
                <c:pt idx="194">
                  <c:v>2.0094274230004547</c:v>
                </c:pt>
                <c:pt idx="195">
                  <c:v>2.0073863335985083</c:v>
                </c:pt>
                <c:pt idx="196">
                  <c:v>2.0058239859180724</c:v>
                </c:pt>
                <c:pt idx="197">
                  <c:v>2.005599457151912</c:v>
                </c:pt>
                <c:pt idx="198">
                  <c:v>2.0049815411275045</c:v>
                </c:pt>
                <c:pt idx="199">
                  <c:v>2.0045052626406736</c:v>
                </c:pt>
                <c:pt idx="200">
                  <c:v>2.004583370913382</c:v>
                </c:pt>
                <c:pt idx="201">
                  <c:v>2.0053877089482364</c:v>
                </c:pt>
                <c:pt idx="202">
                  <c:v>2.0055946519609229</c:v>
                </c:pt>
                <c:pt idx="203">
                  <c:v>2.0058128345119188</c:v>
                </c:pt>
                <c:pt idx="204">
                  <c:v>2.006374679301286</c:v>
                </c:pt>
                <c:pt idx="205">
                  <c:v>2.0061322112958866</c:v>
                </c:pt>
                <c:pt idx="206">
                  <c:v>2.0065067923591546</c:v>
                </c:pt>
                <c:pt idx="207">
                  <c:v>2.0071074817561994</c:v>
                </c:pt>
                <c:pt idx="208">
                  <c:v>2.007467734423205</c:v>
                </c:pt>
                <c:pt idx="209">
                  <c:v>2.0079815617549159</c:v>
                </c:pt>
                <c:pt idx="210">
                  <c:v>2.0077877169097214</c:v>
                </c:pt>
                <c:pt idx="211">
                  <c:v>2.0074709422001655</c:v>
                </c:pt>
                <c:pt idx="212">
                  <c:v>2.0076501153685671</c:v>
                </c:pt>
                <c:pt idx="213">
                  <c:v>2.007657469306928</c:v>
                </c:pt>
                <c:pt idx="214">
                  <c:v>2.0093028358317118</c:v>
                </c:pt>
                <c:pt idx="215">
                  <c:v>2.0099949464573656</c:v>
                </c:pt>
                <c:pt idx="216">
                  <c:v>2.0114062072733687</c:v>
                </c:pt>
                <c:pt idx="217">
                  <c:v>2.0115858266615838</c:v>
                </c:pt>
                <c:pt idx="218">
                  <c:v>2.0098555975593557</c:v>
                </c:pt>
                <c:pt idx="219">
                  <c:v>2.00929156238226</c:v>
                </c:pt>
                <c:pt idx="220">
                  <c:v>2.0103619532838972</c:v>
                </c:pt>
                <c:pt idx="221">
                  <c:v>2.0040996690363801</c:v>
                </c:pt>
                <c:pt idx="222">
                  <c:v>1.9993753143954089</c:v>
                </c:pt>
                <c:pt idx="223">
                  <c:v>1.9956008158519545</c:v>
                </c:pt>
                <c:pt idx="224">
                  <c:v>1.9927869446502682</c:v>
                </c:pt>
                <c:pt idx="225">
                  <c:v>1.992310462471518</c:v>
                </c:pt>
                <c:pt idx="226">
                  <c:v>1.9922793969561385</c:v>
                </c:pt>
                <c:pt idx="227">
                  <c:v>1.9925207932817521</c:v>
                </c:pt>
                <c:pt idx="228">
                  <c:v>1.9937945782081141</c:v>
                </c:pt>
                <c:pt idx="229">
                  <c:v>1.9947521294579154</c:v>
                </c:pt>
                <c:pt idx="230">
                  <c:v>1.9957741568088063</c:v>
                </c:pt>
                <c:pt idx="231">
                  <c:v>1.9966584717374745</c:v>
                </c:pt>
                <c:pt idx="232">
                  <c:v>1.9984551463673221</c:v>
                </c:pt>
                <c:pt idx="233">
                  <c:v>1.9987325918033987</c:v>
                </c:pt>
                <c:pt idx="234">
                  <c:v>1.9996365771783131</c:v>
                </c:pt>
                <c:pt idx="235">
                  <c:v>2.0003362053191518</c:v>
                </c:pt>
                <c:pt idx="236">
                  <c:v>2.0009040098322557</c:v>
                </c:pt>
                <c:pt idx="237">
                  <c:v>2.0011406745496902</c:v>
                </c:pt>
                <c:pt idx="238">
                  <c:v>2.0024226995326648</c:v>
                </c:pt>
                <c:pt idx="239">
                  <c:v>2.0026005492401175</c:v>
                </c:pt>
                <c:pt idx="240">
                  <c:v>2.0034483346740095</c:v>
                </c:pt>
                <c:pt idx="241">
                  <c:v>2.0024197145303049</c:v>
                </c:pt>
                <c:pt idx="242">
                  <c:v>2.0002346808051703</c:v>
                </c:pt>
                <c:pt idx="243">
                  <c:v>1.9984162733839503</c:v>
                </c:pt>
                <c:pt idx="244">
                  <c:v>1.9976705182896111</c:v>
                </c:pt>
                <c:pt idx="245">
                  <c:v>1.9949333404046099</c:v>
                </c:pt>
                <c:pt idx="246">
                  <c:v>1.9916018574970453</c:v>
                </c:pt>
                <c:pt idx="247">
                  <c:v>1.9877772872195867</c:v>
                </c:pt>
                <c:pt idx="248">
                  <c:v>1.984480211573513</c:v>
                </c:pt>
                <c:pt idx="249">
                  <c:v>1.9792144160459078</c:v>
                </c:pt>
                <c:pt idx="250">
                  <c:v>1.976388371711538</c:v>
                </c:pt>
                <c:pt idx="251">
                  <c:v>1.9744675293936378</c:v>
                </c:pt>
                <c:pt idx="252">
                  <c:v>1.97265232058634</c:v>
                </c:pt>
                <c:pt idx="253">
                  <c:v>1.970923374122588</c:v>
                </c:pt>
                <c:pt idx="254">
                  <c:v>1.9693525394113398</c:v>
                </c:pt>
                <c:pt idx="255">
                  <c:v>1.970077375375892</c:v>
                </c:pt>
                <c:pt idx="256">
                  <c:v>1.9703764799803278</c:v>
                </c:pt>
                <c:pt idx="257">
                  <c:v>1.97121842222721</c:v>
                </c:pt>
                <c:pt idx="258">
                  <c:v>1.9715672783085758</c:v>
                </c:pt>
                <c:pt idx="259">
                  <c:v>1.974103244773044</c:v>
                </c:pt>
                <c:pt idx="260">
                  <c:v>1.9757449164453942</c:v>
                </c:pt>
                <c:pt idx="261">
                  <c:v>1.9785235519362359</c:v>
                </c:pt>
                <c:pt idx="262">
                  <c:v>1.9821817837768623</c:v>
                </c:pt>
                <c:pt idx="263">
                  <c:v>1.9881292814891058</c:v>
                </c:pt>
                <c:pt idx="264">
                  <c:v>1.993096263945686</c:v>
                </c:pt>
                <c:pt idx="265">
                  <c:v>2.0016741828268043</c:v>
                </c:pt>
                <c:pt idx="266">
                  <c:v>2.0078649033437119</c:v>
                </c:pt>
                <c:pt idx="267">
                  <c:v>2.013913690357676</c:v>
                </c:pt>
                <c:pt idx="268">
                  <c:v>2.0199336097035623</c:v>
                </c:pt>
                <c:pt idx="269">
                  <c:v>2.0280008079003782</c:v>
                </c:pt>
                <c:pt idx="270">
                  <c:v>2.036226219732304</c:v>
                </c:pt>
                <c:pt idx="271">
                  <c:v>2.0437255162235499</c:v>
                </c:pt>
                <c:pt idx="272">
                  <c:v>2.0487887680129222</c:v>
                </c:pt>
                <c:pt idx="273">
                  <c:v>2.0546711292198361</c:v>
                </c:pt>
                <c:pt idx="274">
                  <c:v>2.0597668008230601</c:v>
                </c:pt>
                <c:pt idx="275">
                  <c:v>2.0643158961597896</c:v>
                </c:pt>
                <c:pt idx="276">
                  <c:v>2.066969889802488</c:v>
                </c:pt>
                <c:pt idx="277">
                  <c:v>2.0696339665338517</c:v>
                </c:pt>
                <c:pt idx="278">
                  <c:v>2.0686963151595341</c:v>
                </c:pt>
                <c:pt idx="279">
                  <c:v>2.0716451526888959</c:v>
                </c:pt>
                <c:pt idx="280">
                  <c:v>2.073596214043246</c:v>
                </c:pt>
                <c:pt idx="281">
                  <c:v>2.0748516986011123</c:v>
                </c:pt>
                <c:pt idx="282">
                  <c:v>2.0777287042633579</c:v>
                </c:pt>
                <c:pt idx="283">
                  <c:v>2.08017715298267</c:v>
                </c:pt>
                <c:pt idx="284">
                  <c:v>2.0835541054941582</c:v>
                </c:pt>
                <c:pt idx="285">
                  <c:v>2.0857166895447059</c:v>
                </c:pt>
                <c:pt idx="286">
                  <c:v>2.0885966331736441</c:v>
                </c:pt>
                <c:pt idx="287">
                  <c:v>2.0938770551724342</c:v>
                </c:pt>
                <c:pt idx="288">
                  <c:v>2.1015098754963777</c:v>
                </c:pt>
                <c:pt idx="289">
                  <c:v>2.1119337521168537</c:v>
                </c:pt>
                <c:pt idx="290">
                  <c:v>2.1253132869016076</c:v>
                </c:pt>
                <c:pt idx="291">
                  <c:v>2.133831384968162</c:v>
                </c:pt>
                <c:pt idx="292">
                  <c:v>2.1365416972989983</c:v>
                </c:pt>
                <c:pt idx="293">
                  <c:v>2.1379252968734663</c:v>
                </c:pt>
                <c:pt idx="294">
                  <c:v>2.1413428142537261</c:v>
                </c:pt>
                <c:pt idx="295">
                  <c:v>2.14594209142694</c:v>
                </c:pt>
                <c:pt idx="296">
                  <c:v>2.1451856580679962</c:v>
                </c:pt>
                <c:pt idx="297">
                  <c:v>2.1465796081553861</c:v>
                </c:pt>
                <c:pt idx="298">
                  <c:v>2.1489548248615522</c:v>
                </c:pt>
                <c:pt idx="299">
                  <c:v>2.1518452104640562</c:v>
                </c:pt>
                <c:pt idx="300">
                  <c:v>2.1574682391131401</c:v>
                </c:pt>
                <c:pt idx="301">
                  <c:v>2.1655434108841396</c:v>
                </c:pt>
                <c:pt idx="302">
                  <c:v>2.1754218622250603</c:v>
                </c:pt>
                <c:pt idx="303">
                  <c:v>2.18386643470429</c:v>
                </c:pt>
                <c:pt idx="304">
                  <c:v>2.190105925146264</c:v>
                </c:pt>
                <c:pt idx="305">
                  <c:v>2.1976589390359318</c:v>
                </c:pt>
                <c:pt idx="306">
                  <c:v>2.2031026989709259</c:v>
                </c:pt>
                <c:pt idx="307">
                  <c:v>2.2110095518195121</c:v>
                </c:pt>
                <c:pt idx="308">
                  <c:v>2.2187820311105741</c:v>
                </c:pt>
                <c:pt idx="309">
                  <c:v>2.2282810391614518</c:v>
                </c:pt>
                <c:pt idx="310">
                  <c:v>2.2414454233788259</c:v>
                </c:pt>
                <c:pt idx="311">
                  <c:v>2.25858730186334</c:v>
                </c:pt>
                <c:pt idx="312">
                  <c:v>2.2677818802427012</c:v>
                </c:pt>
                <c:pt idx="313">
                  <c:v>2.2777784374041046</c:v>
                </c:pt>
                <c:pt idx="314">
                  <c:v>2.2863112367407674</c:v>
                </c:pt>
                <c:pt idx="315">
                  <c:v>2.2983550204318153</c:v>
                </c:pt>
                <c:pt idx="316">
                  <c:v>2.3043437919162941</c:v>
                </c:pt>
                <c:pt idx="317">
                  <c:v>2.3101531468400784</c:v>
                </c:pt>
                <c:pt idx="318">
                  <c:v>2.3148422004639437</c:v>
                </c:pt>
                <c:pt idx="319">
                  <c:v>2.3206988114249287</c:v>
                </c:pt>
                <c:pt idx="320">
                  <c:v>2.3249735766829476</c:v>
                </c:pt>
                <c:pt idx="321">
                  <c:v>2.3278034203686948</c:v>
                </c:pt>
                <c:pt idx="322">
                  <c:v>2.3297494704193191</c:v>
                </c:pt>
                <c:pt idx="323">
                  <c:v>2.3325417313558461</c:v>
                </c:pt>
                <c:pt idx="324">
                  <c:v>2.333823702609275</c:v>
                </c:pt>
                <c:pt idx="325">
                  <c:v>2.3368845306736823</c:v>
                </c:pt>
                <c:pt idx="326">
                  <c:v>2.3402270382950996</c:v>
                </c:pt>
                <c:pt idx="327">
                  <c:v>2.3438017281868371</c:v>
                </c:pt>
                <c:pt idx="328">
                  <c:v>2.3466432651803215</c:v>
                </c:pt>
                <c:pt idx="329">
                  <c:v>2.3490952881486242</c:v>
                </c:pt>
                <c:pt idx="330">
                  <c:v>2.3527055665428329</c:v>
                </c:pt>
                <c:pt idx="331">
                  <c:v>2.3551942284942244</c:v>
                </c:pt>
                <c:pt idx="332">
                  <c:v>2.3566131055256228</c:v>
                </c:pt>
                <c:pt idx="333">
                  <c:v>2.3564642735142423</c:v>
                </c:pt>
                <c:pt idx="334">
                  <c:v>2.3577284971638535</c:v>
                </c:pt>
                <c:pt idx="335">
                  <c:v>2.3579038032969262</c:v>
                </c:pt>
                <c:pt idx="336">
                  <c:v>2.3585614340930974</c:v>
                </c:pt>
                <c:pt idx="337">
                  <c:v>2.3572286023384024</c:v>
                </c:pt>
                <c:pt idx="338">
                  <c:v>2.3520486639850748</c:v>
                </c:pt>
                <c:pt idx="339">
                  <c:v>2.3426963776336929</c:v>
                </c:pt>
                <c:pt idx="340">
                  <c:v>2.3439201184678291</c:v>
                </c:pt>
                <c:pt idx="341">
                  <c:v>2.3440461568667756</c:v>
                </c:pt>
                <c:pt idx="342">
                  <c:v>2.3461434372616847</c:v>
                </c:pt>
                <c:pt idx="343">
                  <c:v>2.3425298551573062</c:v>
                </c:pt>
                <c:pt idx="344">
                  <c:v>2.3376617437898406</c:v>
                </c:pt>
                <c:pt idx="345">
                  <c:v>2.334656689085858</c:v>
                </c:pt>
                <c:pt idx="346">
                  <c:v>2.3303674514351358</c:v>
                </c:pt>
                <c:pt idx="347">
                  <c:v>2.329304179766079</c:v>
                </c:pt>
                <c:pt idx="348">
                  <c:v>2.3250711866509564</c:v>
                </c:pt>
                <c:pt idx="349">
                  <c:v>2.3212966600005727</c:v>
                </c:pt>
                <c:pt idx="350">
                  <c:v>2.3175984529285025</c:v>
                </c:pt>
                <c:pt idx="351">
                  <c:v>2.3147041671660071</c:v>
                </c:pt>
                <c:pt idx="352">
                  <c:v>2.3070556267761946</c:v>
                </c:pt>
                <c:pt idx="353">
                  <c:v>2.3012068467099285</c:v>
                </c:pt>
                <c:pt idx="354">
                  <c:v>2.292350937753413</c:v>
                </c:pt>
                <c:pt idx="355">
                  <c:v>2.2877883749029806</c:v>
                </c:pt>
                <c:pt idx="356">
                  <c:v>2.2833370777524769</c:v>
                </c:pt>
                <c:pt idx="357">
                  <c:v>2.2773499056210227</c:v>
                </c:pt>
                <c:pt idx="358">
                  <c:v>2.2714933849313175</c:v>
                </c:pt>
                <c:pt idx="359">
                  <c:v>2.2641089524075673</c:v>
                </c:pt>
                <c:pt idx="360">
                  <c:v>2.2603885678996094</c:v>
                </c:pt>
                <c:pt idx="361">
                  <c:v>2.2550280725991252</c:v>
                </c:pt>
                <c:pt idx="362">
                  <c:v>2.2499945875925262</c:v>
                </c:pt>
                <c:pt idx="363">
                  <c:v>2.2454999273377716</c:v>
                </c:pt>
                <c:pt idx="364">
                  <c:v>2.2412223346435778</c:v>
                </c:pt>
                <c:pt idx="365">
                  <c:v>2.2361192536521268</c:v>
                </c:pt>
                <c:pt idx="366">
                  <c:v>2.2320884977347162</c:v>
                </c:pt>
                <c:pt idx="367">
                  <c:v>2.2279098015650183</c:v>
                </c:pt>
                <c:pt idx="368">
                  <c:v>2.2257179213981058</c:v>
                </c:pt>
                <c:pt idx="369">
                  <c:v>2.2257730096427188</c:v>
                </c:pt>
                <c:pt idx="370">
                  <c:v>2.2276738913122203</c:v>
                </c:pt>
                <c:pt idx="371">
                  <c:v>2.2271029328721297</c:v>
                </c:pt>
                <c:pt idx="372">
                  <c:v>2.2239073128406326</c:v>
                </c:pt>
                <c:pt idx="373">
                  <c:v>2.2189527993446823</c:v>
                </c:pt>
                <c:pt idx="374">
                  <c:v>2.2117235835754059</c:v>
                </c:pt>
                <c:pt idx="375">
                  <c:v>2.2069256904207775</c:v>
                </c:pt>
                <c:pt idx="376">
                  <c:v>2.2029444285909405</c:v>
                </c:pt>
                <c:pt idx="377">
                  <c:v>2.2008680744007587</c:v>
                </c:pt>
                <c:pt idx="378">
                  <c:v>2.1987578366932166</c:v>
                </c:pt>
                <c:pt idx="379">
                  <c:v>2.1993784079054088</c:v>
                </c:pt>
                <c:pt idx="380">
                  <c:v>2.2004062083034674</c:v>
                </c:pt>
                <c:pt idx="381">
                  <c:v>2.1975967870470656</c:v>
                </c:pt>
                <c:pt idx="382">
                  <c:v>2.1928025384468945</c:v>
                </c:pt>
                <c:pt idx="383">
                  <c:v>2.1871212702711547</c:v>
                </c:pt>
                <c:pt idx="384">
                  <c:v>2.1855097049776888</c:v>
                </c:pt>
                <c:pt idx="385">
                  <c:v>2.1836693262441136</c:v>
                </c:pt>
                <c:pt idx="386">
                  <c:v>2.1819836973479676</c:v>
                </c:pt>
                <c:pt idx="387">
                  <c:v>2.1804639268394523</c:v>
                </c:pt>
                <c:pt idx="388">
                  <c:v>2.1795435775466885</c:v>
                </c:pt>
                <c:pt idx="389">
                  <c:v>2.1780669532847998</c:v>
                </c:pt>
                <c:pt idx="390">
                  <c:v>2.1764029289793445</c:v>
                </c:pt>
                <c:pt idx="391">
                  <c:v>2.1745324056688276</c:v>
                </c:pt>
                <c:pt idx="392">
                  <c:v>2.1742721892315382</c:v>
                </c:pt>
                <c:pt idx="393">
                  <c:v>2.1747399187229575</c:v>
                </c:pt>
                <c:pt idx="394">
                  <c:v>2.1752371649671232</c:v>
                </c:pt>
                <c:pt idx="395">
                  <c:v>2.1758095019386494</c:v>
                </c:pt>
                <c:pt idx="396">
                  <c:v>2.1754263527409803</c:v>
                </c:pt>
                <c:pt idx="397">
                  <c:v>2.1749824579336812</c:v>
                </c:pt>
                <c:pt idx="398">
                  <c:v>2.1734091633795587</c:v>
                </c:pt>
                <c:pt idx="399">
                  <c:v>2.1709536226261537</c:v>
                </c:pt>
                <c:pt idx="400">
                  <c:v>2.174164781905235</c:v>
                </c:pt>
                <c:pt idx="401">
                  <c:v>2.1718164298412961</c:v>
                </c:pt>
                <c:pt idx="402">
                  <c:v>2.168061818547256</c:v>
                </c:pt>
                <c:pt idx="403">
                  <c:v>2.1623329663813671</c:v>
                </c:pt>
                <c:pt idx="404">
                  <c:v>2.1630859947529135</c:v>
                </c:pt>
                <c:pt idx="405">
                  <c:v>2.1629110702048902</c:v>
                </c:pt>
                <c:pt idx="406">
                  <c:v>2.1637627147686636</c:v>
                </c:pt>
                <c:pt idx="407">
                  <c:v>2.1626089914023807</c:v>
                </c:pt>
                <c:pt idx="408">
                  <c:v>2.1622611483843208</c:v>
                </c:pt>
                <c:pt idx="409">
                  <c:v>2.1643851126253173</c:v>
                </c:pt>
                <c:pt idx="410">
                  <c:v>2.1677441465399463</c:v>
                </c:pt>
                <c:pt idx="411">
                  <c:v>2.1683862201100843</c:v>
                </c:pt>
                <c:pt idx="412">
                  <c:v>2.1687714685925759</c:v>
                </c:pt>
                <c:pt idx="413">
                  <c:v>2.1672512869591225</c:v>
                </c:pt>
                <c:pt idx="414">
                  <c:v>2.1658012420905486</c:v>
                </c:pt>
                <c:pt idx="415">
                  <c:v>2.1653536529706705</c:v>
                </c:pt>
                <c:pt idx="416">
                  <c:v>2.1669197058050158</c:v>
                </c:pt>
                <c:pt idx="417">
                  <c:v>2.1713281237185722</c:v>
                </c:pt>
                <c:pt idx="418">
                  <c:v>2.1713616837269121</c:v>
                </c:pt>
                <c:pt idx="419">
                  <c:v>2.1697524809459803</c:v>
                </c:pt>
                <c:pt idx="420">
                  <c:v>2.1686323026759653</c:v>
                </c:pt>
                <c:pt idx="421">
                  <c:v>2.1683713218470682</c:v>
                </c:pt>
                <c:pt idx="422">
                  <c:v>2.1699418559672052</c:v>
                </c:pt>
                <c:pt idx="423">
                  <c:v>2.170426216605462</c:v>
                </c:pt>
                <c:pt idx="424">
                  <c:v>2.1707335516595161</c:v>
                </c:pt>
                <c:pt idx="425">
                  <c:v>2.1713652177237854</c:v>
                </c:pt>
                <c:pt idx="426">
                  <c:v>2.1741210144004395</c:v>
                </c:pt>
                <c:pt idx="427">
                  <c:v>2.1740545865140399</c:v>
                </c:pt>
                <c:pt idx="428">
                  <c:v>2.1739653451820717</c:v>
                </c:pt>
                <c:pt idx="429">
                  <c:v>2.1728845244883335</c:v>
                </c:pt>
                <c:pt idx="430">
                  <c:v>2.1722559377607169</c:v>
                </c:pt>
                <c:pt idx="431">
                  <c:v>2.1724263659695344</c:v>
                </c:pt>
                <c:pt idx="432">
                  <c:v>2.1718725735924074</c:v>
                </c:pt>
                <c:pt idx="433">
                  <c:v>2.1718671383770931</c:v>
                </c:pt>
                <c:pt idx="434">
                  <c:v>2.1719822599147056</c:v>
                </c:pt>
                <c:pt idx="435">
                  <c:v>2.1715984023943031</c:v>
                </c:pt>
                <c:pt idx="436">
                  <c:v>2.1715864395294533</c:v>
                </c:pt>
                <c:pt idx="437">
                  <c:v>2.1709752219713296</c:v>
                </c:pt>
                <c:pt idx="438">
                  <c:v>2.1705319816940216</c:v>
                </c:pt>
                <c:pt idx="439">
                  <c:v>2.1704828540211154</c:v>
                </c:pt>
                <c:pt idx="440">
                  <c:v>2.170453546918194</c:v>
                </c:pt>
                <c:pt idx="441">
                  <c:v>2.1703595114587713</c:v>
                </c:pt>
                <c:pt idx="442">
                  <c:v>2.1696075155705019</c:v>
                </c:pt>
                <c:pt idx="443">
                  <c:v>2.1690299135568143</c:v>
                </c:pt>
                <c:pt idx="444">
                  <c:v>2.1682290495255518</c:v>
                </c:pt>
                <c:pt idx="445">
                  <c:v>2.1678393629211077</c:v>
                </c:pt>
                <c:pt idx="446">
                  <c:v>2.1674256112804504</c:v>
                </c:pt>
                <c:pt idx="447">
                  <c:v>2.1666662870958961</c:v>
                </c:pt>
                <c:pt idx="448">
                  <c:v>2.1670894389438562</c:v>
                </c:pt>
                <c:pt idx="449">
                  <c:v>2.1687988926596833</c:v>
                </c:pt>
                <c:pt idx="450">
                  <c:v>2.1694765927651369</c:v>
                </c:pt>
                <c:pt idx="451">
                  <c:v>2.1700936603737344</c:v>
                </c:pt>
                <c:pt idx="452">
                  <c:v>2.1698977709731788</c:v>
                </c:pt>
                <c:pt idx="453">
                  <c:v>2.1698049715924115</c:v>
                </c:pt>
                <c:pt idx="454">
                  <c:v>2.1693804401393044</c:v>
                </c:pt>
                <c:pt idx="455">
                  <c:v>2.1692442133070573</c:v>
                </c:pt>
                <c:pt idx="456">
                  <c:v>2.1665291896745158</c:v>
                </c:pt>
                <c:pt idx="457">
                  <c:v>2.1660672122396591</c:v>
                </c:pt>
                <c:pt idx="458">
                  <c:v>2.1636491076167776</c:v>
                </c:pt>
                <c:pt idx="459">
                  <c:v>2.158410250961468</c:v>
                </c:pt>
                <c:pt idx="460">
                  <c:v>2.1531248958497726</c:v>
                </c:pt>
                <c:pt idx="461">
                  <c:v>2.1466394895915726</c:v>
                </c:pt>
                <c:pt idx="462">
                  <c:v>2.133817392184937</c:v>
                </c:pt>
                <c:pt idx="463">
                  <c:v>2.1233512421791452</c:v>
                </c:pt>
                <c:pt idx="464">
                  <c:v>2.1232953606601108</c:v>
                </c:pt>
                <c:pt idx="465">
                  <c:v>2.1222019489466719</c:v>
                </c:pt>
                <c:pt idx="466">
                  <c:v>2.122796019653133</c:v>
                </c:pt>
                <c:pt idx="467">
                  <c:v>2.1230504606360778</c:v>
                </c:pt>
                <c:pt idx="468">
                  <c:v>2.1224482692081952</c:v>
                </c:pt>
                <c:pt idx="469">
                  <c:v>2.1224133877294133</c:v>
                </c:pt>
                <c:pt idx="470">
                  <c:v>2.1223980467050625</c:v>
                </c:pt>
                <c:pt idx="471">
                  <c:v>2.1226935323260969</c:v>
                </c:pt>
                <c:pt idx="472">
                  <c:v>2.122926667787743</c:v>
                </c:pt>
                <c:pt idx="473">
                  <c:v>2.1241274358301112</c:v>
                </c:pt>
                <c:pt idx="474">
                  <c:v>2.1272666964877209</c:v>
                </c:pt>
                <c:pt idx="475">
                  <c:v>2.1276467268140453</c:v>
                </c:pt>
                <c:pt idx="476">
                  <c:v>2.1316686599492094</c:v>
                </c:pt>
                <c:pt idx="477">
                  <c:v>2.1375046745052044</c:v>
                </c:pt>
                <c:pt idx="478">
                  <c:v>2.1455356362684284</c:v>
                </c:pt>
                <c:pt idx="479">
                  <c:v>2.1484598891385769</c:v>
                </c:pt>
                <c:pt idx="480">
                  <c:v>2.1524225467424554</c:v>
                </c:pt>
                <c:pt idx="481">
                  <c:v>2.1550296250624741</c:v>
                </c:pt>
                <c:pt idx="482">
                  <c:v>2.1569435979168432</c:v>
                </c:pt>
                <c:pt idx="483">
                  <c:v>2.1592099490883085</c:v>
                </c:pt>
                <c:pt idx="484">
                  <c:v>2.1625089109844144</c:v>
                </c:pt>
                <c:pt idx="485">
                  <c:v>2.1648802201244681</c:v>
                </c:pt>
                <c:pt idx="486">
                  <c:v>2.1701720806247917</c:v>
                </c:pt>
                <c:pt idx="487">
                  <c:v>2.1734785239911818</c:v>
                </c:pt>
                <c:pt idx="488">
                  <c:v>2.177157667682788</c:v>
                </c:pt>
                <c:pt idx="489">
                  <c:v>2.1807515300324201</c:v>
                </c:pt>
                <c:pt idx="490">
                  <c:v>2.1855102402970981</c:v>
                </c:pt>
                <c:pt idx="491">
                  <c:v>2.1892036752086472</c:v>
                </c:pt>
                <c:pt idx="492">
                  <c:v>2.1913847518815741</c:v>
                </c:pt>
                <c:pt idx="493">
                  <c:v>2.1930696519547066</c:v>
                </c:pt>
                <c:pt idx="494">
                  <c:v>2.1983051874719326</c:v>
                </c:pt>
                <c:pt idx="495">
                  <c:v>2.203653046201465</c:v>
                </c:pt>
                <c:pt idx="496">
                  <c:v>2.208249573131245</c:v>
                </c:pt>
                <c:pt idx="497">
                  <c:v>2.2113052363642689</c:v>
                </c:pt>
                <c:pt idx="498">
                  <c:v>2.2129141595349977</c:v>
                </c:pt>
                <c:pt idx="499">
                  <c:v>2.2135918699347763</c:v>
                </c:pt>
                <c:pt idx="500">
                  <c:v>2.2146369921203179</c:v>
                </c:pt>
                <c:pt idx="501">
                  <c:v>2.2132519414418939</c:v>
                </c:pt>
                <c:pt idx="502">
                  <c:v>2.2143972996016119</c:v>
                </c:pt>
                <c:pt idx="503">
                  <c:v>2.2142113713477594</c:v>
                </c:pt>
                <c:pt idx="504">
                  <c:v>2.2175341626972096</c:v>
                </c:pt>
                <c:pt idx="505">
                  <c:v>2.2184395562890891</c:v>
                </c:pt>
                <c:pt idx="506">
                  <c:v>2.2126293175918446</c:v>
                </c:pt>
                <c:pt idx="507">
                  <c:v>2.210879991819688</c:v>
                </c:pt>
                <c:pt idx="508">
                  <c:v>2.2126856498239551</c:v>
                </c:pt>
                <c:pt idx="509">
                  <c:v>2.21365016112772</c:v>
                </c:pt>
                <c:pt idx="510">
                  <c:v>2.2167701151878596</c:v>
                </c:pt>
                <c:pt idx="511">
                  <c:v>2.2176809721429107</c:v>
                </c:pt>
                <c:pt idx="512">
                  <c:v>2.2153773292020307</c:v>
                </c:pt>
                <c:pt idx="513">
                  <c:v>2.2138727407824654</c:v>
                </c:pt>
                <c:pt idx="514">
                  <c:v>2.2134220435432681</c:v>
                </c:pt>
                <c:pt idx="515">
                  <c:v>2.2092168496856952</c:v>
                </c:pt>
                <c:pt idx="516">
                  <c:v>2.2068624053321262</c:v>
                </c:pt>
                <c:pt idx="517">
                  <c:v>2.1970777675895623</c:v>
                </c:pt>
                <c:pt idx="518">
                  <c:v>2.1887364281611594</c:v>
                </c:pt>
                <c:pt idx="519">
                  <c:v>2.1803593342103005</c:v>
                </c:pt>
                <c:pt idx="520">
                  <c:v>2.173605782483834</c:v>
                </c:pt>
                <c:pt idx="521">
                  <c:v>2.1671010100229409</c:v>
                </c:pt>
                <c:pt idx="522">
                  <c:v>2.1626234883809619</c:v>
                </c:pt>
                <c:pt idx="523">
                  <c:v>2.158234883276692</c:v>
                </c:pt>
                <c:pt idx="524">
                  <c:v>2.15209433315025</c:v>
                </c:pt>
                <c:pt idx="525">
                  <c:v>2.1413687898547282</c:v>
                </c:pt>
                <c:pt idx="526">
                  <c:v>2.1314403300184539</c:v>
                </c:pt>
                <c:pt idx="527">
                  <c:v>2.1228536742392619</c:v>
                </c:pt>
                <c:pt idx="528">
                  <c:v>2.1168911097371481</c:v>
                </c:pt>
                <c:pt idx="529">
                  <c:v>2.10501700052603</c:v>
                </c:pt>
                <c:pt idx="530">
                  <c:v>2.0951283505925598</c:v>
                </c:pt>
                <c:pt idx="531">
                  <c:v>2.0870174865839299</c:v>
                </c:pt>
                <c:pt idx="532">
                  <c:v>2.0806383481684239</c:v>
                </c:pt>
                <c:pt idx="533">
                  <c:v>2.075365317632202</c:v>
                </c:pt>
                <c:pt idx="534">
                  <c:v>2.0704098491541862</c:v>
                </c:pt>
                <c:pt idx="535">
                  <c:v>2.0663229651505937</c:v>
                </c:pt>
                <c:pt idx="536">
                  <c:v>2.0638836064768382</c:v>
                </c:pt>
                <c:pt idx="537">
                  <c:v>2.0646374613125298</c:v>
                </c:pt>
                <c:pt idx="538">
                  <c:v>2.0657847872999699</c:v>
                </c:pt>
                <c:pt idx="539">
                  <c:v>2.0614437973983519</c:v>
                </c:pt>
                <c:pt idx="540">
                  <c:v>2.0563108587978101</c:v>
                </c:pt>
                <c:pt idx="541">
                  <c:v>2.0487489787059459</c:v>
                </c:pt>
                <c:pt idx="542">
                  <c:v>2.0415849641831403</c:v>
                </c:pt>
                <c:pt idx="543">
                  <c:v>2.033343960393152</c:v>
                </c:pt>
                <c:pt idx="544">
                  <c:v>2.0279405661508041</c:v>
                </c:pt>
                <c:pt idx="545">
                  <c:v>2.0229113167900281</c:v>
                </c:pt>
                <c:pt idx="546">
                  <c:v>2.0185894927672363</c:v>
                </c:pt>
                <c:pt idx="547">
                  <c:v>2.0134226811329343</c:v>
                </c:pt>
                <c:pt idx="548">
                  <c:v>2.0090850847273161</c:v>
                </c:pt>
                <c:pt idx="549">
                  <c:v>2.0041963055420018</c:v>
                </c:pt>
                <c:pt idx="550">
                  <c:v>1.998542542458144</c:v>
                </c:pt>
                <c:pt idx="551">
                  <c:v>1.9944559477411037</c:v>
                </c:pt>
                <c:pt idx="552">
                  <c:v>1.9909851870767159</c:v>
                </c:pt>
                <c:pt idx="553">
                  <c:v>1.9874977934649642</c:v>
                </c:pt>
                <c:pt idx="554">
                  <c:v>1.9852902380281938</c:v>
                </c:pt>
                <c:pt idx="555">
                  <c:v>1.981546148922712</c:v>
                </c:pt>
                <c:pt idx="556">
                  <c:v>1.9768793651382299</c:v>
                </c:pt>
                <c:pt idx="557">
                  <c:v>1.972753167100098</c:v>
                </c:pt>
                <c:pt idx="558">
                  <c:v>1.9681076961662818</c:v>
                </c:pt>
                <c:pt idx="559">
                  <c:v>1.9638676852993862</c:v>
                </c:pt>
                <c:pt idx="560">
                  <c:v>1.9588463050684661</c:v>
                </c:pt>
                <c:pt idx="561">
                  <c:v>1.952144995646508</c:v>
                </c:pt>
                <c:pt idx="562">
                  <c:v>1.9418449046790398</c:v>
                </c:pt>
                <c:pt idx="563">
                  <c:v>1.9317709691395162</c:v>
                </c:pt>
                <c:pt idx="564">
                  <c:v>1.9215441922816019</c:v>
                </c:pt>
                <c:pt idx="565">
                  <c:v>1.9152412203354439</c:v>
                </c:pt>
                <c:pt idx="566">
                  <c:v>1.9088470773000661</c:v>
                </c:pt>
                <c:pt idx="567">
                  <c:v>1.9061933605733739</c:v>
                </c:pt>
                <c:pt idx="568">
                  <c:v>1.9004952649973139</c:v>
                </c:pt>
                <c:pt idx="569">
                  <c:v>1.8923376252681701</c:v>
                </c:pt>
                <c:pt idx="570">
                  <c:v>1.8854542498943858</c:v>
                </c:pt>
                <c:pt idx="571">
                  <c:v>1.8757068112227759</c:v>
                </c:pt>
                <c:pt idx="572">
                  <c:v>1.86534458028573</c:v>
                </c:pt>
                <c:pt idx="573">
                  <c:v>1.854271083404144</c:v>
                </c:pt>
                <c:pt idx="574">
                  <c:v>1.8466278878013558</c:v>
                </c:pt>
                <c:pt idx="575">
                  <c:v>1.8383394667622679</c:v>
                </c:pt>
                <c:pt idx="576">
                  <c:v>1.829190740702662</c:v>
                </c:pt>
                <c:pt idx="577">
                  <c:v>1.8196631169139343</c:v>
                </c:pt>
                <c:pt idx="578">
                  <c:v>1.8106311299173659</c:v>
                </c:pt>
                <c:pt idx="579">
                  <c:v>1.8035336763193119</c:v>
                </c:pt>
                <c:pt idx="580">
                  <c:v>1.7956111465116038</c:v>
                </c:pt>
                <c:pt idx="581">
                  <c:v>1.7881676817273138</c:v>
                </c:pt>
                <c:pt idx="582">
                  <c:v>1.7852395498494198</c:v>
                </c:pt>
                <c:pt idx="583">
                  <c:v>1.7846623679329681</c:v>
                </c:pt>
                <c:pt idx="584">
                  <c:v>1.7845404537664142</c:v>
                </c:pt>
                <c:pt idx="585">
                  <c:v>1.7857658699775341</c:v>
                </c:pt>
                <c:pt idx="586">
                  <c:v>1.7887171315386703</c:v>
                </c:pt>
                <c:pt idx="587">
                  <c:v>1.7910822338440759</c:v>
                </c:pt>
                <c:pt idx="588">
                  <c:v>1.7928075576256799</c:v>
                </c:pt>
                <c:pt idx="589">
                  <c:v>1.7925272605914622</c:v>
                </c:pt>
                <c:pt idx="590">
                  <c:v>1.7938070179675223</c:v>
                </c:pt>
                <c:pt idx="591">
                  <c:v>1.7954280457615959</c:v>
                </c:pt>
                <c:pt idx="592">
                  <c:v>1.7956548517406301</c:v>
                </c:pt>
                <c:pt idx="593">
                  <c:v>1.7961414837468879</c:v>
                </c:pt>
                <c:pt idx="594">
                  <c:v>1.7965859600433081</c:v>
                </c:pt>
                <c:pt idx="595">
                  <c:v>1.7973374821024779</c:v>
                </c:pt>
                <c:pt idx="596">
                  <c:v>1.797973555795094</c:v>
                </c:pt>
                <c:pt idx="597">
                  <c:v>1.7978697489679218</c:v>
                </c:pt>
                <c:pt idx="598">
                  <c:v>1.7987774520733677</c:v>
                </c:pt>
                <c:pt idx="599">
                  <c:v>1.7991100333649039</c:v>
                </c:pt>
                <c:pt idx="600">
                  <c:v>1.7982811546594739</c:v>
                </c:pt>
                <c:pt idx="601">
                  <c:v>1.7979657469486359</c:v>
                </c:pt>
                <c:pt idx="602">
                  <c:v>1.7970100855263558</c:v>
                </c:pt>
                <c:pt idx="603">
                  <c:v>1.797663107475824</c:v>
                </c:pt>
                <c:pt idx="604">
                  <c:v>1.7969598406445919</c:v>
                </c:pt>
                <c:pt idx="605">
                  <c:v>1.7968359062965438</c:v>
                </c:pt>
                <c:pt idx="606">
                  <c:v>1.7966087343146717</c:v>
                </c:pt>
                <c:pt idx="607">
                  <c:v>1.7968599031156343</c:v>
                </c:pt>
                <c:pt idx="608">
                  <c:v>1.7976423389158922</c:v>
                </c:pt>
                <c:pt idx="609">
                  <c:v>1.7977062133865438</c:v>
                </c:pt>
                <c:pt idx="610">
                  <c:v>1.7979806696570879</c:v>
                </c:pt>
                <c:pt idx="611">
                  <c:v>1.7987735705149306</c:v>
                </c:pt>
                <c:pt idx="612">
                  <c:v>1.7987505886418282</c:v>
                </c:pt>
                <c:pt idx="613">
                  <c:v>1.7981850405968773</c:v>
                </c:pt>
                <c:pt idx="614">
                  <c:v>1.7980890640179419</c:v>
                </c:pt>
                <c:pt idx="615">
                  <c:v>1.7972436747306035</c:v>
                </c:pt>
                <c:pt idx="616">
                  <c:v>1.7966607467986038</c:v>
                </c:pt>
                <c:pt idx="617">
                  <c:v>1.7943937081748516</c:v>
                </c:pt>
                <c:pt idx="618">
                  <c:v>1.7923938171907758</c:v>
                </c:pt>
                <c:pt idx="619">
                  <c:v>1.7925240152088275</c:v>
                </c:pt>
                <c:pt idx="620">
                  <c:v>1.7925643485541038</c:v>
                </c:pt>
                <c:pt idx="621">
                  <c:v>1.79354297146415</c:v>
                </c:pt>
                <c:pt idx="622">
                  <c:v>1.7927944258202477</c:v>
                </c:pt>
                <c:pt idx="623">
                  <c:v>1.792700359603614</c:v>
                </c:pt>
                <c:pt idx="624">
                  <c:v>1.7934257621822804</c:v>
                </c:pt>
                <c:pt idx="625">
                  <c:v>1.7937331932701253</c:v>
                </c:pt>
                <c:pt idx="626">
                  <c:v>1.7959388035277388</c:v>
                </c:pt>
                <c:pt idx="627">
                  <c:v>1.7986390913371195</c:v>
                </c:pt>
                <c:pt idx="628">
                  <c:v>1.8009578246495435</c:v>
                </c:pt>
                <c:pt idx="629">
                  <c:v>1.8047473483509824</c:v>
                </c:pt>
                <c:pt idx="630">
                  <c:v>1.8072939497005551</c:v>
                </c:pt>
                <c:pt idx="631">
                  <c:v>1.8090613498913108</c:v>
                </c:pt>
                <c:pt idx="632">
                  <c:v>1.8099625221471674</c:v>
                </c:pt>
                <c:pt idx="633">
                  <c:v>1.8081653754448583</c:v>
                </c:pt>
                <c:pt idx="634">
                  <c:v>1.8087682592717051</c:v>
                </c:pt>
                <c:pt idx="635">
                  <c:v>1.8076793268443536</c:v>
                </c:pt>
                <c:pt idx="636">
                  <c:v>1.8072085770303992</c:v>
                </c:pt>
                <c:pt idx="637">
                  <c:v>1.8076319958312459</c:v>
                </c:pt>
                <c:pt idx="638">
                  <c:v>1.8084256956711073</c:v>
                </c:pt>
                <c:pt idx="639">
                  <c:v>1.8095122372148771</c:v>
                </c:pt>
                <c:pt idx="640">
                  <c:v>1.8101514476692864</c:v>
                </c:pt>
                <c:pt idx="641">
                  <c:v>1.81122601799967</c:v>
                </c:pt>
                <c:pt idx="642">
                  <c:v>1.8119331791749447</c:v>
                </c:pt>
                <c:pt idx="643">
                  <c:v>1.8142414374716929</c:v>
                </c:pt>
                <c:pt idx="644">
                  <c:v>1.8168880963645275</c:v>
                </c:pt>
                <c:pt idx="645">
                  <c:v>1.8195924686636664</c:v>
                </c:pt>
                <c:pt idx="646">
                  <c:v>1.8244028172621896</c:v>
                </c:pt>
                <c:pt idx="647">
                  <c:v>1.8276059669972837</c:v>
                </c:pt>
                <c:pt idx="648">
                  <c:v>1.8330818245970573</c:v>
                </c:pt>
                <c:pt idx="649">
                  <c:v>1.8382757941546211</c:v>
                </c:pt>
                <c:pt idx="650">
                  <c:v>1.8450130215125566</c:v>
                </c:pt>
                <c:pt idx="651">
                  <c:v>1.8499562325604684</c:v>
                </c:pt>
                <c:pt idx="652">
                  <c:v>1.8566160823157669</c:v>
                </c:pt>
                <c:pt idx="653">
                  <c:v>1.862308557407621</c:v>
                </c:pt>
                <c:pt idx="654">
                  <c:v>1.8653601444673058</c:v>
                </c:pt>
                <c:pt idx="655">
                  <c:v>1.8699044054868768</c:v>
                </c:pt>
                <c:pt idx="656">
                  <c:v>1.8726294778937773</c:v>
                </c:pt>
                <c:pt idx="657">
                  <c:v>1.8711181253471718</c:v>
                </c:pt>
                <c:pt idx="658">
                  <c:v>1.8702789534929989</c:v>
                </c:pt>
                <c:pt idx="659">
                  <c:v>1.8698986760541627</c:v>
                </c:pt>
                <c:pt idx="660">
                  <c:v>1.8643366575882558</c:v>
                </c:pt>
                <c:pt idx="661">
                  <c:v>0</c:v>
                </c:pt>
              </c:numCache>
            </c:numRef>
          </c:val>
        </c:ser>
        <c:ser>
          <c:idx val="3"/>
          <c:order val="3"/>
          <c:tx>
            <c:strRef>
              <c:f>グラフ!$G$41</c:f>
              <c:strCache>
                <c:ptCount val="1"/>
                <c:pt idx="0">
                  <c:v>saya_divide_mean</c:v>
                </c:pt>
              </c:strCache>
            </c:strRef>
          </c:tx>
          <c:spPr>
            <a:ln w="19050">
              <a:solidFill>
                <a:schemeClr val="accent4">
                  <a:lumMod val="40000"/>
                  <a:lumOff val="60000"/>
                  <a:alpha val="86000"/>
                </a:schemeClr>
              </a:solidFill>
            </a:ln>
          </c:spPr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  <c:pt idx="0">
                  <c:v>43755</c:v>
                </c:pt>
                <c:pt idx="1">
                  <c:v>43754</c:v>
                </c:pt>
                <c:pt idx="2">
                  <c:v>43753</c:v>
                </c:pt>
                <c:pt idx="3">
                  <c:v>43749</c:v>
                </c:pt>
                <c:pt idx="4">
                  <c:v>43748</c:v>
                </c:pt>
                <c:pt idx="5">
                  <c:v>43747</c:v>
                </c:pt>
                <c:pt idx="6">
                  <c:v>43746</c:v>
                </c:pt>
                <c:pt idx="7">
                  <c:v>43745</c:v>
                </c:pt>
                <c:pt idx="8">
                  <c:v>43742</c:v>
                </c:pt>
                <c:pt idx="9">
                  <c:v>43741</c:v>
                </c:pt>
                <c:pt idx="10">
                  <c:v>43740</c:v>
                </c:pt>
                <c:pt idx="11">
                  <c:v>43739</c:v>
                </c:pt>
                <c:pt idx="12">
                  <c:v>43738</c:v>
                </c:pt>
                <c:pt idx="13">
                  <c:v>43735</c:v>
                </c:pt>
                <c:pt idx="14">
                  <c:v>43734</c:v>
                </c:pt>
                <c:pt idx="15">
                  <c:v>43733</c:v>
                </c:pt>
                <c:pt idx="16">
                  <c:v>43732</c:v>
                </c:pt>
                <c:pt idx="17">
                  <c:v>43728</c:v>
                </c:pt>
                <c:pt idx="18">
                  <c:v>43727</c:v>
                </c:pt>
                <c:pt idx="19">
                  <c:v>43726</c:v>
                </c:pt>
                <c:pt idx="20">
                  <c:v>43725</c:v>
                </c:pt>
                <c:pt idx="21">
                  <c:v>43721</c:v>
                </c:pt>
                <c:pt idx="22">
                  <c:v>43720</c:v>
                </c:pt>
                <c:pt idx="23">
                  <c:v>43719</c:v>
                </c:pt>
                <c:pt idx="24">
                  <c:v>43718</c:v>
                </c:pt>
                <c:pt idx="25">
                  <c:v>43717</c:v>
                </c:pt>
                <c:pt idx="26">
                  <c:v>43714</c:v>
                </c:pt>
                <c:pt idx="27">
                  <c:v>43713</c:v>
                </c:pt>
                <c:pt idx="28">
                  <c:v>43712</c:v>
                </c:pt>
                <c:pt idx="29">
                  <c:v>43711</c:v>
                </c:pt>
                <c:pt idx="30">
                  <c:v>43710</c:v>
                </c:pt>
                <c:pt idx="31">
                  <c:v>43707</c:v>
                </c:pt>
                <c:pt idx="32">
                  <c:v>43706</c:v>
                </c:pt>
                <c:pt idx="33">
                  <c:v>43705</c:v>
                </c:pt>
                <c:pt idx="34">
                  <c:v>43704</c:v>
                </c:pt>
                <c:pt idx="35">
                  <c:v>43703</c:v>
                </c:pt>
                <c:pt idx="36">
                  <c:v>43700</c:v>
                </c:pt>
                <c:pt idx="37">
                  <c:v>43699</c:v>
                </c:pt>
                <c:pt idx="38">
                  <c:v>43698</c:v>
                </c:pt>
                <c:pt idx="39">
                  <c:v>43697</c:v>
                </c:pt>
                <c:pt idx="40">
                  <c:v>43696</c:v>
                </c:pt>
                <c:pt idx="41">
                  <c:v>43693</c:v>
                </c:pt>
                <c:pt idx="42">
                  <c:v>43692</c:v>
                </c:pt>
                <c:pt idx="43">
                  <c:v>43691</c:v>
                </c:pt>
                <c:pt idx="44">
                  <c:v>43690</c:v>
                </c:pt>
                <c:pt idx="45">
                  <c:v>43686</c:v>
                </c:pt>
                <c:pt idx="46">
                  <c:v>43685</c:v>
                </c:pt>
                <c:pt idx="47">
                  <c:v>43684</c:v>
                </c:pt>
                <c:pt idx="48">
                  <c:v>43683</c:v>
                </c:pt>
                <c:pt idx="49">
                  <c:v>43682</c:v>
                </c:pt>
                <c:pt idx="50">
                  <c:v>43679</c:v>
                </c:pt>
                <c:pt idx="51">
                  <c:v>43678</c:v>
                </c:pt>
                <c:pt idx="52">
                  <c:v>43677</c:v>
                </c:pt>
                <c:pt idx="53">
                  <c:v>43676</c:v>
                </c:pt>
                <c:pt idx="54">
                  <c:v>43675</c:v>
                </c:pt>
                <c:pt idx="55">
                  <c:v>43672</c:v>
                </c:pt>
                <c:pt idx="56">
                  <c:v>43671</c:v>
                </c:pt>
                <c:pt idx="57">
                  <c:v>43670</c:v>
                </c:pt>
                <c:pt idx="58">
                  <c:v>43669</c:v>
                </c:pt>
                <c:pt idx="59">
                  <c:v>43668</c:v>
                </c:pt>
                <c:pt idx="60">
                  <c:v>43665</c:v>
                </c:pt>
                <c:pt idx="61">
                  <c:v>43664</c:v>
                </c:pt>
                <c:pt idx="62">
                  <c:v>43663</c:v>
                </c:pt>
                <c:pt idx="63">
                  <c:v>43662</c:v>
                </c:pt>
                <c:pt idx="64">
                  <c:v>43658</c:v>
                </c:pt>
                <c:pt idx="65">
                  <c:v>43657</c:v>
                </c:pt>
                <c:pt idx="66">
                  <c:v>43656</c:v>
                </c:pt>
                <c:pt idx="67">
                  <c:v>43655</c:v>
                </c:pt>
                <c:pt idx="68">
                  <c:v>43654</c:v>
                </c:pt>
                <c:pt idx="69">
                  <c:v>43651</c:v>
                </c:pt>
                <c:pt idx="70">
                  <c:v>43650</c:v>
                </c:pt>
                <c:pt idx="71">
                  <c:v>43649</c:v>
                </c:pt>
                <c:pt idx="72">
                  <c:v>43648</c:v>
                </c:pt>
                <c:pt idx="73">
                  <c:v>43647</c:v>
                </c:pt>
                <c:pt idx="74">
                  <c:v>43644</c:v>
                </c:pt>
                <c:pt idx="75">
                  <c:v>43643</c:v>
                </c:pt>
                <c:pt idx="76">
                  <c:v>43642</c:v>
                </c:pt>
                <c:pt idx="77">
                  <c:v>43641</c:v>
                </c:pt>
                <c:pt idx="78">
                  <c:v>43640</c:v>
                </c:pt>
                <c:pt idx="79">
                  <c:v>43637</c:v>
                </c:pt>
                <c:pt idx="80">
                  <c:v>43636</c:v>
                </c:pt>
                <c:pt idx="81">
                  <c:v>43635</c:v>
                </c:pt>
                <c:pt idx="82">
                  <c:v>43634</c:v>
                </c:pt>
                <c:pt idx="83">
                  <c:v>43633</c:v>
                </c:pt>
                <c:pt idx="84">
                  <c:v>43630</c:v>
                </c:pt>
                <c:pt idx="85">
                  <c:v>43629</c:v>
                </c:pt>
                <c:pt idx="86">
                  <c:v>43628</c:v>
                </c:pt>
                <c:pt idx="87">
                  <c:v>43627</c:v>
                </c:pt>
                <c:pt idx="88">
                  <c:v>43626</c:v>
                </c:pt>
                <c:pt idx="89">
                  <c:v>43623</c:v>
                </c:pt>
                <c:pt idx="90">
                  <c:v>43622</c:v>
                </c:pt>
                <c:pt idx="91">
                  <c:v>43621</c:v>
                </c:pt>
                <c:pt idx="92">
                  <c:v>43620</c:v>
                </c:pt>
                <c:pt idx="93">
                  <c:v>43619</c:v>
                </c:pt>
                <c:pt idx="94">
                  <c:v>43616</c:v>
                </c:pt>
                <c:pt idx="95">
                  <c:v>43615</c:v>
                </c:pt>
                <c:pt idx="96">
                  <c:v>43614</c:v>
                </c:pt>
                <c:pt idx="97">
                  <c:v>43613</c:v>
                </c:pt>
                <c:pt idx="98">
                  <c:v>43612</c:v>
                </c:pt>
                <c:pt idx="99">
                  <c:v>43609</c:v>
                </c:pt>
                <c:pt idx="100">
                  <c:v>43608</c:v>
                </c:pt>
                <c:pt idx="101">
                  <c:v>43607</c:v>
                </c:pt>
                <c:pt idx="102">
                  <c:v>43606</c:v>
                </c:pt>
                <c:pt idx="103">
                  <c:v>43605</c:v>
                </c:pt>
                <c:pt idx="104">
                  <c:v>43602</c:v>
                </c:pt>
                <c:pt idx="105">
                  <c:v>43601</c:v>
                </c:pt>
                <c:pt idx="106">
                  <c:v>43600</c:v>
                </c:pt>
                <c:pt idx="107">
                  <c:v>43599</c:v>
                </c:pt>
                <c:pt idx="108">
                  <c:v>43598</c:v>
                </c:pt>
                <c:pt idx="109">
                  <c:v>43595</c:v>
                </c:pt>
                <c:pt idx="110">
                  <c:v>43594</c:v>
                </c:pt>
                <c:pt idx="111">
                  <c:v>43593</c:v>
                </c:pt>
                <c:pt idx="112">
                  <c:v>43592</c:v>
                </c:pt>
                <c:pt idx="113">
                  <c:v>43581</c:v>
                </c:pt>
                <c:pt idx="114">
                  <c:v>43580</c:v>
                </c:pt>
                <c:pt idx="115">
                  <c:v>43579</c:v>
                </c:pt>
                <c:pt idx="116">
                  <c:v>43578</c:v>
                </c:pt>
                <c:pt idx="117">
                  <c:v>43577</c:v>
                </c:pt>
                <c:pt idx="118">
                  <c:v>43574</c:v>
                </c:pt>
                <c:pt idx="119">
                  <c:v>43573</c:v>
                </c:pt>
                <c:pt idx="120">
                  <c:v>43572</c:v>
                </c:pt>
                <c:pt idx="121">
                  <c:v>43571</c:v>
                </c:pt>
                <c:pt idx="122">
                  <c:v>43570</c:v>
                </c:pt>
                <c:pt idx="123">
                  <c:v>43567</c:v>
                </c:pt>
                <c:pt idx="124">
                  <c:v>43566</c:v>
                </c:pt>
                <c:pt idx="125">
                  <c:v>43565</c:v>
                </c:pt>
                <c:pt idx="126">
                  <c:v>43564</c:v>
                </c:pt>
                <c:pt idx="127">
                  <c:v>43563</c:v>
                </c:pt>
                <c:pt idx="128">
                  <c:v>43560</c:v>
                </c:pt>
                <c:pt idx="129">
                  <c:v>43559</c:v>
                </c:pt>
                <c:pt idx="130">
                  <c:v>43558</c:v>
                </c:pt>
                <c:pt idx="131">
                  <c:v>43557</c:v>
                </c:pt>
                <c:pt idx="132">
                  <c:v>43556</c:v>
                </c:pt>
                <c:pt idx="133">
                  <c:v>43553</c:v>
                </c:pt>
                <c:pt idx="134">
                  <c:v>43552</c:v>
                </c:pt>
                <c:pt idx="135">
                  <c:v>43551</c:v>
                </c:pt>
                <c:pt idx="136">
                  <c:v>43550</c:v>
                </c:pt>
                <c:pt idx="137">
                  <c:v>43549</c:v>
                </c:pt>
                <c:pt idx="138">
                  <c:v>43546</c:v>
                </c:pt>
                <c:pt idx="139">
                  <c:v>43544</c:v>
                </c:pt>
                <c:pt idx="140">
                  <c:v>43543</c:v>
                </c:pt>
                <c:pt idx="141">
                  <c:v>43542</c:v>
                </c:pt>
                <c:pt idx="142">
                  <c:v>43539</c:v>
                </c:pt>
                <c:pt idx="143">
                  <c:v>43538</c:v>
                </c:pt>
                <c:pt idx="144">
                  <c:v>43537</c:v>
                </c:pt>
                <c:pt idx="145">
                  <c:v>43536</c:v>
                </c:pt>
                <c:pt idx="146">
                  <c:v>43535</c:v>
                </c:pt>
                <c:pt idx="147">
                  <c:v>43532</c:v>
                </c:pt>
                <c:pt idx="148">
                  <c:v>43531</c:v>
                </c:pt>
                <c:pt idx="149">
                  <c:v>43530</c:v>
                </c:pt>
                <c:pt idx="150">
                  <c:v>43529</c:v>
                </c:pt>
                <c:pt idx="151">
                  <c:v>43528</c:v>
                </c:pt>
                <c:pt idx="152">
                  <c:v>43525</c:v>
                </c:pt>
                <c:pt idx="153">
                  <c:v>43524</c:v>
                </c:pt>
                <c:pt idx="154">
                  <c:v>43523</c:v>
                </c:pt>
                <c:pt idx="155">
                  <c:v>43522</c:v>
                </c:pt>
                <c:pt idx="156">
                  <c:v>43521</c:v>
                </c:pt>
                <c:pt idx="157">
                  <c:v>43518</c:v>
                </c:pt>
                <c:pt idx="158">
                  <c:v>43517</c:v>
                </c:pt>
                <c:pt idx="159">
                  <c:v>43516</c:v>
                </c:pt>
                <c:pt idx="160">
                  <c:v>43515</c:v>
                </c:pt>
                <c:pt idx="161">
                  <c:v>43514</c:v>
                </c:pt>
                <c:pt idx="162">
                  <c:v>43511</c:v>
                </c:pt>
                <c:pt idx="163">
                  <c:v>43510</c:v>
                </c:pt>
                <c:pt idx="164">
                  <c:v>43509</c:v>
                </c:pt>
                <c:pt idx="165">
                  <c:v>43508</c:v>
                </c:pt>
                <c:pt idx="166">
                  <c:v>43504</c:v>
                </c:pt>
                <c:pt idx="167">
                  <c:v>43503</c:v>
                </c:pt>
                <c:pt idx="168">
                  <c:v>43502</c:v>
                </c:pt>
                <c:pt idx="169">
                  <c:v>43501</c:v>
                </c:pt>
                <c:pt idx="170">
                  <c:v>43500</c:v>
                </c:pt>
                <c:pt idx="171">
                  <c:v>43497</c:v>
                </c:pt>
                <c:pt idx="172">
                  <c:v>43496</c:v>
                </c:pt>
                <c:pt idx="173">
                  <c:v>43495</c:v>
                </c:pt>
                <c:pt idx="174">
                  <c:v>43494</c:v>
                </c:pt>
                <c:pt idx="175">
                  <c:v>43493</c:v>
                </c:pt>
                <c:pt idx="176">
                  <c:v>43490</c:v>
                </c:pt>
                <c:pt idx="177">
                  <c:v>43489</c:v>
                </c:pt>
                <c:pt idx="178">
                  <c:v>43488</c:v>
                </c:pt>
                <c:pt idx="179">
                  <c:v>43487</c:v>
                </c:pt>
                <c:pt idx="180">
                  <c:v>43486</c:v>
                </c:pt>
                <c:pt idx="181">
                  <c:v>43483</c:v>
                </c:pt>
                <c:pt idx="182">
                  <c:v>43482</c:v>
                </c:pt>
                <c:pt idx="183">
                  <c:v>43481</c:v>
                </c:pt>
                <c:pt idx="184">
                  <c:v>43480</c:v>
                </c:pt>
                <c:pt idx="185">
                  <c:v>43476</c:v>
                </c:pt>
                <c:pt idx="186">
                  <c:v>43475</c:v>
                </c:pt>
                <c:pt idx="187">
                  <c:v>43474</c:v>
                </c:pt>
                <c:pt idx="188">
                  <c:v>43473</c:v>
                </c:pt>
                <c:pt idx="189">
                  <c:v>43472</c:v>
                </c:pt>
                <c:pt idx="190">
                  <c:v>43469</c:v>
                </c:pt>
                <c:pt idx="191">
                  <c:v>43462</c:v>
                </c:pt>
                <c:pt idx="192">
                  <c:v>43461</c:v>
                </c:pt>
                <c:pt idx="193">
                  <c:v>43460</c:v>
                </c:pt>
                <c:pt idx="194">
                  <c:v>43459</c:v>
                </c:pt>
                <c:pt idx="195">
                  <c:v>43455</c:v>
                </c:pt>
                <c:pt idx="196">
                  <c:v>43454</c:v>
                </c:pt>
                <c:pt idx="197">
                  <c:v>43453</c:v>
                </c:pt>
                <c:pt idx="198">
                  <c:v>43452</c:v>
                </c:pt>
                <c:pt idx="199">
                  <c:v>43451</c:v>
                </c:pt>
                <c:pt idx="200">
                  <c:v>43448</c:v>
                </c:pt>
                <c:pt idx="201">
                  <c:v>43447</c:v>
                </c:pt>
                <c:pt idx="202">
                  <c:v>43446</c:v>
                </c:pt>
                <c:pt idx="203">
                  <c:v>43445</c:v>
                </c:pt>
                <c:pt idx="204">
                  <c:v>43444</c:v>
                </c:pt>
                <c:pt idx="205">
                  <c:v>43441</c:v>
                </c:pt>
                <c:pt idx="206">
                  <c:v>43440</c:v>
                </c:pt>
                <c:pt idx="207">
                  <c:v>43439</c:v>
                </c:pt>
                <c:pt idx="208">
                  <c:v>43438</c:v>
                </c:pt>
                <c:pt idx="209">
                  <c:v>43437</c:v>
                </c:pt>
                <c:pt idx="210">
                  <c:v>43434</c:v>
                </c:pt>
                <c:pt idx="211">
                  <c:v>43433</c:v>
                </c:pt>
                <c:pt idx="212">
                  <c:v>43432</c:v>
                </c:pt>
                <c:pt idx="213">
                  <c:v>43431</c:v>
                </c:pt>
                <c:pt idx="214">
                  <c:v>43430</c:v>
                </c:pt>
                <c:pt idx="215">
                  <c:v>43426</c:v>
                </c:pt>
                <c:pt idx="216">
                  <c:v>43425</c:v>
                </c:pt>
                <c:pt idx="217">
                  <c:v>43424</c:v>
                </c:pt>
                <c:pt idx="218">
                  <c:v>43423</c:v>
                </c:pt>
                <c:pt idx="219">
                  <c:v>43420</c:v>
                </c:pt>
                <c:pt idx="220">
                  <c:v>43419</c:v>
                </c:pt>
                <c:pt idx="221">
                  <c:v>43418</c:v>
                </c:pt>
                <c:pt idx="222">
                  <c:v>43417</c:v>
                </c:pt>
                <c:pt idx="223">
                  <c:v>43416</c:v>
                </c:pt>
                <c:pt idx="224">
                  <c:v>43413</c:v>
                </c:pt>
                <c:pt idx="225">
                  <c:v>43412</c:v>
                </c:pt>
                <c:pt idx="226">
                  <c:v>43411</c:v>
                </c:pt>
                <c:pt idx="227">
                  <c:v>43410</c:v>
                </c:pt>
                <c:pt idx="228">
                  <c:v>43409</c:v>
                </c:pt>
                <c:pt idx="229">
                  <c:v>43406</c:v>
                </c:pt>
                <c:pt idx="230">
                  <c:v>43405</c:v>
                </c:pt>
                <c:pt idx="231">
                  <c:v>43404</c:v>
                </c:pt>
                <c:pt idx="232">
                  <c:v>43403</c:v>
                </c:pt>
                <c:pt idx="233">
                  <c:v>43402</c:v>
                </c:pt>
                <c:pt idx="234">
                  <c:v>43399</c:v>
                </c:pt>
                <c:pt idx="235">
                  <c:v>43398</c:v>
                </c:pt>
                <c:pt idx="236">
                  <c:v>43397</c:v>
                </c:pt>
                <c:pt idx="237">
                  <c:v>43396</c:v>
                </c:pt>
                <c:pt idx="238">
                  <c:v>43395</c:v>
                </c:pt>
                <c:pt idx="239">
                  <c:v>43392</c:v>
                </c:pt>
                <c:pt idx="240">
                  <c:v>43391</c:v>
                </c:pt>
                <c:pt idx="241">
                  <c:v>43390</c:v>
                </c:pt>
                <c:pt idx="242">
                  <c:v>43389</c:v>
                </c:pt>
                <c:pt idx="243">
                  <c:v>43388</c:v>
                </c:pt>
                <c:pt idx="244">
                  <c:v>43385</c:v>
                </c:pt>
                <c:pt idx="245">
                  <c:v>43384</c:v>
                </c:pt>
                <c:pt idx="246">
                  <c:v>43383</c:v>
                </c:pt>
                <c:pt idx="247">
                  <c:v>43382</c:v>
                </c:pt>
                <c:pt idx="248">
                  <c:v>43378</c:v>
                </c:pt>
                <c:pt idx="249">
                  <c:v>43377</c:v>
                </c:pt>
                <c:pt idx="250">
                  <c:v>43376</c:v>
                </c:pt>
                <c:pt idx="251">
                  <c:v>43375</c:v>
                </c:pt>
                <c:pt idx="252">
                  <c:v>43374</c:v>
                </c:pt>
                <c:pt idx="253">
                  <c:v>43371</c:v>
                </c:pt>
                <c:pt idx="254">
                  <c:v>43370</c:v>
                </c:pt>
                <c:pt idx="255">
                  <c:v>43369</c:v>
                </c:pt>
                <c:pt idx="256">
                  <c:v>43368</c:v>
                </c:pt>
                <c:pt idx="257">
                  <c:v>43364</c:v>
                </c:pt>
                <c:pt idx="258">
                  <c:v>43363</c:v>
                </c:pt>
                <c:pt idx="259">
                  <c:v>43362</c:v>
                </c:pt>
                <c:pt idx="260">
                  <c:v>43361</c:v>
                </c:pt>
                <c:pt idx="261">
                  <c:v>43357</c:v>
                </c:pt>
                <c:pt idx="262">
                  <c:v>43356</c:v>
                </c:pt>
                <c:pt idx="263">
                  <c:v>43355</c:v>
                </c:pt>
                <c:pt idx="264">
                  <c:v>43354</c:v>
                </c:pt>
                <c:pt idx="265">
                  <c:v>43353</c:v>
                </c:pt>
                <c:pt idx="266">
                  <c:v>43350</c:v>
                </c:pt>
                <c:pt idx="267">
                  <c:v>43349</c:v>
                </c:pt>
                <c:pt idx="268">
                  <c:v>43348</c:v>
                </c:pt>
                <c:pt idx="269">
                  <c:v>43347</c:v>
                </c:pt>
                <c:pt idx="270">
                  <c:v>43346</c:v>
                </c:pt>
                <c:pt idx="271">
                  <c:v>43343</c:v>
                </c:pt>
                <c:pt idx="272">
                  <c:v>43342</c:v>
                </c:pt>
                <c:pt idx="273">
                  <c:v>43341</c:v>
                </c:pt>
                <c:pt idx="274">
                  <c:v>43340</c:v>
                </c:pt>
                <c:pt idx="275">
                  <c:v>43339</c:v>
                </c:pt>
                <c:pt idx="276">
                  <c:v>43336</c:v>
                </c:pt>
                <c:pt idx="277">
                  <c:v>43335</c:v>
                </c:pt>
                <c:pt idx="278">
                  <c:v>43334</c:v>
                </c:pt>
                <c:pt idx="279">
                  <c:v>43333</c:v>
                </c:pt>
                <c:pt idx="280">
                  <c:v>43332</c:v>
                </c:pt>
                <c:pt idx="281">
                  <c:v>43329</c:v>
                </c:pt>
                <c:pt idx="282">
                  <c:v>43328</c:v>
                </c:pt>
                <c:pt idx="283">
                  <c:v>43327</c:v>
                </c:pt>
                <c:pt idx="284">
                  <c:v>43326</c:v>
                </c:pt>
                <c:pt idx="285">
                  <c:v>43325</c:v>
                </c:pt>
                <c:pt idx="286">
                  <c:v>43322</c:v>
                </c:pt>
                <c:pt idx="287">
                  <c:v>43321</c:v>
                </c:pt>
                <c:pt idx="288">
                  <c:v>43320</c:v>
                </c:pt>
                <c:pt idx="289">
                  <c:v>43319</c:v>
                </c:pt>
                <c:pt idx="290">
                  <c:v>43318</c:v>
                </c:pt>
                <c:pt idx="291">
                  <c:v>43315</c:v>
                </c:pt>
                <c:pt idx="292">
                  <c:v>43314</c:v>
                </c:pt>
                <c:pt idx="293">
                  <c:v>43313</c:v>
                </c:pt>
                <c:pt idx="294">
                  <c:v>43312</c:v>
                </c:pt>
                <c:pt idx="295">
                  <c:v>43311</c:v>
                </c:pt>
                <c:pt idx="296">
                  <c:v>43308</c:v>
                </c:pt>
                <c:pt idx="297">
                  <c:v>43307</c:v>
                </c:pt>
                <c:pt idx="298">
                  <c:v>43306</c:v>
                </c:pt>
                <c:pt idx="299">
                  <c:v>43305</c:v>
                </c:pt>
                <c:pt idx="300">
                  <c:v>43304</c:v>
                </c:pt>
                <c:pt idx="301">
                  <c:v>43301</c:v>
                </c:pt>
                <c:pt idx="302">
                  <c:v>43300</c:v>
                </c:pt>
                <c:pt idx="303">
                  <c:v>43299</c:v>
                </c:pt>
                <c:pt idx="304">
                  <c:v>43298</c:v>
                </c:pt>
                <c:pt idx="305">
                  <c:v>43294</c:v>
                </c:pt>
                <c:pt idx="306">
                  <c:v>43293</c:v>
                </c:pt>
                <c:pt idx="307">
                  <c:v>43292</c:v>
                </c:pt>
                <c:pt idx="308">
                  <c:v>43291</c:v>
                </c:pt>
                <c:pt idx="309">
                  <c:v>43290</c:v>
                </c:pt>
                <c:pt idx="310">
                  <c:v>43287</c:v>
                </c:pt>
                <c:pt idx="311">
                  <c:v>43286</c:v>
                </c:pt>
                <c:pt idx="312">
                  <c:v>43285</c:v>
                </c:pt>
                <c:pt idx="313">
                  <c:v>43284</c:v>
                </c:pt>
                <c:pt idx="314">
                  <c:v>43283</c:v>
                </c:pt>
                <c:pt idx="315">
                  <c:v>43280</c:v>
                </c:pt>
                <c:pt idx="316">
                  <c:v>43279</c:v>
                </c:pt>
                <c:pt idx="317">
                  <c:v>43278</c:v>
                </c:pt>
                <c:pt idx="318">
                  <c:v>43277</c:v>
                </c:pt>
                <c:pt idx="319">
                  <c:v>43276</c:v>
                </c:pt>
                <c:pt idx="320">
                  <c:v>43273</c:v>
                </c:pt>
                <c:pt idx="321">
                  <c:v>43272</c:v>
                </c:pt>
                <c:pt idx="322">
                  <c:v>43271</c:v>
                </c:pt>
                <c:pt idx="323">
                  <c:v>43270</c:v>
                </c:pt>
                <c:pt idx="324">
                  <c:v>43269</c:v>
                </c:pt>
                <c:pt idx="325">
                  <c:v>43266</c:v>
                </c:pt>
                <c:pt idx="326">
                  <c:v>43265</c:v>
                </c:pt>
                <c:pt idx="327">
                  <c:v>43264</c:v>
                </c:pt>
                <c:pt idx="328">
                  <c:v>43263</c:v>
                </c:pt>
                <c:pt idx="329">
                  <c:v>43262</c:v>
                </c:pt>
                <c:pt idx="330">
                  <c:v>43259</c:v>
                </c:pt>
                <c:pt idx="331">
                  <c:v>43258</c:v>
                </c:pt>
                <c:pt idx="332">
                  <c:v>43257</c:v>
                </c:pt>
                <c:pt idx="333">
                  <c:v>43256</c:v>
                </c:pt>
                <c:pt idx="334">
                  <c:v>43255</c:v>
                </c:pt>
                <c:pt idx="335">
                  <c:v>43252</c:v>
                </c:pt>
                <c:pt idx="336">
                  <c:v>43251</c:v>
                </c:pt>
                <c:pt idx="337">
                  <c:v>43250</c:v>
                </c:pt>
                <c:pt idx="338">
                  <c:v>43249</c:v>
                </c:pt>
                <c:pt idx="339">
                  <c:v>43248</c:v>
                </c:pt>
                <c:pt idx="340">
                  <c:v>43245</c:v>
                </c:pt>
                <c:pt idx="341">
                  <c:v>43244</c:v>
                </c:pt>
                <c:pt idx="342">
                  <c:v>43243</c:v>
                </c:pt>
                <c:pt idx="343">
                  <c:v>43242</c:v>
                </c:pt>
                <c:pt idx="344">
                  <c:v>43241</c:v>
                </c:pt>
                <c:pt idx="345">
                  <c:v>43238</c:v>
                </c:pt>
                <c:pt idx="346">
                  <c:v>43237</c:v>
                </c:pt>
                <c:pt idx="347">
                  <c:v>43236</c:v>
                </c:pt>
                <c:pt idx="348">
                  <c:v>43235</c:v>
                </c:pt>
                <c:pt idx="349">
                  <c:v>43234</c:v>
                </c:pt>
                <c:pt idx="350">
                  <c:v>43231</c:v>
                </c:pt>
                <c:pt idx="351">
                  <c:v>43230</c:v>
                </c:pt>
                <c:pt idx="352">
                  <c:v>43229</c:v>
                </c:pt>
                <c:pt idx="353">
                  <c:v>43228</c:v>
                </c:pt>
                <c:pt idx="354">
                  <c:v>43227</c:v>
                </c:pt>
                <c:pt idx="355">
                  <c:v>43222</c:v>
                </c:pt>
                <c:pt idx="356">
                  <c:v>43221</c:v>
                </c:pt>
                <c:pt idx="357">
                  <c:v>43217</c:v>
                </c:pt>
                <c:pt idx="358">
                  <c:v>43216</c:v>
                </c:pt>
                <c:pt idx="359">
                  <c:v>43215</c:v>
                </c:pt>
                <c:pt idx="360">
                  <c:v>43214</c:v>
                </c:pt>
                <c:pt idx="361">
                  <c:v>43213</c:v>
                </c:pt>
                <c:pt idx="362">
                  <c:v>43210</c:v>
                </c:pt>
                <c:pt idx="363">
                  <c:v>43209</c:v>
                </c:pt>
                <c:pt idx="364">
                  <c:v>43208</c:v>
                </c:pt>
                <c:pt idx="365">
                  <c:v>43207</c:v>
                </c:pt>
                <c:pt idx="366">
                  <c:v>43206</c:v>
                </c:pt>
                <c:pt idx="367">
                  <c:v>43203</c:v>
                </c:pt>
                <c:pt idx="368">
                  <c:v>43202</c:v>
                </c:pt>
                <c:pt idx="369">
                  <c:v>43201</c:v>
                </c:pt>
                <c:pt idx="370">
                  <c:v>43200</c:v>
                </c:pt>
                <c:pt idx="371">
                  <c:v>43199</c:v>
                </c:pt>
                <c:pt idx="372">
                  <c:v>43196</c:v>
                </c:pt>
                <c:pt idx="373">
                  <c:v>43195</c:v>
                </c:pt>
                <c:pt idx="374">
                  <c:v>43194</c:v>
                </c:pt>
                <c:pt idx="375">
                  <c:v>43193</c:v>
                </c:pt>
                <c:pt idx="376">
                  <c:v>43192</c:v>
                </c:pt>
                <c:pt idx="377">
                  <c:v>43189</c:v>
                </c:pt>
                <c:pt idx="378">
                  <c:v>43188</c:v>
                </c:pt>
                <c:pt idx="379">
                  <c:v>43187</c:v>
                </c:pt>
                <c:pt idx="380">
                  <c:v>43186</c:v>
                </c:pt>
                <c:pt idx="381">
                  <c:v>43185</c:v>
                </c:pt>
                <c:pt idx="382">
                  <c:v>43182</c:v>
                </c:pt>
                <c:pt idx="383">
                  <c:v>43181</c:v>
                </c:pt>
                <c:pt idx="384">
                  <c:v>43179</c:v>
                </c:pt>
                <c:pt idx="385">
                  <c:v>43178</c:v>
                </c:pt>
                <c:pt idx="386">
                  <c:v>43175</c:v>
                </c:pt>
                <c:pt idx="387">
                  <c:v>43174</c:v>
                </c:pt>
                <c:pt idx="388">
                  <c:v>43173</c:v>
                </c:pt>
                <c:pt idx="389">
                  <c:v>43172</c:v>
                </c:pt>
                <c:pt idx="390">
                  <c:v>43171</c:v>
                </c:pt>
                <c:pt idx="391">
                  <c:v>43168</c:v>
                </c:pt>
                <c:pt idx="392">
                  <c:v>43167</c:v>
                </c:pt>
                <c:pt idx="393">
                  <c:v>43166</c:v>
                </c:pt>
                <c:pt idx="394">
                  <c:v>43165</c:v>
                </c:pt>
                <c:pt idx="395">
                  <c:v>43164</c:v>
                </c:pt>
                <c:pt idx="396">
                  <c:v>43161</c:v>
                </c:pt>
                <c:pt idx="397">
                  <c:v>43160</c:v>
                </c:pt>
                <c:pt idx="398">
                  <c:v>43159</c:v>
                </c:pt>
                <c:pt idx="399">
                  <c:v>43158</c:v>
                </c:pt>
                <c:pt idx="400">
                  <c:v>43157</c:v>
                </c:pt>
                <c:pt idx="401">
                  <c:v>43154</c:v>
                </c:pt>
                <c:pt idx="402">
                  <c:v>43153</c:v>
                </c:pt>
                <c:pt idx="403">
                  <c:v>43152</c:v>
                </c:pt>
                <c:pt idx="404">
                  <c:v>43151</c:v>
                </c:pt>
                <c:pt idx="405">
                  <c:v>43150</c:v>
                </c:pt>
                <c:pt idx="406">
                  <c:v>43147</c:v>
                </c:pt>
                <c:pt idx="407">
                  <c:v>43146</c:v>
                </c:pt>
                <c:pt idx="408">
                  <c:v>43145</c:v>
                </c:pt>
                <c:pt idx="409">
                  <c:v>43144</c:v>
                </c:pt>
                <c:pt idx="410">
                  <c:v>43140</c:v>
                </c:pt>
                <c:pt idx="411">
                  <c:v>43139</c:v>
                </c:pt>
                <c:pt idx="412">
                  <c:v>43138</c:v>
                </c:pt>
                <c:pt idx="413">
                  <c:v>43137</c:v>
                </c:pt>
                <c:pt idx="414">
                  <c:v>43136</c:v>
                </c:pt>
                <c:pt idx="415">
                  <c:v>43133</c:v>
                </c:pt>
                <c:pt idx="416">
                  <c:v>43132</c:v>
                </c:pt>
                <c:pt idx="417">
                  <c:v>43131</c:v>
                </c:pt>
                <c:pt idx="418">
                  <c:v>43130</c:v>
                </c:pt>
                <c:pt idx="419">
                  <c:v>43129</c:v>
                </c:pt>
                <c:pt idx="420">
                  <c:v>43126</c:v>
                </c:pt>
                <c:pt idx="421">
                  <c:v>43125</c:v>
                </c:pt>
                <c:pt idx="422">
                  <c:v>43124</c:v>
                </c:pt>
                <c:pt idx="423">
                  <c:v>43123</c:v>
                </c:pt>
                <c:pt idx="424">
                  <c:v>43122</c:v>
                </c:pt>
                <c:pt idx="425">
                  <c:v>43119</c:v>
                </c:pt>
                <c:pt idx="426">
                  <c:v>43118</c:v>
                </c:pt>
                <c:pt idx="427">
                  <c:v>43117</c:v>
                </c:pt>
                <c:pt idx="428">
                  <c:v>43116</c:v>
                </c:pt>
                <c:pt idx="429">
                  <c:v>43115</c:v>
                </c:pt>
                <c:pt idx="430">
                  <c:v>43112</c:v>
                </c:pt>
                <c:pt idx="431">
                  <c:v>43111</c:v>
                </c:pt>
                <c:pt idx="432">
                  <c:v>43110</c:v>
                </c:pt>
                <c:pt idx="433">
                  <c:v>43109</c:v>
                </c:pt>
                <c:pt idx="434">
                  <c:v>43105</c:v>
                </c:pt>
                <c:pt idx="435">
                  <c:v>43104</c:v>
                </c:pt>
                <c:pt idx="436">
                  <c:v>43098</c:v>
                </c:pt>
                <c:pt idx="437">
                  <c:v>43097</c:v>
                </c:pt>
                <c:pt idx="438">
                  <c:v>43096</c:v>
                </c:pt>
                <c:pt idx="439">
                  <c:v>43095</c:v>
                </c:pt>
                <c:pt idx="440">
                  <c:v>43094</c:v>
                </c:pt>
                <c:pt idx="441">
                  <c:v>43091</c:v>
                </c:pt>
                <c:pt idx="442">
                  <c:v>43090</c:v>
                </c:pt>
                <c:pt idx="443">
                  <c:v>43089</c:v>
                </c:pt>
                <c:pt idx="444">
                  <c:v>43088</c:v>
                </c:pt>
                <c:pt idx="445">
                  <c:v>43087</c:v>
                </c:pt>
                <c:pt idx="446">
                  <c:v>43084</c:v>
                </c:pt>
                <c:pt idx="447">
                  <c:v>43083</c:v>
                </c:pt>
                <c:pt idx="448">
                  <c:v>43082</c:v>
                </c:pt>
                <c:pt idx="449">
                  <c:v>43081</c:v>
                </c:pt>
                <c:pt idx="450">
                  <c:v>43080</c:v>
                </c:pt>
                <c:pt idx="451">
                  <c:v>43077</c:v>
                </c:pt>
                <c:pt idx="452">
                  <c:v>43076</c:v>
                </c:pt>
                <c:pt idx="453">
                  <c:v>43075</c:v>
                </c:pt>
                <c:pt idx="454">
                  <c:v>43074</c:v>
                </c:pt>
                <c:pt idx="455">
                  <c:v>43073</c:v>
                </c:pt>
                <c:pt idx="456">
                  <c:v>43070</c:v>
                </c:pt>
                <c:pt idx="457">
                  <c:v>43069</c:v>
                </c:pt>
                <c:pt idx="458">
                  <c:v>43068</c:v>
                </c:pt>
                <c:pt idx="459">
                  <c:v>43067</c:v>
                </c:pt>
                <c:pt idx="460">
                  <c:v>43066</c:v>
                </c:pt>
                <c:pt idx="461">
                  <c:v>43063</c:v>
                </c:pt>
                <c:pt idx="462">
                  <c:v>43061</c:v>
                </c:pt>
                <c:pt idx="463">
                  <c:v>43060</c:v>
                </c:pt>
                <c:pt idx="464">
                  <c:v>43059</c:v>
                </c:pt>
                <c:pt idx="465">
                  <c:v>43056</c:v>
                </c:pt>
                <c:pt idx="466">
                  <c:v>43055</c:v>
                </c:pt>
                <c:pt idx="467">
                  <c:v>43054</c:v>
                </c:pt>
                <c:pt idx="468">
                  <c:v>43053</c:v>
                </c:pt>
                <c:pt idx="469">
                  <c:v>43052</c:v>
                </c:pt>
                <c:pt idx="470">
                  <c:v>43049</c:v>
                </c:pt>
                <c:pt idx="471">
                  <c:v>43048</c:v>
                </c:pt>
                <c:pt idx="472">
                  <c:v>43047</c:v>
                </c:pt>
                <c:pt idx="473">
                  <c:v>43046</c:v>
                </c:pt>
                <c:pt idx="474">
                  <c:v>43045</c:v>
                </c:pt>
                <c:pt idx="475">
                  <c:v>43041</c:v>
                </c:pt>
                <c:pt idx="476">
                  <c:v>43040</c:v>
                </c:pt>
                <c:pt idx="477">
                  <c:v>43039</c:v>
                </c:pt>
                <c:pt idx="478">
                  <c:v>43038</c:v>
                </c:pt>
                <c:pt idx="479">
                  <c:v>43035</c:v>
                </c:pt>
                <c:pt idx="480">
                  <c:v>43034</c:v>
                </c:pt>
                <c:pt idx="481">
                  <c:v>43033</c:v>
                </c:pt>
                <c:pt idx="482">
                  <c:v>43032</c:v>
                </c:pt>
                <c:pt idx="483">
                  <c:v>43031</c:v>
                </c:pt>
                <c:pt idx="484">
                  <c:v>43028</c:v>
                </c:pt>
                <c:pt idx="485">
                  <c:v>43027</c:v>
                </c:pt>
                <c:pt idx="486">
                  <c:v>43026</c:v>
                </c:pt>
                <c:pt idx="487">
                  <c:v>43025</c:v>
                </c:pt>
                <c:pt idx="488">
                  <c:v>43024</c:v>
                </c:pt>
                <c:pt idx="489">
                  <c:v>43021</c:v>
                </c:pt>
                <c:pt idx="490">
                  <c:v>43020</c:v>
                </c:pt>
                <c:pt idx="491">
                  <c:v>43019</c:v>
                </c:pt>
                <c:pt idx="492">
                  <c:v>43018</c:v>
                </c:pt>
                <c:pt idx="493">
                  <c:v>43014</c:v>
                </c:pt>
                <c:pt idx="494">
                  <c:v>43013</c:v>
                </c:pt>
                <c:pt idx="495">
                  <c:v>43012</c:v>
                </c:pt>
                <c:pt idx="496">
                  <c:v>43011</c:v>
                </c:pt>
                <c:pt idx="497">
                  <c:v>43010</c:v>
                </c:pt>
                <c:pt idx="498">
                  <c:v>43007</c:v>
                </c:pt>
                <c:pt idx="499">
                  <c:v>43006</c:v>
                </c:pt>
                <c:pt idx="500">
                  <c:v>43005</c:v>
                </c:pt>
                <c:pt idx="501">
                  <c:v>43004</c:v>
                </c:pt>
                <c:pt idx="502">
                  <c:v>43003</c:v>
                </c:pt>
                <c:pt idx="503">
                  <c:v>43000</c:v>
                </c:pt>
                <c:pt idx="504">
                  <c:v>42999</c:v>
                </c:pt>
                <c:pt idx="505">
                  <c:v>42998</c:v>
                </c:pt>
                <c:pt idx="506">
                  <c:v>42997</c:v>
                </c:pt>
                <c:pt idx="507">
                  <c:v>42993</c:v>
                </c:pt>
                <c:pt idx="508">
                  <c:v>42992</c:v>
                </c:pt>
                <c:pt idx="509">
                  <c:v>42991</c:v>
                </c:pt>
                <c:pt idx="510">
                  <c:v>42990</c:v>
                </c:pt>
                <c:pt idx="511">
                  <c:v>42989</c:v>
                </c:pt>
                <c:pt idx="512">
                  <c:v>42986</c:v>
                </c:pt>
                <c:pt idx="513">
                  <c:v>42985</c:v>
                </c:pt>
                <c:pt idx="514">
                  <c:v>42984</c:v>
                </c:pt>
                <c:pt idx="515">
                  <c:v>42983</c:v>
                </c:pt>
                <c:pt idx="516">
                  <c:v>42982</c:v>
                </c:pt>
                <c:pt idx="517">
                  <c:v>42979</c:v>
                </c:pt>
                <c:pt idx="518">
                  <c:v>42978</c:v>
                </c:pt>
                <c:pt idx="519">
                  <c:v>42977</c:v>
                </c:pt>
                <c:pt idx="520">
                  <c:v>42976</c:v>
                </c:pt>
                <c:pt idx="521">
                  <c:v>42975</c:v>
                </c:pt>
                <c:pt idx="522">
                  <c:v>42972</c:v>
                </c:pt>
                <c:pt idx="523">
                  <c:v>42971</c:v>
                </c:pt>
                <c:pt idx="524">
                  <c:v>42970</c:v>
                </c:pt>
                <c:pt idx="525">
                  <c:v>42969</c:v>
                </c:pt>
                <c:pt idx="526">
                  <c:v>42968</c:v>
                </c:pt>
                <c:pt idx="527">
                  <c:v>42965</c:v>
                </c:pt>
                <c:pt idx="528">
                  <c:v>42964</c:v>
                </c:pt>
                <c:pt idx="529">
                  <c:v>42963</c:v>
                </c:pt>
                <c:pt idx="530">
                  <c:v>42962</c:v>
                </c:pt>
                <c:pt idx="531">
                  <c:v>42961</c:v>
                </c:pt>
                <c:pt idx="532">
                  <c:v>42957</c:v>
                </c:pt>
                <c:pt idx="533">
                  <c:v>42956</c:v>
                </c:pt>
                <c:pt idx="534">
                  <c:v>42955</c:v>
                </c:pt>
                <c:pt idx="535">
                  <c:v>42954</c:v>
                </c:pt>
                <c:pt idx="536">
                  <c:v>42951</c:v>
                </c:pt>
                <c:pt idx="537">
                  <c:v>42950</c:v>
                </c:pt>
                <c:pt idx="538">
                  <c:v>42949</c:v>
                </c:pt>
                <c:pt idx="539">
                  <c:v>42948</c:v>
                </c:pt>
                <c:pt idx="540">
                  <c:v>42947</c:v>
                </c:pt>
                <c:pt idx="541">
                  <c:v>42944</c:v>
                </c:pt>
                <c:pt idx="542">
                  <c:v>42943</c:v>
                </c:pt>
                <c:pt idx="543">
                  <c:v>42942</c:v>
                </c:pt>
                <c:pt idx="544">
                  <c:v>42941</c:v>
                </c:pt>
                <c:pt idx="545">
                  <c:v>42940</c:v>
                </c:pt>
                <c:pt idx="546">
                  <c:v>42937</c:v>
                </c:pt>
                <c:pt idx="547">
                  <c:v>42936</c:v>
                </c:pt>
                <c:pt idx="548">
                  <c:v>42935</c:v>
                </c:pt>
                <c:pt idx="549">
                  <c:v>42934</c:v>
                </c:pt>
                <c:pt idx="550">
                  <c:v>42930</c:v>
                </c:pt>
                <c:pt idx="551">
                  <c:v>42929</c:v>
                </c:pt>
                <c:pt idx="552">
                  <c:v>42928</c:v>
                </c:pt>
                <c:pt idx="553">
                  <c:v>42927</c:v>
                </c:pt>
                <c:pt idx="554">
                  <c:v>42926</c:v>
                </c:pt>
                <c:pt idx="555">
                  <c:v>42923</c:v>
                </c:pt>
                <c:pt idx="556">
                  <c:v>42922</c:v>
                </c:pt>
                <c:pt idx="557">
                  <c:v>42921</c:v>
                </c:pt>
                <c:pt idx="558">
                  <c:v>42920</c:v>
                </c:pt>
                <c:pt idx="559">
                  <c:v>42919</c:v>
                </c:pt>
                <c:pt idx="560">
                  <c:v>42916</c:v>
                </c:pt>
                <c:pt idx="561">
                  <c:v>42915</c:v>
                </c:pt>
                <c:pt idx="562">
                  <c:v>42914</c:v>
                </c:pt>
                <c:pt idx="563">
                  <c:v>42913</c:v>
                </c:pt>
                <c:pt idx="564">
                  <c:v>42912</c:v>
                </c:pt>
                <c:pt idx="565">
                  <c:v>42909</c:v>
                </c:pt>
                <c:pt idx="566">
                  <c:v>42908</c:v>
                </c:pt>
                <c:pt idx="567">
                  <c:v>42907</c:v>
                </c:pt>
                <c:pt idx="568">
                  <c:v>42906</c:v>
                </c:pt>
                <c:pt idx="569">
                  <c:v>42905</c:v>
                </c:pt>
                <c:pt idx="570">
                  <c:v>42902</c:v>
                </c:pt>
                <c:pt idx="571">
                  <c:v>42901</c:v>
                </c:pt>
                <c:pt idx="572">
                  <c:v>42900</c:v>
                </c:pt>
                <c:pt idx="573">
                  <c:v>42899</c:v>
                </c:pt>
                <c:pt idx="574">
                  <c:v>42898</c:v>
                </c:pt>
                <c:pt idx="575">
                  <c:v>42895</c:v>
                </c:pt>
                <c:pt idx="576">
                  <c:v>42894</c:v>
                </c:pt>
                <c:pt idx="577">
                  <c:v>42893</c:v>
                </c:pt>
                <c:pt idx="578">
                  <c:v>42892</c:v>
                </c:pt>
                <c:pt idx="579">
                  <c:v>42891</c:v>
                </c:pt>
                <c:pt idx="580">
                  <c:v>42888</c:v>
                </c:pt>
                <c:pt idx="581">
                  <c:v>42887</c:v>
                </c:pt>
                <c:pt idx="582">
                  <c:v>42886</c:v>
                </c:pt>
                <c:pt idx="583">
                  <c:v>42885</c:v>
                </c:pt>
                <c:pt idx="584">
                  <c:v>42884</c:v>
                </c:pt>
                <c:pt idx="585">
                  <c:v>42881</c:v>
                </c:pt>
                <c:pt idx="586">
                  <c:v>42880</c:v>
                </c:pt>
                <c:pt idx="587">
                  <c:v>42879</c:v>
                </c:pt>
                <c:pt idx="588">
                  <c:v>42878</c:v>
                </c:pt>
                <c:pt idx="589">
                  <c:v>42877</c:v>
                </c:pt>
                <c:pt idx="590">
                  <c:v>42874</c:v>
                </c:pt>
                <c:pt idx="591">
                  <c:v>42873</c:v>
                </c:pt>
                <c:pt idx="592">
                  <c:v>42872</c:v>
                </c:pt>
                <c:pt idx="593">
                  <c:v>42871</c:v>
                </c:pt>
                <c:pt idx="594">
                  <c:v>42870</c:v>
                </c:pt>
                <c:pt idx="595">
                  <c:v>42867</c:v>
                </c:pt>
                <c:pt idx="596">
                  <c:v>42866</c:v>
                </c:pt>
                <c:pt idx="597">
                  <c:v>42865</c:v>
                </c:pt>
                <c:pt idx="598">
                  <c:v>42864</c:v>
                </c:pt>
                <c:pt idx="599">
                  <c:v>42863</c:v>
                </c:pt>
                <c:pt idx="600">
                  <c:v>42857</c:v>
                </c:pt>
                <c:pt idx="601">
                  <c:v>42856</c:v>
                </c:pt>
                <c:pt idx="602">
                  <c:v>42853</c:v>
                </c:pt>
                <c:pt idx="603">
                  <c:v>42852</c:v>
                </c:pt>
                <c:pt idx="604">
                  <c:v>42851</c:v>
                </c:pt>
                <c:pt idx="605">
                  <c:v>42850</c:v>
                </c:pt>
                <c:pt idx="606">
                  <c:v>42849</c:v>
                </c:pt>
                <c:pt idx="607">
                  <c:v>42846</c:v>
                </c:pt>
                <c:pt idx="608">
                  <c:v>42845</c:v>
                </c:pt>
                <c:pt idx="609">
                  <c:v>42844</c:v>
                </c:pt>
                <c:pt idx="610">
                  <c:v>42843</c:v>
                </c:pt>
                <c:pt idx="611">
                  <c:v>42842</c:v>
                </c:pt>
                <c:pt idx="612">
                  <c:v>42839</c:v>
                </c:pt>
                <c:pt idx="613">
                  <c:v>42838</c:v>
                </c:pt>
                <c:pt idx="614">
                  <c:v>42837</c:v>
                </c:pt>
                <c:pt idx="615">
                  <c:v>42836</c:v>
                </c:pt>
                <c:pt idx="616">
                  <c:v>42835</c:v>
                </c:pt>
                <c:pt idx="617">
                  <c:v>42832</c:v>
                </c:pt>
                <c:pt idx="618">
                  <c:v>42831</c:v>
                </c:pt>
                <c:pt idx="619">
                  <c:v>42830</c:v>
                </c:pt>
                <c:pt idx="620">
                  <c:v>42829</c:v>
                </c:pt>
                <c:pt idx="621">
                  <c:v>42828</c:v>
                </c:pt>
                <c:pt idx="622">
                  <c:v>42825</c:v>
                </c:pt>
                <c:pt idx="623">
                  <c:v>42824</c:v>
                </c:pt>
                <c:pt idx="624">
                  <c:v>42823</c:v>
                </c:pt>
                <c:pt idx="625">
                  <c:v>42822</c:v>
                </c:pt>
                <c:pt idx="626">
                  <c:v>42821</c:v>
                </c:pt>
                <c:pt idx="627">
                  <c:v>42818</c:v>
                </c:pt>
                <c:pt idx="628">
                  <c:v>42817</c:v>
                </c:pt>
                <c:pt idx="629">
                  <c:v>42816</c:v>
                </c:pt>
                <c:pt idx="630">
                  <c:v>42815</c:v>
                </c:pt>
                <c:pt idx="631">
                  <c:v>42811</c:v>
                </c:pt>
                <c:pt idx="632">
                  <c:v>42810</c:v>
                </c:pt>
                <c:pt idx="633">
                  <c:v>42809</c:v>
                </c:pt>
                <c:pt idx="634">
                  <c:v>42808</c:v>
                </c:pt>
                <c:pt idx="635">
                  <c:v>42807</c:v>
                </c:pt>
                <c:pt idx="636">
                  <c:v>42804</c:v>
                </c:pt>
                <c:pt idx="637">
                  <c:v>42803</c:v>
                </c:pt>
                <c:pt idx="638">
                  <c:v>42802</c:v>
                </c:pt>
                <c:pt idx="639">
                  <c:v>42801</c:v>
                </c:pt>
                <c:pt idx="640">
                  <c:v>42800</c:v>
                </c:pt>
                <c:pt idx="641">
                  <c:v>42797</c:v>
                </c:pt>
                <c:pt idx="642">
                  <c:v>42796</c:v>
                </c:pt>
                <c:pt idx="643">
                  <c:v>42795</c:v>
                </c:pt>
                <c:pt idx="644">
                  <c:v>42794</c:v>
                </c:pt>
                <c:pt idx="645">
                  <c:v>42793</c:v>
                </c:pt>
                <c:pt idx="646">
                  <c:v>42790</c:v>
                </c:pt>
                <c:pt idx="647">
                  <c:v>42789</c:v>
                </c:pt>
                <c:pt idx="648">
                  <c:v>42788</c:v>
                </c:pt>
                <c:pt idx="649">
                  <c:v>42787</c:v>
                </c:pt>
                <c:pt idx="650">
                  <c:v>42786</c:v>
                </c:pt>
                <c:pt idx="651">
                  <c:v>42783</c:v>
                </c:pt>
                <c:pt idx="652">
                  <c:v>42782</c:v>
                </c:pt>
                <c:pt idx="653">
                  <c:v>42781</c:v>
                </c:pt>
                <c:pt idx="654">
                  <c:v>42780</c:v>
                </c:pt>
                <c:pt idx="655">
                  <c:v>42779</c:v>
                </c:pt>
                <c:pt idx="656">
                  <c:v>42776</c:v>
                </c:pt>
                <c:pt idx="657">
                  <c:v>42775</c:v>
                </c:pt>
                <c:pt idx="658">
                  <c:v>42774</c:v>
                </c:pt>
                <c:pt idx="659">
                  <c:v>42773</c:v>
                </c:pt>
                <c:pt idx="660">
                  <c:v>42772</c:v>
                </c:pt>
                <c:pt idx="661">
                  <c:v>42769</c:v>
                </c:pt>
              </c:numCache>
            </c:numRef>
          </c:cat>
          <c:val>
            <c:numRef>
              <c:f>グラフ!$G$42:$G$703</c:f>
              <c:numCache>
                <c:formatCode>General</c:formatCode>
                <c:ptCount val="662"/>
                <c:pt idx="0">
                  <c:v>2.1670845431834</c:v>
                </c:pt>
                <c:pt idx="1">
                  <c:v>2.1645503014688301</c:v>
                </c:pt>
                <c:pt idx="2">
                  <c:v>2.1619731512817202</c:v>
                </c:pt>
                <c:pt idx="3">
                  <c:v>2.1592505667064001</c:v>
                </c:pt>
                <c:pt idx="4">
                  <c:v>2.1573465230376598</c:v>
                </c:pt>
                <c:pt idx="5">
                  <c:v>2.15521085928401</c:v>
                </c:pt>
                <c:pt idx="6">
                  <c:v>2.1543298001339002</c:v>
                </c:pt>
                <c:pt idx="7">
                  <c:v>2.1539796381410601</c:v>
                </c:pt>
                <c:pt idx="8">
                  <c:v>2.15302276183915</c:v>
                </c:pt>
                <c:pt idx="9">
                  <c:v>2.1523985741988398</c:v>
                </c:pt>
                <c:pt idx="10">
                  <c:v>2.1513990361427999</c:v>
                </c:pt>
                <c:pt idx="11">
                  <c:v>2.1501692335973299</c:v>
                </c:pt>
                <c:pt idx="12">
                  <c:v>2.1493176272740202</c:v>
                </c:pt>
                <c:pt idx="13">
                  <c:v>2.1485741017936602</c:v>
                </c:pt>
                <c:pt idx="14">
                  <c:v>2.1471333177169698</c:v>
                </c:pt>
                <c:pt idx="15">
                  <c:v>2.1451066268434502</c:v>
                </c:pt>
                <c:pt idx="16">
                  <c:v>2.14408295721808</c:v>
                </c:pt>
                <c:pt idx="17">
                  <c:v>2.14326212819658</c:v>
                </c:pt>
                <c:pt idx="18">
                  <c:v>2.1420322985771301</c:v>
                </c:pt>
                <c:pt idx="19">
                  <c:v>2.1405644991800301</c:v>
                </c:pt>
                <c:pt idx="20">
                  <c:v>2.1392912493325098</c:v>
                </c:pt>
                <c:pt idx="21">
                  <c:v>2.1372061951571899</c:v>
                </c:pt>
                <c:pt idx="22">
                  <c:v>2.1358815198325201</c:v>
                </c:pt>
                <c:pt idx="23">
                  <c:v>2.1345302344670101</c:v>
                </c:pt>
                <c:pt idx="24">
                  <c:v>2.13396890690569</c:v>
                </c:pt>
                <c:pt idx="25">
                  <c:v>2.1337830555867399</c:v>
                </c:pt>
                <c:pt idx="26">
                  <c:v>2.1336547451554102</c:v>
                </c:pt>
                <c:pt idx="27">
                  <c:v>2.1334055501711302</c:v>
                </c:pt>
                <c:pt idx="28">
                  <c:v>2.1322607758497498</c:v>
                </c:pt>
                <c:pt idx="29">
                  <c:v>2.1325256500421901</c:v>
                </c:pt>
                <c:pt idx="30">
                  <c:v>2.1322680010888901</c:v>
                </c:pt>
                <c:pt idx="31">
                  <c:v>2.13356083086448</c:v>
                </c:pt>
                <c:pt idx="32">
                  <c:v>2.1344017740005001</c:v>
                </c:pt>
                <c:pt idx="33">
                  <c:v>2.13430227378544</c:v>
                </c:pt>
                <c:pt idx="34">
                  <c:v>2.1341244195111999</c:v>
                </c:pt>
                <c:pt idx="35">
                  <c:v>2.1335613669978</c:v>
                </c:pt>
                <c:pt idx="36">
                  <c:v>2.1334551477282</c:v>
                </c:pt>
                <c:pt idx="37">
                  <c:v>2.1332206367194901</c:v>
                </c:pt>
                <c:pt idx="38">
                  <c:v>2.1341263047917098</c:v>
                </c:pt>
                <c:pt idx="39">
                  <c:v>2.1337063909019101</c:v>
                </c:pt>
                <c:pt idx="40">
                  <c:v>2.1332330265422899</c:v>
                </c:pt>
                <c:pt idx="41">
                  <c:v>2.1323572313341499</c:v>
                </c:pt>
                <c:pt idx="42">
                  <c:v>2.1318885352320498</c:v>
                </c:pt>
                <c:pt idx="43">
                  <c:v>2.1307715048655198</c:v>
                </c:pt>
                <c:pt idx="44">
                  <c:v>2.12958662048386</c:v>
                </c:pt>
                <c:pt idx="45">
                  <c:v>2.1282111391021901</c:v>
                </c:pt>
                <c:pt idx="46">
                  <c:v>2.1272916380892899</c:v>
                </c:pt>
                <c:pt idx="47">
                  <c:v>2.1260400083630899</c:v>
                </c:pt>
                <c:pt idx="48">
                  <c:v>2.1253957736268401</c:v>
                </c:pt>
                <c:pt idx="49">
                  <c:v>2.12478303505842</c:v>
                </c:pt>
                <c:pt idx="50">
                  <c:v>2.12398254019931</c:v>
                </c:pt>
                <c:pt idx="51">
                  <c:v>2.1229819310137801</c:v>
                </c:pt>
                <c:pt idx="52">
                  <c:v>2.12119255141012</c:v>
                </c:pt>
                <c:pt idx="53">
                  <c:v>2.1194818282349401</c:v>
                </c:pt>
                <c:pt idx="54">
                  <c:v>2.11796071524831</c:v>
                </c:pt>
                <c:pt idx="55">
                  <c:v>2.1174690204564399</c:v>
                </c:pt>
                <c:pt idx="56">
                  <c:v>2.1168767027212598</c:v>
                </c:pt>
                <c:pt idx="57">
                  <c:v>2.1162158390926602</c:v>
                </c:pt>
                <c:pt idx="58">
                  <c:v>2.1146526433344501</c:v>
                </c:pt>
                <c:pt idx="59">
                  <c:v>2.1131840443006298</c:v>
                </c:pt>
                <c:pt idx="60">
                  <c:v>2.11167916233302</c:v>
                </c:pt>
                <c:pt idx="61">
                  <c:v>2.11014175948063</c:v>
                </c:pt>
                <c:pt idx="62">
                  <c:v>2.1083025266722801</c:v>
                </c:pt>
                <c:pt idx="63">
                  <c:v>2.1062841777484098</c:v>
                </c:pt>
                <c:pt idx="64">
                  <c:v>2.1043155001727301</c:v>
                </c:pt>
                <c:pt idx="65">
                  <c:v>2.1026767608192301</c:v>
                </c:pt>
                <c:pt idx="66">
                  <c:v>2.1012250036061402</c:v>
                </c:pt>
                <c:pt idx="67">
                  <c:v>2.0998514025225199</c:v>
                </c:pt>
                <c:pt idx="68">
                  <c:v>2.0990813851002099</c:v>
                </c:pt>
                <c:pt idx="69">
                  <c:v>2.0987482251140799</c:v>
                </c:pt>
                <c:pt idx="70">
                  <c:v>2.09862033481292</c:v>
                </c:pt>
                <c:pt idx="71">
                  <c:v>2.0984842700007502</c:v>
                </c:pt>
                <c:pt idx="72">
                  <c:v>2.0988822300375398</c:v>
                </c:pt>
                <c:pt idx="73">
                  <c:v>2.0987777210263001</c:v>
                </c:pt>
                <c:pt idx="74">
                  <c:v>2.0988877395311398</c:v>
                </c:pt>
                <c:pt idx="75">
                  <c:v>2.0981602534648398</c:v>
                </c:pt>
                <c:pt idx="76">
                  <c:v>2.0977366963320399</c:v>
                </c:pt>
                <c:pt idx="77">
                  <c:v>2.0971534964540601</c:v>
                </c:pt>
                <c:pt idx="78">
                  <c:v>2.0966826104910798</c:v>
                </c:pt>
                <c:pt idx="79">
                  <c:v>2.0949365787450498</c:v>
                </c:pt>
                <c:pt idx="80">
                  <c:v>2.09478723585377</c:v>
                </c:pt>
                <c:pt idx="81">
                  <c:v>2.09391049668073</c:v>
                </c:pt>
                <c:pt idx="82">
                  <c:v>2.0933324440102501</c:v>
                </c:pt>
                <c:pt idx="83">
                  <c:v>2.0924617216867798</c:v>
                </c:pt>
                <c:pt idx="84">
                  <c:v>2.09081777652304</c:v>
                </c:pt>
                <c:pt idx="85">
                  <c:v>2.0904780725534899</c:v>
                </c:pt>
                <c:pt idx="86">
                  <c:v>2.09011208515994</c:v>
                </c:pt>
                <c:pt idx="87">
                  <c:v>2.0891510788706298</c:v>
                </c:pt>
                <c:pt idx="88">
                  <c:v>2.0876475868071398</c:v>
                </c:pt>
                <c:pt idx="89">
                  <c:v>2.08569322429191</c:v>
                </c:pt>
                <c:pt idx="90">
                  <c:v>2.0844412811639499</c:v>
                </c:pt>
                <c:pt idx="91">
                  <c:v>2.08319209385022</c:v>
                </c:pt>
                <c:pt idx="92">
                  <c:v>2.0824413620239102</c:v>
                </c:pt>
                <c:pt idx="93">
                  <c:v>2.0823875530626199</c:v>
                </c:pt>
                <c:pt idx="94">
                  <c:v>2.0827240942985998</c:v>
                </c:pt>
                <c:pt idx="95">
                  <c:v>2.08238571157192</c:v>
                </c:pt>
                <c:pt idx="96">
                  <c:v>2.0825225365262798</c:v>
                </c:pt>
                <c:pt idx="97">
                  <c:v>2.0820542825580302</c:v>
                </c:pt>
                <c:pt idx="98">
                  <c:v>2.0827931177432299</c:v>
                </c:pt>
                <c:pt idx="99">
                  <c:v>2.08256018366981</c:v>
                </c:pt>
                <c:pt idx="100">
                  <c:v>2.0821950331672601</c:v>
                </c:pt>
                <c:pt idx="101">
                  <c:v>2.08224230769174</c:v>
                </c:pt>
                <c:pt idx="102">
                  <c:v>2.0824132666396298</c:v>
                </c:pt>
                <c:pt idx="103">
                  <c:v>2.0838180505265802</c:v>
                </c:pt>
                <c:pt idx="104">
                  <c:v>2.08452858102945</c:v>
                </c:pt>
                <c:pt idx="105">
                  <c:v>2.0852117533321901</c:v>
                </c:pt>
                <c:pt idx="106">
                  <c:v>2.0854724991101801</c:v>
                </c:pt>
                <c:pt idx="107">
                  <c:v>2.0856514192890998</c:v>
                </c:pt>
                <c:pt idx="108">
                  <c:v>2.0861350181892</c:v>
                </c:pt>
                <c:pt idx="109">
                  <c:v>2.0870924116729102</c:v>
                </c:pt>
                <c:pt idx="110">
                  <c:v>2.08882011541708</c:v>
                </c:pt>
                <c:pt idx="111">
                  <c:v>2.0902084569125399</c:v>
                </c:pt>
                <c:pt idx="112">
                  <c:v>2.0911234372104102</c:v>
                </c:pt>
                <c:pt idx="113">
                  <c:v>2.09052693365788</c:v>
                </c:pt>
                <c:pt idx="114">
                  <c:v>2.0913286370005699</c:v>
                </c:pt>
                <c:pt idx="115">
                  <c:v>2.0919627934242002</c:v>
                </c:pt>
                <c:pt idx="116">
                  <c:v>2.09345211190033</c:v>
                </c:pt>
                <c:pt idx="117">
                  <c:v>2.0959535700165399</c:v>
                </c:pt>
                <c:pt idx="118">
                  <c:v>2.0983132147291199</c:v>
                </c:pt>
                <c:pt idx="119">
                  <c:v>2.1004637587783899</c:v>
                </c:pt>
                <c:pt idx="120">
                  <c:v>2.1025503483324002</c:v>
                </c:pt>
                <c:pt idx="121">
                  <c:v>2.1043362805875101</c:v>
                </c:pt>
                <c:pt idx="122">
                  <c:v>2.1057918995114799</c:v>
                </c:pt>
                <c:pt idx="123">
                  <c:v>2.1072309014738702</c:v>
                </c:pt>
                <c:pt idx="124">
                  <c:v>2.1082779425818599</c:v>
                </c:pt>
                <c:pt idx="125">
                  <c:v>2.1090848944113101</c:v>
                </c:pt>
                <c:pt idx="126">
                  <c:v>2.10901775964905</c:v>
                </c:pt>
                <c:pt idx="127">
                  <c:v>2.1094677823566199</c:v>
                </c:pt>
                <c:pt idx="128">
                  <c:v>2.1097573475643498</c:v>
                </c:pt>
                <c:pt idx="129">
                  <c:v>2.1098441081339701</c:v>
                </c:pt>
                <c:pt idx="130">
                  <c:v>2.1100978701418498</c:v>
                </c:pt>
                <c:pt idx="131">
                  <c:v>2.1105636915832902</c:v>
                </c:pt>
                <c:pt idx="132">
                  <c:v>2.1108899240848098</c:v>
                </c:pt>
                <c:pt idx="133">
                  <c:v>2.11181979987566</c:v>
                </c:pt>
                <c:pt idx="134">
                  <c:v>2.1124420365996999</c:v>
                </c:pt>
                <c:pt idx="135">
                  <c:v>2.1137716470870398</c:v>
                </c:pt>
                <c:pt idx="136">
                  <c:v>2.1150831564328798</c:v>
                </c:pt>
                <c:pt idx="137">
                  <c:v>2.11640106276896</c:v>
                </c:pt>
                <c:pt idx="138">
                  <c:v>2.1178936735553502</c:v>
                </c:pt>
                <c:pt idx="139">
                  <c:v>2.1185587870857101</c:v>
                </c:pt>
                <c:pt idx="140">
                  <c:v>2.1188627604805901</c:v>
                </c:pt>
                <c:pt idx="141">
                  <c:v>2.1191732952976499</c:v>
                </c:pt>
                <c:pt idx="142">
                  <c:v>2.1193900135638999</c:v>
                </c:pt>
                <c:pt idx="143">
                  <c:v>2.1201022942656498</c:v>
                </c:pt>
                <c:pt idx="144">
                  <c:v>2.1203030066471098</c:v>
                </c:pt>
                <c:pt idx="145">
                  <c:v>2.1197503973626799</c:v>
                </c:pt>
                <c:pt idx="146">
                  <c:v>2.1203623051174798</c:v>
                </c:pt>
                <c:pt idx="147">
                  <c:v>2.1208617760169499</c:v>
                </c:pt>
                <c:pt idx="148">
                  <c:v>2.12162519404768</c:v>
                </c:pt>
                <c:pt idx="149">
                  <c:v>2.1222319114977801</c:v>
                </c:pt>
                <c:pt idx="150">
                  <c:v>2.1230944366543301</c:v>
                </c:pt>
                <c:pt idx="151">
                  <c:v>2.1243855688350402</c:v>
                </c:pt>
                <c:pt idx="152">
                  <c:v>2.1268857780313</c:v>
                </c:pt>
                <c:pt idx="153">
                  <c:v>2.1298857978046999</c:v>
                </c:pt>
                <c:pt idx="154">
                  <c:v>2.1336584076238201</c:v>
                </c:pt>
                <c:pt idx="155">
                  <c:v>2.1367291632237499</c:v>
                </c:pt>
                <c:pt idx="156">
                  <c:v>2.1398220196128999</c:v>
                </c:pt>
                <c:pt idx="157">
                  <c:v>2.14228954787384</c:v>
                </c:pt>
                <c:pt idx="158">
                  <c:v>2.1429339237846801</c:v>
                </c:pt>
                <c:pt idx="159">
                  <c:v>2.1439213614505999</c:v>
                </c:pt>
                <c:pt idx="160">
                  <c:v>2.1443294453993</c:v>
                </c:pt>
                <c:pt idx="161">
                  <c:v>2.1448507672213299</c:v>
                </c:pt>
                <c:pt idx="162">
                  <c:v>2.1455921930402102</c:v>
                </c:pt>
                <c:pt idx="163">
                  <c:v>2.1462490215191798</c:v>
                </c:pt>
                <c:pt idx="164">
                  <c:v>2.1478581334842501</c:v>
                </c:pt>
                <c:pt idx="165">
                  <c:v>2.1493575853644198</c:v>
                </c:pt>
                <c:pt idx="166">
                  <c:v>2.1506133002116501</c:v>
                </c:pt>
                <c:pt idx="167">
                  <c:v>2.1512715835423299</c:v>
                </c:pt>
                <c:pt idx="168">
                  <c:v>2.1513711768877899</c:v>
                </c:pt>
                <c:pt idx="169">
                  <c:v>2.15099930413936</c:v>
                </c:pt>
                <c:pt idx="170">
                  <c:v>2.1516255954616801</c:v>
                </c:pt>
                <c:pt idx="171">
                  <c:v>2.1521574960733201</c:v>
                </c:pt>
                <c:pt idx="172">
                  <c:v>2.1530353994003799</c:v>
                </c:pt>
                <c:pt idx="173">
                  <c:v>2.1535011011979699</c:v>
                </c:pt>
                <c:pt idx="174">
                  <c:v>2.1544536119909701</c:v>
                </c:pt>
                <c:pt idx="175">
                  <c:v>2.1553150713288098</c:v>
                </c:pt>
                <c:pt idx="176">
                  <c:v>2.1556518687543802</c:v>
                </c:pt>
                <c:pt idx="177">
                  <c:v>2.155702436231</c:v>
                </c:pt>
                <c:pt idx="178">
                  <c:v>2.1551277586917799</c:v>
                </c:pt>
                <c:pt idx="179">
                  <c:v>2.1542222906420898</c:v>
                </c:pt>
                <c:pt idx="180">
                  <c:v>2.1530424660806902</c:v>
                </c:pt>
                <c:pt idx="181">
                  <c:v>2.1516873032255299</c:v>
                </c:pt>
                <c:pt idx="182">
                  <c:v>2.1504534167247402</c:v>
                </c:pt>
                <c:pt idx="183">
                  <c:v>2.1495756160190198</c:v>
                </c:pt>
                <c:pt idx="184">
                  <c:v>2.1478876053786999</c:v>
                </c:pt>
                <c:pt idx="185">
                  <c:v>2.14585650193251</c:v>
                </c:pt>
                <c:pt idx="186">
                  <c:v>2.1439786269323502</c:v>
                </c:pt>
                <c:pt idx="187">
                  <c:v>2.1425123103433701</c:v>
                </c:pt>
                <c:pt idx="188">
                  <c:v>2.14117569994472</c:v>
                </c:pt>
                <c:pt idx="189">
                  <c:v>2.1393635876968902</c:v>
                </c:pt>
                <c:pt idx="190">
                  <c:v>2.1377298683833401</c:v>
                </c:pt>
                <c:pt idx="191">
                  <c:v>2.1361842913585001</c:v>
                </c:pt>
                <c:pt idx="192">
                  <c:v>2.13340920204136</c:v>
                </c:pt>
                <c:pt idx="193">
                  <c:v>2.1309003396851698</c:v>
                </c:pt>
                <c:pt idx="194">
                  <c:v>2.1287007718169799</c:v>
                </c:pt>
                <c:pt idx="195">
                  <c:v>2.1266720938581001</c:v>
                </c:pt>
                <c:pt idx="196">
                  <c:v>2.12472208301446</c:v>
                </c:pt>
                <c:pt idx="197">
                  <c:v>2.1239336043013499</c:v>
                </c:pt>
                <c:pt idx="198">
                  <c:v>2.1230249803761501</c:v>
                </c:pt>
                <c:pt idx="199">
                  <c:v>2.1224445042259101</c:v>
                </c:pt>
                <c:pt idx="200">
                  <c:v>2.12252514998718</c:v>
                </c:pt>
                <c:pt idx="201">
                  <c:v>2.1229602039488502</c:v>
                </c:pt>
                <c:pt idx="202">
                  <c:v>2.1231003656739098</c:v>
                </c:pt>
                <c:pt idx="203">
                  <c:v>2.1232621215456202</c:v>
                </c:pt>
                <c:pt idx="204">
                  <c:v>2.1235931328592899</c:v>
                </c:pt>
                <c:pt idx="205">
                  <c:v>2.1234249844152799</c:v>
                </c:pt>
                <c:pt idx="206">
                  <c:v>2.1238317183144901</c:v>
                </c:pt>
                <c:pt idx="207">
                  <c:v>2.1244617554731202</c:v>
                </c:pt>
                <c:pt idx="208">
                  <c:v>2.1249781749583199</c:v>
                </c:pt>
                <c:pt idx="209">
                  <c:v>2.12593564837921</c:v>
                </c:pt>
                <c:pt idx="210">
                  <c:v>2.1266679772135402</c:v>
                </c:pt>
                <c:pt idx="211">
                  <c:v>2.1272144789432899</c:v>
                </c:pt>
                <c:pt idx="212">
                  <c:v>2.12791447894329</c:v>
                </c:pt>
                <c:pt idx="213">
                  <c:v>2.1279283647257401</c:v>
                </c:pt>
                <c:pt idx="214">
                  <c:v>2.1285322860830398</c:v>
                </c:pt>
                <c:pt idx="215">
                  <c:v>2.12875050430126</c:v>
                </c:pt>
                <c:pt idx="216">
                  <c:v>2.12946383022101</c:v>
                </c:pt>
                <c:pt idx="217">
                  <c:v>2.1311394064448002</c:v>
                </c:pt>
                <c:pt idx="218">
                  <c:v>2.1329210156401999</c:v>
                </c:pt>
                <c:pt idx="219">
                  <c:v>2.13422085874309</c:v>
                </c:pt>
                <c:pt idx="220">
                  <c:v>2.13540126939695</c:v>
                </c:pt>
                <c:pt idx="221">
                  <c:v>2.1379115153708601</c:v>
                </c:pt>
                <c:pt idx="222">
                  <c:v>2.1403501781357801</c:v>
                </c:pt>
                <c:pt idx="223">
                  <c:v>2.1424800833058</c:v>
                </c:pt>
                <c:pt idx="224">
                  <c:v>2.14433246649154</c:v>
                </c:pt>
                <c:pt idx="225">
                  <c:v>2.1455359087397601</c:v>
                </c:pt>
                <c:pt idx="226">
                  <c:v>2.1459730136013202</c:v>
                </c:pt>
                <c:pt idx="227">
                  <c:v>2.1453840804034501</c:v>
                </c:pt>
                <c:pt idx="228">
                  <c:v>2.1445402335972901</c:v>
                </c:pt>
                <c:pt idx="229">
                  <c:v>2.1441191720477502</c:v>
                </c:pt>
                <c:pt idx="230">
                  <c:v>2.1436098465165401</c:v>
                </c:pt>
                <c:pt idx="231">
                  <c:v>2.1433155487744799</c:v>
                </c:pt>
                <c:pt idx="232">
                  <c:v>2.14256979106458</c:v>
                </c:pt>
                <c:pt idx="233">
                  <c:v>2.1443814342143201</c:v>
                </c:pt>
                <c:pt idx="234">
                  <c:v>2.1460328940795499</c:v>
                </c:pt>
                <c:pt idx="235">
                  <c:v>2.1468175443705602</c:v>
                </c:pt>
                <c:pt idx="236">
                  <c:v>2.1471873921963902</c:v>
                </c:pt>
                <c:pt idx="237">
                  <c:v>2.1488967600283</c:v>
                </c:pt>
                <c:pt idx="238">
                  <c:v>2.15077027422846</c:v>
                </c:pt>
                <c:pt idx="239">
                  <c:v>2.1527665288824598</c:v>
                </c:pt>
                <c:pt idx="240">
                  <c:v>2.1538865565561802</c:v>
                </c:pt>
                <c:pt idx="241">
                  <c:v>2.1564002430393399</c:v>
                </c:pt>
                <c:pt idx="242">
                  <c:v>2.1587564435573201</c:v>
                </c:pt>
                <c:pt idx="243">
                  <c:v>2.1618330467592699</c:v>
                </c:pt>
                <c:pt idx="244">
                  <c:v>2.16459741183357</c:v>
                </c:pt>
                <c:pt idx="245">
                  <c:v>2.1672550943810398</c:v>
                </c:pt>
                <c:pt idx="246">
                  <c:v>2.1700169432679099</c:v>
                </c:pt>
                <c:pt idx="247">
                  <c:v>2.17333838634609</c:v>
                </c:pt>
                <c:pt idx="248">
                  <c:v>2.1762074744046198</c:v>
                </c:pt>
                <c:pt idx="249">
                  <c:v>2.1795662707009198</c:v>
                </c:pt>
                <c:pt idx="250">
                  <c:v>2.1825310069830199</c:v>
                </c:pt>
                <c:pt idx="251">
                  <c:v>2.1855807875143598</c:v>
                </c:pt>
                <c:pt idx="252">
                  <c:v>2.1884411930224901</c:v>
                </c:pt>
                <c:pt idx="253">
                  <c:v>2.191698433579</c:v>
                </c:pt>
                <c:pt idx="254">
                  <c:v>2.1952570530256899</c:v>
                </c:pt>
                <c:pt idx="255">
                  <c:v>2.19892177037462</c:v>
                </c:pt>
                <c:pt idx="256">
                  <c:v>2.2026918626012399</c:v>
                </c:pt>
                <c:pt idx="257">
                  <c:v>2.206195333233</c:v>
                </c:pt>
                <c:pt idx="258">
                  <c:v>2.2108234284419699</c:v>
                </c:pt>
                <c:pt idx="259">
                  <c:v>2.21592373736306</c:v>
                </c:pt>
                <c:pt idx="260">
                  <c:v>2.2214482579310602</c:v>
                </c:pt>
                <c:pt idx="261">
                  <c:v>2.2264518861094098</c:v>
                </c:pt>
                <c:pt idx="262">
                  <c:v>2.2314662919066302</c:v>
                </c:pt>
                <c:pt idx="263">
                  <c:v>2.2364345352337498</c:v>
                </c:pt>
                <c:pt idx="264">
                  <c:v>2.24225931763063</c:v>
                </c:pt>
                <c:pt idx="265">
                  <c:v>2.2471206349190802</c:v>
                </c:pt>
                <c:pt idx="266">
                  <c:v>2.25202000125969</c:v>
                </c:pt>
                <c:pt idx="267">
                  <c:v>2.2563922634426601</c:v>
                </c:pt>
                <c:pt idx="268">
                  <c:v>2.2607271795934101</c:v>
                </c:pt>
                <c:pt idx="269">
                  <c:v>2.2651469757480802</c:v>
                </c:pt>
                <c:pt idx="270">
                  <c:v>2.2695294875832199</c:v>
                </c:pt>
                <c:pt idx="271">
                  <c:v>2.2743746133693898</c:v>
                </c:pt>
                <c:pt idx="272">
                  <c:v>2.27809489049391</c:v>
                </c:pt>
                <c:pt idx="273">
                  <c:v>2.2823473658992102</c:v>
                </c:pt>
                <c:pt idx="274">
                  <c:v>2.28693701359669</c:v>
                </c:pt>
                <c:pt idx="275">
                  <c:v>2.2911541024632598</c:v>
                </c:pt>
                <c:pt idx="276">
                  <c:v>2.2967513838068299</c:v>
                </c:pt>
                <c:pt idx="277">
                  <c:v>2.3025246903125298</c:v>
                </c:pt>
                <c:pt idx="278">
                  <c:v>2.3093056249402002</c:v>
                </c:pt>
                <c:pt idx="279">
                  <c:v>2.3153900053672101</c:v>
                </c:pt>
                <c:pt idx="280">
                  <c:v>2.3222897824078301</c:v>
                </c:pt>
                <c:pt idx="281">
                  <c:v>2.3285404593904202</c:v>
                </c:pt>
                <c:pt idx="282">
                  <c:v>2.3342432157642299</c:v>
                </c:pt>
                <c:pt idx="283">
                  <c:v>2.3401662919995498</c:v>
                </c:pt>
                <c:pt idx="284">
                  <c:v>2.34521343004669</c:v>
                </c:pt>
                <c:pt idx="285">
                  <c:v>2.35041471303466</c:v>
                </c:pt>
                <c:pt idx="286">
                  <c:v>2.3553816549219802</c:v>
                </c:pt>
                <c:pt idx="287">
                  <c:v>2.3599417722240301</c:v>
                </c:pt>
                <c:pt idx="288">
                  <c:v>2.3647879433675798</c:v>
                </c:pt>
                <c:pt idx="289">
                  <c:v>2.3705234210792598</c:v>
                </c:pt>
                <c:pt idx="290">
                  <c:v>2.3763615333851198</c:v>
                </c:pt>
                <c:pt idx="291">
                  <c:v>2.3824177319207802</c:v>
                </c:pt>
                <c:pt idx="292">
                  <c:v>2.3876264799095801</c:v>
                </c:pt>
                <c:pt idx="293">
                  <c:v>2.3923170929364002</c:v>
                </c:pt>
                <c:pt idx="294">
                  <c:v>2.3973433414774301</c:v>
                </c:pt>
                <c:pt idx="295">
                  <c:v>2.4036294205900299</c:v>
                </c:pt>
                <c:pt idx="296">
                  <c:v>2.40735729551163</c:v>
                </c:pt>
                <c:pt idx="297">
                  <c:v>2.4103603607781299</c:v>
                </c:pt>
                <c:pt idx="298">
                  <c:v>2.4128702959805701</c:v>
                </c:pt>
                <c:pt idx="299">
                  <c:v>2.4156937073756501</c:v>
                </c:pt>
                <c:pt idx="300">
                  <c:v>2.4195207494490401</c:v>
                </c:pt>
                <c:pt idx="301">
                  <c:v>2.4238299447988898</c:v>
                </c:pt>
                <c:pt idx="302">
                  <c:v>2.4287240909007002</c:v>
                </c:pt>
                <c:pt idx="303">
                  <c:v>2.43308420695169</c:v>
                </c:pt>
                <c:pt idx="304">
                  <c:v>2.4370028341207002</c:v>
                </c:pt>
                <c:pt idx="305">
                  <c:v>2.4406567288916099</c:v>
                </c:pt>
                <c:pt idx="306">
                  <c:v>2.4434267630184898</c:v>
                </c:pt>
                <c:pt idx="307">
                  <c:v>2.4468799959124001</c:v>
                </c:pt>
                <c:pt idx="308">
                  <c:v>2.4498146520840001</c:v>
                </c:pt>
                <c:pt idx="309">
                  <c:v>2.4536522836253698</c:v>
                </c:pt>
                <c:pt idx="310">
                  <c:v>2.45773970565013</c:v>
                </c:pt>
                <c:pt idx="311">
                  <c:v>2.46198427799043</c:v>
                </c:pt>
                <c:pt idx="312">
                  <c:v>2.4647717357057601</c:v>
                </c:pt>
                <c:pt idx="313">
                  <c:v>2.4673918307370699</c:v>
                </c:pt>
                <c:pt idx="314">
                  <c:v>2.46983090575679</c:v>
                </c:pt>
                <c:pt idx="315">
                  <c:v>2.4722855616401</c:v>
                </c:pt>
                <c:pt idx="316">
                  <c:v>2.4740256620305101</c:v>
                </c:pt>
                <c:pt idx="317">
                  <c:v>2.47607461787211</c:v>
                </c:pt>
                <c:pt idx="318">
                  <c:v>2.47773583197608</c:v>
                </c:pt>
                <c:pt idx="319">
                  <c:v>2.4795034477321898</c:v>
                </c:pt>
                <c:pt idx="320">
                  <c:v>2.4810160655723101</c:v>
                </c:pt>
                <c:pt idx="321">
                  <c:v>2.4819636383878398</c:v>
                </c:pt>
                <c:pt idx="322">
                  <c:v>2.4827256855796001</c:v>
                </c:pt>
                <c:pt idx="323">
                  <c:v>2.4838297691318698</c:v>
                </c:pt>
                <c:pt idx="324">
                  <c:v>2.48458783503939</c:v>
                </c:pt>
                <c:pt idx="325">
                  <c:v>2.4862402022721999</c:v>
                </c:pt>
                <c:pt idx="326">
                  <c:v>2.4876584188844699</c:v>
                </c:pt>
                <c:pt idx="327">
                  <c:v>2.4891567476957599</c:v>
                </c:pt>
                <c:pt idx="328">
                  <c:v>2.4903694766385498</c:v>
                </c:pt>
                <c:pt idx="329">
                  <c:v>2.4915224118867298</c:v>
                </c:pt>
                <c:pt idx="330">
                  <c:v>2.4928085645846001</c:v>
                </c:pt>
                <c:pt idx="331">
                  <c:v>2.4936712581211702</c:v>
                </c:pt>
                <c:pt idx="332">
                  <c:v>2.4940350766236001</c:v>
                </c:pt>
                <c:pt idx="333">
                  <c:v>2.49398040144691</c:v>
                </c:pt>
                <c:pt idx="334">
                  <c:v>2.4945934857715901</c:v>
                </c:pt>
                <c:pt idx="335">
                  <c:v>2.4947002597258199</c:v>
                </c:pt>
                <c:pt idx="336">
                  <c:v>2.4949832818029098</c:v>
                </c:pt>
                <c:pt idx="337">
                  <c:v>2.4945710685764002</c:v>
                </c:pt>
                <c:pt idx="338">
                  <c:v>2.49346041784599</c:v>
                </c:pt>
                <c:pt idx="339">
                  <c:v>2.4911655758379299</c:v>
                </c:pt>
                <c:pt idx="340">
                  <c:v>2.49149821038087</c:v>
                </c:pt>
                <c:pt idx="341">
                  <c:v>2.4915406079912801</c:v>
                </c:pt>
                <c:pt idx="342">
                  <c:v>2.49226192799006</c:v>
                </c:pt>
                <c:pt idx="343">
                  <c:v>2.4914390551210102</c:v>
                </c:pt>
                <c:pt idx="344">
                  <c:v>2.4904533223064802</c:v>
                </c:pt>
                <c:pt idx="345">
                  <c:v>2.48978664058717</c:v>
                </c:pt>
                <c:pt idx="346">
                  <c:v>2.4886577646181798</c:v>
                </c:pt>
                <c:pt idx="347">
                  <c:v>2.4883651847369999</c:v>
                </c:pt>
                <c:pt idx="348">
                  <c:v>2.4872475113324999</c:v>
                </c:pt>
                <c:pt idx="349">
                  <c:v>2.4860011156160202</c:v>
                </c:pt>
                <c:pt idx="350">
                  <c:v>2.48481017710469</c:v>
                </c:pt>
                <c:pt idx="351">
                  <c:v>2.4829003165469201</c:v>
                </c:pt>
                <c:pt idx="352">
                  <c:v>2.4796239527871902</c:v>
                </c:pt>
                <c:pt idx="353">
                  <c:v>2.4752356540664202</c:v>
                </c:pt>
                <c:pt idx="354">
                  <c:v>2.4712025556906898</c:v>
                </c:pt>
                <c:pt idx="355">
                  <c:v>2.46702328611046</c:v>
                </c:pt>
                <c:pt idx="356">
                  <c:v>2.4630225063833699</c:v>
                </c:pt>
                <c:pt idx="357">
                  <c:v>2.4592361676927301</c:v>
                </c:pt>
                <c:pt idx="358">
                  <c:v>2.45502516012627</c:v>
                </c:pt>
                <c:pt idx="359">
                  <c:v>2.4511985639820901</c:v>
                </c:pt>
                <c:pt idx="360">
                  <c:v>2.4476288934861499</c:v>
                </c:pt>
                <c:pt idx="361">
                  <c:v>2.4438627896712699</c:v>
                </c:pt>
                <c:pt idx="362">
                  <c:v>2.4409335156860998</c:v>
                </c:pt>
                <c:pt idx="363">
                  <c:v>2.43827681874488</c:v>
                </c:pt>
                <c:pt idx="364">
                  <c:v>2.4352646878224702</c:v>
                </c:pt>
                <c:pt idx="365">
                  <c:v>2.43229532776401</c:v>
                </c:pt>
                <c:pt idx="366">
                  <c:v>2.42827116836976</c:v>
                </c:pt>
                <c:pt idx="367">
                  <c:v>2.42351252873899</c:v>
                </c:pt>
                <c:pt idx="368">
                  <c:v>2.4191195468573099</c:v>
                </c:pt>
                <c:pt idx="369">
                  <c:v>2.4154435117814499</c:v>
                </c:pt>
                <c:pt idx="370">
                  <c:v>2.4107842494293301</c:v>
                </c:pt>
                <c:pt idx="371">
                  <c:v>2.4061102704481399</c:v>
                </c:pt>
                <c:pt idx="372">
                  <c:v>2.40224850034366</c:v>
                </c:pt>
                <c:pt idx="373">
                  <c:v>2.3988181223367899</c:v>
                </c:pt>
                <c:pt idx="374">
                  <c:v>2.3946703202048001</c:v>
                </c:pt>
                <c:pt idx="375">
                  <c:v>2.39073416503425</c:v>
                </c:pt>
                <c:pt idx="376">
                  <c:v>2.3869885906439201</c:v>
                </c:pt>
                <c:pt idx="377">
                  <c:v>2.3832728459630701</c:v>
                </c:pt>
                <c:pt idx="378">
                  <c:v>2.3796661177951699</c:v>
                </c:pt>
                <c:pt idx="379">
                  <c:v>2.3766495210886802</c:v>
                </c:pt>
                <c:pt idx="380">
                  <c:v>2.3749312337737498</c:v>
                </c:pt>
                <c:pt idx="381">
                  <c:v>2.3719528915936299</c:v>
                </c:pt>
                <c:pt idx="382">
                  <c:v>2.3682153384513298</c:v>
                </c:pt>
                <c:pt idx="383">
                  <c:v>2.36485287346534</c:v>
                </c:pt>
                <c:pt idx="384">
                  <c:v>2.3615090095941502</c:v>
                </c:pt>
                <c:pt idx="385">
                  <c:v>2.35857594662088</c:v>
                </c:pt>
                <c:pt idx="386">
                  <c:v>2.35619075163055</c:v>
                </c:pt>
                <c:pt idx="387">
                  <c:v>2.3539542653696599</c:v>
                </c:pt>
                <c:pt idx="388">
                  <c:v>2.3524156068003199</c:v>
                </c:pt>
                <c:pt idx="389">
                  <c:v>2.3503033934109299</c:v>
                </c:pt>
                <c:pt idx="390">
                  <c:v>2.3489750503234399</c:v>
                </c:pt>
                <c:pt idx="391">
                  <c:v>2.3468358874395201</c:v>
                </c:pt>
                <c:pt idx="392">
                  <c:v>2.34440772887505</c:v>
                </c:pt>
                <c:pt idx="393">
                  <c:v>2.34260614157346</c:v>
                </c:pt>
                <c:pt idx="394">
                  <c:v>2.34117120090538</c:v>
                </c:pt>
                <c:pt idx="395">
                  <c:v>2.3392689702456702</c:v>
                </c:pt>
                <c:pt idx="396">
                  <c:v>2.3374183678360398</c:v>
                </c:pt>
                <c:pt idx="397">
                  <c:v>2.3352109424930201</c:v>
                </c:pt>
                <c:pt idx="398">
                  <c:v>2.3321801223546399</c:v>
                </c:pt>
                <c:pt idx="399">
                  <c:v>2.3283851974727598</c:v>
                </c:pt>
                <c:pt idx="400">
                  <c:v>2.3255598846040599</c:v>
                </c:pt>
                <c:pt idx="401">
                  <c:v>2.3215435580734498</c:v>
                </c:pt>
                <c:pt idx="402">
                  <c:v>2.3170515473156601</c:v>
                </c:pt>
                <c:pt idx="403">
                  <c:v>2.3122669477017599</c:v>
                </c:pt>
                <c:pt idx="404">
                  <c:v>2.3085592418833998</c:v>
                </c:pt>
                <c:pt idx="405">
                  <c:v>2.30494250565022</c:v>
                </c:pt>
                <c:pt idx="406">
                  <c:v>2.3019709690903598</c:v>
                </c:pt>
                <c:pt idx="407">
                  <c:v>2.2995971170797902</c:v>
                </c:pt>
                <c:pt idx="408">
                  <c:v>2.2968009740479101</c:v>
                </c:pt>
                <c:pt idx="409">
                  <c:v>2.2932485765617998</c:v>
                </c:pt>
                <c:pt idx="410">
                  <c:v>2.29002241535078</c:v>
                </c:pt>
                <c:pt idx="411">
                  <c:v>2.2863763007748501</c:v>
                </c:pt>
                <c:pt idx="412">
                  <c:v>2.2841521926547399</c:v>
                </c:pt>
                <c:pt idx="413">
                  <c:v>2.2828938606596201</c:v>
                </c:pt>
                <c:pt idx="414">
                  <c:v>2.28203393503901</c:v>
                </c:pt>
                <c:pt idx="415">
                  <c:v>2.2793667876247801</c:v>
                </c:pt>
                <c:pt idx="416">
                  <c:v>2.27676871704658</c:v>
                </c:pt>
                <c:pt idx="417">
                  <c:v>2.2739599301165798</c:v>
                </c:pt>
                <c:pt idx="418">
                  <c:v>2.2729994842338099</c:v>
                </c:pt>
                <c:pt idx="419">
                  <c:v>2.2718484980359301</c:v>
                </c:pt>
                <c:pt idx="420">
                  <c:v>2.2704217212306701</c:v>
                </c:pt>
                <c:pt idx="421">
                  <c:v>2.2691595269544602</c:v>
                </c:pt>
                <c:pt idx="422">
                  <c:v>2.26779558179636</c:v>
                </c:pt>
                <c:pt idx="423">
                  <c:v>2.2671939172078899</c:v>
                </c:pt>
                <c:pt idx="424">
                  <c:v>2.2670726740971401</c:v>
                </c:pt>
                <c:pt idx="425">
                  <c:v>2.2667785309917599</c:v>
                </c:pt>
                <c:pt idx="426">
                  <c:v>2.2657401843782199</c:v>
                </c:pt>
                <c:pt idx="427">
                  <c:v>2.2652972956862998</c:v>
                </c:pt>
                <c:pt idx="428">
                  <c:v>2.2648838589937998</c:v>
                </c:pt>
                <c:pt idx="429">
                  <c:v>2.2642799583899</c:v>
                </c:pt>
                <c:pt idx="430">
                  <c:v>2.26330827034369</c:v>
                </c:pt>
                <c:pt idx="431">
                  <c:v>2.2629889974738102</c:v>
                </c:pt>
                <c:pt idx="432">
                  <c:v>2.2634845790751998</c:v>
                </c:pt>
                <c:pt idx="433">
                  <c:v>2.26346315352145</c:v>
                </c:pt>
                <c:pt idx="434">
                  <c:v>2.2637074190554101</c:v>
                </c:pt>
                <c:pt idx="435">
                  <c:v>2.26273383417844</c:v>
                </c:pt>
                <c:pt idx="436">
                  <c:v>2.2626592610936802</c:v>
                </c:pt>
                <c:pt idx="437">
                  <c:v>2.2631243773727499</c:v>
                </c:pt>
                <c:pt idx="438">
                  <c:v>2.2634419257513301</c:v>
                </c:pt>
                <c:pt idx="439">
                  <c:v>2.2635018998109899</c:v>
                </c:pt>
                <c:pt idx="440">
                  <c:v>2.2636297805602301</c:v>
                </c:pt>
                <c:pt idx="441">
                  <c:v>2.2634685752633401</c:v>
                </c:pt>
                <c:pt idx="442">
                  <c:v>2.26474969050936</c:v>
                </c:pt>
                <c:pt idx="443">
                  <c:v>2.2654748413863901</c:v>
                </c:pt>
                <c:pt idx="444">
                  <c:v>2.2658477505977901</c:v>
                </c:pt>
                <c:pt idx="445">
                  <c:v>2.2662036581885499</c:v>
                </c:pt>
                <c:pt idx="446">
                  <c:v>2.2670272455595</c:v>
                </c:pt>
                <c:pt idx="447">
                  <c:v>2.2665731313681001</c:v>
                </c:pt>
                <c:pt idx="448">
                  <c:v>2.2671142669726398</c:v>
                </c:pt>
                <c:pt idx="449">
                  <c:v>2.2686476713934298</c:v>
                </c:pt>
                <c:pt idx="450">
                  <c:v>2.2698508906449399</c:v>
                </c:pt>
                <c:pt idx="451">
                  <c:v>2.2706861187969798</c:v>
                </c:pt>
                <c:pt idx="452">
                  <c:v>2.27163712345433</c:v>
                </c:pt>
                <c:pt idx="453">
                  <c:v>2.2725742051143101</c:v>
                </c:pt>
                <c:pt idx="454">
                  <c:v>2.2729064448049998</c:v>
                </c:pt>
                <c:pt idx="455">
                  <c:v>2.2729482699518901</c:v>
                </c:pt>
                <c:pt idx="456">
                  <c:v>2.27489807174367</c:v>
                </c:pt>
                <c:pt idx="457">
                  <c:v>2.27733054014021</c:v>
                </c:pt>
                <c:pt idx="458">
                  <c:v>2.28050755163446</c:v>
                </c:pt>
                <c:pt idx="459">
                  <c:v>2.2833602525153598</c:v>
                </c:pt>
                <c:pt idx="460">
                  <c:v>2.28627298641171</c:v>
                </c:pt>
                <c:pt idx="461">
                  <c:v>2.2893308922816198</c:v>
                </c:pt>
                <c:pt idx="462">
                  <c:v>2.2935622534703799</c:v>
                </c:pt>
                <c:pt idx="463">
                  <c:v>2.29731317964329</c:v>
                </c:pt>
                <c:pt idx="464">
                  <c:v>2.29886574524672</c:v>
                </c:pt>
                <c:pt idx="465">
                  <c:v>2.3009570613307302</c:v>
                </c:pt>
                <c:pt idx="466">
                  <c:v>2.30243356490169</c:v>
                </c:pt>
                <c:pt idx="467">
                  <c:v>2.3026863300421399</c:v>
                </c:pt>
                <c:pt idx="468">
                  <c:v>2.3020448953283998</c:v>
                </c:pt>
                <c:pt idx="469">
                  <c:v>2.3018720755674198</c:v>
                </c:pt>
                <c:pt idx="470">
                  <c:v>2.30184486468307</c:v>
                </c:pt>
                <c:pt idx="471">
                  <c:v>2.3023185963444099</c:v>
                </c:pt>
                <c:pt idx="472">
                  <c:v>2.3037926133370901</c:v>
                </c:pt>
                <c:pt idx="473">
                  <c:v>2.3061355743112499</c:v>
                </c:pt>
                <c:pt idx="474">
                  <c:v>2.3086424280445201</c:v>
                </c:pt>
                <c:pt idx="475">
                  <c:v>2.3093278161612401</c:v>
                </c:pt>
                <c:pt idx="476">
                  <c:v>2.31190907184823</c:v>
                </c:pt>
                <c:pt idx="477">
                  <c:v>2.3150814413737302</c:v>
                </c:pt>
                <c:pt idx="478">
                  <c:v>2.31868734123141</c:v>
                </c:pt>
                <c:pt idx="479">
                  <c:v>2.3213562315235601</c:v>
                </c:pt>
                <c:pt idx="480">
                  <c:v>2.3236185889380101</c:v>
                </c:pt>
                <c:pt idx="481">
                  <c:v>2.3255661116645201</c:v>
                </c:pt>
                <c:pt idx="482">
                  <c:v>2.32858773085005</c:v>
                </c:pt>
                <c:pt idx="483">
                  <c:v>2.33177603074467</c:v>
                </c:pt>
                <c:pt idx="484">
                  <c:v>2.3348709591197601</c:v>
                </c:pt>
                <c:pt idx="485">
                  <c:v>2.3377992794137001</c:v>
                </c:pt>
                <c:pt idx="486">
                  <c:v>2.3412714462952202</c:v>
                </c:pt>
                <c:pt idx="487">
                  <c:v>2.3436929265655602</c:v>
                </c:pt>
                <c:pt idx="488">
                  <c:v>2.3462607981799799</c:v>
                </c:pt>
                <c:pt idx="489">
                  <c:v>2.3490818970880798</c:v>
                </c:pt>
                <c:pt idx="490">
                  <c:v>2.3525756765818602</c:v>
                </c:pt>
                <c:pt idx="491">
                  <c:v>2.35587619457606</c:v>
                </c:pt>
                <c:pt idx="492">
                  <c:v>2.3595058339318</c:v>
                </c:pt>
                <c:pt idx="493">
                  <c:v>2.3626120533587698</c:v>
                </c:pt>
                <c:pt idx="494">
                  <c:v>2.3656959162543001</c:v>
                </c:pt>
                <c:pt idx="495">
                  <c:v>2.36861646546242</c:v>
                </c:pt>
                <c:pt idx="496">
                  <c:v>2.3709542612793499</c:v>
                </c:pt>
                <c:pt idx="497">
                  <c:v>2.3723340231552399</c:v>
                </c:pt>
                <c:pt idx="498">
                  <c:v>2.3729820756639999</c:v>
                </c:pt>
                <c:pt idx="499">
                  <c:v>2.3736600464070299</c:v>
                </c:pt>
                <c:pt idx="500">
                  <c:v>2.3744441318979299</c:v>
                </c:pt>
                <c:pt idx="501">
                  <c:v>2.3739778488818399</c:v>
                </c:pt>
                <c:pt idx="502">
                  <c:v>2.37432316774568</c:v>
                </c:pt>
                <c:pt idx="503">
                  <c:v>2.3742731653870801</c:v>
                </c:pt>
                <c:pt idx="504">
                  <c:v>2.37510070982517</c:v>
                </c:pt>
                <c:pt idx="505">
                  <c:v>2.3753084375849198</c:v>
                </c:pt>
                <c:pt idx="506">
                  <c:v>2.3740049607701299</c:v>
                </c:pt>
                <c:pt idx="507">
                  <c:v>2.3733527604007998</c:v>
                </c:pt>
                <c:pt idx="508">
                  <c:v>2.3740212271001999</c:v>
                </c:pt>
                <c:pt idx="509">
                  <c:v>2.3743526409858098</c:v>
                </c:pt>
                <c:pt idx="510">
                  <c:v>2.3752351984020499</c:v>
                </c:pt>
                <c:pt idx="511">
                  <c:v>2.3755230796510398</c:v>
                </c:pt>
                <c:pt idx="512">
                  <c:v>2.3747076674646599</c:v>
                </c:pt>
                <c:pt idx="513">
                  <c:v>2.3741362388932301</c:v>
                </c:pt>
                <c:pt idx="514">
                  <c:v>2.3739751504578499</c:v>
                </c:pt>
                <c:pt idx="515">
                  <c:v>2.3728934422870398</c:v>
                </c:pt>
                <c:pt idx="516">
                  <c:v>2.3723173559172701</c:v>
                </c:pt>
                <c:pt idx="517">
                  <c:v>2.3697399629398701</c:v>
                </c:pt>
                <c:pt idx="518">
                  <c:v>2.3674784288651698</c:v>
                </c:pt>
                <c:pt idx="519">
                  <c:v>2.3649497354298599</c:v>
                </c:pt>
                <c:pt idx="520">
                  <c:v>2.3629251098903801</c:v>
                </c:pt>
                <c:pt idx="521">
                  <c:v>2.3608754427116798</c:v>
                </c:pt>
                <c:pt idx="522">
                  <c:v>2.3598551605900902</c:v>
                </c:pt>
                <c:pt idx="523">
                  <c:v>2.35853879785823</c:v>
                </c:pt>
                <c:pt idx="524">
                  <c:v>2.3565840379757699</c:v>
                </c:pt>
                <c:pt idx="525">
                  <c:v>2.3536645990259402</c:v>
                </c:pt>
                <c:pt idx="526">
                  <c:v>2.3509727425745099</c:v>
                </c:pt>
                <c:pt idx="527">
                  <c:v>2.34819633008158</c:v>
                </c:pt>
                <c:pt idx="528">
                  <c:v>2.345969077955</c:v>
                </c:pt>
                <c:pt idx="529">
                  <c:v>2.34238260207001</c:v>
                </c:pt>
                <c:pt idx="530">
                  <c:v>2.3386069232222799</c:v>
                </c:pt>
                <c:pt idx="531">
                  <c:v>2.3347940594263799</c:v>
                </c:pt>
                <c:pt idx="532">
                  <c:v>2.33147685512531</c:v>
                </c:pt>
                <c:pt idx="533">
                  <c:v>2.3276671961687798</c:v>
                </c:pt>
                <c:pt idx="534">
                  <c:v>2.3234132845597801</c:v>
                </c:pt>
                <c:pt idx="535">
                  <c:v>2.3191289315961798</c:v>
                </c:pt>
                <c:pt idx="536">
                  <c:v>2.31472674056725</c:v>
                </c:pt>
                <c:pt idx="537">
                  <c:v>2.30883596804351</c:v>
                </c:pt>
                <c:pt idx="538">
                  <c:v>2.3030738881737101</c:v>
                </c:pt>
                <c:pt idx="539">
                  <c:v>2.29985289079838</c:v>
                </c:pt>
                <c:pt idx="540">
                  <c:v>2.2955827558653499</c:v>
                </c:pt>
                <c:pt idx="541">
                  <c:v>2.2916745327406298</c:v>
                </c:pt>
                <c:pt idx="542">
                  <c:v>2.2887424773273701</c:v>
                </c:pt>
                <c:pt idx="543">
                  <c:v>2.2858420176877399</c:v>
                </c:pt>
                <c:pt idx="544">
                  <c:v>2.2830314388419901</c:v>
                </c:pt>
                <c:pt idx="545">
                  <c:v>2.2804190810358</c:v>
                </c:pt>
                <c:pt idx="546">
                  <c:v>2.2777819166963802</c:v>
                </c:pt>
                <c:pt idx="547">
                  <c:v>2.2739611044455001</c:v>
                </c:pt>
                <c:pt idx="548">
                  <c:v>2.2699888846756302</c:v>
                </c:pt>
                <c:pt idx="549">
                  <c:v>2.2662213021974198</c:v>
                </c:pt>
                <c:pt idx="550">
                  <c:v>2.26272633487575</c:v>
                </c:pt>
                <c:pt idx="551">
                  <c:v>2.2592090247669998</c:v>
                </c:pt>
                <c:pt idx="552">
                  <c:v>2.2556068336488799</c:v>
                </c:pt>
                <c:pt idx="553">
                  <c:v>2.2518695981504102</c:v>
                </c:pt>
                <c:pt idx="554">
                  <c:v>2.2481567129963498</c:v>
                </c:pt>
                <c:pt idx="555">
                  <c:v>2.24462282641267</c:v>
                </c:pt>
                <c:pt idx="556">
                  <c:v>2.2405958665179999</c:v>
                </c:pt>
                <c:pt idx="557">
                  <c:v>2.2351924806849799</c:v>
                </c:pt>
                <c:pt idx="558">
                  <c:v>2.2294063597850098</c:v>
                </c:pt>
                <c:pt idx="559">
                  <c:v>2.2239344090891402</c:v>
                </c:pt>
                <c:pt idx="560">
                  <c:v>2.2179813046794701</c:v>
                </c:pt>
                <c:pt idx="561">
                  <c:v>2.21167601576549</c:v>
                </c:pt>
                <c:pt idx="562">
                  <c:v>2.2051054252657498</c:v>
                </c:pt>
                <c:pt idx="563">
                  <c:v>2.1983423533703301</c:v>
                </c:pt>
                <c:pt idx="564">
                  <c:v>2.1910356988773398</c:v>
                </c:pt>
                <c:pt idx="565">
                  <c:v>2.1838168436584899</c:v>
                </c:pt>
                <c:pt idx="566">
                  <c:v>2.1762757186233501</c:v>
                </c:pt>
                <c:pt idx="567">
                  <c:v>2.1684269117659398</c:v>
                </c:pt>
                <c:pt idx="568">
                  <c:v>2.1601061529463399</c:v>
                </c:pt>
                <c:pt idx="569">
                  <c:v>2.15220341010289</c:v>
                </c:pt>
                <c:pt idx="570">
                  <c:v>2.1445445662443698</c:v>
                </c:pt>
                <c:pt idx="571">
                  <c:v>2.13672416342397</c:v>
                </c:pt>
                <c:pt idx="572">
                  <c:v>2.1295253153945399</c:v>
                </c:pt>
                <c:pt idx="573">
                  <c:v>2.12275986160815</c:v>
                </c:pt>
                <c:pt idx="574">
                  <c:v>2.1152645795101499</c:v>
                </c:pt>
                <c:pt idx="575">
                  <c:v>2.1076695006214399</c:v>
                </c:pt>
                <c:pt idx="576">
                  <c:v>2.1019657969177401</c:v>
                </c:pt>
                <c:pt idx="577">
                  <c:v>2.0957714053912002</c:v>
                </c:pt>
                <c:pt idx="578">
                  <c:v>2.0901136153398499</c:v>
                </c:pt>
                <c:pt idx="579">
                  <c:v>2.0843721898982599</c:v>
                </c:pt>
                <c:pt idx="580">
                  <c:v>2.0789764464707599</c:v>
                </c:pt>
                <c:pt idx="581">
                  <c:v>2.0746423635418099</c:v>
                </c:pt>
                <c:pt idx="582">
                  <c:v>2.0698196567366298</c:v>
                </c:pt>
                <c:pt idx="583">
                  <c:v>2.06449079874894</c:v>
                </c:pt>
                <c:pt idx="584">
                  <c:v>2.0596903845542802</c:v>
                </c:pt>
                <c:pt idx="585">
                  <c:v>2.05537631536833</c:v>
                </c:pt>
                <c:pt idx="586">
                  <c:v>2.0522494431562102</c:v>
                </c:pt>
                <c:pt idx="587">
                  <c:v>2.04971709199482</c:v>
                </c:pt>
                <c:pt idx="588">
                  <c:v>2.0457668821236399</c:v>
                </c:pt>
                <c:pt idx="589">
                  <c:v>2.0406067824402001</c:v>
                </c:pt>
                <c:pt idx="590">
                  <c:v>2.0385950363837102</c:v>
                </c:pt>
                <c:pt idx="591">
                  <c:v>2.0364886286167199</c:v>
                </c:pt>
                <c:pt idx="592">
                  <c:v>2.0351525496806402</c:v>
                </c:pt>
                <c:pt idx="593">
                  <c:v>2.0338284425377799</c:v>
                </c:pt>
                <c:pt idx="594">
                  <c:v>2.0323163516593601</c:v>
                </c:pt>
                <c:pt idx="595">
                  <c:v>2.0306594815638999</c:v>
                </c:pt>
                <c:pt idx="596">
                  <c:v>2.0286650838047899</c:v>
                </c:pt>
                <c:pt idx="597">
                  <c:v>2.0266815299128398</c:v>
                </c:pt>
                <c:pt idx="598">
                  <c:v>2.0242776355931298</c:v>
                </c:pt>
                <c:pt idx="599">
                  <c:v>2.0219064526101</c:v>
                </c:pt>
                <c:pt idx="600">
                  <c:v>2.02033469600849</c:v>
                </c:pt>
                <c:pt idx="601">
                  <c:v>2.0191206595537299</c:v>
                </c:pt>
                <c:pt idx="602">
                  <c:v>2.0169749313094099</c:v>
                </c:pt>
                <c:pt idx="603">
                  <c:v>2.01480657959655</c:v>
                </c:pt>
                <c:pt idx="604">
                  <c:v>2.0137082883883699</c:v>
                </c:pt>
                <c:pt idx="605">
                  <c:v>2.0126268289993599</c:v>
                </c:pt>
                <c:pt idx="606">
                  <c:v>2.0108684547891098</c:v>
                </c:pt>
                <c:pt idx="607">
                  <c:v>2.0086801240348402</c:v>
                </c:pt>
                <c:pt idx="608">
                  <c:v>2.0064384220547402</c:v>
                </c:pt>
                <c:pt idx="609">
                  <c:v>2.0038432871613998</c:v>
                </c:pt>
                <c:pt idx="610">
                  <c:v>2.0010457097097398</c:v>
                </c:pt>
                <c:pt idx="611">
                  <c:v>1.9979142247372501</c:v>
                </c:pt>
                <c:pt idx="612">
                  <c:v>1.99484049841797</c:v>
                </c:pt>
                <c:pt idx="613">
                  <c:v>1.9914192669131501</c:v>
                </c:pt>
                <c:pt idx="614">
                  <c:v>1.98812017765996</c:v>
                </c:pt>
                <c:pt idx="615">
                  <c:v>1.9853008945919299</c:v>
                </c:pt>
                <c:pt idx="616">
                  <c:v>1.9833411213586301</c:v>
                </c:pt>
                <c:pt idx="617">
                  <c:v>1.98061930535951</c:v>
                </c:pt>
                <c:pt idx="618">
                  <c:v>1.97846744724154</c:v>
                </c:pt>
                <c:pt idx="619">
                  <c:v>1.9759411416839601</c:v>
                </c:pt>
                <c:pt idx="620">
                  <c:v>1.97317429076696</c:v>
                </c:pt>
                <c:pt idx="621">
                  <c:v>1.9703144649433999</c:v>
                </c:pt>
                <c:pt idx="622">
                  <c:v>1.96742661561912</c:v>
                </c:pt>
                <c:pt idx="623">
                  <c:v>1.96451612096071</c:v>
                </c:pt>
                <c:pt idx="624">
                  <c:v>1.9621599678041</c:v>
                </c:pt>
                <c:pt idx="625">
                  <c:v>1.95991610179308</c:v>
                </c:pt>
                <c:pt idx="626">
                  <c:v>1.95806269851807</c:v>
                </c:pt>
                <c:pt idx="627">
                  <c:v>1.9562256917648599</c:v>
                </c:pt>
                <c:pt idx="628">
                  <c:v>1.9539916423413399</c:v>
                </c:pt>
                <c:pt idx="629">
                  <c:v>1.9517933455043599</c:v>
                </c:pt>
                <c:pt idx="630">
                  <c:v>1.9496678914287</c:v>
                </c:pt>
                <c:pt idx="631">
                  <c:v>1.9482608761415099</c:v>
                </c:pt>
                <c:pt idx="632">
                  <c:v>1.94738249052149</c:v>
                </c:pt>
                <c:pt idx="633">
                  <c:v>1.9453177541325499</c:v>
                </c:pt>
                <c:pt idx="634">
                  <c:v>1.9443716097872801</c:v>
                </c:pt>
                <c:pt idx="635">
                  <c:v>1.94505247752754</c:v>
                </c:pt>
                <c:pt idx="636">
                  <c:v>1.94578951083982</c:v>
                </c:pt>
                <c:pt idx="637">
                  <c:v>1.9469505090015999</c:v>
                </c:pt>
                <c:pt idx="638">
                  <c:v>1.9476186222562899</c:v>
                </c:pt>
                <c:pt idx="639">
                  <c:v>1.9481746763279399</c:v>
                </c:pt>
                <c:pt idx="640">
                  <c:v>1.9488707628764801</c:v>
                </c:pt>
                <c:pt idx="641">
                  <c:v>1.94967385753873</c:v>
                </c:pt>
                <c:pt idx="642">
                  <c:v>1.9507433765493201</c:v>
                </c:pt>
                <c:pt idx="643">
                  <c:v>1.9526566411437201</c:v>
                </c:pt>
                <c:pt idx="644">
                  <c:v>1.9551753432718599</c:v>
                </c:pt>
                <c:pt idx="645">
                  <c:v>1.9572634139365099</c:v>
                </c:pt>
                <c:pt idx="646">
                  <c:v>1.9599153169916399</c:v>
                </c:pt>
                <c:pt idx="647">
                  <c:v>1.9633786503653099</c:v>
                </c:pt>
                <c:pt idx="648">
                  <c:v>1.96527877695086</c:v>
                </c:pt>
                <c:pt idx="649">
                  <c:v>1.9670446176327601</c:v>
                </c:pt>
                <c:pt idx="650">
                  <c:v>1.9692586373515799</c:v>
                </c:pt>
                <c:pt idx="651">
                  <c:v>1.9712070577255301</c:v>
                </c:pt>
                <c:pt idx="652">
                  <c:v>1.9734782668103701</c:v>
                </c:pt>
                <c:pt idx="653">
                  <c:v>1.9750258525019699</c:v>
                </c:pt>
                <c:pt idx="654">
                  <c:v>1.9757254836098399</c:v>
                </c:pt>
                <c:pt idx="655">
                  <c:v>1.9767727916911699</c:v>
                </c:pt>
                <c:pt idx="656">
                  <c:v>1.9773872894887701</c:v>
                </c:pt>
                <c:pt idx="657">
                  <c:v>1.9769859414987201</c:v>
                </c:pt>
                <c:pt idx="658">
                  <c:v>1.97671825739019</c:v>
                </c:pt>
                <c:pt idx="659">
                  <c:v>1.97654922191585</c:v>
                </c:pt>
                <c:pt idx="660">
                  <c:v>1.97478749594887</c:v>
                </c:pt>
              </c:numCache>
            </c:numRef>
          </c:val>
        </c:ser>
        <c:marker val="1"/>
        <c:axId val="83142912"/>
        <c:axId val="83148800"/>
      </c:lineChart>
      <c:dateAx>
        <c:axId val="83142912"/>
        <c:scaling>
          <c:orientation val="minMax"/>
        </c:scaling>
        <c:axPos val="b"/>
        <c:numFmt formatCode="yyyy/mm/dd" sourceLinked="1"/>
        <c:tickLblPos val="nextTo"/>
        <c:crossAx val="83148800"/>
        <c:crosses val="autoZero"/>
        <c:auto val="1"/>
        <c:lblOffset val="100"/>
      </c:dateAx>
      <c:valAx>
        <c:axId val="83148800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831429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069E-2"/>
          <c:w val="0.11146820076747002"/>
          <c:h val="0.1504558576043829"/>
        </c:manualLayout>
      </c:layout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99390</xdr:colOff>
      <xdr:row>3</xdr:row>
      <xdr:rowOff>132523</xdr:rowOff>
    </xdr:from>
    <xdr:to>
      <xdr:col>8</xdr:col>
      <xdr:colOff>289890</xdr:colOff>
      <xdr:row>13</xdr:row>
      <xdr:rowOff>132523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66674</xdr:colOff>
      <xdr:row>2</xdr:row>
      <xdr:rowOff>114299</xdr:rowOff>
    </xdr:from>
    <xdr:to>
      <xdr:col>19</xdr:col>
      <xdr:colOff>323849</xdr:colOff>
      <xdr:row>36</xdr:row>
      <xdr:rowOff>66674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showGridLines="0" workbookViewId="0">
      <selection activeCell="D17" sqref="D17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W14"/>
  <sheetViews>
    <sheetView showGridLines="0" zoomScale="115" zoomScaleNormal="115" workbookViewId="0">
      <selection activeCell="F19" sqref="F19"/>
    </sheetView>
  </sheetViews>
  <sheetFormatPr defaultRowHeight="14.25"/>
  <cols>
    <col min="1" max="1" width="1.625" customWidth="1"/>
    <col min="2" max="2" width="4.87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9.375" customWidth="1"/>
    <col min="11" max="11" width="4.75" customWidth="1"/>
    <col min="12" max="12" width="8.375" customWidth="1"/>
    <col min="13" max="13" width="7.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10.875" customWidth="1"/>
    <col min="19" max="19" width="8.375" customWidth="1"/>
    <col min="20" max="20" width="2" customWidth="1"/>
    <col min="21" max="21" width="10.5" customWidth="1"/>
    <col min="22" max="22" width="6.125" customWidth="1"/>
    <col min="23" max="23" width="11.25" customWidth="1"/>
  </cols>
  <sheetData>
    <row r="1" spans="2:23" ht="18.75" customHeight="1" thickBot="1">
      <c r="C1" s="66" t="s">
        <v>280</v>
      </c>
      <c r="D1" s="18"/>
      <c r="H1" s="1"/>
      <c r="I1" s="18" t="s">
        <v>48</v>
      </c>
      <c r="J1" s="65"/>
      <c r="K1" s="155">
        <v>43759</v>
      </c>
      <c r="L1" s="156"/>
      <c r="M1" s="28"/>
      <c r="N1" s="18" t="s">
        <v>384</v>
      </c>
      <c r="P1" s="155">
        <f ca="1">TODAY()</f>
        <v>43760</v>
      </c>
      <c r="Q1" s="160"/>
      <c r="U1" s="66" t="s">
        <v>47</v>
      </c>
      <c r="V1" s="66"/>
    </row>
    <row r="2" spans="2:23" ht="16.5" customHeight="1" thickBot="1">
      <c r="J2" s="105">
        <f>SUM(J4:J90)</f>
        <v>4537047</v>
      </c>
      <c r="R2" s="145">
        <f>SUM(R4:R90)</f>
        <v>-13401.000000000022</v>
      </c>
      <c r="S2" s="102">
        <f>SUM(S4:S90)</f>
        <v>-1.0342920383452869E-2</v>
      </c>
    </row>
    <row r="3" spans="2:23" ht="24.75" thickBot="1">
      <c r="C3" s="67" t="s">
        <v>260</v>
      </c>
      <c r="D3" s="77" t="s">
        <v>287</v>
      </c>
      <c r="E3" s="69"/>
      <c r="F3" s="68" t="s">
        <v>99</v>
      </c>
      <c r="G3" s="70" t="s">
        <v>100</v>
      </c>
      <c r="H3" s="71" t="s">
        <v>261</v>
      </c>
      <c r="I3" s="71" t="s">
        <v>262</v>
      </c>
      <c r="J3" s="69" t="s">
        <v>46</v>
      </c>
      <c r="K3" s="69" t="s">
        <v>263</v>
      </c>
      <c r="L3" s="71" t="s">
        <v>264</v>
      </c>
      <c r="M3" s="72" t="s">
        <v>288</v>
      </c>
      <c r="N3" s="69" t="s">
        <v>265</v>
      </c>
      <c r="O3" s="72" t="s">
        <v>282</v>
      </c>
      <c r="P3" s="69" t="s">
        <v>377</v>
      </c>
      <c r="Q3" s="69" t="s">
        <v>266</v>
      </c>
      <c r="R3" s="72" t="s">
        <v>284</v>
      </c>
      <c r="S3" s="75" t="s">
        <v>285</v>
      </c>
      <c r="T3" s="74"/>
      <c r="U3" s="76" t="s">
        <v>383</v>
      </c>
      <c r="V3" s="76" t="s">
        <v>286</v>
      </c>
      <c r="W3" s="73" t="s">
        <v>283</v>
      </c>
    </row>
    <row r="4" spans="2:23">
      <c r="B4" s="32" t="s">
        <v>259</v>
      </c>
      <c r="C4" s="147">
        <f>ROW()/2-1</f>
        <v>1</v>
      </c>
      <c r="D4" s="153">
        <v>43745</v>
      </c>
      <c r="E4" s="42" t="s">
        <v>268</v>
      </c>
      <c r="F4" s="42">
        <v>6770</v>
      </c>
      <c r="G4" s="64" t="s">
        <v>50</v>
      </c>
      <c r="H4" s="58">
        <v>2105</v>
      </c>
      <c r="I4" s="43">
        <v>400</v>
      </c>
      <c r="J4" s="59">
        <f>H4*I4</f>
        <v>842000</v>
      </c>
      <c r="K4" s="48" t="s">
        <v>277</v>
      </c>
      <c r="L4" s="51">
        <v>2119</v>
      </c>
      <c r="M4" s="44">
        <f>360*2</f>
        <v>720</v>
      </c>
      <c r="N4" s="45">
        <v>162</v>
      </c>
      <c r="O4" s="45">
        <v>92</v>
      </c>
      <c r="P4" s="42">
        <f>(H4-L4)*I4-M4-N4-O4</f>
        <v>-6574</v>
      </c>
      <c r="Q4" s="60">
        <f>P4/J4</f>
        <v>-7.8076009501187645E-3</v>
      </c>
      <c r="R4" s="149">
        <f>P4+P5</f>
        <v>2774.9999999999764</v>
      </c>
      <c r="S4" s="150">
        <f t="shared" ref="S4" si="0">R4/(J4+J5)</f>
        <v>1.6585512211419416E-3</v>
      </c>
      <c r="U4" s="152">
        <f t="shared" ref="U4" ca="1" si="1">$P$1</f>
        <v>43760</v>
      </c>
      <c r="V4" s="146">
        <f t="shared" ref="V4" ca="1" si="2">DATEDIF(D4,U4,"d")</f>
        <v>15</v>
      </c>
      <c r="W4" s="146"/>
    </row>
    <row r="5" spans="2:23">
      <c r="B5" s="32"/>
      <c r="C5" s="148"/>
      <c r="D5" s="154">
        <v>43745</v>
      </c>
      <c r="E5" s="38" t="s">
        <v>269</v>
      </c>
      <c r="F5" s="38">
        <v>8601</v>
      </c>
      <c r="G5" s="63" t="s">
        <v>53</v>
      </c>
      <c r="H5" s="55">
        <v>488.91</v>
      </c>
      <c r="I5" s="39">
        <v>1700</v>
      </c>
      <c r="J5" s="56">
        <f>H5*I5</f>
        <v>831147</v>
      </c>
      <c r="K5" s="104" t="s">
        <v>258</v>
      </c>
      <c r="L5" s="50">
        <v>495.3</v>
      </c>
      <c r="M5" s="40">
        <f>360*2</f>
        <v>720</v>
      </c>
      <c r="N5" s="41">
        <v>386</v>
      </c>
      <c r="O5" s="41">
        <v>408</v>
      </c>
      <c r="P5" s="38">
        <f>(L5-H5)*I5-M5-N5-O5</f>
        <v>9348.9999999999764</v>
      </c>
      <c r="Q5" s="57">
        <f>P5/J5</f>
        <v>1.1248311068920391E-2</v>
      </c>
      <c r="R5" s="149"/>
      <c r="S5" s="151"/>
      <c r="U5" s="146"/>
      <c r="V5" s="146"/>
      <c r="W5" s="146"/>
    </row>
    <row r="6" spans="2:23">
      <c r="B6" s="32" t="s">
        <v>259</v>
      </c>
      <c r="C6" s="147">
        <f>ROW()/2-1</f>
        <v>2</v>
      </c>
      <c r="D6" s="153">
        <v>43745</v>
      </c>
      <c r="E6" s="42" t="s">
        <v>268</v>
      </c>
      <c r="F6" s="42">
        <v>5803</v>
      </c>
      <c r="G6" s="64" t="s">
        <v>54</v>
      </c>
      <c r="H6" s="58">
        <v>413</v>
      </c>
      <c r="I6" s="43">
        <v>1700</v>
      </c>
      <c r="J6" s="59">
        <f>H6*I6</f>
        <v>702100</v>
      </c>
      <c r="K6" s="48" t="s">
        <v>278</v>
      </c>
      <c r="L6" s="51">
        <v>457</v>
      </c>
      <c r="M6" s="44">
        <f>360*2</f>
        <v>720</v>
      </c>
      <c r="N6" s="45">
        <v>162</v>
      </c>
      <c r="O6" s="45">
        <v>92</v>
      </c>
      <c r="P6" s="42">
        <f>(H6-L6)*I6-M6-N6-O6</f>
        <v>-75774</v>
      </c>
      <c r="Q6" s="60">
        <f>P6/J6</f>
        <v>-0.10792479703745905</v>
      </c>
      <c r="R6" s="149">
        <f>P6+P7</f>
        <v>-22288</v>
      </c>
      <c r="S6" s="150">
        <f>R6/(J6+J7)</f>
        <v>-1.6126184791259678E-2</v>
      </c>
      <c r="U6" s="152">
        <f t="shared" ref="U6" ca="1" si="3">$P$1</f>
        <v>43760</v>
      </c>
      <c r="V6" s="146">
        <f t="shared" ref="V6" ca="1" si="4">DATEDIF(D6,U6,"d")</f>
        <v>15</v>
      </c>
      <c r="W6" s="146"/>
    </row>
    <row r="7" spans="2:23">
      <c r="B7" s="32"/>
      <c r="C7" s="148"/>
      <c r="D7" s="154">
        <v>43745</v>
      </c>
      <c r="E7" s="38" t="s">
        <v>269</v>
      </c>
      <c r="F7" s="38">
        <v>7259</v>
      </c>
      <c r="G7" s="63" t="s">
        <v>55</v>
      </c>
      <c r="H7" s="55">
        <v>3400</v>
      </c>
      <c r="I7" s="55">
        <v>200</v>
      </c>
      <c r="J7" s="56">
        <f>H7*I7</f>
        <v>680000</v>
      </c>
      <c r="K7" s="104" t="s">
        <v>258</v>
      </c>
      <c r="L7" s="50">
        <v>3675</v>
      </c>
      <c r="M7" s="40">
        <f>360*2</f>
        <v>720</v>
      </c>
      <c r="N7" s="41">
        <v>386</v>
      </c>
      <c r="O7" s="41">
        <v>408</v>
      </c>
      <c r="P7" s="38">
        <f>(L7-H7)*I7-M7-N7-O7</f>
        <v>53486</v>
      </c>
      <c r="Q7" s="57">
        <f>P7/J7</f>
        <v>7.8655882352941173E-2</v>
      </c>
      <c r="R7" s="149"/>
      <c r="S7" s="151"/>
      <c r="U7" s="146"/>
      <c r="V7" s="146"/>
      <c r="W7" s="146"/>
    </row>
    <row r="8" spans="2:23">
      <c r="B8" s="32" t="s">
        <v>259</v>
      </c>
      <c r="C8" s="147">
        <f>ROW()/2-1</f>
        <v>3</v>
      </c>
      <c r="D8" s="153">
        <v>43748</v>
      </c>
      <c r="E8" s="42" t="s">
        <v>268</v>
      </c>
      <c r="F8" s="42">
        <v>7186</v>
      </c>
      <c r="G8" s="64" t="s">
        <v>270</v>
      </c>
      <c r="H8" s="58">
        <v>410</v>
      </c>
      <c r="I8" s="42">
        <v>1800</v>
      </c>
      <c r="J8" s="42">
        <f>H8*I8</f>
        <v>738000</v>
      </c>
      <c r="K8" s="61" t="s">
        <v>274</v>
      </c>
      <c r="L8" s="58">
        <v>422</v>
      </c>
      <c r="M8" s="42">
        <f>360*2</f>
        <v>720</v>
      </c>
      <c r="N8" s="42">
        <v>162</v>
      </c>
      <c r="O8" s="61">
        <v>92</v>
      </c>
      <c r="P8" s="58">
        <f>(H8-L8)*I8-M8-N8-O8</f>
        <v>-22574</v>
      </c>
      <c r="Q8" s="60">
        <f>P8/J8</f>
        <v>-3.0588075880758809E-2</v>
      </c>
      <c r="R8" s="149">
        <f>P8+P9</f>
        <v>6112</v>
      </c>
      <c r="S8" s="150">
        <f t="shared" ref="S8" si="5">R8/(J8+J9)</f>
        <v>4.1247131866648671E-3</v>
      </c>
      <c r="U8" s="152">
        <f ca="1">$P$1</f>
        <v>43760</v>
      </c>
      <c r="V8" s="146">
        <f t="shared" ref="V8" ca="1" si="6">DATEDIF(D8,U8,"d")</f>
        <v>12</v>
      </c>
      <c r="W8" s="146"/>
    </row>
    <row r="9" spans="2:23">
      <c r="B9" s="32"/>
      <c r="C9" s="148"/>
      <c r="D9" s="154">
        <v>43748</v>
      </c>
      <c r="E9" s="38" t="s">
        <v>269</v>
      </c>
      <c r="F9" s="38">
        <v>8309</v>
      </c>
      <c r="G9" s="63" t="s">
        <v>271</v>
      </c>
      <c r="H9" s="55">
        <v>3719</v>
      </c>
      <c r="I9" s="55">
        <v>200</v>
      </c>
      <c r="J9" s="56">
        <f>H9*I9</f>
        <v>743800</v>
      </c>
      <c r="K9" s="47" t="s">
        <v>274</v>
      </c>
      <c r="L9" s="50">
        <v>3870</v>
      </c>
      <c r="M9" s="40">
        <f>360*2</f>
        <v>720</v>
      </c>
      <c r="N9" s="41">
        <v>386</v>
      </c>
      <c r="O9" s="41">
        <v>408</v>
      </c>
      <c r="P9" s="38">
        <f>(L9-H9)*I9-M9-N9-O9</f>
        <v>28686</v>
      </c>
      <c r="Q9" s="57">
        <f>P9/J9</f>
        <v>3.8566819037375639E-2</v>
      </c>
      <c r="R9" s="149"/>
      <c r="S9" s="151"/>
      <c r="U9" s="146"/>
      <c r="V9" s="146"/>
      <c r="W9" s="146"/>
    </row>
    <row r="14" spans="2:23">
      <c r="I14" s="33"/>
    </row>
  </sheetData>
  <mergeCells count="23">
    <mergeCell ref="K1:L1"/>
    <mergeCell ref="C4:C5"/>
    <mergeCell ref="R4:R5"/>
    <mergeCell ref="S4:S5"/>
    <mergeCell ref="V4:V5"/>
    <mergeCell ref="W4:W5"/>
    <mergeCell ref="P1:Q1"/>
    <mergeCell ref="U4:U5"/>
    <mergeCell ref="D4:D5"/>
    <mergeCell ref="V6:V7"/>
    <mergeCell ref="W8:W9"/>
    <mergeCell ref="C8:C9"/>
    <mergeCell ref="R8:R9"/>
    <mergeCell ref="S8:S9"/>
    <mergeCell ref="V8:V9"/>
    <mergeCell ref="U8:U9"/>
    <mergeCell ref="D8:D9"/>
    <mergeCell ref="W6:W7"/>
    <mergeCell ref="C6:C7"/>
    <mergeCell ref="R6:R7"/>
    <mergeCell ref="U6:U7"/>
    <mergeCell ref="D6:D7"/>
    <mergeCell ref="S6:S7"/>
  </mergeCells>
  <phoneticPr fontId="1" type="noConversion"/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3"/>
  <dimension ref="B1:AC13"/>
  <sheetViews>
    <sheetView showGridLines="0" zoomScaleNormal="100" workbookViewId="0">
      <selection activeCell="N22" sqref="N22"/>
    </sheetView>
  </sheetViews>
  <sheetFormatPr defaultRowHeight="14.25"/>
  <cols>
    <col min="1" max="1" width="0.5" customWidth="1"/>
    <col min="2" max="2" width="4.625" customWidth="1"/>
    <col min="3" max="3" width="3.625" customWidth="1"/>
    <col min="4" max="4" width="10.375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1.125" hidden="1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/>
    <row r="2" spans="2:29" ht="15" thickBot="1">
      <c r="C2" s="66" t="s">
        <v>378</v>
      </c>
      <c r="R2" s="106">
        <f>SUM(R4:R1002)</f>
        <v>-2121.9999999999272</v>
      </c>
      <c r="U2" s="66" t="s">
        <v>257</v>
      </c>
    </row>
    <row r="3" spans="2:29" ht="30" customHeight="1" thickBot="1">
      <c r="C3" s="67" t="s">
        <v>260</v>
      </c>
      <c r="D3" s="103" t="s">
        <v>287</v>
      </c>
      <c r="E3" s="69"/>
      <c r="F3" s="70" t="s">
        <v>99</v>
      </c>
      <c r="G3" s="70" t="s">
        <v>100</v>
      </c>
      <c r="H3" s="72" t="s">
        <v>392</v>
      </c>
      <c r="I3" s="72" t="s">
        <v>389</v>
      </c>
      <c r="J3" s="69" t="s">
        <v>46</v>
      </c>
      <c r="K3" s="69" t="s">
        <v>263</v>
      </c>
      <c r="L3" s="72" t="s">
        <v>390</v>
      </c>
      <c r="M3" s="72" t="s">
        <v>288</v>
      </c>
      <c r="N3" s="69" t="s">
        <v>265</v>
      </c>
      <c r="O3" s="72" t="s">
        <v>282</v>
      </c>
      <c r="P3" s="71" t="s">
        <v>391</v>
      </c>
      <c r="Q3" s="71" t="s">
        <v>267</v>
      </c>
      <c r="R3" s="72" t="s">
        <v>284</v>
      </c>
      <c r="S3" s="75" t="s">
        <v>285</v>
      </c>
      <c r="T3" s="74"/>
      <c r="U3" s="76" t="s">
        <v>379</v>
      </c>
      <c r="V3" s="76" t="s">
        <v>286</v>
      </c>
      <c r="W3" s="76" t="s">
        <v>283</v>
      </c>
      <c r="AA3" s="76" t="s">
        <v>386</v>
      </c>
      <c r="AB3" s="76" t="s">
        <v>387</v>
      </c>
      <c r="AC3" s="76" t="s">
        <v>388</v>
      </c>
    </row>
    <row r="4" spans="2:29">
      <c r="C4" s="157">
        <v>1</v>
      </c>
      <c r="D4" s="172">
        <v>43726</v>
      </c>
      <c r="E4" s="34" t="s">
        <v>380</v>
      </c>
      <c r="F4" s="34">
        <v>6472</v>
      </c>
      <c r="G4" s="62" t="s">
        <v>381</v>
      </c>
      <c r="H4" s="52">
        <v>320</v>
      </c>
      <c r="I4" s="35">
        <v>1200</v>
      </c>
      <c r="J4" s="53">
        <v>384000</v>
      </c>
      <c r="K4" s="46" t="s">
        <v>275</v>
      </c>
      <c r="L4" s="49">
        <v>313</v>
      </c>
      <c r="M4" s="36">
        <v>360</v>
      </c>
      <c r="N4" s="37">
        <v>162</v>
      </c>
      <c r="O4" s="37">
        <v>92</v>
      </c>
      <c r="P4" s="34">
        <v>7786</v>
      </c>
      <c r="Q4" s="54">
        <v>2.0276041666666668E-2</v>
      </c>
      <c r="R4" s="169">
        <f>P4+P5</f>
        <v>32</v>
      </c>
      <c r="S4" s="159">
        <f t="shared" ref="S4" si="0">R4/(J4+J5)</f>
        <v>4.308255694975497E-5</v>
      </c>
      <c r="U4" s="175">
        <v>43742</v>
      </c>
      <c r="V4" s="167">
        <f>DATEDIF(D4,U4,"d")</f>
        <v>16</v>
      </c>
      <c r="W4" s="161" t="s">
        <v>385</v>
      </c>
      <c r="AA4" s="169">
        <f>YEAR(U4)</f>
        <v>2019</v>
      </c>
      <c r="AB4" s="169">
        <f>MONTH(U4)</f>
        <v>10</v>
      </c>
      <c r="AC4" s="169" t="str">
        <f>IF(R4&gt;0,"○","☓")</f>
        <v>○</v>
      </c>
    </row>
    <row r="5" spans="2:29">
      <c r="C5" s="148"/>
      <c r="D5" s="173"/>
      <c r="E5" s="38" t="s">
        <v>382</v>
      </c>
      <c r="F5" s="38">
        <v>6752</v>
      </c>
      <c r="G5" s="63" t="s">
        <v>144</v>
      </c>
      <c r="H5" s="55">
        <v>896.9</v>
      </c>
      <c r="I5" s="39">
        <v>400</v>
      </c>
      <c r="J5" s="56">
        <v>358760</v>
      </c>
      <c r="K5" s="47" t="s">
        <v>276</v>
      </c>
      <c r="L5" s="50">
        <v>880.4</v>
      </c>
      <c r="M5" s="40">
        <v>360</v>
      </c>
      <c r="N5" s="41">
        <v>386</v>
      </c>
      <c r="O5" s="41">
        <v>408</v>
      </c>
      <c r="P5" s="38">
        <v>-7754</v>
      </c>
      <c r="Q5" s="57">
        <v>-2.1613334819935333E-2</v>
      </c>
      <c r="R5" s="151"/>
      <c r="S5" s="174"/>
      <c r="U5" s="176"/>
      <c r="V5" s="168"/>
      <c r="W5" s="162"/>
      <c r="AA5" s="151"/>
      <c r="AB5" s="151"/>
      <c r="AC5" s="151"/>
    </row>
    <row r="6" spans="2:29">
      <c r="C6" s="157">
        <v>2</v>
      </c>
      <c r="D6" s="164">
        <v>43732</v>
      </c>
      <c r="E6" s="34" t="s">
        <v>268</v>
      </c>
      <c r="F6" s="34">
        <v>6305</v>
      </c>
      <c r="G6" s="62" t="s">
        <v>59</v>
      </c>
      <c r="H6" s="52">
        <v>2638</v>
      </c>
      <c r="I6" s="35">
        <v>300</v>
      </c>
      <c r="J6" s="53">
        <v>791400</v>
      </c>
      <c r="K6" s="46" t="s">
        <v>275</v>
      </c>
      <c r="L6" s="49">
        <v>2464</v>
      </c>
      <c r="M6" s="36">
        <v>720</v>
      </c>
      <c r="N6" s="37">
        <v>162</v>
      </c>
      <c r="O6" s="37">
        <v>92</v>
      </c>
      <c r="P6" s="34">
        <v>51226</v>
      </c>
      <c r="Q6" s="54">
        <v>6.4728329542582771E-2</v>
      </c>
      <c r="R6" s="169">
        <f>P6+P7</f>
        <v>39212</v>
      </c>
      <c r="S6" s="150">
        <f t="shared" ref="S6" si="1">R6/(J6+J7)</f>
        <v>2.4835011717018178E-2</v>
      </c>
      <c r="T6" s="3"/>
      <c r="U6" s="170">
        <v>43748</v>
      </c>
      <c r="V6" s="171">
        <f>DATEDIF(D6,U6,"d")</f>
        <v>16</v>
      </c>
      <c r="W6" s="163" t="s">
        <v>385</v>
      </c>
      <c r="AA6" s="169">
        <f t="shared" ref="AA6" si="2">YEAR(U6)</f>
        <v>2019</v>
      </c>
      <c r="AB6" s="169">
        <f t="shared" ref="AB6" si="3">MONTH(U6)</f>
        <v>10</v>
      </c>
      <c r="AC6" s="169" t="str">
        <f>IF(R6&gt;0,"○","☓")</f>
        <v>○</v>
      </c>
    </row>
    <row r="7" spans="2:29">
      <c r="C7" s="148"/>
      <c r="D7" s="165"/>
      <c r="E7" s="38" t="s">
        <v>269</v>
      </c>
      <c r="F7" s="38">
        <v>3861</v>
      </c>
      <c r="G7" s="63" t="s">
        <v>93</v>
      </c>
      <c r="H7" s="55">
        <v>525</v>
      </c>
      <c r="I7" s="39">
        <v>1500</v>
      </c>
      <c r="J7" s="56">
        <v>787500</v>
      </c>
      <c r="K7" s="47" t="s">
        <v>276</v>
      </c>
      <c r="L7" s="50">
        <v>518</v>
      </c>
      <c r="M7" s="40">
        <v>720</v>
      </c>
      <c r="N7" s="41">
        <v>386</v>
      </c>
      <c r="O7" s="41">
        <v>408</v>
      </c>
      <c r="P7" s="38">
        <v>-12014</v>
      </c>
      <c r="Q7" s="57">
        <v>-1.5255873015873016E-2</v>
      </c>
      <c r="R7" s="151"/>
      <c r="S7" s="151"/>
      <c r="T7" s="3"/>
      <c r="U7" s="170"/>
      <c r="V7" s="171"/>
      <c r="W7" s="163"/>
      <c r="AA7" s="151"/>
      <c r="AB7" s="151"/>
      <c r="AC7" s="151"/>
    </row>
    <row r="8" spans="2:29">
      <c r="B8" s="32"/>
      <c r="C8" s="147">
        <f>ROW()/2-1</f>
        <v>3</v>
      </c>
      <c r="D8" s="164">
        <v>43747</v>
      </c>
      <c r="E8" s="42" t="s">
        <v>279</v>
      </c>
      <c r="F8" s="42">
        <v>3099</v>
      </c>
      <c r="G8" s="64" t="s">
        <v>91</v>
      </c>
      <c r="H8" s="58">
        <v>872</v>
      </c>
      <c r="I8" s="42">
        <v>1200</v>
      </c>
      <c r="J8" s="42">
        <f t="shared" ref="J8:J11" si="4">H8*I8</f>
        <v>1046400</v>
      </c>
      <c r="K8" s="61" t="s">
        <v>274</v>
      </c>
      <c r="L8" s="58">
        <v>876</v>
      </c>
      <c r="M8" s="42">
        <f t="shared" ref="M8:M11" si="5">360*2</f>
        <v>720</v>
      </c>
      <c r="N8" s="42">
        <v>162</v>
      </c>
      <c r="O8" s="61">
        <v>92</v>
      </c>
      <c r="P8" s="58">
        <f>(H8-L8)*I8-M8-N8-O8</f>
        <v>-5774</v>
      </c>
      <c r="Q8" s="60">
        <f t="shared" ref="Q8:Q11" si="6">P8/J8</f>
        <v>-5.5179663608562694E-3</v>
      </c>
      <c r="R8" s="149">
        <f>P8+P9</f>
        <v>63112</v>
      </c>
      <c r="S8" s="159">
        <f>R8/(J8+J9)</f>
        <v>3.0858595736358303E-2</v>
      </c>
      <c r="U8" s="166">
        <v>43753</v>
      </c>
      <c r="V8" s="148">
        <f t="shared" ref="V8" si="7">DATEDIF(D8,U8,"d")</f>
        <v>6</v>
      </c>
      <c r="W8" s="231" t="s">
        <v>458</v>
      </c>
      <c r="AA8" s="169">
        <f t="shared" ref="AA8:AA10" si="8">YEAR(U8)</f>
        <v>2019</v>
      </c>
      <c r="AB8" s="169">
        <f t="shared" ref="AB8" si="9">MONTH(U8)</f>
        <v>10</v>
      </c>
      <c r="AC8" s="169" t="str">
        <f t="shared" ref="AC8:AC10" si="10">IF(R8&gt;0,"○","☓")</f>
        <v>○</v>
      </c>
    </row>
    <row r="9" spans="2:29">
      <c r="B9" s="32"/>
      <c r="C9" s="148"/>
      <c r="D9" s="165">
        <v>43747</v>
      </c>
      <c r="E9" s="38" t="s">
        <v>269</v>
      </c>
      <c r="F9" s="38">
        <v>7211</v>
      </c>
      <c r="G9" s="63" t="s">
        <v>56</v>
      </c>
      <c r="H9" s="55">
        <v>454</v>
      </c>
      <c r="I9" s="55">
        <v>2200</v>
      </c>
      <c r="J9" s="56">
        <f t="shared" si="4"/>
        <v>998800</v>
      </c>
      <c r="K9" s="47" t="s">
        <v>274</v>
      </c>
      <c r="L9" s="50">
        <v>486</v>
      </c>
      <c r="M9" s="40">
        <f t="shared" si="5"/>
        <v>720</v>
      </c>
      <c r="N9" s="41">
        <v>386</v>
      </c>
      <c r="O9" s="41">
        <v>408</v>
      </c>
      <c r="P9" s="38">
        <f>(L9-H9)*I9-M9-N9-O9</f>
        <v>68886</v>
      </c>
      <c r="Q9" s="57">
        <f t="shared" si="6"/>
        <v>6.8968762515018017E-2</v>
      </c>
      <c r="R9" s="149"/>
      <c r="S9" s="151"/>
      <c r="U9" s="152"/>
      <c r="V9" s="146"/>
      <c r="W9" s="232"/>
      <c r="AA9" s="151"/>
      <c r="AB9" s="151"/>
      <c r="AC9" s="151"/>
    </row>
    <row r="10" spans="2:29">
      <c r="C10" s="147">
        <f>ROW()/2-1</f>
        <v>4</v>
      </c>
      <c r="D10" s="164">
        <v>43753</v>
      </c>
      <c r="E10" s="229" t="s">
        <v>268</v>
      </c>
      <c r="F10" s="42">
        <v>7453</v>
      </c>
      <c r="G10" s="64" t="s">
        <v>142</v>
      </c>
      <c r="H10" s="58">
        <v>2127</v>
      </c>
      <c r="I10" s="42">
        <v>500</v>
      </c>
      <c r="J10" s="42">
        <f t="shared" si="4"/>
        <v>1063500</v>
      </c>
      <c r="K10" s="61" t="s">
        <v>274</v>
      </c>
      <c r="L10" s="58">
        <v>2298</v>
      </c>
      <c r="M10" s="42">
        <f t="shared" si="5"/>
        <v>720</v>
      </c>
      <c r="N10" s="42">
        <v>162</v>
      </c>
      <c r="O10" s="61">
        <v>92</v>
      </c>
      <c r="P10" s="58">
        <f>(H10-L10)*I10-M10-N10-O10</f>
        <v>-86474</v>
      </c>
      <c r="Q10" s="60">
        <f t="shared" si="6"/>
        <v>-8.1310766337564649E-2</v>
      </c>
      <c r="R10" s="149">
        <f>P10+P11</f>
        <v>-93278.000000000029</v>
      </c>
      <c r="S10" s="150">
        <f t="shared" ref="S10" si="11">R10/(J10+J11)</f>
        <v>-4.3858585003691025E-2</v>
      </c>
      <c r="U10" s="166">
        <v>43759</v>
      </c>
      <c r="V10" s="146">
        <f>DATEDIF(D10,U10,"d")</f>
        <v>6</v>
      </c>
      <c r="W10" s="177" t="s">
        <v>405</v>
      </c>
      <c r="X10" s="1" t="s">
        <v>456</v>
      </c>
      <c r="AA10" s="169">
        <f t="shared" si="8"/>
        <v>2019</v>
      </c>
      <c r="AB10" s="169">
        <f t="shared" ref="AB10" si="12">MONTH(U10)</f>
        <v>10</v>
      </c>
      <c r="AC10" s="179" t="str">
        <f t="shared" si="10"/>
        <v>☓</v>
      </c>
    </row>
    <row r="11" spans="2:29">
      <c r="C11" s="148"/>
      <c r="D11" s="165">
        <v>43748</v>
      </c>
      <c r="E11" s="230" t="s">
        <v>269</v>
      </c>
      <c r="F11" s="38">
        <v>8308</v>
      </c>
      <c r="G11" s="63" t="s">
        <v>140</v>
      </c>
      <c r="H11" s="55">
        <v>462.3</v>
      </c>
      <c r="I11" s="55">
        <v>2300</v>
      </c>
      <c r="J11" s="56">
        <f t="shared" si="4"/>
        <v>1063290</v>
      </c>
      <c r="K11" s="47" t="s">
        <v>274</v>
      </c>
      <c r="L11" s="50">
        <v>460</v>
      </c>
      <c r="M11" s="40">
        <f t="shared" si="5"/>
        <v>720</v>
      </c>
      <c r="N11" s="118">
        <v>386</v>
      </c>
      <c r="O11" s="118">
        <v>408</v>
      </c>
      <c r="P11" s="38">
        <f>(L11-H11)*I11-M11-N11-O11</f>
        <v>-6804.0000000000264</v>
      </c>
      <c r="Q11" s="57">
        <f t="shared" si="6"/>
        <v>-6.3990068560787995E-3</v>
      </c>
      <c r="R11" s="149"/>
      <c r="S11" s="151"/>
      <c r="U11" s="152"/>
      <c r="V11" s="146"/>
      <c r="W11" s="178"/>
      <c r="X11" s="1" t="s">
        <v>457</v>
      </c>
      <c r="AA11" s="151"/>
      <c r="AB11" s="151"/>
      <c r="AC11" s="180"/>
    </row>
    <row r="12" spans="2:29">
      <c r="B12" s="32"/>
      <c r="C12" s="157">
        <f>ROW()/2-1</f>
        <v>5</v>
      </c>
      <c r="D12" s="173">
        <v>43742</v>
      </c>
      <c r="E12" s="34" t="s">
        <v>268</v>
      </c>
      <c r="F12" s="34">
        <v>8750</v>
      </c>
      <c r="G12" s="62" t="s">
        <v>58</v>
      </c>
      <c r="H12" s="52">
        <v>1635</v>
      </c>
      <c r="I12" s="35">
        <v>600</v>
      </c>
      <c r="J12" s="53">
        <f>H12*I12</f>
        <v>981000</v>
      </c>
      <c r="K12" s="46" t="s">
        <v>275</v>
      </c>
      <c r="L12" s="49">
        <v>1741.5</v>
      </c>
      <c r="M12" s="36">
        <f>360*2</f>
        <v>720</v>
      </c>
      <c r="N12" s="37">
        <v>162</v>
      </c>
      <c r="O12" s="37">
        <v>92</v>
      </c>
      <c r="P12" s="34">
        <f>(H12-L12)*I12-M12-N12-O12</f>
        <v>-64874</v>
      </c>
      <c r="Q12" s="54">
        <f>P12/J12</f>
        <v>-6.6130479102956163E-2</v>
      </c>
      <c r="R12" s="158">
        <f>P12+P13</f>
        <v>-11199.999999999898</v>
      </c>
      <c r="S12" s="159">
        <f>R12/(J12+J13)</f>
        <v>-5.7306824833502686E-3</v>
      </c>
      <c r="U12" s="152">
        <f ca="1">建玉管理!$P$1</f>
        <v>43760</v>
      </c>
      <c r="V12" s="146">
        <f ca="1">DATEDIF(D12,U12,"d")</f>
        <v>18</v>
      </c>
      <c r="W12" s="163" t="s">
        <v>385</v>
      </c>
      <c r="AA12" s="169">
        <f t="shared" ref="AA12:AA13" ca="1" si="13">YEAR(U12)</f>
        <v>2019</v>
      </c>
      <c r="AB12" s="169">
        <f t="shared" ref="AB12" ca="1" si="14">MONTH(U12)</f>
        <v>10</v>
      </c>
      <c r="AC12" s="179" t="str">
        <f t="shared" ref="AC12:AC13" si="15">IF(R12&gt;0,"○","☓")</f>
        <v>☓</v>
      </c>
    </row>
    <row r="13" spans="2:29">
      <c r="B13" s="32"/>
      <c r="C13" s="148"/>
      <c r="D13" s="165"/>
      <c r="E13" s="38" t="s">
        <v>269</v>
      </c>
      <c r="F13" s="38">
        <v>8002</v>
      </c>
      <c r="G13" s="63" t="s">
        <v>57</v>
      </c>
      <c r="H13" s="55">
        <v>695.28</v>
      </c>
      <c r="I13" s="39">
        <v>1400</v>
      </c>
      <c r="J13" s="56">
        <f>H13*I13</f>
        <v>973392</v>
      </c>
      <c r="K13" s="104" t="s">
        <v>272</v>
      </c>
      <c r="L13" s="50">
        <v>734.7</v>
      </c>
      <c r="M13" s="40">
        <f>360*2</f>
        <v>720</v>
      </c>
      <c r="N13" s="41">
        <v>386</v>
      </c>
      <c r="O13" s="41">
        <v>408</v>
      </c>
      <c r="P13" s="38">
        <f>(L13-H13)*I13-M13-N13-O13</f>
        <v>53674.000000000102</v>
      </c>
      <c r="Q13" s="57">
        <f>P13/J13</f>
        <v>5.5141196968949924E-2</v>
      </c>
      <c r="R13" s="149"/>
      <c r="S13" s="151"/>
      <c r="U13" s="146"/>
      <c r="V13" s="146"/>
      <c r="W13" s="163"/>
      <c r="AA13" s="151"/>
      <c r="AB13" s="151"/>
      <c r="AC13" s="180"/>
    </row>
  </sheetData>
  <mergeCells count="50"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V10:V11"/>
    <mergeCell ref="W10:W11"/>
    <mergeCell ref="AA10:AA11"/>
    <mergeCell ref="AB10:AB11"/>
    <mergeCell ref="AC10:AC11"/>
    <mergeCell ref="C10:C11"/>
    <mergeCell ref="D10:D11"/>
    <mergeCell ref="R10:R11"/>
    <mergeCell ref="S10:S11"/>
    <mergeCell ref="U10:U11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C4:C5"/>
    <mergeCell ref="D4:D5"/>
    <mergeCell ref="R4:R5"/>
    <mergeCell ref="S4:S5"/>
    <mergeCell ref="U4:U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D6:D7"/>
    <mergeCell ref="R6:R7"/>
    <mergeCell ref="S6:S7"/>
    <mergeCell ref="U6:U7"/>
    <mergeCell ref="V6:V7"/>
  </mergeCells>
  <phoneticPr fontId="1" type="noConversion"/>
  <dataValidations count="1">
    <dataValidation type="custom" allowBlank="1" showInputMessage="1" showErrorMessage="1" sqref="K4 K6 K12">
      <formula1>"""aaa"",""bbb"""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/>
  <dimension ref="A27"/>
  <sheetViews>
    <sheetView showGridLines="0" workbookViewId="0">
      <selection activeCell="D38" sqref="D38"/>
    </sheetView>
  </sheetViews>
  <sheetFormatPr defaultRowHeight="14.25"/>
  <sheetData>
    <row r="27" spans="1:1">
      <c r="A27" s="21" t="s">
        <v>98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B33" sqref="B33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H18"/>
  <sheetViews>
    <sheetView showGridLines="0" zoomScale="115" zoomScaleNormal="115" workbookViewId="0">
      <selection activeCell="J5" sqref="J5"/>
    </sheetView>
  </sheetViews>
  <sheetFormatPr defaultRowHeight="14.25"/>
  <cols>
    <col min="2" max="2" width="16.375" customWidth="1"/>
    <col min="3" max="3" width="13.375" customWidth="1"/>
    <col min="4" max="4" width="13.625" customWidth="1"/>
    <col min="6" max="6" width="25.125" customWidth="1"/>
    <col min="7" max="7" width="11.625" bestFit="1" customWidth="1"/>
  </cols>
  <sheetData>
    <row r="1" spans="1:8">
      <c r="B1" s="1" t="s">
        <v>1</v>
      </c>
    </row>
    <row r="3" spans="1:8">
      <c r="B3" s="4" t="s">
        <v>2</v>
      </c>
      <c r="C3" s="2" t="s">
        <v>3</v>
      </c>
      <c r="F3" s="4" t="s">
        <v>16</v>
      </c>
      <c r="G3" s="11">
        <v>1000000</v>
      </c>
    </row>
    <row r="4" spans="1:8">
      <c r="B4" s="4" t="s">
        <v>4</v>
      </c>
      <c r="C4" s="5">
        <v>43737</v>
      </c>
      <c r="F4" s="4" t="s">
        <v>17</v>
      </c>
      <c r="G4" s="29">
        <v>5</v>
      </c>
    </row>
    <row r="5" spans="1:8">
      <c r="B5" s="8"/>
    </row>
    <row r="6" spans="1:8">
      <c r="A6" s="10"/>
      <c r="B6" s="9"/>
      <c r="C6" s="2" t="s">
        <v>6</v>
      </c>
      <c r="D6" s="2" t="s">
        <v>7</v>
      </c>
      <c r="F6" s="1" t="s">
        <v>18</v>
      </c>
    </row>
    <row r="7" spans="1:8">
      <c r="B7" s="4" t="s">
        <v>5</v>
      </c>
      <c r="C7" s="7">
        <v>0.05</v>
      </c>
      <c r="D7" s="7">
        <v>0.2</v>
      </c>
      <c r="F7" s="4" t="s">
        <v>19</v>
      </c>
      <c r="G7" s="29">
        <v>2.5</v>
      </c>
    </row>
    <row r="8" spans="1:8">
      <c r="B8" s="4" t="s">
        <v>8</v>
      </c>
      <c r="C8" s="24">
        <v>2</v>
      </c>
      <c r="D8" s="24">
        <v>3</v>
      </c>
      <c r="F8" s="4" t="s">
        <v>101</v>
      </c>
      <c r="G8" s="29">
        <v>2.5</v>
      </c>
    </row>
    <row r="9" spans="1:8">
      <c r="B9" s="4" t="s">
        <v>9</v>
      </c>
      <c r="C9" s="24">
        <v>0.9</v>
      </c>
      <c r="D9" s="23">
        <v>1</v>
      </c>
      <c r="E9" s="1"/>
      <c r="F9" s="4" t="s">
        <v>102</v>
      </c>
      <c r="G9" s="25">
        <v>15</v>
      </c>
      <c r="H9" s="1"/>
    </row>
    <row r="10" spans="1:8">
      <c r="B10" s="4" t="s">
        <v>10</v>
      </c>
      <c r="C10" s="3">
        <v>2</v>
      </c>
      <c r="D10" s="3">
        <v>3</v>
      </c>
      <c r="E10" s="12"/>
      <c r="F10" s="4" t="s">
        <v>103</v>
      </c>
      <c r="G10" s="24">
        <v>2</v>
      </c>
      <c r="H10" s="1"/>
    </row>
    <row r="11" spans="1:8">
      <c r="B11" s="4" t="s">
        <v>11</v>
      </c>
      <c r="C11" s="2" t="s">
        <v>15</v>
      </c>
      <c r="D11" s="6"/>
      <c r="E11" s="1" t="s">
        <v>21</v>
      </c>
    </row>
    <row r="12" spans="1:8">
      <c r="B12" s="4" t="s">
        <v>12</v>
      </c>
      <c r="C12" s="2" t="s">
        <v>14</v>
      </c>
      <c r="D12" s="6"/>
    </row>
    <row r="13" spans="1:8">
      <c r="B13" s="4" t="s">
        <v>13</v>
      </c>
      <c r="C13" s="3">
        <v>200</v>
      </c>
      <c r="D13" s="6"/>
    </row>
    <row r="16" spans="1:8">
      <c r="B16" s="1"/>
    </row>
    <row r="17" spans="2:7">
      <c r="B17" s="4" t="s">
        <v>97</v>
      </c>
      <c r="C17" s="181" t="s">
        <v>95</v>
      </c>
      <c r="D17" s="182"/>
      <c r="E17" s="183"/>
      <c r="F17" s="183"/>
    </row>
    <row r="18" spans="2:7">
      <c r="B18" s="4" t="s">
        <v>94</v>
      </c>
      <c r="C18" s="181" t="s">
        <v>96</v>
      </c>
      <c r="D18" s="182"/>
      <c r="E18" s="183"/>
      <c r="F18" s="183"/>
      <c r="G18" s="183"/>
    </row>
  </sheetData>
  <mergeCells count="2">
    <mergeCell ref="C17:F17"/>
    <mergeCell ref="C18:G18"/>
  </mergeCells>
  <phoneticPr fontId="1" type="noConversion"/>
  <pageMargins left="0.7" right="0.7" top="0.75" bottom="0.75" header="0.3" footer="0.3"/>
  <pageSetup paperSize="9" orientation="portrait" horizontalDpi="0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AC256"/>
  <sheetViews>
    <sheetView showGridLines="0" tabSelected="1" zoomScaleNormal="100" workbookViewId="0">
      <selection activeCell="P32" sqref="P32"/>
    </sheetView>
  </sheetViews>
  <sheetFormatPr defaultRowHeight="14.25"/>
  <cols>
    <col min="1" max="1" width="5" customWidth="1"/>
    <col min="2" max="2" width="5.625" style="26" customWidth="1"/>
    <col min="3" max="3" width="13.875" style="28" customWidth="1"/>
    <col min="4" max="4" width="10" style="28" customWidth="1"/>
    <col min="5" max="5" width="9.125" customWidth="1"/>
    <col min="6" max="6" width="5.5" customWidth="1"/>
    <col min="7" max="7" width="4.75" customWidth="1"/>
    <col min="8" max="8" width="6.5" style="27" customWidth="1"/>
    <col min="9" max="9" width="15.5" style="28" customWidth="1"/>
    <col min="10" max="10" width="12.5" style="28" customWidth="1"/>
    <col min="11" max="11" width="7.5" style="27" customWidth="1"/>
    <col min="12" max="12" width="6.875" style="27" customWidth="1"/>
    <col min="13" max="13" width="4.625" style="27" customWidth="1"/>
    <col min="14" max="14" width="7.625" style="27" customWidth="1"/>
    <col min="15" max="15" width="6.75" style="27" customWidth="1"/>
    <col min="16" max="17" width="7.875" style="27" customWidth="1"/>
    <col min="18" max="18" width="7.375" style="27" customWidth="1"/>
    <col min="19" max="19" width="9.875" style="27" customWidth="1"/>
    <col min="20" max="20" width="10.25" style="27" customWidth="1"/>
    <col min="21" max="21" width="6.125" style="26" customWidth="1"/>
    <col min="22" max="22" width="7" style="27" customWidth="1"/>
    <col min="23" max="23" width="8.875" style="27" customWidth="1"/>
    <col min="24" max="24" width="6.5" style="27" customWidth="1"/>
    <col min="25" max="25" width="5.875" style="27" customWidth="1"/>
    <col min="26" max="26" width="7.5" style="27" customWidth="1"/>
    <col min="27" max="27" width="6.875" style="27" customWidth="1"/>
    <col min="28" max="28" width="6.375" style="27" customWidth="1"/>
    <col min="29" max="29" width="7" style="27" customWidth="1"/>
  </cols>
  <sheetData>
    <row r="1" spans="1:29" ht="15" thickBot="1"/>
    <row r="2" spans="1:29">
      <c r="A2" s="119"/>
      <c r="B2" s="188" t="s">
        <v>410</v>
      </c>
      <c r="C2" s="185"/>
      <c r="D2" s="185"/>
      <c r="E2" s="185"/>
      <c r="F2" s="185"/>
      <c r="G2" s="186"/>
      <c r="H2" s="189" t="s">
        <v>411</v>
      </c>
      <c r="I2" s="185"/>
      <c r="J2" s="185"/>
      <c r="K2" s="185"/>
      <c r="L2" s="185"/>
      <c r="M2" s="186"/>
      <c r="N2" s="184" t="s">
        <v>412</v>
      </c>
      <c r="O2" s="185"/>
      <c r="P2" s="185"/>
      <c r="Q2" s="185"/>
      <c r="R2" s="186"/>
      <c r="S2" s="187" t="s">
        <v>413</v>
      </c>
      <c r="T2" s="185"/>
      <c r="U2" s="185"/>
      <c r="V2" s="185"/>
      <c r="W2" s="185"/>
      <c r="X2" s="185"/>
      <c r="Y2" s="186"/>
      <c r="Z2" s="125" t="s">
        <v>414</v>
      </c>
      <c r="AA2" s="126"/>
      <c r="AB2" s="126"/>
      <c r="AC2" s="127"/>
    </row>
    <row r="3" spans="1:29" s="22" customFormat="1" ht="28.5" customHeight="1" thickBot="1">
      <c r="A3" s="120"/>
      <c r="B3" s="122" t="s">
        <v>415</v>
      </c>
      <c r="C3" s="143" t="s">
        <v>416</v>
      </c>
      <c r="D3" s="143" t="s">
        <v>417</v>
      </c>
      <c r="E3" s="143" t="s">
        <v>418</v>
      </c>
      <c r="F3" s="143" t="s">
        <v>419</v>
      </c>
      <c r="G3" s="144"/>
      <c r="H3" s="123" t="s">
        <v>415</v>
      </c>
      <c r="I3" s="128" t="s">
        <v>416</v>
      </c>
      <c r="J3" s="128" t="s">
        <v>417</v>
      </c>
      <c r="K3" s="128" t="s">
        <v>418</v>
      </c>
      <c r="L3" s="128" t="s">
        <v>419</v>
      </c>
      <c r="M3" s="129"/>
      <c r="N3" s="130" t="s">
        <v>420</v>
      </c>
      <c r="O3" s="131" t="s">
        <v>421</v>
      </c>
      <c r="P3" s="131" t="s">
        <v>422</v>
      </c>
      <c r="Q3" s="131" t="s">
        <v>423</v>
      </c>
      <c r="R3" s="132" t="s">
        <v>424</v>
      </c>
      <c r="S3" s="133" t="s">
        <v>425</v>
      </c>
      <c r="T3" s="134" t="s">
        <v>426</v>
      </c>
      <c r="U3" s="121" t="s">
        <v>427</v>
      </c>
      <c r="V3" s="121" t="s">
        <v>428</v>
      </c>
      <c r="W3" s="121" t="s">
        <v>429</v>
      </c>
      <c r="X3" s="134" t="s">
        <v>430</v>
      </c>
      <c r="Y3" s="135" t="s">
        <v>431</v>
      </c>
      <c r="Z3" s="136" t="s">
        <v>432</v>
      </c>
      <c r="AA3" s="137" t="s">
        <v>433</v>
      </c>
      <c r="AB3" s="137" t="s">
        <v>434</v>
      </c>
      <c r="AC3" s="137" t="s">
        <v>435</v>
      </c>
    </row>
    <row r="4" spans="1:29">
      <c r="A4" s="142" t="s">
        <v>393</v>
      </c>
      <c r="B4" s="26">
        <v>1942</v>
      </c>
      <c r="C4" s="124" t="s">
        <v>108</v>
      </c>
      <c r="D4" s="124" t="s">
        <v>109</v>
      </c>
      <c r="E4">
        <v>1010</v>
      </c>
      <c r="F4">
        <v>1000</v>
      </c>
      <c r="H4" s="27">
        <v>9412</v>
      </c>
      <c r="I4" s="124" t="s">
        <v>110</v>
      </c>
      <c r="J4" s="124" t="s">
        <v>111</v>
      </c>
      <c r="K4" s="27">
        <v>440</v>
      </c>
      <c r="L4" s="27">
        <v>2300</v>
      </c>
      <c r="N4" s="27">
        <v>2.7077254884859401</v>
      </c>
      <c r="O4" s="27">
        <v>5.59</v>
      </c>
      <c r="P4" s="27">
        <v>1010000</v>
      </c>
      <c r="Q4" s="27">
        <v>1012000</v>
      </c>
      <c r="R4" s="27">
        <v>0.2</v>
      </c>
      <c r="S4" s="27">
        <v>577090</v>
      </c>
      <c r="T4" s="27">
        <v>32061</v>
      </c>
      <c r="U4" s="138">
        <v>18</v>
      </c>
      <c r="V4" s="139">
        <v>16</v>
      </c>
      <c r="W4" s="139" t="s">
        <v>406</v>
      </c>
      <c r="X4" s="27">
        <v>88.89</v>
      </c>
      <c r="Y4" s="27">
        <v>13</v>
      </c>
      <c r="Z4" s="27">
        <v>0.93448990933300602</v>
      </c>
      <c r="AA4" s="27">
        <v>0.94252999686508399</v>
      </c>
      <c r="AB4" s="27">
        <v>7.3263024533620002E-5</v>
      </c>
      <c r="AC4" s="27">
        <v>4.6613885789494698E-4</v>
      </c>
    </row>
    <row r="5" spans="1:29">
      <c r="A5" s="142" t="s">
        <v>393</v>
      </c>
      <c r="B5" s="141">
        <v>5393</v>
      </c>
      <c r="C5" s="124" t="s">
        <v>145</v>
      </c>
      <c r="D5" s="124" t="s">
        <v>146</v>
      </c>
      <c r="E5">
        <v>2046</v>
      </c>
      <c r="F5">
        <v>500</v>
      </c>
      <c r="H5" s="27">
        <v>7762</v>
      </c>
      <c r="I5" s="124" t="s">
        <v>147</v>
      </c>
      <c r="J5" s="124" t="s">
        <v>128</v>
      </c>
      <c r="K5" s="27">
        <v>550</v>
      </c>
      <c r="L5" s="27">
        <v>1900</v>
      </c>
      <c r="N5" s="27">
        <v>2.7722320246841101</v>
      </c>
      <c r="O5" s="27">
        <v>5.73</v>
      </c>
      <c r="P5" s="27">
        <v>1023000</v>
      </c>
      <c r="Q5" s="27">
        <v>1045000</v>
      </c>
      <c r="R5" s="27">
        <v>2.15</v>
      </c>
      <c r="S5" s="27">
        <v>370950</v>
      </c>
      <c r="T5" s="27">
        <v>23184</v>
      </c>
      <c r="U5" s="138">
        <v>16</v>
      </c>
      <c r="V5" s="139">
        <v>11</v>
      </c>
      <c r="W5" s="139" t="s">
        <v>436</v>
      </c>
      <c r="X5" s="27">
        <v>68.75</v>
      </c>
      <c r="Y5" s="27">
        <v>9</v>
      </c>
      <c r="Z5" s="27">
        <v>0.90528704087658596</v>
      </c>
      <c r="AA5" s="27">
        <v>0.90331976269685499</v>
      </c>
      <c r="AB5" s="27">
        <v>8.50721385847358E-3</v>
      </c>
      <c r="AC5" s="27">
        <v>0.16363336466072001</v>
      </c>
    </row>
    <row r="6" spans="1:29">
      <c r="A6" s="142" t="s">
        <v>393</v>
      </c>
      <c r="B6" s="26">
        <v>3861</v>
      </c>
      <c r="C6" s="124" t="s">
        <v>93</v>
      </c>
      <c r="D6" s="124" t="s">
        <v>112</v>
      </c>
      <c r="E6">
        <v>541</v>
      </c>
      <c r="F6">
        <v>1900</v>
      </c>
      <c r="H6" s="140">
        <v>5411</v>
      </c>
      <c r="I6" s="124" t="s">
        <v>125</v>
      </c>
      <c r="J6" s="124" t="s">
        <v>126</v>
      </c>
      <c r="K6" s="27">
        <v>1301.5</v>
      </c>
      <c r="L6" s="27">
        <v>800</v>
      </c>
      <c r="N6" s="27">
        <v>2.89828663342242</v>
      </c>
      <c r="O6" s="27">
        <v>5.72</v>
      </c>
      <c r="P6" s="27">
        <v>1027900</v>
      </c>
      <c r="Q6" s="27">
        <v>1041200</v>
      </c>
      <c r="R6" s="27">
        <v>1.28</v>
      </c>
      <c r="S6" s="27">
        <v>360840</v>
      </c>
      <c r="T6" s="27">
        <v>20047</v>
      </c>
      <c r="U6" s="138">
        <v>18</v>
      </c>
      <c r="V6" s="139">
        <v>11</v>
      </c>
      <c r="W6" s="139" t="s">
        <v>437</v>
      </c>
      <c r="X6" s="27">
        <v>61.11</v>
      </c>
      <c r="Y6" s="27">
        <v>13</v>
      </c>
      <c r="Z6" s="27">
        <v>0.94829030123563696</v>
      </c>
      <c r="AA6" s="27">
        <v>0.93695721181000502</v>
      </c>
      <c r="AB6" s="27">
        <v>3.8015905264581602E-2</v>
      </c>
      <c r="AC6" s="27">
        <v>0.26624858106601501</v>
      </c>
    </row>
    <row r="7" spans="1:29">
      <c r="A7" s="142" t="s">
        <v>393</v>
      </c>
      <c r="B7" s="141">
        <v>6586</v>
      </c>
      <c r="C7" s="124" t="s">
        <v>152</v>
      </c>
      <c r="D7" s="124" t="s">
        <v>136</v>
      </c>
      <c r="E7">
        <v>3405</v>
      </c>
      <c r="F7">
        <v>300</v>
      </c>
      <c r="H7" s="140">
        <v>5406</v>
      </c>
      <c r="I7" s="124" t="s">
        <v>151</v>
      </c>
      <c r="J7" s="124" t="s">
        <v>126</v>
      </c>
      <c r="K7" s="27">
        <v>562</v>
      </c>
      <c r="L7" s="27">
        <v>1800</v>
      </c>
      <c r="N7" s="27">
        <v>-2.1794081438472901</v>
      </c>
      <c r="O7" s="27">
        <v>-10.19</v>
      </c>
      <c r="P7" s="27">
        <v>1021500</v>
      </c>
      <c r="Q7" s="27">
        <v>1011600</v>
      </c>
      <c r="R7" s="27">
        <v>0.97</v>
      </c>
      <c r="S7" s="27">
        <v>317594</v>
      </c>
      <c r="T7" s="27">
        <v>17644</v>
      </c>
      <c r="U7" s="138">
        <v>18</v>
      </c>
      <c r="V7" s="139">
        <v>11</v>
      </c>
      <c r="W7" s="139" t="s">
        <v>438</v>
      </c>
      <c r="X7" s="27">
        <v>61.11</v>
      </c>
      <c r="Y7" s="27">
        <v>10</v>
      </c>
      <c r="Z7" s="27">
        <v>0.91633460730299199</v>
      </c>
      <c r="AA7" s="27">
        <v>0.91904637115101195</v>
      </c>
      <c r="AB7" s="27">
        <v>1.2551656019889801E-3</v>
      </c>
      <c r="AC7" s="27">
        <v>2.6384562131983699E-2</v>
      </c>
    </row>
    <row r="8" spans="1:29">
      <c r="A8" s="142" t="s">
        <v>393</v>
      </c>
      <c r="B8" s="141">
        <v>7205</v>
      </c>
      <c r="C8" s="124" t="s">
        <v>162</v>
      </c>
      <c r="D8" s="124" t="s">
        <v>116</v>
      </c>
      <c r="E8">
        <v>938</v>
      </c>
      <c r="F8">
        <v>1100</v>
      </c>
      <c r="H8" s="140">
        <v>8601</v>
      </c>
      <c r="I8" s="124" t="s">
        <v>53</v>
      </c>
      <c r="J8" s="124" t="s">
        <v>163</v>
      </c>
      <c r="K8" s="27">
        <v>485.6</v>
      </c>
      <c r="L8" s="27">
        <v>2100</v>
      </c>
      <c r="N8" s="27">
        <v>2.8841425648752601</v>
      </c>
      <c r="O8" s="27">
        <v>5.23</v>
      </c>
      <c r="P8" s="27">
        <v>1031800</v>
      </c>
      <c r="Q8" s="27">
        <v>1019760</v>
      </c>
      <c r="R8" s="27">
        <v>1.17</v>
      </c>
      <c r="S8" s="27">
        <v>275928</v>
      </c>
      <c r="T8" s="27">
        <v>18395</v>
      </c>
      <c r="U8" s="138">
        <v>15</v>
      </c>
      <c r="V8" s="139">
        <v>12</v>
      </c>
      <c r="W8" s="139" t="s">
        <v>439</v>
      </c>
      <c r="X8" s="27">
        <v>80</v>
      </c>
      <c r="Y8" s="27">
        <v>14</v>
      </c>
      <c r="Z8" s="27">
        <v>0.92380553637615703</v>
      </c>
      <c r="AA8" s="27">
        <v>0.923423108046031</v>
      </c>
      <c r="AB8" s="27">
        <v>1.9199205759532899E-4</v>
      </c>
      <c r="AC8" s="27">
        <v>0.114931121972808</v>
      </c>
    </row>
    <row r="9" spans="1:29">
      <c r="A9" s="142" t="s">
        <v>393</v>
      </c>
      <c r="B9" s="26">
        <v>1820</v>
      </c>
      <c r="C9" s="124" t="s">
        <v>175</v>
      </c>
      <c r="D9" s="124" t="s">
        <v>109</v>
      </c>
      <c r="E9">
        <v>2157</v>
      </c>
      <c r="F9">
        <v>500</v>
      </c>
      <c r="H9" s="140">
        <v>7278</v>
      </c>
      <c r="I9" s="124" t="s">
        <v>115</v>
      </c>
      <c r="J9" s="124" t="s">
        <v>116</v>
      </c>
      <c r="K9" s="27">
        <v>2171</v>
      </c>
      <c r="L9" s="27">
        <v>500</v>
      </c>
      <c r="N9" s="27">
        <v>2.6026423741120501</v>
      </c>
      <c r="O9" s="27">
        <v>5.54</v>
      </c>
      <c r="P9" s="27">
        <v>1078500</v>
      </c>
      <c r="Q9" s="27">
        <v>1085500</v>
      </c>
      <c r="R9" s="27">
        <v>0.64</v>
      </c>
      <c r="S9" s="27">
        <v>246478</v>
      </c>
      <c r="T9" s="27">
        <v>18960</v>
      </c>
      <c r="U9" s="138">
        <v>13</v>
      </c>
      <c r="V9" s="139">
        <v>8</v>
      </c>
      <c r="W9" s="139" t="s">
        <v>440</v>
      </c>
      <c r="X9" s="27">
        <v>61.54</v>
      </c>
      <c r="Y9" s="27">
        <v>12</v>
      </c>
      <c r="Z9" s="27">
        <v>0.90383584570655895</v>
      </c>
      <c r="AA9" s="27">
        <v>0.92991321008515504</v>
      </c>
      <c r="AB9" s="27">
        <v>2.32451499825049E-2</v>
      </c>
      <c r="AC9" s="27">
        <v>4.03797954392087E-2</v>
      </c>
    </row>
    <row r="10" spans="1:29">
      <c r="A10" s="142" t="s">
        <v>393</v>
      </c>
      <c r="B10" s="26">
        <v>7846</v>
      </c>
      <c r="C10" s="124" t="s">
        <v>181</v>
      </c>
      <c r="D10" s="124" t="s">
        <v>121</v>
      </c>
      <c r="E10">
        <v>4180</v>
      </c>
      <c r="F10">
        <v>200</v>
      </c>
      <c r="H10" s="27">
        <v>7278</v>
      </c>
      <c r="I10" s="124" t="s">
        <v>115</v>
      </c>
      <c r="J10" s="124" t="s">
        <v>116</v>
      </c>
      <c r="K10" s="27">
        <v>2171</v>
      </c>
      <c r="L10" s="27">
        <v>400</v>
      </c>
      <c r="N10" s="27">
        <v>-2.2468358557301502</v>
      </c>
      <c r="O10" s="27">
        <v>-4.17</v>
      </c>
      <c r="P10" s="27">
        <v>836000</v>
      </c>
      <c r="Q10" s="27">
        <v>868400</v>
      </c>
      <c r="R10" s="27">
        <v>3.88</v>
      </c>
      <c r="S10" s="27">
        <v>180727</v>
      </c>
      <c r="T10" s="27">
        <v>20081</v>
      </c>
      <c r="U10" s="138">
        <v>9</v>
      </c>
      <c r="V10" s="139">
        <v>6</v>
      </c>
      <c r="W10" s="139" t="s">
        <v>441</v>
      </c>
      <c r="X10" s="27">
        <v>66.67</v>
      </c>
      <c r="Y10" s="27">
        <v>11</v>
      </c>
      <c r="Z10" s="27">
        <v>0.94320092513247</v>
      </c>
      <c r="AA10" s="27">
        <v>0.93774509193279398</v>
      </c>
      <c r="AB10" s="27">
        <v>1.9831056413204599E-2</v>
      </c>
      <c r="AC10" s="27">
        <v>2.8075425154355099E-2</v>
      </c>
    </row>
    <row r="11" spans="1:29">
      <c r="A11" s="142" t="s">
        <v>393</v>
      </c>
      <c r="B11" s="101">
        <v>7251</v>
      </c>
      <c r="C11" s="124" t="s">
        <v>189</v>
      </c>
      <c r="D11" s="124" t="s">
        <v>116</v>
      </c>
      <c r="E11">
        <v>1695</v>
      </c>
      <c r="F11">
        <v>600</v>
      </c>
      <c r="H11" s="140">
        <v>8601</v>
      </c>
      <c r="I11" s="124" t="s">
        <v>53</v>
      </c>
      <c r="J11" s="124" t="s">
        <v>163</v>
      </c>
      <c r="K11" s="27">
        <v>485.6</v>
      </c>
      <c r="L11" s="27">
        <v>2100</v>
      </c>
      <c r="N11" s="27">
        <v>2.6744422852160299</v>
      </c>
      <c r="O11" s="27">
        <v>8.31</v>
      </c>
      <c r="P11" s="27">
        <v>1017000</v>
      </c>
      <c r="Q11" s="27">
        <v>1019760</v>
      </c>
      <c r="R11" s="27">
        <v>0.27</v>
      </c>
      <c r="S11" s="27">
        <v>174349</v>
      </c>
      <c r="T11" s="27">
        <v>10897</v>
      </c>
      <c r="U11" s="138">
        <v>16</v>
      </c>
      <c r="V11" s="139">
        <v>10</v>
      </c>
      <c r="W11" s="139" t="s">
        <v>407</v>
      </c>
      <c r="X11" s="27">
        <v>62.5</v>
      </c>
      <c r="Y11" s="27">
        <v>14</v>
      </c>
      <c r="Z11" s="27">
        <v>0.926986535697367</v>
      </c>
      <c r="AA11" s="27">
        <v>0.93076850915755305</v>
      </c>
      <c r="AB11" s="27">
        <v>1.9389077190095302E-2</v>
      </c>
      <c r="AC11" s="27">
        <v>0.145663715742779</v>
      </c>
    </row>
    <row r="12" spans="1:29">
      <c r="A12" s="142" t="s">
        <v>393</v>
      </c>
      <c r="B12" s="26">
        <v>6586</v>
      </c>
      <c r="C12" s="124" t="s">
        <v>152</v>
      </c>
      <c r="D12" s="124" t="s">
        <v>136</v>
      </c>
      <c r="E12">
        <v>3405</v>
      </c>
      <c r="F12">
        <v>300</v>
      </c>
      <c r="H12" s="100">
        <v>5401</v>
      </c>
      <c r="I12" s="124" t="s">
        <v>161</v>
      </c>
      <c r="J12" s="124" t="s">
        <v>126</v>
      </c>
      <c r="K12" s="27">
        <v>1512.5</v>
      </c>
      <c r="L12" s="27">
        <v>700</v>
      </c>
      <c r="N12" s="27">
        <v>-2.3182415510253298</v>
      </c>
      <c r="O12" s="27">
        <v>-7.15</v>
      </c>
      <c r="P12" s="27">
        <v>1021500</v>
      </c>
      <c r="Q12" s="27">
        <v>1058750</v>
      </c>
      <c r="R12" s="27">
        <v>3.65</v>
      </c>
      <c r="S12" s="27">
        <v>127686</v>
      </c>
      <c r="T12" s="27">
        <v>10640</v>
      </c>
      <c r="U12" s="138">
        <v>12</v>
      </c>
      <c r="V12" s="139">
        <v>7</v>
      </c>
      <c r="W12" s="139" t="s">
        <v>442</v>
      </c>
      <c r="X12" s="27">
        <v>58.33</v>
      </c>
      <c r="Y12" s="27">
        <v>14</v>
      </c>
      <c r="Z12" s="27">
        <v>0.92571730714765699</v>
      </c>
      <c r="AA12" s="27">
        <v>0.91569109456011399</v>
      </c>
      <c r="AB12" s="27">
        <v>7.7041424165153097E-2</v>
      </c>
      <c r="AC12" s="27">
        <v>0.13560191007240199</v>
      </c>
    </row>
    <row r="13" spans="1:29">
      <c r="A13" s="142" t="s">
        <v>393</v>
      </c>
      <c r="B13" s="26">
        <v>3861</v>
      </c>
      <c r="C13" s="124" t="s">
        <v>93</v>
      </c>
      <c r="D13" s="124" t="s">
        <v>112</v>
      </c>
      <c r="E13">
        <v>541</v>
      </c>
      <c r="F13">
        <v>2000</v>
      </c>
      <c r="H13" s="27">
        <v>5401</v>
      </c>
      <c r="I13" s="124" t="s">
        <v>161</v>
      </c>
      <c r="J13" s="124" t="s">
        <v>126</v>
      </c>
      <c r="K13" s="27">
        <v>1512.5</v>
      </c>
      <c r="L13" s="27">
        <v>700</v>
      </c>
      <c r="N13" s="27">
        <v>2.5220834907425802</v>
      </c>
      <c r="O13" s="27">
        <v>6.52</v>
      </c>
      <c r="P13" s="27">
        <v>1082000</v>
      </c>
      <c r="Q13" s="27">
        <v>1058750</v>
      </c>
      <c r="R13" s="27">
        <v>2.2000000000000002</v>
      </c>
      <c r="S13" s="27">
        <v>125278</v>
      </c>
      <c r="T13" s="27">
        <v>7369</v>
      </c>
      <c r="U13" s="138">
        <v>17</v>
      </c>
      <c r="V13" s="139">
        <v>6</v>
      </c>
      <c r="W13" s="139" t="s">
        <v>443</v>
      </c>
      <c r="X13" s="27">
        <v>35.29</v>
      </c>
      <c r="Y13" s="27">
        <v>15</v>
      </c>
      <c r="Z13" s="27">
        <v>0.90509946740564595</v>
      </c>
      <c r="AA13" s="27">
        <v>0.91861592465494502</v>
      </c>
      <c r="AB13" s="27">
        <v>0.155131132201665</v>
      </c>
      <c r="AC13" s="27">
        <v>0.16729036696073701</v>
      </c>
    </row>
    <row r="14" spans="1:29">
      <c r="A14" s="142" t="s">
        <v>393</v>
      </c>
      <c r="B14" s="26">
        <v>4530</v>
      </c>
      <c r="C14" s="124" t="s">
        <v>226</v>
      </c>
      <c r="D14" s="124" t="s">
        <v>218</v>
      </c>
      <c r="E14">
        <v>5080</v>
      </c>
      <c r="F14">
        <v>200</v>
      </c>
      <c r="H14" s="27">
        <v>8276</v>
      </c>
      <c r="I14" s="124" t="s">
        <v>227</v>
      </c>
      <c r="J14" s="124" t="s">
        <v>130</v>
      </c>
      <c r="K14" s="27">
        <v>2066</v>
      </c>
      <c r="L14" s="27">
        <v>500</v>
      </c>
      <c r="N14" s="27">
        <v>2.9202083613852299</v>
      </c>
      <c r="O14" s="27">
        <v>9.5500000000000007</v>
      </c>
      <c r="P14" s="27">
        <v>1016000</v>
      </c>
      <c r="Q14" s="27">
        <v>1033000</v>
      </c>
      <c r="R14" s="27">
        <v>1.67</v>
      </c>
      <c r="S14" s="27">
        <v>107616</v>
      </c>
      <c r="T14" s="27">
        <v>8278</v>
      </c>
      <c r="U14" s="138">
        <v>13</v>
      </c>
      <c r="V14" s="139">
        <v>7</v>
      </c>
      <c r="W14" s="139" t="s">
        <v>444</v>
      </c>
      <c r="X14" s="27">
        <v>53.85</v>
      </c>
      <c r="Y14" s="27">
        <v>14</v>
      </c>
      <c r="Z14" s="27">
        <v>0.91331345078909998</v>
      </c>
      <c r="AA14" s="27">
        <v>0.97637895596598201</v>
      </c>
      <c r="AB14" s="27">
        <v>8.1512758913116095E-5</v>
      </c>
      <c r="AC14" s="27">
        <v>1.2953575383937601E-2</v>
      </c>
    </row>
    <row r="15" spans="1:29">
      <c r="A15" s="142" t="s">
        <v>393</v>
      </c>
      <c r="B15" s="26">
        <v>6586</v>
      </c>
      <c r="C15" s="124" t="s">
        <v>152</v>
      </c>
      <c r="D15" s="124" t="s">
        <v>136</v>
      </c>
      <c r="E15">
        <v>3405</v>
      </c>
      <c r="F15">
        <v>300</v>
      </c>
      <c r="H15" s="27">
        <v>5411</v>
      </c>
      <c r="I15" s="124" t="s">
        <v>125</v>
      </c>
      <c r="J15" s="124" t="s">
        <v>126</v>
      </c>
      <c r="K15" s="27">
        <v>1301.5</v>
      </c>
      <c r="L15" s="27">
        <v>800</v>
      </c>
      <c r="N15" s="27">
        <v>-2.1248516768861698</v>
      </c>
      <c r="O15" s="27">
        <v>-6.21</v>
      </c>
      <c r="P15" s="27">
        <v>1021500</v>
      </c>
      <c r="Q15" s="27">
        <v>1041200</v>
      </c>
      <c r="R15" s="27">
        <v>1.93</v>
      </c>
      <c r="S15" s="27">
        <v>105655</v>
      </c>
      <c r="T15" s="27">
        <v>10566</v>
      </c>
      <c r="U15" s="138">
        <v>10</v>
      </c>
      <c r="V15" s="139">
        <v>7</v>
      </c>
      <c r="W15" s="139" t="s">
        <v>445</v>
      </c>
      <c r="X15" s="27">
        <v>70</v>
      </c>
      <c r="Y15" s="27">
        <v>10</v>
      </c>
      <c r="Z15" s="27">
        <v>0.93596099636549601</v>
      </c>
      <c r="AA15" s="27">
        <v>0.920065857620463</v>
      </c>
      <c r="AB15" s="27">
        <v>5.2739271084807898E-3</v>
      </c>
      <c r="AC15" s="27">
        <v>5.3168161085448098E-2</v>
      </c>
    </row>
    <row r="16" spans="1:29">
      <c r="A16" s="142" t="s">
        <v>393</v>
      </c>
      <c r="B16" s="26">
        <v>6995</v>
      </c>
      <c r="C16" s="124" t="s">
        <v>124</v>
      </c>
      <c r="D16" s="124" t="s">
        <v>116</v>
      </c>
      <c r="E16">
        <v>1908</v>
      </c>
      <c r="F16">
        <v>500</v>
      </c>
      <c r="H16" s="140">
        <v>8002</v>
      </c>
      <c r="I16" s="124" t="s">
        <v>57</v>
      </c>
      <c r="J16" s="124" t="s">
        <v>139</v>
      </c>
      <c r="K16" s="27">
        <v>731.6</v>
      </c>
      <c r="L16" s="27">
        <v>1300</v>
      </c>
      <c r="N16" s="27">
        <v>2.0025207201635702</v>
      </c>
      <c r="O16" s="27">
        <v>4.1900000000000004</v>
      </c>
      <c r="P16" s="27">
        <v>954000</v>
      </c>
      <c r="Q16" s="27">
        <v>951080</v>
      </c>
      <c r="R16" s="27">
        <v>0.31</v>
      </c>
      <c r="S16" s="27">
        <v>71731</v>
      </c>
      <c r="T16" s="27">
        <v>5518</v>
      </c>
      <c r="U16" s="138">
        <v>13</v>
      </c>
      <c r="V16" s="139">
        <v>7</v>
      </c>
      <c r="W16" s="139" t="s">
        <v>408</v>
      </c>
      <c r="X16" s="27">
        <v>53.85</v>
      </c>
      <c r="Y16" s="27">
        <v>14</v>
      </c>
      <c r="Z16" s="27">
        <v>0.95095588744378301</v>
      </c>
      <c r="AA16" s="27">
        <v>0.91793741261725104</v>
      </c>
      <c r="AB16" s="27">
        <v>8.3663420947161005E-2</v>
      </c>
      <c r="AC16" s="27">
        <v>6.57805645645149E-3</v>
      </c>
    </row>
    <row r="17" spans="1:29">
      <c r="A17" s="142" t="s">
        <v>393</v>
      </c>
      <c r="B17" s="26">
        <v>7846</v>
      </c>
      <c r="C17" s="124" t="s">
        <v>181</v>
      </c>
      <c r="D17" s="124" t="s">
        <v>121</v>
      </c>
      <c r="E17">
        <v>4180</v>
      </c>
      <c r="F17">
        <v>200</v>
      </c>
      <c r="H17" s="27">
        <v>7167</v>
      </c>
      <c r="I17" s="124" t="s">
        <v>138</v>
      </c>
      <c r="J17" s="124" t="s">
        <v>114</v>
      </c>
      <c r="K17" s="27">
        <v>264</v>
      </c>
      <c r="L17" s="27">
        <v>3200</v>
      </c>
      <c r="N17" s="27">
        <v>-2.2937678321317199</v>
      </c>
      <c r="O17" s="27">
        <v>-5.33</v>
      </c>
      <c r="P17" s="27">
        <v>836000</v>
      </c>
      <c r="Q17" s="27">
        <v>844800</v>
      </c>
      <c r="R17" s="27">
        <v>1.05</v>
      </c>
      <c r="S17" s="27">
        <v>44180</v>
      </c>
      <c r="T17" s="27">
        <v>2104</v>
      </c>
      <c r="U17" s="138">
        <v>21</v>
      </c>
      <c r="V17" s="139">
        <v>10</v>
      </c>
      <c r="W17" s="139" t="s">
        <v>446</v>
      </c>
      <c r="X17" s="27">
        <v>47.62</v>
      </c>
      <c r="Y17" s="27">
        <v>13</v>
      </c>
      <c r="Z17" s="27">
        <v>0.942846418195461</v>
      </c>
      <c r="AA17" s="27">
        <v>0.93465421849944696</v>
      </c>
      <c r="AB17" s="27">
        <v>6.4088302020456501E-3</v>
      </c>
      <c r="AC17" s="27">
        <v>0.10790227263926901</v>
      </c>
    </row>
    <row r="18" spans="1:29">
      <c r="A18" s="142" t="s">
        <v>393</v>
      </c>
      <c r="B18" s="26">
        <v>4182</v>
      </c>
      <c r="C18" s="124" t="s">
        <v>120</v>
      </c>
      <c r="D18" s="124" t="s">
        <v>89</v>
      </c>
      <c r="E18">
        <v>1498</v>
      </c>
      <c r="F18">
        <v>600</v>
      </c>
      <c r="H18" s="27">
        <v>5019</v>
      </c>
      <c r="I18" s="124" t="s">
        <v>234</v>
      </c>
      <c r="J18" s="124" t="s">
        <v>192</v>
      </c>
      <c r="K18" s="27">
        <v>3055</v>
      </c>
      <c r="L18" s="27">
        <v>300</v>
      </c>
      <c r="N18" s="27">
        <v>2.64176326757448</v>
      </c>
      <c r="O18" s="27">
        <v>6.85</v>
      </c>
      <c r="P18" s="27">
        <v>898800</v>
      </c>
      <c r="Q18" s="27">
        <v>916500</v>
      </c>
      <c r="R18" s="27">
        <v>1.93</v>
      </c>
      <c r="S18" s="27">
        <v>-44899</v>
      </c>
      <c r="T18" s="27">
        <v>-4082</v>
      </c>
      <c r="U18" s="138">
        <v>11</v>
      </c>
      <c r="V18" s="139">
        <v>6</v>
      </c>
      <c r="W18" s="139" t="s">
        <v>447</v>
      </c>
      <c r="X18" s="27">
        <v>54.55</v>
      </c>
      <c r="Y18" s="27">
        <v>12</v>
      </c>
      <c r="Z18" s="27">
        <v>0.93158336323997404</v>
      </c>
      <c r="AA18" s="27">
        <v>0.90080612589609399</v>
      </c>
      <c r="AB18" s="27">
        <v>2.0692539785726299E-2</v>
      </c>
      <c r="AC18" s="27">
        <v>9.8989064603991803E-2</v>
      </c>
    </row>
    <row r="19" spans="1:29">
      <c r="A19" s="142" t="s">
        <v>393</v>
      </c>
      <c r="B19" s="26">
        <v>4182</v>
      </c>
      <c r="C19" s="124" t="s">
        <v>120</v>
      </c>
      <c r="D19" s="124" t="s">
        <v>89</v>
      </c>
      <c r="E19">
        <v>1498</v>
      </c>
      <c r="F19">
        <v>700</v>
      </c>
      <c r="H19" s="27">
        <v>7167</v>
      </c>
      <c r="I19" s="124" t="s">
        <v>138</v>
      </c>
      <c r="J19" s="124" t="s">
        <v>114</v>
      </c>
      <c r="K19" s="27">
        <v>264</v>
      </c>
      <c r="L19" s="27">
        <v>4000</v>
      </c>
      <c r="N19" s="27">
        <v>2.27891741998361</v>
      </c>
      <c r="O19" s="27">
        <v>6.94</v>
      </c>
      <c r="P19" s="27">
        <v>1048600</v>
      </c>
      <c r="Q19" s="27">
        <v>1056000</v>
      </c>
      <c r="R19" s="27">
        <v>0.71</v>
      </c>
      <c r="S19" s="27">
        <v>-64227</v>
      </c>
      <c r="T19" s="27">
        <v>-4014</v>
      </c>
      <c r="U19" s="138">
        <v>16</v>
      </c>
      <c r="V19" s="139">
        <v>9</v>
      </c>
      <c r="W19" s="139" t="s">
        <v>448</v>
      </c>
      <c r="X19" s="27">
        <v>56.25</v>
      </c>
      <c r="Y19" s="27">
        <v>15</v>
      </c>
      <c r="Z19" s="27">
        <v>0.92843192060758795</v>
      </c>
      <c r="AA19" s="27">
        <v>0.92484365991678696</v>
      </c>
      <c r="AB19" s="27">
        <v>0.250096138179217</v>
      </c>
      <c r="AC19" s="27">
        <v>0.28185991790562598</v>
      </c>
    </row>
    <row r="20" spans="1:29">
      <c r="A20" s="142" t="s">
        <v>393</v>
      </c>
      <c r="B20" s="26">
        <v>4631</v>
      </c>
      <c r="C20" s="124" t="s">
        <v>209</v>
      </c>
      <c r="D20" s="124" t="s">
        <v>89</v>
      </c>
      <c r="E20">
        <v>3110</v>
      </c>
      <c r="F20">
        <v>300</v>
      </c>
      <c r="H20" s="27">
        <v>3405</v>
      </c>
      <c r="I20" s="124" t="s">
        <v>182</v>
      </c>
      <c r="J20" s="124" t="s">
        <v>89</v>
      </c>
      <c r="K20" s="27">
        <v>1337</v>
      </c>
      <c r="L20" s="27">
        <v>700</v>
      </c>
      <c r="N20" s="27">
        <v>-2.0103616078682802</v>
      </c>
      <c r="O20" s="27">
        <v>-3.52</v>
      </c>
      <c r="P20" s="27">
        <v>933000</v>
      </c>
      <c r="Q20" s="27">
        <v>935900</v>
      </c>
      <c r="R20" s="27">
        <v>0.31</v>
      </c>
      <c r="S20" s="27">
        <v>-65496</v>
      </c>
      <c r="T20" s="27">
        <v>-4366</v>
      </c>
      <c r="U20" s="138">
        <v>15</v>
      </c>
      <c r="V20" s="139">
        <v>7</v>
      </c>
      <c r="W20" s="139" t="s">
        <v>449</v>
      </c>
      <c r="X20" s="27">
        <v>46.67</v>
      </c>
      <c r="Y20" s="27">
        <v>14</v>
      </c>
      <c r="Z20" s="27">
        <v>0.94794601638415499</v>
      </c>
      <c r="AA20" s="27">
        <v>0.90220633509043902</v>
      </c>
      <c r="AB20" s="27">
        <v>0.28481739998758099</v>
      </c>
      <c r="AC20" s="27">
        <v>0.27973540268375302</v>
      </c>
    </row>
    <row r="21" spans="1:29">
      <c r="A21" s="142" t="s">
        <v>393</v>
      </c>
      <c r="B21" s="26">
        <v>7189</v>
      </c>
      <c r="C21" s="124" t="s">
        <v>113</v>
      </c>
      <c r="D21" s="124" t="s">
        <v>114</v>
      </c>
      <c r="E21">
        <v>775</v>
      </c>
      <c r="F21">
        <v>1300</v>
      </c>
      <c r="H21" s="27">
        <v>8377</v>
      </c>
      <c r="I21" s="124" t="s">
        <v>129</v>
      </c>
      <c r="J21" s="124" t="s">
        <v>114</v>
      </c>
      <c r="K21" s="27">
        <v>1041</v>
      </c>
      <c r="L21" s="27">
        <v>1000</v>
      </c>
      <c r="N21" s="27">
        <v>2.7443686322488201</v>
      </c>
      <c r="O21" s="27">
        <v>6.44</v>
      </c>
      <c r="P21" s="27">
        <v>1007500</v>
      </c>
      <c r="Q21" s="27">
        <v>1041000</v>
      </c>
      <c r="R21" s="27">
        <v>3.22</v>
      </c>
      <c r="S21" s="27">
        <v>-97687</v>
      </c>
      <c r="T21" s="27">
        <v>-6105</v>
      </c>
      <c r="U21" s="138">
        <v>16</v>
      </c>
      <c r="V21" s="139">
        <v>8</v>
      </c>
      <c r="W21" s="139" t="s">
        <v>255</v>
      </c>
      <c r="X21" s="27">
        <v>50</v>
      </c>
      <c r="Y21" s="27">
        <v>14</v>
      </c>
      <c r="Z21" s="27">
        <v>0.92525960945133301</v>
      </c>
      <c r="AA21" s="27">
        <v>0.95426262841276899</v>
      </c>
      <c r="AB21" s="27">
        <v>0.26996913942103901</v>
      </c>
      <c r="AC21" s="27">
        <v>0.28493007727979502</v>
      </c>
    </row>
    <row r="22" spans="1:29">
      <c r="A22" s="142" t="s">
        <v>393</v>
      </c>
      <c r="B22" s="26">
        <v>9532</v>
      </c>
      <c r="C22" s="124" t="s">
        <v>253</v>
      </c>
      <c r="D22" s="124" t="s">
        <v>187</v>
      </c>
      <c r="E22">
        <v>2054</v>
      </c>
      <c r="F22">
        <v>500</v>
      </c>
      <c r="H22" s="27">
        <v>9531</v>
      </c>
      <c r="I22" s="124" t="s">
        <v>252</v>
      </c>
      <c r="J22" s="124" t="s">
        <v>187</v>
      </c>
      <c r="K22" s="27">
        <v>2682.5</v>
      </c>
      <c r="L22" s="27">
        <v>400</v>
      </c>
      <c r="N22" s="27">
        <v>-2.26371663489219</v>
      </c>
      <c r="O22" s="27">
        <v>-4.84</v>
      </c>
      <c r="P22" s="27">
        <v>1027000</v>
      </c>
      <c r="Q22" s="27">
        <v>1073000</v>
      </c>
      <c r="R22" s="27">
        <v>4.29</v>
      </c>
      <c r="S22" s="27">
        <v>-182702</v>
      </c>
      <c r="T22" s="27">
        <v>-13050</v>
      </c>
      <c r="U22" s="138">
        <v>14</v>
      </c>
      <c r="V22" s="139">
        <v>3</v>
      </c>
      <c r="W22" s="139" t="s">
        <v>409</v>
      </c>
      <c r="X22" s="27">
        <v>21.43</v>
      </c>
      <c r="Y22" s="27">
        <v>15</v>
      </c>
      <c r="Z22" s="27">
        <v>0.90115525776081296</v>
      </c>
      <c r="AA22" s="27">
        <v>0.94665463810925399</v>
      </c>
      <c r="AB22" s="27">
        <v>4.6882123053330104E-3</v>
      </c>
      <c r="AC22" s="27">
        <v>1.40333380487375E-2</v>
      </c>
    </row>
    <row r="23" spans="1:29">
      <c r="A23" s="142" t="s">
        <v>393</v>
      </c>
      <c r="B23" s="26">
        <v>4182</v>
      </c>
      <c r="C23" s="124" t="s">
        <v>120</v>
      </c>
      <c r="D23" s="124" t="s">
        <v>89</v>
      </c>
      <c r="E23">
        <v>1498</v>
      </c>
      <c r="F23">
        <v>500</v>
      </c>
      <c r="H23" s="140">
        <v>8309</v>
      </c>
      <c r="I23" s="124" t="s">
        <v>52</v>
      </c>
      <c r="J23" s="124" t="s">
        <v>114</v>
      </c>
      <c r="K23" s="27">
        <v>3827</v>
      </c>
      <c r="L23" s="27">
        <v>200</v>
      </c>
      <c r="N23" s="27">
        <v>2.1246322757765999</v>
      </c>
      <c r="O23" s="27">
        <v>6.25</v>
      </c>
      <c r="P23" s="27">
        <v>749000</v>
      </c>
      <c r="Q23" s="27">
        <v>765400</v>
      </c>
      <c r="R23" s="27">
        <v>2.14</v>
      </c>
      <c r="S23" s="27">
        <v>-223518</v>
      </c>
      <c r="T23" s="27">
        <v>-13970</v>
      </c>
      <c r="U23" s="138">
        <v>16</v>
      </c>
      <c r="V23" s="139">
        <v>7</v>
      </c>
      <c r="W23" s="139" t="s">
        <v>450</v>
      </c>
      <c r="X23" s="27">
        <v>43.75</v>
      </c>
      <c r="Y23" s="27">
        <v>12</v>
      </c>
      <c r="Z23" s="27">
        <v>0.91468813623427203</v>
      </c>
      <c r="AA23" s="27">
        <v>0.90463356384056304</v>
      </c>
      <c r="AB23" s="27">
        <v>0.218652205338176</v>
      </c>
      <c r="AC23" s="27">
        <v>6.6684269437443905E-2</v>
      </c>
    </row>
    <row r="24" spans="1:29">
      <c r="U24" s="30"/>
      <c r="V24" s="31"/>
      <c r="W24" s="31"/>
    </row>
    <row r="25" spans="1:29">
      <c r="U25" s="30"/>
      <c r="V25" s="31"/>
      <c r="W25" s="31"/>
    </row>
    <row r="26" spans="1:29">
      <c r="U26" s="30"/>
      <c r="V26" s="31"/>
      <c r="W26" s="31"/>
    </row>
    <row r="27" spans="1:29">
      <c r="U27" s="30"/>
      <c r="V27" s="31"/>
      <c r="W27" s="31"/>
    </row>
    <row r="28" spans="1:29">
      <c r="U28" s="30"/>
      <c r="V28" s="31"/>
      <c r="W28" s="31"/>
    </row>
    <row r="29" spans="1:29">
      <c r="U29" s="30"/>
      <c r="V29" s="31"/>
      <c r="W29" s="31"/>
    </row>
    <row r="30" spans="1:29">
      <c r="U30" s="30"/>
      <c r="V30" s="31"/>
      <c r="W30" s="31"/>
    </row>
    <row r="31" spans="1:29">
      <c r="U31" s="30"/>
      <c r="V31" s="31"/>
      <c r="W31" s="31"/>
    </row>
    <row r="32" spans="1:29">
      <c r="U32" s="30"/>
      <c r="V32" s="31"/>
      <c r="W32" s="31"/>
    </row>
    <row r="33" spans="21:23">
      <c r="U33" s="30"/>
      <c r="V33" s="31"/>
      <c r="W33" s="31"/>
    </row>
    <row r="34" spans="21:23">
      <c r="U34" s="30"/>
      <c r="V34" s="31"/>
      <c r="W34" s="31"/>
    </row>
    <row r="35" spans="21:23">
      <c r="U35" s="30"/>
      <c r="V35" s="31"/>
      <c r="W35" s="31"/>
    </row>
    <row r="36" spans="21:23">
      <c r="U36" s="30"/>
      <c r="V36" s="31"/>
      <c r="W36" s="31"/>
    </row>
    <row r="37" spans="21:23">
      <c r="U37" s="30"/>
      <c r="V37" s="31"/>
      <c r="W37" s="31"/>
    </row>
    <row r="38" spans="21:23">
      <c r="U38" s="30"/>
      <c r="V38" s="31"/>
      <c r="W38" s="31"/>
    </row>
    <row r="39" spans="21:23">
      <c r="U39" s="30"/>
      <c r="V39" s="31"/>
      <c r="W39" s="31"/>
    </row>
    <row r="40" spans="21:23">
      <c r="U40" s="30"/>
      <c r="V40" s="31"/>
      <c r="W40" s="31"/>
    </row>
    <row r="41" spans="21:23">
      <c r="U41" s="30"/>
      <c r="V41" s="31"/>
      <c r="W41" s="31"/>
    </row>
    <row r="42" spans="21:23">
      <c r="U42" s="30"/>
      <c r="V42" s="31"/>
      <c r="W42" s="31"/>
    </row>
    <row r="43" spans="21:23">
      <c r="U43" s="30"/>
      <c r="V43" s="31"/>
      <c r="W43" s="31"/>
    </row>
    <row r="44" spans="21:23">
      <c r="U44" s="30"/>
      <c r="V44" s="31"/>
      <c r="W44" s="31"/>
    </row>
    <row r="45" spans="21:23">
      <c r="U45" s="30"/>
      <c r="V45" s="31"/>
      <c r="W45" s="31"/>
    </row>
    <row r="46" spans="21:23">
      <c r="U46" s="30"/>
      <c r="V46" s="31"/>
      <c r="W46" s="31"/>
    </row>
    <row r="47" spans="21:23">
      <c r="U47" s="30"/>
      <c r="V47" s="31"/>
      <c r="W47" s="31"/>
    </row>
    <row r="48" spans="21:23">
      <c r="U48" s="30"/>
      <c r="V48" s="31"/>
      <c r="W48" s="31"/>
    </row>
    <row r="49" spans="21:23">
      <c r="U49" s="30"/>
      <c r="V49" s="31"/>
      <c r="W49" s="31"/>
    </row>
    <row r="50" spans="21:23">
      <c r="U50" s="30"/>
      <c r="V50" s="31"/>
      <c r="W50" s="31"/>
    </row>
    <row r="51" spans="21:23">
      <c r="U51" s="30"/>
      <c r="V51" s="31"/>
      <c r="W51" s="31"/>
    </row>
    <row r="52" spans="21:23">
      <c r="U52" s="30"/>
      <c r="V52" s="31"/>
      <c r="W52" s="31"/>
    </row>
    <row r="53" spans="21:23">
      <c r="U53" s="30"/>
      <c r="V53" s="31"/>
      <c r="W53" s="31"/>
    </row>
    <row r="54" spans="21:23">
      <c r="U54" s="30"/>
      <c r="V54" s="31"/>
      <c r="W54" s="31"/>
    </row>
    <row r="55" spans="21:23">
      <c r="U55" s="30"/>
      <c r="V55" s="31"/>
      <c r="W55" s="31"/>
    </row>
    <row r="56" spans="21:23">
      <c r="U56" s="30"/>
      <c r="V56" s="31"/>
      <c r="W56" s="31"/>
    </row>
    <row r="57" spans="21:23">
      <c r="U57" s="30"/>
      <c r="V57" s="31"/>
      <c r="W57" s="31"/>
    </row>
    <row r="58" spans="21:23">
      <c r="U58" s="30"/>
      <c r="V58" s="31"/>
      <c r="W58" s="31"/>
    </row>
    <row r="59" spans="21:23">
      <c r="U59" s="30"/>
      <c r="V59" s="31"/>
      <c r="W59" s="31"/>
    </row>
    <row r="60" spans="21:23">
      <c r="U60" s="30"/>
      <c r="V60" s="31"/>
      <c r="W60" s="31"/>
    </row>
    <row r="61" spans="21:23">
      <c r="U61" s="30"/>
      <c r="V61" s="31"/>
      <c r="W61" s="31"/>
    </row>
    <row r="62" spans="21:23">
      <c r="U62" s="30"/>
      <c r="V62" s="31"/>
      <c r="W62" s="31"/>
    </row>
    <row r="63" spans="21:23">
      <c r="U63" s="30"/>
      <c r="V63" s="31"/>
      <c r="W63" s="31"/>
    </row>
    <row r="64" spans="21:23">
      <c r="U64" s="30"/>
      <c r="V64" s="31"/>
      <c r="W64" s="31"/>
    </row>
    <row r="65" spans="21:23">
      <c r="U65" s="30"/>
      <c r="V65" s="31"/>
      <c r="W65" s="31"/>
    </row>
    <row r="66" spans="21:23">
      <c r="U66" s="30"/>
      <c r="V66" s="31"/>
      <c r="W66" s="31"/>
    </row>
    <row r="67" spans="21:23">
      <c r="U67" s="30"/>
      <c r="V67" s="31"/>
      <c r="W67" s="31"/>
    </row>
    <row r="68" spans="21:23">
      <c r="U68" s="30"/>
      <c r="V68" s="31"/>
      <c r="W68" s="31"/>
    </row>
    <row r="69" spans="21:23">
      <c r="U69" s="30"/>
      <c r="V69" s="31"/>
      <c r="W69" s="31"/>
    </row>
    <row r="70" spans="21:23">
      <c r="U70" s="30"/>
      <c r="V70" s="31"/>
      <c r="W70" s="31"/>
    </row>
    <row r="71" spans="21:23">
      <c r="U71" s="30"/>
      <c r="V71" s="31"/>
      <c r="W71" s="31"/>
    </row>
    <row r="72" spans="21:23">
      <c r="U72" s="30"/>
      <c r="V72" s="31"/>
      <c r="W72" s="31"/>
    </row>
    <row r="73" spans="21:23">
      <c r="U73" s="30"/>
      <c r="V73" s="31"/>
      <c r="W73" s="31"/>
    </row>
    <row r="74" spans="21:23">
      <c r="U74" s="30"/>
      <c r="V74" s="31"/>
      <c r="W74" s="31"/>
    </row>
    <row r="75" spans="21:23">
      <c r="U75" s="30"/>
      <c r="V75" s="31"/>
      <c r="W75" s="31"/>
    </row>
    <row r="76" spans="21:23">
      <c r="U76" s="30"/>
      <c r="V76" s="31"/>
      <c r="W76" s="31"/>
    </row>
    <row r="77" spans="21:23">
      <c r="U77" s="30"/>
      <c r="V77" s="31"/>
      <c r="W77" s="31"/>
    </row>
    <row r="78" spans="21:23">
      <c r="U78" s="30"/>
      <c r="V78" s="31"/>
      <c r="W78" s="31"/>
    </row>
    <row r="79" spans="21:23">
      <c r="U79" s="30"/>
      <c r="V79" s="31"/>
      <c r="W79" s="31"/>
    </row>
    <row r="80" spans="21:23">
      <c r="U80" s="30"/>
      <c r="V80" s="31"/>
      <c r="W80" s="31"/>
    </row>
    <row r="81" spans="21:23">
      <c r="U81" s="30"/>
      <c r="V81" s="31"/>
      <c r="W81" s="31"/>
    </row>
    <row r="82" spans="21:23">
      <c r="U82" s="30"/>
      <c r="V82" s="31"/>
      <c r="W82" s="31"/>
    </row>
    <row r="83" spans="21:23">
      <c r="U83" s="30"/>
      <c r="V83" s="31"/>
      <c r="W83" s="31"/>
    </row>
    <row r="84" spans="21:23">
      <c r="U84" s="30"/>
      <c r="V84" s="31"/>
      <c r="W84" s="31"/>
    </row>
    <row r="85" spans="21:23">
      <c r="U85" s="30"/>
      <c r="V85" s="31"/>
      <c r="W85" s="31"/>
    </row>
    <row r="86" spans="21:23">
      <c r="U86" s="30"/>
      <c r="V86" s="31"/>
      <c r="W86" s="31"/>
    </row>
    <row r="87" spans="21:23">
      <c r="U87" s="30"/>
      <c r="V87" s="31"/>
      <c r="W87" s="31"/>
    </row>
    <row r="88" spans="21:23">
      <c r="U88" s="30"/>
      <c r="V88" s="31"/>
      <c r="W88" s="31"/>
    </row>
    <row r="89" spans="21:23">
      <c r="U89" s="30"/>
      <c r="V89" s="31"/>
      <c r="W89" s="31"/>
    </row>
    <row r="90" spans="21:23">
      <c r="U90" s="30"/>
      <c r="V90" s="31"/>
      <c r="W90" s="31"/>
    </row>
    <row r="91" spans="21:23">
      <c r="U91" s="30"/>
      <c r="V91" s="31"/>
      <c r="W91" s="31"/>
    </row>
    <row r="92" spans="21:23">
      <c r="U92" s="30"/>
      <c r="V92" s="31"/>
      <c r="W92" s="31"/>
    </row>
    <row r="93" spans="21:23">
      <c r="U93" s="30"/>
      <c r="V93" s="31"/>
      <c r="W93" s="31"/>
    </row>
    <row r="94" spans="21:23">
      <c r="U94" s="30"/>
      <c r="V94" s="31"/>
      <c r="W94" s="31"/>
    </row>
    <row r="95" spans="21:23">
      <c r="U95" s="30"/>
      <c r="V95" s="31"/>
      <c r="W95" s="31"/>
    </row>
    <row r="96" spans="21:23">
      <c r="U96" s="30"/>
      <c r="V96" s="31"/>
      <c r="W96" s="31"/>
    </row>
    <row r="97" spans="21:23">
      <c r="U97" s="30"/>
      <c r="V97" s="31"/>
      <c r="W97" s="31"/>
    </row>
    <row r="98" spans="21:23">
      <c r="U98" s="30"/>
      <c r="V98" s="31"/>
      <c r="W98" s="31"/>
    </row>
    <row r="99" spans="21:23">
      <c r="U99" s="30"/>
      <c r="V99" s="31"/>
      <c r="W99" s="31"/>
    </row>
    <row r="100" spans="21:23">
      <c r="U100" s="30"/>
      <c r="V100" s="31"/>
      <c r="W100" s="31"/>
    </row>
    <row r="101" spans="21:23">
      <c r="U101" s="30"/>
      <c r="V101" s="31"/>
      <c r="W101" s="31"/>
    </row>
    <row r="102" spans="21:23">
      <c r="U102" s="30"/>
      <c r="V102" s="31"/>
      <c r="W102" s="31"/>
    </row>
    <row r="103" spans="21:23">
      <c r="U103" s="30"/>
      <c r="V103" s="31"/>
      <c r="W103" s="31"/>
    </row>
    <row r="104" spans="21:23">
      <c r="U104" s="30"/>
      <c r="V104" s="31"/>
      <c r="W104" s="31"/>
    </row>
    <row r="105" spans="21:23">
      <c r="U105" s="30"/>
      <c r="V105" s="31"/>
      <c r="W105" s="31"/>
    </row>
    <row r="106" spans="21:23">
      <c r="U106" s="30"/>
      <c r="V106" s="31"/>
      <c r="W106" s="31"/>
    </row>
    <row r="107" spans="21:23">
      <c r="U107" s="30"/>
      <c r="V107" s="31"/>
      <c r="W107" s="31"/>
    </row>
    <row r="108" spans="21:23">
      <c r="U108" s="30"/>
      <c r="V108" s="31"/>
      <c r="W108" s="31"/>
    </row>
    <row r="109" spans="21:23">
      <c r="U109" s="30"/>
      <c r="V109" s="31"/>
      <c r="W109" s="31"/>
    </row>
    <row r="110" spans="21:23">
      <c r="U110" s="30"/>
      <c r="V110" s="31"/>
      <c r="W110" s="31"/>
    </row>
    <row r="111" spans="21:23">
      <c r="U111" s="30"/>
      <c r="V111" s="31"/>
      <c r="W111" s="31"/>
    </row>
    <row r="112" spans="21:23">
      <c r="U112" s="30"/>
      <c r="V112" s="31"/>
      <c r="W112" s="31"/>
    </row>
    <row r="113" spans="21:23">
      <c r="U113" s="30"/>
      <c r="V113" s="31"/>
      <c r="W113" s="31"/>
    </row>
    <row r="114" spans="21:23">
      <c r="U114" s="30"/>
      <c r="V114" s="31"/>
      <c r="W114" s="31"/>
    </row>
    <row r="115" spans="21:23">
      <c r="U115" s="30"/>
      <c r="V115" s="31"/>
      <c r="W115" s="31"/>
    </row>
    <row r="116" spans="21:23">
      <c r="U116" s="30"/>
      <c r="V116" s="31"/>
      <c r="W116" s="31"/>
    </row>
    <row r="117" spans="21:23">
      <c r="U117" s="30"/>
      <c r="V117" s="31"/>
      <c r="W117" s="31"/>
    </row>
    <row r="118" spans="21:23">
      <c r="U118" s="30"/>
      <c r="V118" s="31"/>
      <c r="W118" s="31"/>
    </row>
    <row r="119" spans="21:23">
      <c r="U119" s="30"/>
      <c r="V119" s="31"/>
      <c r="W119" s="31"/>
    </row>
    <row r="120" spans="21:23">
      <c r="U120" s="30"/>
      <c r="V120" s="31"/>
      <c r="W120" s="31"/>
    </row>
    <row r="121" spans="21:23">
      <c r="U121" s="30"/>
      <c r="V121" s="31"/>
      <c r="W121" s="31"/>
    </row>
    <row r="122" spans="21:23">
      <c r="U122" s="30"/>
      <c r="V122" s="31"/>
      <c r="W122" s="31"/>
    </row>
    <row r="123" spans="21:23">
      <c r="U123" s="30"/>
      <c r="V123" s="31"/>
      <c r="W123" s="31"/>
    </row>
    <row r="124" spans="21:23">
      <c r="U124" s="30"/>
      <c r="V124" s="31"/>
      <c r="W124" s="31"/>
    </row>
    <row r="125" spans="21:23">
      <c r="U125" s="30"/>
      <c r="V125" s="31"/>
      <c r="W125" s="31"/>
    </row>
    <row r="126" spans="21:23">
      <c r="U126" s="30"/>
      <c r="V126" s="31"/>
      <c r="W126" s="31"/>
    </row>
    <row r="127" spans="21:23">
      <c r="U127" s="30"/>
      <c r="V127" s="31"/>
      <c r="W127" s="31"/>
    </row>
    <row r="128" spans="21:23">
      <c r="U128" s="30"/>
      <c r="V128" s="31"/>
      <c r="W128" s="31"/>
    </row>
    <row r="129" spans="21:23">
      <c r="U129" s="30"/>
      <c r="V129" s="31"/>
      <c r="W129" s="31"/>
    </row>
    <row r="130" spans="21:23">
      <c r="U130" s="30"/>
      <c r="V130" s="31"/>
      <c r="W130" s="31"/>
    </row>
    <row r="131" spans="21:23">
      <c r="U131" s="30"/>
      <c r="V131" s="31"/>
      <c r="W131" s="31"/>
    </row>
    <row r="132" spans="21:23">
      <c r="U132" s="30"/>
      <c r="V132" s="31"/>
      <c r="W132" s="31"/>
    </row>
    <row r="133" spans="21:23">
      <c r="U133" s="30"/>
      <c r="V133" s="31"/>
      <c r="W133" s="31"/>
    </row>
    <row r="134" spans="21:23">
      <c r="U134" s="30"/>
      <c r="V134" s="31"/>
      <c r="W134" s="31"/>
    </row>
    <row r="135" spans="21:23">
      <c r="U135" s="30"/>
      <c r="V135" s="31"/>
      <c r="W135" s="31"/>
    </row>
    <row r="136" spans="21:23">
      <c r="U136" s="30"/>
      <c r="V136" s="31"/>
      <c r="W136" s="31"/>
    </row>
    <row r="137" spans="21:23">
      <c r="U137" s="30"/>
      <c r="V137" s="31"/>
      <c r="W137" s="31"/>
    </row>
    <row r="138" spans="21:23">
      <c r="U138" s="30"/>
      <c r="V138" s="31"/>
      <c r="W138" s="31"/>
    </row>
    <row r="139" spans="21:23">
      <c r="U139" s="30"/>
      <c r="V139" s="31"/>
      <c r="W139" s="31"/>
    </row>
    <row r="140" spans="21:23">
      <c r="U140" s="30"/>
      <c r="V140" s="31"/>
      <c r="W140" s="31"/>
    </row>
    <row r="141" spans="21:23">
      <c r="U141" s="30"/>
      <c r="V141" s="31"/>
      <c r="W141" s="31"/>
    </row>
    <row r="142" spans="21:23">
      <c r="U142" s="30"/>
      <c r="V142" s="31"/>
      <c r="W142" s="31"/>
    </row>
    <row r="143" spans="21:23">
      <c r="U143" s="30"/>
      <c r="V143" s="31"/>
      <c r="W143" s="31"/>
    </row>
    <row r="144" spans="21:23">
      <c r="U144" s="30"/>
      <c r="V144" s="31"/>
      <c r="W144" s="31"/>
    </row>
    <row r="145" spans="21:23">
      <c r="U145" s="30"/>
      <c r="V145" s="31"/>
      <c r="W145" s="31"/>
    </row>
    <row r="146" spans="21:23">
      <c r="U146" s="30"/>
      <c r="V146" s="31"/>
      <c r="W146" s="31"/>
    </row>
    <row r="147" spans="21:23">
      <c r="U147" s="30"/>
      <c r="V147" s="31"/>
      <c r="W147" s="31"/>
    </row>
    <row r="148" spans="21:23">
      <c r="U148" s="30"/>
      <c r="V148" s="31"/>
      <c r="W148" s="31"/>
    </row>
    <row r="149" spans="21:23">
      <c r="U149" s="30"/>
      <c r="V149" s="31"/>
      <c r="W149" s="31"/>
    </row>
    <row r="150" spans="21:23">
      <c r="U150" s="30"/>
      <c r="V150" s="31"/>
      <c r="W150" s="31"/>
    </row>
    <row r="151" spans="21:23">
      <c r="U151" s="30"/>
      <c r="V151" s="31"/>
      <c r="W151" s="31"/>
    </row>
    <row r="152" spans="21:23">
      <c r="U152" s="30"/>
      <c r="V152" s="31"/>
      <c r="W152" s="31"/>
    </row>
    <row r="153" spans="21:23">
      <c r="U153" s="30"/>
      <c r="V153" s="31"/>
      <c r="W153" s="31"/>
    </row>
    <row r="154" spans="21:23">
      <c r="U154" s="30"/>
      <c r="V154" s="31"/>
      <c r="W154" s="31"/>
    </row>
    <row r="155" spans="21:23">
      <c r="U155" s="30"/>
      <c r="V155" s="31"/>
      <c r="W155" s="31"/>
    </row>
    <row r="156" spans="21:23">
      <c r="U156" s="30"/>
      <c r="V156" s="31"/>
      <c r="W156" s="31"/>
    </row>
    <row r="157" spans="21:23">
      <c r="U157" s="30"/>
      <c r="V157" s="31"/>
      <c r="W157" s="31"/>
    </row>
    <row r="158" spans="21:23">
      <c r="U158" s="30"/>
      <c r="V158" s="31"/>
      <c r="W158" s="31"/>
    </row>
    <row r="159" spans="21:23">
      <c r="U159" s="30"/>
      <c r="V159" s="31"/>
      <c r="W159" s="31"/>
    </row>
    <row r="160" spans="21:23">
      <c r="U160" s="30"/>
      <c r="V160" s="31"/>
      <c r="W160" s="31"/>
    </row>
    <row r="161" spans="21:23">
      <c r="U161" s="30"/>
      <c r="V161" s="31"/>
      <c r="W161" s="31"/>
    </row>
    <row r="162" spans="21:23">
      <c r="U162" s="30"/>
      <c r="V162" s="31"/>
      <c r="W162" s="31"/>
    </row>
    <row r="163" spans="21:23">
      <c r="U163" s="30"/>
      <c r="V163" s="31"/>
      <c r="W163" s="31"/>
    </row>
    <row r="164" spans="21:23">
      <c r="U164" s="30"/>
      <c r="V164" s="31"/>
      <c r="W164" s="31"/>
    </row>
    <row r="165" spans="21:23">
      <c r="U165" s="30"/>
      <c r="V165" s="31"/>
      <c r="W165" s="31"/>
    </row>
    <row r="166" spans="21:23">
      <c r="U166" s="30"/>
      <c r="V166" s="31"/>
      <c r="W166" s="31"/>
    </row>
    <row r="167" spans="21:23">
      <c r="U167" s="30"/>
      <c r="V167" s="31"/>
      <c r="W167" s="31"/>
    </row>
    <row r="168" spans="21:23">
      <c r="U168" s="30"/>
      <c r="V168" s="31"/>
      <c r="W168" s="31"/>
    </row>
    <row r="169" spans="21:23">
      <c r="U169" s="30"/>
      <c r="V169" s="31"/>
      <c r="W169" s="31"/>
    </row>
    <row r="170" spans="21:23">
      <c r="U170" s="30"/>
      <c r="V170" s="31"/>
      <c r="W170" s="31"/>
    </row>
    <row r="171" spans="21:23">
      <c r="U171" s="30"/>
      <c r="V171" s="31"/>
      <c r="W171" s="31"/>
    </row>
    <row r="172" spans="21:23">
      <c r="U172" s="30"/>
      <c r="V172" s="31"/>
      <c r="W172" s="31"/>
    </row>
    <row r="173" spans="21:23">
      <c r="U173" s="30"/>
      <c r="V173" s="31"/>
      <c r="W173" s="31"/>
    </row>
    <row r="174" spans="21:23">
      <c r="U174" s="30"/>
      <c r="V174" s="31"/>
      <c r="W174" s="31"/>
    </row>
    <row r="175" spans="21:23">
      <c r="U175" s="30"/>
      <c r="V175" s="31"/>
      <c r="W175" s="31"/>
    </row>
    <row r="176" spans="21:23">
      <c r="U176" s="30"/>
      <c r="V176" s="31"/>
      <c r="W176" s="31"/>
    </row>
    <row r="177" spans="21:23">
      <c r="U177" s="30"/>
      <c r="V177" s="31"/>
      <c r="W177" s="31"/>
    </row>
    <row r="178" spans="21:23">
      <c r="U178" s="30"/>
      <c r="V178" s="31"/>
      <c r="W178" s="31"/>
    </row>
    <row r="179" spans="21:23">
      <c r="U179" s="30"/>
      <c r="V179" s="31"/>
      <c r="W179" s="31"/>
    </row>
    <row r="180" spans="21:23">
      <c r="U180" s="30"/>
      <c r="V180" s="31"/>
      <c r="W180" s="31"/>
    </row>
    <row r="181" spans="21:23">
      <c r="U181" s="30"/>
      <c r="V181" s="31"/>
      <c r="W181" s="31"/>
    </row>
    <row r="182" spans="21:23">
      <c r="U182" s="30"/>
      <c r="V182" s="31"/>
      <c r="W182" s="31"/>
    </row>
    <row r="183" spans="21:23">
      <c r="U183" s="30"/>
      <c r="V183" s="31"/>
      <c r="W183" s="31"/>
    </row>
    <row r="184" spans="21:23">
      <c r="U184" s="30"/>
      <c r="V184" s="31"/>
      <c r="W184" s="31"/>
    </row>
    <row r="185" spans="21:23">
      <c r="U185" s="30"/>
      <c r="V185" s="31"/>
      <c r="W185" s="31"/>
    </row>
    <row r="186" spans="21:23">
      <c r="U186" s="30"/>
      <c r="V186" s="31"/>
      <c r="W186" s="31"/>
    </row>
    <row r="187" spans="21:23">
      <c r="U187" s="30"/>
      <c r="V187" s="31"/>
      <c r="W187" s="31"/>
    </row>
    <row r="188" spans="21:23">
      <c r="U188" s="30"/>
      <c r="V188" s="31"/>
      <c r="W188" s="31"/>
    </row>
    <row r="189" spans="21:23">
      <c r="U189" s="30"/>
      <c r="V189" s="31"/>
      <c r="W189" s="31"/>
    </row>
    <row r="190" spans="21:23">
      <c r="U190" s="30"/>
      <c r="V190" s="31"/>
      <c r="W190" s="31"/>
    </row>
    <row r="191" spans="21:23">
      <c r="U191" s="30"/>
      <c r="V191" s="31"/>
      <c r="W191" s="31"/>
    </row>
    <row r="192" spans="21:23">
      <c r="U192" s="30"/>
      <c r="V192" s="31"/>
      <c r="W192" s="31"/>
    </row>
    <row r="193" spans="21:23">
      <c r="U193" s="30"/>
      <c r="V193" s="31"/>
      <c r="W193" s="31"/>
    </row>
    <row r="194" spans="21:23">
      <c r="U194" s="30"/>
      <c r="V194" s="31"/>
      <c r="W194" s="31"/>
    </row>
    <row r="195" spans="21:23">
      <c r="U195" s="30"/>
      <c r="V195" s="31"/>
      <c r="W195" s="31"/>
    </row>
    <row r="196" spans="21:23">
      <c r="U196" s="30"/>
      <c r="V196" s="31"/>
      <c r="W196" s="31"/>
    </row>
    <row r="197" spans="21:23">
      <c r="U197" s="30"/>
      <c r="V197" s="31"/>
      <c r="W197" s="31"/>
    </row>
    <row r="198" spans="21:23">
      <c r="U198" s="30"/>
      <c r="V198" s="31"/>
      <c r="W198" s="31"/>
    </row>
    <row r="199" spans="21:23">
      <c r="U199" s="30"/>
      <c r="V199" s="31"/>
      <c r="W199" s="31"/>
    </row>
    <row r="200" spans="21:23">
      <c r="U200" s="30"/>
      <c r="V200" s="31"/>
      <c r="W200" s="31"/>
    </row>
    <row r="201" spans="21:23">
      <c r="U201" s="30"/>
      <c r="V201" s="31"/>
      <c r="W201" s="31"/>
    </row>
    <row r="202" spans="21:23">
      <c r="U202" s="30"/>
      <c r="V202" s="31"/>
      <c r="W202" s="31"/>
    </row>
    <row r="203" spans="21:23">
      <c r="U203" s="30"/>
      <c r="V203" s="31"/>
      <c r="W203" s="31"/>
    </row>
    <row r="204" spans="21:23">
      <c r="U204" s="30"/>
      <c r="V204" s="31"/>
      <c r="W204" s="31"/>
    </row>
    <row r="205" spans="21:23">
      <c r="U205" s="30"/>
      <c r="V205" s="31"/>
      <c r="W205" s="31"/>
    </row>
    <row r="206" spans="21:23">
      <c r="U206" s="30"/>
      <c r="V206" s="31"/>
      <c r="W206" s="31"/>
    </row>
    <row r="207" spans="21:23">
      <c r="U207" s="30"/>
      <c r="V207" s="31"/>
      <c r="W207" s="31"/>
    </row>
    <row r="208" spans="21:23">
      <c r="U208" s="30"/>
      <c r="V208" s="31"/>
      <c r="W208" s="31"/>
    </row>
    <row r="209" spans="21:23">
      <c r="U209" s="30"/>
      <c r="V209" s="31"/>
      <c r="W209" s="31"/>
    </row>
    <row r="210" spans="21:23">
      <c r="U210" s="30"/>
      <c r="V210" s="31"/>
      <c r="W210" s="31"/>
    </row>
    <row r="211" spans="21:23">
      <c r="U211" s="30"/>
      <c r="V211" s="31"/>
      <c r="W211" s="31"/>
    </row>
    <row r="212" spans="21:23">
      <c r="U212" s="30"/>
      <c r="V212" s="31"/>
      <c r="W212" s="31"/>
    </row>
    <row r="213" spans="21:23">
      <c r="U213" s="30"/>
      <c r="V213" s="31"/>
      <c r="W213" s="31"/>
    </row>
    <row r="214" spans="21:23">
      <c r="U214" s="30"/>
      <c r="V214" s="31"/>
      <c r="W214" s="31"/>
    </row>
    <row r="215" spans="21:23">
      <c r="U215" s="30"/>
      <c r="V215" s="31"/>
      <c r="W215" s="31"/>
    </row>
    <row r="216" spans="21:23">
      <c r="U216" s="30"/>
      <c r="V216" s="31"/>
      <c r="W216" s="31"/>
    </row>
    <row r="217" spans="21:23">
      <c r="U217" s="30"/>
      <c r="V217" s="31"/>
      <c r="W217" s="31"/>
    </row>
    <row r="218" spans="21:23">
      <c r="U218" s="30"/>
      <c r="V218" s="31"/>
      <c r="W218" s="31"/>
    </row>
    <row r="219" spans="21:23">
      <c r="U219" s="30"/>
      <c r="V219" s="31"/>
      <c r="W219" s="31"/>
    </row>
    <row r="220" spans="21:23">
      <c r="U220" s="30"/>
      <c r="V220" s="31"/>
      <c r="W220" s="31"/>
    </row>
    <row r="221" spans="21:23">
      <c r="U221" s="30"/>
      <c r="V221" s="31"/>
      <c r="W221" s="31"/>
    </row>
    <row r="222" spans="21:23">
      <c r="U222" s="30"/>
      <c r="V222" s="31"/>
      <c r="W222" s="31"/>
    </row>
    <row r="223" spans="21:23">
      <c r="U223" s="30"/>
      <c r="V223" s="31"/>
      <c r="W223" s="31"/>
    </row>
    <row r="224" spans="21:23">
      <c r="U224" s="30"/>
      <c r="V224" s="31"/>
      <c r="W224" s="31"/>
    </row>
    <row r="225" spans="21:23">
      <c r="U225" s="30"/>
      <c r="V225" s="31"/>
      <c r="W225" s="31"/>
    </row>
    <row r="226" spans="21:23">
      <c r="U226" s="30"/>
      <c r="V226" s="31"/>
      <c r="W226" s="31"/>
    </row>
    <row r="227" spans="21:23">
      <c r="U227" s="30"/>
      <c r="V227" s="31"/>
      <c r="W227" s="31"/>
    </row>
    <row r="228" spans="21:23">
      <c r="U228" s="30"/>
      <c r="V228" s="31"/>
      <c r="W228" s="31"/>
    </row>
    <row r="229" spans="21:23">
      <c r="U229" s="30"/>
      <c r="V229" s="31"/>
      <c r="W229" s="31"/>
    </row>
    <row r="230" spans="21:23">
      <c r="U230" s="30"/>
      <c r="V230" s="31"/>
      <c r="W230" s="31"/>
    </row>
    <row r="231" spans="21:23">
      <c r="U231" s="30"/>
      <c r="V231" s="31"/>
      <c r="W231" s="31"/>
    </row>
    <row r="232" spans="21:23">
      <c r="U232" s="30"/>
      <c r="V232" s="31"/>
      <c r="W232" s="31"/>
    </row>
    <row r="233" spans="21:23">
      <c r="U233" s="30"/>
      <c r="V233" s="31"/>
      <c r="W233" s="31"/>
    </row>
    <row r="234" spans="21:23">
      <c r="U234" s="30"/>
      <c r="V234" s="31"/>
      <c r="W234" s="31"/>
    </row>
    <row r="235" spans="21:23">
      <c r="U235" s="30"/>
      <c r="V235" s="31"/>
      <c r="W235" s="31"/>
    </row>
    <row r="236" spans="21:23">
      <c r="U236" s="30"/>
      <c r="V236" s="31"/>
      <c r="W236" s="31"/>
    </row>
    <row r="237" spans="21:23">
      <c r="U237" s="30"/>
      <c r="V237" s="31"/>
      <c r="W237" s="31"/>
    </row>
    <row r="238" spans="21:23">
      <c r="U238" s="30"/>
      <c r="V238" s="31"/>
      <c r="W238" s="31"/>
    </row>
    <row r="239" spans="21:23">
      <c r="U239" s="30"/>
      <c r="V239" s="31"/>
      <c r="W239" s="31"/>
    </row>
    <row r="240" spans="21:23">
      <c r="U240" s="30"/>
      <c r="V240" s="31"/>
      <c r="W240" s="31"/>
    </row>
    <row r="241" spans="21:23">
      <c r="U241" s="30"/>
      <c r="V241" s="31"/>
      <c r="W241" s="31"/>
    </row>
    <row r="242" spans="21:23">
      <c r="U242" s="30"/>
      <c r="V242" s="31"/>
      <c r="W242" s="31"/>
    </row>
    <row r="243" spans="21:23">
      <c r="U243" s="30"/>
      <c r="V243" s="31"/>
      <c r="W243" s="31"/>
    </row>
    <row r="244" spans="21:23">
      <c r="U244" s="30"/>
      <c r="V244" s="31"/>
      <c r="W244" s="31"/>
    </row>
    <row r="245" spans="21:23">
      <c r="U245" s="30"/>
      <c r="V245" s="31"/>
      <c r="W245" s="31"/>
    </row>
    <row r="246" spans="21:23">
      <c r="U246" s="30"/>
      <c r="V246" s="31"/>
      <c r="W246" s="31"/>
    </row>
    <row r="247" spans="21:23">
      <c r="U247" s="30"/>
      <c r="V247" s="31"/>
      <c r="W247" s="31"/>
    </row>
    <row r="248" spans="21:23">
      <c r="U248" s="30"/>
      <c r="V248" s="31"/>
      <c r="W248" s="31"/>
    </row>
    <row r="249" spans="21:23">
      <c r="U249" s="30"/>
      <c r="V249" s="31"/>
      <c r="W249" s="31"/>
    </row>
    <row r="250" spans="21:23">
      <c r="U250" s="30"/>
      <c r="V250" s="31"/>
      <c r="W250" s="31"/>
    </row>
    <row r="251" spans="21:23">
      <c r="U251" s="30"/>
      <c r="V251" s="31"/>
      <c r="W251" s="31"/>
    </row>
    <row r="252" spans="21:23">
      <c r="U252" s="30"/>
      <c r="V252" s="31"/>
      <c r="W252" s="31"/>
    </row>
    <row r="253" spans="21:23">
      <c r="U253" s="30"/>
      <c r="V253" s="31"/>
      <c r="W253" s="31"/>
    </row>
    <row r="254" spans="21:23">
      <c r="U254" s="30"/>
      <c r="V254" s="31"/>
      <c r="W254" s="31"/>
    </row>
    <row r="255" spans="21:23">
      <c r="U255" s="30"/>
      <c r="V255" s="31"/>
      <c r="W255" s="31"/>
    </row>
    <row r="256" spans="21:23">
      <c r="U256" s="30"/>
      <c r="V256" s="31"/>
      <c r="W256" s="31"/>
    </row>
  </sheetData>
  <mergeCells count="4">
    <mergeCell ref="N2:R2"/>
    <mergeCell ref="S2:Y2"/>
    <mergeCell ref="B2:G2"/>
    <mergeCell ref="H2:M2"/>
  </mergeCells>
  <phoneticPr fontId="1" type="noConversion"/>
  <hyperlinks>
    <hyperlink ref="A4" display="Select"/>
    <hyperlink ref="A5" display="Select"/>
    <hyperlink ref="A6" display="Select"/>
    <hyperlink ref="A7" display="Select"/>
    <hyperlink ref="A8" display="Select"/>
    <hyperlink ref="A9" display="Select"/>
    <hyperlink ref="A10" display="Select"/>
    <hyperlink ref="A11" display="Select"/>
    <hyperlink ref="A12" display="Select"/>
    <hyperlink ref="A13" display="Select"/>
    <hyperlink ref="A14" display="Select"/>
    <hyperlink ref="A15" display="Select"/>
    <hyperlink ref="A16" display="Select"/>
    <hyperlink ref="A17" display="Select"/>
    <hyperlink ref="A18" display="Select"/>
    <hyperlink ref="A19" display="Select"/>
    <hyperlink ref="A20" display="Select"/>
    <hyperlink ref="A21" display="Select"/>
    <hyperlink ref="A22" display="Select"/>
    <hyperlink ref="A23" display="Select"/>
  </hyperlinks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B1:K26"/>
  <sheetViews>
    <sheetView showGridLines="0" zoomScale="130" zoomScaleNormal="130" workbookViewId="0">
      <selection activeCell="D32" sqref="D32"/>
    </sheetView>
  </sheetViews>
  <sheetFormatPr defaultRowHeight="14.25"/>
  <cols>
    <col min="1" max="1" width="1.25" customWidth="1"/>
    <col min="2" max="2" width="11.375" customWidth="1"/>
    <col min="3" max="3" width="15.375" customWidth="1"/>
    <col min="4" max="4" width="13.375" customWidth="1"/>
    <col min="5" max="5" width="10.875" customWidth="1"/>
    <col min="6" max="6" width="13" customWidth="1"/>
    <col min="7" max="7" width="15.75" customWidth="1"/>
  </cols>
  <sheetData>
    <row r="1" spans="3:11">
      <c r="F1" s="13" t="s">
        <v>22</v>
      </c>
      <c r="G1" s="13" t="s">
        <v>30</v>
      </c>
      <c r="H1" s="13" t="s">
        <v>31</v>
      </c>
      <c r="I1" s="13" t="s">
        <v>23</v>
      </c>
      <c r="J1" s="13" t="s">
        <v>12</v>
      </c>
    </row>
    <row r="2" spans="3:11">
      <c r="C2" s="190" t="s">
        <v>256</v>
      </c>
      <c r="D2" s="183"/>
      <c r="E2">
        <v>8804</v>
      </c>
      <c r="G2" s="1" t="s">
        <v>32</v>
      </c>
    </row>
    <row r="3" spans="3:11">
      <c r="C3" s="190" t="s">
        <v>35</v>
      </c>
      <c r="D3" s="183"/>
      <c r="E3">
        <v>5711</v>
      </c>
    </row>
    <row r="4" spans="3:11">
      <c r="C4" s="190" t="s">
        <v>25</v>
      </c>
      <c r="D4" s="183"/>
    </row>
    <row r="5" spans="3:11">
      <c r="C5" s="190" t="s">
        <v>26</v>
      </c>
      <c r="D5" s="183"/>
    </row>
    <row r="6" spans="3:11">
      <c r="C6" s="190" t="s">
        <v>28</v>
      </c>
      <c r="D6" s="183"/>
    </row>
    <row r="7" spans="3:11">
      <c r="C7" s="190" t="s">
        <v>27</v>
      </c>
      <c r="D7" s="183"/>
    </row>
    <row r="8" spans="3:11">
      <c r="C8" s="190" t="s">
        <v>29</v>
      </c>
      <c r="D8" s="183"/>
      <c r="K8" s="1" t="s">
        <v>41</v>
      </c>
    </row>
    <row r="9" spans="3:11">
      <c r="C9" s="190" t="s">
        <v>20</v>
      </c>
      <c r="D9" s="183"/>
      <c r="K9" s="1" t="s">
        <v>42</v>
      </c>
    </row>
    <row r="10" spans="3:11">
      <c r="C10" s="190" t="s">
        <v>9</v>
      </c>
      <c r="D10" s="183"/>
      <c r="K10" s="1" t="s">
        <v>43</v>
      </c>
    </row>
    <row r="11" spans="3:11">
      <c r="K11" s="1" t="s">
        <v>24</v>
      </c>
    </row>
    <row r="16" spans="3:11">
      <c r="C16" s="14" t="s">
        <v>33</v>
      </c>
      <c r="D16" s="14" t="s">
        <v>34</v>
      </c>
      <c r="E16" s="1"/>
    </row>
    <row r="17" spans="2:8">
      <c r="C17">
        <v>333</v>
      </c>
      <c r="D17">
        <v>222</v>
      </c>
    </row>
    <row r="18" spans="2:8">
      <c r="B18" s="3"/>
      <c r="C18" s="15" t="s">
        <v>36</v>
      </c>
      <c r="D18" s="15" t="s">
        <v>37</v>
      </c>
      <c r="E18" s="15" t="s">
        <v>38</v>
      </c>
      <c r="F18" s="15" t="s">
        <v>39</v>
      </c>
      <c r="G18" s="15" t="s">
        <v>40</v>
      </c>
      <c r="H18" s="15" t="s">
        <v>0</v>
      </c>
    </row>
    <row r="19" spans="2:8">
      <c r="B19" s="16">
        <v>43737</v>
      </c>
      <c r="C19" s="3"/>
      <c r="D19" s="3"/>
      <c r="E19" s="3"/>
      <c r="F19" s="3"/>
      <c r="G19" s="3"/>
      <c r="H19" s="3"/>
    </row>
    <row r="20" spans="2:8">
      <c r="B20" s="16">
        <v>43737</v>
      </c>
      <c r="C20" s="3"/>
      <c r="D20" s="3"/>
      <c r="E20" s="3"/>
      <c r="F20" s="3"/>
      <c r="G20" s="3"/>
      <c r="H20" s="3"/>
    </row>
    <row r="21" spans="2:8">
      <c r="B21" s="17"/>
      <c r="C21" s="3"/>
      <c r="D21" s="3"/>
      <c r="E21" s="3"/>
      <c r="F21" s="3"/>
      <c r="G21" s="3"/>
      <c r="H21" s="3"/>
    </row>
    <row r="22" spans="2:8">
      <c r="B22" s="17"/>
      <c r="C22" s="3"/>
      <c r="D22" s="3"/>
      <c r="E22" s="3"/>
      <c r="F22" s="3"/>
      <c r="G22" s="3"/>
      <c r="H22" s="3"/>
    </row>
    <row r="23" spans="2:8">
      <c r="B23" s="17"/>
      <c r="C23" s="3"/>
      <c r="D23" s="3"/>
      <c r="E23" s="3"/>
      <c r="F23" s="3"/>
      <c r="G23" s="3"/>
      <c r="H23" s="3"/>
    </row>
    <row r="24" spans="2:8">
      <c r="B24" s="17"/>
      <c r="C24" s="3"/>
      <c r="D24" s="3"/>
      <c r="E24" s="3"/>
      <c r="F24" s="3"/>
      <c r="G24" s="3"/>
      <c r="H24" s="3"/>
    </row>
    <row r="25" spans="2:8">
      <c r="B25" s="17"/>
      <c r="C25" s="3"/>
      <c r="D25" s="3"/>
      <c r="E25" s="3"/>
      <c r="F25" s="3"/>
      <c r="G25" s="3"/>
      <c r="H25" s="3"/>
    </row>
    <row r="26" spans="2:8">
      <c r="B26" s="17"/>
      <c r="C26" s="3"/>
      <c r="D26" s="3"/>
      <c r="E26" s="3"/>
      <c r="F26" s="3"/>
      <c r="G26" s="3"/>
      <c r="H26" s="3"/>
    </row>
  </sheetData>
  <mergeCells count="9">
    <mergeCell ref="C8:D8"/>
    <mergeCell ref="C9:D9"/>
    <mergeCell ref="C10:D10"/>
    <mergeCell ref="C2:D2"/>
    <mergeCell ref="C3:D3"/>
    <mergeCell ref="C4:D4"/>
    <mergeCell ref="C5:D5"/>
    <mergeCell ref="C6:D6"/>
    <mergeCell ref="C7:D7"/>
  </mergeCells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:A2"/>
  <sheetViews>
    <sheetView workbookViewId="0">
      <selection activeCell="C42" sqref="C42"/>
    </sheetView>
  </sheetViews>
  <sheetFormatPr defaultRowHeight="14.25"/>
  <sheetData>
    <row r="1" spans="1:1">
      <c r="A1" s="1" t="s">
        <v>44</v>
      </c>
    </row>
    <row r="2" spans="1:1">
      <c r="A2" s="1" t="s">
        <v>45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1:T777"/>
  <sheetViews>
    <sheetView showGridLines="0" workbookViewId="0">
      <selection activeCell="C17" sqref="C17"/>
    </sheetView>
  </sheetViews>
  <sheetFormatPr defaultRowHeight="14.25"/>
  <cols>
    <col min="1" max="1" width="10.875" customWidth="1"/>
  </cols>
  <sheetData>
    <row r="1" spans="1:20" ht="22.5" customHeight="1" thickBot="1">
      <c r="A1" s="191" t="s">
        <v>455</v>
      </c>
      <c r="B1" s="191"/>
      <c r="C1" s="191"/>
    </row>
    <row r="2" spans="1:20">
      <c r="B2" s="107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9"/>
    </row>
    <row r="3" spans="1:20">
      <c r="B3" s="1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1"/>
    </row>
    <row r="4" spans="1:20">
      <c r="B4" s="1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1"/>
    </row>
    <row r="5" spans="1:20">
      <c r="B5" s="1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1"/>
    </row>
    <row r="6" spans="1:20">
      <c r="B6" s="1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1"/>
    </row>
    <row r="7" spans="1:20">
      <c r="B7" s="1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1"/>
    </row>
    <row r="8" spans="1:20">
      <c r="B8" s="1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1"/>
    </row>
    <row r="9" spans="1:20">
      <c r="B9" s="1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1"/>
    </row>
    <row r="10" spans="1:20">
      <c r="B10" s="1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11"/>
    </row>
    <row r="11" spans="1:20">
      <c r="B11" s="1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11"/>
    </row>
    <row r="12" spans="1:20">
      <c r="B12" s="1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11"/>
    </row>
    <row r="13" spans="1:20">
      <c r="B13" s="1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1"/>
    </row>
    <row r="14" spans="1:20">
      <c r="B14" s="1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1"/>
    </row>
    <row r="15" spans="1:20">
      <c r="B15" s="1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1"/>
    </row>
    <row r="16" spans="1:20">
      <c r="B16" s="1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1"/>
    </row>
    <row r="17" spans="2:20">
      <c r="B17" s="1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1"/>
    </row>
    <row r="18" spans="2:20">
      <c r="B18" s="1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1"/>
    </row>
    <row r="19" spans="2:20">
      <c r="B19" s="1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1"/>
    </row>
    <row r="20" spans="2:20">
      <c r="B20" s="1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11"/>
    </row>
    <row r="21" spans="2:20">
      <c r="B21" s="1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11"/>
    </row>
    <row r="22" spans="2:20">
      <c r="B22" s="1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11"/>
    </row>
    <row r="23" spans="2:20">
      <c r="B23" s="1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11"/>
    </row>
    <row r="24" spans="2:20">
      <c r="B24" s="1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11"/>
    </row>
    <row r="25" spans="2:20">
      <c r="B25" s="1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11"/>
    </row>
    <row r="26" spans="2:20">
      <c r="B26" s="1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11"/>
    </row>
    <row r="27" spans="2:20">
      <c r="B27" s="1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11"/>
    </row>
    <row r="28" spans="2:20">
      <c r="B28" s="1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11"/>
    </row>
    <row r="29" spans="2:20">
      <c r="B29" s="1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11"/>
    </row>
    <row r="30" spans="2:20">
      <c r="B30" s="1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11"/>
    </row>
    <row r="31" spans="2:20">
      <c r="B31" s="1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11"/>
    </row>
    <row r="32" spans="2:20">
      <c r="B32" s="1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11"/>
    </row>
    <row r="33" spans="1:20">
      <c r="B33" s="1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11"/>
    </row>
    <row r="34" spans="1:20">
      <c r="B34" s="1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11"/>
    </row>
    <row r="35" spans="1:20">
      <c r="B35" s="1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11"/>
    </row>
    <row r="36" spans="1:20">
      <c r="B36" s="1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11"/>
    </row>
    <row r="37" spans="1:20">
      <c r="B37" s="1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11"/>
    </row>
    <row r="38" spans="1:20" ht="15" thickBot="1">
      <c r="B38" s="112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4"/>
    </row>
    <row r="40" spans="1:20">
      <c r="A40" s="116" t="s">
        <v>400</v>
      </c>
      <c r="B40" s="117"/>
      <c r="C40" s="117"/>
      <c r="D40" s="117"/>
      <c r="E40" s="117"/>
      <c r="F40" s="117"/>
      <c r="G40" s="117"/>
      <c r="H40" s="117"/>
      <c r="I40" s="117"/>
      <c r="J40" s="117"/>
      <c r="K40" s="117"/>
      <c r="L40" s="117"/>
      <c r="M40" s="117"/>
      <c r="N40" s="117"/>
      <c r="O40" s="117"/>
      <c r="P40" s="117"/>
      <c r="Q40" s="117"/>
      <c r="R40" s="117"/>
      <c r="S40" s="117"/>
      <c r="T40" s="117"/>
    </row>
    <row r="41" spans="1:20">
      <c r="A41" s="119" t="s">
        <v>394</v>
      </c>
      <c r="B41" s="119" t="s">
        <v>451</v>
      </c>
      <c r="C41" s="119" t="s">
        <v>452</v>
      </c>
      <c r="D41" s="119" t="s">
        <v>453</v>
      </c>
      <c r="E41" s="119" t="s">
        <v>454</v>
      </c>
      <c r="F41" s="119" t="s">
        <v>395</v>
      </c>
      <c r="G41" s="119" t="s">
        <v>396</v>
      </c>
      <c r="H41" s="119" t="s">
        <v>397</v>
      </c>
      <c r="I41" s="119" t="s">
        <v>398</v>
      </c>
      <c r="J41" s="119" t="s">
        <v>399</v>
      </c>
      <c r="L41" s="119" t="s">
        <v>401</v>
      </c>
      <c r="M41" s="119" t="s">
        <v>402</v>
      </c>
      <c r="N41" s="119" t="s">
        <v>403</v>
      </c>
      <c r="O41" s="119" t="s">
        <v>404</v>
      </c>
    </row>
    <row r="42" spans="1:20">
      <c r="A42" s="19">
        <v>43755</v>
      </c>
      <c r="B42">
        <v>1013</v>
      </c>
      <c r="C42">
        <v>1010</v>
      </c>
      <c r="D42">
        <v>449</v>
      </c>
      <c r="E42">
        <v>440</v>
      </c>
      <c r="F42">
        <v>2.2954545454545401</v>
      </c>
      <c r="G42">
        <v>2.1670845431834</v>
      </c>
      <c r="H42">
        <v>4.7408794878584098E-2</v>
      </c>
      <c r="I42">
        <v>2.7077254884859401</v>
      </c>
      <c r="J42">
        <v>5.59</v>
      </c>
      <c r="L42">
        <v>2.2144933380619842</v>
      </c>
      <c r="M42">
        <v>2.1196757483048159</v>
      </c>
      <c r="N42">
        <v>2.2619021329405684</v>
      </c>
      <c r="O42">
        <v>2.0722669534262317</v>
      </c>
    </row>
    <row r="43" spans="1:20">
      <c r="A43" s="19">
        <v>43754</v>
      </c>
      <c r="B43">
        <v>1031</v>
      </c>
      <c r="C43">
        <v>1013</v>
      </c>
      <c r="D43">
        <v>449</v>
      </c>
      <c r="E43">
        <v>446</v>
      </c>
      <c r="F43">
        <v>2.2713004484304902</v>
      </c>
      <c r="G43">
        <v>2.1645503014688301</v>
      </c>
      <c r="H43">
        <v>4.5521520202556801E-2</v>
      </c>
      <c r="I43">
        <v>2.34504793527667</v>
      </c>
      <c r="J43">
        <v>4.7</v>
      </c>
      <c r="L43">
        <v>2.210071821671387</v>
      </c>
      <c r="M43">
        <v>2.1190287812662731</v>
      </c>
      <c r="N43">
        <v>2.2555933418739436</v>
      </c>
      <c r="O43">
        <v>2.0735072610637166</v>
      </c>
    </row>
    <row r="44" spans="1:20">
      <c r="A44" s="19">
        <v>43753</v>
      </c>
      <c r="B44">
        <v>1020</v>
      </c>
      <c r="C44">
        <v>1022</v>
      </c>
      <c r="D44">
        <v>447</v>
      </c>
      <c r="E44">
        <v>447</v>
      </c>
      <c r="F44">
        <v>2.2863534675615198</v>
      </c>
      <c r="G44">
        <v>2.1619731512817202</v>
      </c>
      <c r="H44">
        <v>4.48717339485738E-2</v>
      </c>
      <c r="I44">
        <v>2.7719079548463301</v>
      </c>
      <c r="J44">
        <v>5.44</v>
      </c>
      <c r="L44">
        <v>2.2068448852302938</v>
      </c>
      <c r="M44">
        <v>2.1171014173331466</v>
      </c>
      <c r="N44">
        <v>2.2517166191788678</v>
      </c>
      <c r="O44">
        <v>2.0722296833845726</v>
      </c>
    </row>
    <row r="45" spans="1:20">
      <c r="A45" s="19">
        <v>43749</v>
      </c>
      <c r="B45">
        <v>992</v>
      </c>
      <c r="C45">
        <v>1005</v>
      </c>
      <c r="D45">
        <v>447</v>
      </c>
      <c r="E45">
        <v>442</v>
      </c>
      <c r="F45">
        <v>2.2737556561085901</v>
      </c>
      <c r="G45">
        <v>2.1592505667064001</v>
      </c>
      <c r="H45">
        <v>4.3413398707768801E-2</v>
      </c>
      <c r="I45">
        <v>2.6375518344684901</v>
      </c>
      <c r="J45">
        <v>5.04</v>
      </c>
      <c r="L45">
        <v>2.2026639654141689</v>
      </c>
      <c r="M45">
        <v>2.1158371679986314</v>
      </c>
      <c r="N45">
        <v>2.2460773641219376</v>
      </c>
      <c r="O45">
        <v>2.0724237692908627</v>
      </c>
    </row>
    <row r="46" spans="1:20">
      <c r="A46" s="19">
        <v>43748</v>
      </c>
      <c r="B46">
        <v>996</v>
      </c>
      <c r="C46">
        <v>986</v>
      </c>
      <c r="D46">
        <v>448</v>
      </c>
      <c r="E46">
        <v>445</v>
      </c>
      <c r="F46">
        <v>2.2157303370786501</v>
      </c>
      <c r="G46">
        <v>2.1573465230376598</v>
      </c>
      <c r="H46">
        <v>4.1436168934560202E-2</v>
      </c>
      <c r="I46">
        <v>1.40900608193766</v>
      </c>
      <c r="J46">
        <v>2.63</v>
      </c>
      <c r="L46">
        <v>2.19878269197222</v>
      </c>
      <c r="M46">
        <v>2.1159103541030997</v>
      </c>
      <c r="N46">
        <v>2.2402188609067801</v>
      </c>
      <c r="O46">
        <v>2.0744741851685395</v>
      </c>
    </row>
    <row r="47" spans="1:20">
      <c r="A47" s="19">
        <v>43747</v>
      </c>
      <c r="B47">
        <v>968</v>
      </c>
      <c r="C47">
        <v>982</v>
      </c>
      <c r="D47">
        <v>441</v>
      </c>
      <c r="E47">
        <v>446</v>
      </c>
      <c r="F47">
        <v>2.2017937219730901</v>
      </c>
      <c r="G47">
        <v>2.15521085928401</v>
      </c>
      <c r="H47">
        <v>4.2486446315945503E-2</v>
      </c>
      <c r="I47">
        <v>1.09641701597416</v>
      </c>
      <c r="J47">
        <v>2.12</v>
      </c>
      <c r="L47">
        <v>2.1976973055999554</v>
      </c>
      <c r="M47">
        <v>2.1127244129680647</v>
      </c>
      <c r="N47">
        <v>2.2401837519159011</v>
      </c>
      <c r="O47">
        <v>2.0702379666521189</v>
      </c>
    </row>
    <row r="48" spans="1:20">
      <c r="A48" s="19">
        <v>43746</v>
      </c>
      <c r="B48">
        <v>968</v>
      </c>
      <c r="C48">
        <v>972</v>
      </c>
      <c r="D48">
        <v>437</v>
      </c>
      <c r="E48">
        <v>446</v>
      </c>
      <c r="F48">
        <v>2.17937219730941</v>
      </c>
      <c r="G48">
        <v>2.1543298001339002</v>
      </c>
      <c r="H48">
        <v>4.2195464595859003E-2</v>
      </c>
      <c r="I48">
        <v>0.59348551829842999</v>
      </c>
      <c r="J48">
        <v>1.1499999999999999</v>
      </c>
      <c r="L48">
        <v>2.1965252647297593</v>
      </c>
      <c r="M48">
        <v>2.1121343355380411</v>
      </c>
      <c r="N48">
        <v>2.2387207293256184</v>
      </c>
      <c r="O48">
        <v>2.069938870942182</v>
      </c>
    </row>
    <row r="49" spans="1:15">
      <c r="A49" s="19">
        <v>43745</v>
      </c>
      <c r="B49">
        <v>954</v>
      </c>
      <c r="C49">
        <v>957</v>
      </c>
      <c r="D49">
        <v>435</v>
      </c>
      <c r="E49">
        <v>436</v>
      </c>
      <c r="F49">
        <v>2.1949541284403602</v>
      </c>
      <c r="G49">
        <v>2.1539796381410601</v>
      </c>
      <c r="H49">
        <v>4.2095045245615699E-2</v>
      </c>
      <c r="I49">
        <v>0.97338036009278694</v>
      </c>
      <c r="J49">
        <v>1.87</v>
      </c>
      <c r="L49">
        <v>2.196074683386676</v>
      </c>
      <c r="M49">
        <v>2.1118845928954442</v>
      </c>
      <c r="N49">
        <v>2.2381697286322915</v>
      </c>
      <c r="O49">
        <v>2.0697895476498287</v>
      </c>
    </row>
    <row r="50" spans="1:15">
      <c r="A50" s="19">
        <v>43742</v>
      </c>
      <c r="B50">
        <v>949</v>
      </c>
      <c r="C50">
        <v>953</v>
      </c>
      <c r="D50">
        <v>432</v>
      </c>
      <c r="E50">
        <v>434</v>
      </c>
      <c r="F50">
        <v>2.19585253456221</v>
      </c>
      <c r="G50">
        <v>2.15302276183915</v>
      </c>
      <c r="H50">
        <v>4.1968239226343303E-2</v>
      </c>
      <c r="I50">
        <v>1.0205282259297499</v>
      </c>
      <c r="J50">
        <v>1.95</v>
      </c>
      <c r="L50">
        <v>2.1949910010654934</v>
      </c>
      <c r="M50">
        <v>2.1110545226128066</v>
      </c>
      <c r="N50">
        <v>2.2369592402918368</v>
      </c>
      <c r="O50">
        <v>2.0690862833864632</v>
      </c>
    </row>
    <row r="51" spans="1:15">
      <c r="A51" s="19">
        <v>43741</v>
      </c>
      <c r="B51">
        <v>951</v>
      </c>
      <c r="C51">
        <v>953</v>
      </c>
      <c r="D51">
        <v>435</v>
      </c>
      <c r="E51">
        <v>435</v>
      </c>
      <c r="F51">
        <v>2.1908045977011401</v>
      </c>
      <c r="G51">
        <v>2.1523985741988398</v>
      </c>
      <c r="H51">
        <v>4.1673692298390803E-2</v>
      </c>
      <c r="I51">
        <v>0.92158917014877895</v>
      </c>
      <c r="J51">
        <v>1.75</v>
      </c>
      <c r="L51">
        <v>2.1940722664972307</v>
      </c>
      <c r="M51">
        <v>2.1107248819004489</v>
      </c>
      <c r="N51">
        <v>2.2357459587956217</v>
      </c>
      <c r="O51">
        <v>2.069051189602058</v>
      </c>
    </row>
    <row r="52" spans="1:15">
      <c r="A52" s="19">
        <v>43740</v>
      </c>
      <c r="B52">
        <v>972</v>
      </c>
      <c r="C52">
        <v>972</v>
      </c>
      <c r="D52">
        <v>443</v>
      </c>
      <c r="E52">
        <v>443</v>
      </c>
      <c r="F52">
        <v>2.1941309255079</v>
      </c>
      <c r="G52">
        <v>2.1513990361427999</v>
      </c>
      <c r="H52">
        <v>4.1639545071023701E-2</v>
      </c>
      <c r="I52">
        <v>1.02623333881782</v>
      </c>
      <c r="J52">
        <v>1.95</v>
      </c>
      <c r="L52">
        <v>2.1930385812138238</v>
      </c>
      <c r="M52">
        <v>2.1097594910717761</v>
      </c>
      <c r="N52">
        <v>2.2346781262848472</v>
      </c>
      <c r="O52">
        <v>2.0681199460007527</v>
      </c>
    </row>
    <row r="53" spans="1:15">
      <c r="A53" s="19">
        <v>43739</v>
      </c>
      <c r="B53">
        <v>969</v>
      </c>
      <c r="C53">
        <v>975</v>
      </c>
      <c r="D53">
        <v>442</v>
      </c>
      <c r="E53">
        <v>444</v>
      </c>
      <c r="F53">
        <v>2.1959459459459398</v>
      </c>
      <c r="G53">
        <v>2.1501692335973299</v>
      </c>
      <c r="H53">
        <v>4.1721299109173E-2</v>
      </c>
      <c r="I53">
        <v>1.09720246794878</v>
      </c>
      <c r="J53">
        <v>2.08</v>
      </c>
      <c r="L53">
        <v>2.1918905327065028</v>
      </c>
      <c r="M53">
        <v>2.108447934488157</v>
      </c>
      <c r="N53">
        <v>2.2336118318156761</v>
      </c>
      <c r="O53">
        <v>2.0667266353789837</v>
      </c>
    </row>
    <row r="54" spans="1:15">
      <c r="A54" s="19">
        <v>43738</v>
      </c>
      <c r="B54">
        <v>969</v>
      </c>
      <c r="C54">
        <v>966</v>
      </c>
      <c r="D54">
        <v>437</v>
      </c>
      <c r="E54">
        <v>437</v>
      </c>
      <c r="F54">
        <v>2.2105263157894699</v>
      </c>
      <c r="G54">
        <v>2.1493176272740202</v>
      </c>
      <c r="H54">
        <v>4.1429054905666798E-2</v>
      </c>
      <c r="I54">
        <v>1.4774338602417301</v>
      </c>
      <c r="J54">
        <v>2.77</v>
      </c>
      <c r="L54">
        <v>2.1907466821796868</v>
      </c>
      <c r="M54">
        <v>2.1078885723683536</v>
      </c>
      <c r="N54">
        <v>2.2321757370853539</v>
      </c>
      <c r="O54">
        <v>2.0664595174626865</v>
      </c>
    </row>
    <row r="55" spans="1:15">
      <c r="A55" s="19">
        <v>43735</v>
      </c>
      <c r="B55">
        <v>990</v>
      </c>
      <c r="C55">
        <v>981</v>
      </c>
      <c r="D55">
        <v>441</v>
      </c>
      <c r="E55">
        <v>437</v>
      </c>
      <c r="F55">
        <v>2.2448512585812299</v>
      </c>
      <c r="G55">
        <v>2.1485741017936602</v>
      </c>
      <c r="H55">
        <v>4.08197939934936E-2</v>
      </c>
      <c r="I55">
        <v>2.3585899723776498</v>
      </c>
      <c r="J55">
        <v>4.29</v>
      </c>
      <c r="L55">
        <v>2.1893938957871537</v>
      </c>
      <c r="M55">
        <v>2.1077543078001666</v>
      </c>
      <c r="N55">
        <v>2.2302136897806473</v>
      </c>
      <c r="O55">
        <v>2.066934513806673</v>
      </c>
    </row>
    <row r="56" spans="1:15">
      <c r="A56" s="19">
        <v>43734</v>
      </c>
      <c r="B56">
        <v>1013</v>
      </c>
      <c r="C56">
        <v>1012</v>
      </c>
      <c r="D56">
        <v>458</v>
      </c>
      <c r="E56">
        <v>449</v>
      </c>
      <c r="F56">
        <v>2.2538975501113501</v>
      </c>
      <c r="G56">
        <v>2.1471333177169698</v>
      </c>
      <c r="H56">
        <v>3.9273909159792397E-2</v>
      </c>
      <c r="I56">
        <v>2.71845188519409</v>
      </c>
      <c r="J56">
        <v>4.74</v>
      </c>
      <c r="L56">
        <v>2.1864072268767623</v>
      </c>
      <c r="M56">
        <v>2.1078594085571773</v>
      </c>
      <c r="N56">
        <v>2.2256811360365547</v>
      </c>
      <c r="O56">
        <v>2.0685854993973849</v>
      </c>
    </row>
    <row r="57" spans="1:15">
      <c r="A57" s="19">
        <v>43733</v>
      </c>
      <c r="B57">
        <v>991</v>
      </c>
      <c r="C57">
        <v>999</v>
      </c>
      <c r="D57">
        <v>449</v>
      </c>
      <c r="E57">
        <v>456</v>
      </c>
      <c r="F57">
        <v>2.1907894736842102</v>
      </c>
      <c r="G57">
        <v>2.1451066268434502</v>
      </c>
      <c r="H57">
        <v>3.7598363877057603E-2</v>
      </c>
      <c r="I57">
        <v>1.2150222012354499</v>
      </c>
      <c r="J57">
        <v>2.09</v>
      </c>
      <c r="L57">
        <v>2.1827049907205076</v>
      </c>
      <c r="M57">
        <v>2.1075082629663928</v>
      </c>
      <c r="N57">
        <v>2.2203033545975654</v>
      </c>
      <c r="O57">
        <v>2.069909899089335</v>
      </c>
    </row>
    <row r="58" spans="1:15">
      <c r="A58" s="19">
        <v>43732</v>
      </c>
      <c r="B58">
        <v>992</v>
      </c>
      <c r="C58">
        <v>987</v>
      </c>
      <c r="D58">
        <v>445</v>
      </c>
      <c r="E58">
        <v>446</v>
      </c>
      <c r="F58">
        <v>2.2130044843049301</v>
      </c>
      <c r="G58">
        <v>2.14408295721808</v>
      </c>
      <c r="H58">
        <v>3.7385200868123997E-2</v>
      </c>
      <c r="I58">
        <v>1.8435510706486899</v>
      </c>
      <c r="J58">
        <v>3.11</v>
      </c>
      <c r="L58">
        <v>2.1814681580862039</v>
      </c>
      <c r="M58">
        <v>2.106697756349956</v>
      </c>
      <c r="N58">
        <v>2.2188533589543278</v>
      </c>
      <c r="O58">
        <v>2.0693125554818321</v>
      </c>
    </row>
    <row r="59" spans="1:15">
      <c r="A59" s="19">
        <v>43728</v>
      </c>
      <c r="B59">
        <v>999</v>
      </c>
      <c r="C59">
        <v>978</v>
      </c>
      <c r="D59">
        <v>447</v>
      </c>
      <c r="E59">
        <v>445</v>
      </c>
      <c r="F59">
        <v>2.1977528089887599</v>
      </c>
      <c r="G59">
        <v>2.14326212819658</v>
      </c>
      <c r="H59">
        <v>3.6528973782187002E-2</v>
      </c>
      <c r="I59">
        <v>1.4917112404277499</v>
      </c>
      <c r="J59">
        <v>2.48</v>
      </c>
      <c r="L59">
        <v>2.179791101978767</v>
      </c>
      <c r="M59">
        <v>2.106733154414393</v>
      </c>
      <c r="N59">
        <v>2.216320075760954</v>
      </c>
      <c r="O59">
        <v>2.070204180632206</v>
      </c>
    </row>
    <row r="60" spans="1:15">
      <c r="A60" s="19">
        <v>43727</v>
      </c>
      <c r="B60">
        <v>989</v>
      </c>
      <c r="C60">
        <v>990</v>
      </c>
      <c r="D60">
        <v>446</v>
      </c>
      <c r="E60">
        <v>445</v>
      </c>
      <c r="F60">
        <v>2.2247191011235898</v>
      </c>
      <c r="G60">
        <v>2.1420322985771301</v>
      </c>
      <c r="H60">
        <v>3.6225143273811503E-2</v>
      </c>
      <c r="I60">
        <v>2.2825804144227799</v>
      </c>
      <c r="J60">
        <v>3.72</v>
      </c>
      <c r="L60">
        <v>2.1782574418509415</v>
      </c>
      <c r="M60">
        <v>2.1058071553033186</v>
      </c>
      <c r="N60">
        <v>2.2144825851247529</v>
      </c>
      <c r="O60">
        <v>2.0695820120295072</v>
      </c>
    </row>
    <row r="61" spans="1:15">
      <c r="A61" s="19">
        <v>43726</v>
      </c>
      <c r="B61">
        <v>1016</v>
      </c>
      <c r="C61">
        <v>984</v>
      </c>
      <c r="D61">
        <v>443</v>
      </c>
      <c r="E61">
        <v>442</v>
      </c>
      <c r="F61">
        <v>2.2262443438914001</v>
      </c>
      <c r="G61">
        <v>2.1405644991800301</v>
      </c>
      <c r="H61">
        <v>3.5056439102477001E-2</v>
      </c>
      <c r="I61">
        <v>2.4440544135388</v>
      </c>
      <c r="J61">
        <v>3.85</v>
      </c>
      <c r="L61">
        <v>2.1756209382825071</v>
      </c>
      <c r="M61">
        <v>2.1055080600775531</v>
      </c>
      <c r="N61">
        <v>2.2106773773849842</v>
      </c>
      <c r="O61">
        <v>2.0704516209750761</v>
      </c>
    </row>
    <row r="62" spans="1:15">
      <c r="A62" s="19">
        <v>43725</v>
      </c>
      <c r="B62">
        <v>996</v>
      </c>
      <c r="C62">
        <v>1007</v>
      </c>
      <c r="D62">
        <v>440</v>
      </c>
      <c r="E62">
        <v>444</v>
      </c>
      <c r="F62">
        <v>2.2680180180180098</v>
      </c>
      <c r="G62">
        <v>2.1392912493325098</v>
      </c>
      <c r="H62">
        <v>3.3626424832395599E-2</v>
      </c>
      <c r="I62">
        <v>3.8281431739210601</v>
      </c>
      <c r="J62">
        <v>5.68</v>
      </c>
      <c r="L62">
        <v>2.1729176741649052</v>
      </c>
      <c r="M62">
        <v>2.1056648245001144</v>
      </c>
      <c r="N62">
        <v>2.2065440989973011</v>
      </c>
      <c r="O62">
        <v>2.0720383996677185</v>
      </c>
    </row>
    <row r="63" spans="1:15">
      <c r="A63" s="19">
        <v>43721</v>
      </c>
      <c r="B63">
        <v>964</v>
      </c>
      <c r="C63">
        <v>974</v>
      </c>
      <c r="D63">
        <v>440</v>
      </c>
      <c r="E63">
        <v>440</v>
      </c>
      <c r="F63">
        <v>2.2136363636363598</v>
      </c>
      <c r="G63">
        <v>2.1372061951571899</v>
      </c>
      <c r="H63">
        <v>3.0259597512188201E-2</v>
      </c>
      <c r="I63">
        <v>2.5258157663327001</v>
      </c>
      <c r="J63">
        <v>3.45</v>
      </c>
      <c r="L63">
        <v>2.1674657926693781</v>
      </c>
      <c r="M63">
        <v>2.1069465976450017</v>
      </c>
      <c r="N63">
        <v>2.1977253901815663</v>
      </c>
      <c r="O63">
        <v>2.0766870001328135</v>
      </c>
    </row>
    <row r="64" spans="1:15">
      <c r="A64" s="19">
        <v>43720</v>
      </c>
      <c r="B64">
        <v>972</v>
      </c>
      <c r="C64">
        <v>959</v>
      </c>
      <c r="D64">
        <v>443</v>
      </c>
      <c r="E64">
        <v>440</v>
      </c>
      <c r="F64">
        <v>2.1795454545454498</v>
      </c>
      <c r="G64">
        <v>2.1358815198325201</v>
      </c>
      <c r="H64">
        <v>2.9034557239242299E-2</v>
      </c>
      <c r="I64">
        <v>1.50386087699376</v>
      </c>
      <c r="J64">
        <v>2</v>
      </c>
      <c r="L64">
        <v>2.1649160770717621</v>
      </c>
      <c r="M64">
        <v>2.106846962593278</v>
      </c>
      <c r="N64">
        <v>2.1939506343110047</v>
      </c>
      <c r="O64">
        <v>2.0778124053540354</v>
      </c>
    </row>
    <row r="65" spans="1:15">
      <c r="A65" s="19">
        <v>43719</v>
      </c>
      <c r="B65">
        <v>934</v>
      </c>
      <c r="C65">
        <v>953</v>
      </c>
      <c r="D65">
        <v>436</v>
      </c>
      <c r="E65">
        <v>440</v>
      </c>
      <c r="F65">
        <v>2.1659090909090901</v>
      </c>
      <c r="G65">
        <v>2.1345302344670101</v>
      </c>
      <c r="H65">
        <v>2.9327846501419501E-2</v>
      </c>
      <c r="I65">
        <v>1.0699338746386799</v>
      </c>
      <c r="J65">
        <v>1.45</v>
      </c>
      <c r="L65">
        <v>2.1638580809684296</v>
      </c>
      <c r="M65">
        <v>2.1052023879655906</v>
      </c>
      <c r="N65">
        <v>2.1931859274698491</v>
      </c>
      <c r="O65">
        <v>2.0758745414641711</v>
      </c>
    </row>
    <row r="66" spans="1:15">
      <c r="A66" s="19">
        <v>43718</v>
      </c>
      <c r="B66">
        <v>920</v>
      </c>
      <c r="C66">
        <v>927</v>
      </c>
      <c r="D66">
        <v>430</v>
      </c>
      <c r="E66">
        <v>432</v>
      </c>
      <c r="F66">
        <v>2.1458333333333299</v>
      </c>
      <c r="G66">
        <v>2.13396890690569</v>
      </c>
      <c r="H66">
        <v>2.9124070889642299E-2</v>
      </c>
      <c r="I66">
        <v>0.40737527636845799</v>
      </c>
      <c r="J66">
        <v>0.55000000000000004</v>
      </c>
      <c r="L66">
        <v>2.1630929777953321</v>
      </c>
      <c r="M66">
        <v>2.1048448360160479</v>
      </c>
      <c r="N66">
        <v>2.1922170486849746</v>
      </c>
      <c r="O66">
        <v>2.0757207651264054</v>
      </c>
    </row>
    <row r="67" spans="1:15">
      <c r="A67" s="19">
        <v>43717</v>
      </c>
      <c r="B67">
        <v>912</v>
      </c>
      <c r="C67">
        <v>914</v>
      </c>
      <c r="D67">
        <v>423</v>
      </c>
      <c r="E67">
        <v>428</v>
      </c>
      <c r="F67">
        <v>2.13551401869158</v>
      </c>
      <c r="G67">
        <v>2.1337830555867399</v>
      </c>
      <c r="H67">
        <v>2.90922236917096E-2</v>
      </c>
      <c r="I67">
        <v>5.9499167997133402E-2</v>
      </c>
      <c r="J67">
        <v>0.08</v>
      </c>
      <c r="L67">
        <v>2.1628752792784494</v>
      </c>
      <c r="M67">
        <v>2.1046908318950304</v>
      </c>
      <c r="N67">
        <v>2.1919675029701589</v>
      </c>
      <c r="O67">
        <v>2.0755986082033209</v>
      </c>
    </row>
    <row r="68" spans="1:15">
      <c r="A68" s="19">
        <v>43714</v>
      </c>
      <c r="B68">
        <v>920</v>
      </c>
      <c r="C68">
        <v>911</v>
      </c>
      <c r="D68">
        <v>416</v>
      </c>
      <c r="E68">
        <v>420</v>
      </c>
      <c r="F68">
        <v>2.16904761904761</v>
      </c>
      <c r="G68">
        <v>2.1336547451554102</v>
      </c>
      <c r="H68">
        <v>2.9105524939872601E-2</v>
      </c>
      <c r="I68">
        <v>1.2160190879675401</v>
      </c>
      <c r="J68">
        <v>1.63</v>
      </c>
      <c r="L68">
        <v>2.1627602700952826</v>
      </c>
      <c r="M68">
        <v>2.1045492202155378</v>
      </c>
      <c r="N68">
        <v>2.1918657950351554</v>
      </c>
      <c r="O68">
        <v>2.075443695275665</v>
      </c>
    </row>
    <row r="69" spans="1:15">
      <c r="A69" s="19">
        <v>43713</v>
      </c>
      <c r="B69">
        <v>893</v>
      </c>
      <c r="C69">
        <v>907</v>
      </c>
      <c r="D69">
        <v>415</v>
      </c>
      <c r="E69">
        <v>417</v>
      </c>
      <c r="F69">
        <v>2.1750599520383598</v>
      </c>
      <c r="G69">
        <v>2.1334055501711302</v>
      </c>
      <c r="H69">
        <v>2.8880571169789902E-2</v>
      </c>
      <c r="I69">
        <v>1.4422984096242999</v>
      </c>
      <c r="J69">
        <v>1.92</v>
      </c>
      <c r="L69">
        <v>2.1622861213409199</v>
      </c>
      <c r="M69">
        <v>2.1045249790013405</v>
      </c>
      <c r="N69">
        <v>2.1911666925107101</v>
      </c>
      <c r="O69">
        <v>2.0756444078315504</v>
      </c>
    </row>
    <row r="70" spans="1:15">
      <c r="A70" s="19">
        <v>43712</v>
      </c>
      <c r="B70">
        <v>894</v>
      </c>
      <c r="C70">
        <v>884</v>
      </c>
      <c r="D70">
        <v>412</v>
      </c>
      <c r="E70">
        <v>414</v>
      </c>
      <c r="F70">
        <v>2.1352657004830902</v>
      </c>
      <c r="G70">
        <v>2.1322607758497498</v>
      </c>
      <c r="H70">
        <v>2.8908393627177301E-2</v>
      </c>
      <c r="I70">
        <v>0.103946441026572</v>
      </c>
      <c r="J70">
        <v>0.14000000000000001</v>
      </c>
      <c r="L70">
        <v>2.1611691694769273</v>
      </c>
      <c r="M70">
        <v>2.1033523822225724</v>
      </c>
      <c r="N70">
        <v>2.1900775631041043</v>
      </c>
      <c r="O70">
        <v>2.0744439885953954</v>
      </c>
    </row>
    <row r="71" spans="1:15">
      <c r="A71" s="19">
        <v>43711</v>
      </c>
      <c r="B71">
        <v>889</v>
      </c>
      <c r="C71">
        <v>895</v>
      </c>
      <c r="D71">
        <v>420</v>
      </c>
      <c r="E71">
        <v>414</v>
      </c>
      <c r="F71">
        <v>2.1618357487922699</v>
      </c>
      <c r="G71">
        <v>2.1325256500421901</v>
      </c>
      <c r="H71">
        <v>2.9025485234083302E-2</v>
      </c>
      <c r="I71">
        <v>1.00980564196241</v>
      </c>
      <c r="J71">
        <v>1.36</v>
      </c>
      <c r="L71">
        <v>2.1615511352762735</v>
      </c>
      <c r="M71">
        <v>2.1035001648081066</v>
      </c>
      <c r="N71">
        <v>2.1905766205103565</v>
      </c>
      <c r="O71">
        <v>2.0744746795740237</v>
      </c>
    </row>
    <row r="72" spans="1:15">
      <c r="A72" s="19">
        <v>43710</v>
      </c>
      <c r="B72">
        <v>900</v>
      </c>
      <c r="C72">
        <v>881</v>
      </c>
      <c r="D72">
        <v>424</v>
      </c>
      <c r="E72">
        <v>420</v>
      </c>
      <c r="F72">
        <v>2.0976190476190402</v>
      </c>
      <c r="G72">
        <v>2.1322680010888901</v>
      </c>
      <c r="H72">
        <v>2.8849396896606299E-2</v>
      </c>
      <c r="I72">
        <v>-1.20102869373756</v>
      </c>
      <c r="J72">
        <v>-1.65</v>
      </c>
      <c r="L72">
        <v>2.1611173979854965</v>
      </c>
      <c r="M72">
        <v>2.1034186041922838</v>
      </c>
      <c r="N72">
        <v>2.1899667948821029</v>
      </c>
      <c r="O72">
        <v>2.0745692072956774</v>
      </c>
    </row>
    <row r="73" spans="1:15">
      <c r="A73" s="19">
        <v>43707</v>
      </c>
      <c r="B73">
        <v>899</v>
      </c>
      <c r="C73">
        <v>911</v>
      </c>
      <c r="D73">
        <v>420</v>
      </c>
      <c r="E73">
        <v>427</v>
      </c>
      <c r="F73">
        <v>2.1334894613583102</v>
      </c>
      <c r="G73">
        <v>2.13356083086448</v>
      </c>
      <c r="H73">
        <v>2.9434360144910101E-2</v>
      </c>
      <c r="I73">
        <v>-2.4247004459718598E-3</v>
      </c>
      <c r="J73">
        <v>0</v>
      </c>
      <c r="L73">
        <v>2.1629951910093901</v>
      </c>
      <c r="M73">
        <v>2.1041264707195699</v>
      </c>
      <c r="N73">
        <v>2.1924295511543002</v>
      </c>
      <c r="O73">
        <v>2.0746921105746599</v>
      </c>
    </row>
    <row r="74" spans="1:15">
      <c r="A74" s="19">
        <v>43706</v>
      </c>
      <c r="B74">
        <v>888</v>
      </c>
      <c r="C74">
        <v>889</v>
      </c>
      <c r="D74">
        <v>418</v>
      </c>
      <c r="E74">
        <v>418</v>
      </c>
      <c r="F74">
        <v>2.1267942583732</v>
      </c>
      <c r="G74">
        <v>2.1344017740005001</v>
      </c>
      <c r="H74">
        <v>3.0308303123758901E-2</v>
      </c>
      <c r="I74">
        <v>-0.25100434017170697</v>
      </c>
      <c r="J74">
        <v>-0.36</v>
      </c>
      <c r="L74">
        <v>2.1647100771242589</v>
      </c>
      <c r="M74">
        <v>2.1040934708767414</v>
      </c>
      <c r="N74">
        <v>2.1950183802480181</v>
      </c>
      <c r="O74">
        <v>2.0737851677529822</v>
      </c>
    </row>
    <row r="75" spans="1:15">
      <c r="A75" s="19">
        <v>43705</v>
      </c>
      <c r="B75">
        <v>887</v>
      </c>
      <c r="C75">
        <v>880</v>
      </c>
      <c r="D75">
        <v>418</v>
      </c>
      <c r="E75">
        <v>415</v>
      </c>
      <c r="F75">
        <v>2.12048192771084</v>
      </c>
      <c r="G75">
        <v>2.13430227378544</v>
      </c>
      <c r="H75">
        <v>3.03453416324601E-2</v>
      </c>
      <c r="I75">
        <v>-0.45543550776237501</v>
      </c>
      <c r="J75">
        <v>-0.65</v>
      </c>
      <c r="L75">
        <v>2.1646476154179002</v>
      </c>
      <c r="M75">
        <v>2.1039569321529799</v>
      </c>
      <c r="N75">
        <v>2.1949929570503603</v>
      </c>
      <c r="O75">
        <v>2.0736115905205197</v>
      </c>
    </row>
    <row r="76" spans="1:15">
      <c r="A76" s="19">
        <v>43704</v>
      </c>
      <c r="B76">
        <v>890</v>
      </c>
      <c r="C76">
        <v>888</v>
      </c>
      <c r="D76">
        <v>417</v>
      </c>
      <c r="E76">
        <v>419</v>
      </c>
      <c r="F76">
        <v>2.1193317422434301</v>
      </c>
      <c r="G76">
        <v>2.1341244195111999</v>
      </c>
      <c r="H76">
        <v>3.0464677129496E-2</v>
      </c>
      <c r="I76">
        <v>-0.485568161608597</v>
      </c>
      <c r="J76">
        <v>-0.7</v>
      </c>
      <c r="L76">
        <v>2.1645890966406958</v>
      </c>
      <c r="M76">
        <v>2.1036597423817041</v>
      </c>
      <c r="N76">
        <v>2.1950537737701921</v>
      </c>
      <c r="O76">
        <v>2.0731950652522078</v>
      </c>
    </row>
    <row r="77" spans="1:15">
      <c r="A77" s="19">
        <v>43703</v>
      </c>
      <c r="B77">
        <v>874</v>
      </c>
      <c r="C77">
        <v>875</v>
      </c>
      <c r="D77">
        <v>409</v>
      </c>
      <c r="E77">
        <v>415</v>
      </c>
      <c r="F77">
        <v>2.1084337349397502</v>
      </c>
      <c r="G77">
        <v>2.1335613669978</v>
      </c>
      <c r="H77">
        <v>3.1116149226186302E-2</v>
      </c>
      <c r="I77">
        <v>-0.80754311452197103</v>
      </c>
      <c r="J77">
        <v>-1.19</v>
      </c>
      <c r="L77">
        <v>2.1646775162239864</v>
      </c>
      <c r="M77">
        <v>2.1024452177716135</v>
      </c>
      <c r="N77">
        <v>2.1957936654501724</v>
      </c>
      <c r="O77">
        <v>2.0713290685454275</v>
      </c>
    </row>
    <row r="78" spans="1:15">
      <c r="A78" s="19">
        <v>43700</v>
      </c>
      <c r="B78">
        <v>887</v>
      </c>
      <c r="C78">
        <v>889</v>
      </c>
      <c r="D78">
        <v>423</v>
      </c>
      <c r="E78">
        <v>420</v>
      </c>
      <c r="F78">
        <v>2.11666666666666</v>
      </c>
      <c r="G78">
        <v>2.1334551477282</v>
      </c>
      <c r="H78">
        <v>3.1215184246992999E-2</v>
      </c>
      <c r="I78">
        <v>-0.53783059323614901</v>
      </c>
      <c r="J78">
        <v>-0.79</v>
      </c>
      <c r="L78">
        <v>2.1646703319751932</v>
      </c>
      <c r="M78">
        <v>2.1022399634812068</v>
      </c>
      <c r="N78">
        <v>2.195885516222186</v>
      </c>
      <c r="O78">
        <v>2.071024779234214</v>
      </c>
    </row>
    <row r="79" spans="1:15">
      <c r="A79" s="19">
        <v>43699</v>
      </c>
      <c r="B79">
        <v>888</v>
      </c>
      <c r="C79">
        <v>883</v>
      </c>
      <c r="D79">
        <v>420</v>
      </c>
      <c r="E79">
        <v>418</v>
      </c>
      <c r="F79">
        <v>2.1124401913875599</v>
      </c>
      <c r="G79">
        <v>2.1332206367194901</v>
      </c>
      <c r="H79">
        <v>3.1405915930084002E-2</v>
      </c>
      <c r="I79">
        <v>-0.66167295926664704</v>
      </c>
      <c r="J79">
        <v>-0.98</v>
      </c>
      <c r="L79">
        <v>2.1646265526495743</v>
      </c>
      <c r="M79">
        <v>2.101814720789406</v>
      </c>
      <c r="N79">
        <v>2.1960324685796579</v>
      </c>
      <c r="O79">
        <v>2.0704088048593223</v>
      </c>
    </row>
    <row r="80" spans="1:15">
      <c r="A80" s="19">
        <v>43698</v>
      </c>
      <c r="B80">
        <v>886</v>
      </c>
      <c r="C80">
        <v>887</v>
      </c>
      <c r="D80">
        <v>419</v>
      </c>
      <c r="E80">
        <v>415</v>
      </c>
      <c r="F80">
        <v>2.1373493975903601</v>
      </c>
      <c r="G80">
        <v>2.1341263047917098</v>
      </c>
      <c r="H80">
        <v>3.1770875787434101E-2</v>
      </c>
      <c r="I80">
        <v>0.101448031216179</v>
      </c>
      <c r="J80">
        <v>0.15</v>
      </c>
      <c r="L80">
        <v>2.1658971805791438</v>
      </c>
      <c r="M80">
        <v>2.1023554290042759</v>
      </c>
      <c r="N80">
        <v>2.1976680563665782</v>
      </c>
      <c r="O80">
        <v>2.0705845532168414</v>
      </c>
    </row>
    <row r="81" spans="1:15">
      <c r="A81" s="19">
        <v>43697</v>
      </c>
      <c r="B81">
        <v>885</v>
      </c>
      <c r="C81">
        <v>897</v>
      </c>
      <c r="D81">
        <v>419</v>
      </c>
      <c r="E81">
        <v>422</v>
      </c>
      <c r="F81">
        <v>2.1255924170616098</v>
      </c>
      <c r="G81">
        <v>2.1337063909019101</v>
      </c>
      <c r="H81">
        <v>3.1933210821499601E-2</v>
      </c>
      <c r="I81">
        <v>-0.25409201366137901</v>
      </c>
      <c r="J81">
        <v>-0.38</v>
      </c>
      <c r="L81">
        <v>2.1656396017234099</v>
      </c>
      <c r="M81">
        <v>2.1017731800804103</v>
      </c>
      <c r="N81">
        <v>2.1975728125449092</v>
      </c>
      <c r="O81">
        <v>2.0698399692589109</v>
      </c>
    </row>
    <row r="82" spans="1:15">
      <c r="A82" s="19">
        <v>43696</v>
      </c>
      <c r="B82">
        <v>888</v>
      </c>
      <c r="C82">
        <v>886</v>
      </c>
      <c r="D82">
        <v>422</v>
      </c>
      <c r="E82">
        <v>418</v>
      </c>
      <c r="F82">
        <v>2.11961722488038</v>
      </c>
      <c r="G82">
        <v>2.1332330265422899</v>
      </c>
      <c r="H82">
        <v>3.2310882808847398E-2</v>
      </c>
      <c r="I82">
        <v>-0.42139986525492901</v>
      </c>
      <c r="J82">
        <v>-0.64</v>
      </c>
      <c r="L82">
        <v>2.1655439093511371</v>
      </c>
      <c r="M82">
        <v>2.1009221437334427</v>
      </c>
      <c r="N82">
        <v>2.1978547921599847</v>
      </c>
      <c r="O82">
        <v>2.068611260924595</v>
      </c>
    </row>
    <row r="83" spans="1:15">
      <c r="A83" s="19">
        <v>43693</v>
      </c>
      <c r="B83">
        <v>875</v>
      </c>
      <c r="C83">
        <v>883</v>
      </c>
      <c r="D83">
        <v>407</v>
      </c>
      <c r="E83">
        <v>416</v>
      </c>
      <c r="F83">
        <v>2.1225961538461502</v>
      </c>
      <c r="G83">
        <v>2.1323572313341499</v>
      </c>
      <c r="H83">
        <v>3.3535082105714098E-2</v>
      </c>
      <c r="I83">
        <v>-0.29107063036946301</v>
      </c>
      <c r="J83">
        <v>-0.46</v>
      </c>
      <c r="L83">
        <v>2.1658923134398638</v>
      </c>
      <c r="M83">
        <v>2.098822149228436</v>
      </c>
      <c r="N83">
        <v>2.1994273955455781</v>
      </c>
      <c r="O83">
        <v>2.0652870671227217</v>
      </c>
    </row>
    <row r="84" spans="1:15">
      <c r="A84" s="19">
        <v>43692</v>
      </c>
      <c r="B84">
        <v>867</v>
      </c>
      <c r="C84">
        <v>880</v>
      </c>
      <c r="D84">
        <v>405</v>
      </c>
      <c r="E84">
        <v>406</v>
      </c>
      <c r="F84">
        <v>2.1674876847290601</v>
      </c>
      <c r="G84">
        <v>2.1318885352320498</v>
      </c>
      <c r="H84">
        <v>3.3911763688318497E-2</v>
      </c>
      <c r="I84">
        <v>1.04975812594718</v>
      </c>
      <c r="J84">
        <v>1.64</v>
      </c>
      <c r="L84">
        <v>2.1658002989203684</v>
      </c>
      <c r="M84">
        <v>2.0979767715437312</v>
      </c>
      <c r="N84">
        <v>2.199712062608687</v>
      </c>
      <c r="O84">
        <v>2.0640650078554126</v>
      </c>
    </row>
    <row r="85" spans="1:15">
      <c r="A85" s="19">
        <v>43691</v>
      </c>
      <c r="B85">
        <v>883</v>
      </c>
      <c r="C85">
        <v>884</v>
      </c>
      <c r="D85">
        <v>406</v>
      </c>
      <c r="E85">
        <v>413</v>
      </c>
      <c r="F85">
        <v>2.14043583535108</v>
      </c>
      <c r="G85">
        <v>2.1307715048655198</v>
      </c>
      <c r="H85">
        <v>3.4100015550899997E-2</v>
      </c>
      <c r="I85">
        <v>0.28341132194313101</v>
      </c>
      <c r="J85">
        <v>0.45</v>
      </c>
      <c r="L85">
        <v>2.1648715204164199</v>
      </c>
      <c r="M85">
        <v>2.0966714893146197</v>
      </c>
      <c r="N85">
        <v>2.1989715359673196</v>
      </c>
      <c r="O85">
        <v>2.06257147376372</v>
      </c>
    </row>
    <row r="86" spans="1:15">
      <c r="A86" s="19">
        <v>43690</v>
      </c>
      <c r="B86">
        <v>875</v>
      </c>
      <c r="C86">
        <v>873</v>
      </c>
      <c r="D86">
        <v>410</v>
      </c>
      <c r="E86">
        <v>406</v>
      </c>
      <c r="F86">
        <v>2.15024630541871</v>
      </c>
      <c r="G86">
        <v>2.12958662048386</v>
      </c>
      <c r="H86">
        <v>3.5267565919886598E-2</v>
      </c>
      <c r="I86">
        <v>0.58579843536080001</v>
      </c>
      <c r="J86">
        <v>0.96</v>
      </c>
      <c r="L86">
        <v>2.1648541864037467</v>
      </c>
      <c r="M86">
        <v>2.0943190545639734</v>
      </c>
      <c r="N86">
        <v>2.2001217523236334</v>
      </c>
      <c r="O86">
        <v>2.0590514886440867</v>
      </c>
    </row>
    <row r="87" spans="1:15">
      <c r="A87" s="19">
        <v>43686</v>
      </c>
      <c r="B87">
        <v>896</v>
      </c>
      <c r="C87">
        <v>888</v>
      </c>
      <c r="D87">
        <v>416</v>
      </c>
      <c r="E87">
        <v>415</v>
      </c>
      <c r="F87">
        <v>2.1397590361445702</v>
      </c>
      <c r="G87">
        <v>2.1282111391021901</v>
      </c>
      <c r="H87">
        <v>3.6427618784002698E-2</v>
      </c>
      <c r="I87">
        <v>0.31700938540211399</v>
      </c>
      <c r="J87">
        <v>0.54</v>
      </c>
      <c r="L87">
        <v>2.164638757886193</v>
      </c>
      <c r="M87">
        <v>2.0917835203181872</v>
      </c>
      <c r="N87">
        <v>2.2010663766701954</v>
      </c>
      <c r="O87">
        <v>2.0553559015341847</v>
      </c>
    </row>
    <row r="88" spans="1:15">
      <c r="A88" s="19">
        <v>43685</v>
      </c>
      <c r="B88">
        <v>883</v>
      </c>
      <c r="C88">
        <v>892</v>
      </c>
      <c r="D88">
        <v>414</v>
      </c>
      <c r="E88">
        <v>413</v>
      </c>
      <c r="F88">
        <v>2.1598062953995099</v>
      </c>
      <c r="G88">
        <v>2.1272916380892899</v>
      </c>
      <c r="H88">
        <v>3.6990545826733598E-2</v>
      </c>
      <c r="I88">
        <v>0.87899912216809994</v>
      </c>
      <c r="J88">
        <v>1.51</v>
      </c>
      <c r="L88">
        <v>2.1642821839160233</v>
      </c>
      <c r="M88">
        <v>2.0903010922625564</v>
      </c>
      <c r="N88">
        <v>2.2012727297427572</v>
      </c>
      <c r="O88">
        <v>2.0533105464358226</v>
      </c>
    </row>
    <row r="89" spans="1:15">
      <c r="A89" s="19">
        <v>43684</v>
      </c>
      <c r="B89">
        <v>878</v>
      </c>
      <c r="C89">
        <v>883</v>
      </c>
      <c r="D89">
        <v>414</v>
      </c>
      <c r="E89">
        <v>419</v>
      </c>
      <c r="F89">
        <v>2.1073985680190899</v>
      </c>
      <c r="G89">
        <v>2.1260400083630899</v>
      </c>
      <c r="H89">
        <v>3.7454433024658201E-2</v>
      </c>
      <c r="I89">
        <v>-0.49770985270893098</v>
      </c>
      <c r="J89">
        <v>-0.88</v>
      </c>
      <c r="L89">
        <v>2.1634944413877482</v>
      </c>
      <c r="M89">
        <v>2.0885855753384317</v>
      </c>
      <c r="N89">
        <v>2.2009488744124064</v>
      </c>
      <c r="O89">
        <v>2.0511311423137735</v>
      </c>
    </row>
    <row r="90" spans="1:15">
      <c r="A90" s="19">
        <v>43683</v>
      </c>
      <c r="B90">
        <v>860</v>
      </c>
      <c r="C90">
        <v>885</v>
      </c>
      <c r="D90">
        <v>409</v>
      </c>
      <c r="E90">
        <v>418</v>
      </c>
      <c r="F90">
        <v>2.11722488038277</v>
      </c>
      <c r="G90">
        <v>2.1253957736268401</v>
      </c>
      <c r="H90">
        <v>3.8178086925136502E-2</v>
      </c>
      <c r="I90">
        <v>-0.21402049977246901</v>
      </c>
      <c r="J90">
        <v>-0.39</v>
      </c>
      <c r="L90">
        <v>2.1635738605519768</v>
      </c>
      <c r="M90">
        <v>2.0872176867017034</v>
      </c>
      <c r="N90">
        <v>2.201751947477113</v>
      </c>
      <c r="O90">
        <v>2.0490395997765671</v>
      </c>
    </row>
    <row r="91" spans="1:15">
      <c r="A91" s="19">
        <v>43682</v>
      </c>
      <c r="B91">
        <v>899</v>
      </c>
      <c r="C91">
        <v>884</v>
      </c>
      <c r="D91">
        <v>417</v>
      </c>
      <c r="E91">
        <v>417</v>
      </c>
      <c r="F91">
        <v>2.1199040767385999</v>
      </c>
      <c r="G91">
        <v>2.12478303505842</v>
      </c>
      <c r="H91">
        <v>3.8669920572215501E-2</v>
      </c>
      <c r="I91">
        <v>-0.12616933905254299</v>
      </c>
      <c r="J91">
        <v>-0.23</v>
      </c>
      <c r="L91">
        <v>2.1634529556306354</v>
      </c>
      <c r="M91">
        <v>2.0861131144862046</v>
      </c>
      <c r="N91">
        <v>2.2021228762028509</v>
      </c>
      <c r="O91">
        <v>2.0474431939139892</v>
      </c>
    </row>
    <row r="92" spans="1:15">
      <c r="A92" s="19">
        <v>43679</v>
      </c>
      <c r="B92">
        <v>925</v>
      </c>
      <c r="C92">
        <v>910</v>
      </c>
      <c r="D92">
        <v>415</v>
      </c>
      <c r="E92">
        <v>421</v>
      </c>
      <c r="F92">
        <v>2.16152019002375</v>
      </c>
      <c r="G92">
        <v>2.12398254019931</v>
      </c>
      <c r="H92">
        <v>3.9377563771850803E-2</v>
      </c>
      <c r="I92">
        <v>0.95327506907038595</v>
      </c>
      <c r="J92">
        <v>1.74</v>
      </c>
      <c r="L92">
        <v>2.163360103971161</v>
      </c>
      <c r="M92">
        <v>2.084604976427459</v>
      </c>
      <c r="N92">
        <v>2.2027376677430115</v>
      </c>
      <c r="O92">
        <v>2.0452274126556085</v>
      </c>
    </row>
    <row r="93" spans="1:15">
      <c r="A93" s="19">
        <v>43678</v>
      </c>
      <c r="B93">
        <v>947</v>
      </c>
      <c r="C93">
        <v>939</v>
      </c>
      <c r="D93">
        <v>426</v>
      </c>
      <c r="E93">
        <v>426</v>
      </c>
      <c r="F93">
        <v>2.2042253521126698</v>
      </c>
      <c r="G93">
        <v>2.1229819310137801</v>
      </c>
      <c r="H93">
        <v>3.9364472320759097E-2</v>
      </c>
      <c r="I93">
        <v>2.0638767982683701</v>
      </c>
      <c r="J93">
        <v>3.69</v>
      </c>
      <c r="L93">
        <v>2.162346403334539</v>
      </c>
      <c r="M93">
        <v>2.0836174586930212</v>
      </c>
      <c r="N93">
        <v>2.2017108756552983</v>
      </c>
      <c r="O93">
        <v>2.0442529863722618</v>
      </c>
    </row>
    <row r="94" spans="1:15">
      <c r="A94" s="19">
        <v>43677</v>
      </c>
      <c r="B94">
        <v>949</v>
      </c>
      <c r="C94">
        <v>954</v>
      </c>
      <c r="D94">
        <v>430</v>
      </c>
      <c r="E94">
        <v>431</v>
      </c>
      <c r="F94">
        <v>2.2134570765661201</v>
      </c>
      <c r="G94">
        <v>2.12119255141012</v>
      </c>
      <c r="H94">
        <v>3.8674928737926502E-2</v>
      </c>
      <c r="I94">
        <v>2.3856417624248598</v>
      </c>
      <c r="J94">
        <v>4.17</v>
      </c>
      <c r="L94">
        <v>2.1598674801480464</v>
      </c>
      <c r="M94">
        <v>2.0825176226721935</v>
      </c>
      <c r="N94">
        <v>2.1985424088859729</v>
      </c>
      <c r="O94">
        <v>2.0438426939342671</v>
      </c>
    </row>
    <row r="95" spans="1:15">
      <c r="A95" s="19">
        <v>43676</v>
      </c>
      <c r="B95">
        <v>933</v>
      </c>
      <c r="C95">
        <v>943</v>
      </c>
      <c r="D95">
        <v>435</v>
      </c>
      <c r="E95">
        <v>429</v>
      </c>
      <c r="F95">
        <v>2.1981351981351902</v>
      </c>
      <c r="G95">
        <v>2.1194818282349401</v>
      </c>
      <c r="H95">
        <v>3.7371626267744103E-2</v>
      </c>
      <c r="I95">
        <v>2.1046279692713901</v>
      </c>
      <c r="J95">
        <v>3.58</v>
      </c>
      <c r="L95">
        <v>2.1568534545026843</v>
      </c>
      <c r="M95">
        <v>2.082110201967196</v>
      </c>
      <c r="N95">
        <v>2.1942250807704284</v>
      </c>
      <c r="O95">
        <v>2.0447385756994518</v>
      </c>
    </row>
    <row r="96" spans="1:15">
      <c r="A96" s="19">
        <v>43675</v>
      </c>
      <c r="B96">
        <v>937</v>
      </c>
      <c r="C96">
        <v>935</v>
      </c>
      <c r="D96">
        <v>439</v>
      </c>
      <c r="E96">
        <v>438</v>
      </c>
      <c r="F96">
        <v>2.1347031963470302</v>
      </c>
      <c r="G96">
        <v>2.11796071524831</v>
      </c>
      <c r="H96">
        <v>3.6449652868579901E-2</v>
      </c>
      <c r="I96">
        <v>0.45933170225464598</v>
      </c>
      <c r="J96">
        <v>0.78</v>
      </c>
      <c r="L96">
        <v>2.1544103681168898</v>
      </c>
      <c r="M96">
        <v>2.0815110623797302</v>
      </c>
      <c r="N96">
        <v>2.1908600209854696</v>
      </c>
      <c r="O96">
        <v>2.0450614095111503</v>
      </c>
    </row>
    <row r="97" spans="1:15">
      <c r="A97" s="19">
        <v>43672</v>
      </c>
      <c r="B97">
        <v>935</v>
      </c>
      <c r="C97">
        <v>935</v>
      </c>
      <c r="D97">
        <v>440</v>
      </c>
      <c r="E97">
        <v>441</v>
      </c>
      <c r="F97">
        <v>2.12018140589569</v>
      </c>
      <c r="G97">
        <v>2.1174690204564399</v>
      </c>
      <c r="H97">
        <v>3.6469210734258101E-2</v>
      </c>
      <c r="I97">
        <v>7.4374667963429397E-2</v>
      </c>
      <c r="J97">
        <v>0.13</v>
      </c>
      <c r="L97">
        <v>2.1539382311906978</v>
      </c>
      <c r="M97">
        <v>2.080999809722182</v>
      </c>
      <c r="N97">
        <v>2.1904074419249562</v>
      </c>
      <c r="O97">
        <v>2.0445305989879237</v>
      </c>
    </row>
    <row r="98" spans="1:15">
      <c r="A98" s="19">
        <v>43671</v>
      </c>
      <c r="B98">
        <v>946</v>
      </c>
      <c r="C98">
        <v>938</v>
      </c>
      <c r="D98">
        <v>445</v>
      </c>
      <c r="E98">
        <v>441</v>
      </c>
      <c r="F98">
        <v>2.1269841269841199</v>
      </c>
      <c r="G98">
        <v>2.1168767027212598</v>
      </c>
      <c r="H98">
        <v>3.67797814802499E-2</v>
      </c>
      <c r="I98">
        <v>0.27480925269462603</v>
      </c>
      <c r="J98">
        <v>0.48</v>
      </c>
      <c r="L98">
        <v>2.1536564842015098</v>
      </c>
      <c r="M98">
        <v>2.0800969212410099</v>
      </c>
      <c r="N98">
        <v>2.1904362656817598</v>
      </c>
      <c r="O98">
        <v>2.0433171397607599</v>
      </c>
    </row>
    <row r="99" spans="1:15">
      <c r="A99" s="19">
        <v>43670</v>
      </c>
      <c r="B99">
        <v>952</v>
      </c>
      <c r="C99">
        <v>949</v>
      </c>
      <c r="D99">
        <v>438</v>
      </c>
      <c r="E99">
        <v>439</v>
      </c>
      <c r="F99">
        <v>2.1617312072892898</v>
      </c>
      <c r="G99">
        <v>2.1162158390926602</v>
      </c>
      <c r="H99">
        <v>3.7036628923566101E-2</v>
      </c>
      <c r="I99">
        <v>1.22892848295031</v>
      </c>
      <c r="J99">
        <v>2.11</v>
      </c>
      <c r="L99">
        <v>2.1532524680162264</v>
      </c>
      <c r="M99">
        <v>2.079179210169094</v>
      </c>
      <c r="N99">
        <v>2.1902890969397926</v>
      </c>
      <c r="O99">
        <v>2.0421425812455278</v>
      </c>
    </row>
    <row r="100" spans="1:15">
      <c r="A100" s="19">
        <v>43669</v>
      </c>
      <c r="B100">
        <v>940</v>
      </c>
      <c r="C100">
        <v>949</v>
      </c>
      <c r="D100">
        <v>436</v>
      </c>
      <c r="E100">
        <v>438</v>
      </c>
      <c r="F100">
        <v>2.1666666666666599</v>
      </c>
      <c r="G100">
        <v>2.1146526433344501</v>
      </c>
      <c r="H100">
        <v>3.7553135866833398E-2</v>
      </c>
      <c r="I100">
        <v>1.38507802694981</v>
      </c>
      <c r="J100">
        <v>2.4</v>
      </c>
      <c r="L100">
        <v>2.1522057792012834</v>
      </c>
      <c r="M100">
        <v>2.0770995074676168</v>
      </c>
      <c r="N100">
        <v>2.1897589150681167</v>
      </c>
      <c r="O100">
        <v>2.0395463716007836</v>
      </c>
    </row>
    <row r="101" spans="1:15">
      <c r="A101" s="19">
        <v>43668</v>
      </c>
      <c r="B101">
        <v>943</v>
      </c>
      <c r="C101">
        <v>935</v>
      </c>
      <c r="D101">
        <v>432</v>
      </c>
      <c r="E101">
        <v>435</v>
      </c>
      <c r="F101">
        <v>2.14942528735632</v>
      </c>
      <c r="G101">
        <v>2.1131840443006298</v>
      </c>
      <c r="H101">
        <v>3.7643916847865798E-2</v>
      </c>
      <c r="I101">
        <v>0.96273836758669196</v>
      </c>
      <c r="J101">
        <v>1.69</v>
      </c>
      <c r="L101">
        <v>2.1508279611484955</v>
      </c>
      <c r="M101">
        <v>2.0755401274527641</v>
      </c>
      <c r="N101">
        <v>2.1884718779963612</v>
      </c>
      <c r="O101">
        <v>2.0378962106048983</v>
      </c>
    </row>
    <row r="102" spans="1:15">
      <c r="A102" s="19">
        <v>43665</v>
      </c>
      <c r="B102">
        <v>921</v>
      </c>
      <c r="C102">
        <v>942</v>
      </c>
      <c r="D102">
        <v>425</v>
      </c>
      <c r="E102">
        <v>434</v>
      </c>
      <c r="F102">
        <v>2.1705069124423901</v>
      </c>
      <c r="G102">
        <v>2.11167916233302</v>
      </c>
      <c r="H102">
        <v>3.8413180678383597E-2</v>
      </c>
      <c r="I102">
        <v>1.5314469947676199</v>
      </c>
      <c r="J102">
        <v>2.71</v>
      </c>
      <c r="L102">
        <v>2.1500923430114036</v>
      </c>
      <c r="M102">
        <v>2.0732659816546364</v>
      </c>
      <c r="N102">
        <v>2.1885055236897872</v>
      </c>
      <c r="O102">
        <v>2.0348528009762528</v>
      </c>
    </row>
    <row r="103" spans="1:15">
      <c r="A103" s="19">
        <v>43664</v>
      </c>
      <c r="B103">
        <v>935</v>
      </c>
      <c r="C103">
        <v>917</v>
      </c>
      <c r="D103">
        <v>431</v>
      </c>
      <c r="E103">
        <v>424</v>
      </c>
      <c r="F103">
        <v>2.1627358490566002</v>
      </c>
      <c r="G103">
        <v>2.11014175948063</v>
      </c>
      <c r="H103">
        <v>3.83353036436812E-2</v>
      </c>
      <c r="I103">
        <v>1.37194921070187</v>
      </c>
      <c r="J103">
        <v>2.4300000000000002</v>
      </c>
      <c r="L103">
        <v>2.1484770631243113</v>
      </c>
      <c r="M103">
        <v>2.0718064558369487</v>
      </c>
      <c r="N103">
        <v>2.1868123667679922</v>
      </c>
      <c r="O103">
        <v>2.0334711521932678</v>
      </c>
    </row>
    <row r="104" spans="1:15">
      <c r="A104" s="19">
        <v>43663</v>
      </c>
      <c r="B104">
        <v>937</v>
      </c>
      <c r="C104">
        <v>940</v>
      </c>
      <c r="D104">
        <v>435</v>
      </c>
      <c r="E104">
        <v>431</v>
      </c>
      <c r="F104">
        <v>2.1809744779582299</v>
      </c>
      <c r="G104">
        <v>2.1083025266722801</v>
      </c>
      <c r="H104">
        <v>3.9069879411546299E-2</v>
      </c>
      <c r="I104">
        <v>1.8600505653078501</v>
      </c>
      <c r="J104">
        <v>3.33</v>
      </c>
      <c r="L104">
        <v>2.1473724060838264</v>
      </c>
      <c r="M104">
        <v>2.0692326472607339</v>
      </c>
      <c r="N104">
        <v>2.1864422854953727</v>
      </c>
      <c r="O104">
        <v>2.0301627678491876</v>
      </c>
    </row>
    <row r="105" spans="1:15">
      <c r="A105" s="19">
        <v>43662</v>
      </c>
      <c r="B105">
        <v>946</v>
      </c>
      <c r="C105">
        <v>936</v>
      </c>
      <c r="D105">
        <v>435</v>
      </c>
      <c r="E105">
        <v>435</v>
      </c>
      <c r="F105">
        <v>2.1517241379310299</v>
      </c>
      <c r="G105">
        <v>2.1062841777484098</v>
      </c>
      <c r="H105">
        <v>3.9173421651593897E-2</v>
      </c>
      <c r="I105">
        <v>1.1599691389422899</v>
      </c>
      <c r="J105">
        <v>2.11</v>
      </c>
      <c r="L105">
        <v>2.1454575994000038</v>
      </c>
      <c r="M105">
        <v>2.0671107560968158</v>
      </c>
      <c r="N105">
        <v>2.1846310210515978</v>
      </c>
      <c r="O105">
        <v>2.0279373344452218</v>
      </c>
    </row>
    <row r="106" spans="1:15">
      <c r="A106" s="19">
        <v>43658</v>
      </c>
      <c r="B106">
        <v>942</v>
      </c>
      <c r="C106">
        <v>940</v>
      </c>
      <c r="D106">
        <v>437</v>
      </c>
      <c r="E106">
        <v>436</v>
      </c>
      <c r="F106">
        <v>2.1559633027522902</v>
      </c>
      <c r="G106">
        <v>2.1043155001727301</v>
      </c>
      <c r="H106">
        <v>4.0527088051898301E-2</v>
      </c>
      <c r="I106">
        <v>1.2744020126344899</v>
      </c>
      <c r="J106">
        <v>2.4</v>
      </c>
      <c r="L106">
        <v>2.1448425882246283</v>
      </c>
      <c r="M106">
        <v>2.0637884121208319</v>
      </c>
      <c r="N106">
        <v>2.1853696762765265</v>
      </c>
      <c r="O106">
        <v>2.0232613240689337</v>
      </c>
    </row>
    <row r="107" spans="1:15">
      <c r="A107" s="19">
        <v>43657</v>
      </c>
      <c r="B107">
        <v>931</v>
      </c>
      <c r="C107">
        <v>937</v>
      </c>
      <c r="D107">
        <v>428</v>
      </c>
      <c r="E107">
        <v>434</v>
      </c>
      <c r="F107">
        <v>2.1589861751152002</v>
      </c>
      <c r="G107">
        <v>2.1026767608192301</v>
      </c>
      <c r="H107">
        <v>4.0888810526025797E-2</v>
      </c>
      <c r="I107">
        <v>1.3771350541031</v>
      </c>
      <c r="J107">
        <v>2.61</v>
      </c>
      <c r="L107">
        <v>2.1435655713452557</v>
      </c>
      <c r="M107">
        <v>2.0617879502932044</v>
      </c>
      <c r="N107">
        <v>2.1844543818712818</v>
      </c>
      <c r="O107">
        <v>2.0208991397671783</v>
      </c>
    </row>
    <row r="108" spans="1:15">
      <c r="A108" s="19">
        <v>43656</v>
      </c>
      <c r="B108">
        <v>925</v>
      </c>
      <c r="C108">
        <v>929</v>
      </c>
      <c r="D108">
        <v>430</v>
      </c>
      <c r="E108">
        <v>426</v>
      </c>
      <c r="F108">
        <v>2.18075117370892</v>
      </c>
      <c r="G108">
        <v>2.1012250036061402</v>
      </c>
      <c r="H108">
        <v>4.0796592454776001E-2</v>
      </c>
      <c r="I108">
        <v>1.94933364081637</v>
      </c>
      <c r="J108">
        <v>3.65</v>
      </c>
      <c r="L108">
        <v>2.1420215960609164</v>
      </c>
      <c r="M108">
        <v>2.060428411151364</v>
      </c>
      <c r="N108">
        <v>2.1828181885156921</v>
      </c>
      <c r="O108">
        <v>2.0196318186965883</v>
      </c>
    </row>
    <row r="109" spans="1:15">
      <c r="A109" s="19">
        <v>43655</v>
      </c>
      <c r="B109">
        <v>931</v>
      </c>
      <c r="C109">
        <v>922</v>
      </c>
      <c r="D109">
        <v>433</v>
      </c>
      <c r="E109">
        <v>433</v>
      </c>
      <c r="F109">
        <v>2.1293302540415699</v>
      </c>
      <c r="G109">
        <v>2.0998514025225199</v>
      </c>
      <c r="H109">
        <v>3.9818453063811397E-2</v>
      </c>
      <c r="I109">
        <v>0.74033141045949902</v>
      </c>
      <c r="J109">
        <v>1.38</v>
      </c>
      <c r="L109">
        <v>2.1396698555863312</v>
      </c>
      <c r="M109">
        <v>2.0600329494587086</v>
      </c>
      <c r="N109">
        <v>2.1794883086501429</v>
      </c>
      <c r="O109">
        <v>2.0202144963948969</v>
      </c>
    </row>
    <row r="110" spans="1:15">
      <c r="A110" s="19">
        <v>43654</v>
      </c>
      <c r="B110">
        <v>923</v>
      </c>
      <c r="C110">
        <v>922</v>
      </c>
      <c r="D110">
        <v>433</v>
      </c>
      <c r="E110">
        <v>431</v>
      </c>
      <c r="F110">
        <v>2.1392111368909501</v>
      </c>
      <c r="G110">
        <v>2.0990813851002099</v>
      </c>
      <c r="H110">
        <v>3.9799338327980799E-2</v>
      </c>
      <c r="I110">
        <v>1.00830198381775</v>
      </c>
      <c r="J110">
        <v>1.88</v>
      </c>
      <c r="L110">
        <v>2.1388807234281906</v>
      </c>
      <c r="M110">
        <v>2.0592820467722293</v>
      </c>
      <c r="N110">
        <v>2.1786800617561717</v>
      </c>
      <c r="O110">
        <v>2.0194827084442482</v>
      </c>
    </row>
    <row r="111" spans="1:15">
      <c r="A111" s="19">
        <v>43651</v>
      </c>
      <c r="B111">
        <v>942</v>
      </c>
      <c r="C111">
        <v>935</v>
      </c>
      <c r="D111">
        <v>436</v>
      </c>
      <c r="E111">
        <v>436</v>
      </c>
      <c r="F111">
        <v>2.1444954128440301</v>
      </c>
      <c r="G111">
        <v>2.0987482251140799</v>
      </c>
      <c r="H111">
        <v>3.9565916505188002E-2</v>
      </c>
      <c r="I111">
        <v>1.15622717153426</v>
      </c>
      <c r="J111">
        <v>2.13</v>
      </c>
      <c r="L111">
        <v>2.1383141416192677</v>
      </c>
      <c r="M111">
        <v>2.0591823086088921</v>
      </c>
      <c r="N111">
        <v>2.177880058124456</v>
      </c>
      <c r="O111">
        <v>2.0196163921037038</v>
      </c>
    </row>
    <row r="112" spans="1:15">
      <c r="A112" s="19">
        <v>43650</v>
      </c>
      <c r="B112">
        <v>928</v>
      </c>
      <c r="C112">
        <v>937</v>
      </c>
      <c r="D112">
        <v>445</v>
      </c>
      <c r="E112">
        <v>442</v>
      </c>
      <c r="F112">
        <v>2.1199095022624399</v>
      </c>
      <c r="G112">
        <v>2.09862033481292</v>
      </c>
      <c r="H112">
        <v>3.9433118624058898E-2</v>
      </c>
      <c r="I112">
        <v>0.53988038969185603</v>
      </c>
      <c r="J112">
        <v>1</v>
      </c>
      <c r="L112">
        <v>2.1380534534369788</v>
      </c>
      <c r="M112">
        <v>2.0591872161888611</v>
      </c>
      <c r="N112">
        <v>2.1774865720610377</v>
      </c>
      <c r="O112">
        <v>2.0197540975648023</v>
      </c>
    </row>
    <row r="113" spans="1:15">
      <c r="A113" s="19">
        <v>43649</v>
      </c>
      <c r="B113">
        <v>921</v>
      </c>
      <c r="C113">
        <v>922</v>
      </c>
      <c r="D113">
        <v>438</v>
      </c>
      <c r="E113">
        <v>443</v>
      </c>
      <c r="F113">
        <v>2.0812641083521402</v>
      </c>
      <c r="G113">
        <v>2.0984842700007502</v>
      </c>
      <c r="H113">
        <v>3.9376991252873902E-2</v>
      </c>
      <c r="I113">
        <v>-0.43731532300241999</v>
      </c>
      <c r="J113">
        <v>-0.83</v>
      </c>
      <c r="L113">
        <v>2.1378612612536241</v>
      </c>
      <c r="M113">
        <v>2.0591072787478764</v>
      </c>
      <c r="N113">
        <v>2.1772382525064979</v>
      </c>
      <c r="O113">
        <v>2.0197302874950025</v>
      </c>
    </row>
    <row r="114" spans="1:15">
      <c r="A114" s="19">
        <v>43648</v>
      </c>
      <c r="B114">
        <v>926</v>
      </c>
      <c r="C114">
        <v>925</v>
      </c>
      <c r="D114">
        <v>443</v>
      </c>
      <c r="E114">
        <v>438</v>
      </c>
      <c r="F114">
        <v>2.1118721461187202</v>
      </c>
      <c r="G114">
        <v>2.0988822300375398</v>
      </c>
      <c r="H114">
        <v>3.9351761204902302E-2</v>
      </c>
      <c r="I114">
        <v>0.33009745138315599</v>
      </c>
      <c r="J114">
        <v>0.62</v>
      </c>
      <c r="L114">
        <v>2.138233991242442</v>
      </c>
      <c r="M114">
        <v>2.0595304688326377</v>
      </c>
      <c r="N114">
        <v>2.1775857524473445</v>
      </c>
      <c r="O114">
        <v>2.0201787076277351</v>
      </c>
    </row>
    <row r="115" spans="1:15">
      <c r="A115" s="19">
        <v>43647</v>
      </c>
      <c r="B115">
        <v>913</v>
      </c>
      <c r="C115">
        <v>926</v>
      </c>
      <c r="D115">
        <v>427</v>
      </c>
      <c r="E115">
        <v>438</v>
      </c>
      <c r="F115">
        <v>2.11415525114155</v>
      </c>
      <c r="G115">
        <v>2.0987777210263001</v>
      </c>
      <c r="H115">
        <v>3.9327524982257299E-2</v>
      </c>
      <c r="I115">
        <v>0.39101189617656501</v>
      </c>
      <c r="J115">
        <v>0.73</v>
      </c>
      <c r="L115">
        <v>2.1381052460085574</v>
      </c>
      <c r="M115">
        <v>2.0594501960440428</v>
      </c>
      <c r="N115">
        <v>2.1774327709908148</v>
      </c>
      <c r="O115">
        <v>2.0201226710617854</v>
      </c>
    </row>
    <row r="116" spans="1:15">
      <c r="A116" s="19">
        <v>43644</v>
      </c>
      <c r="B116">
        <v>904</v>
      </c>
      <c r="C116">
        <v>900</v>
      </c>
      <c r="D116">
        <v>423</v>
      </c>
      <c r="E116">
        <v>420</v>
      </c>
      <c r="F116">
        <v>2.1428571428571401</v>
      </c>
      <c r="G116">
        <v>2.0988877395311398</v>
      </c>
      <c r="H116">
        <v>3.9381893660117198E-2</v>
      </c>
      <c r="I116">
        <v>1.1164877876486601</v>
      </c>
      <c r="J116">
        <v>2.0499999999999998</v>
      </c>
      <c r="L116">
        <v>2.138269633191257</v>
      </c>
      <c r="M116">
        <v>2.0595058458710227</v>
      </c>
      <c r="N116">
        <v>2.1776515268513741</v>
      </c>
      <c r="O116">
        <v>2.0201239522109056</v>
      </c>
    </row>
    <row r="117" spans="1:15">
      <c r="A117" s="19">
        <v>43643</v>
      </c>
      <c r="B117">
        <v>886</v>
      </c>
      <c r="C117">
        <v>899</v>
      </c>
      <c r="D117">
        <v>421</v>
      </c>
      <c r="E117">
        <v>427</v>
      </c>
      <c r="F117">
        <v>2.1053864168618199</v>
      </c>
      <c r="G117">
        <v>2.0981602534648398</v>
      </c>
      <c r="H117">
        <v>3.9065621126550501E-2</v>
      </c>
      <c r="I117">
        <v>0.184975003304547</v>
      </c>
      <c r="J117">
        <v>0.34</v>
      </c>
      <c r="L117">
        <v>2.1372258745913904</v>
      </c>
      <c r="M117">
        <v>2.0590946323382893</v>
      </c>
      <c r="N117">
        <v>2.1762914957179409</v>
      </c>
      <c r="O117">
        <v>2.0200290112117387</v>
      </c>
    </row>
    <row r="118" spans="1:15">
      <c r="A118" s="19">
        <v>43642</v>
      </c>
      <c r="B118">
        <v>883</v>
      </c>
      <c r="C118">
        <v>879</v>
      </c>
      <c r="D118">
        <v>422</v>
      </c>
      <c r="E118">
        <v>423</v>
      </c>
      <c r="F118">
        <v>2.0780141843971598</v>
      </c>
      <c r="G118">
        <v>2.0977366963320399</v>
      </c>
      <c r="H118">
        <v>3.9157081295919299E-2</v>
      </c>
      <c r="I118">
        <v>-0.50367676246955495</v>
      </c>
      <c r="J118">
        <v>-0.95</v>
      </c>
      <c r="L118">
        <v>2.1368937776279591</v>
      </c>
      <c r="M118">
        <v>2.0585796150361206</v>
      </c>
      <c r="N118">
        <v>2.1760508589238783</v>
      </c>
      <c r="O118">
        <v>2.0194225337402014</v>
      </c>
    </row>
    <row r="119" spans="1:15">
      <c r="A119" s="19">
        <v>43641</v>
      </c>
      <c r="B119">
        <v>901</v>
      </c>
      <c r="C119">
        <v>887</v>
      </c>
      <c r="D119">
        <v>420</v>
      </c>
      <c r="E119">
        <v>426</v>
      </c>
      <c r="F119">
        <v>2.0821596244131402</v>
      </c>
      <c r="G119">
        <v>2.0971534964540601</v>
      </c>
      <c r="H119">
        <v>3.9767453827866298E-2</v>
      </c>
      <c r="I119">
        <v>-0.37703877411464598</v>
      </c>
      <c r="J119">
        <v>-0.72</v>
      </c>
      <c r="L119">
        <v>2.1369209502819264</v>
      </c>
      <c r="M119">
        <v>2.0573860426261938</v>
      </c>
      <c r="N119">
        <v>2.1766884041097927</v>
      </c>
      <c r="O119">
        <v>2.0176185887983276</v>
      </c>
    </row>
    <row r="120" spans="1:15">
      <c r="A120" s="19">
        <v>43640</v>
      </c>
      <c r="B120">
        <v>888</v>
      </c>
      <c r="C120">
        <v>895</v>
      </c>
      <c r="D120">
        <v>433</v>
      </c>
      <c r="E120">
        <v>420</v>
      </c>
      <c r="F120">
        <v>2.13095238095238</v>
      </c>
      <c r="G120">
        <v>2.0966826104910798</v>
      </c>
      <c r="H120">
        <v>4.0149464222715397E-2</v>
      </c>
      <c r="I120">
        <v>0.85355486367637301</v>
      </c>
      <c r="J120">
        <v>1.61</v>
      </c>
      <c r="L120">
        <v>2.1368320747137952</v>
      </c>
      <c r="M120">
        <v>2.0565331462683645</v>
      </c>
      <c r="N120">
        <v>2.1769815389365106</v>
      </c>
      <c r="O120">
        <v>2.0163836820456491</v>
      </c>
    </row>
    <row r="121" spans="1:15">
      <c r="A121" s="19">
        <v>43637</v>
      </c>
      <c r="B121">
        <v>898</v>
      </c>
      <c r="C121">
        <v>888</v>
      </c>
      <c r="D121">
        <v>424</v>
      </c>
      <c r="E121">
        <v>432</v>
      </c>
      <c r="F121">
        <v>2.05555555555555</v>
      </c>
      <c r="G121">
        <v>2.0949365787450498</v>
      </c>
      <c r="H121">
        <v>4.1447625391148199E-2</v>
      </c>
      <c r="I121">
        <v>-0.95013943061511996</v>
      </c>
      <c r="J121">
        <v>-1.92</v>
      </c>
      <c r="L121">
        <v>2.1363842041361978</v>
      </c>
      <c r="M121">
        <v>2.0534889533539018</v>
      </c>
      <c r="N121">
        <v>2.1778318295273462</v>
      </c>
      <c r="O121">
        <v>2.0120413279627534</v>
      </c>
    </row>
    <row r="122" spans="1:15">
      <c r="A122" s="19">
        <v>43636</v>
      </c>
      <c r="B122">
        <v>906</v>
      </c>
      <c r="C122">
        <v>897</v>
      </c>
      <c r="D122">
        <v>422</v>
      </c>
      <c r="E122">
        <v>420</v>
      </c>
      <c r="F122">
        <v>2.1357142857142799</v>
      </c>
      <c r="G122">
        <v>2.09478723585377</v>
      </c>
      <c r="H122">
        <v>4.1609117347441701E-2</v>
      </c>
      <c r="I122">
        <v>0.98360773959149195</v>
      </c>
      <c r="J122">
        <v>1.92</v>
      </c>
      <c r="L122">
        <v>2.1363963532012118</v>
      </c>
      <c r="M122">
        <v>2.0531781185063283</v>
      </c>
      <c r="N122">
        <v>2.1780054705486536</v>
      </c>
      <c r="O122">
        <v>2.0115690011588865</v>
      </c>
    </row>
    <row r="123" spans="1:15">
      <c r="A123" s="19">
        <v>43635</v>
      </c>
      <c r="B123">
        <v>887</v>
      </c>
      <c r="C123">
        <v>900</v>
      </c>
      <c r="D123">
        <v>416</v>
      </c>
      <c r="E123">
        <v>418</v>
      </c>
      <c r="F123">
        <v>2.1531100478468899</v>
      </c>
      <c r="G123">
        <v>2.09391049668073</v>
      </c>
      <c r="H123">
        <v>4.1429888335256002E-2</v>
      </c>
      <c r="I123">
        <v>1.42890926200677</v>
      </c>
      <c r="J123">
        <v>2.75</v>
      </c>
      <c r="L123">
        <v>2.135340385015986</v>
      </c>
      <c r="M123">
        <v>2.0524806083454741</v>
      </c>
      <c r="N123">
        <v>2.176770273351242</v>
      </c>
      <c r="O123">
        <v>2.0110507200102181</v>
      </c>
    </row>
    <row r="124" spans="1:15">
      <c r="A124" s="19">
        <v>43634</v>
      </c>
      <c r="B124">
        <v>897</v>
      </c>
      <c r="C124">
        <v>879</v>
      </c>
      <c r="D124">
        <v>414</v>
      </c>
      <c r="E124">
        <v>414</v>
      </c>
      <c r="F124">
        <v>2.1231884057971002</v>
      </c>
      <c r="G124">
        <v>2.0933324440102501</v>
      </c>
      <c r="H124">
        <v>4.0898917492215199E-2</v>
      </c>
      <c r="I124">
        <v>0.72999393669837798</v>
      </c>
      <c r="J124">
        <v>1.41</v>
      </c>
      <c r="L124">
        <v>2.1342313615024655</v>
      </c>
      <c r="M124">
        <v>2.0524335265180347</v>
      </c>
      <c r="N124">
        <v>2.1751302789946805</v>
      </c>
      <c r="O124">
        <v>2.0115346090258197</v>
      </c>
    </row>
    <row r="125" spans="1:15">
      <c r="A125" s="19">
        <v>43633</v>
      </c>
      <c r="B125">
        <v>893</v>
      </c>
      <c r="C125">
        <v>894</v>
      </c>
      <c r="D125">
        <v>422</v>
      </c>
      <c r="E125">
        <v>416</v>
      </c>
      <c r="F125">
        <v>2.1490384615384599</v>
      </c>
      <c r="G125">
        <v>2.0924617216867798</v>
      </c>
      <c r="H125">
        <v>4.0949146415787403E-2</v>
      </c>
      <c r="I125">
        <v>1.3816341683220199</v>
      </c>
      <c r="J125">
        <v>2.63</v>
      </c>
      <c r="L125">
        <v>2.1334108681025672</v>
      </c>
      <c r="M125">
        <v>2.0515125752709924</v>
      </c>
      <c r="N125">
        <v>2.1743600145183546</v>
      </c>
      <c r="O125">
        <v>2.010563428855205</v>
      </c>
    </row>
    <row r="126" spans="1:15">
      <c r="A126" s="19">
        <v>43630</v>
      </c>
      <c r="B126">
        <v>906</v>
      </c>
      <c r="C126">
        <v>895</v>
      </c>
      <c r="D126">
        <v>427</v>
      </c>
      <c r="E126">
        <v>423</v>
      </c>
      <c r="F126">
        <v>2.1158392434988098</v>
      </c>
      <c r="G126">
        <v>2.09081777652304</v>
      </c>
      <c r="H126">
        <v>4.1119382271214699E-2</v>
      </c>
      <c r="I126">
        <v>0.60850785186266099</v>
      </c>
      <c r="J126">
        <v>1.18</v>
      </c>
      <c r="L126">
        <v>2.1319371587942548</v>
      </c>
      <c r="M126">
        <v>2.0496983942518252</v>
      </c>
      <c r="N126">
        <v>2.1730565410654696</v>
      </c>
      <c r="O126">
        <v>2.0085790119806104</v>
      </c>
    </row>
    <row r="127" spans="1:15">
      <c r="A127" s="19">
        <v>43629</v>
      </c>
      <c r="B127">
        <v>898</v>
      </c>
      <c r="C127">
        <v>887</v>
      </c>
      <c r="D127">
        <v>424</v>
      </c>
      <c r="E127">
        <v>422</v>
      </c>
      <c r="F127">
        <v>2.1018957345971501</v>
      </c>
      <c r="G127">
        <v>2.0904780725534899</v>
      </c>
      <c r="H127">
        <v>4.1016378744200298E-2</v>
      </c>
      <c r="I127">
        <v>0.27836835901246998</v>
      </c>
      <c r="J127">
        <v>0.54</v>
      </c>
      <c r="L127">
        <v>2.1314944512976903</v>
      </c>
      <c r="M127">
        <v>2.0494616938092896</v>
      </c>
      <c r="N127">
        <v>2.1725108300418907</v>
      </c>
      <c r="O127">
        <v>2.0084453150650892</v>
      </c>
    </row>
    <row r="128" spans="1:15">
      <c r="A128" s="19">
        <v>43628</v>
      </c>
      <c r="B128">
        <v>901</v>
      </c>
      <c r="C128">
        <v>904</v>
      </c>
      <c r="D128">
        <v>420</v>
      </c>
      <c r="E128">
        <v>424</v>
      </c>
      <c r="F128">
        <v>2.1320754716981098</v>
      </c>
      <c r="G128">
        <v>2.09011208515994</v>
      </c>
      <c r="H128">
        <v>4.1035325582842001E-2</v>
      </c>
      <c r="I128">
        <v>1.0226161469939901</v>
      </c>
      <c r="J128">
        <v>1.97</v>
      </c>
      <c r="L128">
        <v>2.1311474107427819</v>
      </c>
      <c r="M128">
        <v>2.049076759577098</v>
      </c>
      <c r="N128">
        <v>2.1721827363256239</v>
      </c>
      <c r="O128">
        <v>2.0080414339942561</v>
      </c>
    </row>
    <row r="129" spans="1:15">
      <c r="A129" s="19">
        <v>43627</v>
      </c>
      <c r="B129">
        <v>906</v>
      </c>
      <c r="C129">
        <v>905</v>
      </c>
      <c r="D129">
        <v>419</v>
      </c>
      <c r="E129">
        <v>420</v>
      </c>
      <c r="F129">
        <v>2.1547619047619002</v>
      </c>
      <c r="G129">
        <v>2.0891510788706298</v>
      </c>
      <c r="H129">
        <v>4.0885024610984401E-2</v>
      </c>
      <c r="I129">
        <v>1.60476425086073</v>
      </c>
      <c r="J129">
        <v>3.04</v>
      </c>
      <c r="L129">
        <v>2.130036103481614</v>
      </c>
      <c r="M129">
        <v>2.0482660542596456</v>
      </c>
      <c r="N129">
        <v>2.1709211280925986</v>
      </c>
      <c r="O129">
        <v>2.0073810296486609</v>
      </c>
    </row>
    <row r="130" spans="1:15">
      <c r="A130" s="19">
        <v>43626</v>
      </c>
      <c r="B130">
        <v>897</v>
      </c>
      <c r="C130">
        <v>906</v>
      </c>
      <c r="D130">
        <v>425</v>
      </c>
      <c r="E130">
        <v>424</v>
      </c>
      <c r="F130">
        <v>2.1367924528301798</v>
      </c>
      <c r="G130">
        <v>2.0876475868071398</v>
      </c>
      <c r="H130">
        <v>4.0516301236862902E-2</v>
      </c>
      <c r="I130">
        <v>1.21296526392521</v>
      </c>
      <c r="J130">
        <v>2.2999999999999998</v>
      </c>
      <c r="L130">
        <v>2.1281638880440026</v>
      </c>
      <c r="M130">
        <v>2.047131285570277</v>
      </c>
      <c r="N130">
        <v>2.1686801892808658</v>
      </c>
      <c r="O130">
        <v>2.0066149843334138</v>
      </c>
    </row>
    <row r="131" spans="1:15">
      <c r="A131" s="19">
        <v>43623</v>
      </c>
      <c r="B131">
        <v>886</v>
      </c>
      <c r="C131">
        <v>887</v>
      </c>
      <c r="D131">
        <v>423</v>
      </c>
      <c r="E131">
        <v>422</v>
      </c>
      <c r="F131">
        <v>2.1018957345971501</v>
      </c>
      <c r="G131">
        <v>2.08569322429191</v>
      </c>
      <c r="H131">
        <v>4.16187737469857E-2</v>
      </c>
      <c r="I131">
        <v>0.38930772933733199</v>
      </c>
      <c r="J131">
        <v>0.77</v>
      </c>
      <c r="L131">
        <v>2.1273119980388957</v>
      </c>
      <c r="M131">
        <v>2.0440744505449242</v>
      </c>
      <c r="N131">
        <v>2.1689307717858815</v>
      </c>
      <c r="O131">
        <v>2.0024556767979385</v>
      </c>
    </row>
    <row r="132" spans="1:15">
      <c r="A132" s="19">
        <v>43622</v>
      </c>
      <c r="B132">
        <v>895</v>
      </c>
      <c r="C132">
        <v>890</v>
      </c>
      <c r="D132">
        <v>418</v>
      </c>
      <c r="E132">
        <v>421</v>
      </c>
      <c r="F132">
        <v>2.11401425178147</v>
      </c>
      <c r="G132">
        <v>2.0844412811639499</v>
      </c>
      <c r="H132">
        <v>4.2515148399320302E-2</v>
      </c>
      <c r="I132">
        <v>0.69558667277271402</v>
      </c>
      <c r="J132">
        <v>1.4</v>
      </c>
      <c r="L132">
        <v>2.1269564295632701</v>
      </c>
      <c r="M132">
        <v>2.0419261327646296</v>
      </c>
      <c r="N132">
        <v>2.1694715779625904</v>
      </c>
      <c r="O132">
        <v>1.9994109843653094</v>
      </c>
    </row>
    <row r="133" spans="1:15">
      <c r="A133" s="19">
        <v>43621</v>
      </c>
      <c r="B133">
        <v>899</v>
      </c>
      <c r="C133">
        <v>895</v>
      </c>
      <c r="D133">
        <v>419</v>
      </c>
      <c r="E133">
        <v>416</v>
      </c>
      <c r="F133">
        <v>2.1514423076922999</v>
      </c>
      <c r="G133">
        <v>2.08319209385022</v>
      </c>
      <c r="H133">
        <v>4.3001490507658897E-2</v>
      </c>
      <c r="I133">
        <v>1.5871592597453299</v>
      </c>
      <c r="J133">
        <v>3.17</v>
      </c>
      <c r="L133">
        <v>2.1261935843578788</v>
      </c>
      <c r="M133">
        <v>2.0401906033425612</v>
      </c>
      <c r="N133">
        <v>2.169195074865538</v>
      </c>
      <c r="O133">
        <v>1.9971891128349022</v>
      </c>
    </row>
    <row r="134" spans="1:15">
      <c r="A134" s="19">
        <v>43620</v>
      </c>
      <c r="B134">
        <v>869</v>
      </c>
      <c r="C134">
        <v>878</v>
      </c>
      <c r="D134">
        <v>415</v>
      </c>
      <c r="E134">
        <v>417</v>
      </c>
      <c r="F134">
        <v>2.10551558752997</v>
      </c>
      <c r="G134">
        <v>2.0824413620239102</v>
      </c>
      <c r="H134">
        <v>4.2288996711500902E-2</v>
      </c>
      <c r="I134">
        <v>0.54563189719250405</v>
      </c>
      <c r="J134">
        <v>1.1000000000000001</v>
      </c>
      <c r="L134">
        <v>2.1247303587354112</v>
      </c>
      <c r="M134">
        <v>2.0401523653124092</v>
      </c>
      <c r="N134">
        <v>2.1670193554469122</v>
      </c>
      <c r="O134">
        <v>1.9978633686009084</v>
      </c>
    </row>
    <row r="135" spans="1:15">
      <c r="A135" s="19">
        <v>43619</v>
      </c>
      <c r="B135">
        <v>871</v>
      </c>
      <c r="C135">
        <v>867</v>
      </c>
      <c r="D135">
        <v>410</v>
      </c>
      <c r="E135">
        <v>410</v>
      </c>
      <c r="F135">
        <v>2.11463414634146</v>
      </c>
      <c r="G135">
        <v>2.0823875530626199</v>
      </c>
      <c r="H135">
        <v>4.2262161593683803E-2</v>
      </c>
      <c r="I135">
        <v>0.76301334486540995</v>
      </c>
      <c r="J135">
        <v>1.52</v>
      </c>
      <c r="L135">
        <v>2.1246497146563037</v>
      </c>
      <c r="M135">
        <v>2.0401253914689361</v>
      </c>
      <c r="N135">
        <v>2.1669118762499875</v>
      </c>
      <c r="O135">
        <v>1.9978632298752523</v>
      </c>
    </row>
    <row r="136" spans="1:15">
      <c r="A136" s="19">
        <v>43616</v>
      </c>
      <c r="B136">
        <v>879</v>
      </c>
      <c r="C136">
        <v>880</v>
      </c>
      <c r="D136">
        <v>418</v>
      </c>
      <c r="E136">
        <v>413</v>
      </c>
      <c r="F136">
        <v>2.1307506053268699</v>
      </c>
      <c r="G136">
        <v>2.0827240942985998</v>
      </c>
      <c r="H136">
        <v>4.2616618349497197E-2</v>
      </c>
      <c r="I136">
        <v>1.12694326505243</v>
      </c>
      <c r="J136">
        <v>2.25</v>
      </c>
      <c r="L136">
        <v>2.125340712648097</v>
      </c>
      <c r="M136">
        <v>2.0401074759491027</v>
      </c>
      <c r="N136">
        <v>2.1679573309975941</v>
      </c>
      <c r="O136">
        <v>1.9974908575996055</v>
      </c>
    </row>
    <row r="137" spans="1:15">
      <c r="A137" s="19">
        <v>43615</v>
      </c>
      <c r="B137">
        <v>881</v>
      </c>
      <c r="C137">
        <v>889</v>
      </c>
      <c r="D137">
        <v>418</v>
      </c>
      <c r="E137">
        <v>421</v>
      </c>
      <c r="F137">
        <v>2.1116389548693499</v>
      </c>
      <c r="G137">
        <v>2.08238571157192</v>
      </c>
      <c r="H137">
        <v>4.2333753535407602E-2</v>
      </c>
      <c r="I137">
        <v>0.69101463618064496</v>
      </c>
      <c r="J137">
        <v>1.39</v>
      </c>
      <c r="L137">
        <v>2.1247194651073276</v>
      </c>
      <c r="M137">
        <v>2.0400519580365124</v>
      </c>
      <c r="N137">
        <v>2.1670532186427351</v>
      </c>
      <c r="O137">
        <v>1.9977182045011048</v>
      </c>
    </row>
    <row r="138" spans="1:15">
      <c r="A138" s="19">
        <v>43614</v>
      </c>
      <c r="B138">
        <v>870</v>
      </c>
      <c r="C138">
        <v>888</v>
      </c>
      <c r="D138">
        <v>418</v>
      </c>
      <c r="E138">
        <v>420</v>
      </c>
      <c r="F138">
        <v>2.1142857142857099</v>
      </c>
      <c r="G138">
        <v>2.0825225365262798</v>
      </c>
      <c r="H138">
        <v>4.2444519019499999E-2</v>
      </c>
      <c r="I138">
        <v>0.74834580513998905</v>
      </c>
      <c r="J138">
        <v>1.5</v>
      </c>
      <c r="L138">
        <v>2.1249670555457798</v>
      </c>
      <c r="M138">
        <v>2.0400780175067799</v>
      </c>
      <c r="N138">
        <v>2.1674115745652798</v>
      </c>
      <c r="O138">
        <v>1.9976334984872799</v>
      </c>
    </row>
    <row r="139" spans="1:15">
      <c r="A139" s="19">
        <v>43613</v>
      </c>
      <c r="B139">
        <v>884</v>
      </c>
      <c r="C139">
        <v>877</v>
      </c>
      <c r="D139">
        <v>419</v>
      </c>
      <c r="E139">
        <v>422</v>
      </c>
      <c r="F139">
        <v>2.0781990521327001</v>
      </c>
      <c r="G139">
        <v>2.0820542825580302</v>
      </c>
      <c r="H139">
        <v>4.2284939379954402E-2</v>
      </c>
      <c r="I139">
        <v>-9.1172660570468494E-2</v>
      </c>
      <c r="J139">
        <v>-0.19</v>
      </c>
      <c r="L139">
        <v>2.1243392219379844</v>
      </c>
      <c r="M139">
        <v>2.0397693431780759</v>
      </c>
      <c r="N139">
        <v>2.1666241613179391</v>
      </c>
      <c r="O139">
        <v>1.9974844037981214</v>
      </c>
    </row>
    <row r="140" spans="1:15">
      <c r="A140" s="19">
        <v>43612</v>
      </c>
      <c r="B140">
        <v>895</v>
      </c>
      <c r="C140">
        <v>892</v>
      </c>
      <c r="D140">
        <v>417</v>
      </c>
      <c r="E140">
        <v>420</v>
      </c>
      <c r="F140">
        <v>2.1238095238095198</v>
      </c>
      <c r="G140">
        <v>2.0827931177432299</v>
      </c>
      <c r="H140">
        <v>4.2693257880864803E-2</v>
      </c>
      <c r="I140">
        <v>0.96072326409812903</v>
      </c>
      <c r="J140">
        <v>1.93</v>
      </c>
      <c r="L140">
        <v>2.1254863756240949</v>
      </c>
      <c r="M140">
        <v>2.040099859862365</v>
      </c>
      <c r="N140">
        <v>2.1681796335049595</v>
      </c>
      <c r="O140">
        <v>1.9974066019815004</v>
      </c>
    </row>
    <row r="141" spans="1:15">
      <c r="A141" s="19">
        <v>43609</v>
      </c>
      <c r="B141">
        <v>880</v>
      </c>
      <c r="C141">
        <v>889</v>
      </c>
      <c r="D141">
        <v>416</v>
      </c>
      <c r="E141">
        <v>417</v>
      </c>
      <c r="F141">
        <v>2.1318944844124701</v>
      </c>
      <c r="G141">
        <v>2.08256018366981</v>
      </c>
      <c r="H141">
        <v>4.2516128049330797E-2</v>
      </c>
      <c r="I141">
        <v>1.1603667362516299</v>
      </c>
      <c r="J141">
        <v>2.31</v>
      </c>
      <c r="L141">
        <v>2.1250763117191407</v>
      </c>
      <c r="M141">
        <v>2.0400440556204793</v>
      </c>
      <c r="N141">
        <v>2.1675924397684714</v>
      </c>
      <c r="O141">
        <v>1.9975279275711484</v>
      </c>
    </row>
    <row r="142" spans="1:15">
      <c r="A142" s="19">
        <v>43608</v>
      </c>
      <c r="B142">
        <v>895</v>
      </c>
      <c r="C142">
        <v>895</v>
      </c>
      <c r="D142">
        <v>417</v>
      </c>
      <c r="E142">
        <v>421</v>
      </c>
      <c r="F142">
        <v>2.1258907363420398</v>
      </c>
      <c r="G142">
        <v>2.0821950331672601</v>
      </c>
      <c r="H142">
        <v>4.2207333920928999E-2</v>
      </c>
      <c r="I142">
        <v>1.03526328520629</v>
      </c>
      <c r="J142">
        <v>2.06</v>
      </c>
      <c r="L142">
        <v>2.1244023670881891</v>
      </c>
      <c r="M142">
        <v>2.0399876992463311</v>
      </c>
      <c r="N142">
        <v>2.1666097010091181</v>
      </c>
      <c r="O142">
        <v>1.997780365325402</v>
      </c>
    </row>
    <row r="143" spans="1:15">
      <c r="A143" s="19">
        <v>43607</v>
      </c>
      <c r="B143">
        <v>891</v>
      </c>
      <c r="C143">
        <v>901</v>
      </c>
      <c r="D143">
        <v>428</v>
      </c>
      <c r="E143">
        <v>419</v>
      </c>
      <c r="F143">
        <v>2.15035799522673</v>
      </c>
      <c r="G143">
        <v>2.08224230769174</v>
      </c>
      <c r="H143">
        <v>4.2258203997110298E-2</v>
      </c>
      <c r="I143">
        <v>1.61189262893519</v>
      </c>
      <c r="J143">
        <v>3.17</v>
      </c>
      <c r="L143">
        <v>2.1245005116888502</v>
      </c>
      <c r="M143">
        <v>2.0399841036946298</v>
      </c>
      <c r="N143">
        <v>2.1667587156859605</v>
      </c>
      <c r="O143">
        <v>1.9977258996975193</v>
      </c>
    </row>
    <row r="144" spans="1:15">
      <c r="A144" s="19">
        <v>43606</v>
      </c>
      <c r="B144">
        <v>894</v>
      </c>
      <c r="C144">
        <v>890</v>
      </c>
      <c r="D144">
        <v>416</v>
      </c>
      <c r="E144">
        <v>426</v>
      </c>
      <c r="F144">
        <v>2.0892018779342698</v>
      </c>
      <c r="G144">
        <v>2.0824132666396298</v>
      </c>
      <c r="H144">
        <v>4.2558296168782601E-2</v>
      </c>
      <c r="I144">
        <v>0.15951323022230399</v>
      </c>
      <c r="J144">
        <v>0.32</v>
      </c>
      <c r="L144">
        <v>2.1249715628084123</v>
      </c>
      <c r="M144">
        <v>2.0398549704708473</v>
      </c>
      <c r="N144">
        <v>2.1675298589771952</v>
      </c>
      <c r="O144">
        <v>1.9972966743020646</v>
      </c>
    </row>
    <row r="145" spans="1:15">
      <c r="A145" s="19">
        <v>43605</v>
      </c>
      <c r="B145">
        <v>890</v>
      </c>
      <c r="C145">
        <v>903</v>
      </c>
      <c r="D145">
        <v>418</v>
      </c>
      <c r="E145">
        <v>419</v>
      </c>
      <c r="F145">
        <v>2.1551312649164598</v>
      </c>
      <c r="G145">
        <v>2.0838180505265802</v>
      </c>
      <c r="H145">
        <v>4.4455759483141503E-2</v>
      </c>
      <c r="I145">
        <v>1.6041389286560599</v>
      </c>
      <c r="J145">
        <v>3.31</v>
      </c>
      <c r="L145">
        <v>2.1282738100097216</v>
      </c>
      <c r="M145">
        <v>2.0393622910434388</v>
      </c>
      <c r="N145">
        <v>2.172729569492863</v>
      </c>
      <c r="O145">
        <v>1.9949065315602972</v>
      </c>
    </row>
    <row r="146" spans="1:15">
      <c r="A146" s="19">
        <v>43602</v>
      </c>
      <c r="B146">
        <v>891</v>
      </c>
      <c r="C146">
        <v>887</v>
      </c>
      <c r="D146">
        <v>409</v>
      </c>
      <c r="E146">
        <v>414</v>
      </c>
      <c r="F146">
        <v>2.14251207729468</v>
      </c>
      <c r="G146">
        <v>2.08452858102945</v>
      </c>
      <c r="H146">
        <v>4.5989282941284702E-2</v>
      </c>
      <c r="I146">
        <v>1.2608045300305399</v>
      </c>
      <c r="J146">
        <v>2.71</v>
      </c>
      <c r="L146">
        <v>2.1305178639707347</v>
      </c>
      <c r="M146">
        <v>2.0385392980881654</v>
      </c>
      <c r="N146">
        <v>2.1765071469120194</v>
      </c>
      <c r="O146">
        <v>1.9925500151468807</v>
      </c>
    </row>
    <row r="147" spans="1:15">
      <c r="A147" s="19">
        <v>43601</v>
      </c>
      <c r="B147">
        <v>890</v>
      </c>
      <c r="C147">
        <v>891</v>
      </c>
      <c r="D147">
        <v>405</v>
      </c>
      <c r="E147">
        <v>406</v>
      </c>
      <c r="F147">
        <v>2.1945812807881699</v>
      </c>
      <c r="G147">
        <v>2.0852117533321901</v>
      </c>
      <c r="H147">
        <v>4.7209926795420597E-2</v>
      </c>
      <c r="I147">
        <v>2.3166637798428198</v>
      </c>
      <c r="J147">
        <v>4.9800000000000004</v>
      </c>
      <c r="L147">
        <v>2.1324216801276106</v>
      </c>
      <c r="M147">
        <v>2.0380018265367696</v>
      </c>
      <c r="N147">
        <v>2.1796316069230315</v>
      </c>
      <c r="O147">
        <v>1.990791899741349</v>
      </c>
    </row>
    <row r="148" spans="1:15">
      <c r="A148" s="19">
        <v>43600</v>
      </c>
      <c r="B148">
        <v>893</v>
      </c>
      <c r="C148">
        <v>894</v>
      </c>
      <c r="D148">
        <v>413</v>
      </c>
      <c r="E148">
        <v>407</v>
      </c>
      <c r="F148">
        <v>2.1965601965601902</v>
      </c>
      <c r="G148">
        <v>2.0854724991101801</v>
      </c>
      <c r="H148">
        <v>4.7862758087815899E-2</v>
      </c>
      <c r="I148">
        <v>2.3209631431225901</v>
      </c>
      <c r="J148">
        <v>5.0599999999999996</v>
      </c>
      <c r="L148">
        <v>2.133335257197996</v>
      </c>
      <c r="M148">
        <v>2.0376097410223641</v>
      </c>
      <c r="N148">
        <v>2.1811980152858119</v>
      </c>
      <c r="O148">
        <v>1.9897469829345482</v>
      </c>
    </row>
    <row r="149" spans="1:15">
      <c r="A149" s="19">
        <v>43599</v>
      </c>
      <c r="B149">
        <v>862</v>
      </c>
      <c r="C149">
        <v>888</v>
      </c>
      <c r="D149">
        <v>412</v>
      </c>
      <c r="E149">
        <v>419</v>
      </c>
      <c r="F149">
        <v>2.1193317422434301</v>
      </c>
      <c r="G149">
        <v>2.0856514192890998</v>
      </c>
      <c r="H149">
        <v>4.8300768037696902E-2</v>
      </c>
      <c r="I149">
        <v>0.69730408692564905</v>
      </c>
      <c r="J149">
        <v>1.59</v>
      </c>
      <c r="L149">
        <v>2.1339521873267966</v>
      </c>
      <c r="M149">
        <v>2.037350651251403</v>
      </c>
      <c r="N149">
        <v>2.1822529553644938</v>
      </c>
      <c r="O149">
        <v>1.989049883213706</v>
      </c>
    </row>
    <row r="150" spans="1:15">
      <c r="A150" s="19">
        <v>43598</v>
      </c>
      <c r="B150">
        <v>886</v>
      </c>
      <c r="C150">
        <v>885</v>
      </c>
      <c r="D150">
        <v>425</v>
      </c>
      <c r="E150">
        <v>420</v>
      </c>
      <c r="F150">
        <v>2.1071428571428501</v>
      </c>
      <c r="G150">
        <v>2.0861350181892</v>
      </c>
      <c r="H150">
        <v>4.8814403116500503E-2</v>
      </c>
      <c r="I150">
        <v>0.43036148375133898</v>
      </c>
      <c r="J150">
        <v>1</v>
      </c>
      <c r="L150">
        <v>2.1349494213057003</v>
      </c>
      <c r="M150">
        <v>2.0373206150726997</v>
      </c>
      <c r="N150">
        <v>2.1837638244222011</v>
      </c>
      <c r="O150">
        <v>1.9885062119561989</v>
      </c>
    </row>
    <row r="151" spans="1:15">
      <c r="A151" s="19">
        <v>43595</v>
      </c>
      <c r="B151">
        <v>893</v>
      </c>
      <c r="C151">
        <v>889</v>
      </c>
      <c r="D151">
        <v>430</v>
      </c>
      <c r="E151">
        <v>428</v>
      </c>
      <c r="F151">
        <v>2.0771028037383101</v>
      </c>
      <c r="G151">
        <v>2.0870924116729102</v>
      </c>
      <c r="H151">
        <v>4.9908917607761498E-2</v>
      </c>
      <c r="I151">
        <v>-0.200156773847606</v>
      </c>
      <c r="J151">
        <v>-0.48</v>
      </c>
      <c r="L151">
        <v>2.1370013292806718</v>
      </c>
      <c r="M151">
        <v>2.0371834940651485</v>
      </c>
      <c r="N151">
        <v>2.1869102468884329</v>
      </c>
      <c r="O151">
        <v>1.9872745764573871</v>
      </c>
    </row>
    <row r="152" spans="1:15">
      <c r="A152" s="19">
        <v>43594</v>
      </c>
      <c r="B152">
        <v>901</v>
      </c>
      <c r="C152">
        <v>899</v>
      </c>
      <c r="D152">
        <v>437</v>
      </c>
      <c r="E152">
        <v>428</v>
      </c>
      <c r="F152">
        <v>2.1004672897196199</v>
      </c>
      <c r="G152">
        <v>2.08882011541708</v>
      </c>
      <c r="H152">
        <v>5.1742332258602503E-2</v>
      </c>
      <c r="I152">
        <v>0.22509952284969201</v>
      </c>
      <c r="J152">
        <v>0.55000000000000004</v>
      </c>
      <c r="L152">
        <v>2.1405624476756824</v>
      </c>
      <c r="M152">
        <v>2.0370777831584777</v>
      </c>
      <c r="N152">
        <v>2.1923047799342852</v>
      </c>
      <c r="O152">
        <v>1.9853354508998751</v>
      </c>
    </row>
    <row r="153" spans="1:15">
      <c r="A153" s="19">
        <v>43593</v>
      </c>
      <c r="B153">
        <v>940</v>
      </c>
      <c r="C153">
        <v>911</v>
      </c>
      <c r="D153">
        <v>435</v>
      </c>
      <c r="E153">
        <v>434</v>
      </c>
      <c r="F153">
        <v>2.0990783410138198</v>
      </c>
      <c r="G153">
        <v>2.0902084569125399</v>
      </c>
      <c r="H153">
        <v>5.3406402933827299E-2</v>
      </c>
      <c r="I153">
        <v>0.16608278434840901</v>
      </c>
      <c r="J153">
        <v>0.42</v>
      </c>
      <c r="L153">
        <v>2.1436148598463673</v>
      </c>
      <c r="M153">
        <v>2.0368020539787124</v>
      </c>
      <c r="N153">
        <v>2.1970212627801944</v>
      </c>
      <c r="O153">
        <v>1.9833956510448854</v>
      </c>
    </row>
    <row r="154" spans="1:15">
      <c r="A154" s="19">
        <v>43592</v>
      </c>
      <c r="B154">
        <v>946</v>
      </c>
      <c r="C154">
        <v>955</v>
      </c>
      <c r="D154">
        <v>441</v>
      </c>
      <c r="E154">
        <v>438</v>
      </c>
      <c r="F154">
        <v>2.1803652968036502</v>
      </c>
      <c r="G154">
        <v>2.0911234372104102</v>
      </c>
      <c r="H154">
        <v>5.4133422159426202E-2</v>
      </c>
      <c r="I154">
        <v>1.64855381450703</v>
      </c>
      <c r="J154">
        <v>4.09</v>
      </c>
      <c r="L154">
        <v>2.1452568593698365</v>
      </c>
      <c r="M154">
        <v>2.0369900150509839</v>
      </c>
      <c r="N154">
        <v>2.1993902815292627</v>
      </c>
      <c r="O154">
        <v>1.9828565928915578</v>
      </c>
    </row>
    <row r="155" spans="1:15">
      <c r="A155" s="19">
        <v>43581</v>
      </c>
      <c r="B155">
        <v>924</v>
      </c>
      <c r="C155">
        <v>935</v>
      </c>
      <c r="D155">
        <v>440</v>
      </c>
      <c r="E155">
        <v>444</v>
      </c>
      <c r="F155">
        <v>2.1058558558558498</v>
      </c>
      <c r="G155">
        <v>2.09052693365788</v>
      </c>
      <c r="H155">
        <v>5.3388122670244703E-2</v>
      </c>
      <c r="I155">
        <v>0.28712233042260199</v>
      </c>
      <c r="J155">
        <v>0.73</v>
      </c>
      <c r="L155">
        <v>2.1439150563281246</v>
      </c>
      <c r="M155">
        <v>2.0371388109876354</v>
      </c>
      <c r="N155">
        <v>2.1973031789983692</v>
      </c>
      <c r="O155">
        <v>1.9837506883173905</v>
      </c>
    </row>
    <row r="156" spans="1:15">
      <c r="A156" s="19">
        <v>43580</v>
      </c>
      <c r="B156">
        <v>915</v>
      </c>
      <c r="C156">
        <v>928</v>
      </c>
      <c r="D156">
        <v>445</v>
      </c>
      <c r="E156">
        <v>444</v>
      </c>
      <c r="F156">
        <v>2.0900900900900901</v>
      </c>
      <c r="G156">
        <v>2.0913286370005699</v>
      </c>
      <c r="H156">
        <v>5.4059523019176603E-2</v>
      </c>
      <c r="I156">
        <v>-2.2910799824203999E-2</v>
      </c>
      <c r="J156">
        <v>-0.06</v>
      </c>
      <c r="L156">
        <v>2.1453881600197464</v>
      </c>
      <c r="M156">
        <v>2.0372691139813934</v>
      </c>
      <c r="N156">
        <v>2.1994476830389234</v>
      </c>
      <c r="O156">
        <v>1.9832095909622167</v>
      </c>
    </row>
    <row r="157" spans="1:15">
      <c r="A157" s="19">
        <v>43579</v>
      </c>
      <c r="B157">
        <v>935</v>
      </c>
      <c r="C157">
        <v>914</v>
      </c>
      <c r="D157">
        <v>449</v>
      </c>
      <c r="E157">
        <v>445</v>
      </c>
      <c r="F157">
        <v>2.0539325842696599</v>
      </c>
      <c r="G157">
        <v>2.0919627934242002</v>
      </c>
      <c r="H157">
        <v>5.4319615126168799E-2</v>
      </c>
      <c r="I157">
        <v>-0.70011926752809295</v>
      </c>
      <c r="J157">
        <v>-1.85</v>
      </c>
      <c r="L157">
        <v>2.1462824085503689</v>
      </c>
      <c r="M157">
        <v>2.0376431782980315</v>
      </c>
      <c r="N157">
        <v>2.200602023676538</v>
      </c>
      <c r="O157">
        <v>1.9833235631718626</v>
      </c>
    </row>
    <row r="158" spans="1:15">
      <c r="A158" s="19">
        <v>43578</v>
      </c>
      <c r="B158">
        <v>921</v>
      </c>
      <c r="C158">
        <v>931</v>
      </c>
      <c r="D158">
        <v>443</v>
      </c>
      <c r="E158">
        <v>446</v>
      </c>
      <c r="F158">
        <v>2.0874439461883401</v>
      </c>
      <c r="G158">
        <v>2.09345211190033</v>
      </c>
      <c r="H158">
        <v>5.4785760429990497E-2</v>
      </c>
      <c r="I158">
        <v>-0.109666556872379</v>
      </c>
      <c r="J158">
        <v>-0.28999999999999998</v>
      </c>
      <c r="L158">
        <v>2.1482378723303204</v>
      </c>
      <c r="M158">
        <v>2.0386663514703396</v>
      </c>
      <c r="N158">
        <v>2.2030236327603108</v>
      </c>
      <c r="O158">
        <v>1.983880591040349</v>
      </c>
    </row>
    <row r="159" spans="1:15">
      <c r="A159" s="19">
        <v>43577</v>
      </c>
      <c r="B159">
        <v>915</v>
      </c>
      <c r="C159">
        <v>921</v>
      </c>
      <c r="D159">
        <v>446</v>
      </c>
      <c r="E159">
        <v>442</v>
      </c>
      <c r="F159">
        <v>2.0837104072398098</v>
      </c>
      <c r="G159">
        <v>2.0959535700165399</v>
      </c>
      <c r="H159">
        <v>5.8604273363414797E-2</v>
      </c>
      <c r="I159">
        <v>-0.208912457642833</v>
      </c>
      <c r="J159">
        <v>-0.59</v>
      </c>
      <c r="L159">
        <v>2.1545578433799548</v>
      </c>
      <c r="M159">
        <v>2.037349296653125</v>
      </c>
      <c r="N159">
        <v>2.2131621167433697</v>
      </c>
      <c r="O159">
        <v>1.9787450232897104</v>
      </c>
    </row>
    <row r="160" spans="1:15">
      <c r="A160" s="19">
        <v>43574</v>
      </c>
      <c r="B160">
        <v>918</v>
      </c>
      <c r="C160">
        <v>915</v>
      </c>
      <c r="D160">
        <v>448</v>
      </c>
      <c r="E160">
        <v>446</v>
      </c>
      <c r="F160">
        <v>2.0515695067264499</v>
      </c>
      <c r="G160">
        <v>2.0983132147291199</v>
      </c>
      <c r="H160">
        <v>6.1552482828753301E-2</v>
      </c>
      <c r="I160">
        <v>-0.75941222603022596</v>
      </c>
      <c r="J160">
        <v>-2.2799999999999998</v>
      </c>
      <c r="L160">
        <v>2.1598656975578732</v>
      </c>
      <c r="M160">
        <v>2.0367607319003667</v>
      </c>
      <c r="N160">
        <v>2.2214181803866264</v>
      </c>
      <c r="O160">
        <v>1.9752082490716134</v>
      </c>
    </row>
    <row r="161" spans="1:15">
      <c r="A161" s="19">
        <v>43573</v>
      </c>
      <c r="B161">
        <v>936</v>
      </c>
      <c r="C161">
        <v>913</v>
      </c>
      <c r="D161">
        <v>452</v>
      </c>
      <c r="E161">
        <v>446</v>
      </c>
      <c r="F161">
        <v>2.04708520179372</v>
      </c>
      <c r="G161">
        <v>2.1004637587783899</v>
      </c>
      <c r="H161">
        <v>6.2688894348136001E-2</v>
      </c>
      <c r="I161">
        <v>-0.85148346512923201</v>
      </c>
      <c r="J161">
        <v>-2.61</v>
      </c>
      <c r="L161">
        <v>2.1631526531265259</v>
      </c>
      <c r="M161">
        <v>2.0377748644302538</v>
      </c>
      <c r="N161">
        <v>2.225841547474662</v>
      </c>
      <c r="O161">
        <v>1.9750859700821179</v>
      </c>
    </row>
    <row r="162" spans="1:15">
      <c r="A162" s="19">
        <v>43572</v>
      </c>
      <c r="B162">
        <v>935</v>
      </c>
      <c r="C162">
        <v>936</v>
      </c>
      <c r="D162">
        <v>454</v>
      </c>
      <c r="E162">
        <v>452</v>
      </c>
      <c r="F162">
        <v>2.0707964601769899</v>
      </c>
      <c r="G162">
        <v>2.1025503483324002</v>
      </c>
      <c r="H162">
        <v>6.3476960681164304E-2</v>
      </c>
      <c r="I162">
        <v>-0.50024273082178095</v>
      </c>
      <c r="J162">
        <v>-1.53</v>
      </c>
      <c r="L162">
        <v>2.1660273090135647</v>
      </c>
      <c r="M162">
        <v>2.0390733876512357</v>
      </c>
      <c r="N162">
        <v>2.2295042696947287</v>
      </c>
      <c r="O162">
        <v>1.9755964269700717</v>
      </c>
    </row>
    <row r="163" spans="1:15">
      <c r="A163" s="19">
        <v>43571</v>
      </c>
      <c r="B163">
        <v>947</v>
      </c>
      <c r="C163">
        <v>940</v>
      </c>
      <c r="D163">
        <v>456</v>
      </c>
      <c r="E163">
        <v>455</v>
      </c>
      <c r="F163">
        <v>2.0659340659340599</v>
      </c>
      <c r="G163">
        <v>2.1043362805875101</v>
      </c>
      <c r="H163">
        <v>6.4435478958589906E-2</v>
      </c>
      <c r="I163">
        <v>-0.59597934669080099</v>
      </c>
      <c r="J163">
        <v>-1.86</v>
      </c>
      <c r="L163">
        <v>2.1687717595460998</v>
      </c>
      <c r="M163">
        <v>2.0399008016289204</v>
      </c>
      <c r="N163">
        <v>2.2332072385046899</v>
      </c>
      <c r="O163">
        <v>1.9754653226703303</v>
      </c>
    </row>
    <row r="164" spans="1:15">
      <c r="A164" s="19">
        <v>43570</v>
      </c>
      <c r="B164">
        <v>937</v>
      </c>
      <c r="C164">
        <v>941</v>
      </c>
      <c r="D164">
        <v>457</v>
      </c>
      <c r="E164">
        <v>457</v>
      </c>
      <c r="F164">
        <v>2.0590809628008699</v>
      </c>
      <c r="G164">
        <v>2.1057918995114799</v>
      </c>
      <c r="H164">
        <v>6.4783687185233294E-2</v>
      </c>
      <c r="I164">
        <v>-0.72102930135876397</v>
      </c>
      <c r="J164">
        <v>-2.27</v>
      </c>
      <c r="L164">
        <v>2.1705755866967134</v>
      </c>
      <c r="M164">
        <v>2.0410082123262465</v>
      </c>
      <c r="N164">
        <v>2.2353592738819463</v>
      </c>
      <c r="O164">
        <v>1.9762245251410133</v>
      </c>
    </row>
    <row r="165" spans="1:15">
      <c r="A165" s="19">
        <v>43567</v>
      </c>
      <c r="B165">
        <v>928</v>
      </c>
      <c r="C165">
        <v>930</v>
      </c>
      <c r="D165">
        <v>455</v>
      </c>
      <c r="E165">
        <v>449</v>
      </c>
      <c r="F165">
        <v>2.0712694877505502</v>
      </c>
      <c r="G165">
        <v>2.1072309014738702</v>
      </c>
      <c r="H165">
        <v>6.4928619560749204E-2</v>
      </c>
      <c r="I165">
        <v>-0.55386074687247699</v>
      </c>
      <c r="J165">
        <v>-1.74</v>
      </c>
      <c r="L165">
        <v>2.1721595210346192</v>
      </c>
      <c r="M165">
        <v>2.0423022819131211</v>
      </c>
      <c r="N165">
        <v>2.2370881405953686</v>
      </c>
      <c r="O165">
        <v>1.9773736623523717</v>
      </c>
    </row>
    <row r="166" spans="1:15">
      <c r="A166" s="19">
        <v>43566</v>
      </c>
      <c r="B166">
        <v>936</v>
      </c>
      <c r="C166">
        <v>929</v>
      </c>
      <c r="D166">
        <v>451</v>
      </c>
      <c r="E166">
        <v>451</v>
      </c>
      <c r="F166">
        <v>2.0598669623059802</v>
      </c>
      <c r="G166">
        <v>2.1082779425818599</v>
      </c>
      <c r="H166">
        <v>6.4973420082216696E-2</v>
      </c>
      <c r="I166">
        <v>-0.74508899507863602</v>
      </c>
      <c r="J166">
        <v>-2.35</v>
      </c>
      <c r="L166">
        <v>2.1732513626640766</v>
      </c>
      <c r="M166">
        <v>2.0433045224996431</v>
      </c>
      <c r="N166">
        <v>2.2382247827462933</v>
      </c>
      <c r="O166">
        <v>1.9783311024174264</v>
      </c>
    </row>
    <row r="167" spans="1:15">
      <c r="A167" s="19">
        <v>43565</v>
      </c>
      <c r="B167">
        <v>943</v>
      </c>
      <c r="C167">
        <v>941</v>
      </c>
      <c r="D167">
        <v>455</v>
      </c>
      <c r="E167">
        <v>451</v>
      </c>
      <c r="F167">
        <v>2.0864745011086399</v>
      </c>
      <c r="G167">
        <v>2.1090848944113101</v>
      </c>
      <c r="H167">
        <v>6.4742577426728107E-2</v>
      </c>
      <c r="I167">
        <v>-0.34923529771822198</v>
      </c>
      <c r="J167">
        <v>-1.08</v>
      </c>
      <c r="L167">
        <v>2.1738274718380382</v>
      </c>
      <c r="M167">
        <v>2.044342316984582</v>
      </c>
      <c r="N167">
        <v>2.2385700492647662</v>
      </c>
      <c r="O167">
        <v>1.979599739557854</v>
      </c>
    </row>
    <row r="168" spans="1:15">
      <c r="A168" s="19">
        <v>43564</v>
      </c>
      <c r="B168">
        <v>950</v>
      </c>
      <c r="C168">
        <v>946</v>
      </c>
      <c r="D168">
        <v>456</v>
      </c>
      <c r="E168">
        <v>457</v>
      </c>
      <c r="F168">
        <v>2.0700218818380698</v>
      </c>
      <c r="G168">
        <v>2.10901775964905</v>
      </c>
      <c r="H168">
        <v>6.47685937956054E-2</v>
      </c>
      <c r="I168">
        <v>-0.60208004413445404</v>
      </c>
      <c r="J168">
        <v>-1.88</v>
      </c>
      <c r="L168">
        <v>2.1737863534446555</v>
      </c>
      <c r="M168">
        <v>2.0442491658534445</v>
      </c>
      <c r="N168">
        <v>2.2385549472402611</v>
      </c>
      <c r="O168">
        <v>1.9794805720578392</v>
      </c>
    </row>
    <row r="169" spans="1:15">
      <c r="A169" s="19">
        <v>43563</v>
      </c>
      <c r="B169">
        <v>968</v>
      </c>
      <c r="C169">
        <v>955</v>
      </c>
      <c r="D169">
        <v>462</v>
      </c>
      <c r="E169">
        <v>458</v>
      </c>
      <c r="F169">
        <v>2.0851528384279399</v>
      </c>
      <c r="G169">
        <v>2.1094677823566199</v>
      </c>
      <c r="H169">
        <v>6.4613150314694806E-2</v>
      </c>
      <c r="I169">
        <v>-0.37631571607722197</v>
      </c>
      <c r="J169">
        <v>-1.17</v>
      </c>
      <c r="L169">
        <v>2.1740809326713149</v>
      </c>
      <c r="M169">
        <v>2.044854632041925</v>
      </c>
      <c r="N169">
        <v>2.2386940829860094</v>
      </c>
      <c r="O169">
        <v>1.9802414817272302</v>
      </c>
    </row>
    <row r="170" spans="1:15">
      <c r="A170" s="19">
        <v>43560</v>
      </c>
      <c r="B170">
        <v>974</v>
      </c>
      <c r="C170">
        <v>967</v>
      </c>
      <c r="D170">
        <v>465</v>
      </c>
      <c r="E170">
        <v>464</v>
      </c>
      <c r="F170">
        <v>2.0840517241379302</v>
      </c>
      <c r="G170">
        <v>2.1097573475643498</v>
      </c>
      <c r="H170">
        <v>6.4552168226288897E-2</v>
      </c>
      <c r="I170">
        <v>-0.39821471737887099</v>
      </c>
      <c r="J170">
        <v>-1.23</v>
      </c>
      <c r="L170">
        <v>2.1743095157906387</v>
      </c>
      <c r="M170">
        <v>2.045205179338061</v>
      </c>
      <c r="N170">
        <v>2.2388616840169275</v>
      </c>
      <c r="O170">
        <v>1.9806530111117722</v>
      </c>
    </row>
    <row r="171" spans="1:15">
      <c r="A171" s="19">
        <v>43559</v>
      </c>
      <c r="B171">
        <v>962</v>
      </c>
      <c r="C171">
        <v>965</v>
      </c>
      <c r="D171">
        <v>461</v>
      </c>
      <c r="E171">
        <v>460</v>
      </c>
      <c r="F171">
        <v>2.0978260869565202</v>
      </c>
      <c r="G171">
        <v>2.1098441081339701</v>
      </c>
      <c r="H171">
        <v>6.4521926358331302E-2</v>
      </c>
      <c r="I171">
        <v>-0.186262590963407</v>
      </c>
      <c r="J171">
        <v>-0.56999999999999995</v>
      </c>
      <c r="L171">
        <v>2.1743660344923015</v>
      </c>
      <c r="M171">
        <v>2.0453221817756386</v>
      </c>
      <c r="N171">
        <v>2.2388879608506325</v>
      </c>
      <c r="O171">
        <v>1.9808002554173074</v>
      </c>
    </row>
    <row r="172" spans="1:15">
      <c r="A172" s="19">
        <v>43558</v>
      </c>
      <c r="B172">
        <v>960</v>
      </c>
      <c r="C172">
        <v>959</v>
      </c>
      <c r="D172">
        <v>465</v>
      </c>
      <c r="E172">
        <v>462</v>
      </c>
      <c r="F172">
        <v>2.0757575757575699</v>
      </c>
      <c r="G172">
        <v>2.1100978701418498</v>
      </c>
      <c r="H172">
        <v>6.4511586464852499E-2</v>
      </c>
      <c r="I172">
        <v>-0.53231204293810497</v>
      </c>
      <c r="J172">
        <v>-1.65</v>
      </c>
      <c r="L172">
        <v>2.1746094566067025</v>
      </c>
      <c r="M172">
        <v>2.0455862836769971</v>
      </c>
      <c r="N172">
        <v>2.2391210430715547</v>
      </c>
      <c r="O172">
        <v>1.9810746972121449</v>
      </c>
    </row>
    <row r="173" spans="1:15">
      <c r="A173" s="19">
        <v>43557</v>
      </c>
      <c r="B173">
        <v>976</v>
      </c>
      <c r="C173">
        <v>966</v>
      </c>
      <c r="D173">
        <v>477</v>
      </c>
      <c r="E173">
        <v>465</v>
      </c>
      <c r="F173">
        <v>2.0774193548387099</v>
      </c>
      <c r="G173">
        <v>2.1105636915832902</v>
      </c>
      <c r="H173">
        <v>6.4387957949337105E-2</v>
      </c>
      <c r="I173">
        <v>-0.51475986815205999</v>
      </c>
      <c r="J173">
        <v>-1.6</v>
      </c>
      <c r="L173">
        <v>2.1749516495326273</v>
      </c>
      <c r="M173">
        <v>2.046175733633953</v>
      </c>
      <c r="N173">
        <v>2.2393396074819645</v>
      </c>
      <c r="O173">
        <v>1.9817877756846158</v>
      </c>
    </row>
    <row r="174" spans="1:15">
      <c r="A174" s="19">
        <v>43556</v>
      </c>
      <c r="B174">
        <v>955</v>
      </c>
      <c r="C174">
        <v>965</v>
      </c>
      <c r="D174">
        <v>470</v>
      </c>
      <c r="E174">
        <v>472</v>
      </c>
      <c r="F174">
        <v>2.0444915254237199</v>
      </c>
      <c r="G174">
        <v>2.1108899240848098</v>
      </c>
      <c r="H174">
        <v>6.4281095625730506E-2</v>
      </c>
      <c r="I174">
        <v>-1.03293819146582</v>
      </c>
      <c r="J174">
        <v>-3.25</v>
      </c>
      <c r="L174">
        <v>2.1751710197105405</v>
      </c>
      <c r="M174">
        <v>2.0466088284590791</v>
      </c>
      <c r="N174">
        <v>2.2394521153362708</v>
      </c>
      <c r="O174">
        <v>1.9823277328333488</v>
      </c>
    </row>
    <row r="175" spans="1:15">
      <c r="A175" s="19">
        <v>43553</v>
      </c>
      <c r="B175">
        <v>947</v>
      </c>
      <c r="C175">
        <v>946</v>
      </c>
      <c r="D175">
        <v>463</v>
      </c>
      <c r="E175">
        <v>460</v>
      </c>
      <c r="F175">
        <v>2.0565217391304298</v>
      </c>
      <c r="G175">
        <v>2.11181979987566</v>
      </c>
      <c r="H175">
        <v>6.3816614082120596E-2</v>
      </c>
      <c r="I175">
        <v>-0.86651511586111696</v>
      </c>
      <c r="J175">
        <v>-2.69</v>
      </c>
      <c r="L175">
        <v>2.1756364139577808</v>
      </c>
      <c r="M175">
        <v>2.0480031857935392</v>
      </c>
      <c r="N175">
        <v>2.2394530280399012</v>
      </c>
      <c r="O175">
        <v>1.9841865717114189</v>
      </c>
    </row>
    <row r="176" spans="1:15">
      <c r="A176" s="19">
        <v>43552</v>
      </c>
      <c r="B176">
        <v>966</v>
      </c>
      <c r="C176">
        <v>947</v>
      </c>
      <c r="D176">
        <v>466</v>
      </c>
      <c r="E176">
        <v>465</v>
      </c>
      <c r="F176">
        <v>2.0365591397849401</v>
      </c>
      <c r="G176">
        <v>2.1124420365996999</v>
      </c>
      <c r="H176">
        <v>6.3501137600783394E-2</v>
      </c>
      <c r="I176">
        <v>-1.1949848409302199</v>
      </c>
      <c r="J176">
        <v>-3.73</v>
      </c>
      <c r="L176">
        <v>2.1759431742004831</v>
      </c>
      <c r="M176">
        <v>2.0489408989989166</v>
      </c>
      <c r="N176">
        <v>2.2394443118012668</v>
      </c>
      <c r="O176">
        <v>1.9854397613981332</v>
      </c>
    </row>
    <row r="177" spans="1:15">
      <c r="A177" s="19">
        <v>43551</v>
      </c>
      <c r="B177">
        <v>952</v>
      </c>
      <c r="C177">
        <v>968</v>
      </c>
      <c r="D177">
        <v>474</v>
      </c>
      <c r="E177">
        <v>471</v>
      </c>
      <c r="F177">
        <v>2.0552016985138</v>
      </c>
      <c r="G177">
        <v>2.1137716470870398</v>
      </c>
      <c r="H177">
        <v>6.2939868329378298E-2</v>
      </c>
      <c r="I177">
        <v>-0.93056992535690297</v>
      </c>
      <c r="J177">
        <v>-2.85</v>
      </c>
      <c r="L177">
        <v>2.1767115154164181</v>
      </c>
      <c r="M177">
        <v>2.0508317787576615</v>
      </c>
      <c r="N177">
        <v>2.2396513837457963</v>
      </c>
      <c r="O177">
        <v>1.9878919104282833</v>
      </c>
    </row>
    <row r="178" spans="1:15">
      <c r="A178" s="19">
        <v>43550</v>
      </c>
      <c r="B178">
        <v>959</v>
      </c>
      <c r="C178">
        <v>980</v>
      </c>
      <c r="D178">
        <v>473</v>
      </c>
      <c r="E178">
        <v>484</v>
      </c>
      <c r="F178">
        <v>2.02479338842975</v>
      </c>
      <c r="G178">
        <v>2.1150831564328798</v>
      </c>
      <c r="H178">
        <v>6.2730225218737903E-2</v>
      </c>
      <c r="I178">
        <v>-1.43933435099732</v>
      </c>
      <c r="J178">
        <v>-4.46</v>
      </c>
      <c r="L178">
        <v>2.1778133816516179</v>
      </c>
      <c r="M178">
        <v>2.0523529312141418</v>
      </c>
      <c r="N178">
        <v>2.2405436068703555</v>
      </c>
      <c r="O178">
        <v>1.9896227059954039</v>
      </c>
    </row>
    <row r="179" spans="1:15">
      <c r="A179" s="19">
        <v>43549</v>
      </c>
      <c r="B179">
        <v>971</v>
      </c>
      <c r="C179">
        <v>960</v>
      </c>
      <c r="D179">
        <v>488</v>
      </c>
      <c r="E179">
        <v>473</v>
      </c>
      <c r="F179">
        <v>2.0295983086680698</v>
      </c>
      <c r="G179">
        <v>2.11640106276896</v>
      </c>
      <c r="H179">
        <v>6.1851622028165E-2</v>
      </c>
      <c r="I179">
        <v>-1.4034030354347899</v>
      </c>
      <c r="J179">
        <v>-4.28</v>
      </c>
      <c r="L179">
        <v>2.1782526847971249</v>
      </c>
      <c r="M179">
        <v>2.0545494407407952</v>
      </c>
      <c r="N179">
        <v>2.2401043068252902</v>
      </c>
      <c r="O179">
        <v>1.9926978187126301</v>
      </c>
    </row>
    <row r="180" spans="1:15">
      <c r="A180" s="19">
        <v>43546</v>
      </c>
      <c r="B180">
        <v>985</v>
      </c>
      <c r="C180">
        <v>984</v>
      </c>
      <c r="D180">
        <v>491</v>
      </c>
      <c r="E180">
        <v>491</v>
      </c>
      <c r="F180">
        <v>2.0040733197556002</v>
      </c>
      <c r="G180">
        <v>2.1178936735553502</v>
      </c>
      <c r="H180">
        <v>6.10848698812567E-2</v>
      </c>
      <c r="I180">
        <v>-1.86331499143749</v>
      </c>
      <c r="J180">
        <v>-5.68</v>
      </c>
      <c r="L180">
        <v>2.1789785434366067</v>
      </c>
      <c r="M180">
        <v>2.0568088036740937</v>
      </c>
      <c r="N180">
        <v>2.2400634133178636</v>
      </c>
      <c r="O180">
        <v>1.9957239337928367</v>
      </c>
    </row>
    <row r="181" spans="1:15">
      <c r="A181" s="19">
        <v>43544</v>
      </c>
      <c r="B181">
        <v>980</v>
      </c>
      <c r="C181">
        <v>984</v>
      </c>
      <c r="D181">
        <v>479</v>
      </c>
      <c r="E181">
        <v>484</v>
      </c>
      <c r="F181">
        <v>2.03305785123966</v>
      </c>
      <c r="G181">
        <v>2.1185587870857101</v>
      </c>
      <c r="H181">
        <v>6.0105658954354102E-2</v>
      </c>
      <c r="I181">
        <v>-1.42251058109145</v>
      </c>
      <c r="J181">
        <v>-4.21</v>
      </c>
      <c r="L181">
        <v>2.1786644460400644</v>
      </c>
      <c r="M181">
        <v>2.0584531281313558</v>
      </c>
      <c r="N181">
        <v>2.2387701049944182</v>
      </c>
      <c r="O181">
        <v>1.998347469177002</v>
      </c>
    </row>
    <row r="182" spans="1:15">
      <c r="A182" s="19">
        <v>43543</v>
      </c>
      <c r="B182">
        <v>989</v>
      </c>
      <c r="C182">
        <v>982</v>
      </c>
      <c r="D182">
        <v>481</v>
      </c>
      <c r="E182">
        <v>479</v>
      </c>
      <c r="F182">
        <v>2.05010438413361</v>
      </c>
      <c r="G182">
        <v>2.1188627604805901</v>
      </c>
      <c r="H182">
        <v>5.9728952827774899E-2</v>
      </c>
      <c r="I182">
        <v>-1.1511733102913</v>
      </c>
      <c r="J182">
        <v>-3.35</v>
      </c>
      <c r="L182">
        <v>2.1785917133083648</v>
      </c>
      <c r="M182">
        <v>2.0591338076528154</v>
      </c>
      <c r="N182">
        <v>2.2383206661361399</v>
      </c>
      <c r="O182">
        <v>1.9994048548250403</v>
      </c>
    </row>
    <row r="183" spans="1:15">
      <c r="A183" s="19">
        <v>43542</v>
      </c>
      <c r="B183">
        <v>993</v>
      </c>
      <c r="C183">
        <v>989</v>
      </c>
      <c r="D183">
        <v>477</v>
      </c>
      <c r="E183">
        <v>476</v>
      </c>
      <c r="F183">
        <v>2.0777310924369701</v>
      </c>
      <c r="G183">
        <v>2.1191732952976499</v>
      </c>
      <c r="H183">
        <v>5.9430463777723201E-2</v>
      </c>
      <c r="I183">
        <v>-0.69732255524161502</v>
      </c>
      <c r="J183">
        <v>-1.99</v>
      </c>
      <c r="L183">
        <v>2.1786037590753731</v>
      </c>
      <c r="M183">
        <v>2.0597428315199267</v>
      </c>
      <c r="N183">
        <v>2.2380342228530963</v>
      </c>
      <c r="O183">
        <v>2.0003123677422034</v>
      </c>
    </row>
    <row r="184" spans="1:15">
      <c r="A184" s="19">
        <v>43539</v>
      </c>
      <c r="B184">
        <v>978</v>
      </c>
      <c r="C184">
        <v>984</v>
      </c>
      <c r="D184">
        <v>463</v>
      </c>
      <c r="E184">
        <v>475</v>
      </c>
      <c r="F184">
        <v>2.0715789473684199</v>
      </c>
      <c r="G184">
        <v>2.1193900135638999</v>
      </c>
      <c r="H184">
        <v>5.9308456427734899E-2</v>
      </c>
      <c r="I184">
        <v>-0.80614248077320805</v>
      </c>
      <c r="J184">
        <v>-2.31</v>
      </c>
      <c r="L184">
        <v>2.1786984699916347</v>
      </c>
      <c r="M184">
        <v>2.060081557136165</v>
      </c>
      <c r="N184">
        <v>2.2380069264193696</v>
      </c>
      <c r="O184">
        <v>2.0007731007084302</v>
      </c>
    </row>
    <row r="185" spans="1:15">
      <c r="A185" s="19">
        <v>43538</v>
      </c>
      <c r="B185">
        <v>1002</v>
      </c>
      <c r="C185">
        <v>981</v>
      </c>
      <c r="D185">
        <v>472</v>
      </c>
      <c r="E185">
        <v>464</v>
      </c>
      <c r="F185">
        <v>2.1142241379310298</v>
      </c>
      <c r="G185">
        <v>2.1201022942656498</v>
      </c>
      <c r="H185">
        <v>5.9050204447881803E-2</v>
      </c>
      <c r="I185">
        <v>-9.9545063215030094E-2</v>
      </c>
      <c r="J185">
        <v>-0.28000000000000003</v>
      </c>
      <c r="L185">
        <v>2.1791524987135316</v>
      </c>
      <c r="M185">
        <v>2.061052089817768</v>
      </c>
      <c r="N185">
        <v>2.2382027031614133</v>
      </c>
      <c r="O185">
        <v>2.0020018853698862</v>
      </c>
    </row>
    <row r="186" spans="1:15">
      <c r="A186" s="19">
        <v>43537</v>
      </c>
      <c r="B186">
        <v>994</v>
      </c>
      <c r="C186">
        <v>997</v>
      </c>
      <c r="D186">
        <v>470</v>
      </c>
      <c r="E186">
        <v>467</v>
      </c>
      <c r="F186">
        <v>2.1349036402569501</v>
      </c>
      <c r="G186">
        <v>2.1203030066471098</v>
      </c>
      <c r="H186">
        <v>5.9055466570578703E-2</v>
      </c>
      <c r="I186">
        <v>0.24723593695426399</v>
      </c>
      <c r="J186">
        <v>0.68</v>
      </c>
      <c r="L186">
        <v>2.1793584732176887</v>
      </c>
      <c r="M186">
        <v>2.0612475400765309</v>
      </c>
      <c r="N186">
        <v>2.2384139397882672</v>
      </c>
      <c r="O186">
        <v>2.0021920735059524</v>
      </c>
    </row>
    <row r="187" spans="1:15">
      <c r="A187" s="19">
        <v>43536</v>
      </c>
      <c r="B187">
        <v>998</v>
      </c>
      <c r="C187">
        <v>1000</v>
      </c>
      <c r="D187">
        <v>471</v>
      </c>
      <c r="E187">
        <v>474</v>
      </c>
      <c r="F187">
        <v>2.1097046413502101</v>
      </c>
      <c r="G187">
        <v>2.1197503973626799</v>
      </c>
      <c r="H187">
        <v>5.9110144138356399E-2</v>
      </c>
      <c r="I187">
        <v>-0.16994978034503999</v>
      </c>
      <c r="J187">
        <v>-0.48</v>
      </c>
      <c r="L187">
        <v>2.1788605415010363</v>
      </c>
      <c r="M187">
        <v>2.0606402532243235</v>
      </c>
      <c r="N187">
        <v>2.2379706856393926</v>
      </c>
      <c r="O187">
        <v>2.0015301090859672</v>
      </c>
    </row>
    <row r="188" spans="1:15">
      <c r="A188" s="19">
        <v>43535</v>
      </c>
      <c r="B188">
        <v>985</v>
      </c>
      <c r="C188">
        <v>988</v>
      </c>
      <c r="D188">
        <v>473</v>
      </c>
      <c r="E188">
        <v>468</v>
      </c>
      <c r="F188">
        <v>2.1111111111111098</v>
      </c>
      <c r="G188">
        <v>2.1203623051174798</v>
      </c>
      <c r="H188">
        <v>5.9240382252918798E-2</v>
      </c>
      <c r="I188">
        <v>-0.156163644705725</v>
      </c>
      <c r="J188">
        <v>-0.44</v>
      </c>
      <c r="L188">
        <v>2.1796026873703984</v>
      </c>
      <c r="M188">
        <v>2.0611219228645612</v>
      </c>
      <c r="N188">
        <v>2.2388430696233175</v>
      </c>
      <c r="O188">
        <v>2.0018815406116421</v>
      </c>
    </row>
    <row r="189" spans="1:15">
      <c r="A189" s="19">
        <v>43532</v>
      </c>
      <c r="B189">
        <v>999</v>
      </c>
      <c r="C189">
        <v>991</v>
      </c>
      <c r="D189">
        <v>478</v>
      </c>
      <c r="E189">
        <v>471</v>
      </c>
      <c r="F189">
        <v>2.1040339702759998</v>
      </c>
      <c r="G189">
        <v>2.1208617760169499</v>
      </c>
      <c r="H189">
        <v>5.9318145220209E-2</v>
      </c>
      <c r="I189">
        <v>-0.283687321619357</v>
      </c>
      <c r="J189">
        <v>-0.8</v>
      </c>
      <c r="L189">
        <v>2.1801799212371589</v>
      </c>
      <c r="M189">
        <v>2.061543630796741</v>
      </c>
      <c r="N189">
        <v>2.2394980664573678</v>
      </c>
      <c r="O189">
        <v>2.002225485576532</v>
      </c>
    </row>
    <row r="190" spans="1:15">
      <c r="A190" s="19">
        <v>43531</v>
      </c>
      <c r="B190">
        <v>1019</v>
      </c>
      <c r="C190">
        <v>1023</v>
      </c>
      <c r="D190">
        <v>486</v>
      </c>
      <c r="E190">
        <v>482</v>
      </c>
      <c r="F190">
        <v>2.1224066390041401</v>
      </c>
      <c r="G190">
        <v>2.12162519404768</v>
      </c>
      <c r="H190">
        <v>5.9464920552867097E-2</v>
      </c>
      <c r="I190">
        <v>1.31412763894708E-2</v>
      </c>
      <c r="J190">
        <v>0.04</v>
      </c>
      <c r="L190">
        <v>2.181090114600547</v>
      </c>
      <c r="M190">
        <v>2.062160273494813</v>
      </c>
      <c r="N190">
        <v>2.240555035153414</v>
      </c>
      <c r="O190">
        <v>2.002695352941946</v>
      </c>
    </row>
    <row r="191" spans="1:15">
      <c r="A191" s="19">
        <v>43530</v>
      </c>
      <c r="B191">
        <v>1013</v>
      </c>
      <c r="C191">
        <v>1017</v>
      </c>
      <c r="D191">
        <v>491</v>
      </c>
      <c r="E191">
        <v>487</v>
      </c>
      <c r="F191">
        <v>2.0882956878850099</v>
      </c>
      <c r="G191">
        <v>2.1222319114977801</v>
      </c>
      <c r="H191">
        <v>5.9701464451853599E-2</v>
      </c>
      <c r="I191">
        <v>-0.56843201292219103</v>
      </c>
      <c r="J191">
        <v>-1.63</v>
      </c>
      <c r="L191">
        <v>2.1819333759496335</v>
      </c>
      <c r="M191">
        <v>2.0625304470459267</v>
      </c>
      <c r="N191">
        <v>2.2416348404014874</v>
      </c>
      <c r="O191">
        <v>2.0028289825940728</v>
      </c>
    </row>
    <row r="192" spans="1:15">
      <c r="A192" s="19">
        <v>43529</v>
      </c>
      <c r="B192">
        <v>1006</v>
      </c>
      <c r="C192">
        <v>1014</v>
      </c>
      <c r="D192">
        <v>488</v>
      </c>
      <c r="E192">
        <v>489</v>
      </c>
      <c r="F192">
        <v>2.0736196319018401</v>
      </c>
      <c r="G192">
        <v>2.1230944366543301</v>
      </c>
      <c r="H192">
        <v>5.9672233394672203E-2</v>
      </c>
      <c r="I192">
        <v>-0.829109318320149</v>
      </c>
      <c r="J192">
        <v>-2.39</v>
      </c>
      <c r="L192">
        <v>2.182766670049002</v>
      </c>
      <c r="M192">
        <v>2.0634222032596581</v>
      </c>
      <c r="N192">
        <v>2.2424389034436745</v>
      </c>
      <c r="O192">
        <v>2.0037499698649857</v>
      </c>
    </row>
    <row r="193" spans="1:15">
      <c r="A193" s="19">
        <v>43528</v>
      </c>
      <c r="B193">
        <v>1015</v>
      </c>
      <c r="C193">
        <v>1009</v>
      </c>
      <c r="D193">
        <v>490</v>
      </c>
      <c r="E193">
        <v>496</v>
      </c>
      <c r="F193">
        <v>2.0342741935483799</v>
      </c>
      <c r="G193">
        <v>2.1243855688350402</v>
      </c>
      <c r="H193">
        <v>5.9635375944180898E-2</v>
      </c>
      <c r="I193">
        <v>-1.5110389405610201</v>
      </c>
      <c r="J193">
        <v>-4.43</v>
      </c>
      <c r="L193">
        <v>2.1840209447792209</v>
      </c>
      <c r="M193">
        <v>2.0647501928908594</v>
      </c>
      <c r="N193">
        <v>2.2436563207234022</v>
      </c>
      <c r="O193">
        <v>2.0051148169466781</v>
      </c>
    </row>
    <row r="194" spans="1:15">
      <c r="A194" s="19">
        <v>43525</v>
      </c>
      <c r="B194">
        <v>1004</v>
      </c>
      <c r="C194">
        <v>1005</v>
      </c>
      <c r="D194">
        <v>499</v>
      </c>
      <c r="E194">
        <v>491</v>
      </c>
      <c r="F194">
        <v>2.0468431771894</v>
      </c>
      <c r="G194">
        <v>2.1268857780313</v>
      </c>
      <c r="H194">
        <v>5.9735758901191899E-2</v>
      </c>
      <c r="I194">
        <v>-1.33994448742664</v>
      </c>
      <c r="J194">
        <v>-3.91</v>
      </c>
      <c r="L194">
        <v>2.1866215369324919</v>
      </c>
      <c r="M194">
        <v>2.067150019130108</v>
      </c>
      <c r="N194">
        <v>2.2463572958336839</v>
      </c>
      <c r="O194">
        <v>2.007414260228916</v>
      </c>
    </row>
    <row r="195" spans="1:15">
      <c r="A195" s="19">
        <v>43524</v>
      </c>
      <c r="B195">
        <v>1010</v>
      </c>
      <c r="C195">
        <v>996</v>
      </c>
      <c r="D195">
        <v>498</v>
      </c>
      <c r="E195">
        <v>498</v>
      </c>
      <c r="F195">
        <v>2</v>
      </c>
      <c r="G195">
        <v>2.1298857978046999</v>
      </c>
      <c r="H195">
        <v>6.1270799737222902E-2</v>
      </c>
      <c r="I195">
        <v>-2.11986457434466</v>
      </c>
      <c r="J195">
        <v>-6.49</v>
      </c>
      <c r="L195">
        <v>2.1911565975419229</v>
      </c>
      <c r="M195">
        <v>2.0686149980674768</v>
      </c>
      <c r="N195">
        <v>2.2524273972791455</v>
      </c>
      <c r="O195">
        <v>2.0073441983302542</v>
      </c>
    </row>
    <row r="196" spans="1:15">
      <c r="A196" s="19">
        <v>43523</v>
      </c>
      <c r="B196">
        <v>1006</v>
      </c>
      <c r="C196">
        <v>1014</v>
      </c>
      <c r="D196">
        <v>491</v>
      </c>
      <c r="E196">
        <v>496</v>
      </c>
      <c r="F196">
        <v>2.0443548387096699</v>
      </c>
      <c r="G196">
        <v>2.1336584076238201</v>
      </c>
      <c r="H196">
        <v>6.1865218877948998E-2</v>
      </c>
      <c r="I196">
        <v>-1.44351819219022</v>
      </c>
      <c r="J196">
        <v>-4.37</v>
      </c>
      <c r="L196">
        <v>2.1955236265017692</v>
      </c>
      <c r="M196">
        <v>2.0717931887458709</v>
      </c>
      <c r="N196">
        <v>2.257388845379718</v>
      </c>
      <c r="O196">
        <v>2.0099279698679222</v>
      </c>
    </row>
    <row r="197" spans="1:15">
      <c r="A197" s="19">
        <v>43522</v>
      </c>
      <c r="B197">
        <v>1008</v>
      </c>
      <c r="C197">
        <v>1006</v>
      </c>
      <c r="D197">
        <v>488</v>
      </c>
      <c r="E197">
        <v>486</v>
      </c>
      <c r="F197">
        <v>2.0699588477366202</v>
      </c>
      <c r="G197">
        <v>2.1367291632237499</v>
      </c>
      <c r="H197">
        <v>6.3060545468419493E-2</v>
      </c>
      <c r="I197">
        <v>-1.0588287017048501</v>
      </c>
      <c r="J197">
        <v>-3.23</v>
      </c>
      <c r="L197">
        <v>2.1997897086921694</v>
      </c>
      <c r="M197">
        <v>2.0736686177553305</v>
      </c>
      <c r="N197">
        <v>2.2628502541605888</v>
      </c>
      <c r="O197">
        <v>2.0106080722869111</v>
      </c>
    </row>
    <row r="198" spans="1:15">
      <c r="A198" s="19">
        <v>43521</v>
      </c>
      <c r="B198">
        <v>1033</v>
      </c>
      <c r="C198">
        <v>1038</v>
      </c>
      <c r="D198">
        <v>503</v>
      </c>
      <c r="E198">
        <v>492</v>
      </c>
      <c r="F198">
        <v>2.1097560975609699</v>
      </c>
      <c r="G198">
        <v>2.1398220196128999</v>
      </c>
      <c r="H198">
        <v>6.5356535164470805E-2</v>
      </c>
      <c r="I198">
        <v>-0.46002931422646698</v>
      </c>
      <c r="J198">
        <v>-1.43</v>
      </c>
      <c r="L198">
        <v>2.2051785547773708</v>
      </c>
      <c r="M198">
        <v>2.0744654844484289</v>
      </c>
      <c r="N198">
        <v>2.2705350899418413</v>
      </c>
      <c r="O198">
        <v>2.0091089492839584</v>
      </c>
    </row>
    <row r="199" spans="1:15">
      <c r="A199" s="19">
        <v>43518</v>
      </c>
      <c r="B199">
        <v>1023</v>
      </c>
      <c r="C199">
        <v>1031</v>
      </c>
      <c r="D199">
        <v>503</v>
      </c>
      <c r="E199">
        <v>501</v>
      </c>
      <c r="F199">
        <v>2.0578842315369199</v>
      </c>
      <c r="G199">
        <v>2.14228954787384</v>
      </c>
      <c r="H199">
        <v>6.7628863269818401E-2</v>
      </c>
      <c r="I199">
        <v>-1.2480664653517499</v>
      </c>
      <c r="J199">
        <v>-4.0999999999999996</v>
      </c>
      <c r="L199">
        <v>2.2099184111436583</v>
      </c>
      <c r="M199">
        <v>2.0746606846040216</v>
      </c>
      <c r="N199">
        <v>2.2775472744134766</v>
      </c>
      <c r="O199">
        <v>2.0070318213342033</v>
      </c>
    </row>
    <row r="200" spans="1:15">
      <c r="A200" s="19">
        <v>43517</v>
      </c>
      <c r="B200">
        <v>1030</v>
      </c>
      <c r="C200">
        <v>1023</v>
      </c>
      <c r="D200">
        <v>502</v>
      </c>
      <c r="E200">
        <v>505</v>
      </c>
      <c r="F200">
        <v>2.02574257425742</v>
      </c>
      <c r="G200">
        <v>2.1429339237846801</v>
      </c>
      <c r="H200">
        <v>6.7049324718823106E-2</v>
      </c>
      <c r="I200">
        <v>-1.7478378793329801</v>
      </c>
      <c r="J200">
        <v>-5.79</v>
      </c>
      <c r="L200">
        <v>2.2099832485035034</v>
      </c>
      <c r="M200">
        <v>2.0758845990658568</v>
      </c>
      <c r="N200">
        <v>2.2770325732223262</v>
      </c>
      <c r="O200">
        <v>2.0088352743470339</v>
      </c>
    </row>
    <row r="201" spans="1:15">
      <c r="A201" s="19">
        <v>43516</v>
      </c>
      <c r="B201">
        <v>1035</v>
      </c>
      <c r="C201">
        <v>1041</v>
      </c>
      <c r="D201">
        <v>495</v>
      </c>
      <c r="E201">
        <v>498</v>
      </c>
      <c r="F201">
        <v>2.0903614457831301</v>
      </c>
      <c r="G201">
        <v>2.1439213614505999</v>
      </c>
      <c r="H201">
        <v>6.58507865756007E-2</v>
      </c>
      <c r="I201">
        <v>-0.81335270924944703</v>
      </c>
      <c r="J201">
        <v>-2.56</v>
      </c>
      <c r="L201">
        <v>2.2097721480262007</v>
      </c>
      <c r="M201">
        <v>2.078070574874999</v>
      </c>
      <c r="N201">
        <v>2.2756229346018011</v>
      </c>
      <c r="O201">
        <v>2.0122197882993986</v>
      </c>
    </row>
    <row r="202" spans="1:15">
      <c r="A202" s="19">
        <v>43515</v>
      </c>
      <c r="B202">
        <v>1030</v>
      </c>
      <c r="C202">
        <v>1031</v>
      </c>
      <c r="D202">
        <v>503</v>
      </c>
      <c r="E202">
        <v>497</v>
      </c>
      <c r="F202">
        <v>2.0744466800804799</v>
      </c>
      <c r="G202">
        <v>2.1443294453993</v>
      </c>
      <c r="H202">
        <v>6.5612008158186796E-2</v>
      </c>
      <c r="I202">
        <v>-1.06509109049574</v>
      </c>
      <c r="J202">
        <v>-3.37</v>
      </c>
      <c r="L202">
        <v>2.2099414535574868</v>
      </c>
      <c r="M202">
        <v>2.0787174372411132</v>
      </c>
      <c r="N202">
        <v>2.2755534617156736</v>
      </c>
      <c r="O202">
        <v>2.0131054290829264</v>
      </c>
    </row>
    <row r="203" spans="1:15">
      <c r="A203" s="19">
        <v>43514</v>
      </c>
      <c r="B203">
        <v>1033</v>
      </c>
      <c r="C203">
        <v>1030</v>
      </c>
      <c r="D203">
        <v>509</v>
      </c>
      <c r="E203">
        <v>500</v>
      </c>
      <c r="F203">
        <v>2.06</v>
      </c>
      <c r="G203">
        <v>2.1448507672213299</v>
      </c>
      <c r="H203">
        <v>6.5208774334271302E-2</v>
      </c>
      <c r="I203">
        <v>-1.30121702313215</v>
      </c>
      <c r="J203">
        <v>-4.12</v>
      </c>
      <c r="L203">
        <v>2.2100595415556015</v>
      </c>
      <c r="M203">
        <v>2.0796419928870584</v>
      </c>
      <c r="N203">
        <v>2.2752683158898726</v>
      </c>
      <c r="O203">
        <v>2.0144332185527873</v>
      </c>
    </row>
    <row r="204" spans="1:15">
      <c r="A204" s="19">
        <v>43511</v>
      </c>
      <c r="B204">
        <v>1017</v>
      </c>
      <c r="C204">
        <v>1021</v>
      </c>
      <c r="D204">
        <v>505</v>
      </c>
      <c r="E204">
        <v>500</v>
      </c>
      <c r="F204">
        <v>2.0419999999999998</v>
      </c>
      <c r="G204">
        <v>2.1455921930402102</v>
      </c>
      <c r="H204">
        <v>6.4552628584443897E-2</v>
      </c>
      <c r="I204">
        <v>-1.6047711040102099</v>
      </c>
      <c r="J204">
        <v>-5.07</v>
      </c>
      <c r="L204">
        <v>2.2101448216246542</v>
      </c>
      <c r="M204">
        <v>2.0810395644557662</v>
      </c>
      <c r="N204">
        <v>2.2746974502090982</v>
      </c>
      <c r="O204">
        <v>2.0164869358713222</v>
      </c>
    </row>
    <row r="205" spans="1:15">
      <c r="A205" s="19">
        <v>43510</v>
      </c>
      <c r="B205">
        <v>1004</v>
      </c>
      <c r="C205">
        <v>1017</v>
      </c>
      <c r="D205">
        <v>505</v>
      </c>
      <c r="E205">
        <v>511</v>
      </c>
      <c r="F205">
        <v>1.9902152641878601</v>
      </c>
      <c r="G205">
        <v>2.1462490215191798</v>
      </c>
      <c r="H205">
        <v>6.3740745227400697E-2</v>
      </c>
      <c r="I205">
        <v>-2.44794372539342</v>
      </c>
      <c r="J205">
        <v>-7.84</v>
      </c>
      <c r="L205">
        <v>2.2099897667465807</v>
      </c>
      <c r="M205">
        <v>2.082508276291779</v>
      </c>
      <c r="N205">
        <v>2.273730511973981</v>
      </c>
      <c r="O205">
        <v>2.0187675310643787</v>
      </c>
    </row>
    <row r="206" spans="1:15">
      <c r="A206" s="19">
        <v>43509</v>
      </c>
      <c r="B206">
        <v>1009</v>
      </c>
      <c r="C206">
        <v>1004</v>
      </c>
      <c r="D206">
        <v>494</v>
      </c>
      <c r="E206">
        <v>500</v>
      </c>
      <c r="F206">
        <v>2.008</v>
      </c>
      <c r="G206">
        <v>2.1478581334842501</v>
      </c>
      <c r="H206">
        <v>6.1256304881906497E-2</v>
      </c>
      <c r="I206">
        <v>-2.2831630760927699</v>
      </c>
      <c r="J206">
        <v>-6.97</v>
      </c>
      <c r="L206">
        <v>2.2091144383661567</v>
      </c>
      <c r="M206">
        <v>2.0866018286023436</v>
      </c>
      <c r="N206">
        <v>2.2703707432480633</v>
      </c>
      <c r="O206">
        <v>2.025345523720437</v>
      </c>
    </row>
    <row r="207" spans="1:15">
      <c r="A207" s="19">
        <v>43508</v>
      </c>
      <c r="B207">
        <v>993</v>
      </c>
      <c r="C207">
        <v>994</v>
      </c>
      <c r="D207">
        <v>474</v>
      </c>
      <c r="E207">
        <v>492</v>
      </c>
      <c r="F207">
        <v>2.02032520325203</v>
      </c>
      <c r="G207">
        <v>2.1493575853644198</v>
      </c>
      <c r="H207">
        <v>5.9154815061789497E-2</v>
      </c>
      <c r="I207">
        <v>-2.18126592024025</v>
      </c>
      <c r="J207">
        <v>-6.39</v>
      </c>
      <c r="L207">
        <v>2.2085124004262093</v>
      </c>
      <c r="M207">
        <v>2.0902027703026302</v>
      </c>
      <c r="N207">
        <v>2.2676672154879989</v>
      </c>
      <c r="O207">
        <v>2.0310479552408407</v>
      </c>
    </row>
    <row r="208" spans="1:15">
      <c r="A208" s="19">
        <v>43504</v>
      </c>
      <c r="B208">
        <v>989</v>
      </c>
      <c r="C208">
        <v>991</v>
      </c>
      <c r="D208">
        <v>470</v>
      </c>
      <c r="E208">
        <v>473</v>
      </c>
      <c r="F208">
        <v>2.0951374207188098</v>
      </c>
      <c r="G208">
        <v>2.1506133002116501</v>
      </c>
      <c r="H208">
        <v>5.73752651632208E-2</v>
      </c>
      <c r="I208">
        <v>-0.966895391856056</v>
      </c>
      <c r="J208">
        <v>-2.65</v>
      </c>
      <c r="L208">
        <v>2.2079885653748708</v>
      </c>
      <c r="M208">
        <v>2.0932380350484294</v>
      </c>
      <c r="N208">
        <v>2.2653638305380919</v>
      </c>
      <c r="O208">
        <v>2.0358627698852083</v>
      </c>
    </row>
    <row r="209" spans="1:15">
      <c r="A209" s="19">
        <v>43503</v>
      </c>
      <c r="B209">
        <v>1010</v>
      </c>
      <c r="C209">
        <v>994</v>
      </c>
      <c r="D209">
        <v>473</v>
      </c>
      <c r="E209">
        <v>473</v>
      </c>
      <c r="F209">
        <v>2.1014799154334001</v>
      </c>
      <c r="G209">
        <v>2.1512715835423299</v>
      </c>
      <c r="H209">
        <v>5.7017105266010497E-2</v>
      </c>
      <c r="I209">
        <v>-0.87327597352820696</v>
      </c>
      <c r="J209">
        <v>-2.37</v>
      </c>
      <c r="L209">
        <v>2.2082886888083406</v>
      </c>
      <c r="M209">
        <v>2.0942544782763193</v>
      </c>
      <c r="N209">
        <v>2.2653057940743508</v>
      </c>
      <c r="O209">
        <v>2.037237373010309</v>
      </c>
    </row>
    <row r="210" spans="1:15">
      <c r="A210" s="19">
        <v>43502</v>
      </c>
      <c r="B210">
        <v>1020</v>
      </c>
      <c r="C210">
        <v>1025</v>
      </c>
      <c r="D210">
        <v>487</v>
      </c>
      <c r="E210">
        <v>479</v>
      </c>
      <c r="F210">
        <v>2.13987473903966</v>
      </c>
      <c r="G210">
        <v>2.1513711768877899</v>
      </c>
      <c r="H210">
        <v>5.6936512442016599E-2</v>
      </c>
      <c r="I210">
        <v>-0.20191679038708499</v>
      </c>
      <c r="J210">
        <v>-0.54</v>
      </c>
      <c r="L210">
        <v>2.2083076893298066</v>
      </c>
      <c r="M210">
        <v>2.0944346644457732</v>
      </c>
      <c r="N210">
        <v>2.2652442017718233</v>
      </c>
      <c r="O210">
        <v>2.0374981520037565</v>
      </c>
    </row>
    <row r="211" spans="1:15">
      <c r="A211" s="19">
        <v>43501</v>
      </c>
      <c r="B211">
        <v>1021</v>
      </c>
      <c r="C211">
        <v>1019</v>
      </c>
      <c r="D211">
        <v>480</v>
      </c>
      <c r="E211">
        <v>484</v>
      </c>
      <c r="F211">
        <v>2.10537190082644</v>
      </c>
      <c r="G211">
        <v>2.15099930413936</v>
      </c>
      <c r="H211">
        <v>5.7101228394623602E-2</v>
      </c>
      <c r="I211">
        <v>-0.79906167688006602</v>
      </c>
      <c r="J211">
        <v>-2.17</v>
      </c>
      <c r="L211">
        <v>2.2081005325339835</v>
      </c>
      <c r="M211">
        <v>2.0938980757447365</v>
      </c>
      <c r="N211">
        <v>2.265201760928607</v>
      </c>
      <c r="O211">
        <v>2.036796847350113</v>
      </c>
    </row>
    <row r="212" spans="1:15">
      <c r="A212" s="19">
        <v>43500</v>
      </c>
      <c r="B212">
        <v>1010</v>
      </c>
      <c r="C212">
        <v>1027</v>
      </c>
      <c r="D212">
        <v>484</v>
      </c>
      <c r="E212">
        <v>484</v>
      </c>
      <c r="F212">
        <v>2.12190082644628</v>
      </c>
      <c r="G212">
        <v>2.1516255954616801</v>
      </c>
      <c r="H212">
        <v>5.6854410658943602E-2</v>
      </c>
      <c r="I212">
        <v>-0.522822568572756</v>
      </c>
      <c r="J212">
        <v>-1.4</v>
      </c>
      <c r="L212">
        <v>2.2084800061206238</v>
      </c>
      <c r="M212">
        <v>2.0947711848027364</v>
      </c>
      <c r="N212">
        <v>2.2653344167795675</v>
      </c>
      <c r="O212">
        <v>2.0379167741437927</v>
      </c>
    </row>
    <row r="213" spans="1:15">
      <c r="A213" s="19">
        <v>43497</v>
      </c>
      <c r="B213">
        <v>1011</v>
      </c>
      <c r="C213">
        <v>998</v>
      </c>
      <c r="D213">
        <v>484</v>
      </c>
      <c r="E213">
        <v>480</v>
      </c>
      <c r="F213">
        <v>2.0791666666666599</v>
      </c>
      <c r="G213">
        <v>2.1521574960733201</v>
      </c>
      <c r="H213">
        <v>5.6760362199554999E-2</v>
      </c>
      <c r="I213">
        <v>-1.2859472099568601</v>
      </c>
      <c r="J213">
        <v>-3.51</v>
      </c>
      <c r="L213">
        <v>2.208917858272875</v>
      </c>
      <c r="M213">
        <v>2.0953971338737651</v>
      </c>
      <c r="N213">
        <v>2.2656782204724299</v>
      </c>
      <c r="O213">
        <v>2.0386367716742102</v>
      </c>
    </row>
    <row r="214" spans="1:15">
      <c r="A214" s="19">
        <v>43496</v>
      </c>
      <c r="B214">
        <v>1037</v>
      </c>
      <c r="C214">
        <v>1022</v>
      </c>
      <c r="D214">
        <v>488</v>
      </c>
      <c r="E214">
        <v>479</v>
      </c>
      <c r="F214">
        <v>2.1336116910229599</v>
      </c>
      <c r="G214">
        <v>2.1530353994003799</v>
      </c>
      <c r="H214">
        <v>5.6130328590574499E-2</v>
      </c>
      <c r="I214">
        <v>-0.34604658239393499</v>
      </c>
      <c r="J214">
        <v>-0.91</v>
      </c>
      <c r="L214">
        <v>2.2091657279909542</v>
      </c>
      <c r="M214">
        <v>2.0969050708098056</v>
      </c>
      <c r="N214">
        <v>2.265296056581529</v>
      </c>
      <c r="O214">
        <v>2.0407747422192308</v>
      </c>
    </row>
    <row r="215" spans="1:15">
      <c r="A215" s="19">
        <v>43495</v>
      </c>
      <c r="B215">
        <v>1036</v>
      </c>
      <c r="C215">
        <v>1030</v>
      </c>
      <c r="D215">
        <v>493</v>
      </c>
      <c r="E215">
        <v>489</v>
      </c>
      <c r="F215">
        <v>2.1063394683026502</v>
      </c>
      <c r="G215">
        <v>2.1535011011979699</v>
      </c>
      <c r="H215">
        <v>5.611213291284E-2</v>
      </c>
      <c r="I215">
        <v>-0.84048904304842298</v>
      </c>
      <c r="J215">
        <v>-2.2400000000000002</v>
      </c>
      <c r="L215">
        <v>2.2096132341108099</v>
      </c>
      <c r="M215">
        <v>2.0973889682851299</v>
      </c>
      <c r="N215">
        <v>2.2657253670236499</v>
      </c>
      <c r="O215">
        <v>2.0412768353722899</v>
      </c>
    </row>
    <row r="216" spans="1:15">
      <c r="A216" s="19">
        <v>43494</v>
      </c>
      <c r="B216">
        <v>1014</v>
      </c>
      <c r="C216">
        <v>1027</v>
      </c>
      <c r="D216">
        <v>482</v>
      </c>
      <c r="E216">
        <v>488</v>
      </c>
      <c r="F216">
        <v>2.10450819672131</v>
      </c>
      <c r="G216">
        <v>2.1544536119909701</v>
      </c>
      <c r="H216">
        <v>5.5909444777510899E-2</v>
      </c>
      <c r="I216">
        <v>-0.89332697665704097</v>
      </c>
      <c r="J216">
        <v>-2.37</v>
      </c>
      <c r="L216">
        <v>2.2103630567684811</v>
      </c>
      <c r="M216">
        <v>2.098544167213459</v>
      </c>
      <c r="N216">
        <v>2.2662725015459917</v>
      </c>
      <c r="O216">
        <v>2.0426347224359485</v>
      </c>
    </row>
    <row r="217" spans="1:15">
      <c r="A217" s="19">
        <v>43493</v>
      </c>
      <c r="B217">
        <v>1028</v>
      </c>
      <c r="C217">
        <v>1020</v>
      </c>
      <c r="D217">
        <v>480</v>
      </c>
      <c r="E217">
        <v>479</v>
      </c>
      <c r="F217">
        <v>2.1294363256784901</v>
      </c>
      <c r="G217">
        <v>2.1553150713288098</v>
      </c>
      <c r="H217">
        <v>5.5630301353779298E-2</v>
      </c>
      <c r="I217">
        <v>-0.46519154166972099</v>
      </c>
      <c r="J217">
        <v>-1.22</v>
      </c>
      <c r="L217">
        <v>2.2109453726825889</v>
      </c>
      <c r="M217">
        <v>2.0996847699750307</v>
      </c>
      <c r="N217">
        <v>2.2665756740363685</v>
      </c>
      <c r="O217">
        <v>2.0440544686212512</v>
      </c>
    </row>
    <row r="218" spans="1:15">
      <c r="A218" s="19">
        <v>43490</v>
      </c>
      <c r="B218">
        <v>1042</v>
      </c>
      <c r="C218">
        <v>1034</v>
      </c>
      <c r="D218">
        <v>478</v>
      </c>
      <c r="E218">
        <v>478</v>
      </c>
      <c r="F218">
        <v>2.1631799163179899</v>
      </c>
      <c r="G218">
        <v>2.1556518687543802</v>
      </c>
      <c r="H218">
        <v>5.5549011191223699E-2</v>
      </c>
      <c r="I218">
        <v>0.135520820302061</v>
      </c>
      <c r="J218">
        <v>0.35</v>
      </c>
      <c r="L218">
        <v>2.2112008799456038</v>
      </c>
      <c r="M218">
        <v>2.1001028575631566</v>
      </c>
      <c r="N218">
        <v>2.2667498911368278</v>
      </c>
      <c r="O218">
        <v>2.0445538463719326</v>
      </c>
    </row>
    <row r="219" spans="1:15">
      <c r="A219" s="19">
        <v>43489</v>
      </c>
      <c r="B219">
        <v>1049</v>
      </c>
      <c r="C219">
        <v>1049</v>
      </c>
      <c r="D219">
        <v>479</v>
      </c>
      <c r="E219">
        <v>478</v>
      </c>
      <c r="F219">
        <v>2.19456066945606</v>
      </c>
      <c r="G219">
        <v>2.155702436231</v>
      </c>
      <c r="H219">
        <v>5.5557566687339098E-2</v>
      </c>
      <c r="I219">
        <v>0.69942287868265196</v>
      </c>
      <c r="J219">
        <v>1.77</v>
      </c>
      <c r="L219">
        <v>2.2112600029183391</v>
      </c>
      <c r="M219">
        <v>2.1001448695436609</v>
      </c>
      <c r="N219">
        <v>2.2668175696056783</v>
      </c>
      <c r="O219">
        <v>2.0445873028563217</v>
      </c>
    </row>
    <row r="220" spans="1:15">
      <c r="A220" s="19">
        <v>43488</v>
      </c>
      <c r="B220">
        <v>1039</v>
      </c>
      <c r="C220">
        <v>1049</v>
      </c>
      <c r="D220">
        <v>478</v>
      </c>
      <c r="E220">
        <v>475</v>
      </c>
      <c r="F220">
        <v>2.2084210526315702</v>
      </c>
      <c r="G220">
        <v>2.1551277586917799</v>
      </c>
      <c r="H220">
        <v>5.5375266363277303E-2</v>
      </c>
      <c r="I220">
        <v>0.96240248471537604</v>
      </c>
      <c r="J220">
        <v>2.41</v>
      </c>
      <c r="L220">
        <v>2.2105030250550572</v>
      </c>
      <c r="M220">
        <v>2.0997524923285025</v>
      </c>
      <c r="N220">
        <v>2.2658782914183346</v>
      </c>
      <c r="O220">
        <v>2.0443772259652251</v>
      </c>
    </row>
    <row r="221" spans="1:15">
      <c r="A221" s="19">
        <v>43487</v>
      </c>
      <c r="B221">
        <v>1070</v>
      </c>
      <c r="C221">
        <v>1053</v>
      </c>
      <c r="D221">
        <v>483</v>
      </c>
      <c r="E221">
        <v>480</v>
      </c>
      <c r="F221">
        <v>2.1937500000000001</v>
      </c>
      <c r="G221">
        <v>2.1542222906420898</v>
      </c>
      <c r="H221">
        <v>5.5050703281066697E-2</v>
      </c>
      <c r="I221">
        <v>0.71802369455824699</v>
      </c>
      <c r="J221">
        <v>1.8</v>
      </c>
      <c r="L221">
        <v>2.2092729939231566</v>
      </c>
      <c r="M221">
        <v>2.0991715873610231</v>
      </c>
      <c r="N221">
        <v>2.2643236972042233</v>
      </c>
      <c r="O221">
        <v>2.0441208840799563</v>
      </c>
    </row>
    <row r="222" spans="1:15">
      <c r="A222" s="19">
        <v>43486</v>
      </c>
      <c r="B222">
        <v>1068</v>
      </c>
      <c r="C222">
        <v>1065</v>
      </c>
      <c r="D222">
        <v>488</v>
      </c>
      <c r="E222">
        <v>481</v>
      </c>
      <c r="F222">
        <v>2.2141372141372102</v>
      </c>
      <c r="G222">
        <v>2.1530424660806902</v>
      </c>
      <c r="H222">
        <v>5.5139054858677303E-2</v>
      </c>
      <c r="I222">
        <v>1.10801224672976</v>
      </c>
      <c r="J222">
        <v>2.76</v>
      </c>
      <c r="L222">
        <v>2.2081815209393674</v>
      </c>
      <c r="M222">
        <v>2.097903411222013</v>
      </c>
      <c r="N222">
        <v>2.2633205757980446</v>
      </c>
      <c r="O222">
        <v>2.0427643563633358</v>
      </c>
    </row>
    <row r="223" spans="1:15">
      <c r="A223" s="19">
        <v>43483</v>
      </c>
      <c r="B223">
        <v>1050</v>
      </c>
      <c r="C223">
        <v>1063</v>
      </c>
      <c r="D223">
        <v>484</v>
      </c>
      <c r="E223">
        <v>481</v>
      </c>
      <c r="F223">
        <v>2.2099792099792102</v>
      </c>
      <c r="G223">
        <v>2.1516873032255299</v>
      </c>
      <c r="H223">
        <v>5.4869182746070999E-2</v>
      </c>
      <c r="I223">
        <v>1.0623797154670001</v>
      </c>
      <c r="J223">
        <v>2.64</v>
      </c>
      <c r="L223">
        <v>2.2065564859716007</v>
      </c>
      <c r="M223">
        <v>2.0968181204794591</v>
      </c>
      <c r="N223">
        <v>2.2614256687176719</v>
      </c>
      <c r="O223">
        <v>2.0419489377333879</v>
      </c>
    </row>
    <row r="224" spans="1:15">
      <c r="A224" s="19">
        <v>43482</v>
      </c>
      <c r="B224">
        <v>1040</v>
      </c>
      <c r="C224">
        <v>1039</v>
      </c>
      <c r="D224">
        <v>474</v>
      </c>
      <c r="E224">
        <v>482</v>
      </c>
      <c r="F224">
        <v>2.1556016597510301</v>
      </c>
      <c r="G224">
        <v>2.1504534167247402</v>
      </c>
      <c r="H224">
        <v>5.4584239830650402E-2</v>
      </c>
      <c r="I224">
        <v>9.4317389822928602E-2</v>
      </c>
      <c r="J224">
        <v>0.24</v>
      </c>
      <c r="L224">
        <v>2.2050376565553904</v>
      </c>
      <c r="M224">
        <v>2.09586917689409</v>
      </c>
      <c r="N224">
        <v>2.2596218963860411</v>
      </c>
      <c r="O224">
        <v>2.0412849370634394</v>
      </c>
    </row>
    <row r="225" spans="1:15">
      <c r="A225" s="19">
        <v>43481</v>
      </c>
      <c r="B225">
        <v>1059</v>
      </c>
      <c r="C225">
        <v>1035</v>
      </c>
      <c r="D225">
        <v>483</v>
      </c>
      <c r="E225">
        <v>475</v>
      </c>
      <c r="F225">
        <v>2.1789473684210501</v>
      </c>
      <c r="G225">
        <v>2.1495756160190198</v>
      </c>
      <c r="H225">
        <v>5.5022000118220102E-2</v>
      </c>
      <c r="I225">
        <v>0.53381833337428497</v>
      </c>
      <c r="J225">
        <v>1.35</v>
      </c>
      <c r="L225">
        <v>2.20459761613724</v>
      </c>
      <c r="M225">
        <v>2.0945536159007996</v>
      </c>
      <c r="N225">
        <v>2.2596196162554598</v>
      </c>
      <c r="O225">
        <v>2.0395316157825798</v>
      </c>
    </row>
    <row r="226" spans="1:15">
      <c r="A226" s="19">
        <v>43480</v>
      </c>
      <c r="B226">
        <v>1034</v>
      </c>
      <c r="C226">
        <v>1057</v>
      </c>
      <c r="D226">
        <v>475</v>
      </c>
      <c r="E226">
        <v>479</v>
      </c>
      <c r="F226">
        <v>2.2066805845511399</v>
      </c>
      <c r="G226">
        <v>2.1478876053786999</v>
      </c>
      <c r="H226">
        <v>5.6027805151246099E-2</v>
      </c>
      <c r="I226">
        <v>1.04935360244315</v>
      </c>
      <c r="J226">
        <v>2.66</v>
      </c>
      <c r="L226">
        <v>2.2039154105299459</v>
      </c>
      <c r="M226">
        <v>2.091859800227454</v>
      </c>
      <c r="N226">
        <v>2.2599432156811923</v>
      </c>
      <c r="O226">
        <v>2.0358319950762076</v>
      </c>
    </row>
    <row r="227" spans="1:15">
      <c r="A227" s="19">
        <v>43476</v>
      </c>
      <c r="B227">
        <v>1064</v>
      </c>
      <c r="C227">
        <v>1056</v>
      </c>
      <c r="D227">
        <v>483</v>
      </c>
      <c r="E227">
        <v>479</v>
      </c>
      <c r="F227">
        <v>2.2045929018789101</v>
      </c>
      <c r="G227">
        <v>2.14585650193251</v>
      </c>
      <c r="H227">
        <v>5.6617699655878199E-2</v>
      </c>
      <c r="I227">
        <v>1.0374211651726799</v>
      </c>
      <c r="J227">
        <v>2.66</v>
      </c>
      <c r="L227">
        <v>2.2024742015883882</v>
      </c>
      <c r="M227">
        <v>2.0892388022766317</v>
      </c>
      <c r="N227">
        <v>2.2590919012442665</v>
      </c>
      <c r="O227">
        <v>2.0326211026207535</v>
      </c>
    </row>
    <row r="228" spans="1:15">
      <c r="A228" s="19">
        <v>43475</v>
      </c>
      <c r="B228">
        <v>1041</v>
      </c>
      <c r="C228">
        <v>1047</v>
      </c>
      <c r="D228">
        <v>486</v>
      </c>
      <c r="E228">
        <v>483</v>
      </c>
      <c r="F228">
        <v>2.1677018633540301</v>
      </c>
      <c r="G228">
        <v>2.1439786269323502</v>
      </c>
      <c r="H228">
        <v>5.6972970384263799E-2</v>
      </c>
      <c r="I228">
        <v>0.41639458609361701</v>
      </c>
      <c r="J228">
        <v>1.0900000000000001</v>
      </c>
      <c r="L228">
        <v>2.2009515973166138</v>
      </c>
      <c r="M228">
        <v>2.0870056565480866</v>
      </c>
      <c r="N228">
        <v>2.2579245677008779</v>
      </c>
      <c r="O228">
        <v>2.0300326861638225</v>
      </c>
    </row>
    <row r="229" spans="1:15">
      <c r="A229" s="19">
        <v>43474</v>
      </c>
      <c r="B229">
        <v>1059</v>
      </c>
      <c r="C229">
        <v>1055</v>
      </c>
      <c r="D229">
        <v>495</v>
      </c>
      <c r="E229">
        <v>494</v>
      </c>
      <c r="F229">
        <v>2.1356275303643701</v>
      </c>
      <c r="G229">
        <v>2.1425123103433701</v>
      </c>
      <c r="H229">
        <v>5.7753389902947601E-2</v>
      </c>
      <c r="I229">
        <v>-0.11920997175362701</v>
      </c>
      <c r="J229">
        <v>-0.32</v>
      </c>
      <c r="L229">
        <v>2.2002657002463177</v>
      </c>
      <c r="M229">
        <v>2.0847589204404224</v>
      </c>
      <c r="N229">
        <v>2.2580190901492654</v>
      </c>
      <c r="O229">
        <v>2.0270055305374748</v>
      </c>
    </row>
    <row r="230" spans="1:15">
      <c r="A230" s="19">
        <v>43473</v>
      </c>
      <c r="B230">
        <v>1063</v>
      </c>
      <c r="C230">
        <v>1057</v>
      </c>
      <c r="D230">
        <v>492</v>
      </c>
      <c r="E230">
        <v>488</v>
      </c>
      <c r="F230">
        <v>2.1659836065573699</v>
      </c>
      <c r="G230">
        <v>2.14117569994472</v>
      </c>
      <c r="H230">
        <v>5.9042879391019501E-2</v>
      </c>
      <c r="I230">
        <v>0.42016762848497302</v>
      </c>
      <c r="J230">
        <v>1.1499999999999999</v>
      </c>
      <c r="L230">
        <v>2.2002185793357394</v>
      </c>
      <c r="M230">
        <v>2.0821328205537006</v>
      </c>
      <c r="N230">
        <v>2.2592614587267592</v>
      </c>
      <c r="O230">
        <v>2.0230899411626808</v>
      </c>
    </row>
    <row r="231" spans="1:15">
      <c r="A231" s="19">
        <v>43472</v>
      </c>
      <c r="B231">
        <v>1069</v>
      </c>
      <c r="C231">
        <v>1056</v>
      </c>
      <c r="D231">
        <v>495</v>
      </c>
      <c r="E231">
        <v>494</v>
      </c>
      <c r="F231">
        <v>2.1376518218623399</v>
      </c>
      <c r="G231">
        <v>2.1393635876968902</v>
      </c>
      <c r="H231">
        <v>6.03253656686627E-2</v>
      </c>
      <c r="I231">
        <v>-2.8375556709411501E-2</v>
      </c>
      <c r="J231">
        <v>-0.08</v>
      </c>
      <c r="L231">
        <v>2.1996889533655528</v>
      </c>
      <c r="M231">
        <v>2.0790382220282275</v>
      </c>
      <c r="N231">
        <v>2.2600143190342155</v>
      </c>
      <c r="O231">
        <v>2.0187128563595649</v>
      </c>
    </row>
    <row r="232" spans="1:15">
      <c r="A232" s="19">
        <v>43469</v>
      </c>
      <c r="B232">
        <v>1038</v>
      </c>
      <c r="C232">
        <v>1046</v>
      </c>
      <c r="D232">
        <v>469</v>
      </c>
      <c r="E232">
        <v>483</v>
      </c>
      <c r="F232">
        <v>2.16563146997929</v>
      </c>
      <c r="G232">
        <v>2.1377298683833401</v>
      </c>
      <c r="H232">
        <v>6.1985899233061303E-2</v>
      </c>
      <c r="I232">
        <v>0.45012820562698402</v>
      </c>
      <c r="J232">
        <v>1.29</v>
      </c>
      <c r="L232">
        <v>2.1997157676164014</v>
      </c>
      <c r="M232">
        <v>2.0757439691502788</v>
      </c>
      <c r="N232">
        <v>2.2617016668494627</v>
      </c>
      <c r="O232">
        <v>2.0137580699172175</v>
      </c>
    </row>
    <row r="233" spans="1:15">
      <c r="A233" s="19">
        <v>43462</v>
      </c>
      <c r="B233">
        <v>1055</v>
      </c>
      <c r="C233">
        <v>1067</v>
      </c>
      <c r="D233">
        <v>467</v>
      </c>
      <c r="E233">
        <v>469</v>
      </c>
      <c r="F233">
        <v>2.2750533049040502</v>
      </c>
      <c r="G233">
        <v>2.1361842913585001</v>
      </c>
      <c r="H233">
        <v>6.2711843953940097E-2</v>
      </c>
      <c r="I233">
        <v>2.21439850576771</v>
      </c>
      <c r="J233">
        <v>6.1</v>
      </c>
      <c r="L233">
        <v>2.1988961353124403</v>
      </c>
      <c r="M233">
        <v>2.0734724474045598</v>
      </c>
      <c r="N233">
        <v>2.2616079792663801</v>
      </c>
      <c r="O233">
        <v>2.01076060345062</v>
      </c>
    </row>
    <row r="234" spans="1:15">
      <c r="A234" s="19">
        <v>43461</v>
      </c>
      <c r="B234">
        <v>1033</v>
      </c>
      <c r="C234">
        <v>1058</v>
      </c>
      <c r="D234">
        <v>460</v>
      </c>
      <c r="E234">
        <v>468</v>
      </c>
      <c r="F234">
        <v>2.2606837606837602</v>
      </c>
      <c r="G234">
        <v>2.13340920204136</v>
      </c>
      <c r="H234">
        <v>6.1089364649659202E-2</v>
      </c>
      <c r="I234">
        <v>2.0834159820174598</v>
      </c>
      <c r="J234">
        <v>5.63</v>
      </c>
      <c r="L234">
        <v>2.1944985666910193</v>
      </c>
      <c r="M234">
        <v>2.0723198373917007</v>
      </c>
      <c r="N234">
        <v>2.2555879313406786</v>
      </c>
      <c r="O234">
        <v>2.0112304727420414</v>
      </c>
    </row>
    <row r="235" spans="1:15">
      <c r="A235" s="19">
        <v>43460</v>
      </c>
      <c r="B235">
        <v>991</v>
      </c>
      <c r="C235">
        <v>998</v>
      </c>
      <c r="D235">
        <v>444</v>
      </c>
      <c r="E235">
        <v>451</v>
      </c>
      <c r="F235">
        <v>2.2128603104212798</v>
      </c>
      <c r="G235">
        <v>2.1309003396851698</v>
      </c>
      <c r="H235">
        <v>5.9657913632582098E-2</v>
      </c>
      <c r="I235">
        <v>1.37383233414562</v>
      </c>
      <c r="J235">
        <v>3.7</v>
      </c>
      <c r="L235">
        <v>2.1905582533177519</v>
      </c>
      <c r="M235">
        <v>2.0712424260525877</v>
      </c>
      <c r="N235">
        <v>2.250216166950334</v>
      </c>
      <c r="O235">
        <v>2.0115845124200056</v>
      </c>
    </row>
    <row r="236" spans="1:15">
      <c r="A236" s="19">
        <v>43459</v>
      </c>
      <c r="B236">
        <v>1000</v>
      </c>
      <c r="C236">
        <v>985</v>
      </c>
      <c r="D236">
        <v>457</v>
      </c>
      <c r="E236">
        <v>447</v>
      </c>
      <c r="F236">
        <v>2.2035794183445101</v>
      </c>
      <c r="G236">
        <v>2.1287007718169799</v>
      </c>
      <c r="H236">
        <v>5.9636674408262598E-2</v>
      </c>
      <c r="I236">
        <v>1.25558051770177</v>
      </c>
      <c r="J236">
        <v>3.4</v>
      </c>
      <c r="L236">
        <v>2.1883374462252427</v>
      </c>
      <c r="M236">
        <v>2.0690640974087171</v>
      </c>
      <c r="N236">
        <v>2.2479741206335051</v>
      </c>
      <c r="O236">
        <v>2.0094274230004547</v>
      </c>
    </row>
    <row r="237" spans="1:15">
      <c r="A237" s="19">
        <v>43455</v>
      </c>
      <c r="B237">
        <v>1032</v>
      </c>
      <c r="C237">
        <v>1023</v>
      </c>
      <c r="D237">
        <v>474</v>
      </c>
      <c r="E237">
        <v>464</v>
      </c>
      <c r="F237">
        <v>2.2047413793103399</v>
      </c>
      <c r="G237">
        <v>2.1266720938581001</v>
      </c>
      <c r="H237">
        <v>5.9642880129795899E-2</v>
      </c>
      <c r="I237">
        <v>1.3089455989105101</v>
      </c>
      <c r="J237">
        <v>3.54</v>
      </c>
      <c r="L237">
        <v>2.186314973987896</v>
      </c>
      <c r="M237">
        <v>2.0670292137283042</v>
      </c>
      <c r="N237">
        <v>2.2459578541176919</v>
      </c>
      <c r="O237">
        <v>2.0073863335985083</v>
      </c>
    </row>
    <row r="238" spans="1:15">
      <c r="A238" s="19">
        <v>43454</v>
      </c>
      <c r="B238">
        <v>1054</v>
      </c>
      <c r="C238">
        <v>1031</v>
      </c>
      <c r="D238">
        <v>484</v>
      </c>
      <c r="E238">
        <v>474</v>
      </c>
      <c r="F238">
        <v>2.1751054852320602</v>
      </c>
      <c r="G238">
        <v>2.12472208301446</v>
      </c>
      <c r="H238">
        <v>5.9449048548193703E-2</v>
      </c>
      <c r="I238">
        <v>0.84750561107394295</v>
      </c>
      <c r="J238">
        <v>2.3199999999999998</v>
      </c>
      <c r="L238">
        <v>2.1841711315626537</v>
      </c>
      <c r="M238">
        <v>2.0652730344662662</v>
      </c>
      <c r="N238">
        <v>2.2436201801108475</v>
      </c>
      <c r="O238">
        <v>2.0058239859180724</v>
      </c>
    </row>
    <row r="239" spans="1:15">
      <c r="A239" s="19">
        <v>43453</v>
      </c>
      <c r="B239">
        <v>1080</v>
      </c>
      <c r="C239">
        <v>1064</v>
      </c>
      <c r="D239">
        <v>499</v>
      </c>
      <c r="E239">
        <v>491</v>
      </c>
      <c r="F239">
        <v>2.1670061099796301</v>
      </c>
      <c r="G239">
        <v>2.1239336043013499</v>
      </c>
      <c r="H239">
        <v>5.9167073574718898E-2</v>
      </c>
      <c r="I239">
        <v>0.727981004906054</v>
      </c>
      <c r="J239">
        <v>1.99</v>
      </c>
      <c r="L239">
        <v>2.1831006778760687</v>
      </c>
      <c r="M239">
        <v>2.0647665307266312</v>
      </c>
      <c r="N239">
        <v>2.2422677514507878</v>
      </c>
      <c r="O239">
        <v>2.005599457151912</v>
      </c>
    </row>
    <row r="240" spans="1:15">
      <c r="A240" s="19">
        <v>43452</v>
      </c>
      <c r="B240">
        <v>1080</v>
      </c>
      <c r="C240">
        <v>1062</v>
      </c>
      <c r="D240">
        <v>505</v>
      </c>
      <c r="E240">
        <v>494</v>
      </c>
      <c r="F240">
        <v>2.1497975708502</v>
      </c>
      <c r="G240">
        <v>2.1230249803761501</v>
      </c>
      <c r="H240">
        <v>5.9021719624322899E-2</v>
      </c>
      <c r="I240">
        <v>0.45360573437128698</v>
      </c>
      <c r="J240">
        <v>1.25</v>
      </c>
      <c r="L240">
        <v>2.1820467000004728</v>
      </c>
      <c r="M240">
        <v>2.0640032607518273</v>
      </c>
      <c r="N240">
        <v>2.2410684196247956</v>
      </c>
      <c r="O240">
        <v>2.0049815411275045</v>
      </c>
    </row>
    <row r="241" spans="1:15">
      <c r="A241" s="19">
        <v>43451</v>
      </c>
      <c r="B241">
        <v>1100</v>
      </c>
      <c r="C241">
        <v>1092</v>
      </c>
      <c r="D241">
        <v>524</v>
      </c>
      <c r="E241">
        <v>515</v>
      </c>
      <c r="F241">
        <v>2.1203883495145601</v>
      </c>
      <c r="G241">
        <v>2.1224445042259101</v>
      </c>
      <c r="H241">
        <v>5.8969620792618201E-2</v>
      </c>
      <c r="I241">
        <v>-3.48680334673886E-2</v>
      </c>
      <c r="J241">
        <v>-0.1</v>
      </c>
      <c r="L241">
        <v>2.1814141250185282</v>
      </c>
      <c r="M241">
        <v>2.0634748834332921</v>
      </c>
      <c r="N241">
        <v>2.2403837458111466</v>
      </c>
      <c r="O241">
        <v>2.0045052626406736</v>
      </c>
    </row>
    <row r="242" spans="1:15">
      <c r="A242" s="19">
        <v>43448</v>
      </c>
      <c r="B242">
        <v>1125</v>
      </c>
      <c r="C242">
        <v>1099</v>
      </c>
      <c r="D242">
        <v>527</v>
      </c>
      <c r="E242">
        <v>528</v>
      </c>
      <c r="F242">
        <v>2.08143939393939</v>
      </c>
      <c r="G242">
        <v>2.12252514998718</v>
      </c>
      <c r="H242">
        <v>5.89708895368991E-2</v>
      </c>
      <c r="I242">
        <v>-0.69671250290499998</v>
      </c>
      <c r="J242">
        <v>-1.97</v>
      </c>
      <c r="L242">
        <v>2.1814960395240792</v>
      </c>
      <c r="M242">
        <v>2.0635542604502808</v>
      </c>
      <c r="N242">
        <v>2.240466929060978</v>
      </c>
      <c r="O242">
        <v>2.004583370913382</v>
      </c>
    </row>
    <row r="243" spans="1:15">
      <c r="A243" s="19">
        <v>43447</v>
      </c>
      <c r="B243">
        <v>1103</v>
      </c>
      <c r="C243">
        <v>1115</v>
      </c>
      <c r="D243">
        <v>531</v>
      </c>
      <c r="E243">
        <v>530</v>
      </c>
      <c r="F243">
        <v>2.1037735849056598</v>
      </c>
      <c r="G243">
        <v>2.1229602039488502</v>
      </c>
      <c r="H243">
        <v>5.8786247500306997E-2</v>
      </c>
      <c r="I243">
        <v>-0.32637938053607901</v>
      </c>
      <c r="J243">
        <v>-0.91</v>
      </c>
      <c r="L243">
        <v>2.1817464514491571</v>
      </c>
      <c r="M243">
        <v>2.0641739564485433</v>
      </c>
      <c r="N243">
        <v>2.2405326989494641</v>
      </c>
      <c r="O243">
        <v>2.0053877089482364</v>
      </c>
    </row>
    <row r="244" spans="1:15">
      <c r="A244" s="19">
        <v>43446</v>
      </c>
      <c r="B244">
        <v>1095</v>
      </c>
      <c r="C244">
        <v>1104</v>
      </c>
      <c r="D244">
        <v>529</v>
      </c>
      <c r="E244">
        <v>524</v>
      </c>
      <c r="F244">
        <v>2.10687022900763</v>
      </c>
      <c r="G244">
        <v>2.1231003656739098</v>
      </c>
      <c r="H244">
        <v>5.87528568564935E-2</v>
      </c>
      <c r="I244">
        <v>-0.276244212361069</v>
      </c>
      <c r="J244">
        <v>-0.77</v>
      </c>
      <c r="L244">
        <v>2.1818532225304033</v>
      </c>
      <c r="M244">
        <v>2.0643475088174164</v>
      </c>
      <c r="N244">
        <v>2.2406060793868967</v>
      </c>
      <c r="O244">
        <v>2.0055946519609229</v>
      </c>
    </row>
    <row r="245" spans="1:15">
      <c r="A245" s="19">
        <v>43445</v>
      </c>
      <c r="B245">
        <v>1096</v>
      </c>
      <c r="C245">
        <v>1085</v>
      </c>
      <c r="D245">
        <v>524</v>
      </c>
      <c r="E245">
        <v>519</v>
      </c>
      <c r="F245">
        <v>2.0905587668593402</v>
      </c>
      <c r="G245">
        <v>2.1232621215456202</v>
      </c>
      <c r="H245">
        <v>5.8724643516850597E-2</v>
      </c>
      <c r="I245">
        <v>-0.55689320066963399</v>
      </c>
      <c r="J245">
        <v>-1.56</v>
      </c>
      <c r="L245">
        <v>2.1819867650624709</v>
      </c>
      <c r="M245">
        <v>2.0645374780287695</v>
      </c>
      <c r="N245">
        <v>2.2407114085793216</v>
      </c>
      <c r="O245">
        <v>2.0058128345119188</v>
      </c>
    </row>
    <row r="246" spans="1:15">
      <c r="A246" s="19">
        <v>43444</v>
      </c>
      <c r="B246">
        <v>1108</v>
      </c>
      <c r="C246">
        <v>1105</v>
      </c>
      <c r="D246">
        <v>525</v>
      </c>
      <c r="E246">
        <v>522</v>
      </c>
      <c r="F246">
        <v>2.1168582375478899</v>
      </c>
      <c r="G246">
        <v>2.1235931328592899</v>
      </c>
      <c r="H246">
        <v>5.8609226779001898E-2</v>
      </c>
      <c r="I246">
        <v>-0.11491186083720401</v>
      </c>
      <c r="J246">
        <v>-0.32</v>
      </c>
      <c r="L246">
        <v>2.1822023596382918</v>
      </c>
      <c r="M246">
        <v>2.0649839060802879</v>
      </c>
      <c r="N246">
        <v>2.2408115864172937</v>
      </c>
      <c r="O246">
        <v>2.006374679301286</v>
      </c>
    </row>
    <row r="247" spans="1:15">
      <c r="A247" s="19">
        <v>43441</v>
      </c>
      <c r="B247">
        <v>1124</v>
      </c>
      <c r="C247">
        <v>1125</v>
      </c>
      <c r="D247">
        <v>526</v>
      </c>
      <c r="E247">
        <v>533</v>
      </c>
      <c r="F247">
        <v>2.11069418386491</v>
      </c>
      <c r="G247">
        <v>2.1234249844152799</v>
      </c>
      <c r="H247">
        <v>5.8646386559696603E-2</v>
      </c>
      <c r="I247">
        <v>-0.21707732218783601</v>
      </c>
      <c r="J247">
        <v>-0.6</v>
      </c>
      <c r="L247">
        <v>2.1820713709749766</v>
      </c>
      <c r="M247">
        <v>2.0647785978555833</v>
      </c>
      <c r="N247">
        <v>2.2407177575346733</v>
      </c>
      <c r="O247">
        <v>2.0061322112958866</v>
      </c>
    </row>
    <row r="248" spans="1:15">
      <c r="A248" s="19">
        <v>43440</v>
      </c>
      <c r="B248">
        <v>1121</v>
      </c>
      <c r="C248">
        <v>1114</v>
      </c>
      <c r="D248">
        <v>528</v>
      </c>
      <c r="E248">
        <v>530</v>
      </c>
      <c r="F248">
        <v>2.1018867924528299</v>
      </c>
      <c r="G248">
        <v>2.1238317183144901</v>
      </c>
      <c r="H248">
        <v>5.8662462977667702E-2</v>
      </c>
      <c r="I248">
        <v>-0.37408804110424398</v>
      </c>
      <c r="J248">
        <v>-1.04</v>
      </c>
      <c r="L248">
        <v>2.1824941812921579</v>
      </c>
      <c r="M248">
        <v>2.0651692553368224</v>
      </c>
      <c r="N248">
        <v>2.2411566442698256</v>
      </c>
      <c r="O248">
        <v>2.0065067923591546</v>
      </c>
    </row>
    <row r="249" spans="1:15">
      <c r="A249" s="19">
        <v>43439</v>
      </c>
      <c r="B249">
        <v>1109</v>
      </c>
      <c r="C249">
        <v>1129</v>
      </c>
      <c r="D249">
        <v>528</v>
      </c>
      <c r="E249">
        <v>534</v>
      </c>
      <c r="F249">
        <v>2.1142322097378199</v>
      </c>
      <c r="G249">
        <v>2.1244617554731202</v>
      </c>
      <c r="H249">
        <v>5.8677136858460502E-2</v>
      </c>
      <c r="I249">
        <v>-0.17433614322340399</v>
      </c>
      <c r="J249">
        <v>-0.48</v>
      </c>
      <c r="L249">
        <v>2.1831388923315806</v>
      </c>
      <c r="M249">
        <v>2.0657846186146598</v>
      </c>
      <c r="N249">
        <v>2.2418160291900411</v>
      </c>
      <c r="O249">
        <v>2.0071074817561994</v>
      </c>
    </row>
    <row r="250" spans="1:15">
      <c r="A250" s="19">
        <v>43438</v>
      </c>
      <c r="B250">
        <v>1143</v>
      </c>
      <c r="C250">
        <v>1121</v>
      </c>
      <c r="D250">
        <v>540</v>
      </c>
      <c r="E250">
        <v>533</v>
      </c>
      <c r="F250">
        <v>2.1031894934333901</v>
      </c>
      <c r="G250">
        <v>2.1249781749583199</v>
      </c>
      <c r="H250">
        <v>5.8755220267557397E-2</v>
      </c>
      <c r="I250">
        <v>-0.37083822383290199</v>
      </c>
      <c r="J250">
        <v>-1.04</v>
      </c>
      <c r="L250">
        <v>2.1837333952258771</v>
      </c>
      <c r="M250">
        <v>2.0662229546907627</v>
      </c>
      <c r="N250">
        <v>2.2424886154934347</v>
      </c>
      <c r="O250">
        <v>2.007467734423205</v>
      </c>
    </row>
    <row r="251" spans="1:15">
      <c r="A251" s="19">
        <v>43437</v>
      </c>
      <c r="B251">
        <v>1178</v>
      </c>
      <c r="C251">
        <v>1160</v>
      </c>
      <c r="D251">
        <v>546</v>
      </c>
      <c r="E251">
        <v>543</v>
      </c>
      <c r="F251">
        <v>2.1362799263351699</v>
      </c>
      <c r="G251">
        <v>2.12593564837921</v>
      </c>
      <c r="H251">
        <v>5.89770433121471E-2</v>
      </c>
      <c r="I251">
        <v>0.175394990576417</v>
      </c>
      <c r="J251">
        <v>0.48</v>
      </c>
      <c r="L251">
        <v>2.1849126916913573</v>
      </c>
      <c r="M251">
        <v>2.0669586050670627</v>
      </c>
      <c r="N251">
        <v>2.2438897350035041</v>
      </c>
      <c r="O251">
        <v>2.0079815617549159</v>
      </c>
    </row>
    <row r="252" spans="1:15">
      <c r="A252" s="19">
        <v>43434</v>
      </c>
      <c r="B252">
        <v>1162</v>
      </c>
      <c r="C252">
        <v>1178</v>
      </c>
      <c r="D252">
        <v>553</v>
      </c>
      <c r="E252">
        <v>547</v>
      </c>
      <c r="F252">
        <v>2.1535648994515499</v>
      </c>
      <c r="G252">
        <v>2.1266679772135402</v>
      </c>
      <c r="H252">
        <v>5.94401301519095E-2</v>
      </c>
      <c r="I252">
        <v>0.452504430412006</v>
      </c>
      <c r="J252">
        <v>1.25</v>
      </c>
      <c r="L252">
        <v>2.1861081073654498</v>
      </c>
      <c r="M252">
        <v>2.0672278470616305</v>
      </c>
      <c r="N252">
        <v>2.245548237517359</v>
      </c>
      <c r="O252">
        <v>2.0077877169097214</v>
      </c>
    </row>
    <row r="253" spans="1:15">
      <c r="A253" s="19">
        <v>43433</v>
      </c>
      <c r="B253">
        <v>1173</v>
      </c>
      <c r="C253">
        <v>1168</v>
      </c>
      <c r="D253">
        <v>554</v>
      </c>
      <c r="E253">
        <v>550</v>
      </c>
      <c r="F253">
        <v>2.12363636363636</v>
      </c>
      <c r="G253">
        <v>2.1272144789432899</v>
      </c>
      <c r="H253">
        <v>5.9871768371562099E-2</v>
      </c>
      <c r="I253">
        <v>-5.9762980186762099E-2</v>
      </c>
      <c r="J253">
        <v>-0.17</v>
      </c>
      <c r="L253">
        <v>2.187086247314852</v>
      </c>
      <c r="M253">
        <v>2.0673427105717277</v>
      </c>
      <c r="N253">
        <v>2.2469580156864142</v>
      </c>
      <c r="O253">
        <v>2.0074709422001655</v>
      </c>
    </row>
    <row r="254" spans="1:15">
      <c r="A254" s="19">
        <v>43432</v>
      </c>
      <c r="B254">
        <v>1144</v>
      </c>
      <c r="C254">
        <v>1165</v>
      </c>
      <c r="D254">
        <v>546</v>
      </c>
      <c r="E254">
        <v>544</v>
      </c>
      <c r="F254">
        <v>2.14154411764705</v>
      </c>
      <c r="G254">
        <v>2.12791447894329</v>
      </c>
      <c r="H254">
        <v>6.0132181787361398E-2</v>
      </c>
      <c r="I254">
        <v>0.22666130345903701</v>
      </c>
      <c r="J254">
        <v>0.64</v>
      </c>
      <c r="L254">
        <v>2.1880466607306515</v>
      </c>
      <c r="M254">
        <v>2.0677822971559285</v>
      </c>
      <c r="N254">
        <v>2.2481788425180129</v>
      </c>
      <c r="O254">
        <v>2.0076501153685671</v>
      </c>
    </row>
    <row r="255" spans="1:15">
      <c r="A255" s="19">
        <v>43431</v>
      </c>
      <c r="B255">
        <v>1150</v>
      </c>
      <c r="C255">
        <v>1142</v>
      </c>
      <c r="D255">
        <v>555</v>
      </c>
      <c r="E255">
        <v>556</v>
      </c>
      <c r="F255">
        <v>2.0539568345323702</v>
      </c>
      <c r="G255">
        <v>2.1279283647257401</v>
      </c>
      <c r="H255">
        <v>6.0135447709406098E-2</v>
      </c>
      <c r="I255">
        <v>-1.2300819734614601</v>
      </c>
      <c r="J255">
        <v>-3.6</v>
      </c>
      <c r="L255">
        <v>2.1880638124351464</v>
      </c>
      <c r="M255">
        <v>2.0677929170163338</v>
      </c>
      <c r="N255">
        <v>2.2481992601445522</v>
      </c>
      <c r="O255">
        <v>2.007657469306928</v>
      </c>
    </row>
    <row r="256" spans="1:15">
      <c r="A256" s="19">
        <v>43430</v>
      </c>
      <c r="B256">
        <v>1130</v>
      </c>
      <c r="C256">
        <v>1141</v>
      </c>
      <c r="D256">
        <v>547</v>
      </c>
      <c r="E256">
        <v>555</v>
      </c>
      <c r="F256">
        <v>2.05585585585585</v>
      </c>
      <c r="G256">
        <v>2.1285322860830398</v>
      </c>
      <c r="H256">
        <v>5.9614725125664098E-2</v>
      </c>
      <c r="I256">
        <v>-1.21910199324062</v>
      </c>
      <c r="J256">
        <v>-3.54</v>
      </c>
      <c r="L256">
        <v>2.188147011208704</v>
      </c>
      <c r="M256">
        <v>2.0689175609573756</v>
      </c>
      <c r="N256">
        <v>2.2477617363343678</v>
      </c>
      <c r="O256">
        <v>2.0093028358317118</v>
      </c>
    </row>
    <row r="257" spans="1:15">
      <c r="A257" s="19">
        <v>43426</v>
      </c>
      <c r="B257">
        <v>1120</v>
      </c>
      <c r="C257">
        <v>1130</v>
      </c>
      <c r="D257">
        <v>542</v>
      </c>
      <c r="E257">
        <v>545</v>
      </c>
      <c r="F257">
        <v>2.07339449541284</v>
      </c>
      <c r="G257">
        <v>2.12875050430126</v>
      </c>
      <c r="H257">
        <v>5.9377778921947101E-2</v>
      </c>
      <c r="I257">
        <v>-0.93226809580037096</v>
      </c>
      <c r="J257">
        <v>-2.67</v>
      </c>
      <c r="L257">
        <v>2.188128283223207</v>
      </c>
      <c r="M257">
        <v>2.069372725379313</v>
      </c>
      <c r="N257">
        <v>2.2475060621451544</v>
      </c>
      <c r="O257">
        <v>2.0099949464573656</v>
      </c>
    </row>
    <row r="258" spans="1:15">
      <c r="A258" s="19">
        <v>43425</v>
      </c>
      <c r="B258">
        <v>1101</v>
      </c>
      <c r="C258">
        <v>1114</v>
      </c>
      <c r="D258">
        <v>530</v>
      </c>
      <c r="E258">
        <v>532</v>
      </c>
      <c r="F258">
        <v>2.0939849624060098</v>
      </c>
      <c r="G258">
        <v>2.12946383022101</v>
      </c>
      <c r="H258">
        <v>5.9028811473820601E-2</v>
      </c>
      <c r="I258">
        <v>-0.60104323514510705</v>
      </c>
      <c r="J258">
        <v>-1.69</v>
      </c>
      <c r="L258">
        <v>2.1884926416948307</v>
      </c>
      <c r="M258">
        <v>2.0704350187471894</v>
      </c>
      <c r="N258">
        <v>2.2475214531686514</v>
      </c>
      <c r="O258">
        <v>2.0114062072733687</v>
      </c>
    </row>
    <row r="259" spans="1:15">
      <c r="A259" s="19">
        <v>43424</v>
      </c>
      <c r="B259">
        <v>1110</v>
      </c>
      <c r="C259">
        <v>1122</v>
      </c>
      <c r="D259">
        <v>524</v>
      </c>
      <c r="E259">
        <v>528</v>
      </c>
      <c r="F259">
        <v>2.125</v>
      </c>
      <c r="G259">
        <v>2.1311394064448002</v>
      </c>
      <c r="H259">
        <v>5.9776789891608097E-2</v>
      </c>
      <c r="I259">
        <v>-0.102705522593972</v>
      </c>
      <c r="J259">
        <v>-0.28999999999999998</v>
      </c>
      <c r="L259">
        <v>2.1909161963364081</v>
      </c>
      <c r="M259">
        <v>2.0713626165531922</v>
      </c>
      <c r="N259">
        <v>2.2506929862280165</v>
      </c>
      <c r="O259">
        <v>2.0115858266615838</v>
      </c>
    </row>
    <row r="260" spans="1:15">
      <c r="A260" s="19">
        <v>43423</v>
      </c>
      <c r="B260">
        <v>1123</v>
      </c>
      <c r="C260">
        <v>1120</v>
      </c>
      <c r="D260">
        <v>534</v>
      </c>
      <c r="E260">
        <v>526</v>
      </c>
      <c r="F260">
        <v>2.12927756653992</v>
      </c>
      <c r="G260">
        <v>2.1329210156401999</v>
      </c>
      <c r="H260">
        <v>6.1532709040421997E-2</v>
      </c>
      <c r="I260">
        <v>-5.92115828655006E-2</v>
      </c>
      <c r="J260">
        <v>-0.17</v>
      </c>
      <c r="L260">
        <v>2.1944537246806219</v>
      </c>
      <c r="M260">
        <v>2.0713883065997778</v>
      </c>
      <c r="N260">
        <v>2.255986433721044</v>
      </c>
      <c r="O260">
        <v>2.0098555975593557</v>
      </c>
    </row>
    <row r="261" spans="1:15">
      <c r="A261" s="19">
        <v>43420</v>
      </c>
      <c r="B261">
        <v>1135</v>
      </c>
      <c r="C261">
        <v>1120</v>
      </c>
      <c r="D261">
        <v>526</v>
      </c>
      <c r="E261">
        <v>535</v>
      </c>
      <c r="F261">
        <v>2.0934579439252299</v>
      </c>
      <c r="G261">
        <v>2.13422085874309</v>
      </c>
      <c r="H261">
        <v>6.2464648180415E-2</v>
      </c>
      <c r="I261">
        <v>-0.65257575293035497</v>
      </c>
      <c r="J261">
        <v>-1.95</v>
      </c>
      <c r="L261">
        <v>2.1966855069235049</v>
      </c>
      <c r="M261">
        <v>2.071756210562675</v>
      </c>
      <c r="N261">
        <v>2.2591501551039199</v>
      </c>
      <c r="O261">
        <v>2.00929156238226</v>
      </c>
    </row>
    <row r="262" spans="1:15">
      <c r="A262" s="19">
        <v>43419</v>
      </c>
      <c r="B262">
        <v>1120</v>
      </c>
      <c r="C262">
        <v>1136</v>
      </c>
      <c r="D262">
        <v>520</v>
      </c>
      <c r="E262">
        <v>527</v>
      </c>
      <c r="F262">
        <v>2.1555977229601502</v>
      </c>
      <c r="G262">
        <v>2.13540126939695</v>
      </c>
      <c r="H262">
        <v>6.25196580565264E-2</v>
      </c>
      <c r="I262">
        <v>0.32304165107459298</v>
      </c>
      <c r="J262">
        <v>0.94</v>
      </c>
      <c r="L262">
        <v>2.1979209274534766</v>
      </c>
      <c r="M262">
        <v>2.0728816113404234</v>
      </c>
      <c r="N262">
        <v>2.2604405855100027</v>
      </c>
      <c r="O262">
        <v>2.0103619532838972</v>
      </c>
    </row>
    <row r="263" spans="1:15">
      <c r="A263" s="19">
        <v>43418</v>
      </c>
      <c r="B263">
        <v>1139</v>
      </c>
      <c r="C263">
        <v>1128</v>
      </c>
      <c r="D263">
        <v>525</v>
      </c>
      <c r="E263">
        <v>525</v>
      </c>
      <c r="F263">
        <v>2.1485714285714201</v>
      </c>
      <c r="G263">
        <v>2.1379115153708601</v>
      </c>
      <c r="H263">
        <v>6.6905923167240006E-2</v>
      </c>
      <c r="I263">
        <v>0.15932689806724501</v>
      </c>
      <c r="J263">
        <v>0.5</v>
      </c>
      <c r="L263">
        <v>2.2048174385381003</v>
      </c>
      <c r="M263">
        <v>2.0710055922036199</v>
      </c>
      <c r="N263">
        <v>2.2717233617053401</v>
      </c>
      <c r="O263">
        <v>2.0040996690363801</v>
      </c>
    </row>
    <row r="264" spans="1:15">
      <c r="A264" s="19">
        <v>43417</v>
      </c>
      <c r="B264">
        <v>1148</v>
      </c>
      <c r="C264">
        <v>1139</v>
      </c>
      <c r="D264">
        <v>526</v>
      </c>
      <c r="E264">
        <v>527</v>
      </c>
      <c r="F264">
        <v>2.1612903225806401</v>
      </c>
      <c r="G264">
        <v>2.1403501781357801</v>
      </c>
      <c r="H264">
        <v>7.0487431870185593E-2</v>
      </c>
      <c r="I264">
        <v>0.29707628564795802</v>
      </c>
      <c r="J264">
        <v>0.97</v>
      </c>
      <c r="L264">
        <v>2.2108376100059659</v>
      </c>
      <c r="M264">
        <v>2.0698627462655943</v>
      </c>
      <c r="N264">
        <v>2.2813250418761513</v>
      </c>
      <c r="O264">
        <v>1.9993753143954089</v>
      </c>
    </row>
    <row r="265" spans="1:15">
      <c r="A265" s="19">
        <v>43416</v>
      </c>
      <c r="B265">
        <v>1148</v>
      </c>
      <c r="C265">
        <v>1162</v>
      </c>
      <c r="D265">
        <v>533</v>
      </c>
      <c r="E265">
        <v>536</v>
      </c>
      <c r="F265">
        <v>2.1679104477611899</v>
      </c>
      <c r="G265">
        <v>2.1424800833058</v>
      </c>
      <c r="H265">
        <v>7.3439633726922804E-2</v>
      </c>
      <c r="I265">
        <v>0.34627575281690098</v>
      </c>
      <c r="J265">
        <v>1.17</v>
      </c>
      <c r="L265">
        <v>2.2159197170327229</v>
      </c>
      <c r="M265">
        <v>2.069040449578877</v>
      </c>
      <c r="N265">
        <v>2.2893593507596455</v>
      </c>
      <c r="O265">
        <v>1.9956008158519545</v>
      </c>
    </row>
    <row r="266" spans="1:15">
      <c r="A266" s="19">
        <v>43413</v>
      </c>
      <c r="B266">
        <v>1148</v>
      </c>
      <c r="C266">
        <v>1154</v>
      </c>
      <c r="D266">
        <v>528</v>
      </c>
      <c r="E266">
        <v>536</v>
      </c>
      <c r="F266">
        <v>2.15298507462686</v>
      </c>
      <c r="G266">
        <v>2.14433246649154</v>
      </c>
      <c r="H266">
        <v>7.5772760920635895E-2</v>
      </c>
      <c r="I266">
        <v>0.114191538360165</v>
      </c>
      <c r="J266">
        <v>0.4</v>
      </c>
      <c r="L266">
        <v>2.220105227412176</v>
      </c>
      <c r="M266">
        <v>2.068559705570904</v>
      </c>
      <c r="N266">
        <v>2.295877988332812</v>
      </c>
      <c r="O266">
        <v>1.9927869446502682</v>
      </c>
    </row>
    <row r="267" spans="1:15">
      <c r="A267" s="19">
        <v>43412</v>
      </c>
      <c r="B267">
        <v>1156</v>
      </c>
      <c r="C267">
        <v>1146</v>
      </c>
      <c r="D267">
        <v>519</v>
      </c>
      <c r="E267">
        <v>528</v>
      </c>
      <c r="F267">
        <v>2.1704545454545401</v>
      </c>
      <c r="G267">
        <v>2.1455359087397601</v>
      </c>
      <c r="H267">
        <v>7.6612723134121E-2</v>
      </c>
      <c r="I267">
        <v>0.325254549053971</v>
      </c>
      <c r="J267">
        <v>1.1499999999999999</v>
      </c>
      <c r="L267">
        <v>2.222148631873881</v>
      </c>
      <c r="M267">
        <v>2.0689231856056391</v>
      </c>
      <c r="N267">
        <v>2.2987613550080019</v>
      </c>
      <c r="O267">
        <v>1.992310462471518</v>
      </c>
    </row>
    <row r="268" spans="1:15">
      <c r="A268" s="19">
        <v>43411</v>
      </c>
      <c r="B268">
        <v>1168</v>
      </c>
      <c r="C268">
        <v>1142</v>
      </c>
      <c r="D268">
        <v>515</v>
      </c>
      <c r="E268">
        <v>514</v>
      </c>
      <c r="F268">
        <v>2.2217898832684799</v>
      </c>
      <c r="G268">
        <v>2.1459730136013202</v>
      </c>
      <c r="H268">
        <v>7.6846808322590804E-2</v>
      </c>
      <c r="I268">
        <v>0.98659750901936905</v>
      </c>
      <c r="J268">
        <v>3.41</v>
      </c>
      <c r="L268">
        <v>2.222819821923911</v>
      </c>
      <c r="M268">
        <v>2.0691262052787294</v>
      </c>
      <c r="N268">
        <v>2.2996666302465019</v>
      </c>
      <c r="O268">
        <v>1.9922793969561385</v>
      </c>
    </row>
    <row r="269" spans="1:15">
      <c r="A269" s="19">
        <v>43410</v>
      </c>
      <c r="B269">
        <v>1170</v>
      </c>
      <c r="C269">
        <v>1170</v>
      </c>
      <c r="D269">
        <v>514</v>
      </c>
      <c r="E269">
        <v>515</v>
      </c>
      <c r="F269">
        <v>2.2718446601941702</v>
      </c>
      <c r="G269">
        <v>2.1453840804034501</v>
      </c>
      <c r="H269">
        <v>7.6431643560849E-2</v>
      </c>
      <c r="I269">
        <v>1.65455790166337</v>
      </c>
      <c r="J269">
        <v>5.57</v>
      </c>
      <c r="L269">
        <v>2.221815723964299</v>
      </c>
      <c r="M269">
        <v>2.0689524368426011</v>
      </c>
      <c r="N269">
        <v>2.298247367525148</v>
      </c>
      <c r="O269">
        <v>1.9925207932817521</v>
      </c>
    </row>
    <row r="270" spans="1:15">
      <c r="A270" s="19">
        <v>43409</v>
      </c>
      <c r="B270">
        <v>1146</v>
      </c>
      <c r="C270">
        <v>1178</v>
      </c>
      <c r="D270">
        <v>516</v>
      </c>
      <c r="E270">
        <v>516</v>
      </c>
      <c r="F270">
        <v>2.2829457364341001</v>
      </c>
      <c r="G270">
        <v>2.1445402335972901</v>
      </c>
      <c r="H270">
        <v>7.5372827694588002E-2</v>
      </c>
      <c r="I270">
        <v>1.8362784981031901</v>
      </c>
      <c r="J270">
        <v>6.06</v>
      </c>
      <c r="L270">
        <v>2.2199130612918783</v>
      </c>
      <c r="M270">
        <v>2.0691674059027019</v>
      </c>
      <c r="N270">
        <v>2.295285888986466</v>
      </c>
      <c r="O270">
        <v>1.9937945782081141</v>
      </c>
    </row>
    <row r="271" spans="1:15">
      <c r="A271" s="19">
        <v>43406</v>
      </c>
      <c r="B271">
        <v>1181</v>
      </c>
      <c r="C271">
        <v>1176</v>
      </c>
      <c r="D271">
        <v>508</v>
      </c>
      <c r="E271">
        <v>517</v>
      </c>
      <c r="F271">
        <v>2.2746615087040598</v>
      </c>
      <c r="G271">
        <v>2.1441191720477502</v>
      </c>
      <c r="H271">
        <v>7.4683521294917399E-2</v>
      </c>
      <c r="I271">
        <v>1.74794030052231</v>
      </c>
      <c r="J271">
        <v>5.74</v>
      </c>
      <c r="L271">
        <v>2.2188026933426674</v>
      </c>
      <c r="M271">
        <v>2.0694356507528329</v>
      </c>
      <c r="N271">
        <v>2.2934862146375847</v>
      </c>
      <c r="O271">
        <v>1.9947521294579154</v>
      </c>
    </row>
    <row r="272" spans="1:15">
      <c r="A272" s="19">
        <v>43405</v>
      </c>
      <c r="B272">
        <v>1156</v>
      </c>
      <c r="C272">
        <v>1197</v>
      </c>
      <c r="D272">
        <v>512</v>
      </c>
      <c r="E272">
        <v>520</v>
      </c>
      <c r="F272">
        <v>2.3019230769230701</v>
      </c>
      <c r="G272">
        <v>2.1436098465165401</v>
      </c>
      <c r="H272">
        <v>7.3917844853866904E-2</v>
      </c>
      <c r="I272">
        <v>2.14174575462141</v>
      </c>
      <c r="J272">
        <v>6.88</v>
      </c>
      <c r="L272">
        <v>2.2175276913704072</v>
      </c>
      <c r="M272">
        <v>2.069692001662673</v>
      </c>
      <c r="N272">
        <v>2.2914455362242738</v>
      </c>
      <c r="O272">
        <v>1.9957741568088063</v>
      </c>
    </row>
    <row r="273" spans="1:15">
      <c r="A273" s="19">
        <v>43404</v>
      </c>
      <c r="B273">
        <v>1076</v>
      </c>
      <c r="C273">
        <v>1152</v>
      </c>
      <c r="D273">
        <v>501</v>
      </c>
      <c r="E273">
        <v>502</v>
      </c>
      <c r="F273">
        <v>2.2948207171314698</v>
      </c>
      <c r="G273">
        <v>2.1433155487744799</v>
      </c>
      <c r="H273">
        <v>7.3328538518502698E-2</v>
      </c>
      <c r="I273">
        <v>2.0661146590118</v>
      </c>
      <c r="J273">
        <v>6.6</v>
      </c>
      <c r="L273">
        <v>2.2166440872929827</v>
      </c>
      <c r="M273">
        <v>2.0699870102559772</v>
      </c>
      <c r="N273">
        <v>2.2899726258114854</v>
      </c>
      <c r="O273">
        <v>1.9966584717374745</v>
      </c>
    </row>
    <row r="274" spans="1:15">
      <c r="A274" s="19">
        <v>43403</v>
      </c>
      <c r="B274">
        <v>1052</v>
      </c>
      <c r="C274">
        <v>1051</v>
      </c>
      <c r="D274">
        <v>500</v>
      </c>
      <c r="E274">
        <v>499</v>
      </c>
      <c r="F274">
        <v>2.1062124248496898</v>
      </c>
      <c r="G274">
        <v>2.14256979106458</v>
      </c>
      <c r="H274">
        <v>7.2057322348628994E-2</v>
      </c>
      <c r="I274">
        <v>-0.50456171600407396</v>
      </c>
      <c r="J274">
        <v>-1.73</v>
      </c>
      <c r="L274">
        <v>2.2146271134132092</v>
      </c>
      <c r="M274">
        <v>2.0705124687159508</v>
      </c>
      <c r="N274">
        <v>2.2866844357618379</v>
      </c>
      <c r="O274">
        <v>1.9984551463673221</v>
      </c>
    </row>
    <row r="275" spans="1:15">
      <c r="A275" s="19">
        <v>43402</v>
      </c>
      <c r="B275">
        <v>1055</v>
      </c>
      <c r="C275">
        <v>1052</v>
      </c>
      <c r="D275">
        <v>497</v>
      </c>
      <c r="E275">
        <v>501</v>
      </c>
      <c r="F275">
        <v>2.0998003992015901</v>
      </c>
      <c r="G275">
        <v>2.1443814342143201</v>
      </c>
      <c r="H275">
        <v>7.2824421205460704E-2</v>
      </c>
      <c r="I275">
        <v>-0.61217149789555603</v>
      </c>
      <c r="J275">
        <v>-2.12</v>
      </c>
      <c r="L275">
        <v>2.2172058554197807</v>
      </c>
      <c r="M275">
        <v>2.0715570130088596</v>
      </c>
      <c r="N275">
        <v>2.2900302766252416</v>
      </c>
      <c r="O275">
        <v>1.9987325918033987</v>
      </c>
    </row>
    <row r="276" spans="1:15">
      <c r="A276" s="19">
        <v>43399</v>
      </c>
      <c r="B276">
        <v>1069</v>
      </c>
      <c r="C276">
        <v>1052</v>
      </c>
      <c r="D276">
        <v>502</v>
      </c>
      <c r="E276">
        <v>496</v>
      </c>
      <c r="F276">
        <v>2.12096774193548</v>
      </c>
      <c r="G276">
        <v>2.1460328940795499</v>
      </c>
      <c r="H276">
        <v>7.3198158450618403E-2</v>
      </c>
      <c r="I276">
        <v>-0.34242872600384</v>
      </c>
      <c r="J276">
        <v>-1.18</v>
      </c>
      <c r="L276">
        <v>2.2192310525301684</v>
      </c>
      <c r="M276">
        <v>2.0728347356289314</v>
      </c>
      <c r="N276">
        <v>2.2924292109807869</v>
      </c>
      <c r="O276">
        <v>1.9996365771783131</v>
      </c>
    </row>
    <row r="277" spans="1:15">
      <c r="A277" s="19">
        <v>43398</v>
      </c>
      <c r="B277">
        <v>1068</v>
      </c>
      <c r="C277">
        <v>1061</v>
      </c>
      <c r="D277">
        <v>509</v>
      </c>
      <c r="E277">
        <v>502</v>
      </c>
      <c r="F277">
        <v>2.1135458167330601</v>
      </c>
      <c r="G277">
        <v>2.1468175443705602</v>
      </c>
      <c r="H277">
        <v>7.3240669525704197E-2</v>
      </c>
      <c r="I277">
        <v>-0.45427940313714499</v>
      </c>
      <c r="J277">
        <v>-1.57</v>
      </c>
      <c r="L277">
        <v>2.2200582138962646</v>
      </c>
      <c r="M277">
        <v>2.0735768748448558</v>
      </c>
      <c r="N277">
        <v>2.2932988834219685</v>
      </c>
      <c r="O277">
        <v>2.0003362053191518</v>
      </c>
    </row>
    <row r="278" spans="1:15">
      <c r="A278" s="19">
        <v>43397</v>
      </c>
      <c r="B278">
        <v>1083</v>
      </c>
      <c r="C278">
        <v>1098</v>
      </c>
      <c r="D278">
        <v>522</v>
      </c>
      <c r="E278">
        <v>519</v>
      </c>
      <c r="F278">
        <v>2.1156069364161798</v>
      </c>
      <c r="G278">
        <v>2.1471873921963902</v>
      </c>
      <c r="H278">
        <v>7.31416911820673E-2</v>
      </c>
      <c r="I278">
        <v>-0.43177092667429601</v>
      </c>
      <c r="J278">
        <v>-1.49</v>
      </c>
      <c r="L278">
        <v>2.2203290833784575</v>
      </c>
      <c r="M278">
        <v>2.074045701014323</v>
      </c>
      <c r="N278">
        <v>2.2934707745605247</v>
      </c>
      <c r="O278">
        <v>2.0009040098322557</v>
      </c>
    </row>
    <row r="279" spans="1:15">
      <c r="A279" s="19">
        <v>43396</v>
      </c>
      <c r="B279">
        <v>1085</v>
      </c>
      <c r="C279">
        <v>1077</v>
      </c>
      <c r="D279">
        <v>521</v>
      </c>
      <c r="E279">
        <v>515</v>
      </c>
      <c r="F279">
        <v>2.0912621359223298</v>
      </c>
      <c r="G279">
        <v>2.1488967600283</v>
      </c>
      <c r="H279">
        <v>7.3878042739304803E-2</v>
      </c>
      <c r="I279">
        <v>-0.78013198467301803</v>
      </c>
      <c r="J279">
        <v>-2.76</v>
      </c>
      <c r="L279">
        <v>2.2227748027676046</v>
      </c>
      <c r="M279">
        <v>2.0750187172889953</v>
      </c>
      <c r="N279">
        <v>2.2966528455069097</v>
      </c>
      <c r="O279">
        <v>2.0011406745496902</v>
      </c>
    </row>
    <row r="280" spans="1:15">
      <c r="A280" s="19">
        <v>43395</v>
      </c>
      <c r="B280">
        <v>1100</v>
      </c>
      <c r="C280">
        <v>1104</v>
      </c>
      <c r="D280">
        <v>521</v>
      </c>
      <c r="E280">
        <v>523</v>
      </c>
      <c r="F280">
        <v>2.11089866156787</v>
      </c>
      <c r="G280">
        <v>2.15077027422846</v>
      </c>
      <c r="H280">
        <v>7.4173787347897702E-2</v>
      </c>
      <c r="I280">
        <v>-0.53754316836456195</v>
      </c>
      <c r="J280">
        <v>-1.89</v>
      </c>
      <c r="L280">
        <v>2.2249440615763576</v>
      </c>
      <c r="M280">
        <v>2.0765964868805624</v>
      </c>
      <c r="N280">
        <v>2.2991178489242552</v>
      </c>
      <c r="O280">
        <v>2.0024226995326648</v>
      </c>
    </row>
    <row r="281" spans="1:15">
      <c r="A281" s="19">
        <v>43392</v>
      </c>
      <c r="B281">
        <v>1098</v>
      </c>
      <c r="C281">
        <v>1109</v>
      </c>
      <c r="D281">
        <v>517</v>
      </c>
      <c r="E281">
        <v>523</v>
      </c>
      <c r="F281">
        <v>2.1204588910133801</v>
      </c>
      <c r="G281">
        <v>2.1527665288824598</v>
      </c>
      <c r="H281">
        <v>7.5082989821171203E-2</v>
      </c>
      <c r="I281">
        <v>-0.430292373093137</v>
      </c>
      <c r="J281">
        <v>-1.52</v>
      </c>
      <c r="L281">
        <v>2.2278495187036311</v>
      </c>
      <c r="M281">
        <v>2.0776835390612884</v>
      </c>
      <c r="N281">
        <v>2.302932508524802</v>
      </c>
      <c r="O281">
        <v>2.0026005492401175</v>
      </c>
    </row>
    <row r="282" spans="1:15">
      <c r="A282" s="19">
        <v>43391</v>
      </c>
      <c r="B282">
        <v>1096</v>
      </c>
      <c r="C282">
        <v>1108</v>
      </c>
      <c r="D282">
        <v>524</v>
      </c>
      <c r="E282">
        <v>524</v>
      </c>
      <c r="F282">
        <v>2.1145038167938899</v>
      </c>
      <c r="G282">
        <v>2.1538865565561802</v>
      </c>
      <c r="H282">
        <v>7.5219110941085396E-2</v>
      </c>
      <c r="I282">
        <v>-0.52357358747754601</v>
      </c>
      <c r="J282">
        <v>-1.86</v>
      </c>
      <c r="L282">
        <v>2.2291056674972656</v>
      </c>
      <c r="M282">
        <v>2.0786674456150949</v>
      </c>
      <c r="N282">
        <v>2.3043247784383509</v>
      </c>
      <c r="O282">
        <v>2.0034483346740095</v>
      </c>
    </row>
    <row r="283" spans="1:15">
      <c r="A283" s="19">
        <v>43390</v>
      </c>
      <c r="B283">
        <v>1093</v>
      </c>
      <c r="C283">
        <v>1113</v>
      </c>
      <c r="D283">
        <v>517</v>
      </c>
      <c r="E283">
        <v>519</v>
      </c>
      <c r="F283">
        <v>2.1445086705202301</v>
      </c>
      <c r="G283">
        <v>2.1564002430393399</v>
      </c>
      <c r="H283">
        <v>7.6990264254517493E-2</v>
      </c>
      <c r="I283">
        <v>-0.15445553582979901</v>
      </c>
      <c r="J283">
        <v>-0.55000000000000004</v>
      </c>
      <c r="L283">
        <v>2.2333905072938576</v>
      </c>
      <c r="M283">
        <v>2.0794099787848221</v>
      </c>
      <c r="N283">
        <v>2.3103807715483748</v>
      </c>
      <c r="O283">
        <v>2.0024197145303049</v>
      </c>
    </row>
    <row r="284" spans="1:15">
      <c r="A284" s="19">
        <v>43389</v>
      </c>
      <c r="B284">
        <v>1073</v>
      </c>
      <c r="C284">
        <v>1084</v>
      </c>
      <c r="D284">
        <v>507</v>
      </c>
      <c r="E284">
        <v>514</v>
      </c>
      <c r="F284">
        <v>2.1089494163424098</v>
      </c>
      <c r="G284">
        <v>2.1587564435573201</v>
      </c>
      <c r="H284">
        <v>7.9260881376074996E-2</v>
      </c>
      <c r="I284">
        <v>-0.62839355745477099</v>
      </c>
      <c r="J284">
        <v>-2.36</v>
      </c>
      <c r="L284">
        <v>2.238017324933395</v>
      </c>
      <c r="M284">
        <v>2.0794955621812452</v>
      </c>
      <c r="N284">
        <v>2.3172782063094699</v>
      </c>
      <c r="O284">
        <v>2.0002346808051703</v>
      </c>
    </row>
    <row r="285" spans="1:15">
      <c r="A285" s="19">
        <v>43388</v>
      </c>
      <c r="B285">
        <v>1091</v>
      </c>
      <c r="C285">
        <v>1075</v>
      </c>
      <c r="D285">
        <v>513</v>
      </c>
      <c r="E285">
        <v>509</v>
      </c>
      <c r="F285">
        <v>2.11198428290766</v>
      </c>
      <c r="G285">
        <v>2.1618330467592699</v>
      </c>
      <c r="H285">
        <v>8.1708386687659798E-2</v>
      </c>
      <c r="I285">
        <v>-0.61008136217599795</v>
      </c>
      <c r="J285">
        <v>-2.36</v>
      </c>
      <c r="L285">
        <v>2.2435414334469299</v>
      </c>
      <c r="M285">
        <v>2.0801246600716099</v>
      </c>
      <c r="N285">
        <v>2.3252498201345895</v>
      </c>
      <c r="O285">
        <v>1.9984162733839503</v>
      </c>
    </row>
    <row r="286" spans="1:15">
      <c r="A286" s="19">
        <v>43385</v>
      </c>
      <c r="B286">
        <v>1100</v>
      </c>
      <c r="C286">
        <v>1102</v>
      </c>
      <c r="D286">
        <v>512</v>
      </c>
      <c r="E286">
        <v>512</v>
      </c>
      <c r="F286">
        <v>2.15234375</v>
      </c>
      <c r="G286">
        <v>2.16459741183357</v>
      </c>
      <c r="H286">
        <v>8.3463446771979505E-2</v>
      </c>
      <c r="I286">
        <v>-0.14681471119982301</v>
      </c>
      <c r="J286">
        <v>-0.56999999999999995</v>
      </c>
      <c r="L286">
        <v>2.2480608586055495</v>
      </c>
      <c r="M286">
        <v>2.0811339650615905</v>
      </c>
      <c r="N286">
        <v>2.331524305377529</v>
      </c>
      <c r="O286">
        <v>1.9976705182896111</v>
      </c>
    </row>
    <row r="287" spans="1:15">
      <c r="A287" s="19">
        <v>43384</v>
      </c>
      <c r="B287">
        <v>1109</v>
      </c>
      <c r="C287">
        <v>1109</v>
      </c>
      <c r="D287">
        <v>519</v>
      </c>
      <c r="E287">
        <v>513</v>
      </c>
      <c r="F287">
        <v>2.1617933723196798</v>
      </c>
      <c r="G287">
        <v>2.1672550943810398</v>
      </c>
      <c r="H287">
        <v>8.6160876988214896E-2</v>
      </c>
      <c r="I287">
        <v>-6.3389815102595407E-2</v>
      </c>
      <c r="J287">
        <v>-0.25</v>
      </c>
      <c r="L287">
        <v>2.2534159713692548</v>
      </c>
      <c r="M287">
        <v>2.0810942173928249</v>
      </c>
      <c r="N287">
        <v>2.3395768483574697</v>
      </c>
      <c r="O287">
        <v>1.9949333404046099</v>
      </c>
    </row>
    <row r="288" spans="1:15">
      <c r="A288" s="19">
        <v>43383</v>
      </c>
      <c r="B288">
        <v>1153</v>
      </c>
      <c r="C288">
        <v>1139</v>
      </c>
      <c r="D288">
        <v>534</v>
      </c>
      <c r="E288">
        <v>531</v>
      </c>
      <c r="F288">
        <v>2.1450094161958502</v>
      </c>
      <c r="G288">
        <v>2.1700169432679099</v>
      </c>
      <c r="H288">
        <v>8.9207542885432298E-2</v>
      </c>
      <c r="I288">
        <v>-0.28032973740997102</v>
      </c>
      <c r="J288">
        <v>-1.17</v>
      </c>
      <c r="L288">
        <v>2.2592244861533421</v>
      </c>
      <c r="M288">
        <v>2.0808094003824777</v>
      </c>
      <c r="N288">
        <v>2.3484320290387743</v>
      </c>
      <c r="O288">
        <v>1.9916018574970453</v>
      </c>
    </row>
    <row r="289" spans="1:15">
      <c r="A289" s="19">
        <v>43382</v>
      </c>
      <c r="B289">
        <v>1167</v>
      </c>
      <c r="C289">
        <v>1158</v>
      </c>
      <c r="D289">
        <v>539</v>
      </c>
      <c r="E289">
        <v>534</v>
      </c>
      <c r="F289">
        <v>2.1685393258426902</v>
      </c>
      <c r="G289">
        <v>2.17333838634609</v>
      </c>
      <c r="H289">
        <v>9.2780549563251602E-2</v>
      </c>
      <c r="I289">
        <v>-5.1724855327821402E-2</v>
      </c>
      <c r="J289">
        <v>-0.22</v>
      </c>
      <c r="L289">
        <v>2.2661189359093417</v>
      </c>
      <c r="M289">
        <v>2.0805578367828383</v>
      </c>
      <c r="N289">
        <v>2.3588994854725933</v>
      </c>
      <c r="O289">
        <v>1.9877772872195867</v>
      </c>
    </row>
    <row r="290" spans="1:15">
      <c r="A290" s="19">
        <v>43378</v>
      </c>
      <c r="B290">
        <v>1173</v>
      </c>
      <c r="C290">
        <v>1176</v>
      </c>
      <c r="D290">
        <v>540</v>
      </c>
      <c r="E290">
        <v>540</v>
      </c>
      <c r="F290">
        <v>2.17777777777777</v>
      </c>
      <c r="G290">
        <v>2.1762074744046198</v>
      </c>
      <c r="H290">
        <v>9.5863631415553402E-2</v>
      </c>
      <c r="I290">
        <v>1.63805955393783E-2</v>
      </c>
      <c r="J290">
        <v>7.0000000000000007E-2</v>
      </c>
      <c r="L290">
        <v>2.272071105820173</v>
      </c>
      <c r="M290">
        <v>2.0803438429890666</v>
      </c>
      <c r="N290">
        <v>2.3679347372357267</v>
      </c>
      <c r="O290">
        <v>1.984480211573513</v>
      </c>
    </row>
    <row r="291" spans="1:15">
      <c r="A291" s="19">
        <v>43377</v>
      </c>
      <c r="B291">
        <v>1171</v>
      </c>
      <c r="C291">
        <v>1180</v>
      </c>
      <c r="D291">
        <v>549</v>
      </c>
      <c r="E291">
        <v>544</v>
      </c>
      <c r="F291">
        <v>2.1691176470588198</v>
      </c>
      <c r="G291">
        <v>2.1795662707009198</v>
      </c>
      <c r="H291">
        <v>0.10017592732750601</v>
      </c>
      <c r="I291">
        <v>-0.104302739399023</v>
      </c>
      <c r="J291">
        <v>-0.48</v>
      </c>
      <c r="L291">
        <v>2.2797421980284258</v>
      </c>
      <c r="M291">
        <v>2.0793903433734138</v>
      </c>
      <c r="N291">
        <v>2.3799181253559318</v>
      </c>
      <c r="O291">
        <v>1.9792144160459078</v>
      </c>
    </row>
    <row r="292" spans="1:15">
      <c r="A292" s="19">
        <v>43376</v>
      </c>
      <c r="B292">
        <v>1190</v>
      </c>
      <c r="C292">
        <v>1170</v>
      </c>
      <c r="D292">
        <v>544</v>
      </c>
      <c r="E292">
        <v>543</v>
      </c>
      <c r="F292">
        <v>2.1546961325966798</v>
      </c>
      <c r="G292">
        <v>2.1825310069830199</v>
      </c>
      <c r="H292">
        <v>0.103071317635741</v>
      </c>
      <c r="I292">
        <v>-0.270054512009966</v>
      </c>
      <c r="J292">
        <v>-1.29</v>
      </c>
      <c r="L292">
        <v>2.2856023246187611</v>
      </c>
      <c r="M292">
        <v>2.0794596893472788</v>
      </c>
      <c r="N292">
        <v>2.3886736422545018</v>
      </c>
      <c r="O292">
        <v>1.976388371711538</v>
      </c>
    </row>
    <row r="293" spans="1:15">
      <c r="A293" s="19">
        <v>43375</v>
      </c>
      <c r="B293">
        <v>1189</v>
      </c>
      <c r="C293">
        <v>1181</v>
      </c>
      <c r="D293">
        <v>550</v>
      </c>
      <c r="E293">
        <v>545</v>
      </c>
      <c r="F293">
        <v>2.16697247706422</v>
      </c>
      <c r="G293">
        <v>2.1855807875143598</v>
      </c>
      <c r="H293">
        <v>0.10555662906036101</v>
      </c>
      <c r="I293">
        <v>-0.176287464044596</v>
      </c>
      <c r="J293">
        <v>-0.86</v>
      </c>
      <c r="L293">
        <v>2.2911374165747209</v>
      </c>
      <c r="M293">
        <v>2.0800241584539987</v>
      </c>
      <c r="N293">
        <v>2.3966940456350816</v>
      </c>
      <c r="O293">
        <v>1.9744675293936378</v>
      </c>
    </row>
    <row r="294" spans="1:15">
      <c r="A294" s="19">
        <v>43374</v>
      </c>
      <c r="B294">
        <v>1170</v>
      </c>
      <c r="C294">
        <v>1179</v>
      </c>
      <c r="D294">
        <v>547</v>
      </c>
      <c r="E294">
        <v>548</v>
      </c>
      <c r="F294">
        <v>2.1514598540145902</v>
      </c>
      <c r="G294">
        <v>2.1884411930224901</v>
      </c>
      <c r="H294">
        <v>0.107894436218075</v>
      </c>
      <c r="I294">
        <v>-0.34275482873968599</v>
      </c>
      <c r="J294">
        <v>-1.72</v>
      </c>
      <c r="L294">
        <v>2.296335629240565</v>
      </c>
      <c r="M294">
        <v>2.0805467568044151</v>
      </c>
      <c r="N294">
        <v>2.4042300654586399</v>
      </c>
      <c r="O294">
        <v>1.97265232058634</v>
      </c>
    </row>
    <row r="295" spans="1:15">
      <c r="A295" s="19">
        <v>43371</v>
      </c>
      <c r="B295">
        <v>1169</v>
      </c>
      <c r="C295">
        <v>1173</v>
      </c>
      <c r="D295">
        <v>558</v>
      </c>
      <c r="E295">
        <v>548</v>
      </c>
      <c r="F295">
        <v>2.1405109489051002</v>
      </c>
      <c r="G295">
        <v>2.191698433579</v>
      </c>
      <c r="H295">
        <v>0.11038752972820599</v>
      </c>
      <c r="I295">
        <v>-0.46370713068698999</v>
      </c>
      <c r="J295">
        <v>-2.39</v>
      </c>
      <c r="L295">
        <v>2.3020859633072059</v>
      </c>
      <c r="M295">
        <v>2.081310903850794</v>
      </c>
      <c r="N295">
        <v>2.4124734930354119</v>
      </c>
      <c r="O295">
        <v>1.970923374122588</v>
      </c>
    </row>
    <row r="296" spans="1:15">
      <c r="A296" s="19">
        <v>43370</v>
      </c>
      <c r="B296">
        <v>1174</v>
      </c>
      <c r="C296">
        <v>1160</v>
      </c>
      <c r="D296">
        <v>553</v>
      </c>
      <c r="E296">
        <v>551</v>
      </c>
      <c r="F296">
        <v>2.1052631578947301</v>
      </c>
      <c r="G296">
        <v>2.1952570530256899</v>
      </c>
      <c r="H296">
        <v>0.11295225680717499</v>
      </c>
      <c r="I296">
        <v>-0.79674278031109402</v>
      </c>
      <c r="J296">
        <v>-4.2699999999999996</v>
      </c>
      <c r="L296">
        <v>2.3082093098328649</v>
      </c>
      <c r="M296">
        <v>2.0823047962185148</v>
      </c>
      <c r="N296">
        <v>2.4211615666400399</v>
      </c>
      <c r="O296">
        <v>1.9693525394113398</v>
      </c>
    </row>
    <row r="297" spans="1:15">
      <c r="A297" s="19">
        <v>43369</v>
      </c>
      <c r="B297">
        <v>1177</v>
      </c>
      <c r="C297">
        <v>1183</v>
      </c>
      <c r="D297">
        <v>558</v>
      </c>
      <c r="E297">
        <v>560</v>
      </c>
      <c r="F297">
        <v>2.1124999999999998</v>
      </c>
      <c r="G297">
        <v>2.19892177037462</v>
      </c>
      <c r="H297">
        <v>0.114422197499364</v>
      </c>
      <c r="I297">
        <v>-0.75528850400820802</v>
      </c>
      <c r="J297">
        <v>-4.09</v>
      </c>
      <c r="L297">
        <v>2.3133439678739842</v>
      </c>
      <c r="M297">
        <v>2.0844995728752558</v>
      </c>
      <c r="N297">
        <v>2.427766165373348</v>
      </c>
      <c r="O297">
        <v>1.970077375375892</v>
      </c>
    </row>
    <row r="298" spans="1:15">
      <c r="A298" s="19">
        <v>43368</v>
      </c>
      <c r="B298">
        <v>1185</v>
      </c>
      <c r="C298">
        <v>1190</v>
      </c>
      <c r="D298">
        <v>558</v>
      </c>
      <c r="E298">
        <v>562</v>
      </c>
      <c r="F298">
        <v>2.1174377224199201</v>
      </c>
      <c r="G298">
        <v>2.2026918626012399</v>
      </c>
      <c r="H298">
        <v>0.116157691310456</v>
      </c>
      <c r="I298">
        <v>-0.73395174455948298</v>
      </c>
      <c r="J298">
        <v>-4.03</v>
      </c>
      <c r="L298">
        <v>2.3188495539116958</v>
      </c>
      <c r="M298">
        <v>2.0865341712907841</v>
      </c>
      <c r="N298">
        <v>2.4350072452221521</v>
      </c>
      <c r="O298">
        <v>1.9703764799803278</v>
      </c>
    </row>
    <row r="299" spans="1:15">
      <c r="A299" s="19">
        <v>43364</v>
      </c>
      <c r="B299">
        <v>1145</v>
      </c>
      <c r="C299">
        <v>1164</v>
      </c>
      <c r="D299">
        <v>556</v>
      </c>
      <c r="E299">
        <v>557</v>
      </c>
      <c r="F299">
        <v>2.08976660682226</v>
      </c>
      <c r="G299">
        <v>2.206195333233</v>
      </c>
      <c r="H299">
        <v>0.117488455502895</v>
      </c>
      <c r="I299">
        <v>-0.99098014279257296</v>
      </c>
      <c r="J299">
        <v>-5.57</v>
      </c>
      <c r="L299">
        <v>2.3236837887358952</v>
      </c>
      <c r="M299">
        <v>2.0887068777301048</v>
      </c>
      <c r="N299">
        <v>2.44117224423879</v>
      </c>
      <c r="O299">
        <v>1.97121842222721</v>
      </c>
    </row>
    <row r="300" spans="1:15">
      <c r="A300" s="19">
        <v>43363</v>
      </c>
      <c r="B300">
        <v>1149</v>
      </c>
      <c r="C300">
        <v>1137</v>
      </c>
      <c r="D300">
        <v>555</v>
      </c>
      <c r="E300">
        <v>554</v>
      </c>
      <c r="F300">
        <v>2.05234657039711</v>
      </c>
      <c r="G300">
        <v>2.2108234284419699</v>
      </c>
      <c r="H300">
        <v>0.119628075066697</v>
      </c>
      <c r="I300">
        <v>-1.3247463687474801</v>
      </c>
      <c r="J300">
        <v>-7.72</v>
      </c>
      <c r="L300">
        <v>2.3304515035086668</v>
      </c>
      <c r="M300">
        <v>2.091195353375273</v>
      </c>
      <c r="N300">
        <v>2.4500795785753637</v>
      </c>
      <c r="O300">
        <v>1.9715672783085758</v>
      </c>
    </row>
    <row r="301" spans="1:15">
      <c r="A301" s="19">
        <v>43362</v>
      </c>
      <c r="B301">
        <v>1145</v>
      </c>
      <c r="C301">
        <v>1134</v>
      </c>
      <c r="D301">
        <v>555</v>
      </c>
      <c r="E301">
        <v>552</v>
      </c>
      <c r="F301">
        <v>2.0543478260869499</v>
      </c>
      <c r="G301">
        <v>2.21592373736306</v>
      </c>
      <c r="H301">
        <v>0.120910246295008</v>
      </c>
      <c r="I301">
        <v>-1.33632935360893</v>
      </c>
      <c r="J301">
        <v>-7.87</v>
      </c>
      <c r="L301">
        <v>2.3368339836580678</v>
      </c>
      <c r="M301">
        <v>2.0950134910680522</v>
      </c>
      <c r="N301">
        <v>2.4577442299530761</v>
      </c>
      <c r="O301">
        <v>1.974103244773044</v>
      </c>
    </row>
    <row r="302" spans="1:15">
      <c r="A302" s="19">
        <v>43361</v>
      </c>
      <c r="B302">
        <v>1106</v>
      </c>
      <c r="C302">
        <v>1133</v>
      </c>
      <c r="D302">
        <v>544</v>
      </c>
      <c r="E302">
        <v>549</v>
      </c>
      <c r="F302">
        <v>2.0637522768670298</v>
      </c>
      <c r="G302">
        <v>2.2214482579310602</v>
      </c>
      <c r="H302">
        <v>0.122851670742833</v>
      </c>
      <c r="I302">
        <v>-1.2836291123312</v>
      </c>
      <c r="J302">
        <v>-7.64</v>
      </c>
      <c r="L302">
        <v>2.3442999286738933</v>
      </c>
      <c r="M302">
        <v>2.0985965871882271</v>
      </c>
      <c r="N302">
        <v>2.4671515994167263</v>
      </c>
      <c r="O302">
        <v>1.9757449164453942</v>
      </c>
    </row>
    <row r="303" spans="1:15">
      <c r="A303" s="19">
        <v>43357</v>
      </c>
      <c r="B303">
        <v>1099</v>
      </c>
      <c r="C303">
        <v>1105</v>
      </c>
      <c r="D303">
        <v>539</v>
      </c>
      <c r="E303">
        <v>537</v>
      </c>
      <c r="F303">
        <v>2.0577281191806298</v>
      </c>
      <c r="G303">
        <v>2.2264518861094098</v>
      </c>
      <c r="H303">
        <v>0.123964167086587</v>
      </c>
      <c r="I303">
        <v>-1.36106885476779</v>
      </c>
      <c r="J303">
        <v>-8.1999999999999993</v>
      </c>
      <c r="L303">
        <v>2.350416053195997</v>
      </c>
      <c r="M303">
        <v>2.1024877190228226</v>
      </c>
      <c r="N303">
        <v>2.4743802202825838</v>
      </c>
      <c r="O303">
        <v>1.9785235519362359</v>
      </c>
    </row>
    <row r="304" spans="1:15">
      <c r="A304" s="19">
        <v>43356</v>
      </c>
      <c r="B304">
        <v>1083</v>
      </c>
      <c r="C304">
        <v>1093</v>
      </c>
      <c r="D304">
        <v>534</v>
      </c>
      <c r="E304">
        <v>537</v>
      </c>
      <c r="F304">
        <v>2.03538175046554</v>
      </c>
      <c r="G304">
        <v>2.2314662919066302</v>
      </c>
      <c r="H304">
        <v>0.12464225406488399</v>
      </c>
      <c r="I304">
        <v>-1.5731787178608401</v>
      </c>
      <c r="J304">
        <v>-9.6300000000000008</v>
      </c>
      <c r="L304">
        <v>2.3561085459715141</v>
      </c>
      <c r="M304">
        <v>2.1068240378417462</v>
      </c>
      <c r="N304">
        <v>2.480750800036398</v>
      </c>
      <c r="O304">
        <v>1.9821817837768623</v>
      </c>
    </row>
    <row r="305" spans="1:15">
      <c r="A305" s="19">
        <v>43355</v>
      </c>
      <c r="B305">
        <v>1072</v>
      </c>
      <c r="C305">
        <v>1080</v>
      </c>
      <c r="D305">
        <v>533</v>
      </c>
      <c r="E305">
        <v>532</v>
      </c>
      <c r="F305">
        <v>2.0300751879699201</v>
      </c>
      <c r="G305">
        <v>2.2364345352337498</v>
      </c>
      <c r="H305">
        <v>0.12415262687232199</v>
      </c>
      <c r="I305">
        <v>-1.6621424166566201</v>
      </c>
      <c r="J305">
        <v>-10.17</v>
      </c>
      <c r="L305">
        <v>2.3605871621060719</v>
      </c>
      <c r="M305">
        <v>2.1122819083614277</v>
      </c>
      <c r="N305">
        <v>2.484739788978394</v>
      </c>
      <c r="O305">
        <v>1.9881292814891058</v>
      </c>
    </row>
    <row r="306" spans="1:15">
      <c r="A306" s="19">
        <v>43354</v>
      </c>
      <c r="B306">
        <v>1070</v>
      </c>
      <c r="C306">
        <v>1066</v>
      </c>
      <c r="D306">
        <v>525</v>
      </c>
      <c r="E306">
        <v>529</v>
      </c>
      <c r="F306">
        <v>2.0151228733459301</v>
      </c>
      <c r="G306">
        <v>2.24225931763063</v>
      </c>
      <c r="H306">
        <v>0.12458152684247201</v>
      </c>
      <c r="I306">
        <v>-1.8231952203627799</v>
      </c>
      <c r="J306">
        <v>-11.27</v>
      </c>
      <c r="L306">
        <v>2.3668408444731019</v>
      </c>
      <c r="M306">
        <v>2.1176777907881581</v>
      </c>
      <c r="N306">
        <v>2.4914223713155739</v>
      </c>
      <c r="O306">
        <v>1.993096263945686</v>
      </c>
    </row>
    <row r="307" spans="1:15">
      <c r="A307" s="19">
        <v>43353</v>
      </c>
      <c r="B307">
        <v>1081</v>
      </c>
      <c r="C307">
        <v>1072</v>
      </c>
      <c r="D307">
        <v>521</v>
      </c>
      <c r="E307">
        <v>523</v>
      </c>
      <c r="F307">
        <v>2.0497131931166299</v>
      </c>
      <c r="G307">
        <v>2.2471206349190802</v>
      </c>
      <c r="H307">
        <v>0.122723226046138</v>
      </c>
      <c r="I307">
        <v>-1.6085581202716599</v>
      </c>
      <c r="J307">
        <v>-9.6300000000000008</v>
      </c>
      <c r="L307">
        <v>2.3698438609652182</v>
      </c>
      <c r="M307">
        <v>2.1243974088729423</v>
      </c>
      <c r="N307">
        <v>2.4925670870113561</v>
      </c>
      <c r="O307">
        <v>2.0016741828268043</v>
      </c>
    </row>
    <row r="308" spans="1:15">
      <c r="A308" s="19">
        <v>43350</v>
      </c>
      <c r="B308">
        <v>1080</v>
      </c>
      <c r="C308">
        <v>1081</v>
      </c>
      <c r="D308">
        <v>519</v>
      </c>
      <c r="E308">
        <v>523</v>
      </c>
      <c r="F308">
        <v>2.06692160611854</v>
      </c>
      <c r="G308">
        <v>2.25202000125969</v>
      </c>
      <c r="H308">
        <v>0.122077548957989</v>
      </c>
      <c r="I308">
        <v>-1.51623616890318</v>
      </c>
      <c r="J308">
        <v>-8.9600000000000009</v>
      </c>
      <c r="L308">
        <v>2.3740975502176789</v>
      </c>
      <c r="M308">
        <v>2.1299424523017012</v>
      </c>
      <c r="N308">
        <v>2.4961750991756682</v>
      </c>
      <c r="O308">
        <v>2.0078649033437119</v>
      </c>
    </row>
    <row r="309" spans="1:15">
      <c r="A309" s="19">
        <v>43349</v>
      </c>
      <c r="B309">
        <v>1070</v>
      </c>
      <c r="C309">
        <v>1086</v>
      </c>
      <c r="D309">
        <v>525</v>
      </c>
      <c r="E309">
        <v>524</v>
      </c>
      <c r="F309">
        <v>2.0725190839694601</v>
      </c>
      <c r="G309">
        <v>2.2563922634426601</v>
      </c>
      <c r="H309">
        <v>0.121239286542492</v>
      </c>
      <c r="I309">
        <v>-1.51661383629767</v>
      </c>
      <c r="J309">
        <v>-8.8699999999999992</v>
      </c>
      <c r="L309">
        <v>2.3776315499851521</v>
      </c>
      <c r="M309">
        <v>2.135152976900168</v>
      </c>
      <c r="N309">
        <v>2.4988708365276442</v>
      </c>
      <c r="O309">
        <v>2.013913690357676</v>
      </c>
    </row>
    <row r="310" spans="1:15">
      <c r="A310" s="19">
        <v>43348</v>
      </c>
      <c r="B310">
        <v>1069</v>
      </c>
      <c r="C310">
        <v>1069</v>
      </c>
      <c r="D310">
        <v>524</v>
      </c>
      <c r="E310">
        <v>522</v>
      </c>
      <c r="F310">
        <v>2.04789272030651</v>
      </c>
      <c r="G310">
        <v>2.2607271795934101</v>
      </c>
      <c r="H310">
        <v>0.12039678494492401</v>
      </c>
      <c r="I310">
        <v>-1.7677752722737901</v>
      </c>
      <c r="J310">
        <v>-10.39</v>
      </c>
      <c r="L310">
        <v>2.3811239645383342</v>
      </c>
      <c r="M310">
        <v>2.140330394648486</v>
      </c>
      <c r="N310">
        <v>2.5015207494832579</v>
      </c>
      <c r="O310">
        <v>2.0199336097035623</v>
      </c>
    </row>
    <row r="311" spans="1:15">
      <c r="A311" s="19">
        <v>43347</v>
      </c>
      <c r="B311">
        <v>1080</v>
      </c>
      <c r="C311">
        <v>1077</v>
      </c>
      <c r="D311">
        <v>531</v>
      </c>
      <c r="E311">
        <v>525</v>
      </c>
      <c r="F311">
        <v>2.0514285714285698</v>
      </c>
      <c r="G311">
        <v>2.2651469757480802</v>
      </c>
      <c r="H311">
        <v>0.11857308392385101</v>
      </c>
      <c r="I311">
        <v>-1.80241921055848</v>
      </c>
      <c r="J311">
        <v>-10.42</v>
      </c>
      <c r="L311">
        <v>2.3837200596719312</v>
      </c>
      <c r="M311">
        <v>2.1465738918242292</v>
      </c>
      <c r="N311">
        <v>2.5022931435957823</v>
      </c>
      <c r="O311">
        <v>2.0280008079003782</v>
      </c>
    </row>
    <row r="312" spans="1:15">
      <c r="A312" s="19">
        <v>43346</v>
      </c>
      <c r="B312">
        <v>1104</v>
      </c>
      <c r="C312">
        <v>1091</v>
      </c>
      <c r="D312">
        <v>528</v>
      </c>
      <c r="E312">
        <v>530</v>
      </c>
      <c r="F312">
        <v>2.05849056603773</v>
      </c>
      <c r="G312">
        <v>2.2695294875832199</v>
      </c>
      <c r="H312">
        <v>0.11665163392545801</v>
      </c>
      <c r="I312">
        <v>-1.80913815300992</v>
      </c>
      <c r="J312">
        <v>-10.25</v>
      </c>
      <c r="L312">
        <v>2.3861811215086779</v>
      </c>
      <c r="M312">
        <v>2.152877853657762</v>
      </c>
      <c r="N312">
        <v>2.5028327554341359</v>
      </c>
      <c r="O312">
        <v>2.036226219732304</v>
      </c>
    </row>
    <row r="313" spans="1:15">
      <c r="A313" s="19">
        <v>43343</v>
      </c>
      <c r="B313">
        <v>1099</v>
      </c>
      <c r="C313">
        <v>1113</v>
      </c>
      <c r="D313">
        <v>521</v>
      </c>
      <c r="E313">
        <v>526</v>
      </c>
      <c r="F313">
        <v>2.1159695817490398</v>
      </c>
      <c r="G313">
        <v>2.2743746133693898</v>
      </c>
      <c r="H313">
        <v>0.11532454857292</v>
      </c>
      <c r="I313">
        <v>-1.37355865321407</v>
      </c>
      <c r="J313">
        <v>-7.49</v>
      </c>
      <c r="L313">
        <v>2.38969916194231</v>
      </c>
      <c r="M313">
        <v>2.1590500647964697</v>
      </c>
      <c r="N313">
        <v>2.5050237105152298</v>
      </c>
      <c r="O313">
        <v>2.0437255162235499</v>
      </c>
    </row>
    <row r="314" spans="1:15">
      <c r="A314" s="19">
        <v>43342</v>
      </c>
      <c r="B314">
        <v>1110</v>
      </c>
      <c r="C314">
        <v>1104</v>
      </c>
      <c r="D314">
        <v>536</v>
      </c>
      <c r="E314">
        <v>526</v>
      </c>
      <c r="F314">
        <v>2.0988593155893498</v>
      </c>
      <c r="G314">
        <v>2.27809489049391</v>
      </c>
      <c r="H314">
        <v>0.114653061240494</v>
      </c>
      <c r="I314">
        <v>-1.56328643095367</v>
      </c>
      <c r="J314">
        <v>-8.5399999999999991</v>
      </c>
      <c r="L314">
        <v>2.3927479517344041</v>
      </c>
      <c r="M314">
        <v>2.1634418292534159</v>
      </c>
      <c r="N314">
        <v>2.5074010129748978</v>
      </c>
      <c r="O314">
        <v>2.0487887680129222</v>
      </c>
    </row>
    <row r="315" spans="1:15">
      <c r="A315" s="19">
        <v>43341</v>
      </c>
      <c r="B315">
        <v>1102</v>
      </c>
      <c r="C315">
        <v>1110</v>
      </c>
      <c r="D315">
        <v>527</v>
      </c>
      <c r="E315">
        <v>527</v>
      </c>
      <c r="F315">
        <v>2.1062618595825402</v>
      </c>
      <c r="G315">
        <v>2.2823473658992102</v>
      </c>
      <c r="H315">
        <v>0.113838118339687</v>
      </c>
      <c r="I315">
        <v>-1.54680619185255</v>
      </c>
      <c r="J315">
        <v>-8.36</v>
      </c>
      <c r="L315">
        <v>2.396185484238897</v>
      </c>
      <c r="M315">
        <v>2.1685092475595233</v>
      </c>
      <c r="N315">
        <v>2.5100236025785843</v>
      </c>
      <c r="O315">
        <v>2.0546711292198361</v>
      </c>
    </row>
    <row r="316" spans="1:15">
      <c r="A316" s="19">
        <v>43340</v>
      </c>
      <c r="B316">
        <v>1123</v>
      </c>
      <c r="C316">
        <v>1110</v>
      </c>
      <c r="D316">
        <v>530</v>
      </c>
      <c r="E316">
        <v>522</v>
      </c>
      <c r="F316">
        <v>2.1264367816091898</v>
      </c>
      <c r="G316">
        <v>2.28693701359669</v>
      </c>
      <c r="H316">
        <v>0.113585106386815</v>
      </c>
      <c r="I316">
        <v>-1.41303941241124</v>
      </c>
      <c r="J316">
        <v>-7.55</v>
      </c>
      <c r="L316">
        <v>2.400522119983505</v>
      </c>
      <c r="M316">
        <v>2.173351907209875</v>
      </c>
      <c r="N316">
        <v>2.5141072263703199</v>
      </c>
      <c r="O316">
        <v>2.0597668008230601</v>
      </c>
    </row>
    <row r="317" spans="1:15">
      <c r="A317" s="19">
        <v>43339</v>
      </c>
      <c r="B317">
        <v>1103</v>
      </c>
      <c r="C317">
        <v>1112</v>
      </c>
      <c r="D317">
        <v>526</v>
      </c>
      <c r="E317">
        <v>526</v>
      </c>
      <c r="F317">
        <v>2.1140684410646302</v>
      </c>
      <c r="G317">
        <v>2.2911541024632598</v>
      </c>
      <c r="H317">
        <v>0.11341910315173501</v>
      </c>
      <c r="I317">
        <v>-1.5613389321348301</v>
      </c>
      <c r="J317">
        <v>-8.3800000000000008</v>
      </c>
      <c r="L317">
        <v>2.4045732056149949</v>
      </c>
      <c r="M317">
        <v>2.1777349993115247</v>
      </c>
      <c r="N317">
        <v>2.51799230876673</v>
      </c>
      <c r="O317">
        <v>2.0643158961597896</v>
      </c>
    </row>
    <row r="318" spans="1:15">
      <c r="A318" s="19">
        <v>43336</v>
      </c>
      <c r="B318">
        <v>1110</v>
      </c>
      <c r="C318">
        <v>1110</v>
      </c>
      <c r="D318">
        <v>526</v>
      </c>
      <c r="E318">
        <v>525</v>
      </c>
      <c r="F318">
        <v>2.1142857142857099</v>
      </c>
      <c r="G318">
        <v>2.2967513838068299</v>
      </c>
      <c r="H318">
        <v>0.114890747002171</v>
      </c>
      <c r="I318">
        <v>-1.5881667956921699</v>
      </c>
      <c r="J318">
        <v>-8.6300000000000008</v>
      </c>
      <c r="L318">
        <v>2.411642130809001</v>
      </c>
      <c r="M318">
        <v>2.1818606368046587</v>
      </c>
      <c r="N318">
        <v>2.5265328778111718</v>
      </c>
      <c r="O318">
        <v>2.066969889802488</v>
      </c>
    </row>
    <row r="319" spans="1:15">
      <c r="A319" s="19">
        <v>43335</v>
      </c>
      <c r="B319">
        <v>1104</v>
      </c>
      <c r="C319">
        <v>1104</v>
      </c>
      <c r="D319">
        <v>522</v>
      </c>
      <c r="E319">
        <v>521</v>
      </c>
      <c r="F319">
        <v>2.1190019193857901</v>
      </c>
      <c r="G319">
        <v>2.3025246903125298</v>
      </c>
      <c r="H319">
        <v>0.116445361889339</v>
      </c>
      <c r="I319">
        <v>-1.5760419131261201</v>
      </c>
      <c r="J319">
        <v>-8.66</v>
      </c>
      <c r="L319">
        <v>2.4189700522018689</v>
      </c>
      <c r="M319">
        <v>2.1860793284231907</v>
      </c>
      <c r="N319">
        <v>2.535415414091208</v>
      </c>
      <c r="O319">
        <v>2.0696339665338517</v>
      </c>
    </row>
    <row r="320" spans="1:15">
      <c r="A320" s="19">
        <v>43334</v>
      </c>
      <c r="B320">
        <v>1090</v>
      </c>
      <c r="C320">
        <v>1100</v>
      </c>
      <c r="D320">
        <v>515</v>
      </c>
      <c r="E320">
        <v>520</v>
      </c>
      <c r="F320">
        <v>2.1153846153846101</v>
      </c>
      <c r="G320">
        <v>2.3093056249402002</v>
      </c>
      <c r="H320">
        <v>0.120304654890333</v>
      </c>
      <c r="I320">
        <v>-1.6119160952862499</v>
      </c>
      <c r="J320">
        <v>-9.17</v>
      </c>
      <c r="L320">
        <v>2.4296102798305332</v>
      </c>
      <c r="M320">
        <v>2.1890009700498672</v>
      </c>
      <c r="N320">
        <v>2.5499149347208663</v>
      </c>
      <c r="O320">
        <v>2.0686963151595341</v>
      </c>
    </row>
    <row r="321" spans="1:15">
      <c r="A321" s="19">
        <v>43333</v>
      </c>
      <c r="B321">
        <v>1102</v>
      </c>
      <c r="C321">
        <v>1090</v>
      </c>
      <c r="D321">
        <v>515</v>
      </c>
      <c r="E321">
        <v>518</v>
      </c>
      <c r="F321">
        <v>2.1042471042470998</v>
      </c>
      <c r="G321">
        <v>2.3153900053672101</v>
      </c>
      <c r="H321">
        <v>0.121872426339157</v>
      </c>
      <c r="I321">
        <v>-1.7324911586852401</v>
      </c>
      <c r="J321">
        <v>-10.029999999999999</v>
      </c>
      <c r="L321">
        <v>2.4372624317063671</v>
      </c>
      <c r="M321">
        <v>2.193517579028053</v>
      </c>
      <c r="N321">
        <v>2.5591348580455242</v>
      </c>
      <c r="O321">
        <v>2.0716451526888959</v>
      </c>
    </row>
    <row r="322" spans="1:15">
      <c r="A322" s="19">
        <v>43332</v>
      </c>
      <c r="B322">
        <v>1130</v>
      </c>
      <c r="C322">
        <v>1107</v>
      </c>
      <c r="D322">
        <v>520</v>
      </c>
      <c r="E322">
        <v>517</v>
      </c>
      <c r="F322">
        <v>2.1411992263055999</v>
      </c>
      <c r="G322">
        <v>2.3222897824078301</v>
      </c>
      <c r="H322">
        <v>0.124346784182292</v>
      </c>
      <c r="I322">
        <v>-1.45633485653112</v>
      </c>
      <c r="J322">
        <v>-8.4600000000000009</v>
      </c>
      <c r="L322">
        <v>2.4466365665901222</v>
      </c>
      <c r="M322">
        <v>2.1979429982255381</v>
      </c>
      <c r="N322">
        <v>2.5709833507724142</v>
      </c>
      <c r="O322">
        <v>2.073596214043246</v>
      </c>
    </row>
    <row r="323" spans="1:15">
      <c r="A323" s="19">
        <v>43329</v>
      </c>
      <c r="B323">
        <v>1139</v>
      </c>
      <c r="C323">
        <v>1124</v>
      </c>
      <c r="D323">
        <v>521</v>
      </c>
      <c r="E323">
        <v>523</v>
      </c>
      <c r="F323">
        <v>2.1491395793499</v>
      </c>
      <c r="G323">
        <v>2.3285404593904202</v>
      </c>
      <c r="H323">
        <v>0.12684438039465401</v>
      </c>
      <c r="I323">
        <v>-1.4143384159577901</v>
      </c>
      <c r="J323">
        <v>-8.35</v>
      </c>
      <c r="L323">
        <v>2.4553848397850744</v>
      </c>
      <c r="M323">
        <v>2.201696078995766</v>
      </c>
      <c r="N323">
        <v>2.5822292201797281</v>
      </c>
      <c r="O323">
        <v>2.0748516986011123</v>
      </c>
    </row>
    <row r="324" spans="1:15">
      <c r="A324" s="19">
        <v>43328</v>
      </c>
      <c r="B324">
        <v>1113</v>
      </c>
      <c r="C324">
        <v>1126</v>
      </c>
      <c r="D324">
        <v>515</v>
      </c>
      <c r="E324">
        <v>523</v>
      </c>
      <c r="F324">
        <v>2.1529636711280999</v>
      </c>
      <c r="G324">
        <v>2.3342432157642299</v>
      </c>
      <c r="H324">
        <v>0.12825725575043601</v>
      </c>
      <c r="I324">
        <v>-1.4134057646520799</v>
      </c>
      <c r="J324">
        <v>-8.42</v>
      </c>
      <c r="L324">
        <v>2.4625004715146659</v>
      </c>
      <c r="M324">
        <v>2.2059859600137939</v>
      </c>
      <c r="N324">
        <v>2.5907577272651019</v>
      </c>
      <c r="O324">
        <v>2.0777287042633579</v>
      </c>
    </row>
    <row r="325" spans="1:15">
      <c r="A325" s="19">
        <v>43327</v>
      </c>
      <c r="B325">
        <v>1118</v>
      </c>
      <c r="C325">
        <v>1131</v>
      </c>
      <c r="D325">
        <v>517</v>
      </c>
      <c r="E325">
        <v>520</v>
      </c>
      <c r="F325">
        <v>2.1749999999999998</v>
      </c>
      <c r="G325">
        <v>2.3401662919995498</v>
      </c>
      <c r="H325">
        <v>0.12999456950843999</v>
      </c>
      <c r="I325">
        <v>-1.27056301370214</v>
      </c>
      <c r="J325">
        <v>-7.59</v>
      </c>
      <c r="L325">
        <v>2.4701608615079897</v>
      </c>
      <c r="M325">
        <v>2.2101717224911099</v>
      </c>
      <c r="N325">
        <v>2.6001554310164297</v>
      </c>
      <c r="O325">
        <v>2.08017715298267</v>
      </c>
    </row>
    <row r="326" spans="1:15">
      <c r="A326" s="19">
        <v>43326</v>
      </c>
      <c r="B326">
        <v>1126</v>
      </c>
      <c r="C326">
        <v>1146</v>
      </c>
      <c r="D326">
        <v>524</v>
      </c>
      <c r="E326">
        <v>523</v>
      </c>
      <c r="F326">
        <v>2.1912045889101299</v>
      </c>
      <c r="G326">
        <v>2.34521343004669</v>
      </c>
      <c r="H326">
        <v>0.130829662276266</v>
      </c>
      <c r="I326">
        <v>-1.17717066953325</v>
      </c>
      <c r="J326">
        <v>-7.03</v>
      </c>
      <c r="L326">
        <v>2.4760430923229562</v>
      </c>
      <c r="M326">
        <v>2.2143837677704239</v>
      </c>
      <c r="N326">
        <v>2.6068727545992219</v>
      </c>
      <c r="O326">
        <v>2.0835541054941582</v>
      </c>
    </row>
    <row r="327" spans="1:15">
      <c r="A327" s="19">
        <v>43325</v>
      </c>
      <c r="B327">
        <v>1139</v>
      </c>
      <c r="C327">
        <v>1128</v>
      </c>
      <c r="D327">
        <v>518</v>
      </c>
      <c r="E327">
        <v>514</v>
      </c>
      <c r="F327">
        <v>2.1945525291828698</v>
      </c>
      <c r="G327">
        <v>2.35041471303466</v>
      </c>
      <c r="H327">
        <v>0.13234901174497701</v>
      </c>
      <c r="I327">
        <v>-1.1776603527053</v>
      </c>
      <c r="J327">
        <v>-7.1</v>
      </c>
      <c r="L327">
        <v>2.482763724779637</v>
      </c>
      <c r="M327">
        <v>2.2180657012896829</v>
      </c>
      <c r="N327">
        <v>2.6151127365246141</v>
      </c>
      <c r="O327">
        <v>2.0857166895447059</v>
      </c>
    </row>
    <row r="328" spans="1:15">
      <c r="A328" s="19">
        <v>43322</v>
      </c>
      <c r="B328">
        <v>1133</v>
      </c>
      <c r="C328">
        <v>1149</v>
      </c>
      <c r="D328">
        <v>524</v>
      </c>
      <c r="E328">
        <v>528</v>
      </c>
      <c r="F328">
        <v>2.1761363636363602</v>
      </c>
      <c r="G328">
        <v>2.3553816549219802</v>
      </c>
      <c r="H328">
        <v>0.13339251087416801</v>
      </c>
      <c r="I328">
        <v>-1.343743288967</v>
      </c>
      <c r="J328">
        <v>-8.24</v>
      </c>
      <c r="L328">
        <v>2.4887741657961482</v>
      </c>
      <c r="M328">
        <v>2.2219891440478121</v>
      </c>
      <c r="N328">
        <v>2.6221666766703162</v>
      </c>
      <c r="O328">
        <v>2.0885966331736441</v>
      </c>
    </row>
    <row r="329" spans="1:15">
      <c r="A329" s="19">
        <v>43321</v>
      </c>
      <c r="B329">
        <v>1127</v>
      </c>
      <c r="C329">
        <v>1127</v>
      </c>
      <c r="D329">
        <v>533</v>
      </c>
      <c r="E329">
        <v>526</v>
      </c>
      <c r="F329">
        <v>2.1425855513307899</v>
      </c>
      <c r="G329">
        <v>2.3599417722240301</v>
      </c>
      <c r="H329">
        <v>0.13303235852579801</v>
      </c>
      <c r="I329">
        <v>-1.6338597864600699</v>
      </c>
      <c r="J329">
        <v>-10.14</v>
      </c>
      <c r="L329">
        <v>2.4929741307498281</v>
      </c>
      <c r="M329">
        <v>2.2269094136982321</v>
      </c>
      <c r="N329">
        <v>2.6260064892756261</v>
      </c>
      <c r="O329">
        <v>2.0938770551724342</v>
      </c>
    </row>
    <row r="330" spans="1:15">
      <c r="A330" s="19">
        <v>43320</v>
      </c>
      <c r="B330">
        <v>1111</v>
      </c>
      <c r="C330">
        <v>1121</v>
      </c>
      <c r="D330">
        <v>539</v>
      </c>
      <c r="E330">
        <v>534</v>
      </c>
      <c r="F330">
        <v>2.0992509363295802</v>
      </c>
      <c r="G330">
        <v>2.3647879433675798</v>
      </c>
      <c r="H330">
        <v>0.131639033935601</v>
      </c>
      <c r="I330">
        <v>-2.0171601013715899</v>
      </c>
      <c r="J330">
        <v>-12.65</v>
      </c>
      <c r="L330">
        <v>2.4964269773031806</v>
      </c>
      <c r="M330">
        <v>2.233148909431979</v>
      </c>
      <c r="N330">
        <v>2.6280660112387819</v>
      </c>
      <c r="O330">
        <v>2.1015098754963777</v>
      </c>
    </row>
    <row r="331" spans="1:15">
      <c r="A331" s="19">
        <v>43319</v>
      </c>
      <c r="B331">
        <v>1112</v>
      </c>
      <c r="C331">
        <v>1119</v>
      </c>
      <c r="D331">
        <v>532</v>
      </c>
      <c r="E331">
        <v>540</v>
      </c>
      <c r="F331">
        <v>2.0722222222222202</v>
      </c>
      <c r="G331">
        <v>2.3705234210792598</v>
      </c>
      <c r="H331">
        <v>0.12929483448120299</v>
      </c>
      <c r="I331">
        <v>-2.3071393381954</v>
      </c>
      <c r="J331">
        <v>-14.4</v>
      </c>
      <c r="L331">
        <v>2.4998182555604629</v>
      </c>
      <c r="M331">
        <v>2.2412285865980568</v>
      </c>
      <c r="N331">
        <v>2.6291130900416659</v>
      </c>
      <c r="O331">
        <v>2.1119337521168537</v>
      </c>
    </row>
    <row r="332" spans="1:15">
      <c r="A332" s="19">
        <v>43318</v>
      </c>
      <c r="B332">
        <v>1141</v>
      </c>
      <c r="C332">
        <v>1123</v>
      </c>
      <c r="D332">
        <v>520</v>
      </c>
      <c r="E332">
        <v>528</v>
      </c>
      <c r="F332">
        <v>2.1268939393939301</v>
      </c>
      <c r="G332">
        <v>2.3763615333851198</v>
      </c>
      <c r="H332">
        <v>0.12552412324175599</v>
      </c>
      <c r="I332">
        <v>-1.9874075799017099</v>
      </c>
      <c r="J332">
        <v>-11.73</v>
      </c>
      <c r="L332">
        <v>2.5018856566268757</v>
      </c>
      <c r="M332">
        <v>2.2508374101433639</v>
      </c>
      <c r="N332">
        <v>2.627409779868632</v>
      </c>
      <c r="O332">
        <v>2.1253132869016076</v>
      </c>
    </row>
    <row r="333" spans="1:15">
      <c r="A333" s="19">
        <v>43315</v>
      </c>
      <c r="B333">
        <v>1178</v>
      </c>
      <c r="C333">
        <v>1152</v>
      </c>
      <c r="D333">
        <v>526</v>
      </c>
      <c r="E333">
        <v>519</v>
      </c>
      <c r="F333">
        <v>2.2196531791907499</v>
      </c>
      <c r="G333">
        <v>2.3824177319207802</v>
      </c>
      <c r="H333">
        <v>0.124293173476309</v>
      </c>
      <c r="I333">
        <v>-1.3095212567008701</v>
      </c>
      <c r="J333">
        <v>-7.33</v>
      </c>
      <c r="L333">
        <v>2.5067109053970893</v>
      </c>
      <c r="M333">
        <v>2.2581245584444711</v>
      </c>
      <c r="N333">
        <v>2.6310040788733984</v>
      </c>
      <c r="O333">
        <v>2.133831384968162</v>
      </c>
    </row>
    <row r="334" spans="1:15">
      <c r="A334" s="19">
        <v>43314</v>
      </c>
      <c r="B334">
        <v>1188</v>
      </c>
      <c r="C334">
        <v>1179</v>
      </c>
      <c r="D334">
        <v>525</v>
      </c>
      <c r="E334">
        <v>522</v>
      </c>
      <c r="F334">
        <v>2.2586206896551699</v>
      </c>
      <c r="G334">
        <v>2.3876264799095801</v>
      </c>
      <c r="H334">
        <v>0.12554239130529099</v>
      </c>
      <c r="I334">
        <v>-1.0275874858931</v>
      </c>
      <c r="J334">
        <v>-5.71</v>
      </c>
      <c r="L334">
        <v>2.5131688712148712</v>
      </c>
      <c r="M334">
        <v>2.262084088604289</v>
      </c>
      <c r="N334">
        <v>2.6387112625201619</v>
      </c>
      <c r="O334">
        <v>2.1365416972989983</v>
      </c>
    </row>
    <row r="335" spans="1:15">
      <c r="A335" s="19">
        <v>43313</v>
      </c>
      <c r="B335">
        <v>1193</v>
      </c>
      <c r="C335">
        <v>1198</v>
      </c>
      <c r="D335">
        <v>539</v>
      </c>
      <c r="E335">
        <v>538</v>
      </c>
      <c r="F335">
        <v>2.2267657992565</v>
      </c>
      <c r="G335">
        <v>2.3923170929364002</v>
      </c>
      <c r="H335">
        <v>0.127195898031467</v>
      </c>
      <c r="I335">
        <v>-1.30154585361662</v>
      </c>
      <c r="J335">
        <v>-7.43</v>
      </c>
      <c r="L335">
        <v>2.5195129909678671</v>
      </c>
      <c r="M335">
        <v>2.2651211949049332</v>
      </c>
      <c r="N335">
        <v>2.646708888999334</v>
      </c>
      <c r="O335">
        <v>2.1379252968734663</v>
      </c>
    </row>
    <row r="336" spans="1:15">
      <c r="A336" s="19">
        <v>43312</v>
      </c>
      <c r="B336">
        <v>1226</v>
      </c>
      <c r="C336">
        <v>1163</v>
      </c>
      <c r="D336">
        <v>530</v>
      </c>
      <c r="E336">
        <v>533</v>
      </c>
      <c r="F336">
        <v>2.1819887429643501</v>
      </c>
      <c r="G336">
        <v>2.3973433414774301</v>
      </c>
      <c r="H336">
        <v>0.12800026361185199</v>
      </c>
      <c r="I336">
        <v>-1.68245433592329</v>
      </c>
      <c r="J336">
        <v>-9.8699999999999992</v>
      </c>
      <c r="L336">
        <v>2.5253436050892821</v>
      </c>
      <c r="M336">
        <v>2.2693430778655781</v>
      </c>
      <c r="N336">
        <v>2.6533438687011341</v>
      </c>
      <c r="O336">
        <v>2.1413428142537261</v>
      </c>
    </row>
    <row r="337" spans="1:15">
      <c r="A337" s="19">
        <v>43311</v>
      </c>
      <c r="B337">
        <v>1263</v>
      </c>
      <c r="C337">
        <v>1261</v>
      </c>
      <c r="D337">
        <v>534</v>
      </c>
      <c r="E337">
        <v>538</v>
      </c>
      <c r="F337">
        <v>2.3438661710037101</v>
      </c>
      <c r="G337">
        <v>2.4036294205900299</v>
      </c>
      <c r="H337">
        <v>0.128843664581545</v>
      </c>
      <c r="I337">
        <v>-0.46384313718812598</v>
      </c>
      <c r="J337">
        <v>-2.5499999999999998</v>
      </c>
      <c r="L337">
        <v>2.5324730851715751</v>
      </c>
      <c r="M337">
        <v>2.2747857560084848</v>
      </c>
      <c r="N337">
        <v>2.6613167497531198</v>
      </c>
      <c r="O337">
        <v>2.14594209142694</v>
      </c>
    </row>
    <row r="338" spans="1:15">
      <c r="A338" s="19">
        <v>43308</v>
      </c>
      <c r="B338">
        <v>1263</v>
      </c>
      <c r="C338">
        <v>1252</v>
      </c>
      <c r="D338">
        <v>539</v>
      </c>
      <c r="E338">
        <v>537</v>
      </c>
      <c r="F338">
        <v>2.3314711359403999</v>
      </c>
      <c r="G338">
        <v>2.40735729551163</v>
      </c>
      <c r="H338">
        <v>0.13108581872181699</v>
      </c>
      <c r="I338">
        <v>-0.57890441781703905</v>
      </c>
      <c r="J338">
        <v>-3.25</v>
      </c>
      <c r="L338">
        <v>2.5384431142334472</v>
      </c>
      <c r="M338">
        <v>2.2762714767898129</v>
      </c>
      <c r="N338">
        <v>2.6695289329552638</v>
      </c>
      <c r="O338">
        <v>2.1451856580679962</v>
      </c>
    </row>
    <row r="339" spans="1:15">
      <c r="A339" s="19">
        <v>43307</v>
      </c>
      <c r="B339">
        <v>1250</v>
      </c>
      <c r="C339">
        <v>1258</v>
      </c>
      <c r="D339">
        <v>542</v>
      </c>
      <c r="E339">
        <v>542</v>
      </c>
      <c r="F339">
        <v>2.3210332103321001</v>
      </c>
      <c r="G339">
        <v>2.4103603607781299</v>
      </c>
      <c r="H339">
        <v>0.13189037631137199</v>
      </c>
      <c r="I339">
        <v>-0.67728330864066399</v>
      </c>
      <c r="J339">
        <v>-3.85</v>
      </c>
      <c r="L339">
        <v>2.542250737089502</v>
      </c>
      <c r="M339">
        <v>2.2784699844667577</v>
      </c>
      <c r="N339">
        <v>2.6741411134008737</v>
      </c>
      <c r="O339">
        <v>2.1465796081553861</v>
      </c>
    </row>
    <row r="340" spans="1:15">
      <c r="A340" s="19">
        <v>43306</v>
      </c>
      <c r="B340">
        <v>1249</v>
      </c>
      <c r="C340">
        <v>1248</v>
      </c>
      <c r="D340">
        <v>549</v>
      </c>
      <c r="E340">
        <v>541</v>
      </c>
      <c r="F340">
        <v>2.3068391866913101</v>
      </c>
      <c r="G340">
        <v>2.4128702959805701</v>
      </c>
      <c r="H340">
        <v>0.13195773555950899</v>
      </c>
      <c r="I340">
        <v>-0.80352325568248295</v>
      </c>
      <c r="J340">
        <v>-4.5999999999999996</v>
      </c>
      <c r="L340">
        <v>2.5448280315400793</v>
      </c>
      <c r="M340">
        <v>2.2809125604210609</v>
      </c>
      <c r="N340">
        <v>2.676785767099588</v>
      </c>
      <c r="O340">
        <v>2.1489548248615522</v>
      </c>
    </row>
    <row r="341" spans="1:15">
      <c r="A341" s="19">
        <v>43305</v>
      </c>
      <c r="B341">
        <v>1225</v>
      </c>
      <c r="C341">
        <v>1245</v>
      </c>
      <c r="D341">
        <v>552</v>
      </c>
      <c r="E341">
        <v>555</v>
      </c>
      <c r="F341">
        <v>2.2432432432432399</v>
      </c>
      <c r="G341">
        <v>2.4156937073756501</v>
      </c>
      <c r="H341">
        <v>0.13192424845579701</v>
      </c>
      <c r="I341">
        <v>-1.30719307595824</v>
      </c>
      <c r="J341">
        <v>-7.69</v>
      </c>
      <c r="L341">
        <v>2.5476179558314471</v>
      </c>
      <c r="M341">
        <v>2.2837694589198532</v>
      </c>
      <c r="N341">
        <v>2.6795422042872441</v>
      </c>
      <c r="O341">
        <v>2.1518452104640562</v>
      </c>
    </row>
    <row r="342" spans="1:15">
      <c r="A342" s="19">
        <v>43304</v>
      </c>
      <c r="B342">
        <v>1209</v>
      </c>
      <c r="C342">
        <v>1225</v>
      </c>
      <c r="D342">
        <v>555</v>
      </c>
      <c r="E342">
        <v>556</v>
      </c>
      <c r="F342">
        <v>2.2032374100719401</v>
      </c>
      <c r="G342">
        <v>2.4195207494490401</v>
      </c>
      <c r="H342">
        <v>0.13102625516795</v>
      </c>
      <c r="I342">
        <v>-1.6506870252826</v>
      </c>
      <c r="J342">
        <v>-9.82</v>
      </c>
      <c r="L342">
        <v>2.5505470046169902</v>
      </c>
      <c r="M342">
        <v>2.2884944942810899</v>
      </c>
      <c r="N342">
        <v>2.68157325978494</v>
      </c>
      <c r="O342">
        <v>2.1574682391131401</v>
      </c>
    </row>
    <row r="343" spans="1:15">
      <c r="A343" s="19">
        <v>43301</v>
      </c>
      <c r="B343">
        <v>1228</v>
      </c>
      <c r="C343">
        <v>1226</v>
      </c>
      <c r="D343">
        <v>562</v>
      </c>
      <c r="E343">
        <v>563</v>
      </c>
      <c r="F343">
        <v>2.1776198934280599</v>
      </c>
      <c r="G343">
        <v>2.4238299447988898</v>
      </c>
      <c r="H343">
        <v>0.12914326695737499</v>
      </c>
      <c r="I343">
        <v>-1.90648771067636</v>
      </c>
      <c r="J343">
        <v>-11.31</v>
      </c>
      <c r="L343">
        <v>2.5529732117562647</v>
      </c>
      <c r="M343">
        <v>2.2946866778415149</v>
      </c>
      <c r="N343">
        <v>2.68211647871364</v>
      </c>
      <c r="O343">
        <v>2.1655434108841396</v>
      </c>
    </row>
    <row r="344" spans="1:15">
      <c r="A344" s="19">
        <v>43300</v>
      </c>
      <c r="B344">
        <v>1250</v>
      </c>
      <c r="C344">
        <v>1239</v>
      </c>
      <c r="D344">
        <v>556</v>
      </c>
      <c r="E344">
        <v>561</v>
      </c>
      <c r="F344">
        <v>2.2085561497326198</v>
      </c>
      <c r="G344">
        <v>2.4287240909007002</v>
      </c>
      <c r="H344">
        <v>0.12665111433782</v>
      </c>
      <c r="I344">
        <v>-1.73838139774139</v>
      </c>
      <c r="J344">
        <v>-9.9700000000000006</v>
      </c>
      <c r="L344">
        <v>2.5553752052385201</v>
      </c>
      <c r="M344">
        <v>2.3020729765628802</v>
      </c>
      <c r="N344">
        <v>2.6820263195763401</v>
      </c>
      <c r="O344">
        <v>2.1754218622250603</v>
      </c>
    </row>
    <row r="345" spans="1:15">
      <c r="A345" s="19">
        <v>43299</v>
      </c>
      <c r="B345">
        <v>1246</v>
      </c>
      <c r="C345">
        <v>1236</v>
      </c>
      <c r="D345">
        <v>552</v>
      </c>
      <c r="E345">
        <v>549</v>
      </c>
      <c r="F345">
        <v>2.2513661202185702</v>
      </c>
      <c r="G345">
        <v>2.43308420695169</v>
      </c>
      <c r="H345">
        <v>0.1246088861237</v>
      </c>
      <c r="I345">
        <v>-1.45830760859798</v>
      </c>
      <c r="J345">
        <v>-8.07</v>
      </c>
      <c r="L345">
        <v>2.5576930930753901</v>
      </c>
      <c r="M345">
        <v>2.30847532082799</v>
      </c>
      <c r="N345">
        <v>2.6823019791990901</v>
      </c>
      <c r="O345">
        <v>2.18386643470429</v>
      </c>
    </row>
    <row r="346" spans="1:15">
      <c r="A346" s="19">
        <v>43298</v>
      </c>
      <c r="B346">
        <v>1230</v>
      </c>
      <c r="C346">
        <v>1239</v>
      </c>
      <c r="D346">
        <v>537</v>
      </c>
      <c r="E346">
        <v>554</v>
      </c>
      <c r="F346">
        <v>2.2364620938628099</v>
      </c>
      <c r="G346">
        <v>2.4370028341207002</v>
      </c>
      <c r="H346">
        <v>0.123448454487218</v>
      </c>
      <c r="I346">
        <v>-1.6244896794447401</v>
      </c>
      <c r="J346">
        <v>-8.9700000000000006</v>
      </c>
      <c r="L346">
        <v>2.560451288607918</v>
      </c>
      <c r="M346">
        <v>2.3135543796334823</v>
      </c>
      <c r="N346">
        <v>2.6838997430951363</v>
      </c>
      <c r="O346">
        <v>2.190105925146264</v>
      </c>
    </row>
    <row r="347" spans="1:15">
      <c r="A347" s="19">
        <v>43294</v>
      </c>
      <c r="B347">
        <v>1211</v>
      </c>
      <c r="C347">
        <v>1222</v>
      </c>
      <c r="D347">
        <v>540</v>
      </c>
      <c r="E347">
        <v>536</v>
      </c>
      <c r="F347">
        <v>2.2798507462686501</v>
      </c>
      <c r="G347">
        <v>2.4406567288916099</v>
      </c>
      <c r="H347">
        <v>0.121498894927839</v>
      </c>
      <c r="I347">
        <v>-1.3235180675384699</v>
      </c>
      <c r="J347">
        <v>-7.05</v>
      </c>
      <c r="L347">
        <v>2.5621556238194487</v>
      </c>
      <c r="M347">
        <v>2.3191578339637711</v>
      </c>
      <c r="N347">
        <v>2.683654518747288</v>
      </c>
      <c r="O347">
        <v>2.1976589390359318</v>
      </c>
    </row>
    <row r="348" spans="1:15">
      <c r="A348" s="19">
        <v>43293</v>
      </c>
      <c r="B348">
        <v>1225</v>
      </c>
      <c r="C348">
        <v>1209</v>
      </c>
      <c r="D348">
        <v>537</v>
      </c>
      <c r="E348">
        <v>540</v>
      </c>
      <c r="F348">
        <v>2.23888888888888</v>
      </c>
      <c r="G348">
        <v>2.4434267630184898</v>
      </c>
      <c r="H348">
        <v>0.12016203202378201</v>
      </c>
      <c r="I348">
        <v>-1.7021838819197599</v>
      </c>
      <c r="J348">
        <v>-9.14</v>
      </c>
      <c r="L348">
        <v>2.5635887950422718</v>
      </c>
      <c r="M348">
        <v>2.3232647309947079</v>
      </c>
      <c r="N348">
        <v>2.6837508270660537</v>
      </c>
      <c r="O348">
        <v>2.2031026989709259</v>
      </c>
    </row>
    <row r="349" spans="1:15">
      <c r="A349" s="19">
        <v>43292</v>
      </c>
      <c r="B349">
        <v>1224</v>
      </c>
      <c r="C349">
        <v>1204</v>
      </c>
      <c r="D349">
        <v>533</v>
      </c>
      <c r="E349">
        <v>537</v>
      </c>
      <c r="F349">
        <v>2.2420856610800701</v>
      </c>
      <c r="G349">
        <v>2.4468799959124001</v>
      </c>
      <c r="H349">
        <v>0.11793522204644399</v>
      </c>
      <c r="I349">
        <v>-1.7364984885658901</v>
      </c>
      <c r="J349">
        <v>-9.1300000000000008</v>
      </c>
      <c r="L349">
        <v>2.5648152179588442</v>
      </c>
      <c r="M349">
        <v>2.3289447738659561</v>
      </c>
      <c r="N349">
        <v>2.6827504400052882</v>
      </c>
      <c r="O349">
        <v>2.2110095518195121</v>
      </c>
    </row>
    <row r="350" spans="1:15">
      <c r="A350" s="19">
        <v>43291</v>
      </c>
      <c r="B350">
        <v>1208</v>
      </c>
      <c r="C350">
        <v>1203</v>
      </c>
      <c r="D350">
        <v>545</v>
      </c>
      <c r="E350">
        <v>541</v>
      </c>
      <c r="F350">
        <v>2.2236598890942698</v>
      </c>
      <c r="G350">
        <v>2.4498146520840001</v>
      </c>
      <c r="H350">
        <v>0.115516310486713</v>
      </c>
      <c r="I350">
        <v>-1.95777342642659</v>
      </c>
      <c r="J350">
        <v>-10.17</v>
      </c>
      <c r="L350">
        <v>2.5653309625707132</v>
      </c>
      <c r="M350">
        <v>2.3342983415972869</v>
      </c>
      <c r="N350">
        <v>2.680847273057426</v>
      </c>
      <c r="O350">
        <v>2.2187820311105741</v>
      </c>
    </row>
    <row r="351" spans="1:15">
      <c r="A351" s="19">
        <v>43290</v>
      </c>
      <c r="B351">
        <v>1174</v>
      </c>
      <c r="C351">
        <v>1188</v>
      </c>
      <c r="D351">
        <v>550</v>
      </c>
      <c r="E351">
        <v>545</v>
      </c>
      <c r="F351">
        <v>2.1798165137614598</v>
      </c>
      <c r="G351">
        <v>2.4536522836253698</v>
      </c>
      <c r="H351">
        <v>0.11268562223195901</v>
      </c>
      <c r="I351">
        <v>-2.43008614976829</v>
      </c>
      <c r="J351">
        <v>-12.56</v>
      </c>
      <c r="L351">
        <v>2.566337905857329</v>
      </c>
      <c r="M351">
        <v>2.3409666613934106</v>
      </c>
      <c r="N351">
        <v>2.6790235280892878</v>
      </c>
      <c r="O351">
        <v>2.2282810391614518</v>
      </c>
    </row>
    <row r="352" spans="1:15">
      <c r="A352" s="19">
        <v>43287</v>
      </c>
      <c r="B352">
        <v>1178</v>
      </c>
      <c r="C352">
        <v>1167</v>
      </c>
      <c r="D352">
        <v>535</v>
      </c>
      <c r="E352">
        <v>545</v>
      </c>
      <c r="F352">
        <v>2.1412844036697201</v>
      </c>
      <c r="G352">
        <v>2.45773970565013</v>
      </c>
      <c r="H352">
        <v>0.10814714113565201</v>
      </c>
      <c r="I352">
        <v>-2.92615503893412</v>
      </c>
      <c r="J352">
        <v>-14.78</v>
      </c>
      <c r="L352">
        <v>2.5658868467857818</v>
      </c>
      <c r="M352">
        <v>2.3495925645144782</v>
      </c>
      <c r="N352">
        <v>2.6740339879214341</v>
      </c>
      <c r="O352">
        <v>2.2414454233788259</v>
      </c>
    </row>
    <row r="353" spans="1:15">
      <c r="A353" s="19">
        <v>43286</v>
      </c>
      <c r="B353">
        <v>1196</v>
      </c>
      <c r="C353">
        <v>1178</v>
      </c>
      <c r="D353">
        <v>525</v>
      </c>
      <c r="E353">
        <v>525</v>
      </c>
      <c r="F353">
        <v>2.2438095238095199</v>
      </c>
      <c r="G353">
        <v>2.46198427799043</v>
      </c>
      <c r="H353">
        <v>0.10169848806354501</v>
      </c>
      <c r="I353">
        <v>-2.1453097124176601</v>
      </c>
      <c r="J353">
        <v>-9.7200000000000006</v>
      </c>
      <c r="L353">
        <v>2.5636827660539749</v>
      </c>
      <c r="M353">
        <v>2.360285789926885</v>
      </c>
      <c r="N353">
        <v>2.6653812541175199</v>
      </c>
      <c r="O353">
        <v>2.25858730186334</v>
      </c>
    </row>
    <row r="354" spans="1:15">
      <c r="A354" s="19">
        <v>43285</v>
      </c>
      <c r="B354">
        <v>1176</v>
      </c>
      <c r="C354">
        <v>1194</v>
      </c>
      <c r="D354">
        <v>512</v>
      </c>
      <c r="E354">
        <v>535</v>
      </c>
      <c r="F354">
        <v>2.2317757009345698</v>
      </c>
      <c r="G354">
        <v>2.4647717357057601</v>
      </c>
      <c r="H354">
        <v>9.8494927731529403E-2</v>
      </c>
      <c r="I354">
        <v>-2.3655637923434001</v>
      </c>
      <c r="J354">
        <v>-10.44</v>
      </c>
      <c r="L354">
        <v>2.5632666634372896</v>
      </c>
      <c r="M354">
        <v>2.3662768079742307</v>
      </c>
      <c r="N354">
        <v>2.6617615911688191</v>
      </c>
      <c r="O354">
        <v>2.2677818802427012</v>
      </c>
    </row>
    <row r="355" spans="1:15">
      <c r="A355" s="19">
        <v>43284</v>
      </c>
      <c r="B355">
        <v>1191</v>
      </c>
      <c r="C355">
        <v>1171</v>
      </c>
      <c r="D355">
        <v>538</v>
      </c>
      <c r="E355">
        <v>518</v>
      </c>
      <c r="F355">
        <v>2.2606177606177602</v>
      </c>
      <c r="G355">
        <v>2.4673918307370699</v>
      </c>
      <c r="H355">
        <v>9.4806696666482698E-2</v>
      </c>
      <c r="I355">
        <v>-2.18100701099964</v>
      </c>
      <c r="J355">
        <v>-9.15</v>
      </c>
      <c r="L355">
        <v>2.5621985274035528</v>
      </c>
      <c r="M355">
        <v>2.372585134070587</v>
      </c>
      <c r="N355">
        <v>2.6570052240700353</v>
      </c>
      <c r="O355">
        <v>2.2777784374041046</v>
      </c>
    </row>
    <row r="356" spans="1:15">
      <c r="A356" s="19">
        <v>43283</v>
      </c>
      <c r="B356">
        <v>1217</v>
      </c>
      <c r="C356">
        <v>1186</v>
      </c>
      <c r="D356">
        <v>531</v>
      </c>
      <c r="E356">
        <v>538</v>
      </c>
      <c r="F356">
        <v>2.2044609665427499</v>
      </c>
      <c r="G356">
        <v>2.46983090575679</v>
      </c>
      <c r="H356">
        <v>9.1759834508011201E-2</v>
      </c>
      <c r="I356">
        <v>-2.8920054252154999</v>
      </c>
      <c r="J356">
        <v>-12.04</v>
      </c>
      <c r="L356">
        <v>2.5615907402648013</v>
      </c>
      <c r="M356">
        <v>2.3780710712487787</v>
      </c>
      <c r="N356">
        <v>2.6533505747728126</v>
      </c>
      <c r="O356">
        <v>2.2863112367407674</v>
      </c>
    </row>
    <row r="357" spans="1:15">
      <c r="A357" s="19">
        <v>43280</v>
      </c>
      <c r="B357">
        <v>1219</v>
      </c>
      <c r="C357">
        <v>1216</v>
      </c>
      <c r="D357">
        <v>521</v>
      </c>
      <c r="E357">
        <v>528</v>
      </c>
      <c r="F357">
        <v>2.3030303030303001</v>
      </c>
      <c r="G357">
        <v>2.4722855616401</v>
      </c>
      <c r="H357">
        <v>8.6965270604142303E-2</v>
      </c>
      <c r="I357">
        <v>-1.9462396590500499</v>
      </c>
      <c r="J357">
        <v>-7.35</v>
      </c>
      <c r="L357">
        <v>2.5592508322442424</v>
      </c>
      <c r="M357">
        <v>2.3853202910359577</v>
      </c>
      <c r="N357">
        <v>2.6462161028483848</v>
      </c>
      <c r="O357">
        <v>2.2983550204318153</v>
      </c>
    </row>
    <row r="358" spans="1:15">
      <c r="A358" s="19">
        <v>43279</v>
      </c>
      <c r="B358">
        <v>1217</v>
      </c>
      <c r="C358">
        <v>1214</v>
      </c>
      <c r="D358">
        <v>523</v>
      </c>
      <c r="E358">
        <v>523</v>
      </c>
      <c r="F358">
        <v>2.3212237093690198</v>
      </c>
      <c r="G358">
        <v>2.4740256620305101</v>
      </c>
      <c r="H358">
        <v>8.4840935057107894E-2</v>
      </c>
      <c r="I358">
        <v>-1.8010404123744499</v>
      </c>
      <c r="J358">
        <v>-6.58</v>
      </c>
      <c r="L358">
        <v>2.5588665970876181</v>
      </c>
      <c r="M358">
        <v>2.3891847269734021</v>
      </c>
      <c r="N358">
        <v>2.6437075321447261</v>
      </c>
      <c r="O358">
        <v>2.3043437919162941</v>
      </c>
    </row>
    <row r="359" spans="1:15">
      <c r="A359" s="19">
        <v>43278</v>
      </c>
      <c r="B359">
        <v>1211</v>
      </c>
      <c r="C359">
        <v>1226</v>
      </c>
      <c r="D359">
        <v>524</v>
      </c>
      <c r="E359">
        <v>524</v>
      </c>
      <c r="F359">
        <v>2.3396946564885401</v>
      </c>
      <c r="G359">
        <v>2.47607461787211</v>
      </c>
      <c r="H359">
        <v>8.2960735516015696E-2</v>
      </c>
      <c r="I359">
        <v>-1.6439097427871801</v>
      </c>
      <c r="J359">
        <v>-5.83</v>
      </c>
      <c r="L359">
        <v>2.5590353533881256</v>
      </c>
      <c r="M359">
        <v>2.3931138823560945</v>
      </c>
      <c r="N359">
        <v>2.6419960889041416</v>
      </c>
      <c r="O359">
        <v>2.3101531468400784</v>
      </c>
    </row>
    <row r="360" spans="1:15">
      <c r="A360" s="19">
        <v>43277</v>
      </c>
      <c r="B360">
        <v>1205</v>
      </c>
      <c r="C360">
        <v>1213</v>
      </c>
      <c r="D360">
        <v>513</v>
      </c>
      <c r="E360">
        <v>523</v>
      </c>
      <c r="F360">
        <v>2.3193116634799198</v>
      </c>
      <c r="G360">
        <v>2.47773583197608</v>
      </c>
      <c r="H360">
        <v>8.14468157560682E-2</v>
      </c>
      <c r="I360">
        <v>-1.9451241528046399</v>
      </c>
      <c r="J360">
        <v>-6.83</v>
      </c>
      <c r="L360">
        <v>2.5591826477321482</v>
      </c>
      <c r="M360">
        <v>2.3962890162200119</v>
      </c>
      <c r="N360">
        <v>2.6406294634882164</v>
      </c>
      <c r="O360">
        <v>2.3148422004639437</v>
      </c>
    </row>
    <row r="361" spans="1:15">
      <c r="A361" s="19">
        <v>43276</v>
      </c>
      <c r="B361">
        <v>1225</v>
      </c>
      <c r="C361">
        <v>1197</v>
      </c>
      <c r="D361">
        <v>517</v>
      </c>
      <c r="E361">
        <v>509</v>
      </c>
      <c r="F361">
        <v>2.3516699410609001</v>
      </c>
      <c r="G361">
        <v>2.4795034477321898</v>
      </c>
      <c r="H361">
        <v>7.9402318153630497E-2</v>
      </c>
      <c r="I361">
        <v>-1.6099467829635901</v>
      </c>
      <c r="J361">
        <v>-5.44</v>
      </c>
      <c r="L361">
        <v>2.5589057658858203</v>
      </c>
      <c r="M361">
        <v>2.4001011295785593</v>
      </c>
      <c r="N361">
        <v>2.6383080840394508</v>
      </c>
      <c r="O361">
        <v>2.3206988114249287</v>
      </c>
    </row>
    <row r="362" spans="1:15">
      <c r="A362" s="19">
        <v>43273</v>
      </c>
      <c r="B362">
        <v>1213</v>
      </c>
      <c r="C362">
        <v>1220</v>
      </c>
      <c r="D362">
        <v>508</v>
      </c>
      <c r="E362">
        <v>515</v>
      </c>
      <c r="F362">
        <v>2.36893203883495</v>
      </c>
      <c r="G362">
        <v>2.4810160655723101</v>
      </c>
      <c r="H362">
        <v>7.8021244444681295E-2</v>
      </c>
      <c r="I362">
        <v>-1.43658342718219</v>
      </c>
      <c r="J362">
        <v>-4.7300000000000004</v>
      </c>
      <c r="L362">
        <v>2.5590373100169916</v>
      </c>
      <c r="M362">
        <v>2.4029948211276286</v>
      </c>
      <c r="N362">
        <v>2.6370585544616727</v>
      </c>
      <c r="O362">
        <v>2.3249735766829476</v>
      </c>
    </row>
    <row r="363" spans="1:15">
      <c r="A363" s="19">
        <v>43272</v>
      </c>
      <c r="B363">
        <v>1235</v>
      </c>
      <c r="C363">
        <v>1221</v>
      </c>
      <c r="D363">
        <v>515</v>
      </c>
      <c r="E363">
        <v>510</v>
      </c>
      <c r="F363">
        <v>2.3941176470588199</v>
      </c>
      <c r="G363">
        <v>2.4819636383878398</v>
      </c>
      <c r="H363">
        <v>7.7080109009572503E-2</v>
      </c>
      <c r="I363">
        <v>-1.1396713426820899</v>
      </c>
      <c r="J363">
        <v>-3.67</v>
      </c>
      <c r="L363">
        <v>2.5590437473974124</v>
      </c>
      <c r="M363">
        <v>2.4048835293782673</v>
      </c>
      <c r="N363">
        <v>2.6361238564069849</v>
      </c>
      <c r="O363">
        <v>2.3278034203686948</v>
      </c>
    </row>
    <row r="364" spans="1:15">
      <c r="A364" s="19">
        <v>43271</v>
      </c>
      <c r="B364">
        <v>1244</v>
      </c>
      <c r="C364">
        <v>1230</v>
      </c>
      <c r="D364">
        <v>516</v>
      </c>
      <c r="E364">
        <v>516</v>
      </c>
      <c r="F364">
        <v>2.3837209302325499</v>
      </c>
      <c r="G364">
        <v>2.4827256855796001</v>
      </c>
      <c r="H364">
        <v>7.6488107580140394E-2</v>
      </c>
      <c r="I364">
        <v>-1.2943810283619901</v>
      </c>
      <c r="J364">
        <v>-4.1500000000000004</v>
      </c>
      <c r="L364">
        <v>2.5592137931597403</v>
      </c>
      <c r="M364">
        <v>2.4062375779994598</v>
      </c>
      <c r="N364">
        <v>2.635701900739881</v>
      </c>
      <c r="O364">
        <v>2.3297494704193191</v>
      </c>
    </row>
    <row r="365" spans="1:15">
      <c r="A365" s="19">
        <v>43270</v>
      </c>
      <c r="B365">
        <v>1228</v>
      </c>
      <c r="C365">
        <v>1244</v>
      </c>
      <c r="D365">
        <v>512</v>
      </c>
      <c r="E365">
        <v>512</v>
      </c>
      <c r="F365">
        <v>2.4296875</v>
      </c>
      <c r="G365">
        <v>2.4838297691318698</v>
      </c>
      <c r="H365">
        <v>7.5644018888011894E-2</v>
      </c>
      <c r="I365">
        <v>-0.71575082772938803</v>
      </c>
      <c r="J365">
        <v>-2.23</v>
      </c>
      <c r="L365">
        <v>2.5594737880198819</v>
      </c>
      <c r="M365">
        <v>2.4081857502438577</v>
      </c>
      <c r="N365">
        <v>2.6351178069078935</v>
      </c>
      <c r="O365">
        <v>2.3325417313558461</v>
      </c>
    </row>
    <row r="366" spans="1:15">
      <c r="A366" s="19">
        <v>43269</v>
      </c>
      <c r="B366">
        <v>1245</v>
      </c>
      <c r="C366">
        <v>1234</v>
      </c>
      <c r="D366">
        <v>520</v>
      </c>
      <c r="E366">
        <v>516</v>
      </c>
      <c r="F366">
        <v>2.3914728682170501</v>
      </c>
      <c r="G366">
        <v>2.48458783503939</v>
      </c>
      <c r="H366">
        <v>7.53820662150574E-2</v>
      </c>
      <c r="I366">
        <v>-1.23524030976668</v>
      </c>
      <c r="J366">
        <v>-3.89</v>
      </c>
      <c r="L366">
        <v>2.5599699012544472</v>
      </c>
      <c r="M366">
        <v>2.4092057688243327</v>
      </c>
      <c r="N366">
        <v>2.635351967469505</v>
      </c>
      <c r="O366">
        <v>2.333823702609275</v>
      </c>
    </row>
    <row r="367" spans="1:15">
      <c r="A367" s="19">
        <v>43266</v>
      </c>
      <c r="B367">
        <v>1246</v>
      </c>
      <c r="C367">
        <v>1237</v>
      </c>
      <c r="D367">
        <v>519</v>
      </c>
      <c r="E367">
        <v>519</v>
      </c>
      <c r="F367">
        <v>2.3834296724470101</v>
      </c>
      <c r="G367">
        <v>2.4862402022721999</v>
      </c>
      <c r="H367">
        <v>7.4677835799258893E-2</v>
      </c>
      <c r="I367">
        <v>-1.37672079975044</v>
      </c>
      <c r="J367">
        <v>-4.3099999999999996</v>
      </c>
      <c r="L367">
        <v>2.5609180380714589</v>
      </c>
      <c r="M367">
        <v>2.4115623664729409</v>
      </c>
      <c r="N367">
        <v>2.6355958738707175</v>
      </c>
      <c r="O367">
        <v>2.3368845306736823</v>
      </c>
    </row>
    <row r="368" spans="1:15">
      <c r="A368" s="19">
        <v>43265</v>
      </c>
      <c r="B368">
        <v>1245</v>
      </c>
      <c r="C368">
        <v>1236</v>
      </c>
      <c r="D368">
        <v>519</v>
      </c>
      <c r="E368">
        <v>519</v>
      </c>
      <c r="F368">
        <v>2.3815028901734099</v>
      </c>
      <c r="G368">
        <v>2.4876584188844699</v>
      </c>
      <c r="H368">
        <v>7.3715690294685096E-2</v>
      </c>
      <c r="I368">
        <v>-1.4400669421489001</v>
      </c>
      <c r="J368">
        <v>-4.46</v>
      </c>
      <c r="L368">
        <v>2.5613741091791549</v>
      </c>
      <c r="M368">
        <v>2.413942728589785</v>
      </c>
      <c r="N368">
        <v>2.6350897994738403</v>
      </c>
      <c r="O368">
        <v>2.3402270382950996</v>
      </c>
    </row>
    <row r="369" spans="1:15">
      <c r="A369" s="19">
        <v>43264</v>
      </c>
      <c r="B369">
        <v>1232</v>
      </c>
      <c r="C369">
        <v>1241</v>
      </c>
      <c r="D369">
        <v>516</v>
      </c>
      <c r="E369">
        <v>518</v>
      </c>
      <c r="F369">
        <v>2.39575289575289</v>
      </c>
      <c r="G369">
        <v>2.4891567476957599</v>
      </c>
      <c r="H369">
        <v>7.2677509754461495E-2</v>
      </c>
      <c r="I369">
        <v>-1.2851823385037799</v>
      </c>
      <c r="J369">
        <v>-3.9</v>
      </c>
      <c r="L369">
        <v>2.5618342574502213</v>
      </c>
      <c r="M369">
        <v>2.4164792379412985</v>
      </c>
      <c r="N369">
        <v>2.6345117672046827</v>
      </c>
      <c r="O369">
        <v>2.3438017281868371</v>
      </c>
    </row>
    <row r="370" spans="1:15">
      <c r="A370" s="19">
        <v>43263</v>
      </c>
      <c r="B370">
        <v>1225</v>
      </c>
      <c r="C370">
        <v>1235</v>
      </c>
      <c r="D370">
        <v>515</v>
      </c>
      <c r="E370">
        <v>513</v>
      </c>
      <c r="F370">
        <v>2.4074074074073999</v>
      </c>
      <c r="G370">
        <v>2.4903694766385498</v>
      </c>
      <c r="H370">
        <v>7.1863105729114196E-2</v>
      </c>
      <c r="I370">
        <v>-1.15444592032902</v>
      </c>
      <c r="J370">
        <v>-3.45</v>
      </c>
      <c r="L370">
        <v>2.5622325823676642</v>
      </c>
      <c r="M370">
        <v>2.4185063709094354</v>
      </c>
      <c r="N370">
        <v>2.6340956880967781</v>
      </c>
      <c r="O370">
        <v>2.3466432651803215</v>
      </c>
    </row>
    <row r="371" spans="1:15">
      <c r="A371" s="19">
        <v>43262</v>
      </c>
      <c r="B371">
        <v>1214</v>
      </c>
      <c r="C371">
        <v>1221</v>
      </c>
      <c r="D371">
        <v>510</v>
      </c>
      <c r="E371">
        <v>513</v>
      </c>
      <c r="F371">
        <v>2.3801169590643201</v>
      </c>
      <c r="G371">
        <v>2.4915224118867298</v>
      </c>
      <c r="H371">
        <v>7.1213561869052894E-2</v>
      </c>
      <c r="I371">
        <v>-1.5643853487802399</v>
      </c>
      <c r="J371">
        <v>-4.68</v>
      </c>
      <c r="L371">
        <v>2.5627359737557827</v>
      </c>
      <c r="M371">
        <v>2.420308850017677</v>
      </c>
      <c r="N371">
        <v>2.6339495356248355</v>
      </c>
      <c r="O371">
        <v>2.3490952881486242</v>
      </c>
    </row>
    <row r="372" spans="1:15">
      <c r="A372" s="19">
        <v>43259</v>
      </c>
      <c r="B372">
        <v>1198</v>
      </c>
      <c r="C372">
        <v>1212</v>
      </c>
      <c r="D372">
        <v>501</v>
      </c>
      <c r="E372">
        <v>506</v>
      </c>
      <c r="F372">
        <v>2.3952569169960398</v>
      </c>
      <c r="G372">
        <v>2.4928085645846001</v>
      </c>
      <c r="H372">
        <v>7.0051499020883506E-2</v>
      </c>
      <c r="I372">
        <v>-1.39257045105458</v>
      </c>
      <c r="J372">
        <v>-4.07</v>
      </c>
      <c r="L372">
        <v>2.5628600636054837</v>
      </c>
      <c r="M372">
        <v>2.4227570655637165</v>
      </c>
      <c r="N372">
        <v>2.6329115626263673</v>
      </c>
      <c r="O372">
        <v>2.3527055665428329</v>
      </c>
    </row>
    <row r="373" spans="1:15">
      <c r="A373" s="19">
        <v>43258</v>
      </c>
      <c r="B373">
        <v>1210</v>
      </c>
      <c r="C373">
        <v>1202</v>
      </c>
      <c r="D373">
        <v>499</v>
      </c>
      <c r="E373">
        <v>505</v>
      </c>
      <c r="F373">
        <v>2.3801980198019801</v>
      </c>
      <c r="G373">
        <v>2.4936712581211702</v>
      </c>
      <c r="H373">
        <v>6.9238514813472901E-2</v>
      </c>
      <c r="I373">
        <v>-1.6388745285031701</v>
      </c>
      <c r="J373">
        <v>-4.7699999999999996</v>
      </c>
      <c r="L373">
        <v>2.5629097729346433</v>
      </c>
      <c r="M373">
        <v>2.4244327433076971</v>
      </c>
      <c r="N373">
        <v>2.6321482877481159</v>
      </c>
      <c r="O373">
        <v>2.3551942284942244</v>
      </c>
    </row>
    <row r="374" spans="1:15">
      <c r="A374" s="19">
        <v>43257</v>
      </c>
      <c r="B374">
        <v>1213</v>
      </c>
      <c r="C374">
        <v>1216</v>
      </c>
      <c r="D374">
        <v>500</v>
      </c>
      <c r="E374">
        <v>499</v>
      </c>
      <c r="F374">
        <v>2.4368737474949902</v>
      </c>
      <c r="G374">
        <v>2.4940350766236001</v>
      </c>
      <c r="H374">
        <v>6.8710985548988704E-2</v>
      </c>
      <c r="I374">
        <v>-0.83190960909531397</v>
      </c>
      <c r="J374">
        <v>-2.35</v>
      </c>
      <c r="L374">
        <v>2.562746062172589</v>
      </c>
      <c r="M374">
        <v>2.4253240910746112</v>
      </c>
      <c r="N374">
        <v>2.6314570477215775</v>
      </c>
      <c r="O374">
        <v>2.3566131055256228</v>
      </c>
    </row>
    <row r="375" spans="1:15">
      <c r="A375" s="19">
        <v>43256</v>
      </c>
      <c r="B375">
        <v>1214</v>
      </c>
      <c r="C375">
        <v>1215</v>
      </c>
      <c r="D375">
        <v>497</v>
      </c>
      <c r="E375">
        <v>499</v>
      </c>
      <c r="F375">
        <v>2.43486973947895</v>
      </c>
      <c r="G375">
        <v>2.49398040144691</v>
      </c>
      <c r="H375">
        <v>6.8758063966333993E-2</v>
      </c>
      <c r="I375">
        <v>-0.85969061020833204</v>
      </c>
      <c r="J375">
        <v>-2.4300000000000002</v>
      </c>
      <c r="L375">
        <v>2.5627384654132439</v>
      </c>
      <c r="M375">
        <v>2.4252223374805761</v>
      </c>
      <c r="N375">
        <v>2.6314965293795778</v>
      </c>
      <c r="O375">
        <v>2.3564642735142423</v>
      </c>
    </row>
    <row r="376" spans="1:15">
      <c r="A376" s="19">
        <v>43255</v>
      </c>
      <c r="B376">
        <v>1220</v>
      </c>
      <c r="C376">
        <v>1222</v>
      </c>
      <c r="D376">
        <v>492</v>
      </c>
      <c r="E376">
        <v>495</v>
      </c>
      <c r="F376">
        <v>2.4686868686868602</v>
      </c>
      <c r="G376">
        <v>2.4945934857715901</v>
      </c>
      <c r="H376">
        <v>6.8432494303868399E-2</v>
      </c>
      <c r="I376">
        <v>-0.37857186630802298</v>
      </c>
      <c r="J376">
        <v>-1.05</v>
      </c>
      <c r="L376">
        <v>2.5630259800754587</v>
      </c>
      <c r="M376">
        <v>2.4261609914677216</v>
      </c>
      <c r="N376">
        <v>2.6314584743793268</v>
      </c>
      <c r="O376">
        <v>2.3577284971638535</v>
      </c>
    </row>
    <row r="377" spans="1:15">
      <c r="A377" s="19">
        <v>43252</v>
      </c>
      <c r="B377">
        <v>1201</v>
      </c>
      <c r="C377">
        <v>1200</v>
      </c>
      <c r="D377">
        <v>490</v>
      </c>
      <c r="E377">
        <v>492</v>
      </c>
      <c r="F377">
        <v>2.4390243902439002</v>
      </c>
      <c r="G377">
        <v>2.4947002597258199</v>
      </c>
      <c r="H377">
        <v>6.8398228214446799E-2</v>
      </c>
      <c r="I377">
        <v>-0.81399578520320004</v>
      </c>
      <c r="J377">
        <v>-2.2799999999999998</v>
      </c>
      <c r="L377">
        <v>2.5630984879402665</v>
      </c>
      <c r="M377">
        <v>2.4263020315113732</v>
      </c>
      <c r="N377">
        <v>2.6314967161547136</v>
      </c>
      <c r="O377">
        <v>2.3579038032969262</v>
      </c>
    </row>
    <row r="378" spans="1:15">
      <c r="A378" s="19">
        <v>43251</v>
      </c>
      <c r="B378">
        <v>1200</v>
      </c>
      <c r="C378">
        <v>1195</v>
      </c>
      <c r="D378">
        <v>501</v>
      </c>
      <c r="E378">
        <v>491</v>
      </c>
      <c r="F378">
        <v>2.4338085539714802</v>
      </c>
      <c r="G378">
        <v>2.4949832818029098</v>
      </c>
      <c r="H378">
        <v>6.8210923854906305E-2</v>
      </c>
      <c r="I378">
        <v>-0.89684649282204398</v>
      </c>
      <c r="J378">
        <v>-2.5099999999999998</v>
      </c>
      <c r="L378">
        <v>2.5631942056578163</v>
      </c>
      <c r="M378">
        <v>2.4267723579480034</v>
      </c>
      <c r="N378">
        <v>2.6314051295127223</v>
      </c>
      <c r="O378">
        <v>2.3585614340930974</v>
      </c>
    </row>
    <row r="379" spans="1:15">
      <c r="A379" s="19">
        <v>43250</v>
      </c>
      <c r="B379">
        <v>1210</v>
      </c>
      <c r="C379">
        <v>1204</v>
      </c>
      <c r="D379">
        <v>495</v>
      </c>
      <c r="E379">
        <v>500</v>
      </c>
      <c r="F379">
        <v>2.4079999999999999</v>
      </c>
      <c r="G379">
        <v>2.4945710685764002</v>
      </c>
      <c r="H379">
        <v>6.8671233118999003E-2</v>
      </c>
      <c r="I379">
        <v>-1.26065988106529</v>
      </c>
      <c r="J379">
        <v>-3.6</v>
      </c>
      <c r="L379">
        <v>2.5632423016953991</v>
      </c>
      <c r="M379">
        <v>2.4258998354574013</v>
      </c>
      <c r="N379">
        <v>2.631913534814398</v>
      </c>
      <c r="O379">
        <v>2.3572286023384024</v>
      </c>
    </row>
    <row r="380" spans="1:15">
      <c r="A380" s="19">
        <v>43249</v>
      </c>
      <c r="B380">
        <v>1203</v>
      </c>
      <c r="C380">
        <v>1231</v>
      </c>
      <c r="D380">
        <v>503</v>
      </c>
      <c r="E380">
        <v>499</v>
      </c>
      <c r="F380">
        <v>2.4669338677354702</v>
      </c>
      <c r="G380">
        <v>2.49346041784599</v>
      </c>
      <c r="H380">
        <v>7.0705876930457698E-2</v>
      </c>
      <c r="I380">
        <v>-0.37516754281417902</v>
      </c>
      <c r="J380">
        <v>-1.08</v>
      </c>
      <c r="L380">
        <v>2.5641662947764479</v>
      </c>
      <c r="M380">
        <v>2.4227545409155322</v>
      </c>
      <c r="N380">
        <v>2.6348721717069052</v>
      </c>
      <c r="O380">
        <v>2.3520486639850748</v>
      </c>
    </row>
    <row r="381" spans="1:15">
      <c r="A381" s="19">
        <v>43248</v>
      </c>
      <c r="B381">
        <v>1209</v>
      </c>
      <c r="C381">
        <v>1197</v>
      </c>
      <c r="D381">
        <v>507</v>
      </c>
      <c r="E381">
        <v>503</v>
      </c>
      <c r="F381">
        <v>2.37972166998011</v>
      </c>
      <c r="G381">
        <v>2.4911655758379299</v>
      </c>
      <c r="H381">
        <v>7.4234599102118506E-2</v>
      </c>
      <c r="I381">
        <v>-1.5012394113493599</v>
      </c>
      <c r="J381">
        <v>-4.68</v>
      </c>
      <c r="L381">
        <v>2.5654001749400486</v>
      </c>
      <c r="M381">
        <v>2.4169309767358111</v>
      </c>
      <c r="N381">
        <v>2.6396347740421668</v>
      </c>
      <c r="O381">
        <v>2.3426963776336929</v>
      </c>
    </row>
    <row r="382" spans="1:15">
      <c r="A382" s="19">
        <v>43245</v>
      </c>
      <c r="B382">
        <v>1189</v>
      </c>
      <c r="C382">
        <v>1211</v>
      </c>
      <c r="D382">
        <v>507</v>
      </c>
      <c r="E382">
        <v>501</v>
      </c>
      <c r="F382">
        <v>2.4171656686626699</v>
      </c>
      <c r="G382">
        <v>2.49149821038087</v>
      </c>
      <c r="H382">
        <v>7.3789045956520402E-2</v>
      </c>
      <c r="I382">
        <v>-1.0073655344724299</v>
      </c>
      <c r="J382">
        <v>-3.08</v>
      </c>
      <c r="L382">
        <v>2.5652872563373905</v>
      </c>
      <c r="M382">
        <v>2.4177091644243496</v>
      </c>
      <c r="N382">
        <v>2.639076302293911</v>
      </c>
      <c r="O382">
        <v>2.3439201184678291</v>
      </c>
    </row>
    <row r="383" spans="1:15">
      <c r="A383" s="19">
        <v>43244</v>
      </c>
      <c r="B383">
        <v>1221</v>
      </c>
      <c r="C383">
        <v>1207</v>
      </c>
      <c r="D383">
        <v>507</v>
      </c>
      <c r="E383">
        <v>504</v>
      </c>
      <c r="F383">
        <v>2.39484126984126</v>
      </c>
      <c r="G383">
        <v>2.4915406079912801</v>
      </c>
      <c r="H383">
        <v>7.37472255622523E-2</v>
      </c>
      <c r="I383">
        <v>-1.31122679413056</v>
      </c>
      <c r="J383">
        <v>-4.04</v>
      </c>
      <c r="L383">
        <v>2.5652878335535325</v>
      </c>
      <c r="M383">
        <v>2.4177933824290276</v>
      </c>
      <c r="N383">
        <v>2.6390350591157845</v>
      </c>
      <c r="O383">
        <v>2.3440461568667756</v>
      </c>
    </row>
    <row r="384" spans="1:15">
      <c r="A384" s="19">
        <v>43243</v>
      </c>
      <c r="B384">
        <v>1225</v>
      </c>
      <c r="C384">
        <v>1218</v>
      </c>
      <c r="D384">
        <v>511</v>
      </c>
      <c r="E384">
        <v>508</v>
      </c>
      <c r="F384">
        <v>2.3976377952755898</v>
      </c>
      <c r="G384">
        <v>2.49226192799006</v>
      </c>
      <c r="H384">
        <v>7.3059245364187703E-2</v>
      </c>
      <c r="I384">
        <v>-1.29516986170315</v>
      </c>
      <c r="J384">
        <v>-3.95</v>
      </c>
      <c r="L384">
        <v>2.5653211733542478</v>
      </c>
      <c r="M384">
        <v>2.4192026826258721</v>
      </c>
      <c r="N384">
        <v>2.6383804187184352</v>
      </c>
      <c r="O384">
        <v>2.3461434372616847</v>
      </c>
    </row>
    <row r="385" spans="1:15">
      <c r="A385" s="19">
        <v>43242</v>
      </c>
      <c r="B385">
        <v>1225</v>
      </c>
      <c r="C385">
        <v>1223</v>
      </c>
      <c r="D385">
        <v>518</v>
      </c>
      <c r="E385">
        <v>514</v>
      </c>
      <c r="F385">
        <v>2.3793774319066099</v>
      </c>
      <c r="G385">
        <v>2.4914390551210102</v>
      </c>
      <c r="H385">
        <v>7.4454599981851902E-2</v>
      </c>
      <c r="I385">
        <v>-1.5051000642232399</v>
      </c>
      <c r="J385">
        <v>-4.71</v>
      </c>
      <c r="L385">
        <v>2.5658936551028622</v>
      </c>
      <c r="M385">
        <v>2.4169844551391582</v>
      </c>
      <c r="N385">
        <v>2.6403482550847142</v>
      </c>
      <c r="O385">
        <v>2.3425298551573062</v>
      </c>
    </row>
    <row r="386" spans="1:15">
      <c r="A386" s="19">
        <v>43241</v>
      </c>
      <c r="B386">
        <v>1233</v>
      </c>
      <c r="C386">
        <v>1221</v>
      </c>
      <c r="D386">
        <v>520</v>
      </c>
      <c r="E386">
        <v>513</v>
      </c>
      <c r="F386">
        <v>2.3801169590643201</v>
      </c>
      <c r="G386">
        <v>2.4904533223064802</v>
      </c>
      <c r="H386">
        <v>7.6395789258319899E-2</v>
      </c>
      <c r="I386">
        <v>-1.44427283641349</v>
      </c>
      <c r="J386">
        <v>-4.6399999999999997</v>
      </c>
      <c r="L386">
        <v>2.5668491115648</v>
      </c>
      <c r="M386">
        <v>2.4140575330481604</v>
      </c>
      <c r="N386">
        <v>2.6432449008231198</v>
      </c>
      <c r="O386">
        <v>2.3376617437898406</v>
      </c>
    </row>
    <row r="387" spans="1:15">
      <c r="A387" s="19">
        <v>43238</v>
      </c>
      <c r="B387">
        <v>1244</v>
      </c>
      <c r="C387">
        <v>1240</v>
      </c>
      <c r="D387">
        <v>516</v>
      </c>
      <c r="E387">
        <v>512</v>
      </c>
      <c r="F387">
        <v>2.421875</v>
      </c>
      <c r="G387">
        <v>2.48978664058717</v>
      </c>
      <c r="H387">
        <v>7.7564975750656101E-2</v>
      </c>
      <c r="I387">
        <v>-0.87554517912166396</v>
      </c>
      <c r="J387">
        <v>-2.8</v>
      </c>
      <c r="L387">
        <v>2.567351616337826</v>
      </c>
      <c r="M387">
        <v>2.412221664836514</v>
      </c>
      <c r="N387">
        <v>2.6449165920884821</v>
      </c>
      <c r="O387">
        <v>2.334656689085858</v>
      </c>
    </row>
    <row r="388" spans="1:15">
      <c r="A388" s="19">
        <v>43237</v>
      </c>
      <c r="B388">
        <v>1245</v>
      </c>
      <c r="C388">
        <v>1243</v>
      </c>
      <c r="D388">
        <v>520</v>
      </c>
      <c r="E388">
        <v>519</v>
      </c>
      <c r="F388">
        <v>2.39499036608863</v>
      </c>
      <c r="G388">
        <v>2.4886577646181798</v>
      </c>
      <c r="H388">
        <v>7.9145156591521895E-2</v>
      </c>
      <c r="I388">
        <v>-1.1834887005528401</v>
      </c>
      <c r="J388">
        <v>-3.91</v>
      </c>
      <c r="L388">
        <v>2.5678029212097018</v>
      </c>
      <c r="M388">
        <v>2.4095126080266578</v>
      </c>
      <c r="N388">
        <v>2.6469480778012238</v>
      </c>
      <c r="O388">
        <v>2.3303674514351358</v>
      </c>
    </row>
    <row r="389" spans="1:15">
      <c r="A389" s="19">
        <v>43236</v>
      </c>
      <c r="B389">
        <v>1253</v>
      </c>
      <c r="C389">
        <v>1250</v>
      </c>
      <c r="D389">
        <v>511</v>
      </c>
      <c r="E389">
        <v>517</v>
      </c>
      <c r="F389">
        <v>2.4177949709864599</v>
      </c>
      <c r="G389">
        <v>2.4883651847369999</v>
      </c>
      <c r="H389">
        <v>7.9530502485460397E-2</v>
      </c>
      <c r="I389">
        <v>-0.88733519272612604</v>
      </c>
      <c r="J389">
        <v>-2.92</v>
      </c>
      <c r="L389">
        <v>2.5678956872224603</v>
      </c>
      <c r="M389">
        <v>2.4088346822515394</v>
      </c>
      <c r="N389">
        <v>2.6474261897079208</v>
      </c>
      <c r="O389">
        <v>2.329304179766079</v>
      </c>
    </row>
    <row r="390" spans="1:15">
      <c r="A390" s="19">
        <v>43235</v>
      </c>
      <c r="B390">
        <v>1257</v>
      </c>
      <c r="C390">
        <v>1262</v>
      </c>
      <c r="D390">
        <v>515</v>
      </c>
      <c r="E390">
        <v>515</v>
      </c>
      <c r="F390">
        <v>2.4504854368931999</v>
      </c>
      <c r="G390">
        <v>2.4872475113324999</v>
      </c>
      <c r="H390">
        <v>8.1088162340771694E-2</v>
      </c>
      <c r="I390">
        <v>-0.45335932370504101</v>
      </c>
      <c r="J390">
        <v>-1.5</v>
      </c>
      <c r="L390">
        <v>2.5683356736732716</v>
      </c>
      <c r="M390">
        <v>2.4061593489917281</v>
      </c>
      <c r="N390">
        <v>2.6494238360140434</v>
      </c>
      <c r="O390">
        <v>2.3250711866509564</v>
      </c>
    </row>
    <row r="391" spans="1:15">
      <c r="A391" s="19">
        <v>43234</v>
      </c>
      <c r="B391">
        <v>1267</v>
      </c>
      <c r="C391">
        <v>1258</v>
      </c>
      <c r="D391">
        <v>505</v>
      </c>
      <c r="E391">
        <v>515</v>
      </c>
      <c r="F391">
        <v>2.44271844660194</v>
      </c>
      <c r="G391">
        <v>2.4860011156160202</v>
      </c>
      <c r="H391">
        <v>8.2352227807723805E-2</v>
      </c>
      <c r="I391">
        <v>-0.52557981934790499</v>
      </c>
      <c r="J391">
        <v>-1.77</v>
      </c>
      <c r="L391">
        <v>2.5683533434237442</v>
      </c>
      <c r="M391">
        <v>2.4036488878082962</v>
      </c>
      <c r="N391">
        <v>2.6507055712314678</v>
      </c>
      <c r="O391">
        <v>2.3212966600005727</v>
      </c>
    </row>
    <row r="392" spans="1:15">
      <c r="A392" s="19">
        <v>43231</v>
      </c>
      <c r="B392">
        <v>1266</v>
      </c>
      <c r="C392">
        <v>1272</v>
      </c>
      <c r="D392">
        <v>492</v>
      </c>
      <c r="E392">
        <v>502</v>
      </c>
      <c r="F392">
        <v>2.53386454183266</v>
      </c>
      <c r="G392">
        <v>2.48481017710469</v>
      </c>
      <c r="H392">
        <v>8.3605862088093702E-2</v>
      </c>
      <c r="I392">
        <v>0.58673355555242601</v>
      </c>
      <c r="J392">
        <v>1.94</v>
      </c>
      <c r="L392">
        <v>2.5684160391927837</v>
      </c>
      <c r="M392">
        <v>2.4012043150165963</v>
      </c>
      <c r="N392">
        <v>2.6520219012808774</v>
      </c>
      <c r="O392">
        <v>2.3175984529285025</v>
      </c>
    </row>
    <row r="393" spans="1:15">
      <c r="A393" s="19">
        <v>43230</v>
      </c>
      <c r="B393">
        <v>1273</v>
      </c>
      <c r="C393">
        <v>1266</v>
      </c>
      <c r="D393">
        <v>495</v>
      </c>
      <c r="E393">
        <v>497</v>
      </c>
      <c r="F393">
        <v>2.5472837022132699</v>
      </c>
      <c r="G393">
        <v>2.4829003165469201</v>
      </c>
      <c r="H393">
        <v>8.4098074690456395E-2</v>
      </c>
      <c r="I393">
        <v>0.76557502538947297</v>
      </c>
      <c r="J393">
        <v>2.5299999999999998</v>
      </c>
      <c r="L393">
        <v>2.5669983912373766</v>
      </c>
      <c r="M393">
        <v>2.3988022418564636</v>
      </c>
      <c r="N393">
        <v>2.6510964659278331</v>
      </c>
      <c r="O393">
        <v>2.3147041671660071</v>
      </c>
    </row>
    <row r="394" spans="1:15">
      <c r="A394" s="19">
        <v>43229</v>
      </c>
      <c r="B394">
        <v>1285</v>
      </c>
      <c r="C394">
        <v>1277</v>
      </c>
      <c r="D394">
        <v>500</v>
      </c>
      <c r="E394">
        <v>486</v>
      </c>
      <c r="F394">
        <v>2.6275720164609</v>
      </c>
      <c r="G394">
        <v>2.4796239527871902</v>
      </c>
      <c r="H394">
        <v>8.6284163005497794E-2</v>
      </c>
      <c r="I394">
        <v>1.7146607038916499</v>
      </c>
      <c r="J394">
        <v>5.63</v>
      </c>
      <c r="L394">
        <v>2.5659081157926877</v>
      </c>
      <c r="M394">
        <v>2.3933397897816926</v>
      </c>
      <c r="N394">
        <v>2.6521922787981858</v>
      </c>
      <c r="O394">
        <v>2.3070556267761946</v>
      </c>
    </row>
    <row r="395" spans="1:15">
      <c r="A395" s="19">
        <v>43228</v>
      </c>
      <c r="B395">
        <v>1302</v>
      </c>
      <c r="C395">
        <v>1291</v>
      </c>
      <c r="D395">
        <v>497</v>
      </c>
      <c r="E395">
        <v>502</v>
      </c>
      <c r="F395">
        <v>2.5717131474103501</v>
      </c>
      <c r="G395">
        <v>2.4752356540664202</v>
      </c>
      <c r="H395">
        <v>8.7014403678245894E-2</v>
      </c>
      <c r="I395">
        <v>1.1087531404648601</v>
      </c>
      <c r="J395">
        <v>3.75</v>
      </c>
      <c r="L395">
        <v>2.5622500577446661</v>
      </c>
      <c r="M395">
        <v>2.3882212503881743</v>
      </c>
      <c r="N395">
        <v>2.6492644614229119</v>
      </c>
      <c r="O395">
        <v>2.3012068467099285</v>
      </c>
    </row>
    <row r="396" spans="1:15">
      <c r="A396" s="19">
        <v>43227</v>
      </c>
      <c r="B396">
        <v>1295</v>
      </c>
      <c r="C396">
        <v>1303</v>
      </c>
      <c r="D396">
        <v>496</v>
      </c>
      <c r="E396">
        <v>497</v>
      </c>
      <c r="F396">
        <v>2.6217303822937601</v>
      </c>
      <c r="G396">
        <v>2.4712025556906898</v>
      </c>
      <c r="H396">
        <v>8.9425808968638304E-2</v>
      </c>
      <c r="I396">
        <v>1.6832705047807199</v>
      </c>
      <c r="J396">
        <v>5.74</v>
      </c>
      <c r="L396">
        <v>2.560628364659328</v>
      </c>
      <c r="M396">
        <v>2.3817767467220516</v>
      </c>
      <c r="N396">
        <v>2.6500541736279666</v>
      </c>
      <c r="O396">
        <v>2.292350937753413</v>
      </c>
    </row>
    <row r="397" spans="1:15">
      <c r="A397" s="19">
        <v>43222</v>
      </c>
      <c r="B397">
        <v>1303</v>
      </c>
      <c r="C397">
        <v>1305</v>
      </c>
      <c r="D397">
        <v>499</v>
      </c>
      <c r="E397">
        <v>500</v>
      </c>
      <c r="F397">
        <v>2.61</v>
      </c>
      <c r="G397">
        <v>2.46702328611046</v>
      </c>
      <c r="H397">
        <v>8.9617455603739696E-2</v>
      </c>
      <c r="I397">
        <v>1.59541143995128</v>
      </c>
      <c r="J397">
        <v>5.48</v>
      </c>
      <c r="L397">
        <v>2.5566407417141996</v>
      </c>
      <c r="M397">
        <v>2.3774058305067203</v>
      </c>
      <c r="N397">
        <v>2.6462581973179393</v>
      </c>
      <c r="O397">
        <v>2.2877883749029806</v>
      </c>
    </row>
    <row r="398" spans="1:15">
      <c r="A398" s="19">
        <v>43221</v>
      </c>
      <c r="B398">
        <v>1288</v>
      </c>
      <c r="C398">
        <v>1291</v>
      </c>
      <c r="D398">
        <v>498</v>
      </c>
      <c r="E398">
        <v>501</v>
      </c>
      <c r="F398">
        <v>2.5768463073852201</v>
      </c>
      <c r="G398">
        <v>2.4630225063833699</v>
      </c>
      <c r="H398">
        <v>8.9842714315446506E-2</v>
      </c>
      <c r="I398">
        <v>1.26692299836591</v>
      </c>
      <c r="J398">
        <v>4.42</v>
      </c>
      <c r="L398">
        <v>2.5528652206988163</v>
      </c>
      <c r="M398">
        <v>2.3731797920679236</v>
      </c>
      <c r="N398">
        <v>2.642707935014263</v>
      </c>
      <c r="O398">
        <v>2.2833370777524769</v>
      </c>
    </row>
    <row r="399" spans="1:15">
      <c r="A399" s="19">
        <v>43217</v>
      </c>
      <c r="B399">
        <v>1271</v>
      </c>
      <c r="C399">
        <v>1296</v>
      </c>
      <c r="D399">
        <v>498</v>
      </c>
      <c r="E399">
        <v>499</v>
      </c>
      <c r="F399">
        <v>2.5971943887775502</v>
      </c>
      <c r="G399">
        <v>2.4592361676927301</v>
      </c>
      <c r="H399">
        <v>9.0943131035853705E-2</v>
      </c>
      <c r="I399">
        <v>1.51697241466678</v>
      </c>
      <c r="J399">
        <v>5.31</v>
      </c>
      <c r="L399">
        <v>2.5501792987285836</v>
      </c>
      <c r="M399">
        <v>2.3682930366568766</v>
      </c>
      <c r="N399">
        <v>2.6411224297644376</v>
      </c>
      <c r="O399">
        <v>2.2773499056210227</v>
      </c>
    </row>
    <row r="400" spans="1:15">
      <c r="A400" s="19">
        <v>43216</v>
      </c>
      <c r="B400">
        <v>1270</v>
      </c>
      <c r="C400">
        <v>1264</v>
      </c>
      <c r="D400">
        <v>494</v>
      </c>
      <c r="E400">
        <v>495</v>
      </c>
      <c r="F400">
        <v>2.55353535353535</v>
      </c>
      <c r="G400">
        <v>2.45502516012627</v>
      </c>
      <c r="H400">
        <v>9.1765887597476295E-2</v>
      </c>
      <c r="I400">
        <v>1.0734946938146099</v>
      </c>
      <c r="J400">
        <v>3.86</v>
      </c>
      <c r="L400">
        <v>2.5467910477237465</v>
      </c>
      <c r="M400">
        <v>2.3632592725287935</v>
      </c>
      <c r="N400">
        <v>2.6385569353212226</v>
      </c>
      <c r="O400">
        <v>2.2714933849313175</v>
      </c>
    </row>
    <row r="401" spans="1:15">
      <c r="A401" s="19">
        <v>43215</v>
      </c>
      <c r="B401">
        <v>1261</v>
      </c>
      <c r="C401">
        <v>1270</v>
      </c>
      <c r="D401">
        <v>490</v>
      </c>
      <c r="E401">
        <v>492</v>
      </c>
      <c r="F401">
        <v>2.5813008130081299</v>
      </c>
      <c r="G401">
        <v>2.4511985639820901</v>
      </c>
      <c r="H401">
        <v>9.3544805787261501E-2</v>
      </c>
      <c r="I401">
        <v>1.39080142324428</v>
      </c>
      <c r="J401">
        <v>5.04</v>
      </c>
      <c r="L401">
        <v>2.5447433697693516</v>
      </c>
      <c r="M401">
        <v>2.3576537581948287</v>
      </c>
      <c r="N401">
        <v>2.638288175556613</v>
      </c>
      <c r="O401">
        <v>2.2641089524075673</v>
      </c>
    </row>
    <row r="402" spans="1:15">
      <c r="A402" s="19">
        <v>43214</v>
      </c>
      <c r="B402">
        <v>1254</v>
      </c>
      <c r="C402">
        <v>1263</v>
      </c>
      <c r="D402">
        <v>495</v>
      </c>
      <c r="E402">
        <v>492</v>
      </c>
      <c r="F402">
        <v>2.5670731707317</v>
      </c>
      <c r="G402">
        <v>2.4476288934861499</v>
      </c>
      <c r="H402">
        <v>9.3620162793270206E-2</v>
      </c>
      <c r="I402">
        <v>1.27583923891805</v>
      </c>
      <c r="J402">
        <v>4.6500000000000004</v>
      </c>
      <c r="L402">
        <v>2.5412490562794199</v>
      </c>
      <c r="M402">
        <v>2.3540087306928799</v>
      </c>
      <c r="N402">
        <v>2.6348692190726903</v>
      </c>
      <c r="O402">
        <v>2.2603885678996094</v>
      </c>
    </row>
    <row r="403" spans="1:15">
      <c r="A403" s="19">
        <v>43213</v>
      </c>
      <c r="B403">
        <v>1242</v>
      </c>
      <c r="C403">
        <v>1249</v>
      </c>
      <c r="D403">
        <v>499</v>
      </c>
      <c r="E403">
        <v>496</v>
      </c>
      <c r="F403">
        <v>2.5181451612903198</v>
      </c>
      <c r="G403">
        <v>2.4438627896712699</v>
      </c>
      <c r="H403">
        <v>9.4417358536072402E-2</v>
      </c>
      <c r="I403">
        <v>0.78674486101694596</v>
      </c>
      <c r="J403">
        <v>2.95</v>
      </c>
      <c r="L403">
        <v>2.5382801482073423</v>
      </c>
      <c r="M403">
        <v>2.3494454311351975</v>
      </c>
      <c r="N403">
        <v>2.6326975067434146</v>
      </c>
      <c r="O403">
        <v>2.2550280725991252</v>
      </c>
    </row>
    <row r="404" spans="1:15">
      <c r="A404" s="19">
        <v>43210</v>
      </c>
      <c r="B404">
        <v>1243</v>
      </c>
      <c r="C404">
        <v>1243</v>
      </c>
      <c r="D404">
        <v>497</v>
      </c>
      <c r="E404">
        <v>496</v>
      </c>
      <c r="F404">
        <v>2.50604838709677</v>
      </c>
      <c r="G404">
        <v>2.4409335156860998</v>
      </c>
      <c r="H404">
        <v>9.5469464046786898E-2</v>
      </c>
      <c r="I404">
        <v>0.68204919825205401</v>
      </c>
      <c r="J404">
        <v>2.6</v>
      </c>
      <c r="L404">
        <v>2.5364029797328866</v>
      </c>
      <c r="M404">
        <v>2.345464051639313</v>
      </c>
      <c r="N404">
        <v>2.6318724437796734</v>
      </c>
      <c r="O404">
        <v>2.2499945875925262</v>
      </c>
    </row>
    <row r="405" spans="1:15">
      <c r="A405" s="19">
        <v>43209</v>
      </c>
      <c r="B405">
        <v>1250</v>
      </c>
      <c r="C405">
        <v>1247</v>
      </c>
      <c r="D405">
        <v>496</v>
      </c>
      <c r="E405">
        <v>493</v>
      </c>
      <c r="F405">
        <v>2.52941176470588</v>
      </c>
      <c r="G405">
        <v>2.43827681874488</v>
      </c>
      <c r="H405">
        <v>9.6388445703554093E-2</v>
      </c>
      <c r="I405">
        <v>0.94549658204144804</v>
      </c>
      <c r="J405">
        <v>3.6</v>
      </c>
      <c r="L405">
        <v>2.5346652644484342</v>
      </c>
      <c r="M405">
        <v>2.3418883730413258</v>
      </c>
      <c r="N405">
        <v>2.6310537101519884</v>
      </c>
      <c r="O405">
        <v>2.2454999273377716</v>
      </c>
    </row>
    <row r="406" spans="1:15">
      <c r="A406" s="19">
        <v>43208</v>
      </c>
      <c r="B406">
        <v>1245</v>
      </c>
      <c r="C406">
        <v>1245</v>
      </c>
      <c r="D406">
        <v>489</v>
      </c>
      <c r="E406">
        <v>496</v>
      </c>
      <c r="F406">
        <v>2.51008064516129</v>
      </c>
      <c r="G406">
        <v>2.4352646878224702</v>
      </c>
      <c r="H406">
        <v>9.7021176589446201E-2</v>
      </c>
      <c r="I406">
        <v>0.77113017970710496</v>
      </c>
      <c r="J406">
        <v>2.98</v>
      </c>
      <c r="L406">
        <v>2.5322858644119162</v>
      </c>
      <c r="M406">
        <v>2.3382435112330242</v>
      </c>
      <c r="N406">
        <v>2.6293070410013626</v>
      </c>
      <c r="O406">
        <v>2.2412223346435778</v>
      </c>
    </row>
    <row r="407" spans="1:15">
      <c r="A407" s="19">
        <v>43207</v>
      </c>
      <c r="B407">
        <v>1266</v>
      </c>
      <c r="C407">
        <v>1257</v>
      </c>
      <c r="D407">
        <v>486</v>
      </c>
      <c r="E407">
        <v>487</v>
      </c>
      <c r="F407">
        <v>2.5811088295687798</v>
      </c>
      <c r="G407">
        <v>2.43229532776401</v>
      </c>
      <c r="H407">
        <v>9.8088037055941504E-2</v>
      </c>
      <c r="I407">
        <v>1.5171422150073399</v>
      </c>
      <c r="J407">
        <v>5.77</v>
      </c>
      <c r="L407">
        <v>2.5303833648199516</v>
      </c>
      <c r="M407">
        <v>2.3342072907080684</v>
      </c>
      <c r="N407">
        <v>2.6284714018758932</v>
      </c>
      <c r="O407">
        <v>2.2361192536521268</v>
      </c>
    </row>
    <row r="408" spans="1:15">
      <c r="A408" s="19">
        <v>43206</v>
      </c>
      <c r="B408">
        <v>1261</v>
      </c>
      <c r="C408">
        <v>1266</v>
      </c>
      <c r="D408">
        <v>478</v>
      </c>
      <c r="E408">
        <v>485</v>
      </c>
      <c r="F408">
        <v>2.6103092783505102</v>
      </c>
      <c r="G408">
        <v>2.42827116836976</v>
      </c>
      <c r="H408">
        <v>9.8091335317521899E-2</v>
      </c>
      <c r="I408">
        <v>1.8558021398270601</v>
      </c>
      <c r="J408">
        <v>6.97</v>
      </c>
      <c r="L408">
        <v>2.5263625036872819</v>
      </c>
      <c r="M408">
        <v>2.3301798330522381</v>
      </c>
      <c r="N408">
        <v>2.6244538390048038</v>
      </c>
      <c r="O408">
        <v>2.2320884977347162</v>
      </c>
    </row>
    <row r="409" spans="1:15">
      <c r="A409" s="19">
        <v>43203</v>
      </c>
      <c r="B409">
        <v>1254</v>
      </c>
      <c r="C409">
        <v>1253</v>
      </c>
      <c r="D409">
        <v>483</v>
      </c>
      <c r="E409">
        <v>480</v>
      </c>
      <c r="F409">
        <v>2.6104166666666599</v>
      </c>
      <c r="G409">
        <v>2.42351252873899</v>
      </c>
      <c r="H409">
        <v>9.7801363586985796E-2</v>
      </c>
      <c r="I409">
        <v>1.9110586097445901</v>
      </c>
      <c r="J409">
        <v>7.16</v>
      </c>
      <c r="L409">
        <v>2.5213138923259759</v>
      </c>
      <c r="M409">
        <v>2.3257111651520042</v>
      </c>
      <c r="N409">
        <v>2.6191152559129618</v>
      </c>
      <c r="O409">
        <v>2.2279098015650183</v>
      </c>
    </row>
    <row r="410" spans="1:15">
      <c r="A410" s="19">
        <v>43202</v>
      </c>
      <c r="B410">
        <v>1278</v>
      </c>
      <c r="C410">
        <v>1255</v>
      </c>
      <c r="D410">
        <v>479</v>
      </c>
      <c r="E410">
        <v>482</v>
      </c>
      <c r="F410">
        <v>2.6037344398340201</v>
      </c>
      <c r="G410">
        <v>2.4191195468573099</v>
      </c>
      <c r="H410">
        <v>9.6700812729602001E-2</v>
      </c>
      <c r="I410">
        <v>1.90913486418093</v>
      </c>
      <c r="J410">
        <v>7.09</v>
      </c>
      <c r="L410">
        <v>2.515820359586912</v>
      </c>
      <c r="M410">
        <v>2.3224187341277078</v>
      </c>
      <c r="N410">
        <v>2.612521172316514</v>
      </c>
      <c r="O410">
        <v>2.2257179213981058</v>
      </c>
    </row>
    <row r="411" spans="1:15">
      <c r="A411" s="19">
        <v>43201</v>
      </c>
      <c r="B411">
        <v>1277</v>
      </c>
      <c r="C411">
        <v>1271</v>
      </c>
      <c r="D411">
        <v>484</v>
      </c>
      <c r="E411">
        <v>479</v>
      </c>
      <c r="F411">
        <v>2.6534446764091801</v>
      </c>
      <c r="G411">
        <v>2.4154435117814499</v>
      </c>
      <c r="H411">
        <v>9.4835251069365495E-2</v>
      </c>
      <c r="I411">
        <v>2.5096276115054001</v>
      </c>
      <c r="J411">
        <v>8.9700000000000006</v>
      </c>
      <c r="L411">
        <v>2.5102787628508154</v>
      </c>
      <c r="M411">
        <v>2.3206082607120844</v>
      </c>
      <c r="N411">
        <v>2.6051140139201809</v>
      </c>
      <c r="O411">
        <v>2.2257730096427188</v>
      </c>
    </row>
    <row r="412" spans="1:15">
      <c r="A412" s="19">
        <v>43200</v>
      </c>
      <c r="B412">
        <v>1255</v>
      </c>
      <c r="C412">
        <v>1275</v>
      </c>
      <c r="D412">
        <v>486</v>
      </c>
      <c r="E412">
        <v>486</v>
      </c>
      <c r="F412">
        <v>2.6234567901234498</v>
      </c>
      <c r="G412">
        <v>2.4107842494293301</v>
      </c>
      <c r="H412">
        <v>9.1555179058554995E-2</v>
      </c>
      <c r="I412">
        <v>2.3228892442895401</v>
      </c>
      <c r="J412">
        <v>8.11</v>
      </c>
      <c r="L412">
        <v>2.5023394284878853</v>
      </c>
      <c r="M412">
        <v>2.319229070370775</v>
      </c>
      <c r="N412">
        <v>2.59389460754644</v>
      </c>
      <c r="O412">
        <v>2.2276738913122203</v>
      </c>
    </row>
    <row r="413" spans="1:15">
      <c r="A413" s="19">
        <v>43199</v>
      </c>
      <c r="B413">
        <v>1220</v>
      </c>
      <c r="C413">
        <v>1240</v>
      </c>
      <c r="D413">
        <v>484</v>
      </c>
      <c r="E413">
        <v>485</v>
      </c>
      <c r="F413">
        <v>2.55670103092783</v>
      </c>
      <c r="G413">
        <v>2.4061102704481399</v>
      </c>
      <c r="H413">
        <v>8.95036687880051E-2</v>
      </c>
      <c r="I413">
        <v>1.68250935988307</v>
      </c>
      <c r="J413">
        <v>5.89</v>
      </c>
      <c r="L413">
        <v>2.4956139392361449</v>
      </c>
      <c r="M413">
        <v>2.3166066016601348</v>
      </c>
      <c r="N413">
        <v>2.58511760802415</v>
      </c>
      <c r="O413">
        <v>2.2271029328721297</v>
      </c>
    </row>
    <row r="414" spans="1:15">
      <c r="A414" s="19">
        <v>43196</v>
      </c>
      <c r="B414">
        <v>1213</v>
      </c>
      <c r="C414">
        <v>1217</v>
      </c>
      <c r="D414">
        <v>483</v>
      </c>
      <c r="E414">
        <v>485</v>
      </c>
      <c r="F414">
        <v>2.5092783505154599</v>
      </c>
      <c r="G414">
        <v>2.40224850034366</v>
      </c>
      <c r="H414">
        <v>8.9170593751513802E-2</v>
      </c>
      <c r="I414">
        <v>1.2002819053784499</v>
      </c>
      <c r="J414">
        <v>4.2699999999999996</v>
      </c>
      <c r="L414">
        <v>2.4914190940951739</v>
      </c>
      <c r="M414">
        <v>2.3130779065921461</v>
      </c>
      <c r="N414">
        <v>2.5805896878466874</v>
      </c>
      <c r="O414">
        <v>2.2239073128406326</v>
      </c>
    </row>
    <row r="415" spans="1:15">
      <c r="A415" s="19">
        <v>43195</v>
      </c>
      <c r="B415">
        <v>1218</v>
      </c>
      <c r="C415">
        <v>1219</v>
      </c>
      <c r="D415">
        <v>480</v>
      </c>
      <c r="E415">
        <v>484</v>
      </c>
      <c r="F415">
        <v>2.5185950413223099</v>
      </c>
      <c r="G415">
        <v>2.3988181223367899</v>
      </c>
      <c r="H415">
        <v>8.9932661496053806E-2</v>
      </c>
      <c r="I415">
        <v>1.33185115388555</v>
      </c>
      <c r="J415">
        <v>4.76</v>
      </c>
      <c r="L415">
        <v>2.4887507838328435</v>
      </c>
      <c r="M415">
        <v>2.3088854608407363</v>
      </c>
      <c r="N415">
        <v>2.5786834453288976</v>
      </c>
      <c r="O415">
        <v>2.2189527993446823</v>
      </c>
    </row>
    <row r="416" spans="1:15">
      <c r="A416" s="19">
        <v>43194</v>
      </c>
      <c r="B416">
        <v>1199</v>
      </c>
      <c r="C416">
        <v>1212</v>
      </c>
      <c r="D416">
        <v>475</v>
      </c>
      <c r="E416">
        <v>479</v>
      </c>
      <c r="F416">
        <v>2.5302713987473902</v>
      </c>
      <c r="G416">
        <v>2.3946703202048001</v>
      </c>
      <c r="H416">
        <v>9.1473368314697198E-2</v>
      </c>
      <c r="I416">
        <v>1.4824104659191699</v>
      </c>
      <c r="J416">
        <v>5.36</v>
      </c>
      <c r="L416">
        <v>2.4861436885194972</v>
      </c>
      <c r="M416">
        <v>2.303196951890103</v>
      </c>
      <c r="N416">
        <v>2.5776170568341943</v>
      </c>
      <c r="O416">
        <v>2.2117235835754059</v>
      </c>
    </row>
    <row r="417" spans="1:15">
      <c r="A417" s="19">
        <v>43193</v>
      </c>
      <c r="B417">
        <v>1184</v>
      </c>
      <c r="C417">
        <v>1195</v>
      </c>
      <c r="D417">
        <v>470</v>
      </c>
      <c r="E417">
        <v>473</v>
      </c>
      <c r="F417">
        <v>2.52642706131078</v>
      </c>
      <c r="G417">
        <v>2.39073416503425</v>
      </c>
      <c r="H417">
        <v>9.1904237306736206E-2</v>
      </c>
      <c r="I417">
        <v>1.4764596307311</v>
      </c>
      <c r="J417">
        <v>5.37</v>
      </c>
      <c r="L417">
        <v>2.482638402340986</v>
      </c>
      <c r="M417">
        <v>2.2988299277275139</v>
      </c>
      <c r="N417">
        <v>2.5745426396477225</v>
      </c>
      <c r="O417">
        <v>2.2069256904207775</v>
      </c>
    </row>
    <row r="418" spans="1:15">
      <c r="A418" s="19">
        <v>43192</v>
      </c>
      <c r="B418">
        <v>1209</v>
      </c>
      <c r="C418">
        <v>1196</v>
      </c>
      <c r="D418">
        <v>477</v>
      </c>
      <c r="E418">
        <v>470</v>
      </c>
      <c r="F418">
        <v>2.5446808510638199</v>
      </c>
      <c r="G418">
        <v>2.3869885906439201</v>
      </c>
      <c r="H418">
        <v>9.2022081026489705E-2</v>
      </c>
      <c r="I418">
        <v>1.71363501738798</v>
      </c>
      <c r="J418">
        <v>6.2</v>
      </c>
      <c r="L418">
        <v>2.4790106716704097</v>
      </c>
      <c r="M418">
        <v>2.2949665096174305</v>
      </c>
      <c r="N418">
        <v>2.5710327526968997</v>
      </c>
      <c r="O418">
        <v>2.2029444285909405</v>
      </c>
    </row>
    <row r="419" spans="1:15">
      <c r="A419" s="19">
        <v>43189</v>
      </c>
      <c r="B419">
        <v>1214</v>
      </c>
      <c r="C419">
        <v>1212</v>
      </c>
      <c r="D419">
        <v>473</v>
      </c>
      <c r="E419">
        <v>478</v>
      </c>
      <c r="F419">
        <v>2.5355648535564801</v>
      </c>
      <c r="G419">
        <v>2.3832728459630701</v>
      </c>
      <c r="H419">
        <v>9.1202385781155595E-2</v>
      </c>
      <c r="I419">
        <v>1.6698248218949501</v>
      </c>
      <c r="J419">
        <v>6.01</v>
      </c>
      <c r="L419">
        <v>2.4744752317442256</v>
      </c>
      <c r="M419">
        <v>2.2920704601819146</v>
      </c>
      <c r="N419">
        <v>2.5656776175253815</v>
      </c>
      <c r="O419">
        <v>2.2008680744007587</v>
      </c>
    </row>
    <row r="420" spans="1:15">
      <c r="A420" s="19">
        <v>43188</v>
      </c>
      <c r="B420">
        <v>1205</v>
      </c>
      <c r="C420">
        <v>1209</v>
      </c>
      <c r="D420">
        <v>480</v>
      </c>
      <c r="E420">
        <v>475</v>
      </c>
      <c r="F420">
        <v>2.54526315789473</v>
      </c>
      <c r="G420">
        <v>2.3796661177951699</v>
      </c>
      <c r="H420">
        <v>9.0454140550976697E-2</v>
      </c>
      <c r="I420">
        <v>1.83072924125835</v>
      </c>
      <c r="J420">
        <v>6.51</v>
      </c>
      <c r="L420">
        <v>2.4701202583461468</v>
      </c>
      <c r="M420">
        <v>2.289211977244193</v>
      </c>
      <c r="N420">
        <v>2.5605743988971232</v>
      </c>
      <c r="O420">
        <v>2.1987578366932166</v>
      </c>
    </row>
    <row r="421" spans="1:15">
      <c r="A421" s="19">
        <v>43187</v>
      </c>
      <c r="B421">
        <v>1181</v>
      </c>
      <c r="C421">
        <v>1195</v>
      </c>
      <c r="D421">
        <v>471</v>
      </c>
      <c r="E421">
        <v>476</v>
      </c>
      <c r="F421">
        <v>2.51050420168067</v>
      </c>
      <c r="G421">
        <v>2.3766495210886802</v>
      </c>
      <c r="H421">
        <v>8.8635556591635606E-2</v>
      </c>
      <c r="I421">
        <v>1.5101691210525201</v>
      </c>
      <c r="J421">
        <v>5.33</v>
      </c>
      <c r="L421">
        <v>2.4652850776803157</v>
      </c>
      <c r="M421">
        <v>2.2880139644970447</v>
      </c>
      <c r="N421">
        <v>2.5539206342719516</v>
      </c>
      <c r="O421">
        <v>2.1993784079054088</v>
      </c>
    </row>
    <row r="422" spans="1:15">
      <c r="A422" s="19">
        <v>43186</v>
      </c>
      <c r="B422">
        <v>1179</v>
      </c>
      <c r="C422">
        <v>1204</v>
      </c>
      <c r="D422">
        <v>475</v>
      </c>
      <c r="E422">
        <v>484</v>
      </c>
      <c r="F422">
        <v>2.4876033057851199</v>
      </c>
      <c r="G422">
        <v>2.3749312337737498</v>
      </c>
      <c r="H422">
        <v>8.7262512735141198E-2</v>
      </c>
      <c r="I422">
        <v>1.29118528082444</v>
      </c>
      <c r="J422">
        <v>4.53</v>
      </c>
      <c r="L422">
        <v>2.4621937465088912</v>
      </c>
      <c r="M422">
        <v>2.2876687210386084</v>
      </c>
      <c r="N422">
        <v>2.5494562592440322</v>
      </c>
      <c r="O422">
        <v>2.2004062083034674</v>
      </c>
    </row>
    <row r="423" spans="1:15">
      <c r="A423" s="19">
        <v>43185</v>
      </c>
      <c r="B423">
        <v>1165</v>
      </c>
      <c r="C423">
        <v>1179</v>
      </c>
      <c r="D423">
        <v>470</v>
      </c>
      <c r="E423">
        <v>472</v>
      </c>
      <c r="F423">
        <v>2.4978813559322002</v>
      </c>
      <c r="G423">
        <v>2.3719528915936299</v>
      </c>
      <c r="H423">
        <v>8.7178052273282194E-2</v>
      </c>
      <c r="I423">
        <v>1.4444973368275</v>
      </c>
      <c r="J423">
        <v>5.04</v>
      </c>
      <c r="L423">
        <v>2.4591309438669122</v>
      </c>
      <c r="M423">
        <v>2.2847748393203475</v>
      </c>
      <c r="N423">
        <v>2.5463089961401941</v>
      </c>
      <c r="O423">
        <v>2.1975967870470656</v>
      </c>
    </row>
    <row r="424" spans="1:15">
      <c r="A424" s="19">
        <v>43182</v>
      </c>
      <c r="B424">
        <v>1188</v>
      </c>
      <c r="C424">
        <v>1172</v>
      </c>
      <c r="D424">
        <v>474</v>
      </c>
      <c r="E424">
        <v>476</v>
      </c>
      <c r="F424">
        <v>2.46218487394958</v>
      </c>
      <c r="G424">
        <v>2.3682153384513298</v>
      </c>
      <c r="H424">
        <v>8.7706400002217605E-2</v>
      </c>
      <c r="I424">
        <v>1.0714102448153</v>
      </c>
      <c r="J424">
        <v>3.82</v>
      </c>
      <c r="L424">
        <v>2.4559217384535472</v>
      </c>
      <c r="M424">
        <v>2.2805089384491124</v>
      </c>
      <c r="N424">
        <v>2.5436281384557651</v>
      </c>
      <c r="O424">
        <v>2.1928025384468945</v>
      </c>
    </row>
    <row r="425" spans="1:15">
      <c r="A425" s="19">
        <v>43181</v>
      </c>
      <c r="B425">
        <v>1200</v>
      </c>
      <c r="C425">
        <v>1203</v>
      </c>
      <c r="D425">
        <v>479</v>
      </c>
      <c r="E425">
        <v>479</v>
      </c>
      <c r="F425">
        <v>2.5114822546972801</v>
      </c>
      <c r="G425">
        <v>2.36485287346534</v>
      </c>
      <c r="H425">
        <v>8.8865801597092606E-2</v>
      </c>
      <c r="I425">
        <v>1.65000909907667</v>
      </c>
      <c r="J425">
        <v>5.84</v>
      </c>
      <c r="L425">
        <v>2.4537186750624325</v>
      </c>
      <c r="M425">
        <v>2.2759870718682476</v>
      </c>
      <c r="N425">
        <v>2.5425844766595254</v>
      </c>
      <c r="O425">
        <v>2.1871212702711547</v>
      </c>
    </row>
    <row r="426" spans="1:15">
      <c r="A426" s="19">
        <v>43179</v>
      </c>
      <c r="B426">
        <v>1185</v>
      </c>
      <c r="C426">
        <v>1186</v>
      </c>
      <c r="D426">
        <v>475</v>
      </c>
      <c r="E426">
        <v>477</v>
      </c>
      <c r="F426">
        <v>2.4863731656184398</v>
      </c>
      <c r="G426">
        <v>2.3615090095941502</v>
      </c>
      <c r="H426">
        <v>8.7999652308230703E-2</v>
      </c>
      <c r="I426">
        <v>1.4189164701121599</v>
      </c>
      <c r="J426">
        <v>5.0199999999999996</v>
      </c>
      <c r="L426">
        <v>2.4495086619023807</v>
      </c>
      <c r="M426">
        <v>2.2735093572859197</v>
      </c>
      <c r="N426">
        <v>2.5375083142106116</v>
      </c>
      <c r="O426">
        <v>2.1855097049776888</v>
      </c>
    </row>
    <row r="427" spans="1:15">
      <c r="A427" s="19">
        <v>43178</v>
      </c>
      <c r="B427">
        <v>1190</v>
      </c>
      <c r="C427">
        <v>1188</v>
      </c>
      <c r="D427">
        <v>486</v>
      </c>
      <c r="E427">
        <v>483</v>
      </c>
      <c r="F427">
        <v>2.4596273291925401</v>
      </c>
      <c r="G427">
        <v>2.35857594662088</v>
      </c>
      <c r="H427">
        <v>8.7453310188383204E-2</v>
      </c>
      <c r="I427">
        <v>1.15548951039119</v>
      </c>
      <c r="J427">
        <v>4.1100000000000003</v>
      </c>
      <c r="L427">
        <v>2.446029256809263</v>
      </c>
      <c r="M427">
        <v>2.271122636432497</v>
      </c>
      <c r="N427">
        <v>2.5334825669976464</v>
      </c>
      <c r="O427">
        <v>2.1836693262441136</v>
      </c>
    </row>
    <row r="428" spans="1:15">
      <c r="A428" s="19">
        <v>43175</v>
      </c>
      <c r="B428">
        <v>1214</v>
      </c>
      <c r="C428">
        <v>1197</v>
      </c>
      <c r="D428">
        <v>497</v>
      </c>
      <c r="E428">
        <v>488</v>
      </c>
      <c r="F428">
        <v>2.4528688524590101</v>
      </c>
      <c r="G428">
        <v>2.35619075163055</v>
      </c>
      <c r="H428">
        <v>8.7103527141291104E-2</v>
      </c>
      <c r="I428">
        <v>1.1099217678250599</v>
      </c>
      <c r="J428">
        <v>3.94</v>
      </c>
      <c r="L428">
        <v>2.443294278771841</v>
      </c>
      <c r="M428">
        <v>2.269087224489259</v>
      </c>
      <c r="N428">
        <v>2.5303978059131325</v>
      </c>
      <c r="O428">
        <v>2.1819836973479676</v>
      </c>
    </row>
    <row r="429" spans="1:15">
      <c r="A429" s="19">
        <v>43174</v>
      </c>
      <c r="B429">
        <v>1206</v>
      </c>
      <c r="C429">
        <v>1202</v>
      </c>
      <c r="D429">
        <v>495</v>
      </c>
      <c r="E429">
        <v>495</v>
      </c>
      <c r="F429">
        <v>2.4282828282828199</v>
      </c>
      <c r="G429">
        <v>2.3539542653696599</v>
      </c>
      <c r="H429">
        <v>8.6745169265103797E-2</v>
      </c>
      <c r="I429">
        <v>0.85686112025452499</v>
      </c>
      <c r="J429">
        <v>3.06</v>
      </c>
      <c r="L429">
        <v>2.4406994346347637</v>
      </c>
      <c r="M429">
        <v>2.2672090961045561</v>
      </c>
      <c r="N429">
        <v>2.5274446038998675</v>
      </c>
      <c r="O429">
        <v>2.1804639268394523</v>
      </c>
    </row>
    <row r="430" spans="1:15">
      <c r="A430" s="19">
        <v>43173</v>
      </c>
      <c r="B430">
        <v>1215</v>
      </c>
      <c r="C430">
        <v>1212</v>
      </c>
      <c r="D430">
        <v>500</v>
      </c>
      <c r="E430">
        <v>496</v>
      </c>
      <c r="F430">
        <v>2.44354838709677</v>
      </c>
      <c r="G430">
        <v>2.3524156068003199</v>
      </c>
      <c r="H430">
        <v>8.6436014626815799E-2</v>
      </c>
      <c r="I430">
        <v>1.05433806370997</v>
      </c>
      <c r="J430">
        <v>3.73</v>
      </c>
      <c r="L430">
        <v>2.4388516214271356</v>
      </c>
      <c r="M430">
        <v>2.2659795921735042</v>
      </c>
      <c r="N430">
        <v>2.5252876360539513</v>
      </c>
      <c r="O430">
        <v>2.1795435775466885</v>
      </c>
    </row>
    <row r="431" spans="1:15">
      <c r="A431" s="19">
        <v>43172</v>
      </c>
      <c r="B431">
        <v>1198</v>
      </c>
      <c r="C431">
        <v>1211</v>
      </c>
      <c r="D431">
        <v>492</v>
      </c>
      <c r="E431">
        <v>507</v>
      </c>
      <c r="F431">
        <v>2.3885601577909199</v>
      </c>
      <c r="G431">
        <v>2.3503033934109299</v>
      </c>
      <c r="H431">
        <v>8.6118220063065104E-2</v>
      </c>
      <c r="I431">
        <v>0.444235428367867</v>
      </c>
      <c r="J431">
        <v>1.6</v>
      </c>
      <c r="L431">
        <v>2.4364216134739949</v>
      </c>
      <c r="M431">
        <v>2.2641851733478648</v>
      </c>
      <c r="N431">
        <v>2.5225398335370599</v>
      </c>
      <c r="O431">
        <v>2.1780669532847998</v>
      </c>
    </row>
    <row r="432" spans="1:15">
      <c r="A432" s="19">
        <v>43171</v>
      </c>
      <c r="B432">
        <v>1210</v>
      </c>
      <c r="C432">
        <v>1190</v>
      </c>
      <c r="D432">
        <v>485</v>
      </c>
      <c r="E432">
        <v>489</v>
      </c>
      <c r="F432">
        <v>2.4335378323108299</v>
      </c>
      <c r="G432">
        <v>2.3489750503234399</v>
      </c>
      <c r="H432">
        <v>8.6286060672047596E-2</v>
      </c>
      <c r="I432">
        <v>0.98002830733915902</v>
      </c>
      <c r="J432">
        <v>3.47</v>
      </c>
      <c r="L432">
        <v>2.4352611109954876</v>
      </c>
      <c r="M432">
        <v>2.2626889896513922</v>
      </c>
      <c r="N432">
        <v>2.5215471716675353</v>
      </c>
      <c r="O432">
        <v>2.1764029289793445</v>
      </c>
    </row>
    <row r="433" spans="1:15">
      <c r="A433" s="19">
        <v>43168</v>
      </c>
      <c r="B433">
        <v>1193</v>
      </c>
      <c r="C433">
        <v>1183</v>
      </c>
      <c r="D433">
        <v>479</v>
      </c>
      <c r="E433">
        <v>478</v>
      </c>
      <c r="F433">
        <v>2.4748953974895298</v>
      </c>
      <c r="G433">
        <v>2.3468358874395201</v>
      </c>
      <c r="H433">
        <v>8.6151740885346204E-2</v>
      </c>
      <c r="I433">
        <v>1.48644135027339</v>
      </c>
      <c r="J433">
        <v>5.17</v>
      </c>
      <c r="L433">
        <v>2.4329876283248661</v>
      </c>
      <c r="M433">
        <v>2.260684146554174</v>
      </c>
      <c r="N433">
        <v>2.5191393692102126</v>
      </c>
      <c r="O433">
        <v>2.1745324056688276</v>
      </c>
    </row>
    <row r="434" spans="1:15">
      <c r="A434" s="19">
        <v>43167</v>
      </c>
      <c r="B434">
        <v>1187</v>
      </c>
      <c r="C434">
        <v>1173</v>
      </c>
      <c r="D434">
        <v>480</v>
      </c>
      <c r="E434">
        <v>476</v>
      </c>
      <c r="F434">
        <v>2.46428571428571</v>
      </c>
      <c r="G434">
        <v>2.34440772887505</v>
      </c>
      <c r="H434">
        <v>8.5067769821755901E-2</v>
      </c>
      <c r="I434">
        <v>1.40920569167194</v>
      </c>
      <c r="J434">
        <v>4.8600000000000003</v>
      </c>
      <c r="L434">
        <v>2.4294754986968057</v>
      </c>
      <c r="M434">
        <v>2.2593399590532943</v>
      </c>
      <c r="N434">
        <v>2.5145432685185618</v>
      </c>
      <c r="O434">
        <v>2.1742721892315382</v>
      </c>
    </row>
    <row r="435" spans="1:15">
      <c r="A435" s="19">
        <v>43166</v>
      </c>
      <c r="B435">
        <v>1165</v>
      </c>
      <c r="C435">
        <v>1172</v>
      </c>
      <c r="D435">
        <v>473</v>
      </c>
      <c r="E435">
        <v>478</v>
      </c>
      <c r="F435">
        <v>2.4518828451882801</v>
      </c>
      <c r="G435">
        <v>2.34260614157346</v>
      </c>
      <c r="H435">
        <v>8.39331114252512E-2</v>
      </c>
      <c r="I435">
        <v>1.3019498712630699</v>
      </c>
      <c r="J435">
        <v>4.46</v>
      </c>
      <c r="L435">
        <v>2.4265392529987113</v>
      </c>
      <c r="M435">
        <v>2.2586730301482087</v>
      </c>
      <c r="N435">
        <v>2.5104723644239626</v>
      </c>
      <c r="O435">
        <v>2.1747399187229575</v>
      </c>
    </row>
    <row r="436" spans="1:15">
      <c r="A436" s="19">
        <v>43165</v>
      </c>
      <c r="B436">
        <v>1170</v>
      </c>
      <c r="C436">
        <v>1166</v>
      </c>
      <c r="D436">
        <v>480</v>
      </c>
      <c r="E436">
        <v>473</v>
      </c>
      <c r="F436">
        <v>2.4651162790697598</v>
      </c>
      <c r="G436">
        <v>2.34117120090538</v>
      </c>
      <c r="H436">
        <v>8.2967017969128504E-2</v>
      </c>
      <c r="I436">
        <v>1.49390783468319</v>
      </c>
      <c r="J436">
        <v>5.03</v>
      </c>
      <c r="L436">
        <v>2.4241382188745084</v>
      </c>
      <c r="M436">
        <v>2.2582041829362516</v>
      </c>
      <c r="N436">
        <v>2.5071052368436368</v>
      </c>
      <c r="O436">
        <v>2.1752371649671232</v>
      </c>
    </row>
    <row r="437" spans="1:15">
      <c r="A437" s="19">
        <v>43164</v>
      </c>
      <c r="B437">
        <v>1157</v>
      </c>
      <c r="C437">
        <v>1159</v>
      </c>
      <c r="D437">
        <v>473</v>
      </c>
      <c r="E437">
        <v>475</v>
      </c>
      <c r="F437">
        <v>2.44</v>
      </c>
      <c r="G437">
        <v>2.3392689702456702</v>
      </c>
      <c r="H437">
        <v>8.1729734153510397E-2</v>
      </c>
      <c r="I437">
        <v>1.2324893846481899</v>
      </c>
      <c r="J437">
        <v>4.13</v>
      </c>
      <c r="L437">
        <v>2.4209987043991807</v>
      </c>
      <c r="M437">
        <v>2.2575392360921596</v>
      </c>
      <c r="N437">
        <v>2.5027284385526909</v>
      </c>
      <c r="O437">
        <v>2.1758095019386494</v>
      </c>
    </row>
    <row r="438" spans="1:15">
      <c r="A438" s="19">
        <v>43161</v>
      </c>
      <c r="B438">
        <v>1156</v>
      </c>
      <c r="C438">
        <v>1157</v>
      </c>
      <c r="D438">
        <v>473</v>
      </c>
      <c r="E438">
        <v>472</v>
      </c>
      <c r="F438">
        <v>2.4512711864406702</v>
      </c>
      <c r="G438">
        <v>2.3374183678360398</v>
      </c>
      <c r="H438">
        <v>8.0996007547529697E-2</v>
      </c>
      <c r="I438">
        <v>1.40565963745591</v>
      </c>
      <c r="J438">
        <v>4.6399999999999997</v>
      </c>
      <c r="L438">
        <v>2.4184143753835694</v>
      </c>
      <c r="M438">
        <v>2.2564223602885103</v>
      </c>
      <c r="N438">
        <v>2.4994103829310994</v>
      </c>
      <c r="O438">
        <v>2.1754263527409803</v>
      </c>
    </row>
    <row r="439" spans="1:15">
      <c r="A439" s="19">
        <v>43160</v>
      </c>
      <c r="B439">
        <v>1196</v>
      </c>
      <c r="C439">
        <v>1179</v>
      </c>
      <c r="D439">
        <v>483</v>
      </c>
      <c r="E439">
        <v>478</v>
      </c>
      <c r="F439">
        <v>2.4665271966527098</v>
      </c>
      <c r="G439">
        <v>2.3352109424930201</v>
      </c>
      <c r="H439">
        <v>8.0114242279669498E-2</v>
      </c>
      <c r="I439">
        <v>1.63911247767017</v>
      </c>
      <c r="J439">
        <v>5.32</v>
      </c>
      <c r="L439">
        <v>2.4153251847726898</v>
      </c>
      <c r="M439">
        <v>2.2550967002133504</v>
      </c>
      <c r="N439">
        <v>2.495439427052359</v>
      </c>
      <c r="O439">
        <v>2.1749824579336812</v>
      </c>
    </row>
    <row r="440" spans="1:15">
      <c r="A440" s="19">
        <v>43159</v>
      </c>
      <c r="B440">
        <v>1219</v>
      </c>
      <c r="C440">
        <v>1201</v>
      </c>
      <c r="D440">
        <v>490</v>
      </c>
      <c r="E440">
        <v>483</v>
      </c>
      <c r="F440">
        <v>2.48654244306418</v>
      </c>
      <c r="G440">
        <v>2.3321801223546399</v>
      </c>
      <c r="H440">
        <v>7.9385479487540503E-2</v>
      </c>
      <c r="I440">
        <v>1.9444654325450399</v>
      </c>
      <c r="J440">
        <v>6.21</v>
      </c>
      <c r="L440">
        <v>2.4115656018421805</v>
      </c>
      <c r="M440">
        <v>2.2527946428670993</v>
      </c>
      <c r="N440">
        <v>2.4909510813297211</v>
      </c>
      <c r="O440">
        <v>2.1734091633795587</v>
      </c>
    </row>
    <row r="441" spans="1:15">
      <c r="A441" s="19">
        <v>43158</v>
      </c>
      <c r="B441">
        <v>1247</v>
      </c>
      <c r="C441">
        <v>1225</v>
      </c>
      <c r="D441">
        <v>493</v>
      </c>
      <c r="E441">
        <v>487</v>
      </c>
      <c r="F441">
        <v>2.5154004106776102</v>
      </c>
      <c r="G441">
        <v>2.3283851974727598</v>
      </c>
      <c r="H441">
        <v>7.8715787423303096E-2</v>
      </c>
      <c r="I441">
        <v>2.37582852597482</v>
      </c>
      <c r="J441">
        <v>7.43</v>
      </c>
      <c r="L441">
        <v>2.4071009848960632</v>
      </c>
      <c r="M441">
        <v>2.2496694100494565</v>
      </c>
      <c r="N441">
        <v>2.485816772319366</v>
      </c>
      <c r="O441">
        <v>2.1709536226261537</v>
      </c>
    </row>
    <row r="442" spans="1:15">
      <c r="A442" s="19">
        <v>43157</v>
      </c>
      <c r="B442">
        <v>1231</v>
      </c>
      <c r="C442">
        <v>1220</v>
      </c>
      <c r="D442">
        <v>494</v>
      </c>
      <c r="E442">
        <v>490</v>
      </c>
      <c r="F442">
        <v>2.4897959183673399</v>
      </c>
      <c r="G442">
        <v>2.3255598846040599</v>
      </c>
      <c r="H442">
        <v>7.5697551349412501E-2</v>
      </c>
      <c r="I442">
        <v>2.16963469538377</v>
      </c>
      <c r="J442">
        <v>6.6</v>
      </c>
      <c r="L442">
        <v>2.4012574359534726</v>
      </c>
      <c r="M442">
        <v>2.2498623332546472</v>
      </c>
      <c r="N442">
        <v>2.4769549873028849</v>
      </c>
      <c r="O442">
        <v>2.174164781905235</v>
      </c>
    </row>
    <row r="443" spans="1:15">
      <c r="A443" s="19">
        <v>43154</v>
      </c>
      <c r="B443">
        <v>1222</v>
      </c>
      <c r="C443">
        <v>1222</v>
      </c>
      <c r="D443">
        <v>490</v>
      </c>
      <c r="E443">
        <v>490</v>
      </c>
      <c r="F443">
        <v>2.4938775510203999</v>
      </c>
      <c r="G443">
        <v>2.3215435580734498</v>
      </c>
      <c r="H443">
        <v>7.4863564116076795E-2</v>
      </c>
      <c r="I443">
        <v>2.3019741977519002</v>
      </c>
      <c r="J443">
        <v>6.91</v>
      </c>
      <c r="L443">
        <v>2.3964071221895265</v>
      </c>
      <c r="M443">
        <v>2.2466799939573732</v>
      </c>
      <c r="N443">
        <v>2.4712706863056035</v>
      </c>
      <c r="O443">
        <v>2.1718164298412961</v>
      </c>
    </row>
    <row r="444" spans="1:15">
      <c r="A444" s="19">
        <v>43153</v>
      </c>
      <c r="B444">
        <v>1220</v>
      </c>
      <c r="C444">
        <v>1216</v>
      </c>
      <c r="D444">
        <v>490</v>
      </c>
      <c r="E444">
        <v>489</v>
      </c>
      <c r="F444">
        <v>2.4867075664621598</v>
      </c>
      <c r="G444">
        <v>2.3170515473156601</v>
      </c>
      <c r="H444">
        <v>7.4494864384202095E-2</v>
      </c>
      <c r="I444">
        <v>2.2774189945700898</v>
      </c>
      <c r="J444">
        <v>6.82</v>
      </c>
      <c r="L444">
        <v>2.3915464116998622</v>
      </c>
      <c r="M444">
        <v>2.242556682931458</v>
      </c>
      <c r="N444">
        <v>2.4660412760840642</v>
      </c>
      <c r="O444">
        <v>2.168061818547256</v>
      </c>
    </row>
    <row r="445" spans="1:15">
      <c r="A445" s="19">
        <v>43152</v>
      </c>
      <c r="B445">
        <v>1227</v>
      </c>
      <c r="C445">
        <v>1222</v>
      </c>
      <c r="D445">
        <v>493</v>
      </c>
      <c r="E445">
        <v>490</v>
      </c>
      <c r="F445">
        <v>2.4938775510203999</v>
      </c>
      <c r="G445">
        <v>2.3122669477017599</v>
      </c>
      <c r="H445">
        <v>7.4966990660196506E-2</v>
      </c>
      <c r="I445">
        <v>2.4225409306054502</v>
      </c>
      <c r="J445">
        <v>7.28</v>
      </c>
      <c r="L445">
        <v>2.3872339383619563</v>
      </c>
      <c r="M445">
        <v>2.2372999570415635</v>
      </c>
      <c r="N445">
        <v>2.4622009290221527</v>
      </c>
      <c r="O445">
        <v>2.1623329663813671</v>
      </c>
    </row>
    <row r="446" spans="1:15">
      <c r="A446" s="19">
        <v>43151</v>
      </c>
      <c r="B446">
        <v>1209</v>
      </c>
      <c r="C446">
        <v>1216</v>
      </c>
      <c r="D446">
        <v>486</v>
      </c>
      <c r="E446">
        <v>491</v>
      </c>
      <c r="F446">
        <v>2.4765784114052898</v>
      </c>
      <c r="G446">
        <v>2.3085592418833998</v>
      </c>
      <c r="H446">
        <v>7.27366235652432E-2</v>
      </c>
      <c r="I446">
        <v>2.3099665792319599</v>
      </c>
      <c r="J446">
        <v>6.78</v>
      </c>
      <c r="L446">
        <v>2.3812958654486431</v>
      </c>
      <c r="M446">
        <v>2.2358226183181564</v>
      </c>
      <c r="N446">
        <v>2.454032489013886</v>
      </c>
      <c r="O446">
        <v>2.1630859947529135</v>
      </c>
    </row>
    <row r="447" spans="1:15">
      <c r="A447" s="19">
        <v>43150</v>
      </c>
      <c r="B447">
        <v>1180</v>
      </c>
      <c r="C447">
        <v>1198</v>
      </c>
      <c r="D447">
        <v>484</v>
      </c>
      <c r="E447">
        <v>487</v>
      </c>
      <c r="F447">
        <v>2.4599589322381901</v>
      </c>
      <c r="G447">
        <v>2.30494250565022</v>
      </c>
      <c r="H447">
        <v>7.1015717722664795E-2</v>
      </c>
      <c r="I447">
        <v>2.1828467212477101</v>
      </c>
      <c r="J447">
        <v>6.3</v>
      </c>
      <c r="L447">
        <v>2.3759582233728849</v>
      </c>
      <c r="M447">
        <v>2.2339267879275551</v>
      </c>
      <c r="N447">
        <v>2.4469739410955498</v>
      </c>
      <c r="O447">
        <v>2.1629110702048902</v>
      </c>
    </row>
    <row r="448" spans="1:15">
      <c r="A448" s="19">
        <v>43147</v>
      </c>
      <c r="B448">
        <v>1160</v>
      </c>
      <c r="C448">
        <v>1158</v>
      </c>
      <c r="D448">
        <v>478</v>
      </c>
      <c r="E448">
        <v>481</v>
      </c>
      <c r="F448">
        <v>2.4074844074844002</v>
      </c>
      <c r="G448">
        <v>2.3019709690903598</v>
      </c>
      <c r="H448">
        <v>6.91041271608481E-2</v>
      </c>
      <c r="I448">
        <v>1.52687607425316</v>
      </c>
      <c r="J448">
        <v>4.38</v>
      </c>
      <c r="L448">
        <v>2.3710750962512077</v>
      </c>
      <c r="M448">
        <v>2.2328668419295119</v>
      </c>
      <c r="N448">
        <v>2.4401792234120561</v>
      </c>
      <c r="O448">
        <v>2.1637627147686636</v>
      </c>
    </row>
    <row r="449" spans="1:15">
      <c r="A449" s="19">
        <v>43146</v>
      </c>
      <c r="B449">
        <v>1171</v>
      </c>
      <c r="C449">
        <v>1158</v>
      </c>
      <c r="D449">
        <v>472</v>
      </c>
      <c r="E449">
        <v>476</v>
      </c>
      <c r="F449">
        <v>2.4327731092436902</v>
      </c>
      <c r="G449">
        <v>2.2995971170797902</v>
      </c>
      <c r="H449">
        <v>6.8494062838704795E-2</v>
      </c>
      <c r="I449">
        <v>1.94434359190392</v>
      </c>
      <c r="J449">
        <v>5.47</v>
      </c>
      <c r="L449">
        <v>2.3680911799184949</v>
      </c>
      <c r="M449">
        <v>2.2311030542410855</v>
      </c>
      <c r="N449">
        <v>2.4365852427571997</v>
      </c>
      <c r="O449">
        <v>2.1626089914023807</v>
      </c>
    </row>
    <row r="450" spans="1:15">
      <c r="A450" s="19">
        <v>43145</v>
      </c>
      <c r="B450">
        <v>1173</v>
      </c>
      <c r="C450">
        <v>1166</v>
      </c>
      <c r="D450">
        <v>471</v>
      </c>
      <c r="E450">
        <v>470</v>
      </c>
      <c r="F450">
        <v>2.48085106382978</v>
      </c>
      <c r="G450">
        <v>2.2968009740479101</v>
      </c>
      <c r="H450">
        <v>6.7269912831794607E-2</v>
      </c>
      <c r="I450">
        <v>2.7359941768035498</v>
      </c>
      <c r="J450">
        <v>7.42</v>
      </c>
      <c r="L450">
        <v>2.3640708868797047</v>
      </c>
      <c r="M450">
        <v>2.2295310612161154</v>
      </c>
      <c r="N450">
        <v>2.4313407997114993</v>
      </c>
      <c r="O450">
        <v>2.1622611483843208</v>
      </c>
    </row>
    <row r="451" spans="1:15">
      <c r="A451" s="19">
        <v>43144</v>
      </c>
      <c r="B451">
        <v>1200</v>
      </c>
      <c r="C451">
        <v>1169</v>
      </c>
      <c r="D451">
        <v>480</v>
      </c>
      <c r="E451">
        <v>472</v>
      </c>
      <c r="F451">
        <v>2.4766949152542299</v>
      </c>
      <c r="G451">
        <v>2.2932485765617998</v>
      </c>
      <c r="H451">
        <v>6.4431731968241299E-2</v>
      </c>
      <c r="I451">
        <v>2.8471427523141699</v>
      </c>
      <c r="J451">
        <v>7.41</v>
      </c>
      <c r="L451">
        <v>2.3576803085300413</v>
      </c>
      <c r="M451">
        <v>2.2288168445935583</v>
      </c>
      <c r="N451">
        <v>2.4221120404982823</v>
      </c>
      <c r="O451">
        <v>2.1643851126253173</v>
      </c>
    </row>
    <row r="452" spans="1:15">
      <c r="A452" s="19">
        <v>43140</v>
      </c>
      <c r="B452">
        <v>1163</v>
      </c>
      <c r="C452">
        <v>1176</v>
      </c>
      <c r="D452">
        <v>479</v>
      </c>
      <c r="E452">
        <v>478</v>
      </c>
      <c r="F452">
        <v>2.4602510460251001</v>
      </c>
      <c r="G452">
        <v>2.29002241535078</v>
      </c>
      <c r="H452">
        <v>6.1139134405416899E-2</v>
      </c>
      <c r="I452">
        <v>2.7842826420394302</v>
      </c>
      <c r="J452">
        <v>6.92</v>
      </c>
      <c r="L452">
        <v>2.3511615497561968</v>
      </c>
      <c r="M452">
        <v>2.2288832809453631</v>
      </c>
      <c r="N452">
        <v>2.4123006841616137</v>
      </c>
      <c r="O452">
        <v>2.1677441465399463</v>
      </c>
    </row>
    <row r="453" spans="1:15">
      <c r="A453" s="19">
        <v>43139</v>
      </c>
      <c r="B453">
        <v>1165</v>
      </c>
      <c r="C453">
        <v>1163</v>
      </c>
      <c r="D453">
        <v>498</v>
      </c>
      <c r="E453">
        <v>484</v>
      </c>
      <c r="F453">
        <v>2.40289256198347</v>
      </c>
      <c r="G453">
        <v>2.2863763007748501</v>
      </c>
      <c r="H453">
        <v>5.8995040332382898E-2</v>
      </c>
      <c r="I453">
        <v>1.9750179091692199</v>
      </c>
      <c r="J453">
        <v>4.8499999999999996</v>
      </c>
      <c r="L453">
        <v>2.3453713411072332</v>
      </c>
      <c r="M453">
        <v>2.227381260442467</v>
      </c>
      <c r="N453">
        <v>2.4043663814396159</v>
      </c>
      <c r="O453">
        <v>2.1683862201100843</v>
      </c>
    </row>
    <row r="454" spans="1:15">
      <c r="A454" s="19">
        <v>43138</v>
      </c>
      <c r="B454">
        <v>1182</v>
      </c>
      <c r="C454">
        <v>1167</v>
      </c>
      <c r="D454">
        <v>508</v>
      </c>
      <c r="E454">
        <v>502</v>
      </c>
      <c r="F454">
        <v>2.3247011952191201</v>
      </c>
      <c r="G454">
        <v>2.2841521926547399</v>
      </c>
      <c r="H454">
        <v>5.7690362031082097E-2</v>
      </c>
      <c r="I454">
        <v>0.70287308203292498</v>
      </c>
      <c r="J454">
        <v>1.74</v>
      </c>
      <c r="L454">
        <v>2.3418425546858219</v>
      </c>
      <c r="M454">
        <v>2.2264618306236579</v>
      </c>
      <c r="N454">
        <v>2.3995329167169039</v>
      </c>
      <c r="O454">
        <v>2.1687714685925759</v>
      </c>
    </row>
    <row r="455" spans="1:15">
      <c r="A455" s="19">
        <v>43137</v>
      </c>
      <c r="B455">
        <v>1175</v>
      </c>
      <c r="C455">
        <v>1152</v>
      </c>
      <c r="D455">
        <v>504</v>
      </c>
      <c r="E455">
        <v>502</v>
      </c>
      <c r="F455">
        <v>2.2948207171314698</v>
      </c>
      <c r="G455">
        <v>2.2828938606596201</v>
      </c>
      <c r="H455">
        <v>5.7821286850248697E-2</v>
      </c>
      <c r="I455">
        <v>0.20627103133726801</v>
      </c>
      <c r="J455">
        <v>0.52</v>
      </c>
      <c r="L455">
        <v>2.3407151475098686</v>
      </c>
      <c r="M455">
        <v>2.2250725738093715</v>
      </c>
      <c r="N455">
        <v>2.3985364343601177</v>
      </c>
      <c r="O455">
        <v>2.1672512869591225</v>
      </c>
    </row>
    <row r="456" spans="1:15">
      <c r="A456" s="19">
        <v>43136</v>
      </c>
      <c r="B456">
        <v>1243</v>
      </c>
      <c r="C456">
        <v>1236</v>
      </c>
      <c r="D456">
        <v>512</v>
      </c>
      <c r="E456">
        <v>514</v>
      </c>
      <c r="F456">
        <v>2.4046692607003801</v>
      </c>
      <c r="G456">
        <v>2.28203393503901</v>
      </c>
      <c r="H456">
        <v>5.81163464742308E-2</v>
      </c>
      <c r="I456">
        <v>2.1101692226257698</v>
      </c>
      <c r="J456">
        <v>5.0999999999999996</v>
      </c>
      <c r="L456">
        <v>2.3401502815132407</v>
      </c>
      <c r="M456">
        <v>2.2239175885647793</v>
      </c>
      <c r="N456">
        <v>2.3982666279874714</v>
      </c>
      <c r="O456">
        <v>2.1658012420905486</v>
      </c>
    </row>
    <row r="457" spans="1:15">
      <c r="A457" s="19">
        <v>43133</v>
      </c>
      <c r="B457">
        <v>1270</v>
      </c>
      <c r="C457">
        <v>1261</v>
      </c>
      <c r="D457">
        <v>518</v>
      </c>
      <c r="E457">
        <v>521</v>
      </c>
      <c r="F457">
        <v>2.42034548944337</v>
      </c>
      <c r="G457">
        <v>2.2793667876247801</v>
      </c>
      <c r="H457">
        <v>5.7006567327054697E-2</v>
      </c>
      <c r="I457">
        <v>2.4730256254473399</v>
      </c>
      <c r="J457">
        <v>5.82</v>
      </c>
      <c r="L457">
        <v>2.3363733549518346</v>
      </c>
      <c r="M457">
        <v>2.2223602202977255</v>
      </c>
      <c r="N457">
        <v>2.3933799222788896</v>
      </c>
      <c r="O457">
        <v>2.1653536529706705</v>
      </c>
    </row>
    <row r="458" spans="1:15">
      <c r="A458" s="19">
        <v>43132</v>
      </c>
      <c r="B458">
        <v>1250</v>
      </c>
      <c r="C458">
        <v>1271</v>
      </c>
      <c r="D458">
        <v>513</v>
      </c>
      <c r="E458">
        <v>519</v>
      </c>
      <c r="F458">
        <v>2.4489402697495102</v>
      </c>
      <c r="G458">
        <v>2.27676871704658</v>
      </c>
      <c r="H458">
        <v>5.4924505620782098E-2</v>
      </c>
      <c r="I458">
        <v>3.1346946277799499</v>
      </c>
      <c r="J458">
        <v>7.03</v>
      </c>
      <c r="L458">
        <v>2.3316932226673619</v>
      </c>
      <c r="M458">
        <v>2.2218442114257981</v>
      </c>
      <c r="N458">
        <v>2.3866177282881442</v>
      </c>
      <c r="O458">
        <v>2.1669197058050158</v>
      </c>
    </row>
    <row r="459" spans="1:15">
      <c r="A459" s="19">
        <v>43131</v>
      </c>
      <c r="B459">
        <v>1188</v>
      </c>
      <c r="C459">
        <v>1203</v>
      </c>
      <c r="D459">
        <v>519</v>
      </c>
      <c r="E459">
        <v>515</v>
      </c>
      <c r="F459">
        <v>2.3359223300970799</v>
      </c>
      <c r="G459">
        <v>2.2739599301165798</v>
      </c>
      <c r="H459">
        <v>5.1315903199003698E-2</v>
      </c>
      <c r="I459">
        <v>1.2074697338992</v>
      </c>
      <c r="J459">
        <v>2.65</v>
      </c>
      <c r="L459">
        <v>2.3252758333155836</v>
      </c>
      <c r="M459">
        <v>2.222644026917576</v>
      </c>
      <c r="N459">
        <v>2.3765917365145874</v>
      </c>
      <c r="O459">
        <v>2.1713281237185722</v>
      </c>
    </row>
    <row r="460" spans="1:15">
      <c r="A460" s="19">
        <v>43130</v>
      </c>
      <c r="B460">
        <v>1200</v>
      </c>
      <c r="C460">
        <v>1185</v>
      </c>
      <c r="D460">
        <v>518</v>
      </c>
      <c r="E460">
        <v>514</v>
      </c>
      <c r="F460">
        <v>2.30544747081712</v>
      </c>
      <c r="G460">
        <v>2.2729994842338099</v>
      </c>
      <c r="H460">
        <v>5.0818900253448998E-2</v>
      </c>
      <c r="I460">
        <v>0.63850233715172</v>
      </c>
      <c r="J460">
        <v>1.41</v>
      </c>
      <c r="L460">
        <v>2.3238183844872591</v>
      </c>
      <c r="M460">
        <v>2.2221805839803608</v>
      </c>
      <c r="N460">
        <v>2.3746372847407078</v>
      </c>
      <c r="O460">
        <v>2.1713616837269121</v>
      </c>
    </row>
    <row r="461" spans="1:15">
      <c r="A461" s="19">
        <v>43129</v>
      </c>
      <c r="B461">
        <v>1208</v>
      </c>
      <c r="C461">
        <v>1207</v>
      </c>
      <c r="D461">
        <v>518</v>
      </c>
      <c r="E461">
        <v>518</v>
      </c>
      <c r="F461">
        <v>2.33011583011583</v>
      </c>
      <c r="G461">
        <v>2.2718484980359301</v>
      </c>
      <c r="H461">
        <v>5.1048008544974897E-2</v>
      </c>
      <c r="I461">
        <v>1.1414222364533899</v>
      </c>
      <c r="J461">
        <v>2.5</v>
      </c>
      <c r="L461">
        <v>2.3228965065809049</v>
      </c>
      <c r="M461">
        <v>2.2208004894909554</v>
      </c>
      <c r="N461">
        <v>2.37394451512588</v>
      </c>
      <c r="O461">
        <v>2.1697524809459803</v>
      </c>
    </row>
    <row r="462" spans="1:15">
      <c r="A462" s="19">
        <v>43126</v>
      </c>
      <c r="B462">
        <v>1209</v>
      </c>
      <c r="C462">
        <v>1206</v>
      </c>
      <c r="D462">
        <v>514</v>
      </c>
      <c r="E462">
        <v>516</v>
      </c>
      <c r="F462">
        <v>2.3372093023255802</v>
      </c>
      <c r="G462">
        <v>2.2704217212306701</v>
      </c>
      <c r="H462">
        <v>5.0894709277352297E-2</v>
      </c>
      <c r="I462">
        <v>1.3122696257277</v>
      </c>
      <c r="J462">
        <v>2.86</v>
      </c>
      <c r="L462">
        <v>2.3213164305080225</v>
      </c>
      <c r="M462">
        <v>2.2195270119533177</v>
      </c>
      <c r="N462">
        <v>2.3722111397853749</v>
      </c>
      <c r="O462">
        <v>2.1686323026759653</v>
      </c>
    </row>
    <row r="463" spans="1:15">
      <c r="A463" s="19">
        <v>43125</v>
      </c>
      <c r="B463">
        <v>1220</v>
      </c>
      <c r="C463">
        <v>1215</v>
      </c>
      <c r="D463">
        <v>519</v>
      </c>
      <c r="E463">
        <v>512</v>
      </c>
      <c r="F463">
        <v>2.373046875</v>
      </c>
      <c r="G463">
        <v>2.2691595269544602</v>
      </c>
      <c r="H463">
        <v>5.0394102553696099E-2</v>
      </c>
      <c r="I463">
        <v>2.0614981273818498</v>
      </c>
      <c r="J463">
        <v>4.38</v>
      </c>
      <c r="L463">
        <v>2.3195536295081562</v>
      </c>
      <c r="M463">
        <v>2.2187654244007642</v>
      </c>
      <c r="N463">
        <v>2.3699477320618523</v>
      </c>
      <c r="O463">
        <v>2.1683713218470682</v>
      </c>
    </row>
    <row r="464" spans="1:15">
      <c r="A464" s="19">
        <v>43124</v>
      </c>
      <c r="B464">
        <v>1230</v>
      </c>
      <c r="C464">
        <v>1223</v>
      </c>
      <c r="D464">
        <v>523</v>
      </c>
      <c r="E464">
        <v>524</v>
      </c>
      <c r="F464">
        <v>2.3339694656488499</v>
      </c>
      <c r="G464">
        <v>2.26779558179636</v>
      </c>
      <c r="H464">
        <v>4.8926862914577297E-2</v>
      </c>
      <c r="I464">
        <v>1.35250616758376</v>
      </c>
      <c r="J464">
        <v>2.84</v>
      </c>
      <c r="L464">
        <v>2.3167224447109374</v>
      </c>
      <c r="M464">
        <v>2.2188687188817826</v>
      </c>
      <c r="N464">
        <v>2.3656493076255147</v>
      </c>
      <c r="O464">
        <v>2.1699418559672052</v>
      </c>
    </row>
    <row r="465" spans="1:15">
      <c r="A465" s="19">
        <v>43123</v>
      </c>
      <c r="B465">
        <v>1218</v>
      </c>
      <c r="C465">
        <v>1228</v>
      </c>
      <c r="D465">
        <v>516</v>
      </c>
      <c r="E465">
        <v>521</v>
      </c>
      <c r="F465">
        <v>2.35700575815738</v>
      </c>
      <c r="G465">
        <v>2.2671939172078899</v>
      </c>
      <c r="H465">
        <v>4.8383850301213997E-2</v>
      </c>
      <c r="I465">
        <v>1.85623592149792</v>
      </c>
      <c r="J465">
        <v>3.81</v>
      </c>
      <c r="L465">
        <v>2.315577767509104</v>
      </c>
      <c r="M465">
        <v>2.2188100669066757</v>
      </c>
      <c r="N465">
        <v>2.3639616178103178</v>
      </c>
      <c r="O465">
        <v>2.170426216605462</v>
      </c>
    </row>
    <row r="466" spans="1:15">
      <c r="A466" s="19">
        <v>43122</v>
      </c>
      <c r="B466">
        <v>1230</v>
      </c>
      <c r="C466">
        <v>1212</v>
      </c>
      <c r="D466">
        <v>512</v>
      </c>
      <c r="E466">
        <v>515</v>
      </c>
      <c r="F466">
        <v>2.3533980582524201</v>
      </c>
      <c r="G466">
        <v>2.2670726740971401</v>
      </c>
      <c r="H466">
        <v>4.8169561218812003E-2</v>
      </c>
      <c r="I466">
        <v>1.7921148121558701</v>
      </c>
      <c r="J466">
        <v>3.67</v>
      </c>
      <c r="L466">
        <v>2.3152422353159521</v>
      </c>
      <c r="M466">
        <v>2.2189031128783281</v>
      </c>
      <c r="N466">
        <v>2.3634117965347641</v>
      </c>
      <c r="O466">
        <v>2.1707335516595161</v>
      </c>
    </row>
    <row r="467" spans="1:15">
      <c r="A467" s="19">
        <v>43119</v>
      </c>
      <c r="B467">
        <v>1195</v>
      </c>
      <c r="C467">
        <v>1224</v>
      </c>
      <c r="D467">
        <v>515</v>
      </c>
      <c r="E467">
        <v>512</v>
      </c>
      <c r="F467">
        <v>2.390625</v>
      </c>
      <c r="G467">
        <v>2.2667785309917599</v>
      </c>
      <c r="H467">
        <v>4.77066566339873E-2</v>
      </c>
      <c r="I467">
        <v>2.5959997565622501</v>
      </c>
      <c r="J467">
        <v>5.18</v>
      </c>
      <c r="L467">
        <v>2.3144851876257473</v>
      </c>
      <c r="M467">
        <v>2.2190718743577724</v>
      </c>
      <c r="N467">
        <v>2.3621918442597343</v>
      </c>
      <c r="O467">
        <v>2.1713652177237854</v>
      </c>
    </row>
    <row r="468" spans="1:15">
      <c r="A468" s="19">
        <v>43118</v>
      </c>
      <c r="B468">
        <v>1193</v>
      </c>
      <c r="C468">
        <v>1183</v>
      </c>
      <c r="D468">
        <v>520</v>
      </c>
      <c r="E468">
        <v>514</v>
      </c>
      <c r="F468">
        <v>2.3015564202334602</v>
      </c>
      <c r="G468">
        <v>2.2657401843782199</v>
      </c>
      <c r="H468">
        <v>4.5809584988890199E-2</v>
      </c>
      <c r="I468">
        <v>0.78185025827946597</v>
      </c>
      <c r="J468">
        <v>1.56</v>
      </c>
      <c r="L468">
        <v>2.3115497693671099</v>
      </c>
      <c r="M468">
        <v>2.2199305993893299</v>
      </c>
      <c r="N468">
        <v>2.3573593543560003</v>
      </c>
      <c r="O468">
        <v>2.1741210144004395</v>
      </c>
    </row>
    <row r="469" spans="1:15">
      <c r="A469" s="19">
        <v>43117</v>
      </c>
      <c r="B469">
        <v>1179</v>
      </c>
      <c r="C469">
        <v>1186</v>
      </c>
      <c r="D469">
        <v>519</v>
      </c>
      <c r="E469">
        <v>516</v>
      </c>
      <c r="F469">
        <v>2.2984496124031</v>
      </c>
      <c r="G469">
        <v>2.2652972956862998</v>
      </c>
      <c r="H469">
        <v>4.5621354586129897E-2</v>
      </c>
      <c r="I469">
        <v>0.72668418150985403</v>
      </c>
      <c r="J469">
        <v>1.44</v>
      </c>
      <c r="L469">
        <v>2.3109186502724297</v>
      </c>
      <c r="M469">
        <v>2.2196759411001699</v>
      </c>
      <c r="N469">
        <v>2.3565400048585596</v>
      </c>
      <c r="O469">
        <v>2.1740545865140399</v>
      </c>
    </row>
    <row r="470" spans="1:15">
      <c r="A470" s="19">
        <v>43116</v>
      </c>
      <c r="B470">
        <v>1198</v>
      </c>
      <c r="C470">
        <v>1180</v>
      </c>
      <c r="D470">
        <v>520</v>
      </c>
      <c r="E470">
        <v>520</v>
      </c>
      <c r="F470">
        <v>2.2692307692307598</v>
      </c>
      <c r="G470">
        <v>2.2648838589937998</v>
      </c>
      <c r="H470">
        <v>4.5459256905864102E-2</v>
      </c>
      <c r="I470">
        <v>9.5622113796734701E-2</v>
      </c>
      <c r="J470">
        <v>0.19</v>
      </c>
      <c r="L470">
        <v>2.3103431158996641</v>
      </c>
      <c r="M470">
        <v>2.2194246020879356</v>
      </c>
      <c r="N470">
        <v>2.355802372805528</v>
      </c>
      <c r="O470">
        <v>2.1739653451820717</v>
      </c>
    </row>
    <row r="471" spans="1:15">
      <c r="A471" s="19">
        <v>43115</v>
      </c>
      <c r="B471">
        <v>1200</v>
      </c>
      <c r="C471">
        <v>1198</v>
      </c>
      <c r="D471">
        <v>517</v>
      </c>
      <c r="E471">
        <v>519</v>
      </c>
      <c r="F471">
        <v>2.3082851637764898</v>
      </c>
      <c r="G471">
        <v>2.2642799583899</v>
      </c>
      <c r="H471">
        <v>4.5697716950783299E-2</v>
      </c>
      <c r="I471">
        <v>0.962962885738608</v>
      </c>
      <c r="J471">
        <v>1.91</v>
      </c>
      <c r="L471">
        <v>2.3099776753406833</v>
      </c>
      <c r="M471">
        <v>2.2185822414391168</v>
      </c>
      <c r="N471">
        <v>2.3556753922914666</v>
      </c>
      <c r="O471">
        <v>2.1728845244883335</v>
      </c>
    </row>
    <row r="472" spans="1:15">
      <c r="A472" s="19">
        <v>43112</v>
      </c>
      <c r="B472">
        <v>1189</v>
      </c>
      <c r="C472">
        <v>1185</v>
      </c>
      <c r="D472">
        <v>520</v>
      </c>
      <c r="E472">
        <v>513</v>
      </c>
      <c r="F472">
        <v>2.30994152046783</v>
      </c>
      <c r="G472">
        <v>2.26330827034369</v>
      </c>
      <c r="H472">
        <v>4.5526166291486501E-2</v>
      </c>
      <c r="I472">
        <v>1.02431752820045</v>
      </c>
      <c r="J472">
        <v>2.02</v>
      </c>
      <c r="L472">
        <v>2.3088344366351765</v>
      </c>
      <c r="M472">
        <v>2.2177821040522034</v>
      </c>
      <c r="N472">
        <v>2.354360602926663</v>
      </c>
      <c r="O472">
        <v>2.1722559377607169</v>
      </c>
    </row>
    <row r="473" spans="1:15">
      <c r="A473" s="19">
        <v>43111</v>
      </c>
      <c r="B473">
        <v>1188</v>
      </c>
      <c r="C473">
        <v>1190</v>
      </c>
      <c r="D473">
        <v>523</v>
      </c>
      <c r="E473">
        <v>519</v>
      </c>
      <c r="F473">
        <v>2.2928709055876602</v>
      </c>
      <c r="G473">
        <v>2.2629889974738102</v>
      </c>
      <c r="H473">
        <v>4.5281315752137799E-2</v>
      </c>
      <c r="I473">
        <v>0.65991695730352096</v>
      </c>
      <c r="J473">
        <v>1.3</v>
      </c>
      <c r="L473">
        <v>2.3082703132259481</v>
      </c>
      <c r="M473">
        <v>2.2177076817216723</v>
      </c>
      <c r="N473">
        <v>2.353551628978086</v>
      </c>
      <c r="O473">
        <v>2.1724263659695344</v>
      </c>
    </row>
    <row r="474" spans="1:15">
      <c r="A474" s="19">
        <v>43110</v>
      </c>
      <c r="B474">
        <v>1197</v>
      </c>
      <c r="C474">
        <v>1200</v>
      </c>
      <c r="D474">
        <v>530</v>
      </c>
      <c r="E474">
        <v>526</v>
      </c>
      <c r="F474">
        <v>2.2813688212927699</v>
      </c>
      <c r="G474">
        <v>2.2634845790751998</v>
      </c>
      <c r="H474">
        <v>4.5806002741396297E-2</v>
      </c>
      <c r="I474">
        <v>0.39043446594846198</v>
      </c>
      <c r="J474">
        <v>0.78</v>
      </c>
      <c r="L474">
        <v>2.3092905818165961</v>
      </c>
      <c r="M474">
        <v>2.2176785763338036</v>
      </c>
      <c r="N474">
        <v>2.3550965845579923</v>
      </c>
      <c r="O474">
        <v>2.1718725735924074</v>
      </c>
    </row>
    <row r="475" spans="1:15">
      <c r="A475" s="19">
        <v>43109</v>
      </c>
      <c r="B475">
        <v>1209</v>
      </c>
      <c r="C475">
        <v>1199</v>
      </c>
      <c r="D475">
        <v>530</v>
      </c>
      <c r="E475">
        <v>529</v>
      </c>
      <c r="F475">
        <v>2.2665406427221102</v>
      </c>
      <c r="G475">
        <v>2.26346315352145</v>
      </c>
      <c r="H475">
        <v>4.5798007572178397E-2</v>
      </c>
      <c r="I475">
        <v>6.7197010608100405E-2</v>
      </c>
      <c r="J475">
        <v>0.14000000000000001</v>
      </c>
      <c r="L475">
        <v>2.3092611610936284</v>
      </c>
      <c r="M475">
        <v>2.2176651459492716</v>
      </c>
      <c r="N475">
        <v>2.3550591686658069</v>
      </c>
      <c r="O475">
        <v>2.1718671383770931</v>
      </c>
    </row>
    <row r="476" spans="1:15">
      <c r="A476" s="19">
        <v>43105</v>
      </c>
      <c r="B476">
        <v>1200</v>
      </c>
      <c r="C476">
        <v>1210</v>
      </c>
      <c r="D476">
        <v>522</v>
      </c>
      <c r="E476">
        <v>523</v>
      </c>
      <c r="F476">
        <v>2.3135755258126101</v>
      </c>
      <c r="G476">
        <v>2.2637074190554101</v>
      </c>
      <c r="H476">
        <v>4.5862579570352197E-2</v>
      </c>
      <c r="I476">
        <v>1.0873375903486899</v>
      </c>
      <c r="J476">
        <v>2.16</v>
      </c>
      <c r="L476">
        <v>2.3095699986257623</v>
      </c>
      <c r="M476">
        <v>2.2178448394850578</v>
      </c>
      <c r="N476">
        <v>2.3554325781961145</v>
      </c>
      <c r="O476">
        <v>2.1719822599147056</v>
      </c>
    </row>
    <row r="477" spans="1:15">
      <c r="A477" s="19">
        <v>43104</v>
      </c>
      <c r="B477">
        <v>1193</v>
      </c>
      <c r="C477">
        <v>1188</v>
      </c>
      <c r="D477">
        <v>509</v>
      </c>
      <c r="E477">
        <v>520</v>
      </c>
      <c r="F477">
        <v>2.2846153846153801</v>
      </c>
      <c r="G477">
        <v>2.26273383417844</v>
      </c>
      <c r="H477">
        <v>4.55677158920684E-2</v>
      </c>
      <c r="I477">
        <v>0.48019853548874097</v>
      </c>
      <c r="J477">
        <v>0.96</v>
      </c>
      <c r="L477">
        <v>2.3083015500705084</v>
      </c>
      <c r="M477">
        <v>2.2171661182863716</v>
      </c>
      <c r="N477">
        <v>2.3538692659625768</v>
      </c>
      <c r="O477">
        <v>2.1715984023943031</v>
      </c>
    </row>
    <row r="478" spans="1:15">
      <c r="A478" s="19">
        <v>43098</v>
      </c>
      <c r="B478">
        <v>1191</v>
      </c>
      <c r="C478">
        <v>1186</v>
      </c>
      <c r="D478">
        <v>514</v>
      </c>
      <c r="E478">
        <v>516</v>
      </c>
      <c r="F478">
        <v>2.2984496124031</v>
      </c>
      <c r="G478">
        <v>2.2626592610936802</v>
      </c>
      <c r="H478">
        <v>4.5536410782113401E-2</v>
      </c>
      <c r="I478">
        <v>0.78597216369695999</v>
      </c>
      <c r="J478">
        <v>1.56</v>
      </c>
      <c r="L478">
        <v>2.3081956718757937</v>
      </c>
      <c r="M478">
        <v>2.2171228503115668</v>
      </c>
      <c r="N478">
        <v>2.3537320826579071</v>
      </c>
      <c r="O478">
        <v>2.1715864395294533</v>
      </c>
    </row>
    <row r="479" spans="1:15">
      <c r="A479" s="19">
        <v>43097</v>
      </c>
      <c r="B479">
        <v>1186</v>
      </c>
      <c r="C479">
        <v>1188</v>
      </c>
      <c r="D479">
        <v>515</v>
      </c>
      <c r="E479">
        <v>515</v>
      </c>
      <c r="F479">
        <v>2.3067961165048501</v>
      </c>
      <c r="G479">
        <v>2.2631243773727499</v>
      </c>
      <c r="H479">
        <v>4.6074577700710002E-2</v>
      </c>
      <c r="I479">
        <v>0.94784892909440199</v>
      </c>
      <c r="J479">
        <v>1.89</v>
      </c>
      <c r="L479">
        <v>2.3091989550734597</v>
      </c>
      <c r="M479">
        <v>2.21704979967204</v>
      </c>
      <c r="N479">
        <v>2.3552735327741701</v>
      </c>
      <c r="O479">
        <v>2.1709752219713296</v>
      </c>
    </row>
    <row r="480" spans="1:15">
      <c r="A480" s="19">
        <v>43096</v>
      </c>
      <c r="B480">
        <v>1187</v>
      </c>
      <c r="C480">
        <v>1184</v>
      </c>
      <c r="D480">
        <v>514</v>
      </c>
      <c r="E480">
        <v>514</v>
      </c>
      <c r="F480">
        <v>2.3035019455252899</v>
      </c>
      <c r="G480">
        <v>2.2634419257513301</v>
      </c>
      <c r="H480">
        <v>4.6454972028654298E-2</v>
      </c>
      <c r="I480">
        <v>0.86234084371522701</v>
      </c>
      <c r="J480">
        <v>1.74</v>
      </c>
      <c r="L480">
        <v>2.3098968977799843</v>
      </c>
      <c r="M480">
        <v>2.2169869537226758</v>
      </c>
      <c r="N480">
        <v>2.3563518698086385</v>
      </c>
      <c r="O480">
        <v>2.1705319816940216</v>
      </c>
    </row>
    <row r="481" spans="1:15">
      <c r="A481" s="19">
        <v>43095</v>
      </c>
      <c r="B481">
        <v>1170</v>
      </c>
      <c r="C481">
        <v>1178</v>
      </c>
      <c r="D481">
        <v>511</v>
      </c>
      <c r="E481">
        <v>515</v>
      </c>
      <c r="F481">
        <v>2.2873786407766898</v>
      </c>
      <c r="G481">
        <v>2.2635018998109899</v>
      </c>
      <c r="H481">
        <v>4.6509522894937198E-2</v>
      </c>
      <c r="I481">
        <v>0.51337316488148199</v>
      </c>
      <c r="J481">
        <v>1.04</v>
      </c>
      <c r="L481">
        <v>2.310011422705927</v>
      </c>
      <c r="M481">
        <v>2.2169923769160529</v>
      </c>
      <c r="N481">
        <v>2.3565209456008644</v>
      </c>
      <c r="O481">
        <v>2.1704828540211154</v>
      </c>
    </row>
    <row r="482" spans="1:15">
      <c r="A482" s="19">
        <v>43094</v>
      </c>
      <c r="B482">
        <v>1155</v>
      </c>
      <c r="C482">
        <v>1167</v>
      </c>
      <c r="D482">
        <v>515</v>
      </c>
      <c r="E482">
        <v>512</v>
      </c>
      <c r="F482">
        <v>2.279296875</v>
      </c>
      <c r="G482">
        <v>2.2636297805602301</v>
      </c>
      <c r="H482">
        <v>4.65881168210181E-2</v>
      </c>
      <c r="I482">
        <v>0.33628949845627898</v>
      </c>
      <c r="J482">
        <v>0.69</v>
      </c>
      <c r="L482">
        <v>2.3102178973812482</v>
      </c>
      <c r="M482">
        <v>2.2170416637392121</v>
      </c>
      <c r="N482">
        <v>2.3568060142022662</v>
      </c>
      <c r="O482">
        <v>2.170453546918194</v>
      </c>
    </row>
    <row r="483" spans="1:15">
      <c r="A483" s="19">
        <v>43091</v>
      </c>
      <c r="B483">
        <v>1166</v>
      </c>
      <c r="C483">
        <v>1156</v>
      </c>
      <c r="D483">
        <v>510</v>
      </c>
      <c r="E483">
        <v>513</v>
      </c>
      <c r="F483">
        <v>2.2534113060428802</v>
      </c>
      <c r="G483">
        <v>2.2634685752633401</v>
      </c>
      <c r="H483">
        <v>4.6554531902284403E-2</v>
      </c>
      <c r="I483">
        <v>-0.21603201255607099</v>
      </c>
      <c r="J483">
        <v>-0.45</v>
      </c>
      <c r="L483">
        <v>2.3100231071656245</v>
      </c>
      <c r="M483">
        <v>2.2169140433610557</v>
      </c>
      <c r="N483">
        <v>2.356577639067909</v>
      </c>
      <c r="O483">
        <v>2.1703595114587713</v>
      </c>
    </row>
    <row r="484" spans="1:15">
      <c r="A484" s="19">
        <v>43090</v>
      </c>
      <c r="B484">
        <v>1165</v>
      </c>
      <c r="C484">
        <v>1161</v>
      </c>
      <c r="D484">
        <v>503</v>
      </c>
      <c r="E484">
        <v>509</v>
      </c>
      <c r="F484">
        <v>2.2809430255402701</v>
      </c>
      <c r="G484">
        <v>2.26474969050936</v>
      </c>
      <c r="H484">
        <v>4.7571087469429001E-2</v>
      </c>
      <c r="I484">
        <v>0.340402876880047</v>
      </c>
      <c r="J484">
        <v>0.71</v>
      </c>
      <c r="L484">
        <v>2.3123207779787891</v>
      </c>
      <c r="M484">
        <v>2.217178603039931</v>
      </c>
      <c r="N484">
        <v>2.3598918654482182</v>
      </c>
      <c r="O484">
        <v>2.1696075155705019</v>
      </c>
    </row>
    <row r="485" spans="1:15">
      <c r="A485" s="19">
        <v>43089</v>
      </c>
      <c r="B485">
        <v>1148</v>
      </c>
      <c r="C485">
        <v>1171</v>
      </c>
      <c r="D485">
        <v>500</v>
      </c>
      <c r="E485">
        <v>503</v>
      </c>
      <c r="F485">
        <v>2.32803180914512</v>
      </c>
      <c r="G485">
        <v>2.2654748413863901</v>
      </c>
      <c r="H485">
        <v>4.8222463914787801E-2</v>
      </c>
      <c r="I485">
        <v>1.29725780642968</v>
      </c>
      <c r="J485">
        <v>2.69</v>
      </c>
      <c r="L485">
        <v>2.313697305301178</v>
      </c>
      <c r="M485">
        <v>2.2172523774716022</v>
      </c>
      <c r="N485">
        <v>2.3619197692159659</v>
      </c>
      <c r="O485">
        <v>2.1690299135568143</v>
      </c>
    </row>
    <row r="486" spans="1:15">
      <c r="A486" s="19">
        <v>43088</v>
      </c>
      <c r="B486">
        <v>1149</v>
      </c>
      <c r="C486">
        <v>1152</v>
      </c>
      <c r="D486">
        <v>502</v>
      </c>
      <c r="E486">
        <v>500</v>
      </c>
      <c r="F486">
        <v>2.3039999999999998</v>
      </c>
      <c r="G486">
        <v>2.2658477505977901</v>
      </c>
      <c r="H486">
        <v>4.8809350536119102E-2</v>
      </c>
      <c r="I486">
        <v>0.78165861629263</v>
      </c>
      <c r="J486">
        <v>1.66</v>
      </c>
      <c r="L486">
        <v>2.3146571011339092</v>
      </c>
      <c r="M486">
        <v>2.217038400061671</v>
      </c>
      <c r="N486">
        <v>2.3634664516700283</v>
      </c>
      <c r="O486">
        <v>2.1682290495255518</v>
      </c>
    </row>
    <row r="487" spans="1:15">
      <c r="A487" s="19">
        <v>43087</v>
      </c>
      <c r="B487">
        <v>1137</v>
      </c>
      <c r="C487">
        <v>1141</v>
      </c>
      <c r="D487">
        <v>500</v>
      </c>
      <c r="E487">
        <v>502</v>
      </c>
      <c r="F487">
        <v>2.2729083665338599</v>
      </c>
      <c r="G487">
        <v>2.2662036581885499</v>
      </c>
      <c r="H487">
        <v>4.9182147633721099E-2</v>
      </c>
      <c r="I487">
        <v>0.13632402544198499</v>
      </c>
      <c r="J487">
        <v>0.28999999999999998</v>
      </c>
      <c r="L487">
        <v>2.3153858058222712</v>
      </c>
      <c r="M487">
        <v>2.2170215105548285</v>
      </c>
      <c r="N487">
        <v>2.364567953455992</v>
      </c>
      <c r="O487">
        <v>2.1678393629211077</v>
      </c>
    </row>
    <row r="488" spans="1:15">
      <c r="A488" s="19">
        <v>43084</v>
      </c>
      <c r="B488">
        <v>1144</v>
      </c>
      <c r="C488">
        <v>1129</v>
      </c>
      <c r="D488">
        <v>500</v>
      </c>
      <c r="E488">
        <v>498</v>
      </c>
      <c r="F488">
        <v>2.2670682730923599</v>
      </c>
      <c r="G488">
        <v>2.2670272455595</v>
      </c>
      <c r="H488">
        <v>4.9800817139524799E-2</v>
      </c>
      <c r="I488">
        <v>8.2383252375820297E-4</v>
      </c>
      <c r="J488">
        <v>0</v>
      </c>
      <c r="L488">
        <v>2.3168280626990247</v>
      </c>
      <c r="M488">
        <v>2.2172264284199752</v>
      </c>
      <c r="N488">
        <v>2.3666288798385495</v>
      </c>
      <c r="O488">
        <v>2.1674256112804504</v>
      </c>
    </row>
    <row r="489" spans="1:15">
      <c r="A489" s="19">
        <v>43083</v>
      </c>
      <c r="B489">
        <v>1117</v>
      </c>
      <c r="C489">
        <v>1126</v>
      </c>
      <c r="D489">
        <v>505</v>
      </c>
      <c r="E489">
        <v>500</v>
      </c>
      <c r="F489">
        <v>2.2519999999999998</v>
      </c>
      <c r="G489">
        <v>2.2665731313681001</v>
      </c>
      <c r="H489">
        <v>4.9953422136101898E-2</v>
      </c>
      <c r="I489">
        <v>-0.29173439466071699</v>
      </c>
      <c r="J489">
        <v>-0.65</v>
      </c>
      <c r="L489">
        <v>2.3165265535042021</v>
      </c>
      <c r="M489">
        <v>2.2166197092319981</v>
      </c>
      <c r="N489">
        <v>2.3664799756403041</v>
      </c>
      <c r="O489">
        <v>2.1666662870958961</v>
      </c>
    </row>
    <row r="490" spans="1:15">
      <c r="A490" s="19">
        <v>43082</v>
      </c>
      <c r="B490">
        <v>1118</v>
      </c>
      <c r="C490">
        <v>1117</v>
      </c>
      <c r="D490">
        <v>504</v>
      </c>
      <c r="E490">
        <v>506</v>
      </c>
      <c r="F490">
        <v>2.2075098814229199</v>
      </c>
      <c r="G490">
        <v>2.2671142669726398</v>
      </c>
      <c r="H490">
        <v>5.0012414014391902E-2</v>
      </c>
      <c r="I490">
        <v>-1.1917918125802101</v>
      </c>
      <c r="J490">
        <v>-2.7</v>
      </c>
      <c r="L490">
        <v>2.3171266809870317</v>
      </c>
      <c r="M490">
        <v>2.217101852958248</v>
      </c>
      <c r="N490">
        <v>2.3671390950014235</v>
      </c>
      <c r="O490">
        <v>2.1670894389438562</v>
      </c>
    </row>
    <row r="491" spans="1:15">
      <c r="A491" s="19">
        <v>43081</v>
      </c>
      <c r="B491">
        <v>1126</v>
      </c>
      <c r="C491">
        <v>1122</v>
      </c>
      <c r="D491">
        <v>503</v>
      </c>
      <c r="E491">
        <v>502</v>
      </c>
      <c r="F491">
        <v>2.2350597609561702</v>
      </c>
      <c r="G491">
        <v>2.2686476713934298</v>
      </c>
      <c r="H491">
        <v>4.9924389366873198E-2</v>
      </c>
      <c r="I491">
        <v>-0.67277558850915298</v>
      </c>
      <c r="J491">
        <v>-1.5</v>
      </c>
      <c r="L491">
        <v>2.3185720607603031</v>
      </c>
      <c r="M491">
        <v>2.2187232820265566</v>
      </c>
      <c r="N491">
        <v>2.3684964501271764</v>
      </c>
      <c r="O491">
        <v>2.1687988926596833</v>
      </c>
    </row>
    <row r="492" spans="1:15">
      <c r="A492" s="19">
        <v>43080</v>
      </c>
      <c r="B492">
        <v>1126</v>
      </c>
      <c r="C492">
        <v>1125</v>
      </c>
      <c r="D492">
        <v>500</v>
      </c>
      <c r="E492">
        <v>501</v>
      </c>
      <c r="F492">
        <v>2.2455089820359202</v>
      </c>
      <c r="G492">
        <v>2.2698508906449399</v>
      </c>
      <c r="H492">
        <v>5.0187148939901498E-2</v>
      </c>
      <c r="I492">
        <v>-0.48502274233912301</v>
      </c>
      <c r="J492">
        <v>-1.08</v>
      </c>
      <c r="L492">
        <v>2.3200380395848414</v>
      </c>
      <c r="M492">
        <v>2.2196637417050384</v>
      </c>
      <c r="N492">
        <v>2.370225188524743</v>
      </c>
      <c r="O492">
        <v>2.1694765927651369</v>
      </c>
    </row>
    <row r="493" spans="1:15">
      <c r="A493" s="19">
        <v>43077</v>
      </c>
      <c r="B493">
        <v>1118</v>
      </c>
      <c r="C493">
        <v>1133</v>
      </c>
      <c r="D493">
        <v>496</v>
      </c>
      <c r="E493">
        <v>500</v>
      </c>
      <c r="F493">
        <v>2.266</v>
      </c>
      <c r="G493">
        <v>2.2706861187969798</v>
      </c>
      <c r="H493">
        <v>5.0296229211622599E-2</v>
      </c>
      <c r="I493">
        <v>-9.3170380174433298E-2</v>
      </c>
      <c r="J493">
        <v>-0.21</v>
      </c>
      <c r="L493">
        <v>2.3209823480086023</v>
      </c>
      <c r="M493">
        <v>2.2203898895853573</v>
      </c>
      <c r="N493">
        <v>2.3712785772202252</v>
      </c>
      <c r="O493">
        <v>2.1700936603737344</v>
      </c>
    </row>
    <row r="494" spans="1:15">
      <c r="A494" s="19">
        <v>43076</v>
      </c>
      <c r="B494">
        <v>1141</v>
      </c>
      <c r="C494">
        <v>1128</v>
      </c>
      <c r="D494">
        <v>494</v>
      </c>
      <c r="E494">
        <v>498</v>
      </c>
      <c r="F494">
        <v>2.2650602409638498</v>
      </c>
      <c r="G494">
        <v>2.27163712345433</v>
      </c>
      <c r="H494">
        <v>5.0869676240575597E-2</v>
      </c>
      <c r="I494">
        <v>-0.12928886080148</v>
      </c>
      <c r="J494">
        <v>-0.28999999999999998</v>
      </c>
      <c r="L494">
        <v>2.3225067996949056</v>
      </c>
      <c r="M494">
        <v>2.2207674472137544</v>
      </c>
      <c r="N494">
        <v>2.3733764759354812</v>
      </c>
      <c r="O494">
        <v>2.1698977709731788</v>
      </c>
    </row>
    <row r="495" spans="1:15">
      <c r="A495" s="19">
        <v>43075</v>
      </c>
      <c r="B495">
        <v>1164</v>
      </c>
      <c r="C495">
        <v>1134</v>
      </c>
      <c r="D495">
        <v>489</v>
      </c>
      <c r="E495">
        <v>489</v>
      </c>
      <c r="F495">
        <v>2.3190184049079701</v>
      </c>
      <c r="G495">
        <v>2.2725742051143101</v>
      </c>
      <c r="H495">
        <v>5.1384616760949298E-2</v>
      </c>
      <c r="I495">
        <v>0.90385416339153801</v>
      </c>
      <c r="J495">
        <v>2</v>
      </c>
      <c r="L495">
        <v>2.3239588218752596</v>
      </c>
      <c r="M495">
        <v>2.2211895883533606</v>
      </c>
      <c r="N495">
        <v>2.3753434386362087</v>
      </c>
      <c r="O495">
        <v>2.1698049715924115</v>
      </c>
    </row>
    <row r="496" spans="1:15">
      <c r="A496" s="19">
        <v>43074</v>
      </c>
      <c r="B496">
        <v>1134</v>
      </c>
      <c r="C496">
        <v>1167</v>
      </c>
      <c r="D496">
        <v>491</v>
      </c>
      <c r="E496">
        <v>490</v>
      </c>
      <c r="F496">
        <v>2.38163265306122</v>
      </c>
      <c r="G496">
        <v>2.2729064448049998</v>
      </c>
      <c r="H496">
        <v>5.17630023328478E-2</v>
      </c>
      <c r="I496">
        <v>2.10046178459833</v>
      </c>
      <c r="J496">
        <v>4.57</v>
      </c>
      <c r="L496">
        <v>2.3246694471378477</v>
      </c>
      <c r="M496">
        <v>2.2211434424721519</v>
      </c>
      <c r="N496">
        <v>2.3764324494706952</v>
      </c>
      <c r="O496">
        <v>2.1693804401393044</v>
      </c>
    </row>
    <row r="497" spans="1:15">
      <c r="A497" s="19">
        <v>43073</v>
      </c>
      <c r="B497">
        <v>1140</v>
      </c>
      <c r="C497">
        <v>1114</v>
      </c>
      <c r="D497">
        <v>497</v>
      </c>
      <c r="E497">
        <v>492</v>
      </c>
      <c r="F497">
        <v>2.26422764227642</v>
      </c>
      <c r="G497">
        <v>2.2729482699518901</v>
      </c>
      <c r="H497">
        <v>5.1852028322416498E-2</v>
      </c>
      <c r="I497">
        <v>-0.168182961353947</v>
      </c>
      <c r="J497">
        <v>-0.39</v>
      </c>
      <c r="L497">
        <v>2.3248002982743068</v>
      </c>
      <c r="M497">
        <v>2.2210962416294735</v>
      </c>
      <c r="N497">
        <v>2.376652326596723</v>
      </c>
      <c r="O497">
        <v>2.1692442133070573</v>
      </c>
    </row>
    <row r="498" spans="1:15">
      <c r="A498" s="19">
        <v>43070</v>
      </c>
      <c r="B498">
        <v>1107</v>
      </c>
      <c r="C498">
        <v>1111</v>
      </c>
      <c r="D498">
        <v>505</v>
      </c>
      <c r="E498">
        <v>501</v>
      </c>
      <c r="F498">
        <v>2.2175648702594799</v>
      </c>
      <c r="G498">
        <v>2.27489807174367</v>
      </c>
      <c r="H498">
        <v>5.4184441034577098E-2</v>
      </c>
      <c r="I498">
        <v>-1.0581118931836599</v>
      </c>
      <c r="J498">
        <v>-2.59</v>
      </c>
      <c r="L498">
        <v>2.3290825127782471</v>
      </c>
      <c r="M498">
        <v>2.2207136307090929</v>
      </c>
      <c r="N498">
        <v>2.3832669538128242</v>
      </c>
      <c r="O498">
        <v>2.1665291896745158</v>
      </c>
    </row>
    <row r="499" spans="1:15">
      <c r="A499" s="19">
        <v>43069</v>
      </c>
      <c r="B499">
        <v>1106</v>
      </c>
      <c r="C499">
        <v>1105</v>
      </c>
      <c r="D499">
        <v>494</v>
      </c>
      <c r="E499">
        <v>500</v>
      </c>
      <c r="F499">
        <v>2.21</v>
      </c>
      <c r="G499">
        <v>2.27733054014021</v>
      </c>
      <c r="H499">
        <v>5.5631663950275502E-2</v>
      </c>
      <c r="I499">
        <v>-1.21029168209668</v>
      </c>
      <c r="J499">
        <v>-3.05</v>
      </c>
      <c r="L499">
        <v>2.3329622040904856</v>
      </c>
      <c r="M499">
        <v>2.2216988761899343</v>
      </c>
      <c r="N499">
        <v>2.3885938680407608</v>
      </c>
      <c r="O499">
        <v>2.1660672122396591</v>
      </c>
    </row>
    <row r="500" spans="1:15">
      <c r="A500" s="19">
        <v>43068</v>
      </c>
      <c r="B500">
        <v>1116</v>
      </c>
      <c r="C500">
        <v>1110</v>
      </c>
      <c r="D500">
        <v>490</v>
      </c>
      <c r="E500">
        <v>491</v>
      </c>
      <c r="F500">
        <v>2.2606924643584501</v>
      </c>
      <c r="G500">
        <v>2.28050755163446</v>
      </c>
      <c r="H500">
        <v>5.8429222008841097E-2</v>
      </c>
      <c r="I500">
        <v>-0.33912974697863002</v>
      </c>
      <c r="J500">
        <v>-0.88</v>
      </c>
      <c r="L500">
        <v>2.3389367736433009</v>
      </c>
      <c r="M500">
        <v>2.222078329625619</v>
      </c>
      <c r="N500">
        <v>2.3973659956521423</v>
      </c>
      <c r="O500">
        <v>2.1636491076167776</v>
      </c>
    </row>
    <row r="501" spans="1:15">
      <c r="A501" s="19">
        <v>43067</v>
      </c>
      <c r="B501">
        <v>1110</v>
      </c>
      <c r="C501">
        <v>1106</v>
      </c>
      <c r="D501">
        <v>487</v>
      </c>
      <c r="E501">
        <v>488</v>
      </c>
      <c r="F501">
        <v>2.2663934426229502</v>
      </c>
      <c r="G501">
        <v>2.2833602525153598</v>
      </c>
      <c r="H501">
        <v>6.2475000776945899E-2</v>
      </c>
      <c r="I501">
        <v>-0.271577585937053</v>
      </c>
      <c r="J501">
        <v>-0.75</v>
      </c>
      <c r="L501">
        <v>2.3458352532923055</v>
      </c>
      <c r="M501">
        <v>2.2208852517384141</v>
      </c>
      <c r="N501">
        <v>2.4083102540692516</v>
      </c>
      <c r="O501">
        <v>2.158410250961468</v>
      </c>
    </row>
    <row r="502" spans="1:15">
      <c r="A502" s="19">
        <v>43066</v>
      </c>
      <c r="B502">
        <v>1121</v>
      </c>
      <c r="C502">
        <v>1113</v>
      </c>
      <c r="D502">
        <v>492</v>
      </c>
      <c r="E502">
        <v>488</v>
      </c>
      <c r="F502">
        <v>2.28073770491803</v>
      </c>
      <c r="G502">
        <v>2.28627298641171</v>
      </c>
      <c r="H502">
        <v>6.6574045280968705E-2</v>
      </c>
      <c r="I502">
        <v>-8.3144737116638195E-2</v>
      </c>
      <c r="J502">
        <v>-0.24</v>
      </c>
      <c r="L502">
        <v>2.3528470316926788</v>
      </c>
      <c r="M502">
        <v>2.2196989411307411</v>
      </c>
      <c r="N502">
        <v>2.4194210769736473</v>
      </c>
      <c r="O502">
        <v>2.1531248958497726</v>
      </c>
    </row>
    <row r="503" spans="1:15">
      <c r="A503" s="19">
        <v>43063</v>
      </c>
      <c r="B503">
        <v>1125</v>
      </c>
      <c r="C503">
        <v>1122</v>
      </c>
      <c r="D503">
        <v>493</v>
      </c>
      <c r="E503">
        <v>491</v>
      </c>
      <c r="F503">
        <v>2.28513238289205</v>
      </c>
      <c r="G503">
        <v>2.2893308922816198</v>
      </c>
      <c r="H503">
        <v>7.1345701345023702E-2</v>
      </c>
      <c r="I503">
        <v>-5.8847405105164299E-2</v>
      </c>
      <c r="J503">
        <v>-0.18</v>
      </c>
      <c r="L503">
        <v>2.3606765936266436</v>
      </c>
      <c r="M503">
        <v>2.217985190936596</v>
      </c>
      <c r="N503">
        <v>2.432022294971667</v>
      </c>
      <c r="O503">
        <v>2.1466394895915726</v>
      </c>
    </row>
    <row r="504" spans="1:15">
      <c r="A504" s="19">
        <v>43061</v>
      </c>
      <c r="B504">
        <v>1127</v>
      </c>
      <c r="C504">
        <v>1131</v>
      </c>
      <c r="D504">
        <v>494</v>
      </c>
      <c r="E504">
        <v>489</v>
      </c>
      <c r="F504">
        <v>2.3128834355828198</v>
      </c>
      <c r="G504">
        <v>2.2935622534703799</v>
      </c>
      <c r="H504">
        <v>7.9872430642721398E-2</v>
      </c>
      <c r="I504">
        <v>0.24190051507083299</v>
      </c>
      <c r="J504">
        <v>0.84</v>
      </c>
      <c r="L504">
        <v>2.3734346841131013</v>
      </c>
      <c r="M504">
        <v>2.2136898228276585</v>
      </c>
      <c r="N504">
        <v>2.4533071147558227</v>
      </c>
      <c r="O504">
        <v>2.133817392184937</v>
      </c>
    </row>
    <row r="505" spans="1:15">
      <c r="A505" s="19">
        <v>43060</v>
      </c>
      <c r="B505">
        <v>1125</v>
      </c>
      <c r="C505">
        <v>1122</v>
      </c>
      <c r="D505">
        <v>487</v>
      </c>
      <c r="E505">
        <v>491</v>
      </c>
      <c r="F505">
        <v>2.28513238289205</v>
      </c>
      <c r="G505">
        <v>2.29731317964329</v>
      </c>
      <c r="H505">
        <v>8.6980968732072297E-2</v>
      </c>
      <c r="I505">
        <v>-0.14003979179350501</v>
      </c>
      <c r="J505">
        <v>-0.53</v>
      </c>
      <c r="L505">
        <v>2.3842941483753624</v>
      </c>
      <c r="M505">
        <v>2.2103322109112176</v>
      </c>
      <c r="N505">
        <v>2.4712751171074347</v>
      </c>
      <c r="O505">
        <v>2.1233512421791452</v>
      </c>
    </row>
    <row r="506" spans="1:15">
      <c r="A506" s="19">
        <v>43059</v>
      </c>
      <c r="B506">
        <v>1107</v>
      </c>
      <c r="C506">
        <v>1117</v>
      </c>
      <c r="D506">
        <v>485</v>
      </c>
      <c r="E506">
        <v>488</v>
      </c>
      <c r="F506">
        <v>2.2889344262294999</v>
      </c>
      <c r="G506">
        <v>2.29886574524672</v>
      </c>
      <c r="H506">
        <v>8.7785192293304698E-2</v>
      </c>
      <c r="I506">
        <v>-0.113132052886977</v>
      </c>
      <c r="J506">
        <v>-0.43</v>
      </c>
      <c r="L506">
        <v>2.3866509375400247</v>
      </c>
      <c r="M506">
        <v>2.2110805529534154</v>
      </c>
      <c r="N506">
        <v>2.4744361298333293</v>
      </c>
      <c r="O506">
        <v>2.1232953606601108</v>
      </c>
    </row>
    <row r="507" spans="1:15">
      <c r="A507" s="19">
        <v>43056</v>
      </c>
      <c r="B507">
        <v>1115</v>
      </c>
      <c r="C507">
        <v>1107</v>
      </c>
      <c r="D507">
        <v>489</v>
      </c>
      <c r="E507">
        <v>487</v>
      </c>
      <c r="F507">
        <v>2.27310061601642</v>
      </c>
      <c r="G507">
        <v>2.3009570613307302</v>
      </c>
      <c r="H507">
        <v>8.9377556192029195E-2</v>
      </c>
      <c r="I507">
        <v>-0.31167159297194003</v>
      </c>
      <c r="J507">
        <v>-1.23</v>
      </c>
      <c r="L507">
        <v>2.3903346175227593</v>
      </c>
      <c r="M507">
        <v>2.2115795051387011</v>
      </c>
      <c r="N507">
        <v>2.4797121737147885</v>
      </c>
      <c r="O507">
        <v>2.1222019489466719</v>
      </c>
    </row>
    <row r="508" spans="1:15">
      <c r="A508" s="19">
        <v>43055</v>
      </c>
      <c r="B508">
        <v>1100</v>
      </c>
      <c r="C508">
        <v>1112</v>
      </c>
      <c r="D508">
        <v>480</v>
      </c>
      <c r="E508">
        <v>485</v>
      </c>
      <c r="F508">
        <v>2.2927835051546301</v>
      </c>
      <c r="G508">
        <v>2.30243356490169</v>
      </c>
      <c r="H508">
        <v>8.9818772624278495E-2</v>
      </c>
      <c r="I508">
        <v>-0.107439229741248</v>
      </c>
      <c r="J508">
        <v>-0.42</v>
      </c>
      <c r="L508">
        <v>2.3922523375259686</v>
      </c>
      <c r="M508">
        <v>2.2126147922774115</v>
      </c>
      <c r="N508">
        <v>2.4820711101502471</v>
      </c>
      <c r="O508">
        <v>2.122796019653133</v>
      </c>
    </row>
    <row r="509" spans="1:15">
      <c r="A509" s="19">
        <v>43054</v>
      </c>
      <c r="B509">
        <v>1147</v>
      </c>
      <c r="C509">
        <v>1118</v>
      </c>
      <c r="D509">
        <v>484</v>
      </c>
      <c r="E509">
        <v>480</v>
      </c>
      <c r="F509">
        <v>2.3291666666666599</v>
      </c>
      <c r="G509">
        <v>2.3026863300421399</v>
      </c>
      <c r="H509">
        <v>8.9817934703031094E-2</v>
      </c>
      <c r="I509">
        <v>0.294822372748553</v>
      </c>
      <c r="J509">
        <v>1.1399999999999999</v>
      </c>
      <c r="L509">
        <v>2.3925042647451709</v>
      </c>
      <c r="M509">
        <v>2.2128683953391088</v>
      </c>
      <c r="N509">
        <v>2.4823221994482019</v>
      </c>
      <c r="O509">
        <v>2.1230504606360778</v>
      </c>
    </row>
    <row r="510" spans="1:15">
      <c r="A510" s="19">
        <v>43053</v>
      </c>
      <c r="B510">
        <v>1145</v>
      </c>
      <c r="C510">
        <v>1144</v>
      </c>
      <c r="D510">
        <v>491</v>
      </c>
      <c r="E510">
        <v>488</v>
      </c>
      <c r="F510">
        <v>2.3442622950819598</v>
      </c>
      <c r="G510">
        <v>2.3020448953283998</v>
      </c>
      <c r="H510">
        <v>8.9798313060102303E-2</v>
      </c>
      <c r="I510">
        <v>0.47013577777683602</v>
      </c>
      <c r="J510">
        <v>1.8</v>
      </c>
      <c r="L510">
        <v>2.3918432083885022</v>
      </c>
      <c r="M510">
        <v>2.2122465822682975</v>
      </c>
      <c r="N510">
        <v>2.4816415214486045</v>
      </c>
      <c r="O510">
        <v>2.1224482692081952</v>
      </c>
    </row>
    <row r="511" spans="1:15">
      <c r="A511" s="19">
        <v>43052</v>
      </c>
      <c r="B511">
        <v>1140</v>
      </c>
      <c r="C511">
        <v>1138</v>
      </c>
      <c r="D511">
        <v>496</v>
      </c>
      <c r="E511">
        <v>490</v>
      </c>
      <c r="F511">
        <v>2.3224489795918299</v>
      </c>
      <c r="G511">
        <v>2.3018720755674198</v>
      </c>
      <c r="H511">
        <v>8.9729343919003196E-2</v>
      </c>
      <c r="I511">
        <v>0.229321904359259</v>
      </c>
      <c r="J511">
        <v>0.89</v>
      </c>
      <c r="L511">
        <v>2.391601419486423</v>
      </c>
      <c r="M511">
        <v>2.2121427316484166</v>
      </c>
      <c r="N511">
        <v>2.4813307634054262</v>
      </c>
      <c r="O511">
        <v>2.1224133877294133</v>
      </c>
    </row>
    <row r="512" spans="1:15">
      <c r="A512" s="19">
        <v>43049</v>
      </c>
      <c r="B512">
        <v>1142</v>
      </c>
      <c r="C512">
        <v>1146</v>
      </c>
      <c r="D512">
        <v>498</v>
      </c>
      <c r="E512">
        <v>498</v>
      </c>
      <c r="F512">
        <v>2.3012048192771002</v>
      </c>
      <c r="G512">
        <v>2.30184486468307</v>
      </c>
      <c r="H512">
        <v>8.97234089890038E-2</v>
      </c>
      <c r="I512">
        <v>-7.1335386514381604E-3</v>
      </c>
      <c r="J512">
        <v>-0.03</v>
      </c>
      <c r="L512">
        <v>2.3915682736720738</v>
      </c>
      <c r="M512">
        <v>2.2121214556940663</v>
      </c>
      <c r="N512">
        <v>2.4812916826610776</v>
      </c>
      <c r="O512">
        <v>2.1223980467050625</v>
      </c>
    </row>
    <row r="513" spans="1:15">
      <c r="A513" s="19">
        <v>43048</v>
      </c>
      <c r="B513">
        <v>1150</v>
      </c>
      <c r="C513">
        <v>1152</v>
      </c>
      <c r="D513">
        <v>509</v>
      </c>
      <c r="E513">
        <v>504</v>
      </c>
      <c r="F513">
        <v>2.2857142857142798</v>
      </c>
      <c r="G513">
        <v>2.3023185963444099</v>
      </c>
      <c r="H513">
        <v>8.9812532009156398E-2</v>
      </c>
      <c r="I513">
        <v>-0.18487743590651101</v>
      </c>
      <c r="J513">
        <v>-0.73</v>
      </c>
      <c r="L513">
        <v>2.3921311283535664</v>
      </c>
      <c r="M513">
        <v>2.2125060643352534</v>
      </c>
      <c r="N513">
        <v>2.481943660362723</v>
      </c>
      <c r="O513">
        <v>2.1226935323260969</v>
      </c>
    </row>
    <row r="514" spans="1:15">
      <c r="A514" s="19">
        <v>43047</v>
      </c>
      <c r="B514">
        <v>1142</v>
      </c>
      <c r="C514">
        <v>1142</v>
      </c>
      <c r="D514">
        <v>525</v>
      </c>
      <c r="E514">
        <v>510</v>
      </c>
      <c r="F514">
        <v>2.2392156862745098</v>
      </c>
      <c r="G514">
        <v>2.3037926133370901</v>
      </c>
      <c r="H514">
        <v>9.0432972774673603E-2</v>
      </c>
      <c r="I514">
        <v>-0.71408608034473697</v>
      </c>
      <c r="J514">
        <v>-2.88</v>
      </c>
      <c r="L514">
        <v>2.3942255861117636</v>
      </c>
      <c r="M514">
        <v>2.2133596405624165</v>
      </c>
      <c r="N514">
        <v>2.4846585588864372</v>
      </c>
      <c r="O514">
        <v>2.122926667787743</v>
      </c>
    </row>
    <row r="515" spans="1:15">
      <c r="A515" s="19">
        <v>43046</v>
      </c>
      <c r="B515">
        <v>1191</v>
      </c>
      <c r="C515">
        <v>1145</v>
      </c>
      <c r="D515">
        <v>511</v>
      </c>
      <c r="E515">
        <v>520</v>
      </c>
      <c r="F515">
        <v>2.20192307692307</v>
      </c>
      <c r="G515">
        <v>2.3061355743112499</v>
      </c>
      <c r="H515">
        <v>9.1004069240569405E-2</v>
      </c>
      <c r="I515">
        <v>-1.14514107179856</v>
      </c>
      <c r="J515">
        <v>-4.7300000000000004</v>
      </c>
      <c r="L515">
        <v>2.3971396435518195</v>
      </c>
      <c r="M515">
        <v>2.2151315050706804</v>
      </c>
      <c r="N515">
        <v>2.4881437127923887</v>
      </c>
      <c r="O515">
        <v>2.1241274358301112</v>
      </c>
    </row>
    <row r="516" spans="1:15">
      <c r="A516" s="19">
        <v>43045</v>
      </c>
      <c r="B516">
        <v>1156</v>
      </c>
      <c r="C516">
        <v>1184</v>
      </c>
      <c r="D516">
        <v>520</v>
      </c>
      <c r="E516">
        <v>514</v>
      </c>
      <c r="F516">
        <v>2.3035019455252899</v>
      </c>
      <c r="G516">
        <v>2.3086424280445201</v>
      </c>
      <c r="H516">
        <v>9.0687865778399601E-2</v>
      </c>
      <c r="I516">
        <v>-5.6683245052785602E-2</v>
      </c>
      <c r="J516">
        <v>-0.22</v>
      </c>
      <c r="L516">
        <v>2.3993302938229197</v>
      </c>
      <c r="M516">
        <v>2.2179545622661205</v>
      </c>
      <c r="N516">
        <v>2.4900181596013193</v>
      </c>
      <c r="O516">
        <v>2.1272666964877209</v>
      </c>
    </row>
    <row r="517" spans="1:15">
      <c r="A517" s="19">
        <v>43041</v>
      </c>
      <c r="B517">
        <v>1120</v>
      </c>
      <c r="C517">
        <v>1149</v>
      </c>
      <c r="D517">
        <v>526</v>
      </c>
      <c r="E517">
        <v>525</v>
      </c>
      <c r="F517">
        <v>2.1885714285714202</v>
      </c>
      <c r="G517">
        <v>2.3093278161612401</v>
      </c>
      <c r="H517">
        <v>9.0840544673597298E-2</v>
      </c>
      <c r="I517">
        <v>-1.32932258413591</v>
      </c>
      <c r="J517">
        <v>-5.52</v>
      </c>
      <c r="L517">
        <v>2.4001683608348374</v>
      </c>
      <c r="M517">
        <v>2.2184872714876427</v>
      </c>
      <c r="N517">
        <v>2.4910089055084348</v>
      </c>
      <c r="O517">
        <v>2.1276467268140453</v>
      </c>
    </row>
    <row r="518" spans="1:15">
      <c r="A518" s="19">
        <v>43040</v>
      </c>
      <c r="B518">
        <v>1115</v>
      </c>
      <c r="C518">
        <v>1113</v>
      </c>
      <c r="D518">
        <v>527</v>
      </c>
      <c r="E518">
        <v>516</v>
      </c>
      <c r="F518">
        <v>2.1569767441860401</v>
      </c>
      <c r="G518">
        <v>2.31190907184823</v>
      </c>
      <c r="H518">
        <v>9.0120205949510299E-2</v>
      </c>
      <c r="I518">
        <v>-1.7191741411353501</v>
      </c>
      <c r="J518">
        <v>-7.18</v>
      </c>
      <c r="L518">
        <v>2.4020292777977401</v>
      </c>
      <c r="M518">
        <v>2.2217888658987199</v>
      </c>
      <c r="N518">
        <v>2.4921494837472506</v>
      </c>
      <c r="O518">
        <v>2.1316686599492094</v>
      </c>
    </row>
    <row r="519" spans="1:15">
      <c r="A519" s="19">
        <v>43039</v>
      </c>
      <c r="B519">
        <v>1155</v>
      </c>
      <c r="C519">
        <v>1115</v>
      </c>
      <c r="D519">
        <v>519</v>
      </c>
      <c r="E519">
        <v>524</v>
      </c>
      <c r="F519">
        <v>2.12786259541984</v>
      </c>
      <c r="G519">
        <v>2.3150814413737302</v>
      </c>
      <c r="H519">
        <v>8.8788383434262902E-2</v>
      </c>
      <c r="I519">
        <v>-2.10859617792799</v>
      </c>
      <c r="J519">
        <v>-8.8000000000000007</v>
      </c>
      <c r="L519">
        <v>2.4038698248079933</v>
      </c>
      <c r="M519">
        <v>2.2262930579394671</v>
      </c>
      <c r="N519">
        <v>2.4926582082422559</v>
      </c>
      <c r="O519">
        <v>2.1375046745052044</v>
      </c>
    </row>
    <row r="520" spans="1:15">
      <c r="A520" s="19">
        <v>43038</v>
      </c>
      <c r="B520">
        <v>1165</v>
      </c>
      <c r="C520">
        <v>1150</v>
      </c>
      <c r="D520">
        <v>524</v>
      </c>
      <c r="E520">
        <v>519</v>
      </c>
      <c r="F520">
        <v>2.2157996146435401</v>
      </c>
      <c r="G520">
        <v>2.31868734123141</v>
      </c>
      <c r="H520">
        <v>8.6575852481490703E-2</v>
      </c>
      <c r="I520">
        <v>-1.1884113599674799</v>
      </c>
      <c r="J520">
        <v>-4.6399999999999997</v>
      </c>
      <c r="L520">
        <v>2.4052631937129005</v>
      </c>
      <c r="M520">
        <v>2.2321114887499194</v>
      </c>
      <c r="N520">
        <v>2.4918390461943916</v>
      </c>
      <c r="O520">
        <v>2.1455356362684284</v>
      </c>
    </row>
    <row r="521" spans="1:15">
      <c r="A521" s="19">
        <v>43035</v>
      </c>
      <c r="B521">
        <v>1171</v>
      </c>
      <c r="C521">
        <v>1160</v>
      </c>
      <c r="D521">
        <v>524</v>
      </c>
      <c r="E521">
        <v>526</v>
      </c>
      <c r="F521">
        <v>2.20532319391635</v>
      </c>
      <c r="G521">
        <v>2.3213562315235601</v>
      </c>
      <c r="H521">
        <v>8.6448171192491499E-2</v>
      </c>
      <c r="I521">
        <v>-1.3422266313633</v>
      </c>
      <c r="J521">
        <v>-5.26</v>
      </c>
      <c r="L521">
        <v>2.4078044027160517</v>
      </c>
      <c r="M521">
        <v>2.2349080603310685</v>
      </c>
      <c r="N521">
        <v>2.4942525739085433</v>
      </c>
      <c r="O521">
        <v>2.1484598891385769</v>
      </c>
    </row>
    <row r="522" spans="1:15">
      <c r="A522" s="19">
        <v>43034</v>
      </c>
      <c r="B522">
        <v>1161</v>
      </c>
      <c r="C522">
        <v>1170</v>
      </c>
      <c r="D522">
        <v>528</v>
      </c>
      <c r="E522">
        <v>523</v>
      </c>
      <c r="F522">
        <v>2.2370936902485599</v>
      </c>
      <c r="G522">
        <v>2.3236185889380101</v>
      </c>
      <c r="H522">
        <v>8.5598021097777394E-2</v>
      </c>
      <c r="I522">
        <v>-1.01082825957637</v>
      </c>
      <c r="J522">
        <v>-3.87</v>
      </c>
      <c r="L522">
        <v>2.4092166100357875</v>
      </c>
      <c r="M522">
        <v>2.2380205678402327</v>
      </c>
      <c r="N522">
        <v>2.4948146311335648</v>
      </c>
      <c r="O522">
        <v>2.1524225467424554</v>
      </c>
    </row>
    <row r="523" spans="1:15">
      <c r="A523" s="19">
        <v>43033</v>
      </c>
      <c r="B523">
        <v>1181</v>
      </c>
      <c r="C523">
        <v>1166</v>
      </c>
      <c r="D523">
        <v>525</v>
      </c>
      <c r="E523">
        <v>523</v>
      </c>
      <c r="F523">
        <v>2.2294455066921599</v>
      </c>
      <c r="G523">
        <v>2.3255661116645201</v>
      </c>
      <c r="H523">
        <v>8.5268243301023006E-2</v>
      </c>
      <c r="I523">
        <v>-1.1272731939959</v>
      </c>
      <c r="J523">
        <v>-4.3099999999999996</v>
      </c>
      <c r="L523">
        <v>2.4108343549655431</v>
      </c>
      <c r="M523">
        <v>2.2402978683634971</v>
      </c>
      <c r="N523">
        <v>2.4961025982665661</v>
      </c>
      <c r="O523">
        <v>2.1550296250624741</v>
      </c>
    </row>
    <row r="524" spans="1:15">
      <c r="A524" s="19">
        <v>43032</v>
      </c>
      <c r="B524">
        <v>1177</v>
      </c>
      <c r="C524">
        <v>1176</v>
      </c>
      <c r="D524">
        <v>527</v>
      </c>
      <c r="E524">
        <v>529</v>
      </c>
      <c r="F524">
        <v>2.2230623818525501</v>
      </c>
      <c r="G524">
        <v>2.32858773085005</v>
      </c>
      <c r="H524">
        <v>8.5822066466603397E-2</v>
      </c>
      <c r="I524">
        <v>-1.22958294226769</v>
      </c>
      <c r="J524">
        <v>-4.75</v>
      </c>
      <c r="L524">
        <v>2.4144097973166536</v>
      </c>
      <c r="M524">
        <v>2.2427656643834464</v>
      </c>
      <c r="N524">
        <v>2.5002318637832568</v>
      </c>
      <c r="O524">
        <v>2.1569435979168432</v>
      </c>
    </row>
    <row r="525" spans="1:15">
      <c r="A525" s="19">
        <v>43031</v>
      </c>
      <c r="B525">
        <v>1180</v>
      </c>
      <c r="C525">
        <v>1167</v>
      </c>
      <c r="D525">
        <v>532</v>
      </c>
      <c r="E525">
        <v>527</v>
      </c>
      <c r="F525">
        <v>2.2144212523719098</v>
      </c>
      <c r="G525">
        <v>2.33177603074467</v>
      </c>
      <c r="H525">
        <v>8.6283040828180793E-2</v>
      </c>
      <c r="I525">
        <v>-1.3601140762581201</v>
      </c>
      <c r="J525">
        <v>-5.3</v>
      </c>
      <c r="L525">
        <v>2.4180590715728507</v>
      </c>
      <c r="M525">
        <v>2.2454929899164893</v>
      </c>
      <c r="N525">
        <v>2.5043421124010314</v>
      </c>
      <c r="O525">
        <v>2.1592099490883085</v>
      </c>
    </row>
    <row r="526" spans="1:15">
      <c r="A526" s="19">
        <v>43028</v>
      </c>
      <c r="B526">
        <v>1164</v>
      </c>
      <c r="C526">
        <v>1171</v>
      </c>
      <c r="D526">
        <v>529</v>
      </c>
      <c r="E526">
        <v>524</v>
      </c>
      <c r="F526">
        <v>2.2347328244274798</v>
      </c>
      <c r="G526">
        <v>2.3348709591197601</v>
      </c>
      <c r="H526">
        <v>8.6181024067672807E-2</v>
      </c>
      <c r="I526">
        <v>-1.16195108813801</v>
      </c>
      <c r="J526">
        <v>-4.4800000000000004</v>
      </c>
      <c r="L526">
        <v>2.4210519831874331</v>
      </c>
      <c r="M526">
        <v>2.248689935052087</v>
      </c>
      <c r="N526">
        <v>2.5072330072551057</v>
      </c>
      <c r="O526">
        <v>2.1625089109844144</v>
      </c>
    </row>
    <row r="527" spans="1:15">
      <c r="A527" s="19">
        <v>43027</v>
      </c>
      <c r="B527">
        <v>1172</v>
      </c>
      <c r="C527">
        <v>1159</v>
      </c>
      <c r="D527">
        <v>524</v>
      </c>
      <c r="E527">
        <v>530</v>
      </c>
      <c r="F527">
        <v>2.1867924528301801</v>
      </c>
      <c r="G527">
        <v>2.3377992794137001</v>
      </c>
      <c r="H527">
        <v>8.6459529644615896E-2</v>
      </c>
      <c r="I527">
        <v>-1.74656081526483</v>
      </c>
      <c r="J527">
        <v>-6.91</v>
      </c>
      <c r="L527">
        <v>2.4242588090583159</v>
      </c>
      <c r="M527">
        <v>2.2513397497690844</v>
      </c>
      <c r="N527">
        <v>2.5107183387029322</v>
      </c>
      <c r="O527">
        <v>2.1648802201244681</v>
      </c>
    </row>
    <row r="528" spans="1:15">
      <c r="A528" s="19">
        <v>43026</v>
      </c>
      <c r="B528">
        <v>1164</v>
      </c>
      <c r="C528">
        <v>1165</v>
      </c>
      <c r="D528">
        <v>523</v>
      </c>
      <c r="E528">
        <v>521</v>
      </c>
      <c r="F528">
        <v>2.2360844529750401</v>
      </c>
      <c r="G528">
        <v>2.3412714462952202</v>
      </c>
      <c r="H528">
        <v>8.5549682835214302E-2</v>
      </c>
      <c r="I528">
        <v>-1.2295427619852699</v>
      </c>
      <c r="J528">
        <v>-4.7</v>
      </c>
      <c r="L528">
        <v>2.4268211291304347</v>
      </c>
      <c r="M528">
        <v>2.2557217634600057</v>
      </c>
      <c r="N528">
        <v>2.5123708119656487</v>
      </c>
      <c r="O528">
        <v>2.1701720806247917</v>
      </c>
    </row>
    <row r="529" spans="1:15">
      <c r="A529" s="19">
        <v>43025</v>
      </c>
      <c r="B529">
        <v>1170</v>
      </c>
      <c r="C529">
        <v>1162</v>
      </c>
      <c r="D529">
        <v>524</v>
      </c>
      <c r="E529">
        <v>521</v>
      </c>
      <c r="F529">
        <v>2.2303262955854102</v>
      </c>
      <c r="G529">
        <v>2.3436929265655602</v>
      </c>
      <c r="H529">
        <v>8.5107201287189196E-2</v>
      </c>
      <c r="I529">
        <v>-1.33204510623732</v>
      </c>
      <c r="J529">
        <v>-5.08</v>
      </c>
      <c r="L529">
        <v>2.4288001278527496</v>
      </c>
      <c r="M529">
        <v>2.2585857252783708</v>
      </c>
      <c r="N529">
        <v>2.5139073291399385</v>
      </c>
      <c r="O529">
        <v>2.1734785239911818</v>
      </c>
    </row>
    <row r="530" spans="1:15">
      <c r="A530" s="19">
        <v>43024</v>
      </c>
      <c r="B530">
        <v>1155</v>
      </c>
      <c r="C530">
        <v>1162</v>
      </c>
      <c r="D530">
        <v>520</v>
      </c>
      <c r="E530">
        <v>521</v>
      </c>
      <c r="F530">
        <v>2.2303262955854102</v>
      </c>
      <c r="G530">
        <v>2.3462607981799799</v>
      </c>
      <c r="H530">
        <v>8.4551565248595903E-2</v>
      </c>
      <c r="I530">
        <v>-1.3711692060780301</v>
      </c>
      <c r="J530">
        <v>-5.2</v>
      </c>
      <c r="L530">
        <v>2.4308123634285757</v>
      </c>
      <c r="M530">
        <v>2.2617092329313842</v>
      </c>
      <c r="N530">
        <v>2.5153639286771718</v>
      </c>
      <c r="O530">
        <v>2.177157667682788</v>
      </c>
    </row>
    <row r="531" spans="1:15">
      <c r="A531" s="19">
        <v>43021</v>
      </c>
      <c r="B531">
        <v>1135</v>
      </c>
      <c r="C531">
        <v>1142</v>
      </c>
      <c r="D531">
        <v>509</v>
      </c>
      <c r="E531">
        <v>518</v>
      </c>
      <c r="F531">
        <v>2.2046332046332</v>
      </c>
      <c r="G531">
        <v>2.3490818970880798</v>
      </c>
      <c r="H531">
        <v>8.4165183527829895E-2</v>
      </c>
      <c r="I531">
        <v>-1.7162523314301099</v>
      </c>
      <c r="J531">
        <v>-6.55</v>
      </c>
      <c r="L531">
        <v>2.4332470806159097</v>
      </c>
      <c r="M531">
        <v>2.2649167135602499</v>
      </c>
      <c r="N531">
        <v>2.5174122641437395</v>
      </c>
      <c r="O531">
        <v>2.1807515300324201</v>
      </c>
    </row>
    <row r="532" spans="1:15">
      <c r="A532" s="19">
        <v>43020</v>
      </c>
      <c r="B532">
        <v>1147</v>
      </c>
      <c r="C532">
        <v>1135</v>
      </c>
      <c r="D532">
        <v>513</v>
      </c>
      <c r="E532">
        <v>510</v>
      </c>
      <c r="F532">
        <v>2.2254901960784301</v>
      </c>
      <c r="G532">
        <v>2.3525756765818602</v>
      </c>
      <c r="H532">
        <v>8.3532718142381002E-2</v>
      </c>
      <c r="I532">
        <v>-1.52138567174143</v>
      </c>
      <c r="J532">
        <v>-5.71</v>
      </c>
      <c r="L532">
        <v>2.4361083947242412</v>
      </c>
      <c r="M532">
        <v>2.2690429584394791</v>
      </c>
      <c r="N532">
        <v>2.5196411128666223</v>
      </c>
      <c r="O532">
        <v>2.1855102402970981</v>
      </c>
    </row>
    <row r="533" spans="1:15">
      <c r="A533" s="19">
        <v>43019</v>
      </c>
      <c r="B533">
        <v>1142</v>
      </c>
      <c r="C533">
        <v>1146</v>
      </c>
      <c r="D533">
        <v>506</v>
      </c>
      <c r="E533">
        <v>512</v>
      </c>
      <c r="F533">
        <v>2.23828125</v>
      </c>
      <c r="G533">
        <v>2.35587619457606</v>
      </c>
      <c r="H533">
        <v>8.3336259683706407E-2</v>
      </c>
      <c r="I533">
        <v>-1.4110897827953901</v>
      </c>
      <c r="J533">
        <v>-5.25</v>
      </c>
      <c r="L533">
        <v>2.4392124542597666</v>
      </c>
      <c r="M533">
        <v>2.2725399348923534</v>
      </c>
      <c r="N533">
        <v>2.5225487139434728</v>
      </c>
      <c r="O533">
        <v>2.1892036752086472</v>
      </c>
    </row>
    <row r="534" spans="1:15">
      <c r="A534" s="19">
        <v>43018</v>
      </c>
      <c r="B534">
        <v>1118</v>
      </c>
      <c r="C534">
        <v>1141</v>
      </c>
      <c r="D534">
        <v>506</v>
      </c>
      <c r="E534">
        <v>504</v>
      </c>
      <c r="F534">
        <v>2.26388888888888</v>
      </c>
      <c r="G534">
        <v>2.3595058339318</v>
      </c>
      <c r="H534">
        <v>8.4060541025112998E-2</v>
      </c>
      <c r="I534">
        <v>-1.13747715487995</v>
      </c>
      <c r="J534">
        <v>-4.22</v>
      </c>
      <c r="L534">
        <v>2.4435663749569132</v>
      </c>
      <c r="M534">
        <v>2.2754452929066868</v>
      </c>
      <c r="N534">
        <v>2.5276269159820259</v>
      </c>
      <c r="O534">
        <v>2.1913847518815741</v>
      </c>
    </row>
    <row r="535" spans="1:15">
      <c r="A535" s="19">
        <v>43014</v>
      </c>
      <c r="B535">
        <v>1114</v>
      </c>
      <c r="C535">
        <v>1114</v>
      </c>
      <c r="D535">
        <v>504</v>
      </c>
      <c r="E535">
        <v>502</v>
      </c>
      <c r="F535">
        <v>2.2191235059760901</v>
      </c>
      <c r="G535">
        <v>2.3626120533587698</v>
      </c>
      <c r="H535">
        <v>8.4771200702031702E-2</v>
      </c>
      <c r="I535">
        <v>-1.6926567772354699</v>
      </c>
      <c r="J535">
        <v>-6.47</v>
      </c>
      <c r="L535">
        <v>2.4473832540608016</v>
      </c>
      <c r="M535">
        <v>2.277840852656738</v>
      </c>
      <c r="N535">
        <v>2.532154454762833</v>
      </c>
      <c r="O535">
        <v>2.1930696519547066</v>
      </c>
    </row>
    <row r="536" spans="1:15">
      <c r="A536" s="19">
        <v>43013</v>
      </c>
      <c r="B536">
        <v>1121</v>
      </c>
      <c r="C536">
        <v>1116</v>
      </c>
      <c r="D536">
        <v>503</v>
      </c>
      <c r="E536">
        <v>502</v>
      </c>
      <c r="F536">
        <v>2.22310756972111</v>
      </c>
      <c r="G536">
        <v>2.3656959162543001</v>
      </c>
      <c r="H536">
        <v>8.3695364391183802E-2</v>
      </c>
      <c r="I536">
        <v>-1.7036588294991399</v>
      </c>
      <c r="J536">
        <v>-6.41</v>
      </c>
      <c r="L536">
        <v>2.4493912806454841</v>
      </c>
      <c r="M536">
        <v>2.2820005518631161</v>
      </c>
      <c r="N536">
        <v>2.5330866450366676</v>
      </c>
      <c r="O536">
        <v>2.1983051874719326</v>
      </c>
    </row>
    <row r="537" spans="1:15">
      <c r="A537" s="19">
        <v>43012</v>
      </c>
      <c r="B537">
        <v>1141</v>
      </c>
      <c r="C537">
        <v>1128</v>
      </c>
      <c r="D537">
        <v>507</v>
      </c>
      <c r="E537">
        <v>503</v>
      </c>
      <c r="F537">
        <v>2.2425447316103302</v>
      </c>
      <c r="G537">
        <v>2.36861646546242</v>
      </c>
      <c r="H537">
        <v>8.2481709630477504E-2</v>
      </c>
      <c r="I537">
        <v>-1.5284810949833501</v>
      </c>
      <c r="J537">
        <v>-5.62</v>
      </c>
      <c r="L537">
        <v>2.4510981750928975</v>
      </c>
      <c r="M537">
        <v>2.2861347558319425</v>
      </c>
      <c r="N537">
        <v>2.533579884723375</v>
      </c>
      <c r="O537">
        <v>2.203653046201465</v>
      </c>
    </row>
    <row r="538" spans="1:15">
      <c r="A538" s="19">
        <v>43011</v>
      </c>
      <c r="B538">
        <v>1146</v>
      </c>
      <c r="C538">
        <v>1149</v>
      </c>
      <c r="D538">
        <v>504</v>
      </c>
      <c r="E538">
        <v>506</v>
      </c>
      <c r="F538">
        <v>2.2707509881422898</v>
      </c>
      <c r="G538">
        <v>2.3709542612793499</v>
      </c>
      <c r="H538">
        <v>8.1352344074052396E-2</v>
      </c>
      <c r="I538">
        <v>-1.23171955617955</v>
      </c>
      <c r="J538">
        <v>-4.41</v>
      </c>
      <c r="L538">
        <v>2.4523066053534022</v>
      </c>
      <c r="M538">
        <v>2.2896019172052977</v>
      </c>
      <c r="N538">
        <v>2.5336589494274548</v>
      </c>
      <c r="O538">
        <v>2.208249573131245</v>
      </c>
    </row>
    <row r="539" spans="1:15">
      <c r="A539" s="19">
        <v>43010</v>
      </c>
      <c r="B539">
        <v>1174</v>
      </c>
      <c r="C539">
        <v>1149</v>
      </c>
      <c r="D539">
        <v>503</v>
      </c>
      <c r="E539">
        <v>502</v>
      </c>
      <c r="F539">
        <v>2.28884462151394</v>
      </c>
      <c r="G539">
        <v>2.3723340231552399</v>
      </c>
      <c r="H539">
        <v>8.0514393395485606E-2</v>
      </c>
      <c r="I539">
        <v>-1.0369500175105499</v>
      </c>
      <c r="J539">
        <v>-3.65</v>
      </c>
      <c r="L539">
        <v>2.4528484165507254</v>
      </c>
      <c r="M539">
        <v>2.2918196297597544</v>
      </c>
      <c r="N539">
        <v>2.5333628099462109</v>
      </c>
      <c r="O539">
        <v>2.2113052363642689</v>
      </c>
    </row>
    <row r="540" spans="1:15">
      <c r="A540" s="19">
        <v>43007</v>
      </c>
      <c r="B540">
        <v>1165</v>
      </c>
      <c r="C540">
        <v>1181</v>
      </c>
      <c r="D540">
        <v>502</v>
      </c>
      <c r="E540">
        <v>503</v>
      </c>
      <c r="F540">
        <v>2.3479125248508899</v>
      </c>
      <c r="G540">
        <v>2.3729820756639999</v>
      </c>
      <c r="H540">
        <v>8.0033958064501004E-2</v>
      </c>
      <c r="I540">
        <v>-0.31323642388027501</v>
      </c>
      <c r="J540">
        <v>-1.07</v>
      </c>
      <c r="L540">
        <v>2.4530160337285007</v>
      </c>
      <c r="M540">
        <v>2.292948117599499</v>
      </c>
      <c r="N540">
        <v>2.5330499917930021</v>
      </c>
      <c r="O540">
        <v>2.2129141595349977</v>
      </c>
    </row>
    <row r="541" spans="1:15">
      <c r="A541" s="19">
        <v>43006</v>
      </c>
      <c r="B541">
        <v>1163</v>
      </c>
      <c r="C541">
        <v>1168</v>
      </c>
      <c r="D541">
        <v>503</v>
      </c>
      <c r="E541">
        <v>501</v>
      </c>
      <c r="F541">
        <v>2.3313373253492999</v>
      </c>
      <c r="G541">
        <v>2.3736600464070299</v>
      </c>
      <c r="H541">
        <v>8.0034088236126705E-2</v>
      </c>
      <c r="I541">
        <v>-0.52880868627966005</v>
      </c>
      <c r="J541">
        <v>-1.82</v>
      </c>
      <c r="L541">
        <v>2.4536941346431567</v>
      </c>
      <c r="M541">
        <v>2.2936259581709031</v>
      </c>
      <c r="N541">
        <v>2.5337282228792835</v>
      </c>
      <c r="O541">
        <v>2.2135918699347763</v>
      </c>
    </row>
    <row r="542" spans="1:15">
      <c r="A542" s="19">
        <v>43005</v>
      </c>
      <c r="B542">
        <v>1174</v>
      </c>
      <c r="C542">
        <v>1161</v>
      </c>
      <c r="D542">
        <v>507</v>
      </c>
      <c r="E542">
        <v>502</v>
      </c>
      <c r="F542">
        <v>2.3127490039840599</v>
      </c>
      <c r="G542">
        <v>2.3744441318979299</v>
      </c>
      <c r="H542">
        <v>7.9903569888805995E-2</v>
      </c>
      <c r="I542">
        <v>-0.77211979389309304</v>
      </c>
      <c r="J542">
        <v>-2.67</v>
      </c>
      <c r="L542">
        <v>2.4543477017867361</v>
      </c>
      <c r="M542">
        <v>2.2945405620091237</v>
      </c>
      <c r="N542">
        <v>2.5342512716755419</v>
      </c>
      <c r="O542">
        <v>2.2146369921203179</v>
      </c>
    </row>
    <row r="543" spans="1:15">
      <c r="A543" s="19">
        <v>43004</v>
      </c>
      <c r="B543">
        <v>1170</v>
      </c>
      <c r="C543">
        <v>1175</v>
      </c>
      <c r="D543">
        <v>514</v>
      </c>
      <c r="E543">
        <v>518</v>
      </c>
      <c r="F543">
        <v>2.2683397683397599</v>
      </c>
      <c r="G543">
        <v>2.3739778488818399</v>
      </c>
      <c r="H543">
        <v>8.0362953719973096E-2</v>
      </c>
      <c r="I543">
        <v>-1.3145121682582399</v>
      </c>
      <c r="J543">
        <v>-4.66</v>
      </c>
      <c r="L543">
        <v>2.4543408026018132</v>
      </c>
      <c r="M543">
        <v>2.2936148951618667</v>
      </c>
      <c r="N543">
        <v>2.534703756321786</v>
      </c>
      <c r="O543">
        <v>2.2132519414418939</v>
      </c>
    </row>
    <row r="544" spans="1:15">
      <c r="A544" s="19">
        <v>43003</v>
      </c>
      <c r="B544">
        <v>1156</v>
      </c>
      <c r="C544">
        <v>1170</v>
      </c>
      <c r="D544">
        <v>523</v>
      </c>
      <c r="E544">
        <v>516</v>
      </c>
      <c r="F544">
        <v>2.2674418604651101</v>
      </c>
      <c r="G544">
        <v>2.37432316774568</v>
      </c>
      <c r="H544">
        <v>7.99629340720341E-2</v>
      </c>
      <c r="I544">
        <v>-1.33663563650985</v>
      </c>
      <c r="J544">
        <v>-4.71</v>
      </c>
      <c r="L544">
        <v>2.454286101817714</v>
      </c>
      <c r="M544">
        <v>2.2943602336736459</v>
      </c>
      <c r="N544">
        <v>2.534249035889748</v>
      </c>
      <c r="O544">
        <v>2.2143972996016119</v>
      </c>
    </row>
    <row r="545" spans="1:15">
      <c r="A545" s="19">
        <v>43000</v>
      </c>
      <c r="B545">
        <v>1156</v>
      </c>
      <c r="C545">
        <v>1152</v>
      </c>
      <c r="D545">
        <v>514</v>
      </c>
      <c r="E545">
        <v>518</v>
      </c>
      <c r="F545">
        <v>2.2239382239382199</v>
      </c>
      <c r="G545">
        <v>2.3742731653870801</v>
      </c>
      <c r="H545">
        <v>8.0030897019660402E-2</v>
      </c>
      <c r="I545">
        <v>-1.87846128242106</v>
      </c>
      <c r="J545">
        <v>-6.76</v>
      </c>
      <c r="L545">
        <v>2.4543040624067407</v>
      </c>
      <c r="M545">
        <v>2.2942422683674195</v>
      </c>
      <c r="N545">
        <v>2.5343349594264009</v>
      </c>
      <c r="O545">
        <v>2.2142113713477594</v>
      </c>
    </row>
    <row r="546" spans="1:15">
      <c r="A546" s="19">
        <v>42999</v>
      </c>
      <c r="B546">
        <v>1164</v>
      </c>
      <c r="C546">
        <v>1149</v>
      </c>
      <c r="D546">
        <v>509</v>
      </c>
      <c r="E546">
        <v>514</v>
      </c>
      <c r="F546">
        <v>2.2354085603112801</v>
      </c>
      <c r="G546">
        <v>2.37510070982517</v>
      </c>
      <c r="H546">
        <v>7.8783273563980197E-2</v>
      </c>
      <c r="I546">
        <v>-1.77311938428714</v>
      </c>
      <c r="J546">
        <v>-6.25</v>
      </c>
      <c r="L546">
        <v>2.4538839833891504</v>
      </c>
      <c r="M546">
        <v>2.2963174362611896</v>
      </c>
      <c r="N546">
        <v>2.5326672569531303</v>
      </c>
      <c r="O546">
        <v>2.2175341626972096</v>
      </c>
    </row>
    <row r="547" spans="1:15">
      <c r="A547" s="19">
        <v>42998</v>
      </c>
      <c r="B547">
        <v>1170</v>
      </c>
      <c r="C547">
        <v>1159</v>
      </c>
      <c r="D547">
        <v>511</v>
      </c>
      <c r="E547">
        <v>507</v>
      </c>
      <c r="F547">
        <v>2.2859960552268199</v>
      </c>
      <c r="G547">
        <v>2.3753084375849198</v>
      </c>
      <c r="H547">
        <v>7.8434440647915396E-2</v>
      </c>
      <c r="I547">
        <v>-1.1386883315585099</v>
      </c>
      <c r="J547">
        <v>-3.91</v>
      </c>
      <c r="L547">
        <v>2.4537428782328354</v>
      </c>
      <c r="M547">
        <v>2.2968739969370042</v>
      </c>
      <c r="N547">
        <v>2.5321773188807506</v>
      </c>
      <c r="O547">
        <v>2.2184395562890891</v>
      </c>
    </row>
    <row r="548" spans="1:15">
      <c r="A548" s="19">
        <v>42997</v>
      </c>
      <c r="B548">
        <v>1160</v>
      </c>
      <c r="C548">
        <v>1179</v>
      </c>
      <c r="D548">
        <v>509</v>
      </c>
      <c r="E548">
        <v>506</v>
      </c>
      <c r="F548">
        <v>2.3300395256916899</v>
      </c>
      <c r="G548">
        <v>2.3740049607701299</v>
      </c>
      <c r="H548">
        <v>8.06878215891427E-2</v>
      </c>
      <c r="I548">
        <v>-0.54488315848090596</v>
      </c>
      <c r="J548">
        <v>-1.89</v>
      </c>
      <c r="L548">
        <v>2.4546927823592726</v>
      </c>
      <c r="M548">
        <v>2.2933171391809872</v>
      </c>
      <c r="N548">
        <v>2.5353806039484152</v>
      </c>
      <c r="O548">
        <v>2.2126293175918446</v>
      </c>
    </row>
    <row r="549" spans="1:15">
      <c r="A549" s="19">
        <v>42993</v>
      </c>
      <c r="B549">
        <v>1146</v>
      </c>
      <c r="C549">
        <v>1149</v>
      </c>
      <c r="D549">
        <v>501</v>
      </c>
      <c r="E549">
        <v>504</v>
      </c>
      <c r="F549">
        <v>2.2797619047619002</v>
      </c>
      <c r="G549">
        <v>2.3733527604007998</v>
      </c>
      <c r="H549">
        <v>8.1236384290556005E-2</v>
      </c>
      <c r="I549">
        <v>-1.1520805173228399</v>
      </c>
      <c r="J549">
        <v>-4.1100000000000003</v>
      </c>
      <c r="L549">
        <v>2.4545891446913557</v>
      </c>
      <c r="M549">
        <v>2.2921163761102439</v>
      </c>
      <c r="N549">
        <v>2.5358255289819116</v>
      </c>
      <c r="O549">
        <v>2.210879991819688</v>
      </c>
    </row>
    <row r="550" spans="1:15">
      <c r="A550" s="19">
        <v>42992</v>
      </c>
      <c r="B550">
        <v>1150</v>
      </c>
      <c r="C550">
        <v>1147</v>
      </c>
      <c r="D550">
        <v>508</v>
      </c>
      <c r="E550">
        <v>502</v>
      </c>
      <c r="F550">
        <v>2.2848605577689201</v>
      </c>
      <c r="G550">
        <v>2.3740212271001999</v>
      </c>
      <c r="H550">
        <v>8.0667788638122295E-2</v>
      </c>
      <c r="I550">
        <v>-1.1052821806142801</v>
      </c>
      <c r="J550">
        <v>-3.9</v>
      </c>
      <c r="L550">
        <v>2.4546890157383223</v>
      </c>
      <c r="M550">
        <v>2.2933534384620775</v>
      </c>
      <c r="N550">
        <v>2.5353568043764447</v>
      </c>
      <c r="O550">
        <v>2.2126856498239551</v>
      </c>
    </row>
    <row r="551" spans="1:15">
      <c r="A551" s="19">
        <v>42991</v>
      </c>
      <c r="B551">
        <v>1130</v>
      </c>
      <c r="C551">
        <v>1127</v>
      </c>
      <c r="D551">
        <v>493</v>
      </c>
      <c r="E551">
        <v>503</v>
      </c>
      <c r="F551">
        <v>2.24055666003976</v>
      </c>
      <c r="G551">
        <v>2.3743526409858098</v>
      </c>
      <c r="H551">
        <v>8.0351239929044901E-2</v>
      </c>
      <c r="I551">
        <v>-1.6651389706519399</v>
      </c>
      <c r="J551">
        <v>-5.97</v>
      </c>
      <c r="L551">
        <v>2.4547038809148547</v>
      </c>
      <c r="M551">
        <v>2.2940014010567649</v>
      </c>
      <c r="N551">
        <v>2.5350551208438996</v>
      </c>
      <c r="O551">
        <v>2.21365016112772</v>
      </c>
    </row>
    <row r="552" spans="1:15">
      <c r="A552" s="19">
        <v>42990</v>
      </c>
      <c r="B552">
        <v>1154</v>
      </c>
      <c r="C552">
        <v>1119</v>
      </c>
      <c r="D552">
        <v>492</v>
      </c>
      <c r="E552">
        <v>491</v>
      </c>
      <c r="F552">
        <v>2.2790224032586499</v>
      </c>
      <c r="G552">
        <v>2.3752351984020499</v>
      </c>
      <c r="H552">
        <v>7.9232541607095197E-2</v>
      </c>
      <c r="I552">
        <v>-1.21430908553343</v>
      </c>
      <c r="J552">
        <v>-4.22</v>
      </c>
      <c r="L552">
        <v>2.4544677400091452</v>
      </c>
      <c r="M552">
        <v>2.2960026567949545</v>
      </c>
      <c r="N552">
        <v>2.5337002816162402</v>
      </c>
      <c r="O552">
        <v>2.2167701151878596</v>
      </c>
    </row>
    <row r="553" spans="1:15">
      <c r="A553" s="19">
        <v>42989</v>
      </c>
      <c r="B553">
        <v>1154</v>
      </c>
      <c r="C553">
        <v>1141</v>
      </c>
      <c r="D553">
        <v>494</v>
      </c>
      <c r="E553">
        <v>489</v>
      </c>
      <c r="F553">
        <v>2.3333333333333299</v>
      </c>
      <c r="G553">
        <v>2.3755230796510398</v>
      </c>
      <c r="H553">
        <v>7.8921053754064496E-2</v>
      </c>
      <c r="I553">
        <v>-0.53458163963675798</v>
      </c>
      <c r="J553">
        <v>-1.81</v>
      </c>
      <c r="L553">
        <v>2.4544441334051044</v>
      </c>
      <c r="M553">
        <v>2.2966020258969753</v>
      </c>
      <c r="N553">
        <v>2.5333651871591689</v>
      </c>
      <c r="O553">
        <v>2.2176809721429107</v>
      </c>
    </row>
    <row r="554" spans="1:15">
      <c r="A554" s="19">
        <v>42986</v>
      </c>
      <c r="B554">
        <v>1151</v>
      </c>
      <c r="C554">
        <v>1142</v>
      </c>
      <c r="D554">
        <v>493</v>
      </c>
      <c r="E554">
        <v>490</v>
      </c>
      <c r="F554">
        <v>2.3306122448979498</v>
      </c>
      <c r="G554">
        <v>2.3747076674646599</v>
      </c>
      <c r="H554">
        <v>7.9665169131314703E-2</v>
      </c>
      <c r="I554">
        <v>-0.55350943263572305</v>
      </c>
      <c r="J554">
        <v>-1.89</v>
      </c>
      <c r="L554">
        <v>2.4543728365959745</v>
      </c>
      <c r="M554">
        <v>2.2950424983333453</v>
      </c>
      <c r="N554">
        <v>2.5340380057272891</v>
      </c>
      <c r="O554">
        <v>2.2153773292020307</v>
      </c>
    </row>
    <row r="555" spans="1:15">
      <c r="A555" s="19">
        <v>42985</v>
      </c>
      <c r="B555">
        <v>1137</v>
      </c>
      <c r="C555">
        <v>1154</v>
      </c>
      <c r="D555">
        <v>495</v>
      </c>
      <c r="E555">
        <v>500</v>
      </c>
      <c r="F555">
        <v>2.3079999999999998</v>
      </c>
      <c r="G555">
        <v>2.3741362388932301</v>
      </c>
      <c r="H555">
        <v>8.0131749055382298E-2</v>
      </c>
      <c r="I555">
        <v>-0.82534375790954395</v>
      </c>
      <c r="J555">
        <v>-2.87</v>
      </c>
      <c r="L555">
        <v>2.4542679879486125</v>
      </c>
      <c r="M555">
        <v>2.2940044898378478</v>
      </c>
      <c r="N555">
        <v>2.5343997370039948</v>
      </c>
      <c r="O555">
        <v>2.2138727407824654</v>
      </c>
    </row>
    <row r="556" spans="1:15">
      <c r="A556" s="19">
        <v>42984</v>
      </c>
      <c r="B556">
        <v>1114</v>
      </c>
      <c r="C556">
        <v>1137</v>
      </c>
      <c r="D556">
        <v>499</v>
      </c>
      <c r="E556">
        <v>495</v>
      </c>
      <c r="F556">
        <v>2.2969696969696898</v>
      </c>
      <c r="G556">
        <v>2.3739751504578499</v>
      </c>
      <c r="H556">
        <v>8.02765534572909E-2</v>
      </c>
      <c r="I556">
        <v>-0.95925211250045905</v>
      </c>
      <c r="J556">
        <v>-3.35</v>
      </c>
      <c r="L556">
        <v>2.4542517039151406</v>
      </c>
      <c r="M556">
        <v>2.2936985970005592</v>
      </c>
      <c r="N556">
        <v>2.5345282573724317</v>
      </c>
      <c r="O556">
        <v>2.2134220435432681</v>
      </c>
    </row>
    <row r="557" spans="1:15">
      <c r="A557" s="19">
        <v>42983</v>
      </c>
      <c r="B557">
        <v>1150</v>
      </c>
      <c r="C557">
        <v>1120</v>
      </c>
      <c r="D557">
        <v>496</v>
      </c>
      <c r="E557">
        <v>494</v>
      </c>
      <c r="F557">
        <v>2.26720647773279</v>
      </c>
      <c r="G557">
        <v>2.3728934422870398</v>
      </c>
      <c r="H557">
        <v>8.1838296300672297E-2</v>
      </c>
      <c r="I557">
        <v>-1.29141208128229</v>
      </c>
      <c r="J557">
        <v>-4.66</v>
      </c>
      <c r="L557">
        <v>2.4547317385877121</v>
      </c>
      <c r="M557">
        <v>2.2910551459863675</v>
      </c>
      <c r="N557">
        <v>2.5365700348883844</v>
      </c>
      <c r="O557">
        <v>2.2092168496856952</v>
      </c>
    </row>
    <row r="558" spans="1:15">
      <c r="A558" s="19">
        <v>42982</v>
      </c>
      <c r="B558">
        <v>1169</v>
      </c>
      <c r="C558">
        <v>1163</v>
      </c>
      <c r="D558">
        <v>499</v>
      </c>
      <c r="E558">
        <v>495</v>
      </c>
      <c r="F558">
        <v>2.34949494949494</v>
      </c>
      <c r="G558">
        <v>2.3723173559172701</v>
      </c>
      <c r="H558">
        <v>8.2727475292572003E-2</v>
      </c>
      <c r="I558">
        <v>-0.27587456696350199</v>
      </c>
      <c r="J558">
        <v>-0.97</v>
      </c>
      <c r="L558">
        <v>2.4550448312098423</v>
      </c>
      <c r="M558">
        <v>2.2895898806246979</v>
      </c>
      <c r="N558">
        <v>2.537772306502414</v>
      </c>
      <c r="O558">
        <v>2.2068624053321262</v>
      </c>
    </row>
    <row r="559" spans="1:15">
      <c r="A559" s="19">
        <v>42979</v>
      </c>
      <c r="B559">
        <v>1182</v>
      </c>
      <c r="C559">
        <v>1170</v>
      </c>
      <c r="D559">
        <v>503</v>
      </c>
      <c r="E559">
        <v>501</v>
      </c>
      <c r="F559">
        <v>2.3353293413173599</v>
      </c>
      <c r="G559">
        <v>2.3697399629398701</v>
      </c>
      <c r="H559">
        <v>8.6331097675153998E-2</v>
      </c>
      <c r="I559">
        <v>-0.39858895055398502</v>
      </c>
      <c r="J559">
        <v>-1.47</v>
      </c>
      <c r="L559">
        <v>2.4560710606150242</v>
      </c>
      <c r="M559">
        <v>2.283408865264716</v>
      </c>
      <c r="N559">
        <v>2.5424021582901779</v>
      </c>
      <c r="O559">
        <v>2.1970777675895623</v>
      </c>
    </row>
    <row r="560" spans="1:15">
      <c r="A560" s="19">
        <v>42978</v>
      </c>
      <c r="B560">
        <v>1174</v>
      </c>
      <c r="C560">
        <v>1178</v>
      </c>
      <c r="D560">
        <v>505</v>
      </c>
      <c r="E560">
        <v>500</v>
      </c>
      <c r="F560">
        <v>2.3559999999999999</v>
      </c>
      <c r="G560">
        <v>2.3674784288651698</v>
      </c>
      <c r="H560">
        <v>8.9371000352005098E-2</v>
      </c>
      <c r="I560">
        <v>-0.12843572098287701</v>
      </c>
      <c r="J560">
        <v>-0.49</v>
      </c>
      <c r="L560">
        <v>2.4568494292171748</v>
      </c>
      <c r="M560">
        <v>2.2781074285131648</v>
      </c>
      <c r="N560">
        <v>2.5462204295691802</v>
      </c>
      <c r="O560">
        <v>2.1887364281611594</v>
      </c>
    </row>
    <row r="561" spans="1:15">
      <c r="A561" s="19">
        <v>42977</v>
      </c>
      <c r="B561">
        <v>1164</v>
      </c>
      <c r="C561">
        <v>1177</v>
      </c>
      <c r="D561">
        <v>499</v>
      </c>
      <c r="E561">
        <v>505</v>
      </c>
      <c r="F561">
        <v>2.3306930693069301</v>
      </c>
      <c r="G561">
        <v>2.3649497354298599</v>
      </c>
      <c r="H561">
        <v>9.2295200609779804E-2</v>
      </c>
      <c r="I561">
        <v>-0.37116411142294098</v>
      </c>
      <c r="J561">
        <v>-1.47</v>
      </c>
      <c r="L561">
        <v>2.4572449360396398</v>
      </c>
      <c r="M561">
        <v>2.27265453482008</v>
      </c>
      <c r="N561">
        <v>2.5495401366494193</v>
      </c>
      <c r="O561">
        <v>2.1803593342103005</v>
      </c>
    </row>
    <row r="562" spans="1:15">
      <c r="A562" s="19">
        <v>42976</v>
      </c>
      <c r="B562">
        <v>1150</v>
      </c>
      <c r="C562">
        <v>1158</v>
      </c>
      <c r="D562">
        <v>508</v>
      </c>
      <c r="E562">
        <v>496</v>
      </c>
      <c r="F562">
        <v>2.3346774193548301</v>
      </c>
      <c r="G562">
        <v>2.3629251098903801</v>
      </c>
      <c r="H562">
        <v>9.4659663703273E-2</v>
      </c>
      <c r="I562">
        <v>-0.29841317231057601</v>
      </c>
      <c r="J562">
        <v>-1.21</v>
      </c>
      <c r="L562">
        <v>2.4575847735936529</v>
      </c>
      <c r="M562">
        <v>2.2682654461871072</v>
      </c>
      <c r="N562">
        <v>2.5522444372969262</v>
      </c>
      <c r="O562">
        <v>2.173605782483834</v>
      </c>
    </row>
    <row r="563" spans="1:15">
      <c r="A563" s="19">
        <v>42975</v>
      </c>
      <c r="B563">
        <v>1145</v>
      </c>
      <c r="C563">
        <v>1150</v>
      </c>
      <c r="D563">
        <v>507</v>
      </c>
      <c r="E563">
        <v>515</v>
      </c>
      <c r="F563">
        <v>2.23300970873786</v>
      </c>
      <c r="G563">
        <v>2.3608754427116798</v>
      </c>
      <c r="H563">
        <v>9.6887216344369406E-2</v>
      </c>
      <c r="I563">
        <v>-1.31973792620219</v>
      </c>
      <c r="J563">
        <v>-5.73</v>
      </c>
      <c r="L563">
        <v>2.4577626590560491</v>
      </c>
      <c r="M563">
        <v>2.2639882263673106</v>
      </c>
      <c r="N563">
        <v>2.5546498754004188</v>
      </c>
      <c r="O563">
        <v>2.1671010100229409</v>
      </c>
    </row>
    <row r="564" spans="1:15">
      <c r="A564" s="19">
        <v>42972</v>
      </c>
      <c r="B564">
        <v>1151</v>
      </c>
      <c r="C564">
        <v>1144</v>
      </c>
      <c r="D564">
        <v>498</v>
      </c>
      <c r="E564">
        <v>499</v>
      </c>
      <c r="F564">
        <v>2.2925851703406801</v>
      </c>
      <c r="G564">
        <v>2.3598551605900902</v>
      </c>
      <c r="H564">
        <v>9.8615836104564203E-2</v>
      </c>
      <c r="I564">
        <v>-0.68214186388971398</v>
      </c>
      <c r="J564">
        <v>-2.93</v>
      </c>
      <c r="L564">
        <v>2.4584709966946545</v>
      </c>
      <c r="M564">
        <v>2.2612393244855258</v>
      </c>
      <c r="N564">
        <v>2.5570868327992184</v>
      </c>
      <c r="O564">
        <v>2.1626234883809619</v>
      </c>
    </row>
    <row r="565" spans="1:15">
      <c r="A565" s="19">
        <v>42971</v>
      </c>
      <c r="B565">
        <v>1157</v>
      </c>
      <c r="C565">
        <v>1145</v>
      </c>
      <c r="D565">
        <v>498</v>
      </c>
      <c r="E565">
        <v>493</v>
      </c>
      <c r="F565">
        <v>2.3225152129817399</v>
      </c>
      <c r="G565">
        <v>2.35853879785823</v>
      </c>
      <c r="H565">
        <v>0.10015195729076901</v>
      </c>
      <c r="I565">
        <v>-0.359689274687853</v>
      </c>
      <c r="J565">
        <v>-1.55</v>
      </c>
      <c r="L565">
        <v>2.4586907551489992</v>
      </c>
      <c r="M565">
        <v>2.2583868405674608</v>
      </c>
      <c r="N565">
        <v>2.5588427124397679</v>
      </c>
      <c r="O565">
        <v>2.158234883276692</v>
      </c>
    </row>
    <row r="566" spans="1:15">
      <c r="A566" s="19">
        <v>42970</v>
      </c>
      <c r="B566">
        <v>1173</v>
      </c>
      <c r="C566">
        <v>1158</v>
      </c>
      <c r="D566">
        <v>503</v>
      </c>
      <c r="E566">
        <v>498</v>
      </c>
      <c r="F566">
        <v>2.3253012048192701</v>
      </c>
      <c r="G566">
        <v>2.3565840379757699</v>
      </c>
      <c r="H566">
        <v>0.10224485241276</v>
      </c>
      <c r="I566">
        <v>-0.30595998153731502</v>
      </c>
      <c r="J566">
        <v>-1.35</v>
      </c>
      <c r="L566">
        <v>2.45882889038853</v>
      </c>
      <c r="M566">
        <v>2.2543391855630097</v>
      </c>
      <c r="N566">
        <v>2.5610737428012897</v>
      </c>
      <c r="O566">
        <v>2.15209433315025</v>
      </c>
    </row>
    <row r="567" spans="1:15">
      <c r="A567" s="19">
        <v>42969</v>
      </c>
      <c r="B567">
        <v>1161</v>
      </c>
      <c r="C567">
        <v>1161</v>
      </c>
      <c r="D567">
        <v>499</v>
      </c>
      <c r="E567">
        <v>503</v>
      </c>
      <c r="F567">
        <v>2.3081510934393599</v>
      </c>
      <c r="G567">
        <v>2.3536645990259402</v>
      </c>
      <c r="H567">
        <v>0.106147904585606</v>
      </c>
      <c r="I567">
        <v>-0.42877441400524202</v>
      </c>
      <c r="J567">
        <v>-1.97</v>
      </c>
      <c r="L567">
        <v>2.4598125036115461</v>
      </c>
      <c r="M567">
        <v>2.2475166944403342</v>
      </c>
      <c r="N567">
        <v>2.5659604081971521</v>
      </c>
      <c r="O567">
        <v>2.1413687898547282</v>
      </c>
    </row>
    <row r="568" spans="1:15">
      <c r="A568" s="19">
        <v>42968</v>
      </c>
      <c r="B568">
        <v>1160</v>
      </c>
      <c r="C568">
        <v>1171</v>
      </c>
      <c r="D568">
        <v>501</v>
      </c>
      <c r="E568">
        <v>501</v>
      </c>
      <c r="F568">
        <v>2.3373253493013899</v>
      </c>
      <c r="G568">
        <v>2.3509727425745099</v>
      </c>
      <c r="H568">
        <v>0.10976620627802799</v>
      </c>
      <c r="I568">
        <v>-0.124331465356034</v>
      </c>
      <c r="J568">
        <v>-0.57999999999999996</v>
      </c>
      <c r="L568">
        <v>2.460738948852538</v>
      </c>
      <c r="M568">
        <v>2.2412065362964819</v>
      </c>
      <c r="N568">
        <v>2.570505155130566</v>
      </c>
      <c r="O568">
        <v>2.1314403300184539</v>
      </c>
    </row>
    <row r="569" spans="1:15">
      <c r="A569" s="19">
        <v>42965</v>
      </c>
      <c r="B569">
        <v>1178</v>
      </c>
      <c r="C569">
        <v>1163</v>
      </c>
      <c r="D569">
        <v>497</v>
      </c>
      <c r="E569">
        <v>498</v>
      </c>
      <c r="F569">
        <v>2.33534136546184</v>
      </c>
      <c r="G569">
        <v>2.34819633008158</v>
      </c>
      <c r="H569">
        <v>0.112671327921159</v>
      </c>
      <c r="I569">
        <v>-0.114092598861807</v>
      </c>
      <c r="J569">
        <v>-0.55000000000000004</v>
      </c>
      <c r="L569">
        <v>2.4608676580027389</v>
      </c>
      <c r="M569">
        <v>2.2355250021604212</v>
      </c>
      <c r="N569">
        <v>2.5735389859238982</v>
      </c>
      <c r="O569">
        <v>2.1228536742392619</v>
      </c>
    </row>
    <row r="570" spans="1:15">
      <c r="A570" s="19">
        <v>42964</v>
      </c>
      <c r="B570">
        <v>1189</v>
      </c>
      <c r="C570">
        <v>1179</v>
      </c>
      <c r="D570">
        <v>497</v>
      </c>
      <c r="E570">
        <v>503</v>
      </c>
      <c r="F570">
        <v>2.3439363817097401</v>
      </c>
      <c r="G570">
        <v>2.345969077955</v>
      </c>
      <c r="H570">
        <v>0.114538984108926</v>
      </c>
      <c r="I570">
        <v>-1.77467633494417E-2</v>
      </c>
      <c r="J570">
        <v>-0.09</v>
      </c>
      <c r="L570">
        <v>2.4605080620639259</v>
      </c>
      <c r="M570">
        <v>2.231430093846074</v>
      </c>
      <c r="N570">
        <v>2.5750470461728519</v>
      </c>
      <c r="O570">
        <v>2.1168911097371481</v>
      </c>
    </row>
    <row r="571" spans="1:15">
      <c r="A571" s="19">
        <v>42963</v>
      </c>
      <c r="B571">
        <v>1187</v>
      </c>
      <c r="C571">
        <v>1190</v>
      </c>
      <c r="D571">
        <v>496</v>
      </c>
      <c r="E571">
        <v>499</v>
      </c>
      <c r="F571">
        <v>2.38476953907815</v>
      </c>
      <c r="G571">
        <v>2.34238260207001</v>
      </c>
      <c r="H571">
        <v>0.11868280077199</v>
      </c>
      <c r="I571">
        <v>0.357144731438999</v>
      </c>
      <c r="J571">
        <v>1.78</v>
      </c>
      <c r="L571">
        <v>2.4610654028420003</v>
      </c>
      <c r="M571">
        <v>2.2236998012980198</v>
      </c>
      <c r="N571">
        <v>2.57974820361399</v>
      </c>
      <c r="O571">
        <v>2.10501700052603</v>
      </c>
    </row>
    <row r="572" spans="1:15">
      <c r="A572" s="19">
        <v>42962</v>
      </c>
      <c r="B572">
        <v>1208</v>
      </c>
      <c r="C572">
        <v>1198</v>
      </c>
      <c r="D572">
        <v>497</v>
      </c>
      <c r="E572">
        <v>497</v>
      </c>
      <c r="F572">
        <v>2.4104627766599598</v>
      </c>
      <c r="G572">
        <v>2.3386069232222799</v>
      </c>
      <c r="H572">
        <v>0.12173928631486</v>
      </c>
      <c r="I572">
        <v>0.59024375460716305</v>
      </c>
      <c r="J572">
        <v>2.98</v>
      </c>
      <c r="L572">
        <v>2.46034620953714</v>
      </c>
      <c r="M572">
        <v>2.2168676369074198</v>
      </c>
      <c r="N572">
        <v>2.5820854958520001</v>
      </c>
      <c r="O572">
        <v>2.0951283505925598</v>
      </c>
    </row>
    <row r="573" spans="1:15">
      <c r="A573" s="19">
        <v>42961</v>
      </c>
      <c r="B573">
        <v>1185</v>
      </c>
      <c r="C573">
        <v>1188</v>
      </c>
      <c r="D573">
        <v>488</v>
      </c>
      <c r="E573">
        <v>495</v>
      </c>
      <c r="F573">
        <v>2.4</v>
      </c>
      <c r="G573">
        <v>2.3347940594263799</v>
      </c>
      <c r="H573">
        <v>0.123888286421225</v>
      </c>
      <c r="I573">
        <v>0.52632853724291095</v>
      </c>
      <c r="J573">
        <v>2.72</v>
      </c>
      <c r="L573">
        <v>2.4586823458476048</v>
      </c>
      <c r="M573">
        <v>2.2109057730051549</v>
      </c>
      <c r="N573">
        <v>2.5825706322688298</v>
      </c>
      <c r="O573">
        <v>2.0870174865839299</v>
      </c>
    </row>
    <row r="574" spans="1:15">
      <c r="A574" s="19">
        <v>42957</v>
      </c>
      <c r="B574">
        <v>1219</v>
      </c>
      <c r="C574">
        <v>1207</v>
      </c>
      <c r="D574">
        <v>494</v>
      </c>
      <c r="E574">
        <v>493</v>
      </c>
      <c r="F574">
        <v>2.44827586206896</v>
      </c>
      <c r="G574">
        <v>2.33147685512531</v>
      </c>
      <c r="H574">
        <v>0.12541925347844299</v>
      </c>
      <c r="I574">
        <v>0.93126855490118599</v>
      </c>
      <c r="J574">
        <v>4.7699999999999996</v>
      </c>
      <c r="L574">
        <v>2.4568961086037531</v>
      </c>
      <c r="M574">
        <v>2.2060576016468669</v>
      </c>
      <c r="N574">
        <v>2.5823153620821961</v>
      </c>
      <c r="O574">
        <v>2.0806383481684239</v>
      </c>
    </row>
    <row r="575" spans="1:15">
      <c r="A575" s="19">
        <v>42956</v>
      </c>
      <c r="B575">
        <v>1228</v>
      </c>
      <c r="C575">
        <v>1220</v>
      </c>
      <c r="D575">
        <v>497</v>
      </c>
      <c r="E575">
        <v>493</v>
      </c>
      <c r="F575">
        <v>2.4746450304259602</v>
      </c>
      <c r="G575">
        <v>2.3276671961687798</v>
      </c>
      <c r="H575">
        <v>0.12615093926828899</v>
      </c>
      <c r="I575">
        <v>1.1650950449492801</v>
      </c>
      <c r="J575">
        <v>5.94</v>
      </c>
      <c r="L575">
        <v>2.4538181354370687</v>
      </c>
      <c r="M575">
        <v>2.2015162569004909</v>
      </c>
      <c r="N575">
        <v>2.5799690747053576</v>
      </c>
      <c r="O575">
        <v>2.075365317632202</v>
      </c>
    </row>
    <row r="576" spans="1:15">
      <c r="A576" s="19">
        <v>42955</v>
      </c>
      <c r="B576">
        <v>1236</v>
      </c>
      <c r="C576">
        <v>1230</v>
      </c>
      <c r="D576">
        <v>498</v>
      </c>
      <c r="E576">
        <v>495</v>
      </c>
      <c r="F576">
        <v>2.48484848484848</v>
      </c>
      <c r="G576">
        <v>2.3234132845597801</v>
      </c>
      <c r="H576">
        <v>0.126501717702797</v>
      </c>
      <c r="I576">
        <v>1.27615026278123</v>
      </c>
      <c r="J576">
        <v>6.5</v>
      </c>
      <c r="L576">
        <v>2.4499150022625771</v>
      </c>
      <c r="M576">
        <v>2.1969115668569832</v>
      </c>
      <c r="N576">
        <v>2.576416719965374</v>
      </c>
      <c r="O576">
        <v>2.0704098491541862</v>
      </c>
    </row>
    <row r="577" spans="1:15">
      <c r="A577" s="19">
        <v>42954</v>
      </c>
      <c r="B577">
        <v>1265</v>
      </c>
      <c r="C577">
        <v>1245</v>
      </c>
      <c r="D577">
        <v>490</v>
      </c>
      <c r="E577">
        <v>496</v>
      </c>
      <c r="F577">
        <v>2.51008064516129</v>
      </c>
      <c r="G577">
        <v>2.3191289315961798</v>
      </c>
      <c r="H577">
        <v>0.126402983222793</v>
      </c>
      <c r="I577">
        <v>1.5106582827127</v>
      </c>
      <c r="J577">
        <v>7.61</v>
      </c>
      <c r="L577">
        <v>2.4455319148189729</v>
      </c>
      <c r="M577">
        <v>2.1927259483733867</v>
      </c>
      <c r="N577">
        <v>2.571934898041766</v>
      </c>
      <c r="O577">
        <v>2.0663229651505937</v>
      </c>
    </row>
    <row r="578" spans="1:15">
      <c r="A578" s="19">
        <v>42951</v>
      </c>
      <c r="B578">
        <v>1238</v>
      </c>
      <c r="C578">
        <v>1257</v>
      </c>
      <c r="D578">
        <v>482</v>
      </c>
      <c r="E578">
        <v>483</v>
      </c>
      <c r="F578">
        <v>2.6024844720496798</v>
      </c>
      <c r="G578">
        <v>2.31472674056725</v>
      </c>
      <c r="H578">
        <v>0.12542156704520599</v>
      </c>
      <c r="I578">
        <v>2.2943241602037698</v>
      </c>
      <c r="J578">
        <v>11.06</v>
      </c>
      <c r="L578">
        <v>2.4401483076124562</v>
      </c>
      <c r="M578">
        <v>2.1893051735220439</v>
      </c>
      <c r="N578">
        <v>2.5655698746576618</v>
      </c>
      <c r="O578">
        <v>2.0638836064768382</v>
      </c>
    </row>
    <row r="579" spans="1:15">
      <c r="A579" s="19">
        <v>42950</v>
      </c>
      <c r="B579">
        <v>1240</v>
      </c>
      <c r="C579">
        <v>1253</v>
      </c>
      <c r="D579">
        <v>487</v>
      </c>
      <c r="E579">
        <v>483</v>
      </c>
      <c r="F579">
        <v>2.5942028985507202</v>
      </c>
      <c r="G579">
        <v>2.30883596804351</v>
      </c>
      <c r="H579">
        <v>0.12209925336549</v>
      </c>
      <c r="I579">
        <v>2.3371717896831998</v>
      </c>
      <c r="J579">
        <v>11</v>
      </c>
      <c r="L579">
        <v>2.4309352214089999</v>
      </c>
      <c r="M579">
        <v>2.1867367146780201</v>
      </c>
      <c r="N579">
        <v>2.5530344747744902</v>
      </c>
      <c r="O579">
        <v>2.0646374613125298</v>
      </c>
    </row>
    <row r="580" spans="1:15">
      <c r="A580" s="19">
        <v>42949</v>
      </c>
      <c r="B580">
        <v>1220</v>
      </c>
      <c r="C580">
        <v>1220</v>
      </c>
      <c r="D580">
        <v>499</v>
      </c>
      <c r="E580">
        <v>508</v>
      </c>
      <c r="F580">
        <v>2.4015748031495998</v>
      </c>
      <c r="G580">
        <v>2.3030738881737101</v>
      </c>
      <c r="H580">
        <v>0.11864455043687</v>
      </c>
      <c r="I580">
        <v>0.83021862035122196</v>
      </c>
      <c r="J580">
        <v>4.0999999999999996</v>
      </c>
      <c r="L580">
        <v>2.4217184386105801</v>
      </c>
      <c r="M580">
        <v>2.18442933773684</v>
      </c>
      <c r="N580">
        <v>2.5403629890474502</v>
      </c>
      <c r="O580">
        <v>2.0657847872999699</v>
      </c>
    </row>
    <row r="581" spans="1:15">
      <c r="A581" s="19">
        <v>42948</v>
      </c>
      <c r="B581">
        <v>1188</v>
      </c>
      <c r="C581">
        <v>1218</v>
      </c>
      <c r="D581">
        <v>495</v>
      </c>
      <c r="E581">
        <v>498</v>
      </c>
      <c r="F581">
        <v>2.4457831325301198</v>
      </c>
      <c r="G581">
        <v>2.29985289079838</v>
      </c>
      <c r="H581">
        <v>0.119204546700014</v>
      </c>
      <c r="I581">
        <v>1.22420029916287</v>
      </c>
      <c r="J581">
        <v>5.97</v>
      </c>
      <c r="L581">
        <v>2.419057437498394</v>
      </c>
      <c r="M581">
        <v>2.1806483440983659</v>
      </c>
      <c r="N581">
        <v>2.538261984198408</v>
      </c>
      <c r="O581">
        <v>2.0614437973983519</v>
      </c>
    </row>
    <row r="582" spans="1:15">
      <c r="A582" s="19">
        <v>42947</v>
      </c>
      <c r="B582">
        <v>1128</v>
      </c>
      <c r="C582">
        <v>1180</v>
      </c>
      <c r="D582">
        <v>494</v>
      </c>
      <c r="E582">
        <v>495</v>
      </c>
      <c r="F582">
        <v>2.3838383838383801</v>
      </c>
      <c r="G582">
        <v>2.2955827558653499</v>
      </c>
      <c r="H582">
        <v>0.11963594853377001</v>
      </c>
      <c r="I582">
        <v>0.73770157761669397</v>
      </c>
      <c r="J582">
        <v>3.7</v>
      </c>
      <c r="L582">
        <v>2.4152187043991198</v>
      </c>
      <c r="M582">
        <v>2.17594680733158</v>
      </c>
      <c r="N582">
        <v>2.5348546529328897</v>
      </c>
      <c r="O582">
        <v>2.0563108587978101</v>
      </c>
    </row>
    <row r="583" spans="1:15">
      <c r="A583" s="19">
        <v>42944</v>
      </c>
      <c r="B583">
        <v>1127</v>
      </c>
      <c r="C583">
        <v>1142</v>
      </c>
      <c r="D583">
        <v>492</v>
      </c>
      <c r="E583">
        <v>494</v>
      </c>
      <c r="F583">
        <v>2.3117408906882502</v>
      </c>
      <c r="G583">
        <v>2.2916745327406298</v>
      </c>
      <c r="H583">
        <v>0.121462777017342</v>
      </c>
      <c r="I583">
        <v>0.16520582223112401</v>
      </c>
      <c r="J583">
        <v>0.87</v>
      </c>
      <c r="L583">
        <v>2.413137309757972</v>
      </c>
      <c r="M583">
        <v>2.1702117557232876</v>
      </c>
      <c r="N583">
        <v>2.5346000867753138</v>
      </c>
      <c r="O583">
        <v>2.0487489787059459</v>
      </c>
    </row>
    <row r="584" spans="1:15">
      <c r="A584" s="19">
        <v>42943</v>
      </c>
      <c r="B584">
        <v>1148</v>
      </c>
      <c r="C584">
        <v>1120</v>
      </c>
      <c r="D584">
        <v>493</v>
      </c>
      <c r="E584">
        <v>491</v>
      </c>
      <c r="F584">
        <v>2.2810590631364498</v>
      </c>
      <c r="G584">
        <v>2.2887424773273701</v>
      </c>
      <c r="H584">
        <v>0.12357875657211501</v>
      </c>
      <c r="I584">
        <v>-6.2174231267938897E-2</v>
      </c>
      <c r="J584">
        <v>-0.34</v>
      </c>
      <c r="L584">
        <v>2.4123212338994851</v>
      </c>
      <c r="M584">
        <v>2.1651637207552552</v>
      </c>
      <c r="N584">
        <v>2.5358999904716</v>
      </c>
      <c r="O584">
        <v>2.0415849641831403</v>
      </c>
    </row>
    <row r="585" spans="1:15">
      <c r="A585" s="19">
        <v>42942</v>
      </c>
      <c r="B585">
        <v>1141</v>
      </c>
      <c r="C585">
        <v>1147</v>
      </c>
      <c r="D585">
        <v>491</v>
      </c>
      <c r="E585">
        <v>492</v>
      </c>
      <c r="F585">
        <v>2.3313008130081299</v>
      </c>
      <c r="G585">
        <v>2.2858420176877399</v>
      </c>
      <c r="H585">
        <v>0.12624902864729401</v>
      </c>
      <c r="I585">
        <v>0.36007243625920499</v>
      </c>
      <c r="J585">
        <v>1.95</v>
      </c>
      <c r="L585">
        <v>2.4120910463350338</v>
      </c>
      <c r="M585">
        <v>2.1595929890404459</v>
      </c>
      <c r="N585">
        <v>2.5383400749823277</v>
      </c>
      <c r="O585">
        <v>2.033343960393152</v>
      </c>
    </row>
    <row r="586" spans="1:15">
      <c r="A586" s="19">
        <v>42941</v>
      </c>
      <c r="B586">
        <v>1145</v>
      </c>
      <c r="C586">
        <v>1137</v>
      </c>
      <c r="D586">
        <v>490</v>
      </c>
      <c r="E586">
        <v>490</v>
      </c>
      <c r="F586">
        <v>2.3204081632653</v>
      </c>
      <c r="G586">
        <v>2.2830314388419901</v>
      </c>
      <c r="H586">
        <v>0.12754543634559301</v>
      </c>
      <c r="I586">
        <v>0.293046348769679</v>
      </c>
      <c r="J586">
        <v>1.61</v>
      </c>
      <c r="L586">
        <v>2.4105768751875831</v>
      </c>
      <c r="M586">
        <v>2.1554860024963971</v>
      </c>
      <c r="N586">
        <v>2.5381223115331761</v>
      </c>
      <c r="O586">
        <v>2.0279405661508041</v>
      </c>
    </row>
    <row r="587" spans="1:15">
      <c r="A587" s="19">
        <v>42940</v>
      </c>
      <c r="B587">
        <v>1149</v>
      </c>
      <c r="C587">
        <v>1145</v>
      </c>
      <c r="D587">
        <v>484</v>
      </c>
      <c r="E587">
        <v>490</v>
      </c>
      <c r="F587">
        <v>2.33673469387755</v>
      </c>
      <c r="G587">
        <v>2.2804190810358</v>
      </c>
      <c r="H587">
        <v>0.12875388212288599</v>
      </c>
      <c r="I587">
        <v>0.43738962983655999</v>
      </c>
      <c r="J587">
        <v>2.41</v>
      </c>
      <c r="L587">
        <v>2.409172963158686</v>
      </c>
      <c r="M587">
        <v>2.1516651989129141</v>
      </c>
      <c r="N587">
        <v>2.537926845281572</v>
      </c>
      <c r="O587">
        <v>2.0229113167900281</v>
      </c>
    </row>
    <row r="588" spans="1:15">
      <c r="A588" s="19">
        <v>42937</v>
      </c>
      <c r="B588">
        <v>1166</v>
      </c>
      <c r="C588">
        <v>1155</v>
      </c>
      <c r="D588">
        <v>482</v>
      </c>
      <c r="E588">
        <v>482</v>
      </c>
      <c r="F588">
        <v>2.3962655601659701</v>
      </c>
      <c r="G588">
        <v>2.2777819166963802</v>
      </c>
      <c r="H588">
        <v>0.12959621196457199</v>
      </c>
      <c r="I588">
        <v>0.91425236643477903</v>
      </c>
      <c r="J588">
        <v>4.9400000000000004</v>
      </c>
      <c r="L588">
        <v>2.4073781286609521</v>
      </c>
      <c r="M588">
        <v>2.1481857047318083</v>
      </c>
      <c r="N588">
        <v>2.5369743406255241</v>
      </c>
      <c r="O588">
        <v>2.0185894927672363</v>
      </c>
    </row>
    <row r="589" spans="1:15">
      <c r="A589" s="19">
        <v>42936</v>
      </c>
      <c r="B589">
        <v>1143</v>
      </c>
      <c r="C589">
        <v>1164</v>
      </c>
      <c r="D589">
        <v>478</v>
      </c>
      <c r="E589">
        <v>482</v>
      </c>
      <c r="F589">
        <v>2.4149377593360901</v>
      </c>
      <c r="G589">
        <v>2.2739611044455001</v>
      </c>
      <c r="H589">
        <v>0.130269211656283</v>
      </c>
      <c r="I589">
        <v>1.08219473425972</v>
      </c>
      <c r="J589">
        <v>5.84</v>
      </c>
      <c r="L589">
        <v>2.4042303161017831</v>
      </c>
      <c r="M589">
        <v>2.1436918927892172</v>
      </c>
      <c r="N589">
        <v>2.534499527758066</v>
      </c>
      <c r="O589">
        <v>2.0134226811329343</v>
      </c>
    </row>
    <row r="590" spans="1:15">
      <c r="A590" s="19">
        <v>42935</v>
      </c>
      <c r="B590">
        <v>1121</v>
      </c>
      <c r="C590">
        <v>1140</v>
      </c>
      <c r="D590">
        <v>475</v>
      </c>
      <c r="E590">
        <v>477</v>
      </c>
      <c r="F590">
        <v>2.38993710691823</v>
      </c>
      <c r="G590">
        <v>2.2699888846756302</v>
      </c>
      <c r="H590">
        <v>0.13045189997415699</v>
      </c>
      <c r="I590">
        <v>0.91948237063904203</v>
      </c>
      <c r="J590">
        <v>5.0199999999999996</v>
      </c>
      <c r="L590">
        <v>2.4004407846497871</v>
      </c>
      <c r="M590">
        <v>2.1395369847014734</v>
      </c>
      <c r="N590">
        <v>2.5308926846239443</v>
      </c>
      <c r="O590">
        <v>2.0090850847273161</v>
      </c>
    </row>
    <row r="591" spans="1:15">
      <c r="A591" s="19">
        <v>42934</v>
      </c>
      <c r="B591">
        <v>1124</v>
      </c>
      <c r="C591">
        <v>1128</v>
      </c>
      <c r="D591">
        <v>472</v>
      </c>
      <c r="E591">
        <v>479</v>
      </c>
      <c r="F591">
        <v>2.35490605427974</v>
      </c>
      <c r="G591">
        <v>2.2662213021974198</v>
      </c>
      <c r="H591">
        <v>0.131012498327709</v>
      </c>
      <c r="I591">
        <v>0.67691825752754797</v>
      </c>
      <c r="J591">
        <v>3.77</v>
      </c>
      <c r="L591">
        <v>2.3972338005251288</v>
      </c>
      <c r="M591">
        <v>2.1352088038697108</v>
      </c>
      <c r="N591">
        <v>2.5282462988528378</v>
      </c>
      <c r="O591">
        <v>2.0041963055420018</v>
      </c>
    </row>
    <row r="592" spans="1:15">
      <c r="A592" s="19">
        <v>42930</v>
      </c>
      <c r="B592">
        <v>1128</v>
      </c>
      <c r="C592">
        <v>1122</v>
      </c>
      <c r="D592">
        <v>474</v>
      </c>
      <c r="E592">
        <v>471</v>
      </c>
      <c r="F592">
        <v>2.38216560509554</v>
      </c>
      <c r="G592">
        <v>2.26272633487575</v>
      </c>
      <c r="H592">
        <v>0.13209189620880299</v>
      </c>
      <c r="I592">
        <v>0.90421345781108098</v>
      </c>
      <c r="J592">
        <v>5.01</v>
      </c>
      <c r="L592">
        <v>2.3948182310845532</v>
      </c>
      <c r="M592">
        <v>2.1306344386669469</v>
      </c>
      <c r="N592">
        <v>2.5269101272933558</v>
      </c>
      <c r="O592">
        <v>1.998542542458144</v>
      </c>
    </row>
    <row r="593" spans="1:15">
      <c r="A593" s="19">
        <v>42929</v>
      </c>
      <c r="B593">
        <v>1135</v>
      </c>
      <c r="C593">
        <v>1128</v>
      </c>
      <c r="D593">
        <v>474</v>
      </c>
      <c r="E593">
        <v>471</v>
      </c>
      <c r="F593">
        <v>2.3949044585987198</v>
      </c>
      <c r="G593">
        <v>2.2592090247669998</v>
      </c>
      <c r="H593">
        <v>0.13237653851294801</v>
      </c>
      <c r="I593">
        <v>1.0250716279188099</v>
      </c>
      <c r="J593">
        <v>5.67</v>
      </c>
      <c r="L593">
        <v>2.3915855632799476</v>
      </c>
      <c r="M593">
        <v>2.126832486254052</v>
      </c>
      <c r="N593">
        <v>2.5239621017928959</v>
      </c>
      <c r="O593">
        <v>1.9944559477411037</v>
      </c>
    </row>
    <row r="594" spans="1:15">
      <c r="A594" s="19">
        <v>42928</v>
      </c>
      <c r="B594">
        <v>1136</v>
      </c>
      <c r="C594">
        <v>1132</v>
      </c>
      <c r="D594">
        <v>475</v>
      </c>
      <c r="E594">
        <v>472</v>
      </c>
      <c r="F594">
        <v>2.3983050847457599</v>
      </c>
      <c r="G594">
        <v>2.2556068336488799</v>
      </c>
      <c r="H594">
        <v>0.13231082328608201</v>
      </c>
      <c r="I594">
        <v>1.07850777096545</v>
      </c>
      <c r="J594">
        <v>5.95</v>
      </c>
      <c r="L594">
        <v>2.3879176569349618</v>
      </c>
      <c r="M594">
        <v>2.123296010362798</v>
      </c>
      <c r="N594">
        <v>2.5202284802210437</v>
      </c>
      <c r="O594">
        <v>1.9909851870767159</v>
      </c>
    </row>
    <row r="595" spans="1:15">
      <c r="A595" s="19">
        <v>42927</v>
      </c>
      <c r="B595">
        <v>1126</v>
      </c>
      <c r="C595">
        <v>1150</v>
      </c>
      <c r="D595">
        <v>472</v>
      </c>
      <c r="E595">
        <v>476</v>
      </c>
      <c r="F595">
        <v>2.4159663865546199</v>
      </c>
      <c r="G595">
        <v>2.2518695981504102</v>
      </c>
      <c r="H595">
        <v>0.13218590234272301</v>
      </c>
      <c r="I595">
        <v>1.2414091479948399</v>
      </c>
      <c r="J595">
        <v>6.79</v>
      </c>
      <c r="L595">
        <v>2.3840555004931332</v>
      </c>
      <c r="M595">
        <v>2.1196836958076872</v>
      </c>
      <c r="N595">
        <v>2.5162414028358562</v>
      </c>
      <c r="O595">
        <v>1.9874977934649642</v>
      </c>
    </row>
    <row r="596" spans="1:15">
      <c r="A596" s="19">
        <v>42926</v>
      </c>
      <c r="B596">
        <v>1132</v>
      </c>
      <c r="C596">
        <v>1121</v>
      </c>
      <c r="D596">
        <v>474</v>
      </c>
      <c r="E596">
        <v>472</v>
      </c>
      <c r="F596">
        <v>2.375</v>
      </c>
      <c r="G596">
        <v>2.2481567129963498</v>
      </c>
      <c r="H596">
        <v>0.13143323748407801</v>
      </c>
      <c r="I596">
        <v>0.965077703568062</v>
      </c>
      <c r="J596">
        <v>5.34</v>
      </c>
      <c r="L596">
        <v>2.3795899504804279</v>
      </c>
      <c r="M596">
        <v>2.1167234755122717</v>
      </c>
      <c r="N596">
        <v>2.511023187964506</v>
      </c>
      <c r="O596">
        <v>1.9852902380281938</v>
      </c>
    </row>
    <row r="597" spans="1:15">
      <c r="A597" s="19">
        <v>42923</v>
      </c>
      <c r="B597">
        <v>1159</v>
      </c>
      <c r="C597">
        <v>1132</v>
      </c>
      <c r="D597">
        <v>475</v>
      </c>
      <c r="E597">
        <v>475</v>
      </c>
      <c r="F597">
        <v>2.3831578947368399</v>
      </c>
      <c r="G597">
        <v>2.24462282641267</v>
      </c>
      <c r="H597">
        <v>0.131538338744979</v>
      </c>
      <c r="I597">
        <v>1.0531915610760101</v>
      </c>
      <c r="J597">
        <v>5.81</v>
      </c>
      <c r="L597">
        <v>2.3761611651576491</v>
      </c>
      <c r="M597">
        <v>2.1130844876676909</v>
      </c>
      <c r="N597">
        <v>2.5076995039026277</v>
      </c>
      <c r="O597">
        <v>1.981546148922712</v>
      </c>
    </row>
    <row r="598" spans="1:15">
      <c r="A598" s="19">
        <v>42922</v>
      </c>
      <c r="B598">
        <v>1156</v>
      </c>
      <c r="C598">
        <v>1174</v>
      </c>
      <c r="D598">
        <v>476</v>
      </c>
      <c r="E598">
        <v>478</v>
      </c>
      <c r="F598">
        <v>2.4560669456066901</v>
      </c>
      <c r="G598">
        <v>2.2405958665179999</v>
      </c>
      <c r="H598">
        <v>0.13185825068988499</v>
      </c>
      <c r="I598">
        <v>1.6341114641013299</v>
      </c>
      <c r="J598">
        <v>8.77</v>
      </c>
      <c r="L598">
        <v>2.372454117207885</v>
      </c>
      <c r="M598">
        <v>2.1087376158281148</v>
      </c>
      <c r="N598">
        <v>2.5043123678977697</v>
      </c>
      <c r="O598">
        <v>1.9768793651382299</v>
      </c>
    </row>
    <row r="599" spans="1:15">
      <c r="A599" s="19">
        <v>42921</v>
      </c>
      <c r="B599">
        <v>1161</v>
      </c>
      <c r="C599">
        <v>1172</v>
      </c>
      <c r="D599">
        <v>478</v>
      </c>
      <c r="E599">
        <v>476</v>
      </c>
      <c r="F599">
        <v>2.46218487394958</v>
      </c>
      <c r="G599">
        <v>2.2351924806849799</v>
      </c>
      <c r="H599">
        <v>0.13121965679244099</v>
      </c>
      <c r="I599">
        <v>1.72986577478741</v>
      </c>
      <c r="J599">
        <v>9.2200000000000006</v>
      </c>
      <c r="L599">
        <v>2.366412137477421</v>
      </c>
      <c r="M599">
        <v>2.1039728238925388</v>
      </c>
      <c r="N599">
        <v>2.497631794269862</v>
      </c>
      <c r="O599">
        <v>1.972753167100098</v>
      </c>
    </row>
    <row r="600" spans="1:15">
      <c r="A600" s="19">
        <v>42920</v>
      </c>
      <c r="B600">
        <v>1185</v>
      </c>
      <c r="C600">
        <v>1167</v>
      </c>
      <c r="D600">
        <v>484</v>
      </c>
      <c r="E600">
        <v>477</v>
      </c>
      <c r="F600">
        <v>2.4465408805031399</v>
      </c>
      <c r="G600">
        <v>2.2294063597850098</v>
      </c>
      <c r="H600">
        <v>0.130649331809364</v>
      </c>
      <c r="I600">
        <v>1.6619642650370501</v>
      </c>
      <c r="J600">
        <v>8.8800000000000008</v>
      </c>
      <c r="L600">
        <v>2.3600556915943738</v>
      </c>
      <c r="M600">
        <v>2.0987570279756458</v>
      </c>
      <c r="N600">
        <v>2.4907050234037378</v>
      </c>
      <c r="O600">
        <v>1.9681076961662818</v>
      </c>
    </row>
    <row r="601" spans="1:15">
      <c r="A601" s="19">
        <v>42919</v>
      </c>
      <c r="B601">
        <v>1177</v>
      </c>
      <c r="C601">
        <v>1183</v>
      </c>
      <c r="D601">
        <v>483</v>
      </c>
      <c r="E601">
        <v>482</v>
      </c>
      <c r="F601">
        <v>2.4543568464730199</v>
      </c>
      <c r="G601">
        <v>2.2239344090891402</v>
      </c>
      <c r="H601">
        <v>0.13003336189487699</v>
      </c>
      <c r="I601">
        <v>1.77202553272569</v>
      </c>
      <c r="J601">
        <v>9.39</v>
      </c>
      <c r="L601">
        <v>2.353967770984017</v>
      </c>
      <c r="M601">
        <v>2.0939010471942634</v>
      </c>
      <c r="N601">
        <v>2.4840011328788942</v>
      </c>
      <c r="O601">
        <v>1.9638676852993862</v>
      </c>
    </row>
    <row r="602" spans="1:15">
      <c r="A602" s="19">
        <v>42916</v>
      </c>
      <c r="B602">
        <v>1172</v>
      </c>
      <c r="C602">
        <v>1182</v>
      </c>
      <c r="D602">
        <v>486</v>
      </c>
      <c r="E602">
        <v>483</v>
      </c>
      <c r="F602">
        <v>2.44720496894409</v>
      </c>
      <c r="G602">
        <v>2.2179813046794701</v>
      </c>
      <c r="H602">
        <v>0.129567499805502</v>
      </c>
      <c r="I602">
        <v>1.76914476708058</v>
      </c>
      <c r="J602">
        <v>9.3699999999999992</v>
      </c>
      <c r="L602">
        <v>2.3475488044849722</v>
      </c>
      <c r="M602">
        <v>2.088413804873968</v>
      </c>
      <c r="N602">
        <v>2.4771163042904742</v>
      </c>
      <c r="O602">
        <v>1.9588463050684661</v>
      </c>
    </row>
    <row r="603" spans="1:15">
      <c r="A603" s="19">
        <v>42915</v>
      </c>
      <c r="B603">
        <v>1169</v>
      </c>
      <c r="C603">
        <v>1175</v>
      </c>
      <c r="D603">
        <v>484</v>
      </c>
      <c r="E603">
        <v>486</v>
      </c>
      <c r="F603">
        <v>2.4176954732510199</v>
      </c>
      <c r="G603">
        <v>2.21167601576549</v>
      </c>
      <c r="H603">
        <v>0.129765510059491</v>
      </c>
      <c r="I603">
        <v>1.58762877278472</v>
      </c>
      <c r="J603">
        <v>8.52</v>
      </c>
      <c r="L603">
        <v>2.341441525824981</v>
      </c>
      <c r="M603">
        <v>2.081910505705999</v>
      </c>
      <c r="N603">
        <v>2.471207035884472</v>
      </c>
      <c r="O603">
        <v>1.952144995646508</v>
      </c>
    </row>
    <row r="604" spans="1:15">
      <c r="A604" s="19">
        <v>42914</v>
      </c>
      <c r="B604">
        <v>1156</v>
      </c>
      <c r="C604">
        <v>1163</v>
      </c>
      <c r="D604">
        <v>482</v>
      </c>
      <c r="E604">
        <v>480</v>
      </c>
      <c r="F604">
        <v>2.4229166666666599</v>
      </c>
      <c r="G604">
        <v>2.2051054252657498</v>
      </c>
      <c r="H604">
        <v>0.13163026029335501</v>
      </c>
      <c r="I604">
        <v>1.65472012982035</v>
      </c>
      <c r="J604">
        <v>8.99</v>
      </c>
      <c r="L604">
        <v>2.3367356855591046</v>
      </c>
      <c r="M604">
        <v>2.073475164972395</v>
      </c>
      <c r="N604">
        <v>2.4683659458524598</v>
      </c>
      <c r="O604">
        <v>1.9418449046790398</v>
      </c>
    </row>
    <row r="605" spans="1:15">
      <c r="A605" s="19">
        <v>42913</v>
      </c>
      <c r="B605">
        <v>1174</v>
      </c>
      <c r="C605">
        <v>1177</v>
      </c>
      <c r="D605">
        <v>481</v>
      </c>
      <c r="E605">
        <v>482</v>
      </c>
      <c r="F605">
        <v>2.44190871369294</v>
      </c>
      <c r="G605">
        <v>2.1983423533703301</v>
      </c>
      <c r="H605">
        <v>0.133285692115407</v>
      </c>
      <c r="I605">
        <v>1.8274006493639099</v>
      </c>
      <c r="J605">
        <v>9.9700000000000006</v>
      </c>
      <c r="L605">
        <v>2.3316280454857372</v>
      </c>
      <c r="M605">
        <v>2.065056661254923</v>
      </c>
      <c r="N605">
        <v>2.4649137376011443</v>
      </c>
      <c r="O605">
        <v>1.9317709691395162</v>
      </c>
    </row>
    <row r="606" spans="1:15">
      <c r="A606" s="19">
        <v>42912</v>
      </c>
      <c r="B606">
        <v>1190</v>
      </c>
      <c r="C606">
        <v>1184</v>
      </c>
      <c r="D606">
        <v>484</v>
      </c>
      <c r="E606">
        <v>480</v>
      </c>
      <c r="F606">
        <v>2.4666666666666601</v>
      </c>
      <c r="G606">
        <v>2.1910356988773398</v>
      </c>
      <c r="H606">
        <v>0.134745753297869</v>
      </c>
      <c r="I606">
        <v>2.0455633000916098</v>
      </c>
      <c r="J606">
        <v>11.17</v>
      </c>
      <c r="L606">
        <v>2.3257814521752089</v>
      </c>
      <c r="M606">
        <v>2.0562899455794708</v>
      </c>
      <c r="N606">
        <v>2.460527205473078</v>
      </c>
      <c r="O606">
        <v>1.9215441922816019</v>
      </c>
    </row>
    <row r="607" spans="1:15">
      <c r="A607" s="19">
        <v>42909</v>
      </c>
      <c r="B607">
        <v>1188</v>
      </c>
      <c r="C607">
        <v>1192</v>
      </c>
      <c r="D607">
        <v>479</v>
      </c>
      <c r="E607">
        <v>482</v>
      </c>
      <c r="F607">
        <v>2.4730290456431501</v>
      </c>
      <c r="G607">
        <v>2.1838168436584899</v>
      </c>
      <c r="H607">
        <v>0.13428781166152301</v>
      </c>
      <c r="I607">
        <v>2.1536742494071501</v>
      </c>
      <c r="J607">
        <v>11.69</v>
      </c>
      <c r="L607">
        <v>2.3181046553200129</v>
      </c>
      <c r="M607">
        <v>2.049529031996967</v>
      </c>
      <c r="N607">
        <v>2.4523924669815358</v>
      </c>
      <c r="O607">
        <v>1.9152412203354439</v>
      </c>
    </row>
    <row r="608" spans="1:15">
      <c r="A608" s="19">
        <v>42908</v>
      </c>
      <c r="B608">
        <v>1195</v>
      </c>
      <c r="C608">
        <v>1195</v>
      </c>
      <c r="D608">
        <v>480</v>
      </c>
      <c r="E608">
        <v>476</v>
      </c>
      <c r="F608">
        <v>2.51050420168067</v>
      </c>
      <c r="G608">
        <v>2.1762757186233501</v>
      </c>
      <c r="H608">
        <v>0.13371432066164199</v>
      </c>
      <c r="I608">
        <v>2.49957133539244</v>
      </c>
      <c r="J608">
        <v>13.31</v>
      </c>
      <c r="L608">
        <v>2.3099900392849921</v>
      </c>
      <c r="M608">
        <v>2.0425613979617081</v>
      </c>
      <c r="N608">
        <v>2.4437043599466342</v>
      </c>
      <c r="O608">
        <v>1.9088470773000661</v>
      </c>
    </row>
    <row r="609" spans="1:15">
      <c r="A609" s="19">
        <v>42907</v>
      </c>
      <c r="B609">
        <v>1187</v>
      </c>
      <c r="C609">
        <v>1191</v>
      </c>
      <c r="D609">
        <v>482</v>
      </c>
      <c r="E609">
        <v>477</v>
      </c>
      <c r="F609">
        <v>2.4968553459119498</v>
      </c>
      <c r="G609">
        <v>2.1684269117659398</v>
      </c>
      <c r="H609">
        <v>0.13111677559628299</v>
      </c>
      <c r="I609">
        <v>2.5048544143371498</v>
      </c>
      <c r="J609">
        <v>13.15</v>
      </c>
      <c r="L609">
        <v>2.299543687362223</v>
      </c>
      <c r="M609">
        <v>2.0373101361696566</v>
      </c>
      <c r="N609">
        <v>2.4306604629585058</v>
      </c>
      <c r="O609">
        <v>1.9061933605733739</v>
      </c>
    </row>
    <row r="610" spans="1:15">
      <c r="A610" s="19">
        <v>42906</v>
      </c>
      <c r="B610">
        <v>1180</v>
      </c>
      <c r="C610">
        <v>1186</v>
      </c>
      <c r="D610">
        <v>485</v>
      </c>
      <c r="E610">
        <v>484</v>
      </c>
      <c r="F610">
        <v>2.4504132231404898</v>
      </c>
      <c r="G610">
        <v>2.1601061529463399</v>
      </c>
      <c r="H610">
        <v>0.12980544397451299</v>
      </c>
      <c r="I610">
        <v>2.23647838877348</v>
      </c>
      <c r="J610">
        <v>11.85</v>
      </c>
      <c r="L610">
        <v>2.2899115969208528</v>
      </c>
      <c r="M610">
        <v>2.030300708971827</v>
      </c>
      <c r="N610">
        <v>2.4197170408953657</v>
      </c>
      <c r="O610">
        <v>1.9004952649973139</v>
      </c>
    </row>
    <row r="611" spans="1:15">
      <c r="A611" s="19">
        <v>42905</v>
      </c>
      <c r="B611">
        <v>1168</v>
      </c>
      <c r="C611">
        <v>1182</v>
      </c>
      <c r="D611">
        <v>483</v>
      </c>
      <c r="E611">
        <v>484</v>
      </c>
      <c r="F611">
        <v>2.44214876033057</v>
      </c>
      <c r="G611">
        <v>2.15220341010289</v>
      </c>
      <c r="H611">
        <v>0.12993289241736</v>
      </c>
      <c r="I611">
        <v>2.23150077577233</v>
      </c>
      <c r="J611">
        <v>11.87</v>
      </c>
      <c r="L611">
        <v>2.2821363025202501</v>
      </c>
      <c r="M611">
        <v>2.0222705176855298</v>
      </c>
      <c r="N611">
        <v>2.4120691949376099</v>
      </c>
      <c r="O611">
        <v>1.8923376252681701</v>
      </c>
    </row>
    <row r="612" spans="1:15">
      <c r="A612" s="19">
        <v>42902</v>
      </c>
      <c r="B612">
        <v>1167</v>
      </c>
      <c r="C612">
        <v>1163</v>
      </c>
      <c r="D612">
        <v>487</v>
      </c>
      <c r="E612">
        <v>481</v>
      </c>
      <c r="F612">
        <v>2.4178794178794099</v>
      </c>
      <c r="G612">
        <v>2.1445445662443698</v>
      </c>
      <c r="H612">
        <v>0.12954515817499199</v>
      </c>
      <c r="I612">
        <v>2.1099580677944898</v>
      </c>
      <c r="J612">
        <v>11.3</v>
      </c>
      <c r="L612">
        <v>2.2740897244193619</v>
      </c>
      <c r="M612">
        <v>2.0149994080693778</v>
      </c>
      <c r="N612">
        <v>2.4036348825943539</v>
      </c>
      <c r="O612">
        <v>1.8854542498943858</v>
      </c>
    </row>
    <row r="613" spans="1:15">
      <c r="A613" s="19">
        <v>42901</v>
      </c>
      <c r="B613">
        <v>1148</v>
      </c>
      <c r="C613">
        <v>1161</v>
      </c>
      <c r="D613">
        <v>488</v>
      </c>
      <c r="E613">
        <v>489</v>
      </c>
      <c r="F613">
        <v>2.3742331288343501</v>
      </c>
      <c r="G613">
        <v>2.13672416342397</v>
      </c>
      <c r="H613">
        <v>0.13050867610059699</v>
      </c>
      <c r="I613">
        <v>1.81987108065754</v>
      </c>
      <c r="J613">
        <v>10</v>
      </c>
      <c r="L613">
        <v>2.2672328395245671</v>
      </c>
      <c r="M613">
        <v>2.0062154873233728</v>
      </c>
      <c r="N613">
        <v>2.3977415156251638</v>
      </c>
      <c r="O613">
        <v>1.8757068112227759</v>
      </c>
    </row>
    <row r="614" spans="1:15">
      <c r="A614" s="19">
        <v>42900</v>
      </c>
      <c r="B614">
        <v>1156</v>
      </c>
      <c r="C614">
        <v>1136</v>
      </c>
      <c r="D614">
        <v>489</v>
      </c>
      <c r="E614">
        <v>486</v>
      </c>
      <c r="F614">
        <v>2.3374485596707801</v>
      </c>
      <c r="G614">
        <v>2.1295253153945399</v>
      </c>
      <c r="H614">
        <v>0.13209036755440501</v>
      </c>
      <c r="I614">
        <v>1.57409846096911</v>
      </c>
      <c r="J614">
        <v>8.9</v>
      </c>
      <c r="L614">
        <v>2.2616156829489449</v>
      </c>
      <c r="M614">
        <v>1.997434947840135</v>
      </c>
      <c r="N614">
        <v>2.3937060505033498</v>
      </c>
      <c r="O614">
        <v>1.86534458028573</v>
      </c>
    </row>
    <row r="615" spans="1:15">
      <c r="A615" s="19">
        <v>42899</v>
      </c>
      <c r="B615">
        <v>1160</v>
      </c>
      <c r="C615">
        <v>1161</v>
      </c>
      <c r="D615">
        <v>486</v>
      </c>
      <c r="E615">
        <v>484</v>
      </c>
      <c r="F615">
        <v>2.3987603305785101</v>
      </c>
      <c r="G615">
        <v>2.12275986160815</v>
      </c>
      <c r="H615">
        <v>0.13424438910200301</v>
      </c>
      <c r="I615">
        <v>2.0559553424660302</v>
      </c>
      <c r="J615">
        <v>11.51</v>
      </c>
      <c r="L615">
        <v>2.2570042507101529</v>
      </c>
      <c r="M615">
        <v>1.9885154725061469</v>
      </c>
      <c r="N615">
        <v>2.3912486398121562</v>
      </c>
      <c r="O615">
        <v>1.854271083404144</v>
      </c>
    </row>
    <row r="616" spans="1:15">
      <c r="A616" s="19">
        <v>42898</v>
      </c>
      <c r="B616">
        <v>1127</v>
      </c>
      <c r="C616">
        <v>1164</v>
      </c>
      <c r="D616">
        <v>484</v>
      </c>
      <c r="E616">
        <v>487</v>
      </c>
      <c r="F616">
        <v>2.3901437371663201</v>
      </c>
      <c r="G616">
        <v>2.1152645795101499</v>
      </c>
      <c r="H616">
        <v>0.134318345854397</v>
      </c>
      <c r="I616">
        <v>2.0464751550331002</v>
      </c>
      <c r="J616">
        <v>11.5</v>
      </c>
      <c r="L616">
        <v>2.249582925364547</v>
      </c>
      <c r="M616">
        <v>1.9809462336557528</v>
      </c>
      <c r="N616">
        <v>2.383901271218944</v>
      </c>
      <c r="O616">
        <v>1.8466278878013558</v>
      </c>
    </row>
    <row r="617" spans="1:15">
      <c r="A617" s="19">
        <v>42895</v>
      </c>
      <c r="B617">
        <v>1105</v>
      </c>
      <c r="C617">
        <v>1107</v>
      </c>
      <c r="D617">
        <v>486</v>
      </c>
      <c r="E617">
        <v>486</v>
      </c>
      <c r="F617">
        <v>2.2777777777777701</v>
      </c>
      <c r="G617">
        <v>2.1076695006214399</v>
      </c>
      <c r="H617">
        <v>0.13466501692958599</v>
      </c>
      <c r="I617">
        <v>1.2631957507217999</v>
      </c>
      <c r="J617">
        <v>7.47</v>
      </c>
      <c r="L617">
        <v>2.2423345175510256</v>
      </c>
      <c r="M617">
        <v>1.9730044836918539</v>
      </c>
      <c r="N617">
        <v>2.3769995344806119</v>
      </c>
      <c r="O617">
        <v>1.8383394667622679</v>
      </c>
    </row>
    <row r="618" spans="1:15">
      <c r="A618" s="19">
        <v>42894</v>
      </c>
      <c r="B618">
        <v>1125</v>
      </c>
      <c r="C618">
        <v>1115</v>
      </c>
      <c r="D618">
        <v>494</v>
      </c>
      <c r="E618">
        <v>486</v>
      </c>
      <c r="F618">
        <v>2.2942386831275701</v>
      </c>
      <c r="G618">
        <v>2.1019657969177401</v>
      </c>
      <c r="H618">
        <v>0.13638752810753901</v>
      </c>
      <c r="I618">
        <v>1.4097541679780701</v>
      </c>
      <c r="J618">
        <v>8.3800000000000008</v>
      </c>
      <c r="L618">
        <v>2.2383533250252792</v>
      </c>
      <c r="M618">
        <v>1.965578268810201</v>
      </c>
      <c r="N618">
        <v>2.3747408531328182</v>
      </c>
      <c r="O618">
        <v>1.829190740702662</v>
      </c>
    </row>
    <row r="619" spans="1:15">
      <c r="A619" s="19">
        <v>42893</v>
      </c>
      <c r="B619">
        <v>1119</v>
      </c>
      <c r="C619">
        <v>1116</v>
      </c>
      <c r="D619">
        <v>492</v>
      </c>
      <c r="E619">
        <v>493</v>
      </c>
      <c r="F619">
        <v>2.2636916835699799</v>
      </c>
      <c r="G619">
        <v>2.0957714053912002</v>
      </c>
      <c r="H619">
        <v>0.13805414423863299</v>
      </c>
      <c r="I619">
        <v>1.2163363809529399</v>
      </c>
      <c r="J619">
        <v>7.42</v>
      </c>
      <c r="L619">
        <v>2.2338255496298332</v>
      </c>
      <c r="M619">
        <v>1.9577172611525673</v>
      </c>
      <c r="N619">
        <v>2.3718796938684661</v>
      </c>
      <c r="O619">
        <v>1.8196631169139343</v>
      </c>
    </row>
    <row r="620" spans="1:15">
      <c r="A620" s="19">
        <v>42892</v>
      </c>
      <c r="B620">
        <v>1133</v>
      </c>
      <c r="C620">
        <v>1127</v>
      </c>
      <c r="D620">
        <v>503</v>
      </c>
      <c r="E620">
        <v>493</v>
      </c>
      <c r="F620">
        <v>2.2860040567951301</v>
      </c>
      <c r="G620">
        <v>2.0901136153398499</v>
      </c>
      <c r="H620">
        <v>0.139741242711242</v>
      </c>
      <c r="I620">
        <v>1.4018083541739901</v>
      </c>
      <c r="J620">
        <v>8.57</v>
      </c>
      <c r="L620">
        <v>2.229854858051092</v>
      </c>
      <c r="M620">
        <v>1.9503723726286077</v>
      </c>
      <c r="N620">
        <v>2.3695961007623341</v>
      </c>
      <c r="O620">
        <v>1.8106311299173659</v>
      </c>
    </row>
    <row r="621" spans="1:15">
      <c r="A621" s="19">
        <v>42891</v>
      </c>
      <c r="B621">
        <v>1116</v>
      </c>
      <c r="C621">
        <v>1139</v>
      </c>
      <c r="D621">
        <v>507</v>
      </c>
      <c r="E621">
        <v>506</v>
      </c>
      <c r="F621">
        <v>2.2509881422924898</v>
      </c>
      <c r="G621">
        <v>2.0843721898982599</v>
      </c>
      <c r="H621">
        <v>0.14041925678947401</v>
      </c>
      <c r="I621">
        <v>1.1865605630146701</v>
      </c>
      <c r="J621">
        <v>7.4</v>
      </c>
      <c r="L621">
        <v>2.2247914466877341</v>
      </c>
      <c r="M621">
        <v>1.9439529331087859</v>
      </c>
      <c r="N621">
        <v>2.3652107034772079</v>
      </c>
      <c r="O621">
        <v>1.8035336763193119</v>
      </c>
    </row>
    <row r="622" spans="1:15">
      <c r="A622" s="19">
        <v>42888</v>
      </c>
      <c r="B622">
        <v>1137</v>
      </c>
      <c r="C622">
        <v>1116</v>
      </c>
      <c r="D622">
        <v>500</v>
      </c>
      <c r="E622">
        <v>510</v>
      </c>
      <c r="F622">
        <v>2.1882352941176402</v>
      </c>
      <c r="G622">
        <v>2.0789764464707599</v>
      </c>
      <c r="H622">
        <v>0.141682649979578</v>
      </c>
      <c r="I622">
        <v>0.77115192059600601</v>
      </c>
      <c r="J622">
        <v>4.99</v>
      </c>
      <c r="L622">
        <v>2.2206590964503379</v>
      </c>
      <c r="M622">
        <v>1.9372937964911818</v>
      </c>
      <c r="N622">
        <v>2.3623417464299159</v>
      </c>
      <c r="O622">
        <v>1.7956111465116038</v>
      </c>
    </row>
    <row r="623" spans="1:15">
      <c r="A623" s="19">
        <v>42887</v>
      </c>
      <c r="B623">
        <v>1130</v>
      </c>
      <c r="C623">
        <v>1136</v>
      </c>
      <c r="D623">
        <v>488</v>
      </c>
      <c r="E623">
        <v>498</v>
      </c>
      <c r="F623">
        <v>2.2811244979919598</v>
      </c>
      <c r="G623">
        <v>2.0746423635418099</v>
      </c>
      <c r="H623">
        <v>0.14323734090724799</v>
      </c>
      <c r="I623">
        <v>1.4415384503951001</v>
      </c>
      <c r="J623">
        <v>9.0500000000000007</v>
      </c>
      <c r="L623">
        <v>2.2178797044490577</v>
      </c>
      <c r="M623">
        <v>1.9314050226345618</v>
      </c>
      <c r="N623">
        <v>2.361117045356306</v>
      </c>
      <c r="O623">
        <v>1.7881676817273138</v>
      </c>
    </row>
    <row r="624" spans="1:15">
      <c r="A624" s="19">
        <v>42886</v>
      </c>
      <c r="B624">
        <v>1135</v>
      </c>
      <c r="C624">
        <v>1130</v>
      </c>
      <c r="D624">
        <v>491</v>
      </c>
      <c r="E624">
        <v>485</v>
      </c>
      <c r="F624">
        <v>2.3298969072164901</v>
      </c>
      <c r="G624">
        <v>2.0698196567366298</v>
      </c>
      <c r="H624">
        <v>0.14229005344360501</v>
      </c>
      <c r="I624">
        <v>1.82779642136361</v>
      </c>
      <c r="J624">
        <v>11.16</v>
      </c>
      <c r="L624">
        <v>2.2121097101802349</v>
      </c>
      <c r="M624">
        <v>1.9275296032930247</v>
      </c>
      <c r="N624">
        <v>2.3543997636238396</v>
      </c>
      <c r="O624">
        <v>1.7852395498494198</v>
      </c>
    </row>
    <row r="625" spans="1:15">
      <c r="A625" s="19">
        <v>42885</v>
      </c>
      <c r="B625">
        <v>1132</v>
      </c>
      <c r="C625">
        <v>1141</v>
      </c>
      <c r="D625">
        <v>492</v>
      </c>
      <c r="E625">
        <v>494</v>
      </c>
      <c r="F625">
        <v>2.3097165991902799</v>
      </c>
      <c r="G625">
        <v>2.06449079874894</v>
      </c>
      <c r="H625">
        <v>0.13991421540798599</v>
      </c>
      <c r="I625">
        <v>1.7526868140329299</v>
      </c>
      <c r="J625">
        <v>10.62</v>
      </c>
      <c r="L625">
        <v>2.2044050141569258</v>
      </c>
      <c r="M625">
        <v>1.9245765833409541</v>
      </c>
      <c r="N625">
        <v>2.344319229564912</v>
      </c>
      <c r="O625">
        <v>1.7846623679329681</v>
      </c>
    </row>
    <row r="626" spans="1:15">
      <c r="A626" s="19">
        <v>42884</v>
      </c>
      <c r="B626">
        <v>1121</v>
      </c>
      <c r="C626">
        <v>1128</v>
      </c>
      <c r="D626">
        <v>491</v>
      </c>
      <c r="E626">
        <v>489</v>
      </c>
      <c r="F626">
        <v>2.3067484662576598</v>
      </c>
      <c r="G626">
        <v>2.0596903845542802</v>
      </c>
      <c r="H626">
        <v>0.13757496539393299</v>
      </c>
      <c r="I626">
        <v>1.79580696964708</v>
      </c>
      <c r="J626">
        <v>10.71</v>
      </c>
      <c r="L626">
        <v>2.1972653499482133</v>
      </c>
      <c r="M626">
        <v>1.9221154191603471</v>
      </c>
      <c r="N626">
        <v>2.334840315342146</v>
      </c>
      <c r="O626">
        <v>1.7845404537664142</v>
      </c>
    </row>
    <row r="627" spans="1:15">
      <c r="A627" s="19">
        <v>42881</v>
      </c>
      <c r="B627">
        <v>1133</v>
      </c>
      <c r="C627">
        <v>1125</v>
      </c>
      <c r="D627">
        <v>496</v>
      </c>
      <c r="E627">
        <v>489</v>
      </c>
      <c r="F627">
        <v>2.30061349693251</v>
      </c>
      <c r="G627">
        <v>2.05537631536833</v>
      </c>
      <c r="H627">
        <v>0.13480522269539799</v>
      </c>
      <c r="I627">
        <v>1.81919644254669</v>
      </c>
      <c r="J627">
        <v>10.66</v>
      </c>
      <c r="L627">
        <v>2.1901815380637282</v>
      </c>
      <c r="M627">
        <v>1.920571092672932</v>
      </c>
      <c r="N627">
        <v>2.3249867607591259</v>
      </c>
      <c r="O627">
        <v>1.7857658699775341</v>
      </c>
    </row>
    <row r="628" spans="1:15">
      <c r="A628" s="19">
        <v>42880</v>
      </c>
      <c r="B628">
        <v>1128</v>
      </c>
      <c r="C628">
        <v>1127</v>
      </c>
      <c r="D628">
        <v>492</v>
      </c>
      <c r="E628">
        <v>496</v>
      </c>
      <c r="F628">
        <v>2.2721774193548301</v>
      </c>
      <c r="G628">
        <v>2.0522494431562102</v>
      </c>
      <c r="H628">
        <v>0.13176615580876999</v>
      </c>
      <c r="I628">
        <v>1.6690778815601499</v>
      </c>
      <c r="J628">
        <v>9.68</v>
      </c>
      <c r="L628">
        <v>2.1840155989649803</v>
      </c>
      <c r="M628">
        <v>1.9204832873474402</v>
      </c>
      <c r="N628">
        <v>2.31578175477375</v>
      </c>
      <c r="O628">
        <v>1.7887171315386703</v>
      </c>
    </row>
    <row r="629" spans="1:15">
      <c r="A629" s="19">
        <v>42879</v>
      </c>
      <c r="B629">
        <v>1125</v>
      </c>
      <c r="C629">
        <v>1121</v>
      </c>
      <c r="D629">
        <v>495</v>
      </c>
      <c r="E629">
        <v>490</v>
      </c>
      <c r="F629">
        <v>2.2877551020408098</v>
      </c>
      <c r="G629">
        <v>2.04971709199482</v>
      </c>
      <c r="H629">
        <v>0.129317429075372</v>
      </c>
      <c r="I629">
        <v>1.8407264337682401</v>
      </c>
      <c r="J629">
        <v>10.4</v>
      </c>
      <c r="L629">
        <v>2.179034521070192</v>
      </c>
      <c r="M629">
        <v>1.920399662919448</v>
      </c>
      <c r="N629">
        <v>2.308351950145564</v>
      </c>
      <c r="O629">
        <v>1.7910822338440759</v>
      </c>
    </row>
    <row r="630" spans="1:15">
      <c r="A630" s="19">
        <v>42878</v>
      </c>
      <c r="B630">
        <v>1119</v>
      </c>
      <c r="C630">
        <v>1125</v>
      </c>
      <c r="D630">
        <v>502</v>
      </c>
      <c r="E630">
        <v>490</v>
      </c>
      <c r="F630">
        <v>2.2959183673469301</v>
      </c>
      <c r="G630">
        <v>2.0457668821236399</v>
      </c>
      <c r="H630">
        <v>0.12647966224898</v>
      </c>
      <c r="I630">
        <v>1.9778000729545</v>
      </c>
      <c r="J630">
        <v>10.9</v>
      </c>
      <c r="L630">
        <v>2.1722465443726198</v>
      </c>
      <c r="M630">
        <v>1.91928721987466</v>
      </c>
      <c r="N630">
        <v>2.2987262066216001</v>
      </c>
      <c r="O630">
        <v>1.7928075576256799</v>
      </c>
    </row>
    <row r="631" spans="1:15">
      <c r="A631" s="19">
        <v>42877</v>
      </c>
      <c r="B631">
        <v>1112</v>
      </c>
      <c r="C631">
        <v>1119</v>
      </c>
      <c r="D631">
        <v>501</v>
      </c>
      <c r="E631">
        <v>505</v>
      </c>
      <c r="F631">
        <v>2.2158415841584098</v>
      </c>
      <c r="G631">
        <v>2.0406067824402001</v>
      </c>
      <c r="H631">
        <v>0.124039760924369</v>
      </c>
      <c r="I631">
        <v>1.4127308889691701</v>
      </c>
      <c r="J631">
        <v>7.91</v>
      </c>
      <c r="L631">
        <v>2.1646465433645692</v>
      </c>
      <c r="M631">
        <v>1.916567021515831</v>
      </c>
      <c r="N631">
        <v>2.2886863042889383</v>
      </c>
      <c r="O631">
        <v>1.7925272605914622</v>
      </c>
    </row>
    <row r="632" spans="1:15">
      <c r="A632" s="19">
        <v>42874</v>
      </c>
      <c r="B632">
        <v>1126</v>
      </c>
      <c r="C632">
        <v>1112</v>
      </c>
      <c r="D632">
        <v>527</v>
      </c>
      <c r="E632">
        <v>500</v>
      </c>
      <c r="F632">
        <v>2.2240000000000002</v>
      </c>
      <c r="G632">
        <v>2.0385950363837102</v>
      </c>
      <c r="H632">
        <v>0.122394009208094</v>
      </c>
      <c r="I632">
        <v>1.5148205767249801</v>
      </c>
      <c r="J632">
        <v>8.34</v>
      </c>
      <c r="L632">
        <v>2.1609890455918044</v>
      </c>
      <c r="M632">
        <v>1.9162010271756162</v>
      </c>
      <c r="N632">
        <v>2.2833830547998981</v>
      </c>
      <c r="O632">
        <v>1.7938070179675223</v>
      </c>
    </row>
    <row r="633" spans="1:15">
      <c r="A633" s="19">
        <v>42873</v>
      </c>
      <c r="B633">
        <v>1122</v>
      </c>
      <c r="C633">
        <v>1132</v>
      </c>
      <c r="D633">
        <v>519</v>
      </c>
      <c r="E633">
        <v>525</v>
      </c>
      <c r="F633">
        <v>2.1561904761904702</v>
      </c>
      <c r="G633">
        <v>2.0364886286167199</v>
      </c>
      <c r="H633">
        <v>0.120530291427562</v>
      </c>
      <c r="I633">
        <v>0.99312667509556296</v>
      </c>
      <c r="J633">
        <v>5.55</v>
      </c>
      <c r="L633">
        <v>2.157018920044282</v>
      </c>
      <c r="M633">
        <v>1.9159583371891578</v>
      </c>
      <c r="N633">
        <v>2.2775492114718441</v>
      </c>
      <c r="O633">
        <v>1.7954280457615959</v>
      </c>
    </row>
    <row r="634" spans="1:15">
      <c r="A634" s="19">
        <v>42872</v>
      </c>
      <c r="B634">
        <v>1126</v>
      </c>
      <c r="C634">
        <v>1137</v>
      </c>
      <c r="D634">
        <v>519</v>
      </c>
      <c r="E634">
        <v>525</v>
      </c>
      <c r="F634">
        <v>2.1657142857142802</v>
      </c>
      <c r="G634">
        <v>2.0351525496806402</v>
      </c>
      <c r="H634">
        <v>0.119748848970005</v>
      </c>
      <c r="I634">
        <v>1.0902963757617901</v>
      </c>
      <c r="J634">
        <v>6.03</v>
      </c>
      <c r="L634">
        <v>2.1549013986506451</v>
      </c>
      <c r="M634">
        <v>1.9154037007106353</v>
      </c>
      <c r="N634">
        <v>2.27465024762065</v>
      </c>
      <c r="O634">
        <v>1.7956548517406301</v>
      </c>
    </row>
    <row r="635" spans="1:15">
      <c r="A635" s="19">
        <v>42871</v>
      </c>
      <c r="B635">
        <v>1139</v>
      </c>
      <c r="C635">
        <v>1133</v>
      </c>
      <c r="D635">
        <v>519</v>
      </c>
      <c r="E635">
        <v>523</v>
      </c>
      <c r="F635">
        <v>2.1663479923518101</v>
      </c>
      <c r="G635">
        <v>2.0338284425377799</v>
      </c>
      <c r="H635">
        <v>0.118843479395446</v>
      </c>
      <c r="I635">
        <v>1.1150763212938</v>
      </c>
      <c r="J635">
        <v>6.12</v>
      </c>
      <c r="L635">
        <v>2.152671921933226</v>
      </c>
      <c r="M635">
        <v>1.9149849631423339</v>
      </c>
      <c r="N635">
        <v>2.271515401328672</v>
      </c>
      <c r="O635">
        <v>1.7961414837468879</v>
      </c>
    </row>
    <row r="636" spans="1:15">
      <c r="A636" s="19">
        <v>42870</v>
      </c>
      <c r="B636">
        <v>1140</v>
      </c>
      <c r="C636">
        <v>1133</v>
      </c>
      <c r="D636">
        <v>523</v>
      </c>
      <c r="E636">
        <v>520</v>
      </c>
      <c r="F636">
        <v>2.1788461538461501</v>
      </c>
      <c r="G636">
        <v>2.0323163516593601</v>
      </c>
      <c r="H636">
        <v>0.117865195808026</v>
      </c>
      <c r="I636">
        <v>1.2431982247367199</v>
      </c>
      <c r="J636">
        <v>6.73</v>
      </c>
      <c r="L636">
        <v>2.150181547467386</v>
      </c>
      <c r="M636">
        <v>1.9144511558513342</v>
      </c>
      <c r="N636">
        <v>2.2680467432754119</v>
      </c>
      <c r="O636">
        <v>1.7965859600433081</v>
      </c>
    </row>
    <row r="637" spans="1:15">
      <c r="A637" s="19">
        <v>42867</v>
      </c>
      <c r="B637">
        <v>1130</v>
      </c>
      <c r="C637">
        <v>1145</v>
      </c>
      <c r="D637">
        <v>523</v>
      </c>
      <c r="E637">
        <v>525</v>
      </c>
      <c r="F637">
        <v>2.1809523809523799</v>
      </c>
      <c r="G637">
        <v>2.0306594815638999</v>
      </c>
      <c r="H637">
        <v>0.11666099973071101</v>
      </c>
      <c r="I637">
        <v>1.28828742883567</v>
      </c>
      <c r="J637">
        <v>6.89</v>
      </c>
      <c r="L637">
        <v>2.1473204812946109</v>
      </c>
      <c r="M637">
        <v>1.9139984818331888</v>
      </c>
      <c r="N637">
        <v>2.263981481025322</v>
      </c>
      <c r="O637">
        <v>1.7973374821024779</v>
      </c>
    </row>
    <row r="638" spans="1:15">
      <c r="A638" s="19">
        <v>42866</v>
      </c>
      <c r="B638">
        <v>1137</v>
      </c>
      <c r="C638">
        <v>1130</v>
      </c>
      <c r="D638">
        <v>525</v>
      </c>
      <c r="E638">
        <v>524</v>
      </c>
      <c r="F638">
        <v>2.1564885496183201</v>
      </c>
      <c r="G638">
        <v>2.0286650838047899</v>
      </c>
      <c r="H638">
        <v>0.115345764004848</v>
      </c>
      <c r="I638">
        <v>1.1081765066651901</v>
      </c>
      <c r="J638">
        <v>5.93</v>
      </c>
      <c r="L638">
        <v>2.1440108478096378</v>
      </c>
      <c r="M638">
        <v>1.9133193197999419</v>
      </c>
      <c r="N638">
        <v>2.2593566118144861</v>
      </c>
      <c r="O638">
        <v>1.797973555795094</v>
      </c>
    </row>
    <row r="639" spans="1:15">
      <c r="A639" s="19">
        <v>42865</v>
      </c>
      <c r="B639">
        <v>1138</v>
      </c>
      <c r="C639">
        <v>1143</v>
      </c>
      <c r="D639">
        <v>519</v>
      </c>
      <c r="E639">
        <v>521</v>
      </c>
      <c r="F639">
        <v>2.1938579654510502</v>
      </c>
      <c r="G639">
        <v>2.0266815299128398</v>
      </c>
      <c r="H639">
        <v>0.114405890472459</v>
      </c>
      <c r="I639">
        <v>1.4612572381354001</v>
      </c>
      <c r="J639">
        <v>7.62</v>
      </c>
      <c r="L639">
        <v>2.1410874203852988</v>
      </c>
      <c r="M639">
        <v>1.9122756394403808</v>
      </c>
      <c r="N639">
        <v>2.2554933108577577</v>
      </c>
      <c r="O639">
        <v>1.7978697489679218</v>
      </c>
    </row>
    <row r="640" spans="1:15">
      <c r="A640" s="19">
        <v>42864</v>
      </c>
      <c r="B640">
        <v>1127</v>
      </c>
      <c r="C640">
        <v>1138</v>
      </c>
      <c r="D640">
        <v>529</v>
      </c>
      <c r="E640">
        <v>523</v>
      </c>
      <c r="F640">
        <v>2.1759082217973198</v>
      </c>
      <c r="G640">
        <v>2.0242776355931298</v>
      </c>
      <c r="H640">
        <v>0.112750091759881</v>
      </c>
      <c r="I640">
        <v>1.34483780755678</v>
      </c>
      <c r="J640">
        <v>6.97</v>
      </c>
      <c r="L640">
        <v>2.1370277273530109</v>
      </c>
      <c r="M640">
        <v>1.9115275438332489</v>
      </c>
      <c r="N640">
        <v>2.2497778191128917</v>
      </c>
      <c r="O640">
        <v>1.7987774520733677</v>
      </c>
    </row>
    <row r="641" spans="1:15">
      <c r="A641" s="19">
        <v>42863</v>
      </c>
      <c r="B641">
        <v>1109</v>
      </c>
      <c r="C641">
        <v>1129</v>
      </c>
      <c r="D641">
        <v>530</v>
      </c>
      <c r="E641">
        <v>536</v>
      </c>
      <c r="F641">
        <v>2.1063432835820799</v>
      </c>
      <c r="G641">
        <v>2.0219064526101</v>
      </c>
      <c r="H641">
        <v>0.111398209622598</v>
      </c>
      <c r="I641">
        <v>0.75797296256420199</v>
      </c>
      <c r="J641">
        <v>4.01</v>
      </c>
      <c r="L641">
        <v>2.1333046622326979</v>
      </c>
      <c r="M641">
        <v>1.910508242987502</v>
      </c>
      <c r="N641">
        <v>2.2447028718552962</v>
      </c>
      <c r="O641">
        <v>1.7991100333649039</v>
      </c>
    </row>
    <row r="642" spans="1:15">
      <c r="A642" s="19">
        <v>42857</v>
      </c>
      <c r="B642">
        <v>1101</v>
      </c>
      <c r="C642">
        <v>1110</v>
      </c>
      <c r="D642">
        <v>519</v>
      </c>
      <c r="E642">
        <v>527</v>
      </c>
      <c r="F642">
        <v>2.1062618595825402</v>
      </c>
      <c r="G642">
        <v>2.02033469600849</v>
      </c>
      <c r="H642">
        <v>0.111026770674508</v>
      </c>
      <c r="I642">
        <v>0.77393193598287602</v>
      </c>
      <c r="J642">
        <v>4.08</v>
      </c>
      <c r="L642">
        <v>2.1313614666829981</v>
      </c>
      <c r="M642">
        <v>1.909307925333982</v>
      </c>
      <c r="N642">
        <v>2.2423882373575061</v>
      </c>
      <c r="O642">
        <v>1.7982811546594739</v>
      </c>
    </row>
    <row r="643" spans="1:15">
      <c r="A643" s="19">
        <v>42856</v>
      </c>
      <c r="B643">
        <v>1110</v>
      </c>
      <c r="C643">
        <v>1105</v>
      </c>
      <c r="D643">
        <v>511</v>
      </c>
      <c r="E643">
        <v>519</v>
      </c>
      <c r="F643">
        <v>2.1290944123314</v>
      </c>
      <c r="G643">
        <v>2.0191206595537299</v>
      </c>
      <c r="H643">
        <v>0.11057745630254701</v>
      </c>
      <c r="I643">
        <v>0.99454044662395402</v>
      </c>
      <c r="J643">
        <v>5.17</v>
      </c>
      <c r="L643">
        <v>2.1296981158562769</v>
      </c>
      <c r="M643">
        <v>1.9085432032511829</v>
      </c>
      <c r="N643">
        <v>2.2402755721588239</v>
      </c>
      <c r="O643">
        <v>1.7979657469486359</v>
      </c>
    </row>
    <row r="644" spans="1:15">
      <c r="A644" s="19">
        <v>42853</v>
      </c>
      <c r="B644">
        <v>1041</v>
      </c>
      <c r="C644">
        <v>1108</v>
      </c>
      <c r="D644">
        <v>511</v>
      </c>
      <c r="E644">
        <v>511</v>
      </c>
      <c r="F644">
        <v>2.1682974559686801</v>
      </c>
      <c r="G644">
        <v>2.0169749313094099</v>
      </c>
      <c r="H644">
        <v>0.109982422891527</v>
      </c>
      <c r="I644">
        <v>1.3758791694243899</v>
      </c>
      <c r="J644">
        <v>6.98</v>
      </c>
      <c r="L644">
        <v>2.126957354200937</v>
      </c>
      <c r="M644">
        <v>1.9069925084178829</v>
      </c>
      <c r="N644">
        <v>2.2369397770924637</v>
      </c>
      <c r="O644">
        <v>1.7970100855263558</v>
      </c>
    </row>
    <row r="645" spans="1:15">
      <c r="A645" s="19">
        <v>42852</v>
      </c>
      <c r="B645">
        <v>1057</v>
      </c>
      <c r="C645">
        <v>1052</v>
      </c>
      <c r="D645">
        <v>501</v>
      </c>
      <c r="E645">
        <v>507</v>
      </c>
      <c r="F645">
        <v>2.0749506903352999</v>
      </c>
      <c r="G645">
        <v>2.01480657959655</v>
      </c>
      <c r="H645">
        <v>0.10857173606036299</v>
      </c>
      <c r="I645">
        <v>0.55395734581703404</v>
      </c>
      <c r="J645">
        <v>2.9</v>
      </c>
      <c r="L645">
        <v>2.1233783156569128</v>
      </c>
      <c r="M645">
        <v>1.9062348435361869</v>
      </c>
      <c r="N645">
        <v>2.2319500517172761</v>
      </c>
      <c r="O645">
        <v>1.797663107475824</v>
      </c>
    </row>
    <row r="646" spans="1:15">
      <c r="A646" s="19">
        <v>42851</v>
      </c>
      <c r="B646">
        <v>1057</v>
      </c>
      <c r="C646">
        <v>1055</v>
      </c>
      <c r="D646">
        <v>497</v>
      </c>
      <c r="E646">
        <v>502</v>
      </c>
      <c r="F646">
        <v>2.1015936254979999</v>
      </c>
      <c r="G646">
        <v>2.0137082883883699</v>
      </c>
      <c r="H646">
        <v>0.108374223871889</v>
      </c>
      <c r="I646">
        <v>0.810943174213829</v>
      </c>
      <c r="J646">
        <v>4.18</v>
      </c>
      <c r="L646">
        <v>2.1220825122602589</v>
      </c>
      <c r="M646">
        <v>1.9053340645164809</v>
      </c>
      <c r="N646">
        <v>2.2304567361321479</v>
      </c>
      <c r="O646">
        <v>1.7969598406445919</v>
      </c>
    </row>
    <row r="647" spans="1:15">
      <c r="A647" s="19">
        <v>42850</v>
      </c>
      <c r="B647">
        <v>1057</v>
      </c>
      <c r="C647">
        <v>1058</v>
      </c>
      <c r="D647">
        <v>499</v>
      </c>
      <c r="E647">
        <v>498</v>
      </c>
      <c r="F647">
        <v>2.1244979919678699</v>
      </c>
      <c r="G647">
        <v>2.0126268289993599</v>
      </c>
      <c r="H647">
        <v>0.107895461351408</v>
      </c>
      <c r="I647">
        <v>1.03684771877613</v>
      </c>
      <c r="J647">
        <v>5.27</v>
      </c>
      <c r="L647">
        <v>2.1205222903507677</v>
      </c>
      <c r="M647">
        <v>1.9047313676479518</v>
      </c>
      <c r="N647">
        <v>2.2284177517021759</v>
      </c>
      <c r="O647">
        <v>1.7968359062965438</v>
      </c>
    </row>
    <row r="648" spans="1:15">
      <c r="A648" s="19">
        <v>42849</v>
      </c>
      <c r="B648">
        <v>1055</v>
      </c>
      <c r="C648">
        <v>1067</v>
      </c>
      <c r="D648">
        <v>492</v>
      </c>
      <c r="E648">
        <v>496</v>
      </c>
      <c r="F648">
        <v>2.1512096774193501</v>
      </c>
      <c r="G648">
        <v>2.0108684547891098</v>
      </c>
      <c r="H648">
        <v>0.107129860237219</v>
      </c>
      <c r="I648">
        <v>1.3100103213004901</v>
      </c>
      <c r="J648">
        <v>6.52</v>
      </c>
      <c r="L648">
        <v>2.1179983150263286</v>
      </c>
      <c r="M648">
        <v>1.9037385945518908</v>
      </c>
      <c r="N648">
        <v>2.2251281752635479</v>
      </c>
      <c r="O648">
        <v>1.7966087343146717</v>
      </c>
    </row>
    <row r="649" spans="1:15">
      <c r="A649" s="19">
        <v>42846</v>
      </c>
      <c r="B649">
        <v>1049</v>
      </c>
      <c r="C649">
        <v>1051</v>
      </c>
      <c r="D649">
        <v>488</v>
      </c>
      <c r="E649">
        <v>486</v>
      </c>
      <c r="F649">
        <v>2.1625514403292101</v>
      </c>
      <c r="G649">
        <v>2.0086801240348402</v>
      </c>
      <c r="H649">
        <v>0.105910110459603</v>
      </c>
      <c r="I649">
        <v>1.4528482278664401</v>
      </c>
      <c r="J649">
        <v>7.12</v>
      </c>
      <c r="L649">
        <v>2.1145902344944432</v>
      </c>
      <c r="M649">
        <v>1.9027700135752372</v>
      </c>
      <c r="N649">
        <v>2.2205003449540461</v>
      </c>
      <c r="O649">
        <v>1.7968599031156343</v>
      </c>
    </row>
    <row r="650" spans="1:15">
      <c r="A650" s="19">
        <v>42845</v>
      </c>
      <c r="B650">
        <v>1044</v>
      </c>
      <c r="C650">
        <v>1039</v>
      </c>
      <c r="D650">
        <v>477</v>
      </c>
      <c r="E650">
        <v>482</v>
      </c>
      <c r="F650">
        <v>2.1556016597510301</v>
      </c>
      <c r="G650">
        <v>2.0064384220547402</v>
      </c>
      <c r="H650">
        <v>0.104398041569424</v>
      </c>
      <c r="I650">
        <v>1.4287934472132999</v>
      </c>
      <c r="J650">
        <v>6.92</v>
      </c>
      <c r="L650">
        <v>2.1108364636241643</v>
      </c>
      <c r="M650">
        <v>1.9020403804853161</v>
      </c>
      <c r="N650">
        <v>2.215234505193588</v>
      </c>
      <c r="O650">
        <v>1.7976423389158922</v>
      </c>
    </row>
    <row r="651" spans="1:15">
      <c r="A651" s="19">
        <v>42844</v>
      </c>
      <c r="B651">
        <v>1032</v>
      </c>
      <c r="C651">
        <v>1032</v>
      </c>
      <c r="D651">
        <v>476</v>
      </c>
      <c r="E651">
        <v>477</v>
      </c>
      <c r="F651">
        <v>2.1635220125786101</v>
      </c>
      <c r="G651">
        <v>2.0038432871613998</v>
      </c>
      <c r="H651">
        <v>0.10306853688742799</v>
      </c>
      <c r="I651">
        <v>1.5492480075817101</v>
      </c>
      <c r="J651">
        <v>7.38</v>
      </c>
      <c r="L651">
        <v>2.1069118240488276</v>
      </c>
      <c r="M651">
        <v>1.9007747502739718</v>
      </c>
      <c r="N651">
        <v>2.2099803609362558</v>
      </c>
      <c r="O651">
        <v>1.7977062133865438</v>
      </c>
    </row>
    <row r="652" spans="1:15">
      <c r="A652" s="19">
        <v>42843</v>
      </c>
      <c r="B652">
        <v>1021</v>
      </c>
      <c r="C652">
        <v>1042</v>
      </c>
      <c r="D652">
        <v>474</v>
      </c>
      <c r="E652">
        <v>478</v>
      </c>
      <c r="F652">
        <v>2.1799163179916299</v>
      </c>
      <c r="G652">
        <v>2.0010457097097398</v>
      </c>
      <c r="H652">
        <v>0.101532520026326</v>
      </c>
      <c r="I652">
        <v>1.7617075616316</v>
      </c>
      <c r="J652">
        <v>8.2100000000000009</v>
      </c>
      <c r="L652">
        <v>2.102578229736066</v>
      </c>
      <c r="M652">
        <v>1.8995131896834139</v>
      </c>
      <c r="N652">
        <v>2.2041107497623917</v>
      </c>
      <c r="O652">
        <v>1.7979806696570879</v>
      </c>
    </row>
    <row r="653" spans="1:15">
      <c r="A653" s="19">
        <v>42842</v>
      </c>
      <c r="B653">
        <v>1007</v>
      </c>
      <c r="C653">
        <v>1022</v>
      </c>
      <c r="D653">
        <v>472</v>
      </c>
      <c r="E653">
        <v>473</v>
      </c>
      <c r="F653">
        <v>2.1606765327695499</v>
      </c>
      <c r="G653">
        <v>1.9979142247372501</v>
      </c>
      <c r="H653">
        <v>9.9570327111159804E-2</v>
      </c>
      <c r="I653">
        <v>1.63464671408177</v>
      </c>
      <c r="J653">
        <v>7.53</v>
      </c>
      <c r="L653">
        <v>2.0974845518484098</v>
      </c>
      <c r="M653">
        <v>1.8983438976260902</v>
      </c>
      <c r="N653">
        <v>2.1970548789595696</v>
      </c>
      <c r="O653">
        <v>1.7987735705149306</v>
      </c>
    </row>
    <row r="654" spans="1:15">
      <c r="A654" s="19">
        <v>42839</v>
      </c>
      <c r="B654">
        <v>1026</v>
      </c>
      <c r="C654">
        <v>1014</v>
      </c>
      <c r="D654">
        <v>474</v>
      </c>
      <c r="E654">
        <v>469</v>
      </c>
      <c r="F654">
        <v>2.1620469083155598</v>
      </c>
      <c r="G654">
        <v>1.99484049841797</v>
      </c>
      <c r="H654">
        <v>9.8044954888070801E-2</v>
      </c>
      <c r="I654">
        <v>1.70540554675636</v>
      </c>
      <c r="J654">
        <v>7.73</v>
      </c>
      <c r="L654">
        <v>2.0928854533060406</v>
      </c>
      <c r="M654">
        <v>1.8967955435298991</v>
      </c>
      <c r="N654">
        <v>2.1909304081941117</v>
      </c>
      <c r="O654">
        <v>1.7987505886418282</v>
      </c>
    </row>
    <row r="655" spans="1:15">
      <c r="A655" s="19">
        <v>42838</v>
      </c>
      <c r="B655">
        <v>1005</v>
      </c>
      <c r="C655">
        <v>1026</v>
      </c>
      <c r="D655">
        <v>474</v>
      </c>
      <c r="E655">
        <v>475</v>
      </c>
      <c r="F655">
        <v>2.16</v>
      </c>
      <c r="G655">
        <v>1.9914192669131501</v>
      </c>
      <c r="H655">
        <v>9.6617113158136397E-2</v>
      </c>
      <c r="I655">
        <v>1.7448330588280001</v>
      </c>
      <c r="J655">
        <v>7.8</v>
      </c>
      <c r="L655">
        <v>2.0880363800712867</v>
      </c>
      <c r="M655">
        <v>1.8948021537550137</v>
      </c>
      <c r="N655">
        <v>2.184653493229423</v>
      </c>
      <c r="O655">
        <v>1.7981850405968773</v>
      </c>
    </row>
    <row r="656" spans="1:15">
      <c r="A656" s="19">
        <v>42837</v>
      </c>
      <c r="B656">
        <v>1007</v>
      </c>
      <c r="C656">
        <v>1016</v>
      </c>
      <c r="D656">
        <v>481</v>
      </c>
      <c r="E656">
        <v>478</v>
      </c>
      <c r="F656">
        <v>2.1255230125522999</v>
      </c>
      <c r="G656">
        <v>1.98812017765996</v>
      </c>
      <c r="H656">
        <v>9.5015556821008998E-2</v>
      </c>
      <c r="I656">
        <v>1.44610882143407</v>
      </c>
      <c r="J656">
        <v>6.46</v>
      </c>
      <c r="L656">
        <v>2.0831357344809689</v>
      </c>
      <c r="M656">
        <v>1.893104620838951</v>
      </c>
      <c r="N656">
        <v>2.1781512913019778</v>
      </c>
      <c r="O656">
        <v>1.7980890640179419</v>
      </c>
    </row>
    <row r="657" spans="1:15">
      <c r="A657" s="19">
        <v>42836</v>
      </c>
      <c r="B657">
        <v>1023</v>
      </c>
      <c r="C657">
        <v>1014</v>
      </c>
      <c r="D657">
        <v>488</v>
      </c>
      <c r="E657">
        <v>485</v>
      </c>
      <c r="F657">
        <v>2.09072164948453</v>
      </c>
      <c r="G657">
        <v>1.9853008945919299</v>
      </c>
      <c r="H657">
        <v>9.4028609930663198E-2</v>
      </c>
      <c r="I657">
        <v>1.12115615630538</v>
      </c>
      <c r="J657">
        <v>5.04</v>
      </c>
      <c r="L657">
        <v>2.079329504522593</v>
      </c>
      <c r="M657">
        <v>1.8912722846612668</v>
      </c>
      <c r="N657">
        <v>2.1733581144532561</v>
      </c>
      <c r="O657">
        <v>1.7972436747306035</v>
      </c>
    </row>
    <row r="658" spans="1:15">
      <c r="A658" s="19">
        <v>42835</v>
      </c>
      <c r="B658">
        <v>1014</v>
      </c>
      <c r="C658">
        <v>1025</v>
      </c>
      <c r="D658">
        <v>494</v>
      </c>
      <c r="E658">
        <v>490</v>
      </c>
      <c r="F658">
        <v>2.09183673469387</v>
      </c>
      <c r="G658">
        <v>1.9833411213586301</v>
      </c>
      <c r="H658">
        <v>9.3340187280013101E-2</v>
      </c>
      <c r="I658">
        <v>1.1623676413864501</v>
      </c>
      <c r="J658">
        <v>5.19</v>
      </c>
      <c r="L658">
        <v>2.0766813086386433</v>
      </c>
      <c r="M658">
        <v>1.890000934078617</v>
      </c>
      <c r="N658">
        <v>2.1700214959186561</v>
      </c>
      <c r="O658">
        <v>1.7966607467986038</v>
      </c>
    </row>
    <row r="659" spans="1:15">
      <c r="A659" s="19">
        <v>42832</v>
      </c>
      <c r="B659">
        <v>998</v>
      </c>
      <c r="C659">
        <v>1007</v>
      </c>
      <c r="D659">
        <v>477</v>
      </c>
      <c r="E659">
        <v>488</v>
      </c>
      <c r="F659">
        <v>2.0635245901639299</v>
      </c>
      <c r="G659">
        <v>1.98061930535951</v>
      </c>
      <c r="H659">
        <v>9.3112798592329293E-2</v>
      </c>
      <c r="I659">
        <v>0.89037475038638203</v>
      </c>
      <c r="J659">
        <v>4.0199999999999996</v>
      </c>
      <c r="L659">
        <v>2.0737321039518393</v>
      </c>
      <c r="M659">
        <v>1.8875065067671808</v>
      </c>
      <c r="N659">
        <v>2.1668449025441685</v>
      </c>
      <c r="O659">
        <v>1.7943937081748516</v>
      </c>
    </row>
    <row r="660" spans="1:15">
      <c r="A660" s="19">
        <v>42831</v>
      </c>
      <c r="B660">
        <v>1011</v>
      </c>
      <c r="C660">
        <v>1003</v>
      </c>
      <c r="D660">
        <v>481</v>
      </c>
      <c r="E660">
        <v>473</v>
      </c>
      <c r="F660">
        <v>2.1205073995771602</v>
      </c>
      <c r="G660">
        <v>1.97846744724154</v>
      </c>
      <c r="H660">
        <v>9.3036815025382094E-2</v>
      </c>
      <c r="I660">
        <v>1.5267069524775401</v>
      </c>
      <c r="J660">
        <v>6.7</v>
      </c>
      <c r="L660">
        <v>2.071504262266922</v>
      </c>
      <c r="M660">
        <v>1.8854306322161578</v>
      </c>
      <c r="N660">
        <v>2.1645410772923044</v>
      </c>
      <c r="O660">
        <v>1.7923938171907758</v>
      </c>
    </row>
    <row r="661" spans="1:15">
      <c r="A661" s="19">
        <v>42830</v>
      </c>
      <c r="B661">
        <v>1012</v>
      </c>
      <c r="C661">
        <v>1024</v>
      </c>
      <c r="D661">
        <v>480</v>
      </c>
      <c r="E661">
        <v>482</v>
      </c>
      <c r="F661">
        <v>2.1244813278008299</v>
      </c>
      <c r="G661">
        <v>1.9759411416839601</v>
      </c>
      <c r="H661">
        <v>9.1708563237566307E-2</v>
      </c>
      <c r="I661">
        <v>1.61969810531297</v>
      </c>
      <c r="J661">
        <v>6.99</v>
      </c>
      <c r="L661">
        <v>2.0676497049215263</v>
      </c>
      <c r="M661">
        <v>1.8842325784463938</v>
      </c>
      <c r="N661">
        <v>2.1593582681590928</v>
      </c>
      <c r="O661">
        <v>1.7925240152088275</v>
      </c>
    </row>
    <row r="662" spans="1:15">
      <c r="A662" s="19">
        <v>42829</v>
      </c>
      <c r="B662">
        <v>1000</v>
      </c>
      <c r="C662">
        <v>1016</v>
      </c>
      <c r="D662">
        <v>472</v>
      </c>
      <c r="E662">
        <v>475</v>
      </c>
      <c r="F662">
        <v>2.13894736842105</v>
      </c>
      <c r="G662">
        <v>1.97317429076696</v>
      </c>
      <c r="H662">
        <v>9.03049711064281E-2</v>
      </c>
      <c r="I662">
        <v>1.83570268195668</v>
      </c>
      <c r="J662">
        <v>7.75</v>
      </c>
      <c r="L662">
        <v>2.0634792618733879</v>
      </c>
      <c r="M662">
        <v>1.8828693196605319</v>
      </c>
      <c r="N662">
        <v>2.1537842329798162</v>
      </c>
      <c r="O662">
        <v>1.7925643485541038</v>
      </c>
    </row>
    <row r="663" spans="1:15">
      <c r="A663" s="19">
        <v>42828</v>
      </c>
      <c r="B663">
        <v>1007</v>
      </c>
      <c r="C663">
        <v>1000</v>
      </c>
      <c r="D663">
        <v>470</v>
      </c>
      <c r="E663">
        <v>474</v>
      </c>
      <c r="F663">
        <v>2.1097046413502101</v>
      </c>
      <c r="G663">
        <v>1.9703144649433999</v>
      </c>
      <c r="H663">
        <v>8.8385746739624904E-2</v>
      </c>
      <c r="I663">
        <v>1.5770662301177301</v>
      </c>
      <c r="J663">
        <v>6.61</v>
      </c>
      <c r="L663">
        <v>2.0587002116830249</v>
      </c>
      <c r="M663">
        <v>1.8819287182037749</v>
      </c>
      <c r="N663">
        <v>2.1470859584226498</v>
      </c>
      <c r="O663">
        <v>1.79354297146415</v>
      </c>
    </row>
    <row r="664" spans="1:15">
      <c r="A664" s="19">
        <v>42825</v>
      </c>
      <c r="B664">
        <v>1001</v>
      </c>
      <c r="C664">
        <v>995</v>
      </c>
      <c r="D664">
        <v>480</v>
      </c>
      <c r="E664">
        <v>470</v>
      </c>
      <c r="F664">
        <v>2.1170212765957399</v>
      </c>
      <c r="G664">
        <v>1.96742661561912</v>
      </c>
      <c r="H664">
        <v>8.7316094899436203E-2</v>
      </c>
      <c r="I664">
        <v>1.71325413887221</v>
      </c>
      <c r="J664">
        <v>7.07</v>
      </c>
      <c r="L664">
        <v>2.0547427105185561</v>
      </c>
      <c r="M664">
        <v>1.8801105207196838</v>
      </c>
      <c r="N664">
        <v>2.1420588054179923</v>
      </c>
      <c r="O664">
        <v>1.7927944258202477</v>
      </c>
    </row>
    <row r="665" spans="1:15">
      <c r="A665" s="19">
        <v>42824</v>
      </c>
      <c r="B665">
        <v>1018</v>
      </c>
      <c r="C665">
        <v>1001</v>
      </c>
      <c r="D665">
        <v>479</v>
      </c>
      <c r="E665">
        <v>475</v>
      </c>
      <c r="F665">
        <v>2.1073684210526298</v>
      </c>
      <c r="G665">
        <v>1.96451612096071</v>
      </c>
      <c r="H665">
        <v>8.5907880678548001E-2</v>
      </c>
      <c r="I665">
        <v>1.6628544315560501</v>
      </c>
      <c r="J665">
        <v>6.78</v>
      </c>
      <c r="L665">
        <v>2.0504240016392581</v>
      </c>
      <c r="M665">
        <v>1.878608240282162</v>
      </c>
      <c r="N665">
        <v>2.1363318823178061</v>
      </c>
      <c r="O665">
        <v>1.792700359603614</v>
      </c>
    </row>
    <row r="666" spans="1:15">
      <c r="A666" s="19">
        <v>42823</v>
      </c>
      <c r="B666">
        <v>1031</v>
      </c>
      <c r="C666">
        <v>1015</v>
      </c>
      <c r="D666">
        <v>489</v>
      </c>
      <c r="E666">
        <v>485</v>
      </c>
      <c r="F666">
        <v>2.09278350515463</v>
      </c>
      <c r="G666">
        <v>1.9621599678041</v>
      </c>
      <c r="H666">
        <v>8.4367102810909797E-2</v>
      </c>
      <c r="I666">
        <v>1.5482757259461399</v>
      </c>
      <c r="J666">
        <v>6.24</v>
      </c>
      <c r="L666">
        <v>2.0465270706150096</v>
      </c>
      <c r="M666">
        <v>1.8777928649931901</v>
      </c>
      <c r="N666">
        <v>2.1308941734259195</v>
      </c>
      <c r="O666">
        <v>1.7934257621822804</v>
      </c>
    </row>
    <row r="667" spans="1:15">
      <c r="A667" s="19">
        <v>42822</v>
      </c>
      <c r="B667">
        <v>1030</v>
      </c>
      <c r="C667">
        <v>1038</v>
      </c>
      <c r="D667">
        <v>489</v>
      </c>
      <c r="E667">
        <v>490</v>
      </c>
      <c r="F667">
        <v>2.1183673469387698</v>
      </c>
      <c r="G667">
        <v>1.95991610179308</v>
      </c>
      <c r="H667">
        <v>8.3091454261477404E-2</v>
      </c>
      <c r="I667">
        <v>1.9069499571769499</v>
      </c>
      <c r="J667">
        <v>7.48</v>
      </c>
      <c r="L667">
        <v>2.0430075560545573</v>
      </c>
      <c r="M667">
        <v>1.8768246475316026</v>
      </c>
      <c r="N667">
        <v>2.1260990103160347</v>
      </c>
      <c r="O667">
        <v>1.7937331932701253</v>
      </c>
    </row>
    <row r="668" spans="1:15">
      <c r="A668" s="19">
        <v>42821</v>
      </c>
      <c r="B668">
        <v>1021</v>
      </c>
      <c r="C668">
        <v>1022</v>
      </c>
      <c r="D668">
        <v>484</v>
      </c>
      <c r="E668">
        <v>481</v>
      </c>
      <c r="F668">
        <v>2.1247401247401201</v>
      </c>
      <c r="G668">
        <v>1.95806269851807</v>
      </c>
      <c r="H668">
        <v>8.1061947495165598E-2</v>
      </c>
      <c r="I668">
        <v>2.0561734743911799</v>
      </c>
      <c r="J668">
        <v>7.84</v>
      </c>
      <c r="L668">
        <v>2.0391246460132355</v>
      </c>
      <c r="M668">
        <v>1.8770007510229045</v>
      </c>
      <c r="N668">
        <v>2.120186593508401</v>
      </c>
      <c r="O668">
        <v>1.7959388035277388</v>
      </c>
    </row>
    <row r="669" spans="1:15">
      <c r="A669" s="19">
        <v>42818</v>
      </c>
      <c r="B669">
        <v>1025</v>
      </c>
      <c r="C669">
        <v>1023</v>
      </c>
      <c r="D669">
        <v>482</v>
      </c>
      <c r="E669">
        <v>483</v>
      </c>
      <c r="F669">
        <v>2.1180124223602399</v>
      </c>
      <c r="G669">
        <v>1.9562256917648599</v>
      </c>
      <c r="H669">
        <v>7.8793300213870196E-2</v>
      </c>
      <c r="I669">
        <v>2.0533056764501598</v>
      </c>
      <c r="J669">
        <v>7.64</v>
      </c>
      <c r="L669">
        <v>2.0350189919787303</v>
      </c>
      <c r="M669">
        <v>1.8774323915509898</v>
      </c>
      <c r="N669">
        <v>2.1138122921926001</v>
      </c>
      <c r="O669">
        <v>1.7986390913371195</v>
      </c>
    </row>
    <row r="670" spans="1:15">
      <c r="A670" s="19">
        <v>42817</v>
      </c>
      <c r="B670">
        <v>1007</v>
      </c>
      <c r="C670">
        <v>1026</v>
      </c>
      <c r="D670">
        <v>482</v>
      </c>
      <c r="E670">
        <v>480</v>
      </c>
      <c r="F670">
        <v>2.1375000000000002</v>
      </c>
      <c r="G670">
        <v>1.9539916423413399</v>
      </c>
      <c r="H670">
        <v>7.6516908845898193E-2</v>
      </c>
      <c r="I670">
        <v>2.3982719692483898</v>
      </c>
      <c r="J670">
        <v>8.59</v>
      </c>
      <c r="L670">
        <v>2.0305085511872383</v>
      </c>
      <c r="M670">
        <v>1.8774747334954418</v>
      </c>
      <c r="N670">
        <v>2.1070254600331362</v>
      </c>
      <c r="O670">
        <v>1.8009578246495435</v>
      </c>
    </row>
    <row r="671" spans="1:15">
      <c r="A671" s="19">
        <v>42816</v>
      </c>
      <c r="B671">
        <v>1002</v>
      </c>
      <c r="C671">
        <v>1017</v>
      </c>
      <c r="D671">
        <v>488</v>
      </c>
      <c r="E671">
        <v>482</v>
      </c>
      <c r="F671">
        <v>2.1099585062240598</v>
      </c>
      <c r="G671">
        <v>1.9517933455043599</v>
      </c>
      <c r="H671">
        <v>7.35229985766888E-2</v>
      </c>
      <c r="I671">
        <v>2.1512338150181098</v>
      </c>
      <c r="J671">
        <v>7.5</v>
      </c>
      <c r="L671">
        <v>2.0253163440810487</v>
      </c>
      <c r="M671">
        <v>1.8782703469276711</v>
      </c>
      <c r="N671">
        <v>2.0988393426577376</v>
      </c>
      <c r="O671">
        <v>1.8047473483509824</v>
      </c>
    </row>
    <row r="672" spans="1:15">
      <c r="A672" s="19">
        <v>42815</v>
      </c>
      <c r="B672">
        <v>991</v>
      </c>
      <c r="C672">
        <v>1026</v>
      </c>
      <c r="D672">
        <v>490</v>
      </c>
      <c r="E672">
        <v>493</v>
      </c>
      <c r="F672">
        <v>2.0811359026369098</v>
      </c>
      <c r="G672">
        <v>1.9496678914287</v>
      </c>
      <c r="H672">
        <v>7.1186970864072399E-2</v>
      </c>
      <c r="I672">
        <v>1.8467987837162501</v>
      </c>
      <c r="J672">
        <v>6.32</v>
      </c>
      <c r="L672">
        <v>2.0208548622927722</v>
      </c>
      <c r="M672">
        <v>1.8784809205646276</v>
      </c>
      <c r="N672">
        <v>2.0920418331568449</v>
      </c>
      <c r="O672">
        <v>1.8072939497005551</v>
      </c>
    </row>
    <row r="673" spans="1:15">
      <c r="A673" s="19">
        <v>42811</v>
      </c>
      <c r="B673">
        <v>1015</v>
      </c>
      <c r="C673">
        <v>1009</v>
      </c>
      <c r="D673">
        <v>494</v>
      </c>
      <c r="E673">
        <v>492</v>
      </c>
      <c r="F673">
        <v>2.0508130081300799</v>
      </c>
      <c r="G673">
        <v>1.9482608761415099</v>
      </c>
      <c r="H673">
        <v>6.9599763125099495E-2</v>
      </c>
      <c r="I673">
        <v>1.47345518697011</v>
      </c>
      <c r="J673">
        <v>5</v>
      </c>
      <c r="L673">
        <v>2.0178606392666092</v>
      </c>
      <c r="M673">
        <v>1.8786611130164104</v>
      </c>
      <c r="N673">
        <v>2.0874604023917089</v>
      </c>
      <c r="O673">
        <v>1.8090613498913108</v>
      </c>
    </row>
    <row r="674" spans="1:15">
      <c r="A674" s="19">
        <v>42810</v>
      </c>
      <c r="B674">
        <v>1016</v>
      </c>
      <c r="C674">
        <v>1006</v>
      </c>
      <c r="D674">
        <v>495</v>
      </c>
      <c r="E674">
        <v>496</v>
      </c>
      <c r="F674">
        <v>2.0282258064516099</v>
      </c>
      <c r="G674">
        <v>1.94738249052149</v>
      </c>
      <c r="H674">
        <v>6.8709984187161302E-2</v>
      </c>
      <c r="I674">
        <v>1.1765876078490101</v>
      </c>
      <c r="J674">
        <v>3.99</v>
      </c>
      <c r="L674">
        <v>2.0160924747086515</v>
      </c>
      <c r="M674">
        <v>1.8786725063343288</v>
      </c>
      <c r="N674">
        <v>2.0848024588958127</v>
      </c>
      <c r="O674">
        <v>1.8099625221471674</v>
      </c>
    </row>
    <row r="675" spans="1:15">
      <c r="A675" s="19">
        <v>42809</v>
      </c>
      <c r="B675">
        <v>1020</v>
      </c>
      <c r="C675">
        <v>1014</v>
      </c>
      <c r="D675">
        <v>506</v>
      </c>
      <c r="E675">
        <v>498</v>
      </c>
      <c r="F675">
        <v>2.0361445783132499</v>
      </c>
      <c r="G675">
        <v>1.9453177541325499</v>
      </c>
      <c r="H675">
        <v>6.8576189343845795E-2</v>
      </c>
      <c r="I675">
        <v>1.3244658977080599</v>
      </c>
      <c r="J675">
        <v>4.46</v>
      </c>
      <c r="L675">
        <v>2.0138939434763956</v>
      </c>
      <c r="M675">
        <v>1.8767415647887042</v>
      </c>
      <c r="N675">
        <v>2.0824701328202417</v>
      </c>
      <c r="O675">
        <v>1.8081653754448583</v>
      </c>
    </row>
    <row r="676" spans="1:15">
      <c r="A676" s="19">
        <v>42808</v>
      </c>
      <c r="B676">
        <v>1013</v>
      </c>
      <c r="C676">
        <v>1020</v>
      </c>
      <c r="D676">
        <v>509</v>
      </c>
      <c r="E676">
        <v>508</v>
      </c>
      <c r="F676">
        <v>2.0078740157480301</v>
      </c>
      <c r="G676">
        <v>1.9443716097872801</v>
      </c>
      <c r="H676">
        <v>6.7801675257787505E-2</v>
      </c>
      <c r="I676">
        <v>0.93659051519456504</v>
      </c>
      <c r="J676">
        <v>3.16</v>
      </c>
      <c r="L676">
        <v>2.0121732850450678</v>
      </c>
      <c r="M676">
        <v>1.8765699345294926</v>
      </c>
      <c r="N676">
        <v>2.079974960302855</v>
      </c>
      <c r="O676">
        <v>1.8087682592717051</v>
      </c>
    </row>
    <row r="677" spans="1:15">
      <c r="A677" s="19">
        <v>42807</v>
      </c>
      <c r="B677">
        <v>980</v>
      </c>
      <c r="C677">
        <v>999</v>
      </c>
      <c r="D677">
        <v>506</v>
      </c>
      <c r="E677">
        <v>506</v>
      </c>
      <c r="F677">
        <v>1.97430830039525</v>
      </c>
      <c r="G677">
        <v>1.94505247752754</v>
      </c>
      <c r="H677">
        <v>6.8686575341593198E-2</v>
      </c>
      <c r="I677">
        <v>0.42593218139382</v>
      </c>
      <c r="J677">
        <v>1.48</v>
      </c>
      <c r="L677">
        <v>2.0137390528691332</v>
      </c>
      <c r="M677">
        <v>1.8763659021859467</v>
      </c>
      <c r="N677">
        <v>2.0824256282107263</v>
      </c>
      <c r="O677">
        <v>1.8076793268443536</v>
      </c>
    </row>
    <row r="678" spans="1:15">
      <c r="A678" s="19">
        <v>42804</v>
      </c>
      <c r="B678">
        <v>985</v>
      </c>
      <c r="C678">
        <v>974</v>
      </c>
      <c r="D678">
        <v>512</v>
      </c>
      <c r="E678">
        <v>506</v>
      </c>
      <c r="F678">
        <v>1.9249011857707501</v>
      </c>
      <c r="G678">
        <v>1.94578951083982</v>
      </c>
      <c r="H678">
        <v>6.9290466904710399E-2</v>
      </c>
      <c r="I678">
        <v>-0.30146030185941902</v>
      </c>
      <c r="J678">
        <v>-1.0900000000000001</v>
      </c>
      <c r="L678">
        <v>2.0150799777445303</v>
      </c>
      <c r="M678">
        <v>1.8764990439351097</v>
      </c>
      <c r="N678">
        <v>2.0843704446492408</v>
      </c>
      <c r="O678">
        <v>1.8072085770303992</v>
      </c>
    </row>
    <row r="679" spans="1:15">
      <c r="A679" s="19">
        <v>42803</v>
      </c>
      <c r="B679">
        <v>972</v>
      </c>
      <c r="C679">
        <v>977</v>
      </c>
      <c r="D679">
        <v>517</v>
      </c>
      <c r="E679">
        <v>510</v>
      </c>
      <c r="F679">
        <v>1.9156862745098</v>
      </c>
      <c r="G679">
        <v>1.9469505090015999</v>
      </c>
      <c r="H679">
        <v>6.9659256585177007E-2</v>
      </c>
      <c r="I679">
        <v>-0.44881665444665603</v>
      </c>
      <c r="J679">
        <v>-1.63</v>
      </c>
      <c r="L679">
        <v>2.016609765586777</v>
      </c>
      <c r="M679">
        <v>1.8772912524164229</v>
      </c>
      <c r="N679">
        <v>2.0862690221719538</v>
      </c>
      <c r="O679">
        <v>1.8076319958312459</v>
      </c>
    </row>
    <row r="680" spans="1:15">
      <c r="A680" s="19">
        <v>42802</v>
      </c>
      <c r="B680">
        <v>956</v>
      </c>
      <c r="C680">
        <v>964</v>
      </c>
      <c r="D680">
        <v>497</v>
      </c>
      <c r="E680">
        <v>509</v>
      </c>
      <c r="F680">
        <v>1.8939096267190501</v>
      </c>
      <c r="G680">
        <v>1.9476186222562899</v>
      </c>
      <c r="H680">
        <v>6.9596463292591296E-2</v>
      </c>
      <c r="I680">
        <v>-0.77172018513987195</v>
      </c>
      <c r="J680">
        <v>-2.84</v>
      </c>
      <c r="L680">
        <v>2.0172150855488811</v>
      </c>
      <c r="M680">
        <v>1.8780221589636985</v>
      </c>
      <c r="N680">
        <v>2.0868115488414727</v>
      </c>
      <c r="O680">
        <v>1.8084256956711073</v>
      </c>
    </row>
    <row r="681" spans="1:15">
      <c r="A681" s="19">
        <v>42801</v>
      </c>
      <c r="B681">
        <v>948</v>
      </c>
      <c r="C681">
        <v>953</v>
      </c>
      <c r="D681">
        <v>495</v>
      </c>
      <c r="E681">
        <v>495</v>
      </c>
      <c r="F681">
        <v>1.9252525252525201</v>
      </c>
      <c r="G681">
        <v>1.9481746763279399</v>
      </c>
      <c r="H681">
        <v>6.9331219556531404E-2</v>
      </c>
      <c r="I681">
        <v>-0.33061802780964</v>
      </c>
      <c r="J681">
        <v>-1.19</v>
      </c>
      <c r="L681">
        <v>2.0175058958844714</v>
      </c>
      <c r="M681">
        <v>1.8788434567714085</v>
      </c>
      <c r="N681">
        <v>2.0868371154410026</v>
      </c>
      <c r="O681">
        <v>1.8095122372148771</v>
      </c>
    </row>
    <row r="682" spans="1:15">
      <c r="A682" s="19">
        <v>42800</v>
      </c>
      <c r="B682">
        <v>959</v>
      </c>
      <c r="C682">
        <v>948</v>
      </c>
      <c r="D682">
        <v>500</v>
      </c>
      <c r="E682">
        <v>497</v>
      </c>
      <c r="F682">
        <v>1.9074446680080399</v>
      </c>
      <c r="G682">
        <v>1.9488707628764801</v>
      </c>
      <c r="H682">
        <v>6.93596576035969E-2</v>
      </c>
      <c r="I682">
        <v>-0.59726498514738602</v>
      </c>
      <c r="J682">
        <v>-2.17</v>
      </c>
      <c r="L682">
        <v>2.0182304204800769</v>
      </c>
      <c r="M682">
        <v>1.8795111052728832</v>
      </c>
      <c r="N682">
        <v>2.0875900780836738</v>
      </c>
      <c r="O682">
        <v>1.8101514476692864</v>
      </c>
    </row>
    <row r="683" spans="1:15">
      <c r="A683" s="19">
        <v>42797</v>
      </c>
      <c r="B683">
        <v>961</v>
      </c>
      <c r="C683">
        <v>959</v>
      </c>
      <c r="D683">
        <v>510</v>
      </c>
      <c r="E683">
        <v>499</v>
      </c>
      <c r="F683">
        <v>1.92184368737474</v>
      </c>
      <c r="G683">
        <v>1.94967385753873</v>
      </c>
      <c r="H683">
        <v>6.9223919769530004E-2</v>
      </c>
      <c r="I683">
        <v>-0.40203112243058098</v>
      </c>
      <c r="J683">
        <v>-1.45</v>
      </c>
      <c r="L683">
        <v>2.0188977773082599</v>
      </c>
      <c r="M683">
        <v>1.8804499377692001</v>
      </c>
      <c r="N683">
        <v>2.0881216970777898</v>
      </c>
      <c r="O683">
        <v>1.81122601799967</v>
      </c>
    </row>
    <row r="684" spans="1:15">
      <c r="A684" s="19">
        <v>42796</v>
      </c>
      <c r="B684">
        <v>950</v>
      </c>
      <c r="C684">
        <v>957</v>
      </c>
      <c r="D684">
        <v>511</v>
      </c>
      <c r="E684">
        <v>511</v>
      </c>
      <c r="F684">
        <v>1.8727984344422699</v>
      </c>
      <c r="G684">
        <v>1.9507433765493201</v>
      </c>
      <c r="H684">
        <v>6.9405098687187694E-2</v>
      </c>
      <c r="I684">
        <v>-1.1230434590743199</v>
      </c>
      <c r="J684">
        <v>-4.16</v>
      </c>
      <c r="L684">
        <v>2.0201484752365078</v>
      </c>
      <c r="M684">
        <v>1.8813382778621324</v>
      </c>
      <c r="N684">
        <v>2.0895535739236957</v>
      </c>
      <c r="O684">
        <v>1.8119331791749447</v>
      </c>
    </row>
    <row r="685" spans="1:15">
      <c r="A685" s="19">
        <v>42795</v>
      </c>
      <c r="B685">
        <v>939</v>
      </c>
      <c r="C685">
        <v>940</v>
      </c>
      <c r="D685">
        <v>500</v>
      </c>
      <c r="E685">
        <v>506</v>
      </c>
      <c r="F685">
        <v>1.85770750988142</v>
      </c>
      <c r="G685">
        <v>1.9526566411437201</v>
      </c>
      <c r="H685">
        <v>6.9207601836013599E-2</v>
      </c>
      <c r="I685">
        <v>-1.3719465599643701</v>
      </c>
      <c r="J685">
        <v>-5.1100000000000003</v>
      </c>
      <c r="L685">
        <v>2.0218642429797336</v>
      </c>
      <c r="M685">
        <v>1.8834490393077066</v>
      </c>
      <c r="N685">
        <v>2.0910718448157475</v>
      </c>
      <c r="O685">
        <v>1.8142414374716929</v>
      </c>
    </row>
    <row r="686" spans="1:15">
      <c r="A686" s="19">
        <v>42794</v>
      </c>
      <c r="B686">
        <v>932</v>
      </c>
      <c r="C686">
        <v>932</v>
      </c>
      <c r="D686">
        <v>506</v>
      </c>
      <c r="E686">
        <v>499</v>
      </c>
      <c r="F686">
        <v>1.8677354709418801</v>
      </c>
      <c r="G686">
        <v>1.9551753432718599</v>
      </c>
      <c r="H686">
        <v>6.9143623453666203E-2</v>
      </c>
      <c r="I686">
        <v>-1.2646122369992701</v>
      </c>
      <c r="J686">
        <v>-4.68</v>
      </c>
      <c r="L686">
        <v>2.0243189667255264</v>
      </c>
      <c r="M686">
        <v>1.8860317198181937</v>
      </c>
      <c r="N686">
        <v>2.0934625901791923</v>
      </c>
      <c r="O686">
        <v>1.8168880963645275</v>
      </c>
    </row>
    <row r="687" spans="1:15">
      <c r="A687" s="19">
        <v>42793</v>
      </c>
      <c r="B687">
        <v>928</v>
      </c>
      <c r="C687">
        <v>923</v>
      </c>
      <c r="D687">
        <v>510</v>
      </c>
      <c r="E687">
        <v>504</v>
      </c>
      <c r="F687">
        <v>1.8313492063492001</v>
      </c>
      <c r="G687">
        <v>1.9572634139365099</v>
      </c>
      <c r="H687">
        <v>6.8835472636421799E-2</v>
      </c>
      <c r="I687">
        <v>-1.8292052449813001</v>
      </c>
      <c r="J687">
        <v>-6.88</v>
      </c>
      <c r="L687">
        <v>2.0260988865729317</v>
      </c>
      <c r="M687">
        <v>1.8884279413000882</v>
      </c>
      <c r="N687">
        <v>2.0949343592093537</v>
      </c>
      <c r="O687">
        <v>1.8195924686636664</v>
      </c>
    </row>
    <row r="688" spans="1:15">
      <c r="A688" s="19">
        <v>42790</v>
      </c>
      <c r="B688">
        <v>928</v>
      </c>
      <c r="C688">
        <v>930</v>
      </c>
      <c r="D688">
        <v>502</v>
      </c>
      <c r="E688">
        <v>507</v>
      </c>
      <c r="F688">
        <v>1.8343195266272101</v>
      </c>
      <c r="G688">
        <v>1.9599153169916399</v>
      </c>
      <c r="H688">
        <v>6.7756249864725199E-2</v>
      </c>
      <c r="I688">
        <v>-1.85364140747424</v>
      </c>
      <c r="J688">
        <v>-6.85</v>
      </c>
      <c r="L688">
        <v>2.0276715668563652</v>
      </c>
      <c r="M688">
        <v>1.8921590671269146</v>
      </c>
      <c r="N688">
        <v>2.0954278167210902</v>
      </c>
      <c r="O688">
        <v>1.8244028172621896</v>
      </c>
    </row>
    <row r="689" spans="1:15">
      <c r="A689" s="19">
        <v>42789</v>
      </c>
      <c r="B689">
        <v>934</v>
      </c>
      <c r="C689">
        <v>926</v>
      </c>
      <c r="D689">
        <v>503</v>
      </c>
      <c r="E689">
        <v>506</v>
      </c>
      <c r="F689">
        <v>1.8300395256916899</v>
      </c>
      <c r="G689">
        <v>1.9633786503653099</v>
      </c>
      <c r="H689">
        <v>6.7886341684013099E-2</v>
      </c>
      <c r="I689">
        <v>-1.9641524549114799</v>
      </c>
      <c r="J689">
        <v>-7.29</v>
      </c>
      <c r="L689">
        <v>2.0312649920493229</v>
      </c>
      <c r="M689">
        <v>1.8954923086812967</v>
      </c>
      <c r="N689">
        <v>2.0991513337333361</v>
      </c>
      <c r="O689">
        <v>1.8276059669972837</v>
      </c>
    </row>
    <row r="690" spans="1:15">
      <c r="A690" s="19">
        <v>42788</v>
      </c>
      <c r="B690">
        <v>926</v>
      </c>
      <c r="C690">
        <v>933</v>
      </c>
      <c r="D690">
        <v>507</v>
      </c>
      <c r="E690">
        <v>508</v>
      </c>
      <c r="F690">
        <v>1.8366141732283401</v>
      </c>
      <c r="G690">
        <v>1.96527877695086</v>
      </c>
      <c r="H690">
        <v>6.6098476176901302E-2</v>
      </c>
      <c r="I690">
        <v>-1.9465593030944699</v>
      </c>
      <c r="J690">
        <v>-7.01</v>
      </c>
      <c r="L690">
        <v>2.0313772531277614</v>
      </c>
      <c r="M690">
        <v>1.8991803007739587</v>
      </c>
      <c r="N690">
        <v>2.0974757293046626</v>
      </c>
      <c r="O690">
        <v>1.8330818245970573</v>
      </c>
    </row>
    <row r="691" spans="1:15">
      <c r="A691" s="19">
        <v>42787</v>
      </c>
      <c r="B691">
        <v>929</v>
      </c>
      <c r="C691">
        <v>923</v>
      </c>
      <c r="D691">
        <v>501</v>
      </c>
      <c r="E691">
        <v>507</v>
      </c>
      <c r="F691">
        <v>1.82051282051282</v>
      </c>
      <c r="G691">
        <v>1.9670446176327601</v>
      </c>
      <c r="H691">
        <v>6.4384411739069503E-2</v>
      </c>
      <c r="I691">
        <v>-2.2758893521276198</v>
      </c>
      <c r="J691">
        <v>-8.0500000000000007</v>
      </c>
      <c r="L691">
        <v>2.0314290293718296</v>
      </c>
      <c r="M691">
        <v>1.9026602058936906</v>
      </c>
      <c r="N691">
        <v>2.0958134411108991</v>
      </c>
      <c r="O691">
        <v>1.8382757941546211</v>
      </c>
    </row>
    <row r="692" spans="1:15">
      <c r="A692" s="19">
        <v>42786</v>
      </c>
      <c r="B692">
        <v>915</v>
      </c>
      <c r="C692">
        <v>925</v>
      </c>
      <c r="D692">
        <v>498</v>
      </c>
      <c r="E692">
        <v>500</v>
      </c>
      <c r="F692">
        <v>1.85</v>
      </c>
      <c r="G692">
        <v>1.9692586373515799</v>
      </c>
      <c r="H692">
        <v>6.2122807919511601E-2</v>
      </c>
      <c r="I692">
        <v>-1.9197238718845799</v>
      </c>
      <c r="J692">
        <v>-6.45</v>
      </c>
      <c r="L692">
        <v>2.0313814452710917</v>
      </c>
      <c r="M692">
        <v>1.9071358294320684</v>
      </c>
      <c r="N692">
        <v>2.093504253190603</v>
      </c>
      <c r="O692">
        <v>1.8450130215125566</v>
      </c>
    </row>
    <row r="693" spans="1:15">
      <c r="A693" s="19">
        <v>42783</v>
      </c>
      <c r="B693">
        <v>914</v>
      </c>
      <c r="C693">
        <v>913</v>
      </c>
      <c r="D693">
        <v>500</v>
      </c>
      <c r="E693">
        <v>499</v>
      </c>
      <c r="F693">
        <v>1.82965931863727</v>
      </c>
      <c r="G693">
        <v>1.9712070577255301</v>
      </c>
      <c r="H693">
        <v>6.0625412582530902E-2</v>
      </c>
      <c r="I693">
        <v>-2.33479217804204</v>
      </c>
      <c r="J693">
        <v>-7.74</v>
      </c>
      <c r="L693">
        <v>2.031832470308061</v>
      </c>
      <c r="M693">
        <v>1.9105816451429991</v>
      </c>
      <c r="N693">
        <v>2.0924578828905918</v>
      </c>
      <c r="O693">
        <v>1.8499562325604684</v>
      </c>
    </row>
    <row r="694" spans="1:15">
      <c r="A694" s="19">
        <v>42782</v>
      </c>
      <c r="B694">
        <v>911</v>
      </c>
      <c r="C694">
        <v>916</v>
      </c>
      <c r="D694">
        <v>498</v>
      </c>
      <c r="E694">
        <v>498</v>
      </c>
      <c r="F694">
        <v>1.83935742971887</v>
      </c>
      <c r="G694">
        <v>1.9734782668103701</v>
      </c>
      <c r="H694">
        <v>5.84310922473016E-2</v>
      </c>
      <c r="I694">
        <v>-2.2953676190726</v>
      </c>
      <c r="J694">
        <v>-7.29</v>
      </c>
      <c r="L694">
        <v>2.0319093590576718</v>
      </c>
      <c r="M694">
        <v>1.9150471745630684</v>
      </c>
      <c r="N694">
        <v>2.0903404513049733</v>
      </c>
      <c r="O694">
        <v>1.8566160823157669</v>
      </c>
    </row>
    <row r="695" spans="1:15">
      <c r="A695" s="19">
        <v>42781</v>
      </c>
      <c r="B695">
        <v>923</v>
      </c>
      <c r="C695">
        <v>911</v>
      </c>
      <c r="D695">
        <v>503</v>
      </c>
      <c r="E695">
        <v>491</v>
      </c>
      <c r="F695">
        <v>1.85539714867617</v>
      </c>
      <c r="G695">
        <v>1.9750258525019699</v>
      </c>
      <c r="H695">
        <v>5.6358647547174401E-2</v>
      </c>
      <c r="I695">
        <v>-2.1226326221841001</v>
      </c>
      <c r="J695">
        <v>-6.45</v>
      </c>
      <c r="L695">
        <v>2.0313845000491444</v>
      </c>
      <c r="M695">
        <v>1.9186672049547955</v>
      </c>
      <c r="N695">
        <v>2.0877431475963188</v>
      </c>
      <c r="O695">
        <v>1.862308557407621</v>
      </c>
    </row>
    <row r="696" spans="1:15">
      <c r="A696" s="19">
        <v>42780</v>
      </c>
      <c r="B696">
        <v>926</v>
      </c>
      <c r="C696">
        <v>925</v>
      </c>
      <c r="D696">
        <v>501</v>
      </c>
      <c r="E696">
        <v>501</v>
      </c>
      <c r="F696">
        <v>1.84630738522954</v>
      </c>
      <c r="G696">
        <v>1.9757254836098399</v>
      </c>
      <c r="H696">
        <v>5.5182669571267003E-2</v>
      </c>
      <c r="I696">
        <v>-2.3452670808751002</v>
      </c>
      <c r="J696">
        <v>-7.01</v>
      </c>
      <c r="L696">
        <v>2.0309081531811071</v>
      </c>
      <c r="M696">
        <v>1.920542814038573</v>
      </c>
      <c r="N696">
        <v>2.0860908227523738</v>
      </c>
      <c r="O696">
        <v>1.8653601444673058</v>
      </c>
    </row>
    <row r="697" spans="1:15">
      <c r="A697" s="19">
        <v>42779</v>
      </c>
      <c r="B697">
        <v>935</v>
      </c>
      <c r="C697">
        <v>926</v>
      </c>
      <c r="D697">
        <v>490</v>
      </c>
      <c r="E697">
        <v>497</v>
      </c>
      <c r="F697">
        <v>1.8631790744466801</v>
      </c>
      <c r="G697">
        <v>1.9767727916911699</v>
      </c>
      <c r="H697">
        <v>5.3434193102146602E-2</v>
      </c>
      <c r="I697">
        <v>-2.12586193689393</v>
      </c>
      <c r="J697">
        <v>-6.1</v>
      </c>
      <c r="L697">
        <v>2.0302069847933164</v>
      </c>
      <c r="M697">
        <v>1.9233385985890232</v>
      </c>
      <c r="N697">
        <v>2.0836411778954633</v>
      </c>
      <c r="O697">
        <v>1.8699044054868768</v>
      </c>
    </row>
    <row r="698" spans="1:15">
      <c r="A698" s="19">
        <v>42776</v>
      </c>
      <c r="B698">
        <v>926</v>
      </c>
      <c r="C698">
        <v>929</v>
      </c>
      <c r="D698">
        <v>483</v>
      </c>
      <c r="E698">
        <v>484</v>
      </c>
      <c r="F698">
        <v>1.9194214876033</v>
      </c>
      <c r="G698">
        <v>1.9773872894887701</v>
      </c>
      <c r="H698">
        <v>5.2378905797496399E-2</v>
      </c>
      <c r="I698">
        <v>-1.10666309276425</v>
      </c>
      <c r="J698">
        <v>-3.02</v>
      </c>
      <c r="L698">
        <v>2.0297661952862667</v>
      </c>
      <c r="M698">
        <v>1.9250083836912737</v>
      </c>
      <c r="N698">
        <v>2.0821451010837628</v>
      </c>
      <c r="O698">
        <v>1.8726294778937773</v>
      </c>
    </row>
    <row r="699" spans="1:15">
      <c r="A699" s="19">
        <v>42775</v>
      </c>
      <c r="B699">
        <v>915</v>
      </c>
      <c r="C699">
        <v>913</v>
      </c>
      <c r="D699">
        <v>475</v>
      </c>
      <c r="E699">
        <v>473</v>
      </c>
      <c r="F699">
        <v>1.9302325581395301</v>
      </c>
      <c r="G699">
        <v>1.9769859414987201</v>
      </c>
      <c r="H699">
        <v>5.2933908075774097E-2</v>
      </c>
      <c r="I699">
        <v>-0.88324072525040997</v>
      </c>
      <c r="J699">
        <v>-2.42</v>
      </c>
      <c r="L699">
        <v>2.0299198495744943</v>
      </c>
      <c r="M699">
        <v>1.9240520334229461</v>
      </c>
      <c r="N699">
        <v>2.0828537576502684</v>
      </c>
      <c r="O699">
        <v>1.8711181253471718</v>
      </c>
    </row>
    <row r="700" spans="1:15">
      <c r="A700" s="19">
        <v>42774</v>
      </c>
      <c r="B700">
        <v>938</v>
      </c>
      <c r="C700">
        <v>930</v>
      </c>
      <c r="D700">
        <v>470</v>
      </c>
      <c r="E700">
        <v>477</v>
      </c>
      <c r="F700">
        <v>1.9496855345911901</v>
      </c>
      <c r="G700">
        <v>1.97671825739019</v>
      </c>
      <c r="H700">
        <v>5.3219651948595598E-2</v>
      </c>
      <c r="I700">
        <v>-0.50794625310795005</v>
      </c>
      <c r="J700">
        <v>-1.39</v>
      </c>
      <c r="L700">
        <v>2.0299379093387855</v>
      </c>
      <c r="M700">
        <v>1.9234986054415943</v>
      </c>
      <c r="N700">
        <v>2.0831575612873814</v>
      </c>
      <c r="O700">
        <v>1.8702789534929989</v>
      </c>
    </row>
    <row r="701" spans="1:15">
      <c r="A701" s="19">
        <v>42773</v>
      </c>
      <c r="B701">
        <v>957</v>
      </c>
      <c r="C701">
        <v>944</v>
      </c>
      <c r="D701">
        <v>473</v>
      </c>
      <c r="E701">
        <v>476</v>
      </c>
      <c r="F701">
        <v>1.98319327731092</v>
      </c>
      <c r="G701">
        <v>1.97654922191585</v>
      </c>
      <c r="H701">
        <v>5.3325272930843701E-2</v>
      </c>
      <c r="I701">
        <v>0.124594868997429</v>
      </c>
      <c r="J701">
        <v>0.34</v>
      </c>
      <c r="L701">
        <v>2.0298744948466938</v>
      </c>
      <c r="M701">
        <v>1.9232239489850063</v>
      </c>
      <c r="N701">
        <v>2.0831997677775376</v>
      </c>
      <c r="O701">
        <v>1.8698986760541627</v>
      </c>
    </row>
    <row r="702" spans="1:15">
      <c r="A702" s="19">
        <v>42772</v>
      </c>
      <c r="B702">
        <v>970</v>
      </c>
      <c r="C702">
        <v>969</v>
      </c>
      <c r="D702">
        <v>470</v>
      </c>
      <c r="E702">
        <v>469</v>
      </c>
      <c r="F702">
        <v>2.0660980810234499</v>
      </c>
      <c r="G702">
        <v>1.97478749594887</v>
      </c>
      <c r="H702">
        <v>5.52254191803071E-2</v>
      </c>
      <c r="I702">
        <v>1.6534158804021</v>
      </c>
      <c r="J702">
        <v>4.42</v>
      </c>
      <c r="L702">
        <v>2.030012915129177</v>
      </c>
      <c r="M702">
        <v>1.9195620767685631</v>
      </c>
      <c r="N702">
        <v>2.0852383343094845</v>
      </c>
      <c r="O702">
        <v>1.8643366575882558</v>
      </c>
    </row>
    <row r="703" spans="1:15">
      <c r="A703" s="19">
        <v>42769</v>
      </c>
      <c r="B703">
        <v>949</v>
      </c>
      <c r="C703">
        <v>962</v>
      </c>
      <c r="D703">
        <v>471</v>
      </c>
      <c r="E703">
        <v>462</v>
      </c>
      <c r="F703">
        <v>2.08225108225108</v>
      </c>
      <c r="L703">
        <v>0</v>
      </c>
      <c r="M703">
        <v>0</v>
      </c>
      <c r="N703">
        <v>0</v>
      </c>
      <c r="O703">
        <v>0</v>
      </c>
    </row>
    <row r="704" spans="1:15">
      <c r="A704" s="19">
        <v>42768</v>
      </c>
      <c r="B704">
        <v>959</v>
      </c>
      <c r="C704">
        <v>936</v>
      </c>
      <c r="D704">
        <v>479</v>
      </c>
      <c r="E704">
        <v>470</v>
      </c>
      <c r="F704">
        <v>1.9914893617021201</v>
      </c>
      <c r="L704">
        <v>0</v>
      </c>
      <c r="M704">
        <v>0</v>
      </c>
      <c r="N704">
        <v>0</v>
      </c>
      <c r="O704">
        <v>0</v>
      </c>
    </row>
    <row r="705" spans="1:15">
      <c r="A705" s="19">
        <v>42767</v>
      </c>
      <c r="B705">
        <v>945</v>
      </c>
      <c r="C705">
        <v>964</v>
      </c>
      <c r="D705">
        <v>506</v>
      </c>
      <c r="E705">
        <v>505</v>
      </c>
      <c r="F705">
        <v>1.9089108910890999</v>
      </c>
      <c r="L705">
        <v>0</v>
      </c>
      <c r="M705">
        <v>0</v>
      </c>
      <c r="N705">
        <v>0</v>
      </c>
      <c r="O705">
        <v>0</v>
      </c>
    </row>
    <row r="706" spans="1:15">
      <c r="A706" s="19">
        <v>42766</v>
      </c>
      <c r="B706">
        <v>1053</v>
      </c>
      <c r="C706">
        <v>1049</v>
      </c>
      <c r="D706">
        <v>511</v>
      </c>
      <c r="E706">
        <v>508</v>
      </c>
      <c r="F706">
        <v>2.06496062992125</v>
      </c>
      <c r="L706">
        <v>0</v>
      </c>
      <c r="M706">
        <v>0</v>
      </c>
      <c r="N706">
        <v>0</v>
      </c>
      <c r="O706">
        <v>0</v>
      </c>
    </row>
    <row r="707" spans="1:15">
      <c r="A707" s="19">
        <v>42765</v>
      </c>
      <c r="B707">
        <v>1062</v>
      </c>
      <c r="C707">
        <v>1064</v>
      </c>
      <c r="D707">
        <v>518</v>
      </c>
      <c r="E707">
        <v>515</v>
      </c>
      <c r="F707">
        <v>2.06601941747572</v>
      </c>
      <c r="L707">
        <v>0</v>
      </c>
      <c r="M707">
        <v>0</v>
      </c>
      <c r="N707">
        <v>0</v>
      </c>
      <c r="O707">
        <v>0</v>
      </c>
    </row>
    <row r="708" spans="1:15">
      <c r="A708" s="19">
        <v>42762</v>
      </c>
      <c r="B708">
        <v>1064</v>
      </c>
      <c r="C708">
        <v>1065</v>
      </c>
      <c r="D708">
        <v>518</v>
      </c>
      <c r="E708">
        <v>518</v>
      </c>
      <c r="F708">
        <v>2.05598455598455</v>
      </c>
      <c r="L708">
        <v>0</v>
      </c>
      <c r="M708">
        <v>0</v>
      </c>
      <c r="N708">
        <v>0</v>
      </c>
      <c r="O708">
        <v>0</v>
      </c>
    </row>
    <row r="709" spans="1:15">
      <c r="A709" s="19">
        <v>42761</v>
      </c>
      <c r="B709">
        <v>1050</v>
      </c>
      <c r="C709">
        <v>1058</v>
      </c>
      <c r="D709">
        <v>519</v>
      </c>
      <c r="E709">
        <v>512</v>
      </c>
      <c r="F709">
        <v>2.06640625</v>
      </c>
      <c r="L709">
        <v>0</v>
      </c>
      <c r="M709">
        <v>0</v>
      </c>
      <c r="N709">
        <v>0</v>
      </c>
      <c r="O709">
        <v>0</v>
      </c>
    </row>
    <row r="710" spans="1:15">
      <c r="A710" s="19">
        <v>42760</v>
      </c>
      <c r="B710">
        <v>1058</v>
      </c>
      <c r="C710">
        <v>1047</v>
      </c>
      <c r="D710">
        <v>515</v>
      </c>
      <c r="E710">
        <v>510</v>
      </c>
      <c r="F710">
        <v>2.0529411764705801</v>
      </c>
      <c r="L710">
        <v>0</v>
      </c>
      <c r="M710">
        <v>0</v>
      </c>
      <c r="N710">
        <v>0</v>
      </c>
      <c r="O710">
        <v>0</v>
      </c>
    </row>
    <row r="711" spans="1:15">
      <c r="A711" s="19">
        <v>42759</v>
      </c>
      <c r="B711">
        <v>1041</v>
      </c>
      <c r="C711">
        <v>1054</v>
      </c>
      <c r="D711">
        <v>513</v>
      </c>
      <c r="E711">
        <v>513</v>
      </c>
      <c r="F711">
        <v>2.0545808966861601</v>
      </c>
      <c r="L711">
        <v>0</v>
      </c>
      <c r="M711">
        <v>0</v>
      </c>
      <c r="N711">
        <v>0</v>
      </c>
      <c r="O711">
        <v>0</v>
      </c>
    </row>
    <row r="712" spans="1:15">
      <c r="A712" s="19">
        <v>42758</v>
      </c>
      <c r="B712">
        <v>1040</v>
      </c>
      <c r="C712">
        <v>1036</v>
      </c>
      <c r="D712">
        <v>513</v>
      </c>
      <c r="E712">
        <v>510</v>
      </c>
      <c r="F712">
        <v>2.0313725490196002</v>
      </c>
      <c r="L712">
        <v>0</v>
      </c>
      <c r="M712">
        <v>0</v>
      </c>
      <c r="N712">
        <v>0</v>
      </c>
      <c r="O712">
        <v>0</v>
      </c>
    </row>
    <row r="713" spans="1:15">
      <c r="A713" s="19">
        <v>42755</v>
      </c>
      <c r="B713">
        <v>1037</v>
      </c>
      <c r="C713">
        <v>1040</v>
      </c>
      <c r="D713">
        <v>514</v>
      </c>
      <c r="E713">
        <v>518</v>
      </c>
      <c r="F713">
        <v>2.0077220077220002</v>
      </c>
      <c r="L713">
        <v>0</v>
      </c>
      <c r="M713">
        <v>0</v>
      </c>
      <c r="N713">
        <v>0</v>
      </c>
      <c r="O713">
        <v>0</v>
      </c>
    </row>
    <row r="714" spans="1:15">
      <c r="A714" s="19">
        <v>42754</v>
      </c>
      <c r="B714">
        <v>1034</v>
      </c>
      <c r="C714">
        <v>1039</v>
      </c>
      <c r="D714">
        <v>518</v>
      </c>
      <c r="E714">
        <v>516</v>
      </c>
      <c r="F714">
        <v>2.0135658914728598</v>
      </c>
      <c r="L714">
        <v>0</v>
      </c>
      <c r="M714">
        <v>0</v>
      </c>
      <c r="N714">
        <v>0</v>
      </c>
      <c r="O714">
        <v>0</v>
      </c>
    </row>
    <row r="715" spans="1:15">
      <c r="A715" s="19">
        <v>42753</v>
      </c>
      <c r="B715">
        <v>1030</v>
      </c>
      <c r="C715">
        <v>1035</v>
      </c>
      <c r="D715">
        <v>519</v>
      </c>
      <c r="E715">
        <v>518</v>
      </c>
      <c r="F715">
        <v>1.99806949806949</v>
      </c>
      <c r="L715">
        <v>0</v>
      </c>
      <c r="M715">
        <v>0</v>
      </c>
      <c r="N715">
        <v>0</v>
      </c>
      <c r="O715">
        <v>0</v>
      </c>
    </row>
    <row r="716" spans="1:15">
      <c r="A716" s="19">
        <v>42752</v>
      </c>
      <c r="B716">
        <v>1047</v>
      </c>
      <c r="C716">
        <v>1034</v>
      </c>
      <c r="D716">
        <v>524</v>
      </c>
      <c r="E716">
        <v>520</v>
      </c>
      <c r="F716">
        <v>1.9884615384615301</v>
      </c>
      <c r="L716">
        <v>0</v>
      </c>
      <c r="M716">
        <v>0</v>
      </c>
      <c r="N716">
        <v>0</v>
      </c>
      <c r="O716">
        <v>0</v>
      </c>
    </row>
    <row r="717" spans="1:15">
      <c r="A717" s="19">
        <v>42751</v>
      </c>
      <c r="B717">
        <v>1055</v>
      </c>
      <c r="C717">
        <v>1060</v>
      </c>
      <c r="D717">
        <v>530</v>
      </c>
      <c r="E717">
        <v>526</v>
      </c>
      <c r="F717">
        <v>2.01520912547528</v>
      </c>
      <c r="L717">
        <v>0</v>
      </c>
      <c r="M717">
        <v>0</v>
      </c>
      <c r="N717">
        <v>0</v>
      </c>
      <c r="O717">
        <v>0</v>
      </c>
    </row>
    <row r="718" spans="1:15">
      <c r="A718" s="19">
        <v>42748</v>
      </c>
      <c r="B718">
        <v>1050</v>
      </c>
      <c r="C718">
        <v>1051</v>
      </c>
      <c r="D718">
        <v>528</v>
      </c>
      <c r="E718">
        <v>534</v>
      </c>
      <c r="F718">
        <v>1.96816479400749</v>
      </c>
      <c r="L718">
        <v>0</v>
      </c>
      <c r="M718">
        <v>0</v>
      </c>
      <c r="N718">
        <v>0</v>
      </c>
      <c r="O718">
        <v>0</v>
      </c>
    </row>
    <row r="719" spans="1:15">
      <c r="A719" s="19">
        <v>42747</v>
      </c>
      <c r="B719">
        <v>1074</v>
      </c>
      <c r="C719">
        <v>1061</v>
      </c>
      <c r="D719">
        <v>536</v>
      </c>
      <c r="E719">
        <v>529</v>
      </c>
      <c r="F719">
        <v>2.00567107750472</v>
      </c>
      <c r="L719">
        <v>0</v>
      </c>
      <c r="M719">
        <v>0</v>
      </c>
      <c r="N719">
        <v>0</v>
      </c>
      <c r="O719">
        <v>0</v>
      </c>
    </row>
    <row r="720" spans="1:15">
      <c r="A720" s="19">
        <v>42746</v>
      </c>
      <c r="B720">
        <v>1085</v>
      </c>
      <c r="C720">
        <v>1074</v>
      </c>
      <c r="D720">
        <v>538</v>
      </c>
      <c r="E720">
        <v>539</v>
      </c>
      <c r="F720">
        <v>1.9925788497217001</v>
      </c>
      <c r="L720">
        <v>0</v>
      </c>
      <c r="M720">
        <v>0</v>
      </c>
      <c r="N720">
        <v>0</v>
      </c>
      <c r="O720">
        <v>0</v>
      </c>
    </row>
    <row r="721" spans="1:15">
      <c r="A721" s="19">
        <v>42745</v>
      </c>
      <c r="B721">
        <v>1082</v>
      </c>
      <c r="C721">
        <v>1085</v>
      </c>
      <c r="D721">
        <v>543</v>
      </c>
      <c r="E721">
        <v>537</v>
      </c>
      <c r="F721">
        <v>2.0204841713221602</v>
      </c>
      <c r="L721">
        <v>0</v>
      </c>
      <c r="M721">
        <v>0</v>
      </c>
      <c r="N721">
        <v>0</v>
      </c>
      <c r="O721">
        <v>0</v>
      </c>
    </row>
    <row r="722" spans="1:15">
      <c r="A722" s="19">
        <v>42741</v>
      </c>
      <c r="B722">
        <v>1075</v>
      </c>
      <c r="C722">
        <v>1080</v>
      </c>
      <c r="D722">
        <v>544</v>
      </c>
      <c r="E722">
        <v>542</v>
      </c>
      <c r="F722">
        <v>1.9926199261992601</v>
      </c>
      <c r="L722">
        <v>0</v>
      </c>
      <c r="M722">
        <v>0</v>
      </c>
      <c r="N722">
        <v>0</v>
      </c>
      <c r="O722">
        <v>0</v>
      </c>
    </row>
    <row r="723" spans="1:15">
      <c r="A723" s="19">
        <v>42740</v>
      </c>
      <c r="B723">
        <v>1080</v>
      </c>
      <c r="C723">
        <v>1077</v>
      </c>
      <c r="D723">
        <v>543</v>
      </c>
      <c r="E723">
        <v>542</v>
      </c>
      <c r="F723">
        <v>1.9870848708486999</v>
      </c>
      <c r="L723">
        <v>0</v>
      </c>
      <c r="M723">
        <v>0</v>
      </c>
      <c r="N723">
        <v>0</v>
      </c>
      <c r="O723">
        <v>0</v>
      </c>
    </row>
    <row r="724" spans="1:15">
      <c r="A724" s="19">
        <v>42739</v>
      </c>
      <c r="B724">
        <v>1056</v>
      </c>
      <c r="C724">
        <v>1073</v>
      </c>
      <c r="D724">
        <v>532</v>
      </c>
      <c r="E724">
        <v>538</v>
      </c>
      <c r="F724">
        <v>1.9944237918215599</v>
      </c>
      <c r="L724">
        <v>0</v>
      </c>
      <c r="M724">
        <v>0</v>
      </c>
      <c r="N724">
        <v>0</v>
      </c>
      <c r="O724">
        <v>0</v>
      </c>
    </row>
    <row r="725" spans="1:15">
      <c r="A725" s="19">
        <v>42734</v>
      </c>
      <c r="B725">
        <v>1048</v>
      </c>
      <c r="C725">
        <v>1055</v>
      </c>
      <c r="D725">
        <v>534</v>
      </c>
      <c r="E725">
        <v>538</v>
      </c>
      <c r="F725">
        <v>1.96096654275092</v>
      </c>
      <c r="L725">
        <v>0</v>
      </c>
      <c r="M725">
        <v>0</v>
      </c>
      <c r="N725">
        <v>0</v>
      </c>
      <c r="O725">
        <v>0</v>
      </c>
    </row>
    <row r="726" spans="1:15">
      <c r="A726" s="19">
        <v>42733</v>
      </c>
      <c r="B726">
        <v>1055</v>
      </c>
      <c r="C726">
        <v>1055</v>
      </c>
      <c r="D726">
        <v>546</v>
      </c>
      <c r="E726">
        <v>540</v>
      </c>
      <c r="F726">
        <v>1.9537037037036999</v>
      </c>
      <c r="L726">
        <v>0</v>
      </c>
      <c r="M726">
        <v>0</v>
      </c>
      <c r="N726">
        <v>0</v>
      </c>
      <c r="O726">
        <v>0</v>
      </c>
    </row>
    <row r="727" spans="1:15">
      <c r="A727" s="19">
        <v>42732</v>
      </c>
      <c r="B727">
        <v>1049</v>
      </c>
      <c r="C727">
        <v>1062</v>
      </c>
      <c r="D727">
        <v>548</v>
      </c>
      <c r="E727">
        <v>546</v>
      </c>
      <c r="F727">
        <v>1.9450549450549399</v>
      </c>
      <c r="L727">
        <v>0</v>
      </c>
      <c r="M727">
        <v>0</v>
      </c>
      <c r="N727">
        <v>0</v>
      </c>
      <c r="O727">
        <v>0</v>
      </c>
    </row>
    <row r="728" spans="1:15">
      <c r="A728" s="19">
        <v>42731</v>
      </c>
      <c r="B728">
        <v>1051</v>
      </c>
      <c r="C728">
        <v>1050</v>
      </c>
      <c r="D728">
        <v>551</v>
      </c>
      <c r="E728">
        <v>544</v>
      </c>
      <c r="F728">
        <v>1.9301470588235199</v>
      </c>
      <c r="L728">
        <v>0</v>
      </c>
      <c r="M728">
        <v>0</v>
      </c>
      <c r="N728">
        <v>0</v>
      </c>
      <c r="O728">
        <v>0</v>
      </c>
    </row>
    <row r="729" spans="1:15">
      <c r="A729" s="19">
        <v>42730</v>
      </c>
      <c r="B729">
        <v>1046</v>
      </c>
      <c r="C729">
        <v>1048</v>
      </c>
      <c r="D729">
        <v>550</v>
      </c>
      <c r="E729">
        <v>550</v>
      </c>
      <c r="F729">
        <v>1.90545454545454</v>
      </c>
      <c r="L729">
        <v>0</v>
      </c>
      <c r="M729">
        <v>0</v>
      </c>
      <c r="N729">
        <v>0</v>
      </c>
      <c r="O729">
        <v>0</v>
      </c>
    </row>
    <row r="730" spans="1:15">
      <c r="A730" s="19">
        <v>42726</v>
      </c>
      <c r="B730">
        <v>1049</v>
      </c>
      <c r="C730">
        <v>1050</v>
      </c>
      <c r="D730">
        <v>550</v>
      </c>
      <c r="E730">
        <v>549</v>
      </c>
      <c r="F730">
        <v>1.91256830601092</v>
      </c>
      <c r="L730">
        <v>0</v>
      </c>
      <c r="M730">
        <v>0</v>
      </c>
      <c r="N730">
        <v>0</v>
      </c>
      <c r="O730">
        <v>0</v>
      </c>
    </row>
    <row r="731" spans="1:15">
      <c r="A731" s="19">
        <v>42725</v>
      </c>
      <c r="B731">
        <v>1059</v>
      </c>
      <c r="C731">
        <v>1047</v>
      </c>
      <c r="D731">
        <v>550</v>
      </c>
      <c r="E731">
        <v>547</v>
      </c>
      <c r="F731">
        <v>1.91407678244972</v>
      </c>
      <c r="L731">
        <v>0</v>
      </c>
      <c r="M731">
        <v>0</v>
      </c>
      <c r="N731">
        <v>0</v>
      </c>
      <c r="O731">
        <v>0</v>
      </c>
    </row>
    <row r="732" spans="1:15">
      <c r="A732" s="19">
        <v>42724</v>
      </c>
      <c r="B732">
        <v>1051</v>
      </c>
      <c r="C732">
        <v>1071</v>
      </c>
      <c r="D732">
        <v>552</v>
      </c>
      <c r="E732">
        <v>551</v>
      </c>
      <c r="F732">
        <v>1.9437386569872901</v>
      </c>
      <c r="L732">
        <v>0</v>
      </c>
      <c r="M732">
        <v>0</v>
      </c>
      <c r="N732">
        <v>0</v>
      </c>
      <c r="O732">
        <v>0</v>
      </c>
    </row>
    <row r="733" spans="1:15">
      <c r="A733" s="19">
        <v>42723</v>
      </c>
      <c r="B733">
        <v>1069</v>
      </c>
      <c r="C733">
        <v>1059</v>
      </c>
      <c r="D733">
        <v>564</v>
      </c>
      <c r="E733">
        <v>561</v>
      </c>
      <c r="F733">
        <v>1.8877005347593501</v>
      </c>
      <c r="L733">
        <v>0</v>
      </c>
      <c r="M733">
        <v>0</v>
      </c>
      <c r="N733">
        <v>0</v>
      </c>
      <c r="O733">
        <v>0</v>
      </c>
    </row>
    <row r="734" spans="1:15">
      <c r="A734" s="19">
        <v>42720</v>
      </c>
      <c r="B734">
        <v>1070</v>
      </c>
      <c r="C734">
        <v>1069</v>
      </c>
      <c r="D734">
        <v>555</v>
      </c>
      <c r="E734">
        <v>562</v>
      </c>
      <c r="F734">
        <v>1.9021352313167199</v>
      </c>
      <c r="L734">
        <v>0</v>
      </c>
      <c r="M734">
        <v>0</v>
      </c>
      <c r="N734">
        <v>0</v>
      </c>
      <c r="O734">
        <v>0</v>
      </c>
    </row>
    <row r="735" spans="1:15">
      <c r="A735" s="19">
        <v>42719</v>
      </c>
      <c r="B735">
        <v>1061</v>
      </c>
      <c r="C735">
        <v>1064</v>
      </c>
      <c r="D735">
        <v>554</v>
      </c>
      <c r="E735">
        <v>551</v>
      </c>
      <c r="F735">
        <v>1.9310344827586201</v>
      </c>
      <c r="L735">
        <v>0</v>
      </c>
      <c r="M735">
        <v>0</v>
      </c>
      <c r="N735">
        <v>0</v>
      </c>
      <c r="O735">
        <v>0</v>
      </c>
    </row>
    <row r="736" spans="1:15">
      <c r="A736" s="19">
        <v>42718</v>
      </c>
      <c r="B736">
        <v>1080</v>
      </c>
      <c r="C736">
        <v>1062</v>
      </c>
      <c r="D736">
        <v>559</v>
      </c>
      <c r="E736">
        <v>554</v>
      </c>
      <c r="F736">
        <v>1.91696750902527</v>
      </c>
      <c r="L736">
        <v>0</v>
      </c>
      <c r="M736">
        <v>0</v>
      </c>
      <c r="N736">
        <v>0</v>
      </c>
      <c r="O736">
        <v>0</v>
      </c>
    </row>
    <row r="737" spans="1:15">
      <c r="A737" s="19">
        <v>42717</v>
      </c>
      <c r="B737">
        <v>1049</v>
      </c>
      <c r="C737">
        <v>1070</v>
      </c>
      <c r="D737">
        <v>555</v>
      </c>
      <c r="E737">
        <v>556</v>
      </c>
      <c r="F737">
        <v>1.9244604316546701</v>
      </c>
      <c r="L737">
        <v>0</v>
      </c>
      <c r="M737">
        <v>0</v>
      </c>
      <c r="N737">
        <v>0</v>
      </c>
      <c r="O737">
        <v>0</v>
      </c>
    </row>
    <row r="738" spans="1:15">
      <c r="A738" s="19">
        <v>42716</v>
      </c>
      <c r="B738">
        <v>1042</v>
      </c>
      <c r="C738">
        <v>1045</v>
      </c>
      <c r="D738">
        <v>555</v>
      </c>
      <c r="E738">
        <v>552</v>
      </c>
      <c r="F738">
        <v>1.89311594202898</v>
      </c>
      <c r="L738">
        <v>0</v>
      </c>
      <c r="M738">
        <v>0</v>
      </c>
      <c r="N738">
        <v>0</v>
      </c>
      <c r="O738">
        <v>0</v>
      </c>
    </row>
    <row r="739" spans="1:15">
      <c r="A739" s="19">
        <v>42713</v>
      </c>
      <c r="B739">
        <v>1047</v>
      </c>
      <c r="C739">
        <v>1050</v>
      </c>
      <c r="D739">
        <v>543</v>
      </c>
      <c r="E739">
        <v>553</v>
      </c>
      <c r="F739">
        <v>1.89873417721518</v>
      </c>
      <c r="L739">
        <v>0</v>
      </c>
      <c r="M739">
        <v>0</v>
      </c>
      <c r="N739">
        <v>0</v>
      </c>
      <c r="O739">
        <v>0</v>
      </c>
    </row>
    <row r="740" spans="1:15">
      <c r="A740" s="19">
        <v>42712</v>
      </c>
      <c r="B740">
        <v>1055</v>
      </c>
      <c r="C740">
        <v>1058</v>
      </c>
      <c r="D740">
        <v>550</v>
      </c>
      <c r="E740">
        <v>548</v>
      </c>
      <c r="F740">
        <v>1.93065693430656</v>
      </c>
      <c r="L740">
        <v>0</v>
      </c>
      <c r="M740">
        <v>0</v>
      </c>
      <c r="N740">
        <v>0</v>
      </c>
      <c r="O740">
        <v>0</v>
      </c>
    </row>
    <row r="741" spans="1:15">
      <c r="A741" s="19">
        <v>42711</v>
      </c>
      <c r="B741">
        <v>1055</v>
      </c>
      <c r="C741">
        <v>1045</v>
      </c>
      <c r="D741">
        <v>533</v>
      </c>
      <c r="E741">
        <v>543</v>
      </c>
      <c r="F741">
        <v>1.9244935543277999</v>
      </c>
      <c r="L741">
        <v>0</v>
      </c>
      <c r="M741">
        <v>0</v>
      </c>
      <c r="N741">
        <v>0</v>
      </c>
      <c r="O741">
        <v>0</v>
      </c>
    </row>
    <row r="742" spans="1:15">
      <c r="A742" s="19">
        <v>42710</v>
      </c>
      <c r="B742">
        <v>1065</v>
      </c>
      <c r="C742">
        <v>1055</v>
      </c>
      <c r="D742">
        <v>540</v>
      </c>
      <c r="E742">
        <v>533</v>
      </c>
      <c r="F742">
        <v>1.97936210131332</v>
      </c>
      <c r="L742">
        <v>0</v>
      </c>
      <c r="M742">
        <v>0</v>
      </c>
      <c r="N742">
        <v>0</v>
      </c>
      <c r="O742">
        <v>0</v>
      </c>
    </row>
    <row r="743" spans="1:15">
      <c r="A743" s="19">
        <v>42709</v>
      </c>
      <c r="B743">
        <v>1059</v>
      </c>
      <c r="C743">
        <v>1067</v>
      </c>
      <c r="D743">
        <v>540</v>
      </c>
      <c r="E743">
        <v>537</v>
      </c>
      <c r="F743">
        <v>1.98696461824953</v>
      </c>
      <c r="L743">
        <v>0</v>
      </c>
      <c r="M743">
        <v>0</v>
      </c>
      <c r="N743">
        <v>0</v>
      </c>
      <c r="O743">
        <v>0</v>
      </c>
    </row>
    <row r="744" spans="1:15">
      <c r="A744" s="19">
        <v>42706</v>
      </c>
      <c r="B744">
        <v>1073</v>
      </c>
      <c r="C744">
        <v>1063</v>
      </c>
      <c r="D744">
        <v>549</v>
      </c>
      <c r="E744">
        <v>545</v>
      </c>
      <c r="F744">
        <v>1.95045871559633</v>
      </c>
      <c r="L744">
        <v>0</v>
      </c>
      <c r="M744">
        <v>0</v>
      </c>
      <c r="N744">
        <v>0</v>
      </c>
      <c r="O744">
        <v>0</v>
      </c>
    </row>
    <row r="745" spans="1:15">
      <c r="A745" s="19">
        <v>42705</v>
      </c>
      <c r="B745">
        <v>1067</v>
      </c>
      <c r="C745">
        <v>1081</v>
      </c>
      <c r="D745">
        <v>551</v>
      </c>
      <c r="E745">
        <v>548</v>
      </c>
      <c r="F745">
        <v>1.9726277372262699</v>
      </c>
      <c r="L745">
        <v>0</v>
      </c>
      <c r="M745">
        <v>0</v>
      </c>
      <c r="N745">
        <v>0</v>
      </c>
      <c r="O745">
        <v>0</v>
      </c>
    </row>
    <row r="746" spans="1:15">
      <c r="A746" s="19">
        <v>42704</v>
      </c>
      <c r="B746">
        <v>1053</v>
      </c>
      <c r="C746">
        <v>1065</v>
      </c>
      <c r="D746">
        <v>537</v>
      </c>
      <c r="E746">
        <v>546</v>
      </c>
      <c r="F746">
        <v>1.9505494505494501</v>
      </c>
      <c r="L746">
        <v>0</v>
      </c>
      <c r="M746">
        <v>0</v>
      </c>
      <c r="N746">
        <v>0</v>
      </c>
      <c r="O746">
        <v>0</v>
      </c>
    </row>
    <row r="747" spans="1:15">
      <c r="A747" s="19">
        <v>42703</v>
      </c>
      <c r="B747">
        <v>1060</v>
      </c>
      <c r="C747">
        <v>1053</v>
      </c>
      <c r="D747">
        <v>526</v>
      </c>
      <c r="E747">
        <v>533</v>
      </c>
      <c r="F747">
        <v>1.9756097560975601</v>
      </c>
      <c r="L747">
        <v>0</v>
      </c>
      <c r="M747">
        <v>0</v>
      </c>
      <c r="N747">
        <v>0</v>
      </c>
      <c r="O747">
        <v>0</v>
      </c>
    </row>
    <row r="748" spans="1:15">
      <c r="A748" s="19">
        <v>42702</v>
      </c>
      <c r="B748">
        <v>1022</v>
      </c>
      <c r="C748">
        <v>1054</v>
      </c>
      <c r="D748">
        <v>531</v>
      </c>
      <c r="E748">
        <v>531</v>
      </c>
      <c r="F748">
        <v>1.9849340866289999</v>
      </c>
      <c r="L748">
        <v>0</v>
      </c>
      <c r="M748">
        <v>0</v>
      </c>
      <c r="N748">
        <v>0</v>
      </c>
      <c r="O748">
        <v>0</v>
      </c>
    </row>
    <row r="749" spans="1:15">
      <c r="A749" s="19">
        <v>42699</v>
      </c>
      <c r="B749">
        <v>1023</v>
      </c>
      <c r="C749">
        <v>1006</v>
      </c>
      <c r="D749">
        <v>522</v>
      </c>
      <c r="E749">
        <v>537</v>
      </c>
      <c r="F749">
        <v>1.8733705772811899</v>
      </c>
      <c r="L749">
        <v>0</v>
      </c>
      <c r="M749">
        <v>0</v>
      </c>
      <c r="N749">
        <v>0</v>
      </c>
      <c r="O749">
        <v>0</v>
      </c>
    </row>
    <row r="750" spans="1:15">
      <c r="A750" s="19">
        <v>42698</v>
      </c>
      <c r="B750">
        <v>1050</v>
      </c>
      <c r="C750">
        <v>1016</v>
      </c>
      <c r="D750">
        <v>515</v>
      </c>
      <c r="E750">
        <v>517</v>
      </c>
      <c r="F750">
        <v>1.96518375241779</v>
      </c>
      <c r="L750">
        <v>0</v>
      </c>
      <c r="M750">
        <v>0</v>
      </c>
      <c r="N750">
        <v>0</v>
      </c>
      <c r="O750">
        <v>0</v>
      </c>
    </row>
    <row r="751" spans="1:15">
      <c r="A751" s="19">
        <v>42696</v>
      </c>
      <c r="B751">
        <v>1024</v>
      </c>
      <c r="C751">
        <v>1048</v>
      </c>
      <c r="D751">
        <v>511</v>
      </c>
      <c r="E751">
        <v>509</v>
      </c>
      <c r="F751">
        <v>2.0589390962671898</v>
      </c>
      <c r="L751">
        <v>0</v>
      </c>
      <c r="M751">
        <v>0</v>
      </c>
      <c r="N751">
        <v>0</v>
      </c>
      <c r="O751">
        <v>0</v>
      </c>
    </row>
    <row r="752" spans="1:15">
      <c r="A752" s="19">
        <v>42695</v>
      </c>
      <c r="B752">
        <v>1013</v>
      </c>
      <c r="C752">
        <v>1029</v>
      </c>
      <c r="D752">
        <v>509</v>
      </c>
      <c r="E752">
        <v>507</v>
      </c>
      <c r="F752">
        <v>2.02958579881656</v>
      </c>
      <c r="L752">
        <v>0</v>
      </c>
      <c r="M752">
        <v>0</v>
      </c>
      <c r="N752">
        <v>0</v>
      </c>
      <c r="O752">
        <v>0</v>
      </c>
    </row>
    <row r="753" spans="1:15">
      <c r="A753" s="19">
        <v>42692</v>
      </c>
      <c r="B753">
        <v>996</v>
      </c>
      <c r="C753">
        <v>1008</v>
      </c>
      <c r="D753">
        <v>500</v>
      </c>
      <c r="E753">
        <v>501</v>
      </c>
      <c r="F753">
        <v>2.0119760479041902</v>
      </c>
      <c r="L753">
        <v>0</v>
      </c>
      <c r="M753">
        <v>0</v>
      </c>
      <c r="N753">
        <v>0</v>
      </c>
      <c r="O753">
        <v>0</v>
      </c>
    </row>
    <row r="754" spans="1:15">
      <c r="A754" s="19">
        <v>42691</v>
      </c>
      <c r="B754">
        <v>965</v>
      </c>
      <c r="C754">
        <v>977</v>
      </c>
      <c r="D754">
        <v>497</v>
      </c>
      <c r="E754">
        <v>497</v>
      </c>
      <c r="F754">
        <v>1.9657947686116699</v>
      </c>
      <c r="L754">
        <v>0</v>
      </c>
      <c r="M754">
        <v>0</v>
      </c>
      <c r="N754">
        <v>0</v>
      </c>
      <c r="O754">
        <v>0</v>
      </c>
    </row>
    <row r="755" spans="1:15">
      <c r="A755" s="19">
        <v>42690</v>
      </c>
      <c r="B755">
        <v>958</v>
      </c>
      <c r="C755">
        <v>962</v>
      </c>
      <c r="D755">
        <v>495</v>
      </c>
      <c r="E755">
        <v>497</v>
      </c>
      <c r="F755">
        <v>1.93561368209255</v>
      </c>
      <c r="L755">
        <v>0</v>
      </c>
      <c r="M755">
        <v>0</v>
      </c>
      <c r="N755">
        <v>0</v>
      </c>
      <c r="O755">
        <v>0</v>
      </c>
    </row>
    <row r="756" spans="1:15">
      <c r="A756" s="19">
        <v>42689</v>
      </c>
      <c r="B756">
        <v>976</v>
      </c>
      <c r="C756">
        <v>965</v>
      </c>
      <c r="D756">
        <v>497</v>
      </c>
      <c r="E756">
        <v>488</v>
      </c>
      <c r="F756">
        <v>1.97745901639344</v>
      </c>
      <c r="L756">
        <v>0</v>
      </c>
      <c r="M756">
        <v>0</v>
      </c>
      <c r="N756">
        <v>0</v>
      </c>
      <c r="O756">
        <v>0</v>
      </c>
    </row>
    <row r="757" spans="1:15">
      <c r="A757" s="19">
        <v>42688</v>
      </c>
      <c r="B757">
        <v>983</v>
      </c>
      <c r="C757">
        <v>974</v>
      </c>
      <c r="D757">
        <v>498</v>
      </c>
      <c r="E757">
        <v>495</v>
      </c>
      <c r="F757">
        <v>1.9676767676767599</v>
      </c>
      <c r="L757">
        <v>0</v>
      </c>
      <c r="M757">
        <v>0</v>
      </c>
      <c r="N757">
        <v>0</v>
      </c>
      <c r="O757">
        <v>0</v>
      </c>
    </row>
    <row r="758" spans="1:15">
      <c r="A758" s="19">
        <v>42685</v>
      </c>
      <c r="B758">
        <v>996</v>
      </c>
      <c r="C758">
        <v>973</v>
      </c>
      <c r="D758">
        <v>496</v>
      </c>
      <c r="E758">
        <v>486</v>
      </c>
      <c r="F758">
        <v>2.00205761316872</v>
      </c>
      <c r="L758">
        <v>0</v>
      </c>
      <c r="M758">
        <v>0</v>
      </c>
      <c r="N758">
        <v>0</v>
      </c>
      <c r="O758">
        <v>0</v>
      </c>
    </row>
    <row r="759" spans="1:15">
      <c r="A759" s="19">
        <v>42684</v>
      </c>
      <c r="B759">
        <v>995</v>
      </c>
      <c r="C759">
        <v>990</v>
      </c>
      <c r="D759">
        <v>495</v>
      </c>
      <c r="E759">
        <v>491</v>
      </c>
      <c r="F759">
        <v>2.0162932790224</v>
      </c>
      <c r="L759">
        <v>0</v>
      </c>
      <c r="M759">
        <v>0</v>
      </c>
      <c r="N759">
        <v>0</v>
      </c>
      <c r="O759">
        <v>0</v>
      </c>
    </row>
    <row r="760" spans="1:15">
      <c r="A760" s="19">
        <v>42683</v>
      </c>
      <c r="B760">
        <v>997</v>
      </c>
      <c r="C760">
        <v>966</v>
      </c>
      <c r="D760">
        <v>493</v>
      </c>
      <c r="E760">
        <v>472</v>
      </c>
      <c r="F760">
        <v>2.0466101694915202</v>
      </c>
      <c r="L760">
        <v>0</v>
      </c>
      <c r="M760">
        <v>0</v>
      </c>
      <c r="N760">
        <v>0</v>
      </c>
      <c r="O760">
        <v>0</v>
      </c>
    </row>
    <row r="761" spans="1:15">
      <c r="A761" s="19">
        <v>42682</v>
      </c>
      <c r="B761">
        <v>1008</v>
      </c>
      <c r="C761">
        <v>998</v>
      </c>
      <c r="D761">
        <v>497</v>
      </c>
      <c r="E761">
        <v>493</v>
      </c>
      <c r="F761">
        <v>2.0243407707910701</v>
      </c>
      <c r="L761">
        <v>0</v>
      </c>
      <c r="M761">
        <v>0</v>
      </c>
      <c r="N761">
        <v>0</v>
      </c>
      <c r="O761">
        <v>0</v>
      </c>
    </row>
    <row r="762" spans="1:15">
      <c r="A762" s="19">
        <v>42681</v>
      </c>
      <c r="B762">
        <v>1022</v>
      </c>
      <c r="C762">
        <v>1007</v>
      </c>
      <c r="D762">
        <v>496</v>
      </c>
      <c r="E762">
        <v>496</v>
      </c>
      <c r="F762">
        <v>2.0302419354838701</v>
      </c>
      <c r="L762">
        <v>0</v>
      </c>
      <c r="M762">
        <v>0</v>
      </c>
      <c r="N762">
        <v>0</v>
      </c>
      <c r="O762">
        <v>0</v>
      </c>
    </row>
    <row r="763" spans="1:15">
      <c r="A763" s="19">
        <v>42678</v>
      </c>
      <c r="B763">
        <v>1010</v>
      </c>
      <c r="C763">
        <v>1024</v>
      </c>
      <c r="D763">
        <v>507</v>
      </c>
      <c r="E763">
        <v>489</v>
      </c>
      <c r="F763">
        <v>2.0940695296523502</v>
      </c>
      <c r="L763">
        <v>0</v>
      </c>
      <c r="M763">
        <v>0</v>
      </c>
      <c r="N763">
        <v>0</v>
      </c>
      <c r="O763">
        <v>0</v>
      </c>
    </row>
    <row r="764" spans="1:15">
      <c r="A764" s="19">
        <v>42676</v>
      </c>
      <c r="B764">
        <v>1011</v>
      </c>
      <c r="C764">
        <v>1006</v>
      </c>
      <c r="D764">
        <v>515</v>
      </c>
      <c r="E764">
        <v>510</v>
      </c>
      <c r="F764">
        <v>1.9725490196078399</v>
      </c>
      <c r="L764">
        <v>0</v>
      </c>
      <c r="M764">
        <v>0</v>
      </c>
      <c r="N764">
        <v>0</v>
      </c>
      <c r="O764">
        <v>0</v>
      </c>
    </row>
    <row r="765" spans="1:15">
      <c r="A765" s="19">
        <v>42675</v>
      </c>
      <c r="B765">
        <v>1004</v>
      </c>
      <c r="C765">
        <v>1018</v>
      </c>
      <c r="D765">
        <v>518</v>
      </c>
      <c r="E765">
        <v>517</v>
      </c>
      <c r="F765">
        <v>1.96905222437137</v>
      </c>
      <c r="L765">
        <v>0</v>
      </c>
      <c r="M765">
        <v>0</v>
      </c>
      <c r="N765">
        <v>0</v>
      </c>
      <c r="O765">
        <v>0</v>
      </c>
    </row>
    <row r="766" spans="1:15">
      <c r="A766" s="19">
        <v>42674</v>
      </c>
      <c r="B766">
        <v>1040</v>
      </c>
      <c r="C766">
        <v>1035</v>
      </c>
      <c r="D766">
        <v>517</v>
      </c>
      <c r="E766">
        <v>521</v>
      </c>
      <c r="F766">
        <v>1.9865642994241799</v>
      </c>
      <c r="L766">
        <v>0</v>
      </c>
      <c r="M766">
        <v>0</v>
      </c>
      <c r="N766">
        <v>0</v>
      </c>
      <c r="O766">
        <v>0</v>
      </c>
    </row>
    <row r="767" spans="1:15">
      <c r="A767" s="19">
        <v>42671</v>
      </c>
      <c r="B767">
        <v>1025</v>
      </c>
      <c r="C767">
        <v>1032</v>
      </c>
      <c r="D767">
        <v>515</v>
      </c>
      <c r="E767">
        <v>517</v>
      </c>
      <c r="F767">
        <v>1.99613152804642</v>
      </c>
      <c r="L767">
        <v>0</v>
      </c>
      <c r="M767">
        <v>0</v>
      </c>
      <c r="N767">
        <v>0</v>
      </c>
      <c r="O767">
        <v>0</v>
      </c>
    </row>
    <row r="768" spans="1:15">
      <c r="A768" s="19">
        <v>42670</v>
      </c>
      <c r="B768">
        <v>1014</v>
      </c>
      <c r="C768">
        <v>1028</v>
      </c>
      <c r="D768">
        <v>518</v>
      </c>
      <c r="E768">
        <v>514</v>
      </c>
      <c r="F768">
        <v>2</v>
      </c>
      <c r="L768">
        <v>0</v>
      </c>
      <c r="M768">
        <v>0</v>
      </c>
      <c r="N768">
        <v>0</v>
      </c>
      <c r="O768">
        <v>0</v>
      </c>
    </row>
    <row r="769" spans="1:15">
      <c r="A769" s="19">
        <v>42669</v>
      </c>
      <c r="B769">
        <v>991</v>
      </c>
      <c r="C769">
        <v>1009</v>
      </c>
      <c r="D769">
        <v>513</v>
      </c>
      <c r="E769">
        <v>516</v>
      </c>
      <c r="F769">
        <v>1.9554263565891401</v>
      </c>
      <c r="L769">
        <v>0</v>
      </c>
      <c r="M769">
        <v>0</v>
      </c>
      <c r="N769">
        <v>0</v>
      </c>
      <c r="O769">
        <v>0</v>
      </c>
    </row>
    <row r="770" spans="1:15">
      <c r="A770" s="19">
        <v>42668</v>
      </c>
      <c r="B770">
        <v>996</v>
      </c>
      <c r="C770">
        <v>994</v>
      </c>
      <c r="D770">
        <v>521</v>
      </c>
      <c r="E770">
        <v>521</v>
      </c>
      <c r="F770">
        <v>1.9078694817658299</v>
      </c>
      <c r="L770">
        <v>0</v>
      </c>
      <c r="M770">
        <v>0</v>
      </c>
      <c r="N770">
        <v>0</v>
      </c>
      <c r="O770">
        <v>0</v>
      </c>
    </row>
    <row r="771" spans="1:15">
      <c r="A771" s="19">
        <v>42667</v>
      </c>
      <c r="B771">
        <v>993</v>
      </c>
      <c r="C771">
        <v>999</v>
      </c>
      <c r="D771">
        <v>518</v>
      </c>
      <c r="E771">
        <v>519</v>
      </c>
      <c r="F771">
        <v>1.92485549132947</v>
      </c>
      <c r="L771">
        <v>0</v>
      </c>
      <c r="M771">
        <v>0</v>
      </c>
      <c r="N771">
        <v>0</v>
      </c>
      <c r="O771">
        <v>0</v>
      </c>
    </row>
    <row r="772" spans="1:15">
      <c r="A772" s="19">
        <v>42664</v>
      </c>
      <c r="B772">
        <v>988</v>
      </c>
      <c r="C772">
        <v>989</v>
      </c>
      <c r="D772">
        <v>518</v>
      </c>
      <c r="E772">
        <v>518</v>
      </c>
      <c r="F772">
        <v>1.9092664092664</v>
      </c>
      <c r="L772">
        <v>0</v>
      </c>
      <c r="M772">
        <v>0</v>
      </c>
      <c r="N772">
        <v>0</v>
      </c>
      <c r="O772">
        <v>0</v>
      </c>
    </row>
    <row r="773" spans="1:15">
      <c r="A773" s="19">
        <v>42663</v>
      </c>
      <c r="B773">
        <v>970</v>
      </c>
      <c r="C773">
        <v>973</v>
      </c>
      <c r="D773">
        <v>515</v>
      </c>
      <c r="E773">
        <v>515</v>
      </c>
      <c r="F773">
        <v>1.88932038834951</v>
      </c>
      <c r="L773">
        <v>0</v>
      </c>
      <c r="M773">
        <v>0</v>
      </c>
      <c r="N773">
        <v>0</v>
      </c>
      <c r="O773">
        <v>0</v>
      </c>
    </row>
    <row r="774" spans="1:15">
      <c r="A774" s="19">
        <v>42662</v>
      </c>
      <c r="B774">
        <v>982</v>
      </c>
      <c r="C774">
        <v>978</v>
      </c>
      <c r="D774">
        <v>507</v>
      </c>
      <c r="E774">
        <v>512</v>
      </c>
      <c r="F774">
        <v>1.91015625</v>
      </c>
      <c r="L774">
        <v>0</v>
      </c>
      <c r="M774">
        <v>0</v>
      </c>
      <c r="N774">
        <v>0</v>
      </c>
      <c r="O774">
        <v>0</v>
      </c>
    </row>
    <row r="775" spans="1:15">
      <c r="A775" s="19">
        <v>42661</v>
      </c>
      <c r="B775">
        <v>970</v>
      </c>
      <c r="C775">
        <v>984</v>
      </c>
      <c r="D775">
        <v>513</v>
      </c>
      <c r="E775">
        <v>508</v>
      </c>
      <c r="F775">
        <v>1.9370078740157399</v>
      </c>
      <c r="L775">
        <v>0</v>
      </c>
      <c r="M775">
        <v>0</v>
      </c>
      <c r="N775">
        <v>0</v>
      </c>
      <c r="O775">
        <v>0</v>
      </c>
    </row>
    <row r="776" spans="1:15">
      <c r="A776" s="19">
        <v>42660</v>
      </c>
      <c r="B776">
        <v>966</v>
      </c>
      <c r="C776">
        <v>957</v>
      </c>
      <c r="D776">
        <v>508</v>
      </c>
      <c r="E776">
        <v>517</v>
      </c>
      <c r="F776">
        <v>1.8510638297872299</v>
      </c>
      <c r="L776">
        <v>0</v>
      </c>
      <c r="M776">
        <v>0</v>
      </c>
      <c r="N776">
        <v>0</v>
      </c>
      <c r="O776">
        <v>0</v>
      </c>
    </row>
    <row r="777" spans="1:15">
      <c r="A777" s="19"/>
    </row>
  </sheetData>
  <mergeCells count="1">
    <mergeCell ref="A1:C1"/>
  </mergeCells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G42" sqref="G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A1:AH243"/>
  <sheetViews>
    <sheetView workbookViewId="0">
      <selection activeCell="H108" sqref="H108"/>
    </sheetView>
  </sheetViews>
  <sheetFormatPr defaultRowHeight="14.25"/>
  <cols>
    <col min="1" max="1" width="9" style="115"/>
    <col min="4" max="4" width="9.875" customWidth="1"/>
    <col min="22" max="22" width="11.25" customWidth="1"/>
  </cols>
  <sheetData>
    <row r="1" spans="1:34">
      <c r="B1" s="119" t="s">
        <v>60</v>
      </c>
      <c r="C1" s="119" t="s">
        <v>61</v>
      </c>
      <c r="D1" s="119" t="s">
        <v>62</v>
      </c>
      <c r="E1" s="119" t="s">
        <v>63</v>
      </c>
      <c r="F1" s="119" t="s">
        <v>64</v>
      </c>
      <c r="G1" s="119" t="s">
        <v>65</v>
      </c>
      <c r="H1" s="119" t="s">
        <v>66</v>
      </c>
      <c r="I1" s="119" t="s">
        <v>67</v>
      </c>
      <c r="J1" s="119" t="s">
        <v>49</v>
      </c>
      <c r="K1" s="119" t="s">
        <v>68</v>
      </c>
      <c r="L1" s="119" t="s">
        <v>69</v>
      </c>
      <c r="M1" s="119" t="s">
        <v>70</v>
      </c>
      <c r="N1" s="119" t="s">
        <v>71</v>
      </c>
      <c r="O1" s="119" t="s">
        <v>72</v>
      </c>
      <c r="P1" s="119" t="s">
        <v>73</v>
      </c>
      <c r="Q1" s="119" t="s">
        <v>74</v>
      </c>
      <c r="R1" s="119" t="s">
        <v>75</v>
      </c>
      <c r="S1" s="119" t="s">
        <v>76</v>
      </c>
      <c r="T1" s="119" t="s">
        <v>104</v>
      </c>
      <c r="U1" s="119" t="s">
        <v>77</v>
      </c>
      <c r="V1" s="119" t="s">
        <v>78</v>
      </c>
      <c r="W1" s="119" t="s">
        <v>79</v>
      </c>
      <c r="X1" s="119" t="s">
        <v>80</v>
      </c>
      <c r="Y1" s="119" t="s">
        <v>81</v>
      </c>
      <c r="Z1" s="119" t="s">
        <v>82</v>
      </c>
      <c r="AA1" s="119" t="s">
        <v>83</v>
      </c>
      <c r="AB1" s="119" t="s">
        <v>84</v>
      </c>
      <c r="AC1" s="119" t="s">
        <v>85</v>
      </c>
      <c r="AD1" s="119" t="s">
        <v>86</v>
      </c>
      <c r="AE1" s="119" t="s">
        <v>87</v>
      </c>
      <c r="AF1" s="119" t="s">
        <v>105</v>
      </c>
      <c r="AG1" s="119" t="s">
        <v>106</v>
      </c>
      <c r="AH1" s="119" t="s">
        <v>107</v>
      </c>
    </row>
    <row r="2" spans="1:34">
      <c r="A2" s="115">
        <v>47</v>
      </c>
      <c r="B2">
        <v>1942</v>
      </c>
      <c r="C2" s="119" t="s">
        <v>108</v>
      </c>
      <c r="D2" s="119" t="s">
        <v>109</v>
      </c>
      <c r="E2">
        <v>1013</v>
      </c>
      <c r="F2">
        <v>1010</v>
      </c>
      <c r="G2">
        <v>1000</v>
      </c>
      <c r="H2" s="119" t="s">
        <v>90</v>
      </c>
      <c r="I2">
        <v>9412</v>
      </c>
      <c r="J2" s="119" t="s">
        <v>110</v>
      </c>
      <c r="K2" s="119" t="s">
        <v>111</v>
      </c>
      <c r="L2">
        <v>449</v>
      </c>
      <c r="M2">
        <v>440</v>
      </c>
      <c r="N2">
        <v>2300</v>
      </c>
      <c r="O2" s="119" t="s">
        <v>88</v>
      </c>
      <c r="P2">
        <v>0.93448990933300602</v>
      </c>
      <c r="Q2">
        <v>0.94252999686508399</v>
      </c>
      <c r="R2" s="20">
        <v>7.3263024533620002E-5</v>
      </c>
      <c r="S2">
        <v>4.6613885789494698E-4</v>
      </c>
      <c r="T2">
        <v>2.7077254884859401</v>
      </c>
      <c r="U2">
        <v>2.7077254884859401</v>
      </c>
      <c r="V2">
        <v>5.59</v>
      </c>
      <c r="W2">
        <v>0.2</v>
      </c>
      <c r="X2">
        <v>577090</v>
      </c>
      <c r="Y2">
        <v>32061</v>
      </c>
      <c r="Z2">
        <v>1.55</v>
      </c>
      <c r="AA2">
        <v>18</v>
      </c>
      <c r="AB2">
        <v>16</v>
      </c>
      <c r="AC2">
        <v>2</v>
      </c>
      <c r="AD2">
        <v>88.89</v>
      </c>
      <c r="AE2">
        <v>13</v>
      </c>
      <c r="AF2">
        <v>8</v>
      </c>
      <c r="AG2">
        <v>1</v>
      </c>
      <c r="AH2">
        <v>9</v>
      </c>
    </row>
    <row r="3" spans="1:34">
      <c r="A3" s="115">
        <v>50</v>
      </c>
      <c r="B3">
        <v>7189</v>
      </c>
      <c r="C3" s="119" t="s">
        <v>113</v>
      </c>
      <c r="D3" s="119" t="s">
        <v>114</v>
      </c>
      <c r="E3">
        <v>794</v>
      </c>
      <c r="F3">
        <v>775</v>
      </c>
      <c r="G3">
        <v>1400</v>
      </c>
      <c r="H3" s="119" t="s">
        <v>90</v>
      </c>
      <c r="I3">
        <v>7278</v>
      </c>
      <c r="J3" s="119" t="s">
        <v>115</v>
      </c>
      <c r="K3" s="119" t="s">
        <v>116</v>
      </c>
      <c r="L3">
        <v>2205</v>
      </c>
      <c r="M3">
        <v>2171</v>
      </c>
      <c r="N3">
        <v>500</v>
      </c>
      <c r="O3" s="119" t="s">
        <v>88</v>
      </c>
      <c r="P3">
        <v>0.91886864008963898</v>
      </c>
      <c r="Q3">
        <v>0.94115690486913794</v>
      </c>
      <c r="R3" s="20">
        <v>0.39633730970426201</v>
      </c>
      <c r="S3">
        <v>0.122339499708984</v>
      </c>
      <c r="T3">
        <v>1.2413903947262299</v>
      </c>
      <c r="U3">
        <v>1.2413903947262299</v>
      </c>
      <c r="V3">
        <v>3.35</v>
      </c>
      <c r="W3">
        <v>0.05</v>
      </c>
      <c r="X3">
        <v>575872</v>
      </c>
      <c r="Y3">
        <v>30309</v>
      </c>
      <c r="Z3">
        <v>1.56</v>
      </c>
      <c r="AA3">
        <v>19</v>
      </c>
      <c r="AB3">
        <v>12</v>
      </c>
      <c r="AC3">
        <v>7</v>
      </c>
      <c r="AD3">
        <v>63.16</v>
      </c>
      <c r="AE3">
        <v>12</v>
      </c>
      <c r="AF3">
        <v>9</v>
      </c>
      <c r="AG3">
        <v>3</v>
      </c>
      <c r="AH3">
        <v>7</v>
      </c>
    </row>
    <row r="4" spans="1:34">
      <c r="A4" s="115">
        <v>158</v>
      </c>
      <c r="B4">
        <v>3635</v>
      </c>
      <c r="C4" s="119" t="s">
        <v>117</v>
      </c>
      <c r="D4" s="119" t="s">
        <v>111</v>
      </c>
      <c r="E4">
        <v>2368</v>
      </c>
      <c r="F4">
        <v>2389</v>
      </c>
      <c r="G4">
        <v>300</v>
      </c>
      <c r="H4" s="119" t="s">
        <v>88</v>
      </c>
      <c r="I4">
        <v>6920</v>
      </c>
      <c r="J4" s="119" t="s">
        <v>118</v>
      </c>
      <c r="K4" s="119" t="s">
        <v>119</v>
      </c>
      <c r="L4">
        <v>7760</v>
      </c>
      <c r="M4">
        <v>7760</v>
      </c>
      <c r="N4">
        <v>100</v>
      </c>
      <c r="O4" s="119" t="s">
        <v>90</v>
      </c>
      <c r="P4">
        <v>0.91588192558446702</v>
      </c>
      <c r="Q4">
        <v>0.91232646606397105</v>
      </c>
      <c r="R4">
        <v>0.275490980847023</v>
      </c>
      <c r="S4">
        <v>8.7992595614828605E-3</v>
      </c>
      <c r="T4">
        <v>-1.39206876523798</v>
      </c>
      <c r="U4">
        <v>1.39206876523798</v>
      </c>
      <c r="V4">
        <v>-22.66</v>
      </c>
      <c r="W4">
        <v>7.64</v>
      </c>
      <c r="X4">
        <v>548424</v>
      </c>
      <c r="Y4">
        <v>26115</v>
      </c>
      <c r="Z4">
        <v>1.38</v>
      </c>
      <c r="AA4">
        <v>21</v>
      </c>
      <c r="AB4">
        <v>14</v>
      </c>
      <c r="AC4">
        <v>7</v>
      </c>
      <c r="AD4">
        <v>66.67</v>
      </c>
      <c r="AE4">
        <v>10</v>
      </c>
      <c r="AF4">
        <v>10</v>
      </c>
      <c r="AG4">
        <v>6</v>
      </c>
      <c r="AH4">
        <v>5</v>
      </c>
    </row>
    <row r="5" spans="1:34">
      <c r="A5" s="115">
        <v>52</v>
      </c>
      <c r="B5">
        <v>4202</v>
      </c>
      <c r="C5" s="119" t="s">
        <v>122</v>
      </c>
      <c r="D5" s="119" t="s">
        <v>89</v>
      </c>
      <c r="E5">
        <v>943</v>
      </c>
      <c r="F5">
        <v>935</v>
      </c>
      <c r="G5">
        <v>1100</v>
      </c>
      <c r="H5" s="119" t="s">
        <v>88</v>
      </c>
      <c r="I5">
        <v>7189</v>
      </c>
      <c r="J5" s="119" t="s">
        <v>113</v>
      </c>
      <c r="K5" s="119" t="s">
        <v>114</v>
      </c>
      <c r="L5">
        <v>794</v>
      </c>
      <c r="M5">
        <v>775</v>
      </c>
      <c r="N5">
        <v>1300</v>
      </c>
      <c r="O5" s="119" t="s">
        <v>90</v>
      </c>
      <c r="P5">
        <v>0.954068729119673</v>
      </c>
      <c r="Q5">
        <v>0.93977741013732397</v>
      </c>
      <c r="R5">
        <v>0.155726182246814</v>
      </c>
      <c r="S5">
        <v>0.175167513164113</v>
      </c>
      <c r="T5">
        <v>-0.517095298388211</v>
      </c>
      <c r="U5">
        <v>0.517095298388211</v>
      </c>
      <c r="V5">
        <v>-1.25</v>
      </c>
      <c r="W5">
        <v>2.04</v>
      </c>
      <c r="X5">
        <v>527044</v>
      </c>
      <c r="Y5">
        <v>25097</v>
      </c>
      <c r="Z5">
        <v>1.18</v>
      </c>
      <c r="AA5">
        <v>21</v>
      </c>
      <c r="AB5">
        <v>14</v>
      </c>
      <c r="AC5">
        <v>7</v>
      </c>
      <c r="AD5">
        <v>66.67</v>
      </c>
      <c r="AE5">
        <v>14</v>
      </c>
      <c r="AF5">
        <v>10</v>
      </c>
      <c r="AG5">
        <v>2</v>
      </c>
      <c r="AH5">
        <v>9</v>
      </c>
    </row>
    <row r="6" spans="1:34">
      <c r="A6" s="115">
        <v>189</v>
      </c>
      <c r="B6">
        <v>3105</v>
      </c>
      <c r="C6" s="119" t="s">
        <v>123</v>
      </c>
      <c r="D6" s="119" t="s">
        <v>119</v>
      </c>
      <c r="E6">
        <v>887</v>
      </c>
      <c r="F6">
        <v>873</v>
      </c>
      <c r="G6">
        <v>1100</v>
      </c>
      <c r="H6" s="119" t="s">
        <v>88</v>
      </c>
      <c r="I6">
        <v>6995</v>
      </c>
      <c r="J6" s="119" t="s">
        <v>124</v>
      </c>
      <c r="K6" s="119" t="s">
        <v>116</v>
      </c>
      <c r="L6">
        <v>1922</v>
      </c>
      <c r="M6">
        <v>1908</v>
      </c>
      <c r="N6">
        <v>500</v>
      </c>
      <c r="O6" s="119" t="s">
        <v>90</v>
      </c>
      <c r="P6">
        <v>0.92387707087403104</v>
      </c>
      <c r="Q6">
        <v>0.90436585072798104</v>
      </c>
      <c r="R6">
        <v>8.3873216747180096E-2</v>
      </c>
      <c r="S6">
        <v>0.215945887679487</v>
      </c>
      <c r="T6">
        <v>-0.68625362980409299</v>
      </c>
      <c r="U6">
        <v>0.68625362980409299</v>
      </c>
      <c r="V6">
        <v>-2.0099999999999998</v>
      </c>
      <c r="W6">
        <v>0.66</v>
      </c>
      <c r="X6">
        <v>520544</v>
      </c>
      <c r="Y6">
        <v>30620</v>
      </c>
      <c r="Z6">
        <v>1.48</v>
      </c>
      <c r="AA6">
        <v>17</v>
      </c>
      <c r="AB6">
        <v>10</v>
      </c>
      <c r="AC6">
        <v>7</v>
      </c>
      <c r="AD6">
        <v>58.82</v>
      </c>
      <c r="AE6">
        <v>12</v>
      </c>
      <c r="AF6">
        <v>8</v>
      </c>
      <c r="AG6">
        <v>1</v>
      </c>
      <c r="AH6">
        <v>8</v>
      </c>
    </row>
    <row r="7" spans="1:34">
      <c r="A7" s="115">
        <v>201</v>
      </c>
      <c r="B7">
        <v>5411</v>
      </c>
      <c r="C7" s="119" t="s">
        <v>125</v>
      </c>
      <c r="D7" s="119" t="s">
        <v>126</v>
      </c>
      <c r="E7">
        <v>1311</v>
      </c>
      <c r="F7">
        <v>1301.5</v>
      </c>
      <c r="G7">
        <v>700</v>
      </c>
      <c r="H7" s="119" t="s">
        <v>88</v>
      </c>
      <c r="I7">
        <v>7731</v>
      </c>
      <c r="J7" s="119" t="s">
        <v>127</v>
      </c>
      <c r="K7" s="119" t="s">
        <v>128</v>
      </c>
      <c r="L7">
        <v>1391</v>
      </c>
      <c r="M7">
        <v>1376</v>
      </c>
      <c r="N7">
        <v>700</v>
      </c>
      <c r="O7" s="119" t="s">
        <v>90</v>
      </c>
      <c r="P7">
        <v>0.94394310374490698</v>
      </c>
      <c r="Q7">
        <v>0.90193408068435099</v>
      </c>
      <c r="R7">
        <v>4.7366501362816199E-2</v>
      </c>
      <c r="S7">
        <v>0.137706607910308</v>
      </c>
      <c r="T7">
        <v>-0.60477396820889195</v>
      </c>
      <c r="U7">
        <v>0.60477396820889195</v>
      </c>
      <c r="V7">
        <v>-1.83</v>
      </c>
      <c r="W7">
        <v>5.41</v>
      </c>
      <c r="X7">
        <v>494382</v>
      </c>
      <c r="Y7">
        <v>27466</v>
      </c>
      <c r="Z7">
        <v>1.42</v>
      </c>
      <c r="AA7">
        <v>18</v>
      </c>
      <c r="AB7">
        <v>14</v>
      </c>
      <c r="AC7">
        <v>4</v>
      </c>
      <c r="AD7">
        <v>77.78</v>
      </c>
      <c r="AE7">
        <v>12</v>
      </c>
      <c r="AF7">
        <v>9</v>
      </c>
      <c r="AG7">
        <v>2</v>
      </c>
      <c r="AH7">
        <v>7</v>
      </c>
    </row>
    <row r="8" spans="1:34">
      <c r="A8" s="115">
        <v>188</v>
      </c>
      <c r="B8">
        <v>7278</v>
      </c>
      <c r="C8" s="119" t="s">
        <v>115</v>
      </c>
      <c r="D8" s="119" t="s">
        <v>116</v>
      </c>
      <c r="E8">
        <v>2205</v>
      </c>
      <c r="F8">
        <v>2171</v>
      </c>
      <c r="G8">
        <v>500</v>
      </c>
      <c r="H8" s="119" t="s">
        <v>90</v>
      </c>
      <c r="I8">
        <v>8377</v>
      </c>
      <c r="J8" s="119" t="s">
        <v>129</v>
      </c>
      <c r="K8" s="119" t="s">
        <v>114</v>
      </c>
      <c r="L8">
        <v>1061</v>
      </c>
      <c r="M8">
        <v>1041</v>
      </c>
      <c r="N8">
        <v>1000</v>
      </c>
      <c r="O8" s="119" t="s">
        <v>88</v>
      </c>
      <c r="P8">
        <v>0.94182738962639401</v>
      </c>
      <c r="Q8">
        <v>0.90442924690807203</v>
      </c>
      <c r="R8">
        <v>0.23784059135577601</v>
      </c>
      <c r="S8">
        <v>0.25336923500053399</v>
      </c>
      <c r="T8">
        <v>1.38720837642257</v>
      </c>
      <c r="U8">
        <v>1.38720837642257</v>
      </c>
      <c r="V8">
        <v>3.17</v>
      </c>
      <c r="W8">
        <v>4.0999999999999996</v>
      </c>
      <c r="X8">
        <v>488333</v>
      </c>
      <c r="Y8">
        <v>28725</v>
      </c>
      <c r="Z8">
        <v>1.46</v>
      </c>
      <c r="AA8">
        <v>17</v>
      </c>
      <c r="AB8">
        <v>13</v>
      </c>
      <c r="AC8">
        <v>4</v>
      </c>
      <c r="AD8">
        <v>76.47</v>
      </c>
      <c r="AE8">
        <v>13</v>
      </c>
      <c r="AF8">
        <v>10</v>
      </c>
      <c r="AG8">
        <v>2</v>
      </c>
      <c r="AH8">
        <v>5</v>
      </c>
    </row>
    <row r="9" spans="1:34">
      <c r="A9" s="115">
        <v>7</v>
      </c>
      <c r="B9">
        <v>3099</v>
      </c>
      <c r="C9" s="119" t="s">
        <v>91</v>
      </c>
      <c r="D9" s="119" t="s">
        <v>130</v>
      </c>
      <c r="E9">
        <v>879</v>
      </c>
      <c r="F9">
        <v>872</v>
      </c>
      <c r="G9">
        <v>1200</v>
      </c>
      <c r="H9" s="119" t="s">
        <v>88</v>
      </c>
      <c r="I9">
        <v>7189</v>
      </c>
      <c r="J9" s="119" t="s">
        <v>113</v>
      </c>
      <c r="K9" s="119" t="s">
        <v>114</v>
      </c>
      <c r="L9">
        <v>794</v>
      </c>
      <c r="M9">
        <v>775</v>
      </c>
      <c r="N9">
        <v>1400</v>
      </c>
      <c r="O9" s="119" t="s">
        <v>90</v>
      </c>
      <c r="P9">
        <v>0.90676180931589601</v>
      </c>
      <c r="Q9">
        <v>0.96392299938624504</v>
      </c>
      <c r="R9">
        <v>0.30648684938313497</v>
      </c>
      <c r="S9">
        <v>6.1232752738045598E-2</v>
      </c>
      <c r="T9">
        <v>-0.96068137692101496</v>
      </c>
      <c r="U9">
        <v>0.96068137692101496</v>
      </c>
      <c r="V9">
        <v>-3.04</v>
      </c>
      <c r="W9">
        <v>3.69</v>
      </c>
      <c r="X9">
        <v>474842</v>
      </c>
      <c r="Y9">
        <v>31656</v>
      </c>
      <c r="Z9">
        <v>1.55</v>
      </c>
      <c r="AA9">
        <v>15</v>
      </c>
      <c r="AB9">
        <v>10</v>
      </c>
      <c r="AC9">
        <v>5</v>
      </c>
      <c r="AD9">
        <v>66.67</v>
      </c>
      <c r="AE9">
        <v>12</v>
      </c>
      <c r="AF9">
        <v>8</v>
      </c>
      <c r="AG9">
        <v>0</v>
      </c>
      <c r="AH9">
        <v>7</v>
      </c>
    </row>
    <row r="10" spans="1:34">
      <c r="A10" s="115">
        <v>65</v>
      </c>
      <c r="B10">
        <v>2914</v>
      </c>
      <c r="C10" s="119" t="s">
        <v>131</v>
      </c>
      <c r="D10" s="119" t="s">
        <v>132</v>
      </c>
      <c r="E10">
        <v>2400</v>
      </c>
      <c r="F10">
        <v>2397.5</v>
      </c>
      <c r="G10">
        <v>400</v>
      </c>
      <c r="H10" s="119" t="s">
        <v>88</v>
      </c>
      <c r="I10">
        <v>7189</v>
      </c>
      <c r="J10" s="119" t="s">
        <v>113</v>
      </c>
      <c r="K10" s="119" t="s">
        <v>114</v>
      </c>
      <c r="L10">
        <v>794</v>
      </c>
      <c r="M10">
        <v>775</v>
      </c>
      <c r="N10">
        <v>1200</v>
      </c>
      <c r="O10" s="119" t="s">
        <v>90</v>
      </c>
      <c r="P10">
        <v>0.93999487053402297</v>
      </c>
      <c r="Q10">
        <v>0.93555785640812605</v>
      </c>
      <c r="R10">
        <v>4.78265376227432E-2</v>
      </c>
      <c r="S10">
        <v>0.369922242021059</v>
      </c>
      <c r="T10">
        <v>-0.86223440222853998</v>
      </c>
      <c r="U10">
        <v>0.86223440222853998</v>
      </c>
      <c r="V10">
        <v>-4.13</v>
      </c>
      <c r="W10">
        <v>3.02</v>
      </c>
      <c r="X10">
        <v>472123</v>
      </c>
      <c r="Y10">
        <v>22482</v>
      </c>
      <c r="Z10">
        <v>1.1299999999999999</v>
      </c>
      <c r="AA10">
        <v>21</v>
      </c>
      <c r="AB10">
        <v>15</v>
      </c>
      <c r="AC10">
        <v>6</v>
      </c>
      <c r="AD10">
        <v>71.430000000000007</v>
      </c>
      <c r="AE10">
        <v>13</v>
      </c>
      <c r="AF10">
        <v>11</v>
      </c>
      <c r="AG10">
        <v>3</v>
      </c>
      <c r="AH10">
        <v>7</v>
      </c>
    </row>
    <row r="11" spans="1:34">
      <c r="A11" s="115">
        <v>155</v>
      </c>
      <c r="B11">
        <v>6770</v>
      </c>
      <c r="C11" s="119" t="s">
        <v>50</v>
      </c>
      <c r="D11" s="119" t="s">
        <v>119</v>
      </c>
      <c r="E11">
        <v>2154</v>
      </c>
      <c r="F11">
        <v>2125</v>
      </c>
      <c r="G11">
        <v>400</v>
      </c>
      <c r="H11" s="119" t="s">
        <v>88</v>
      </c>
      <c r="I11">
        <v>7453</v>
      </c>
      <c r="J11" s="119" t="s">
        <v>142</v>
      </c>
      <c r="K11" s="119" t="s">
        <v>130</v>
      </c>
      <c r="L11">
        <v>2246</v>
      </c>
      <c r="M11">
        <v>2283</v>
      </c>
      <c r="N11">
        <v>400</v>
      </c>
      <c r="O11" s="119" t="s">
        <v>90</v>
      </c>
      <c r="P11">
        <v>0.90984982563443995</v>
      </c>
      <c r="Q11">
        <v>0.91298317091431702</v>
      </c>
      <c r="R11">
        <v>2.37676019396664E-2</v>
      </c>
      <c r="S11">
        <v>0.16697973317393999</v>
      </c>
      <c r="T11">
        <v>-1.4045239268433001</v>
      </c>
      <c r="U11">
        <v>1.4045239268433001</v>
      </c>
      <c r="V11">
        <v>-4.8499999999999996</v>
      </c>
      <c r="W11">
        <v>6.92</v>
      </c>
      <c r="X11">
        <v>467120</v>
      </c>
      <c r="Y11">
        <v>35932</v>
      </c>
      <c r="Z11">
        <v>1.88</v>
      </c>
      <c r="AA11">
        <v>13</v>
      </c>
      <c r="AB11">
        <v>10</v>
      </c>
      <c r="AC11">
        <v>3</v>
      </c>
      <c r="AD11">
        <v>76.92</v>
      </c>
      <c r="AE11">
        <v>8</v>
      </c>
      <c r="AF11">
        <v>10</v>
      </c>
      <c r="AG11">
        <v>2</v>
      </c>
      <c r="AH11">
        <v>1</v>
      </c>
    </row>
    <row r="12" spans="1:34">
      <c r="A12" s="115">
        <v>117</v>
      </c>
      <c r="B12">
        <v>4182</v>
      </c>
      <c r="C12" s="119" t="s">
        <v>120</v>
      </c>
      <c r="D12" s="119" t="s">
        <v>89</v>
      </c>
      <c r="E12">
        <v>1498</v>
      </c>
      <c r="F12">
        <v>1498</v>
      </c>
      <c r="G12">
        <v>600</v>
      </c>
      <c r="H12" s="119" t="s">
        <v>90</v>
      </c>
      <c r="I12">
        <v>4208</v>
      </c>
      <c r="J12" s="119" t="s">
        <v>133</v>
      </c>
      <c r="K12" s="119" t="s">
        <v>89</v>
      </c>
      <c r="L12">
        <v>2266</v>
      </c>
      <c r="M12">
        <v>2255</v>
      </c>
      <c r="N12">
        <v>400</v>
      </c>
      <c r="O12" s="119" t="s">
        <v>88</v>
      </c>
      <c r="P12">
        <v>0.95996477906020905</v>
      </c>
      <c r="Q12">
        <v>0.92158283202500801</v>
      </c>
      <c r="R12">
        <v>0.160579710306858</v>
      </c>
      <c r="S12">
        <v>5.4549388829866499E-2</v>
      </c>
      <c r="T12">
        <v>1.36180581560854</v>
      </c>
      <c r="U12">
        <v>1.36180581560854</v>
      </c>
      <c r="V12">
        <v>3.94</v>
      </c>
      <c r="W12">
        <v>0.35</v>
      </c>
      <c r="X12">
        <v>436610</v>
      </c>
      <c r="Y12">
        <v>21830</v>
      </c>
      <c r="Z12">
        <v>1.1100000000000001</v>
      </c>
      <c r="AA12">
        <v>20</v>
      </c>
      <c r="AB12">
        <v>15</v>
      </c>
      <c r="AC12">
        <v>5</v>
      </c>
      <c r="AD12">
        <v>75</v>
      </c>
      <c r="AE12">
        <v>13</v>
      </c>
      <c r="AF12">
        <v>10</v>
      </c>
      <c r="AG12">
        <v>2</v>
      </c>
      <c r="AH12">
        <v>8</v>
      </c>
    </row>
    <row r="13" spans="1:34">
      <c r="A13" s="115">
        <v>22</v>
      </c>
      <c r="B13">
        <v>4182</v>
      </c>
      <c r="C13" s="119" t="s">
        <v>120</v>
      </c>
      <c r="D13" s="119" t="s">
        <v>89</v>
      </c>
      <c r="E13">
        <v>1498</v>
      </c>
      <c r="F13">
        <v>1498</v>
      </c>
      <c r="G13">
        <v>700</v>
      </c>
      <c r="H13" s="119" t="s">
        <v>90</v>
      </c>
      <c r="I13">
        <v>7211</v>
      </c>
      <c r="J13" s="119" t="s">
        <v>56</v>
      </c>
      <c r="K13" s="119" t="s">
        <v>116</v>
      </c>
      <c r="L13">
        <v>488</v>
      </c>
      <c r="M13">
        <v>493</v>
      </c>
      <c r="N13">
        <v>2100</v>
      </c>
      <c r="O13" s="119" t="s">
        <v>88</v>
      </c>
      <c r="P13">
        <v>0.91213940478991495</v>
      </c>
      <c r="Q13">
        <v>0.95320868199782105</v>
      </c>
      <c r="R13">
        <v>0.18850004429297301</v>
      </c>
      <c r="S13">
        <v>3.78903617523485E-3</v>
      </c>
      <c r="T13">
        <v>1.4922424318706</v>
      </c>
      <c r="U13">
        <v>1.4922424318706</v>
      </c>
      <c r="V13">
        <v>4.7300000000000004</v>
      </c>
      <c r="W13">
        <v>1.27</v>
      </c>
      <c r="X13">
        <v>432591</v>
      </c>
      <c r="Y13">
        <v>25447</v>
      </c>
      <c r="Z13">
        <v>1.22</v>
      </c>
      <c r="AA13">
        <v>17</v>
      </c>
      <c r="AB13">
        <v>12</v>
      </c>
      <c r="AC13">
        <v>5</v>
      </c>
      <c r="AD13">
        <v>70.59</v>
      </c>
      <c r="AE13">
        <v>11</v>
      </c>
      <c r="AF13">
        <v>9</v>
      </c>
      <c r="AG13">
        <v>3</v>
      </c>
      <c r="AH13">
        <v>5</v>
      </c>
    </row>
    <row r="14" spans="1:34">
      <c r="A14" s="115">
        <v>184</v>
      </c>
      <c r="B14">
        <v>7731</v>
      </c>
      <c r="C14" s="119" t="s">
        <v>127</v>
      </c>
      <c r="D14" s="119" t="s">
        <v>128</v>
      </c>
      <c r="E14">
        <v>1391</v>
      </c>
      <c r="F14">
        <v>1376</v>
      </c>
      <c r="G14">
        <v>700</v>
      </c>
      <c r="H14" s="119" t="s">
        <v>90</v>
      </c>
      <c r="I14">
        <v>9404</v>
      </c>
      <c r="J14" s="119" t="s">
        <v>134</v>
      </c>
      <c r="K14" s="119" t="s">
        <v>111</v>
      </c>
      <c r="L14">
        <v>1436</v>
      </c>
      <c r="M14">
        <v>1420</v>
      </c>
      <c r="N14">
        <v>700</v>
      </c>
      <c r="O14" s="119" t="s">
        <v>88</v>
      </c>
      <c r="P14">
        <v>0.90175203689762296</v>
      </c>
      <c r="Q14">
        <v>0.90494797621797796</v>
      </c>
      <c r="R14">
        <v>2.61669351369581E-2</v>
      </c>
      <c r="S14">
        <v>3.4171176598485502E-2</v>
      </c>
      <c r="T14">
        <v>0.53562915154713597</v>
      </c>
      <c r="U14">
        <v>0.53562915154713597</v>
      </c>
      <c r="V14">
        <v>1.26</v>
      </c>
      <c r="W14">
        <v>3.1</v>
      </c>
      <c r="X14">
        <v>428868</v>
      </c>
      <c r="Y14">
        <v>23826</v>
      </c>
      <c r="Z14">
        <v>1.2</v>
      </c>
      <c r="AA14">
        <v>18</v>
      </c>
      <c r="AB14">
        <v>13</v>
      </c>
      <c r="AC14">
        <v>5</v>
      </c>
      <c r="AD14">
        <v>72.22</v>
      </c>
      <c r="AE14">
        <v>12</v>
      </c>
      <c r="AF14">
        <v>11</v>
      </c>
      <c r="AG14">
        <v>3</v>
      </c>
      <c r="AH14">
        <v>4</v>
      </c>
    </row>
    <row r="15" spans="1:34">
      <c r="A15" s="115">
        <v>89</v>
      </c>
      <c r="B15">
        <v>7167</v>
      </c>
      <c r="C15" s="119" t="s">
        <v>138</v>
      </c>
      <c r="D15" s="119" t="s">
        <v>114</v>
      </c>
      <c r="E15">
        <v>270</v>
      </c>
      <c r="F15">
        <v>264</v>
      </c>
      <c r="G15">
        <v>4100</v>
      </c>
      <c r="H15" s="119" t="s">
        <v>88</v>
      </c>
      <c r="I15">
        <v>7278</v>
      </c>
      <c r="J15" s="119" t="s">
        <v>115</v>
      </c>
      <c r="K15" s="119" t="s">
        <v>116</v>
      </c>
      <c r="L15">
        <v>2205</v>
      </c>
      <c r="M15">
        <v>2171</v>
      </c>
      <c r="N15">
        <v>500</v>
      </c>
      <c r="O15" s="119" t="s">
        <v>90</v>
      </c>
      <c r="P15">
        <v>0.95031005201563401</v>
      </c>
      <c r="Q15">
        <v>0.92905363484180903</v>
      </c>
      <c r="R15">
        <v>0.18432594655883699</v>
      </c>
      <c r="S15">
        <v>6.5831269542713594E-2</v>
      </c>
      <c r="T15">
        <v>-0.58310408988191997</v>
      </c>
      <c r="U15">
        <v>0.58310408988191997</v>
      </c>
      <c r="V15">
        <v>-1.1200000000000001</v>
      </c>
      <c r="W15">
        <v>0.28999999999999998</v>
      </c>
      <c r="X15">
        <v>418093</v>
      </c>
      <c r="Y15">
        <v>24594</v>
      </c>
      <c r="Z15">
        <v>1.1200000000000001</v>
      </c>
      <c r="AA15">
        <v>17</v>
      </c>
      <c r="AB15">
        <v>10</v>
      </c>
      <c r="AC15">
        <v>7</v>
      </c>
      <c r="AD15">
        <v>58.82</v>
      </c>
      <c r="AE15">
        <v>14</v>
      </c>
      <c r="AF15">
        <v>7</v>
      </c>
      <c r="AG15">
        <v>1</v>
      </c>
      <c r="AH15">
        <v>9</v>
      </c>
    </row>
    <row r="16" spans="1:34">
      <c r="A16" s="115">
        <v>32</v>
      </c>
      <c r="B16">
        <v>1911</v>
      </c>
      <c r="C16" s="119" t="s">
        <v>141</v>
      </c>
      <c r="D16" s="119" t="s">
        <v>109</v>
      </c>
      <c r="E16">
        <v>1520</v>
      </c>
      <c r="F16">
        <v>1514</v>
      </c>
      <c r="G16">
        <v>700</v>
      </c>
      <c r="H16" s="119" t="s">
        <v>90</v>
      </c>
      <c r="I16">
        <v>6770</v>
      </c>
      <c r="J16" s="119" t="s">
        <v>50</v>
      </c>
      <c r="K16" s="119" t="s">
        <v>119</v>
      </c>
      <c r="L16">
        <v>2154</v>
      </c>
      <c r="M16">
        <v>2125</v>
      </c>
      <c r="N16">
        <v>500</v>
      </c>
      <c r="O16" s="119" t="s">
        <v>88</v>
      </c>
      <c r="P16">
        <v>0.94546498943743496</v>
      </c>
      <c r="Q16">
        <v>0.94897068951350605</v>
      </c>
      <c r="R16">
        <v>7.4502128069272602E-2</v>
      </c>
      <c r="S16">
        <v>2.2484691698417599E-2</v>
      </c>
      <c r="T16">
        <v>0.333557871951214</v>
      </c>
      <c r="U16">
        <v>0.333557871951214</v>
      </c>
      <c r="V16">
        <v>0.7</v>
      </c>
      <c r="W16">
        <v>0.25</v>
      </c>
      <c r="X16">
        <v>404835</v>
      </c>
      <c r="Y16">
        <v>23814</v>
      </c>
      <c r="Z16">
        <v>1.25</v>
      </c>
      <c r="AA16">
        <v>17</v>
      </c>
      <c r="AB16">
        <v>13</v>
      </c>
      <c r="AC16">
        <v>4</v>
      </c>
      <c r="AD16">
        <v>76.47</v>
      </c>
      <c r="AE16">
        <v>11</v>
      </c>
      <c r="AF16">
        <v>10</v>
      </c>
      <c r="AG16">
        <v>2</v>
      </c>
      <c r="AH16">
        <v>5</v>
      </c>
    </row>
    <row r="17" spans="1:34">
      <c r="A17" s="115">
        <v>146</v>
      </c>
      <c r="B17">
        <v>8002</v>
      </c>
      <c r="C17" s="119" t="s">
        <v>57</v>
      </c>
      <c r="D17" s="119" t="s">
        <v>139</v>
      </c>
      <c r="E17">
        <v>736.5</v>
      </c>
      <c r="F17">
        <v>731.6</v>
      </c>
      <c r="G17">
        <v>1500</v>
      </c>
      <c r="H17" s="119" t="s">
        <v>88</v>
      </c>
      <c r="I17">
        <v>8308</v>
      </c>
      <c r="J17" s="119" t="s">
        <v>140</v>
      </c>
      <c r="K17" s="119" t="s">
        <v>114</v>
      </c>
      <c r="L17">
        <v>459.2</v>
      </c>
      <c r="M17">
        <v>458.6</v>
      </c>
      <c r="N17">
        <v>2400</v>
      </c>
      <c r="O17" s="119" t="s">
        <v>90</v>
      </c>
      <c r="P17">
        <v>0.91182693447419605</v>
      </c>
      <c r="Q17">
        <v>0.915522572436409</v>
      </c>
      <c r="R17">
        <v>0.25498837971878902</v>
      </c>
      <c r="S17">
        <v>0.18756025887368799</v>
      </c>
      <c r="T17">
        <v>-5.0321740790851499E-2</v>
      </c>
      <c r="U17">
        <v>5.0321740790851499E-2</v>
      </c>
      <c r="V17">
        <v>-0.11</v>
      </c>
      <c r="W17">
        <v>0.3</v>
      </c>
      <c r="X17">
        <v>390665</v>
      </c>
      <c r="Y17">
        <v>24417</v>
      </c>
      <c r="Z17">
        <v>1.1499999999999999</v>
      </c>
      <c r="AA17">
        <v>16</v>
      </c>
      <c r="AB17">
        <v>12</v>
      </c>
      <c r="AC17">
        <v>4</v>
      </c>
      <c r="AD17">
        <v>75</v>
      </c>
      <c r="AE17">
        <v>15</v>
      </c>
      <c r="AF17">
        <v>6</v>
      </c>
      <c r="AG17">
        <v>1</v>
      </c>
      <c r="AH17">
        <v>9</v>
      </c>
    </row>
    <row r="18" spans="1:34">
      <c r="A18" s="115">
        <v>105</v>
      </c>
      <c r="B18">
        <v>3291</v>
      </c>
      <c r="C18" s="119" t="s">
        <v>157</v>
      </c>
      <c r="D18" s="119" t="s">
        <v>158</v>
      </c>
      <c r="E18">
        <v>1776</v>
      </c>
      <c r="F18">
        <v>1758</v>
      </c>
      <c r="G18">
        <v>600</v>
      </c>
      <c r="H18" s="119" t="s">
        <v>88</v>
      </c>
      <c r="I18">
        <v>5991</v>
      </c>
      <c r="J18" s="119" t="s">
        <v>159</v>
      </c>
      <c r="K18" s="119" t="s">
        <v>160</v>
      </c>
      <c r="L18">
        <v>864</v>
      </c>
      <c r="M18">
        <v>857</v>
      </c>
      <c r="N18">
        <v>1200</v>
      </c>
      <c r="O18" s="119" t="s">
        <v>90</v>
      </c>
      <c r="P18">
        <v>0.94627651393272205</v>
      </c>
      <c r="Q18">
        <v>0.92643338692576205</v>
      </c>
      <c r="R18">
        <v>2.5452411870711101E-3</v>
      </c>
      <c r="S18">
        <v>1.73685704935461E-4</v>
      </c>
      <c r="T18">
        <v>-1.7166876958538999</v>
      </c>
      <c r="U18">
        <v>1.7166876958538999</v>
      </c>
      <c r="V18">
        <v>-4.66</v>
      </c>
      <c r="W18">
        <v>2.5</v>
      </c>
      <c r="X18">
        <v>379221</v>
      </c>
      <c r="Y18">
        <v>18058</v>
      </c>
      <c r="Z18">
        <v>0.88</v>
      </c>
      <c r="AA18">
        <v>21</v>
      </c>
      <c r="AB18">
        <v>14</v>
      </c>
      <c r="AC18">
        <v>7</v>
      </c>
      <c r="AD18">
        <v>66.67</v>
      </c>
      <c r="AE18">
        <v>14</v>
      </c>
      <c r="AF18">
        <v>9</v>
      </c>
      <c r="AG18">
        <v>3</v>
      </c>
      <c r="AH18">
        <v>9</v>
      </c>
    </row>
    <row r="19" spans="1:34">
      <c r="A19" s="115">
        <v>192</v>
      </c>
      <c r="B19">
        <v>5393</v>
      </c>
      <c r="C19" s="119" t="s">
        <v>145</v>
      </c>
      <c r="D19" s="119" t="s">
        <v>146</v>
      </c>
      <c r="E19">
        <v>2031</v>
      </c>
      <c r="F19">
        <v>2046</v>
      </c>
      <c r="G19">
        <v>500</v>
      </c>
      <c r="H19" s="119" t="s">
        <v>90</v>
      </c>
      <c r="I19">
        <v>7762</v>
      </c>
      <c r="J19" s="119" t="s">
        <v>147</v>
      </c>
      <c r="K19" s="119" t="s">
        <v>128</v>
      </c>
      <c r="L19">
        <v>553</v>
      </c>
      <c r="M19">
        <v>550</v>
      </c>
      <c r="N19">
        <v>1900</v>
      </c>
      <c r="O19" s="119" t="s">
        <v>88</v>
      </c>
      <c r="P19">
        <v>0.90528704087658596</v>
      </c>
      <c r="Q19">
        <v>0.90331976269685499</v>
      </c>
      <c r="R19">
        <v>8.50721385847358E-3</v>
      </c>
      <c r="S19">
        <v>0.16363336466072001</v>
      </c>
      <c r="T19">
        <v>2.7722320246841101</v>
      </c>
      <c r="U19">
        <v>2.7722320246841101</v>
      </c>
      <c r="V19">
        <v>5.73</v>
      </c>
      <c r="W19">
        <v>2.15</v>
      </c>
      <c r="X19">
        <v>370950</v>
      </c>
      <c r="Y19">
        <v>23184</v>
      </c>
      <c r="Z19">
        <v>1.1000000000000001</v>
      </c>
      <c r="AA19">
        <v>16</v>
      </c>
      <c r="AB19">
        <v>11</v>
      </c>
      <c r="AC19">
        <v>5</v>
      </c>
      <c r="AD19">
        <v>68.75</v>
      </c>
      <c r="AE19">
        <v>9</v>
      </c>
      <c r="AF19">
        <v>9</v>
      </c>
      <c r="AG19">
        <v>1</v>
      </c>
      <c r="AH19">
        <v>6</v>
      </c>
    </row>
    <row r="20" spans="1:34">
      <c r="A20" s="115">
        <v>68</v>
      </c>
      <c r="B20">
        <v>6371</v>
      </c>
      <c r="C20" s="119" t="s">
        <v>148</v>
      </c>
      <c r="D20" s="119" t="s">
        <v>136</v>
      </c>
      <c r="E20">
        <v>3550</v>
      </c>
      <c r="F20">
        <v>3520</v>
      </c>
      <c r="G20">
        <v>300</v>
      </c>
      <c r="H20" s="119" t="s">
        <v>90</v>
      </c>
      <c r="I20">
        <v>7278</v>
      </c>
      <c r="J20" s="119" t="s">
        <v>115</v>
      </c>
      <c r="K20" s="119" t="s">
        <v>116</v>
      </c>
      <c r="L20">
        <v>2205</v>
      </c>
      <c r="M20">
        <v>2171</v>
      </c>
      <c r="N20">
        <v>500</v>
      </c>
      <c r="O20" s="119" t="s">
        <v>88</v>
      </c>
      <c r="P20">
        <v>0.96845979803225501</v>
      </c>
      <c r="Q20">
        <v>0.93506977234709698</v>
      </c>
      <c r="R20">
        <v>2.0391785287263799E-2</v>
      </c>
      <c r="S20">
        <v>6.2770830882008704E-3</v>
      </c>
      <c r="T20">
        <v>0.38165903465140499</v>
      </c>
      <c r="U20">
        <v>0.38165903465140499</v>
      </c>
      <c r="V20">
        <v>0.72</v>
      </c>
      <c r="W20">
        <v>2.79</v>
      </c>
      <c r="X20">
        <v>367982</v>
      </c>
      <c r="Y20">
        <v>36798</v>
      </c>
      <c r="Z20">
        <v>2.11</v>
      </c>
      <c r="AA20">
        <v>10</v>
      </c>
      <c r="AB20">
        <v>7</v>
      </c>
      <c r="AC20">
        <v>3</v>
      </c>
      <c r="AD20">
        <v>70</v>
      </c>
      <c r="AE20">
        <v>10</v>
      </c>
      <c r="AF20">
        <v>6</v>
      </c>
      <c r="AG20">
        <v>0</v>
      </c>
      <c r="AH20">
        <v>4</v>
      </c>
    </row>
    <row r="21" spans="1:34">
      <c r="A21" s="115">
        <v>62</v>
      </c>
      <c r="B21">
        <v>3861</v>
      </c>
      <c r="C21" s="119" t="s">
        <v>93</v>
      </c>
      <c r="D21" s="119" t="s">
        <v>112</v>
      </c>
      <c r="E21">
        <v>548</v>
      </c>
      <c r="F21">
        <v>541</v>
      </c>
      <c r="G21">
        <v>1900</v>
      </c>
      <c r="H21" s="119" t="s">
        <v>90</v>
      </c>
      <c r="I21">
        <v>5411</v>
      </c>
      <c r="J21" s="119" t="s">
        <v>125</v>
      </c>
      <c r="K21" s="119" t="s">
        <v>126</v>
      </c>
      <c r="L21">
        <v>1311</v>
      </c>
      <c r="M21">
        <v>1301.5</v>
      </c>
      <c r="N21">
        <v>800</v>
      </c>
      <c r="O21" s="119" t="s">
        <v>88</v>
      </c>
      <c r="P21">
        <v>0.94829030123563696</v>
      </c>
      <c r="Q21">
        <v>0.93695721181000502</v>
      </c>
      <c r="R21">
        <v>3.8015905264581602E-2</v>
      </c>
      <c r="S21">
        <v>0.26624858106601501</v>
      </c>
      <c r="T21">
        <v>2.89828663342242</v>
      </c>
      <c r="U21">
        <v>2.89828663342242</v>
      </c>
      <c r="V21">
        <v>5.72</v>
      </c>
      <c r="W21">
        <v>1.28</v>
      </c>
      <c r="X21">
        <v>360840</v>
      </c>
      <c r="Y21">
        <v>20047</v>
      </c>
      <c r="Z21">
        <v>0.93</v>
      </c>
      <c r="AA21">
        <v>18</v>
      </c>
      <c r="AB21">
        <v>11</v>
      </c>
      <c r="AC21">
        <v>7</v>
      </c>
      <c r="AD21">
        <v>61.11</v>
      </c>
      <c r="AE21">
        <v>13</v>
      </c>
      <c r="AF21">
        <v>7</v>
      </c>
      <c r="AG21">
        <v>3</v>
      </c>
      <c r="AH21">
        <v>8</v>
      </c>
    </row>
    <row r="22" spans="1:34">
      <c r="A22" s="115">
        <v>84</v>
      </c>
      <c r="B22">
        <v>7186</v>
      </c>
      <c r="C22" s="119" t="s">
        <v>51</v>
      </c>
      <c r="D22" s="119" t="s">
        <v>114</v>
      </c>
      <c r="E22">
        <v>421</v>
      </c>
      <c r="F22">
        <v>416</v>
      </c>
      <c r="G22">
        <v>2100</v>
      </c>
      <c r="H22" s="119" t="s">
        <v>90</v>
      </c>
      <c r="I22">
        <v>8273</v>
      </c>
      <c r="J22" s="119" t="s">
        <v>137</v>
      </c>
      <c r="K22" s="119" t="s">
        <v>130</v>
      </c>
      <c r="L22">
        <v>4330</v>
      </c>
      <c r="M22">
        <v>4285</v>
      </c>
      <c r="N22">
        <v>200</v>
      </c>
      <c r="O22" s="119" t="s">
        <v>88</v>
      </c>
      <c r="P22">
        <v>0.95552633783387697</v>
      </c>
      <c r="Q22">
        <v>0.93020963222005804</v>
      </c>
      <c r="R22">
        <v>0.12884365049850199</v>
      </c>
      <c r="S22">
        <v>1.7458136388583699E-2</v>
      </c>
      <c r="T22">
        <v>0.88063009438026196</v>
      </c>
      <c r="U22">
        <v>0.88063009438026196</v>
      </c>
      <c r="V22">
        <v>2.72</v>
      </c>
      <c r="W22">
        <v>1.94</v>
      </c>
      <c r="X22">
        <v>349522</v>
      </c>
      <c r="Y22">
        <v>20560</v>
      </c>
      <c r="Z22">
        <v>1.45</v>
      </c>
      <c r="AA22">
        <v>17</v>
      </c>
      <c r="AB22">
        <v>12</v>
      </c>
      <c r="AC22">
        <v>5</v>
      </c>
      <c r="AD22">
        <v>70.59</v>
      </c>
      <c r="AE22">
        <v>13</v>
      </c>
      <c r="AF22">
        <v>8</v>
      </c>
      <c r="AG22">
        <v>3</v>
      </c>
      <c r="AH22">
        <v>6</v>
      </c>
    </row>
    <row r="23" spans="1:34">
      <c r="A23" s="115">
        <v>138</v>
      </c>
      <c r="B23">
        <v>4208</v>
      </c>
      <c r="C23" s="119" t="s">
        <v>133</v>
      </c>
      <c r="D23" s="119" t="s">
        <v>89</v>
      </c>
      <c r="E23">
        <v>2266</v>
      </c>
      <c r="F23">
        <v>2255</v>
      </c>
      <c r="G23">
        <v>400</v>
      </c>
      <c r="H23" s="119" t="s">
        <v>90</v>
      </c>
      <c r="I23">
        <v>6301</v>
      </c>
      <c r="J23" s="119" t="s">
        <v>149</v>
      </c>
      <c r="K23" s="119" t="s">
        <v>136</v>
      </c>
      <c r="L23">
        <v>2481</v>
      </c>
      <c r="M23">
        <v>2470</v>
      </c>
      <c r="N23">
        <v>400</v>
      </c>
      <c r="O23" s="119" t="s">
        <v>88</v>
      </c>
      <c r="P23">
        <v>0.92915298586395401</v>
      </c>
      <c r="Q23">
        <v>0.91708842668383295</v>
      </c>
      <c r="R23" s="20">
        <v>5.4837549911578897E-3</v>
      </c>
      <c r="S23">
        <v>9.5062861598870802E-3</v>
      </c>
      <c r="T23">
        <v>1.2179261316307699</v>
      </c>
      <c r="U23">
        <v>1.2179261316307699</v>
      </c>
      <c r="V23">
        <v>2.34</v>
      </c>
      <c r="W23">
        <v>8.6999999999999993</v>
      </c>
      <c r="X23">
        <v>346563</v>
      </c>
      <c r="Y23">
        <v>31506</v>
      </c>
      <c r="Z23">
        <v>1.64</v>
      </c>
      <c r="AA23">
        <v>11</v>
      </c>
      <c r="AB23">
        <v>8</v>
      </c>
      <c r="AC23">
        <v>3</v>
      </c>
      <c r="AD23">
        <v>72.73</v>
      </c>
      <c r="AE23">
        <v>12</v>
      </c>
      <c r="AF23">
        <v>7</v>
      </c>
      <c r="AG23">
        <v>0</v>
      </c>
      <c r="AH23">
        <v>4</v>
      </c>
    </row>
    <row r="24" spans="1:34">
      <c r="A24" s="115">
        <v>108</v>
      </c>
      <c r="B24">
        <v>7186</v>
      </c>
      <c r="C24" s="119" t="s">
        <v>51</v>
      </c>
      <c r="D24" s="119" t="s">
        <v>114</v>
      </c>
      <c r="E24">
        <v>421</v>
      </c>
      <c r="F24">
        <v>416</v>
      </c>
      <c r="G24">
        <v>2500</v>
      </c>
      <c r="H24" s="119" t="s">
        <v>88</v>
      </c>
      <c r="I24">
        <v>8750</v>
      </c>
      <c r="J24" s="119" t="s">
        <v>58</v>
      </c>
      <c r="K24" s="119" t="s">
        <v>150</v>
      </c>
      <c r="L24">
        <v>1713.5</v>
      </c>
      <c r="M24">
        <v>1713.5</v>
      </c>
      <c r="N24">
        <v>600</v>
      </c>
      <c r="O24" s="119" t="s">
        <v>90</v>
      </c>
      <c r="P24">
        <v>0.95178843115129497</v>
      </c>
      <c r="Q24">
        <v>0.92571657897809101</v>
      </c>
      <c r="R24" s="20">
        <v>0.121169422589591</v>
      </c>
      <c r="S24">
        <v>0.208829797591427</v>
      </c>
      <c r="T24">
        <v>-1.8115914035148</v>
      </c>
      <c r="U24">
        <v>1.8115914035148</v>
      </c>
      <c r="V24">
        <v>-3.72</v>
      </c>
      <c r="W24">
        <v>1.1599999999999999</v>
      </c>
      <c r="X24">
        <v>328916</v>
      </c>
      <c r="Y24">
        <v>21928</v>
      </c>
      <c r="Z24">
        <v>1.0900000000000001</v>
      </c>
      <c r="AA24">
        <v>15</v>
      </c>
      <c r="AB24">
        <v>9</v>
      </c>
      <c r="AC24">
        <v>6</v>
      </c>
      <c r="AD24">
        <v>60</v>
      </c>
      <c r="AE24">
        <v>11</v>
      </c>
      <c r="AF24">
        <v>8</v>
      </c>
      <c r="AG24">
        <v>1</v>
      </c>
      <c r="AH24">
        <v>6</v>
      </c>
    </row>
    <row r="25" spans="1:34">
      <c r="A25" s="115">
        <v>121</v>
      </c>
      <c r="B25">
        <v>5991</v>
      </c>
      <c r="C25" s="119" t="s">
        <v>159</v>
      </c>
      <c r="D25" s="119" t="s">
        <v>160</v>
      </c>
      <c r="E25">
        <v>864</v>
      </c>
      <c r="F25">
        <v>857</v>
      </c>
      <c r="G25">
        <v>1200</v>
      </c>
      <c r="H25" s="119" t="s">
        <v>90</v>
      </c>
      <c r="I25">
        <v>6371</v>
      </c>
      <c r="J25" s="119" t="s">
        <v>148</v>
      </c>
      <c r="K25" s="119" t="s">
        <v>136</v>
      </c>
      <c r="L25">
        <v>3550</v>
      </c>
      <c r="M25">
        <v>3520</v>
      </c>
      <c r="N25">
        <v>300</v>
      </c>
      <c r="O25" s="119" t="s">
        <v>88</v>
      </c>
      <c r="P25">
        <v>0.91940784640710105</v>
      </c>
      <c r="Q25">
        <v>0.92037323363219503</v>
      </c>
      <c r="R25">
        <v>0.118635083387712</v>
      </c>
      <c r="S25">
        <v>0.23224408897378401</v>
      </c>
      <c r="T25">
        <v>0.99324292678098103</v>
      </c>
      <c r="U25">
        <v>0.99324292678098103</v>
      </c>
      <c r="V25">
        <v>2.57</v>
      </c>
      <c r="W25">
        <v>2.61</v>
      </c>
      <c r="X25">
        <v>322448</v>
      </c>
      <c r="Y25">
        <v>17914</v>
      </c>
      <c r="Z25">
        <v>0.87</v>
      </c>
      <c r="AA25">
        <v>18</v>
      </c>
      <c r="AB25">
        <v>11</v>
      </c>
      <c r="AC25">
        <v>7</v>
      </c>
      <c r="AD25">
        <v>61.11</v>
      </c>
      <c r="AE25">
        <v>13</v>
      </c>
      <c r="AF25">
        <v>7</v>
      </c>
      <c r="AG25">
        <v>1</v>
      </c>
      <c r="AH25">
        <v>10</v>
      </c>
    </row>
    <row r="26" spans="1:34">
      <c r="A26" s="115">
        <v>125</v>
      </c>
      <c r="B26">
        <v>5406</v>
      </c>
      <c r="C26" s="119" t="s">
        <v>151</v>
      </c>
      <c r="D26" s="119" t="s">
        <v>126</v>
      </c>
      <c r="E26">
        <v>567</v>
      </c>
      <c r="F26">
        <v>562</v>
      </c>
      <c r="G26">
        <v>1800</v>
      </c>
      <c r="H26" s="119" t="s">
        <v>88</v>
      </c>
      <c r="I26">
        <v>6586</v>
      </c>
      <c r="J26" s="119" t="s">
        <v>152</v>
      </c>
      <c r="K26" s="119" t="s">
        <v>136</v>
      </c>
      <c r="L26">
        <v>3390</v>
      </c>
      <c r="M26">
        <v>3405</v>
      </c>
      <c r="N26">
        <v>300</v>
      </c>
      <c r="O26" s="119" t="s">
        <v>90</v>
      </c>
      <c r="P26">
        <v>0.91633460730299199</v>
      </c>
      <c r="Q26">
        <v>0.91904637115101195</v>
      </c>
      <c r="R26">
        <v>1.2551656019889801E-3</v>
      </c>
      <c r="S26">
        <v>2.6384562131983699E-2</v>
      </c>
      <c r="T26">
        <v>-2.1794081438472901</v>
      </c>
      <c r="U26">
        <v>2.1794081438472901</v>
      </c>
      <c r="V26">
        <v>-10.19</v>
      </c>
      <c r="W26">
        <v>0.97</v>
      </c>
      <c r="X26">
        <v>317594</v>
      </c>
      <c r="Y26">
        <v>17644</v>
      </c>
      <c r="Z26">
        <v>0.93</v>
      </c>
      <c r="AA26">
        <v>18</v>
      </c>
      <c r="AB26">
        <v>11</v>
      </c>
      <c r="AC26">
        <v>7</v>
      </c>
      <c r="AD26">
        <v>61.11</v>
      </c>
      <c r="AE26">
        <v>10</v>
      </c>
      <c r="AF26">
        <v>9</v>
      </c>
      <c r="AG26">
        <v>4</v>
      </c>
      <c r="AH26">
        <v>5</v>
      </c>
    </row>
    <row r="27" spans="1:34">
      <c r="A27" s="115">
        <v>113</v>
      </c>
      <c r="B27">
        <v>1893</v>
      </c>
      <c r="C27" s="119" t="s">
        <v>153</v>
      </c>
      <c r="D27" s="119" t="s">
        <v>109</v>
      </c>
      <c r="E27">
        <v>613</v>
      </c>
      <c r="F27">
        <v>619</v>
      </c>
      <c r="G27">
        <v>1700</v>
      </c>
      <c r="H27" s="119" t="s">
        <v>90</v>
      </c>
      <c r="I27">
        <v>9989</v>
      </c>
      <c r="J27" s="119" t="s">
        <v>154</v>
      </c>
      <c r="K27" s="119" t="s">
        <v>130</v>
      </c>
      <c r="L27">
        <v>3490</v>
      </c>
      <c r="M27">
        <v>3480</v>
      </c>
      <c r="N27">
        <v>300</v>
      </c>
      <c r="O27" s="119" t="s">
        <v>88</v>
      </c>
      <c r="P27">
        <v>0.93162873493414999</v>
      </c>
      <c r="Q27">
        <v>0.923354977490211</v>
      </c>
      <c r="R27">
        <v>3.5301014302999601E-4</v>
      </c>
      <c r="S27">
        <v>8.9789455653870295E-2</v>
      </c>
      <c r="T27">
        <v>1.1733547207923301</v>
      </c>
      <c r="U27">
        <v>1.1733547207923301</v>
      </c>
      <c r="V27">
        <v>2.84</v>
      </c>
      <c r="W27">
        <v>0.8</v>
      </c>
      <c r="X27">
        <v>311622</v>
      </c>
      <c r="Y27">
        <v>19476</v>
      </c>
      <c r="Z27">
        <v>1.1399999999999999</v>
      </c>
      <c r="AA27">
        <v>16</v>
      </c>
      <c r="AB27">
        <v>12</v>
      </c>
      <c r="AC27">
        <v>4</v>
      </c>
      <c r="AD27">
        <v>75</v>
      </c>
      <c r="AE27">
        <v>14</v>
      </c>
      <c r="AF27">
        <v>8</v>
      </c>
      <c r="AG27">
        <v>2</v>
      </c>
      <c r="AH27">
        <v>6</v>
      </c>
    </row>
    <row r="28" spans="1:34">
      <c r="A28" s="115">
        <v>118</v>
      </c>
      <c r="B28">
        <v>1860</v>
      </c>
      <c r="C28" s="119" t="s">
        <v>155</v>
      </c>
      <c r="D28" s="119" t="s">
        <v>109</v>
      </c>
      <c r="E28">
        <v>656</v>
      </c>
      <c r="F28">
        <v>653</v>
      </c>
      <c r="G28">
        <v>1400</v>
      </c>
      <c r="H28" s="119" t="s">
        <v>88</v>
      </c>
      <c r="I28">
        <v>6923</v>
      </c>
      <c r="J28" s="119" t="s">
        <v>156</v>
      </c>
      <c r="K28" s="119" t="s">
        <v>119</v>
      </c>
      <c r="L28">
        <v>3015</v>
      </c>
      <c r="M28">
        <v>2954</v>
      </c>
      <c r="N28">
        <v>300</v>
      </c>
      <c r="O28" s="119" t="s">
        <v>90</v>
      </c>
      <c r="P28">
        <v>0.94533058372607104</v>
      </c>
      <c r="Q28">
        <v>0.92098800647404599</v>
      </c>
      <c r="R28">
        <v>2.67956829773143E-2</v>
      </c>
      <c r="S28">
        <v>8.92193576458967E-3</v>
      </c>
      <c r="T28">
        <v>-4.56200420819005E-2</v>
      </c>
      <c r="U28">
        <v>4.56200420819005E-2</v>
      </c>
      <c r="V28">
        <v>-0.11</v>
      </c>
      <c r="W28">
        <v>3.16</v>
      </c>
      <c r="X28">
        <v>310952</v>
      </c>
      <c r="Y28">
        <v>16366</v>
      </c>
      <c r="Z28">
        <v>0.7</v>
      </c>
      <c r="AA28">
        <v>19</v>
      </c>
      <c r="AB28">
        <v>14</v>
      </c>
      <c r="AC28">
        <v>5</v>
      </c>
      <c r="AD28">
        <v>73.680000000000007</v>
      </c>
      <c r="AE28">
        <v>12</v>
      </c>
      <c r="AF28">
        <v>9</v>
      </c>
      <c r="AG28">
        <v>5</v>
      </c>
      <c r="AH28">
        <v>5</v>
      </c>
    </row>
    <row r="29" spans="1:34">
      <c r="A29" s="115">
        <v>88</v>
      </c>
      <c r="B29">
        <v>6371</v>
      </c>
      <c r="C29" s="119" t="s">
        <v>148</v>
      </c>
      <c r="D29" s="119" t="s">
        <v>136</v>
      </c>
      <c r="E29">
        <v>3550</v>
      </c>
      <c r="F29">
        <v>3520</v>
      </c>
      <c r="G29">
        <v>300</v>
      </c>
      <c r="H29" s="119" t="s">
        <v>88</v>
      </c>
      <c r="I29">
        <v>7259</v>
      </c>
      <c r="J29" s="119" t="s">
        <v>55</v>
      </c>
      <c r="K29" s="119" t="s">
        <v>116</v>
      </c>
      <c r="L29">
        <v>3665</v>
      </c>
      <c r="M29">
        <v>3645</v>
      </c>
      <c r="N29">
        <v>300</v>
      </c>
      <c r="O29" s="119" t="s">
        <v>90</v>
      </c>
      <c r="P29">
        <v>0.91382233844861005</v>
      </c>
      <c r="Q29">
        <v>0.929599959186588</v>
      </c>
      <c r="R29">
        <v>0.250665271277136</v>
      </c>
      <c r="S29">
        <v>4.7221728103599599E-2</v>
      </c>
      <c r="T29">
        <v>-0.88725591270485105</v>
      </c>
      <c r="U29">
        <v>0.88725591270485105</v>
      </c>
      <c r="V29">
        <v>-3.38</v>
      </c>
      <c r="W29">
        <v>3.43</v>
      </c>
      <c r="X29">
        <v>305033</v>
      </c>
      <c r="Y29">
        <v>38129</v>
      </c>
      <c r="Z29">
        <v>2.17</v>
      </c>
      <c r="AA29">
        <v>8</v>
      </c>
      <c r="AB29">
        <v>6</v>
      </c>
      <c r="AC29">
        <v>2</v>
      </c>
      <c r="AD29">
        <v>75</v>
      </c>
      <c r="AE29">
        <v>10</v>
      </c>
      <c r="AF29">
        <v>6</v>
      </c>
      <c r="AG29">
        <v>0</v>
      </c>
      <c r="AH29">
        <v>2</v>
      </c>
    </row>
    <row r="30" spans="1:34">
      <c r="A30" s="115">
        <v>29</v>
      </c>
      <c r="B30">
        <v>5401</v>
      </c>
      <c r="C30" s="119" t="s">
        <v>161</v>
      </c>
      <c r="D30" s="119" t="s">
        <v>126</v>
      </c>
      <c r="E30">
        <v>1511.5</v>
      </c>
      <c r="F30">
        <v>1512.5</v>
      </c>
      <c r="G30">
        <v>700</v>
      </c>
      <c r="H30" s="119" t="s">
        <v>88</v>
      </c>
      <c r="I30">
        <v>9404</v>
      </c>
      <c r="J30" s="119" t="s">
        <v>134</v>
      </c>
      <c r="K30" s="119" t="s">
        <v>111</v>
      </c>
      <c r="L30">
        <v>1436</v>
      </c>
      <c r="M30">
        <v>1420</v>
      </c>
      <c r="N30">
        <v>700</v>
      </c>
      <c r="O30" s="119" t="s">
        <v>90</v>
      </c>
      <c r="P30">
        <v>0.94087311911983795</v>
      </c>
      <c r="Q30">
        <v>0.94964995307411504</v>
      </c>
      <c r="R30">
        <v>0.19824370188290499</v>
      </c>
      <c r="S30">
        <v>2.30107642046476E-2</v>
      </c>
      <c r="T30">
        <v>-0.55236538954050796</v>
      </c>
      <c r="U30">
        <v>0.55236538954050796</v>
      </c>
      <c r="V30">
        <v>-1.4</v>
      </c>
      <c r="W30">
        <v>6.12</v>
      </c>
      <c r="X30">
        <v>293779</v>
      </c>
      <c r="Y30">
        <v>17281</v>
      </c>
      <c r="Z30">
        <v>0.84</v>
      </c>
      <c r="AA30">
        <v>17</v>
      </c>
      <c r="AB30">
        <v>11</v>
      </c>
      <c r="AC30">
        <v>6</v>
      </c>
      <c r="AD30">
        <v>64.709999999999994</v>
      </c>
      <c r="AE30">
        <v>12</v>
      </c>
      <c r="AF30">
        <v>8</v>
      </c>
      <c r="AG30">
        <v>3</v>
      </c>
      <c r="AH30">
        <v>6</v>
      </c>
    </row>
    <row r="31" spans="1:34">
      <c r="A31" s="115">
        <v>41</v>
      </c>
      <c r="B31">
        <v>6770</v>
      </c>
      <c r="C31" s="119" t="s">
        <v>50</v>
      </c>
      <c r="D31" s="119" t="s">
        <v>119</v>
      </c>
      <c r="E31">
        <v>2154</v>
      </c>
      <c r="F31">
        <v>2125</v>
      </c>
      <c r="G31">
        <v>400</v>
      </c>
      <c r="H31" s="119" t="s">
        <v>90</v>
      </c>
      <c r="I31">
        <v>6923</v>
      </c>
      <c r="J31" s="119" t="s">
        <v>156</v>
      </c>
      <c r="K31" s="119" t="s">
        <v>119</v>
      </c>
      <c r="L31">
        <v>3015</v>
      </c>
      <c r="M31">
        <v>2954</v>
      </c>
      <c r="N31">
        <v>300</v>
      </c>
      <c r="O31" s="119" t="s">
        <v>88</v>
      </c>
      <c r="P31">
        <v>0.94187578796614901</v>
      </c>
      <c r="Q31">
        <v>0.94465636673098397</v>
      </c>
      <c r="R31">
        <v>0.157544134626115</v>
      </c>
      <c r="S31">
        <v>4.83865103408819E-3</v>
      </c>
      <c r="T31">
        <v>0.73371009953496902</v>
      </c>
      <c r="U31">
        <v>0.73371009953496902</v>
      </c>
      <c r="V31">
        <v>1.92</v>
      </c>
      <c r="W31">
        <v>4.08</v>
      </c>
      <c r="X31">
        <v>279895</v>
      </c>
      <c r="Y31">
        <v>19992</v>
      </c>
      <c r="Z31">
        <v>1.0900000000000001</v>
      </c>
      <c r="AA31">
        <v>14</v>
      </c>
      <c r="AB31">
        <v>10</v>
      </c>
      <c r="AC31">
        <v>4</v>
      </c>
      <c r="AD31">
        <v>71.430000000000007</v>
      </c>
      <c r="AE31">
        <v>11</v>
      </c>
      <c r="AF31">
        <v>7</v>
      </c>
      <c r="AG31">
        <v>2</v>
      </c>
      <c r="AH31">
        <v>5</v>
      </c>
    </row>
    <row r="32" spans="1:34">
      <c r="A32" s="115">
        <v>116</v>
      </c>
      <c r="B32">
        <v>6371</v>
      </c>
      <c r="C32" s="119" t="s">
        <v>148</v>
      </c>
      <c r="D32" s="119" t="s">
        <v>136</v>
      </c>
      <c r="E32">
        <v>3550</v>
      </c>
      <c r="F32">
        <v>3520</v>
      </c>
      <c r="G32">
        <v>300</v>
      </c>
      <c r="H32" s="119" t="s">
        <v>88</v>
      </c>
      <c r="I32">
        <v>7762</v>
      </c>
      <c r="J32" s="119" t="s">
        <v>147</v>
      </c>
      <c r="K32" s="119" t="s">
        <v>128</v>
      </c>
      <c r="L32">
        <v>553</v>
      </c>
      <c r="M32">
        <v>550</v>
      </c>
      <c r="N32">
        <v>1900</v>
      </c>
      <c r="O32" s="119" t="s">
        <v>90</v>
      </c>
      <c r="P32">
        <v>0.93555196401214702</v>
      </c>
      <c r="Q32">
        <v>0.92172252464346305</v>
      </c>
      <c r="R32">
        <v>1.8287000541101001E-4</v>
      </c>
      <c r="S32">
        <v>0.20791669027948401</v>
      </c>
      <c r="T32">
        <v>-0.21468556766852701</v>
      </c>
      <c r="U32">
        <v>0.21468556766852701</v>
      </c>
      <c r="V32">
        <v>-0.42</v>
      </c>
      <c r="W32">
        <v>1.04</v>
      </c>
      <c r="X32">
        <v>276294</v>
      </c>
      <c r="Y32">
        <v>14542</v>
      </c>
      <c r="Z32">
        <v>0.78</v>
      </c>
      <c r="AA32">
        <v>19</v>
      </c>
      <c r="AB32">
        <v>13</v>
      </c>
      <c r="AC32">
        <v>6</v>
      </c>
      <c r="AD32">
        <v>68.42</v>
      </c>
      <c r="AE32">
        <v>13</v>
      </c>
      <c r="AF32">
        <v>7</v>
      </c>
      <c r="AG32">
        <v>4</v>
      </c>
      <c r="AH32">
        <v>8</v>
      </c>
    </row>
    <row r="33" spans="1:34">
      <c r="A33" s="115">
        <v>112</v>
      </c>
      <c r="B33">
        <v>7205</v>
      </c>
      <c r="C33" s="119" t="s">
        <v>162</v>
      </c>
      <c r="D33" s="119" t="s">
        <v>116</v>
      </c>
      <c r="E33">
        <v>943</v>
      </c>
      <c r="F33">
        <v>938</v>
      </c>
      <c r="G33">
        <v>1100</v>
      </c>
      <c r="H33" s="119" t="s">
        <v>90</v>
      </c>
      <c r="I33">
        <v>8601</v>
      </c>
      <c r="J33" s="119" t="s">
        <v>53</v>
      </c>
      <c r="K33" s="119" t="s">
        <v>163</v>
      </c>
      <c r="L33">
        <v>490.1</v>
      </c>
      <c r="M33">
        <v>485.6</v>
      </c>
      <c r="N33">
        <v>2100</v>
      </c>
      <c r="O33" s="119" t="s">
        <v>88</v>
      </c>
      <c r="P33">
        <v>0.92380553637615703</v>
      </c>
      <c r="Q33">
        <v>0.923423108046031</v>
      </c>
      <c r="R33">
        <v>1.9199205759532899E-4</v>
      </c>
      <c r="S33">
        <v>0.114931121972808</v>
      </c>
      <c r="T33">
        <v>2.8841425648752601</v>
      </c>
      <c r="U33">
        <v>2.8841425648752601</v>
      </c>
      <c r="V33">
        <v>5.23</v>
      </c>
      <c r="W33">
        <v>1.17</v>
      </c>
      <c r="X33">
        <v>275928</v>
      </c>
      <c r="Y33">
        <v>18395</v>
      </c>
      <c r="Z33">
        <v>0.88</v>
      </c>
      <c r="AA33">
        <v>15</v>
      </c>
      <c r="AB33">
        <v>12</v>
      </c>
      <c r="AC33">
        <v>3</v>
      </c>
      <c r="AD33">
        <v>80</v>
      </c>
      <c r="AE33">
        <v>14</v>
      </c>
      <c r="AF33">
        <v>6</v>
      </c>
      <c r="AG33">
        <v>1</v>
      </c>
      <c r="AH33">
        <v>8</v>
      </c>
    </row>
    <row r="34" spans="1:34">
      <c r="A34" s="115">
        <v>161</v>
      </c>
      <c r="B34">
        <v>7189</v>
      </c>
      <c r="C34" s="119" t="s">
        <v>113</v>
      </c>
      <c r="D34" s="119" t="s">
        <v>114</v>
      </c>
      <c r="E34">
        <v>794</v>
      </c>
      <c r="F34">
        <v>775</v>
      </c>
      <c r="G34">
        <v>1100</v>
      </c>
      <c r="H34" s="119" t="s">
        <v>88</v>
      </c>
      <c r="I34">
        <v>7846</v>
      </c>
      <c r="J34" s="119" t="s">
        <v>181</v>
      </c>
      <c r="K34" s="119" t="s">
        <v>121</v>
      </c>
      <c r="L34">
        <v>4180</v>
      </c>
      <c r="M34">
        <v>4180</v>
      </c>
      <c r="N34">
        <v>200</v>
      </c>
      <c r="O34" s="119" t="s">
        <v>90</v>
      </c>
      <c r="P34">
        <v>0.94690670757326301</v>
      </c>
      <c r="Q34">
        <v>0.91133533439062497</v>
      </c>
      <c r="R34">
        <v>3.6085034116883997E-2</v>
      </c>
      <c r="S34">
        <v>0.29093658365021202</v>
      </c>
      <c r="T34">
        <v>-0.24238149704200099</v>
      </c>
      <c r="U34">
        <v>0.24238149704200099</v>
      </c>
      <c r="V34">
        <v>-0.67</v>
      </c>
      <c r="W34">
        <v>1.97</v>
      </c>
      <c r="X34">
        <v>269377</v>
      </c>
      <c r="Y34">
        <v>17958</v>
      </c>
      <c r="Z34">
        <v>1.28</v>
      </c>
      <c r="AA34">
        <v>15</v>
      </c>
      <c r="AB34">
        <v>10</v>
      </c>
      <c r="AC34">
        <v>5</v>
      </c>
      <c r="AD34">
        <v>66.67</v>
      </c>
      <c r="AE34">
        <v>13</v>
      </c>
      <c r="AF34">
        <v>7</v>
      </c>
      <c r="AG34">
        <v>3</v>
      </c>
      <c r="AH34">
        <v>5</v>
      </c>
    </row>
    <row r="35" spans="1:34">
      <c r="A35" s="115">
        <v>87</v>
      </c>
      <c r="B35">
        <v>7259</v>
      </c>
      <c r="C35" s="119" t="s">
        <v>55</v>
      </c>
      <c r="D35" s="119" t="s">
        <v>116</v>
      </c>
      <c r="E35">
        <v>3665</v>
      </c>
      <c r="F35">
        <v>3645</v>
      </c>
      <c r="G35">
        <v>300</v>
      </c>
      <c r="H35" s="119" t="s">
        <v>90</v>
      </c>
      <c r="I35">
        <v>7278</v>
      </c>
      <c r="J35" s="119" t="s">
        <v>115</v>
      </c>
      <c r="K35" s="119" t="s">
        <v>116</v>
      </c>
      <c r="L35">
        <v>2205</v>
      </c>
      <c r="M35">
        <v>2171</v>
      </c>
      <c r="N35">
        <v>500</v>
      </c>
      <c r="O35" s="119" t="s">
        <v>88</v>
      </c>
      <c r="P35">
        <v>0.92996774510867897</v>
      </c>
      <c r="Q35">
        <v>0.92985363387016995</v>
      </c>
      <c r="R35" s="20">
        <v>0.28598711025895601</v>
      </c>
      <c r="S35">
        <v>0.20415405520338301</v>
      </c>
      <c r="T35">
        <v>1.5693738232316401</v>
      </c>
      <c r="U35">
        <v>1.5693738232316401</v>
      </c>
      <c r="V35">
        <v>3.89</v>
      </c>
      <c r="W35">
        <v>0.73</v>
      </c>
      <c r="X35">
        <v>265669</v>
      </c>
      <c r="Y35">
        <v>24152</v>
      </c>
      <c r="Z35">
        <v>1.6</v>
      </c>
      <c r="AA35">
        <v>11</v>
      </c>
      <c r="AB35">
        <v>9</v>
      </c>
      <c r="AC35">
        <v>2</v>
      </c>
      <c r="AD35">
        <v>81.819999999999993</v>
      </c>
      <c r="AE35">
        <v>14</v>
      </c>
      <c r="AF35">
        <v>3</v>
      </c>
      <c r="AG35">
        <v>1</v>
      </c>
      <c r="AH35">
        <v>7</v>
      </c>
    </row>
    <row r="36" spans="1:34">
      <c r="A36" s="115">
        <v>96</v>
      </c>
      <c r="B36">
        <v>8359</v>
      </c>
      <c r="C36" s="119" t="s">
        <v>166</v>
      </c>
      <c r="D36" s="119" t="s">
        <v>114</v>
      </c>
      <c r="E36">
        <v>462</v>
      </c>
      <c r="F36">
        <v>448</v>
      </c>
      <c r="G36">
        <v>2400</v>
      </c>
      <c r="H36" s="119" t="s">
        <v>90</v>
      </c>
      <c r="I36">
        <v>8385</v>
      </c>
      <c r="J36" s="119" t="s">
        <v>167</v>
      </c>
      <c r="K36" s="119" t="s">
        <v>114</v>
      </c>
      <c r="L36">
        <v>577</v>
      </c>
      <c r="M36">
        <v>569</v>
      </c>
      <c r="N36">
        <v>1900</v>
      </c>
      <c r="O36" s="119" t="s">
        <v>88</v>
      </c>
      <c r="P36">
        <v>0.94866262746153596</v>
      </c>
      <c r="Q36">
        <v>0.92834095121586302</v>
      </c>
      <c r="R36">
        <v>0.34252145811034002</v>
      </c>
      <c r="S36">
        <v>0.13489033070381901</v>
      </c>
      <c r="T36">
        <v>0.43398557005560501</v>
      </c>
      <c r="U36">
        <v>0.43398557005560501</v>
      </c>
      <c r="V36">
        <v>0.96</v>
      </c>
      <c r="W36">
        <v>0.55000000000000004</v>
      </c>
      <c r="X36">
        <v>262660</v>
      </c>
      <c r="Y36">
        <v>16416</v>
      </c>
      <c r="Z36">
        <v>0.76</v>
      </c>
      <c r="AA36">
        <v>16</v>
      </c>
      <c r="AB36">
        <v>10</v>
      </c>
      <c r="AC36">
        <v>6</v>
      </c>
      <c r="AD36">
        <v>62.5</v>
      </c>
      <c r="AE36">
        <v>14</v>
      </c>
      <c r="AF36">
        <v>5</v>
      </c>
      <c r="AG36">
        <v>1</v>
      </c>
      <c r="AH36">
        <v>10</v>
      </c>
    </row>
    <row r="37" spans="1:34">
      <c r="A37" s="115">
        <v>78</v>
      </c>
      <c r="B37">
        <v>7186</v>
      </c>
      <c r="C37" s="119" t="s">
        <v>51</v>
      </c>
      <c r="D37" s="119" t="s">
        <v>114</v>
      </c>
      <c r="E37">
        <v>421</v>
      </c>
      <c r="F37">
        <v>416</v>
      </c>
      <c r="G37">
        <v>2500</v>
      </c>
      <c r="H37" s="119" t="s">
        <v>90</v>
      </c>
      <c r="I37">
        <v>8308</v>
      </c>
      <c r="J37" s="119" t="s">
        <v>140</v>
      </c>
      <c r="K37" s="119" t="s">
        <v>114</v>
      </c>
      <c r="L37">
        <v>459.2</v>
      </c>
      <c r="M37">
        <v>458.6</v>
      </c>
      <c r="N37">
        <v>2300</v>
      </c>
      <c r="O37" s="119" t="s">
        <v>88</v>
      </c>
      <c r="P37">
        <v>0.95379883263573995</v>
      </c>
      <c r="Q37">
        <v>0.93325938114562801</v>
      </c>
      <c r="R37">
        <v>9.7235623677480995E-2</v>
      </c>
      <c r="S37">
        <v>0.29141012161911201</v>
      </c>
      <c r="T37">
        <v>0.93150213216581701</v>
      </c>
      <c r="U37">
        <v>0.93150213216581701</v>
      </c>
      <c r="V37">
        <v>2.16</v>
      </c>
      <c r="W37">
        <v>1.4</v>
      </c>
      <c r="X37">
        <v>261570</v>
      </c>
      <c r="Y37">
        <v>15386</v>
      </c>
      <c r="Z37">
        <v>0.73</v>
      </c>
      <c r="AA37">
        <v>17</v>
      </c>
      <c r="AB37">
        <v>10</v>
      </c>
      <c r="AC37">
        <v>7</v>
      </c>
      <c r="AD37">
        <v>58.82</v>
      </c>
      <c r="AE37">
        <v>15</v>
      </c>
      <c r="AF37">
        <v>7</v>
      </c>
      <c r="AG37">
        <v>1</v>
      </c>
      <c r="AH37">
        <v>9</v>
      </c>
    </row>
    <row r="38" spans="1:34">
      <c r="A38" s="115">
        <v>144</v>
      </c>
      <c r="B38">
        <v>3191</v>
      </c>
      <c r="C38" s="119" t="s">
        <v>168</v>
      </c>
      <c r="D38" s="119" t="s">
        <v>130</v>
      </c>
      <c r="E38">
        <v>1420</v>
      </c>
      <c r="F38">
        <v>1390</v>
      </c>
      <c r="G38">
        <v>700</v>
      </c>
      <c r="H38" s="119" t="s">
        <v>90</v>
      </c>
      <c r="I38">
        <v>9024</v>
      </c>
      <c r="J38" s="119" t="s">
        <v>169</v>
      </c>
      <c r="K38" s="119" t="s">
        <v>170</v>
      </c>
      <c r="L38">
        <v>1913</v>
      </c>
      <c r="M38">
        <v>1879</v>
      </c>
      <c r="N38">
        <v>500</v>
      </c>
      <c r="O38" s="119" t="s">
        <v>88</v>
      </c>
      <c r="P38">
        <v>0.91555137995472202</v>
      </c>
      <c r="Q38">
        <v>0.91559159284139002</v>
      </c>
      <c r="R38">
        <v>3.8290145081749501E-2</v>
      </c>
      <c r="S38">
        <v>3.6385205005661003E-2</v>
      </c>
      <c r="T38">
        <v>0.88386049118725396</v>
      </c>
      <c r="U38">
        <v>0.88386049118725396</v>
      </c>
      <c r="V38">
        <v>2.2999999999999998</v>
      </c>
      <c r="W38">
        <v>3.57</v>
      </c>
      <c r="X38">
        <v>260476</v>
      </c>
      <c r="Y38">
        <v>12404</v>
      </c>
      <c r="Z38">
        <v>0.59</v>
      </c>
      <c r="AA38">
        <v>21</v>
      </c>
      <c r="AB38">
        <v>13</v>
      </c>
      <c r="AC38">
        <v>8</v>
      </c>
      <c r="AD38">
        <v>61.9</v>
      </c>
      <c r="AE38">
        <v>14</v>
      </c>
      <c r="AF38">
        <v>8</v>
      </c>
      <c r="AG38">
        <v>4</v>
      </c>
      <c r="AH38">
        <v>9</v>
      </c>
    </row>
    <row r="39" spans="1:34">
      <c r="A39" s="115">
        <v>18</v>
      </c>
      <c r="B39">
        <v>8273</v>
      </c>
      <c r="C39" s="119" t="s">
        <v>137</v>
      </c>
      <c r="D39" s="119" t="s">
        <v>130</v>
      </c>
      <c r="E39">
        <v>4330</v>
      </c>
      <c r="F39">
        <v>4285</v>
      </c>
      <c r="G39">
        <v>200</v>
      </c>
      <c r="H39" s="119" t="s">
        <v>88</v>
      </c>
      <c r="I39">
        <v>8308</v>
      </c>
      <c r="J39" s="119" t="s">
        <v>140</v>
      </c>
      <c r="K39" s="119" t="s">
        <v>114</v>
      </c>
      <c r="L39">
        <v>459.2</v>
      </c>
      <c r="M39">
        <v>458.6</v>
      </c>
      <c r="N39">
        <v>1900</v>
      </c>
      <c r="O39" s="119" t="s">
        <v>90</v>
      </c>
      <c r="P39">
        <v>0.91892526955033205</v>
      </c>
      <c r="Q39">
        <v>0.95508206979645804</v>
      </c>
      <c r="R39">
        <v>1.28344175220427E-2</v>
      </c>
      <c r="S39">
        <v>2.98281334935931E-2</v>
      </c>
      <c r="T39">
        <v>-0.22149698470357901</v>
      </c>
      <c r="U39">
        <v>0.22149698470357901</v>
      </c>
      <c r="V39">
        <v>-0.65</v>
      </c>
      <c r="W39">
        <v>1.67</v>
      </c>
      <c r="X39">
        <v>259770</v>
      </c>
      <c r="Y39">
        <v>15281</v>
      </c>
      <c r="Z39">
        <v>0.92</v>
      </c>
      <c r="AA39">
        <v>17</v>
      </c>
      <c r="AB39">
        <v>11</v>
      </c>
      <c r="AC39">
        <v>6</v>
      </c>
      <c r="AD39">
        <v>64.709999999999994</v>
      </c>
      <c r="AE39">
        <v>12</v>
      </c>
      <c r="AF39">
        <v>7</v>
      </c>
      <c r="AG39">
        <v>4</v>
      </c>
      <c r="AH39">
        <v>6</v>
      </c>
    </row>
    <row r="40" spans="1:34">
      <c r="A40" s="115">
        <v>53</v>
      </c>
      <c r="B40">
        <v>6178</v>
      </c>
      <c r="C40" s="119" t="s">
        <v>171</v>
      </c>
      <c r="D40" s="119" t="s">
        <v>172</v>
      </c>
      <c r="E40">
        <v>990</v>
      </c>
      <c r="F40">
        <v>983</v>
      </c>
      <c r="G40">
        <v>1000</v>
      </c>
      <c r="H40" s="119" t="s">
        <v>88</v>
      </c>
      <c r="I40">
        <v>9404</v>
      </c>
      <c r="J40" s="119" t="s">
        <v>134</v>
      </c>
      <c r="K40" s="119" t="s">
        <v>111</v>
      </c>
      <c r="L40">
        <v>1436</v>
      </c>
      <c r="M40">
        <v>1420</v>
      </c>
      <c r="N40">
        <v>700</v>
      </c>
      <c r="O40" s="119" t="s">
        <v>90</v>
      </c>
      <c r="P40">
        <v>0.90070729549306605</v>
      </c>
      <c r="Q40">
        <v>0.93962525551575904</v>
      </c>
      <c r="R40">
        <v>0.14695829504022201</v>
      </c>
      <c r="S40">
        <v>7.9460824670321603E-2</v>
      </c>
      <c r="T40">
        <v>-0.76388363873612497</v>
      </c>
      <c r="U40">
        <v>0.76388363873612497</v>
      </c>
      <c r="V40">
        <v>-2.29</v>
      </c>
      <c r="W40">
        <v>1.1100000000000001</v>
      </c>
      <c r="X40">
        <v>259622</v>
      </c>
      <c r="Y40">
        <v>14423</v>
      </c>
      <c r="Z40">
        <v>0.71</v>
      </c>
      <c r="AA40">
        <v>18</v>
      </c>
      <c r="AB40">
        <v>12</v>
      </c>
      <c r="AC40">
        <v>6</v>
      </c>
      <c r="AD40">
        <v>66.67</v>
      </c>
      <c r="AE40">
        <v>15</v>
      </c>
      <c r="AF40">
        <v>4</v>
      </c>
      <c r="AG40">
        <v>2</v>
      </c>
      <c r="AH40">
        <v>12</v>
      </c>
    </row>
    <row r="41" spans="1:34">
      <c r="A41" s="115">
        <v>36</v>
      </c>
      <c r="B41">
        <v>7211</v>
      </c>
      <c r="C41" s="119" t="s">
        <v>56</v>
      </c>
      <c r="D41" s="119" t="s">
        <v>116</v>
      </c>
      <c r="E41">
        <v>488</v>
      </c>
      <c r="F41">
        <v>493</v>
      </c>
      <c r="G41">
        <v>2000</v>
      </c>
      <c r="H41" s="119" t="s">
        <v>90</v>
      </c>
      <c r="I41">
        <v>8242</v>
      </c>
      <c r="J41" s="119" t="s">
        <v>173</v>
      </c>
      <c r="K41" s="119" t="s">
        <v>130</v>
      </c>
      <c r="L41">
        <v>1251</v>
      </c>
      <c r="M41">
        <v>1228</v>
      </c>
      <c r="N41">
        <v>800</v>
      </c>
      <c r="O41" s="119" t="s">
        <v>88</v>
      </c>
      <c r="P41">
        <v>0.94433973796204396</v>
      </c>
      <c r="Q41">
        <v>0.94763869972053305</v>
      </c>
      <c r="R41">
        <v>5.8343402716971998E-2</v>
      </c>
      <c r="S41">
        <v>0.10704407415445601</v>
      </c>
      <c r="T41">
        <v>0.65501948511265895</v>
      </c>
      <c r="U41">
        <v>0.65501948511265895</v>
      </c>
      <c r="V41">
        <v>1.32</v>
      </c>
      <c r="W41">
        <v>0.37</v>
      </c>
      <c r="X41">
        <v>258024</v>
      </c>
      <c r="Y41">
        <v>16126</v>
      </c>
      <c r="Z41">
        <v>0.82</v>
      </c>
      <c r="AA41">
        <v>16</v>
      </c>
      <c r="AB41">
        <v>9</v>
      </c>
      <c r="AC41">
        <v>7</v>
      </c>
      <c r="AD41">
        <v>56.25</v>
      </c>
      <c r="AE41">
        <v>11</v>
      </c>
      <c r="AF41">
        <v>6</v>
      </c>
      <c r="AG41">
        <v>4</v>
      </c>
      <c r="AH41">
        <v>6</v>
      </c>
    </row>
    <row r="42" spans="1:34">
      <c r="A42" s="115">
        <v>17</v>
      </c>
      <c r="B42">
        <v>8411</v>
      </c>
      <c r="C42" s="119" t="s">
        <v>174</v>
      </c>
      <c r="D42" s="119" t="s">
        <v>114</v>
      </c>
      <c r="E42">
        <v>166.6</v>
      </c>
      <c r="F42">
        <v>164.6</v>
      </c>
      <c r="G42">
        <v>6500</v>
      </c>
      <c r="H42" s="119" t="s">
        <v>90</v>
      </c>
      <c r="I42">
        <v>8601</v>
      </c>
      <c r="J42" s="119" t="s">
        <v>53</v>
      </c>
      <c r="K42" s="119" t="s">
        <v>163</v>
      </c>
      <c r="L42">
        <v>490.1</v>
      </c>
      <c r="M42">
        <v>485.6</v>
      </c>
      <c r="N42">
        <v>2200</v>
      </c>
      <c r="O42" s="119" t="s">
        <v>88</v>
      </c>
      <c r="P42">
        <v>0.921193464169478</v>
      </c>
      <c r="Q42">
        <v>0.95680279996726902</v>
      </c>
      <c r="R42">
        <v>0.21345050079668501</v>
      </c>
      <c r="S42">
        <v>0.14845579518376101</v>
      </c>
      <c r="T42">
        <v>0.411786768811925</v>
      </c>
      <c r="U42">
        <v>0.411786768811925</v>
      </c>
      <c r="V42">
        <v>0.92</v>
      </c>
      <c r="W42">
        <v>0.15</v>
      </c>
      <c r="X42">
        <v>254740</v>
      </c>
      <c r="Y42">
        <v>16983</v>
      </c>
      <c r="Z42">
        <v>0.8</v>
      </c>
      <c r="AA42">
        <v>15</v>
      </c>
      <c r="AB42">
        <v>10</v>
      </c>
      <c r="AC42">
        <v>5</v>
      </c>
      <c r="AD42">
        <v>66.67</v>
      </c>
      <c r="AE42">
        <v>15</v>
      </c>
      <c r="AF42">
        <v>2</v>
      </c>
      <c r="AG42">
        <v>0</v>
      </c>
      <c r="AH42">
        <v>13</v>
      </c>
    </row>
    <row r="43" spans="1:34">
      <c r="A43" s="115">
        <v>173</v>
      </c>
      <c r="B43">
        <v>4061</v>
      </c>
      <c r="C43" s="119" t="s">
        <v>176</v>
      </c>
      <c r="D43" s="119" t="s">
        <v>89</v>
      </c>
      <c r="E43">
        <v>3095</v>
      </c>
      <c r="F43">
        <v>3050</v>
      </c>
      <c r="G43">
        <v>300</v>
      </c>
      <c r="H43" s="119" t="s">
        <v>88</v>
      </c>
      <c r="I43">
        <v>6752</v>
      </c>
      <c r="J43" s="119" t="s">
        <v>144</v>
      </c>
      <c r="K43" s="119" t="s">
        <v>119</v>
      </c>
      <c r="L43">
        <v>910.6</v>
      </c>
      <c r="M43">
        <v>907</v>
      </c>
      <c r="N43">
        <v>1000</v>
      </c>
      <c r="O43" s="119" t="s">
        <v>90</v>
      </c>
      <c r="P43">
        <v>0.91695367953354801</v>
      </c>
      <c r="Q43">
        <v>0.90793520308166098</v>
      </c>
      <c r="R43">
        <v>0.27537831870910001</v>
      </c>
      <c r="S43">
        <v>7.7873094440973997E-2</v>
      </c>
      <c r="T43">
        <v>-0.60115111283448297</v>
      </c>
      <c r="U43">
        <v>0.60115111283448297</v>
      </c>
      <c r="V43">
        <v>-1.29</v>
      </c>
      <c r="W43">
        <v>0.87</v>
      </c>
      <c r="X43">
        <v>252708</v>
      </c>
      <c r="Y43">
        <v>14039</v>
      </c>
      <c r="Z43">
        <v>0.78</v>
      </c>
      <c r="AA43">
        <v>18</v>
      </c>
      <c r="AB43">
        <v>12</v>
      </c>
      <c r="AC43">
        <v>6</v>
      </c>
      <c r="AD43">
        <v>66.67</v>
      </c>
      <c r="AE43">
        <v>13</v>
      </c>
      <c r="AF43">
        <v>7</v>
      </c>
      <c r="AG43">
        <v>3</v>
      </c>
      <c r="AH43">
        <v>8</v>
      </c>
    </row>
    <row r="44" spans="1:34">
      <c r="A44" s="115">
        <v>54</v>
      </c>
      <c r="B44">
        <v>4062</v>
      </c>
      <c r="C44" s="119" t="s">
        <v>177</v>
      </c>
      <c r="D44" s="119" t="s">
        <v>119</v>
      </c>
      <c r="E44">
        <v>2331</v>
      </c>
      <c r="F44">
        <v>2341</v>
      </c>
      <c r="G44">
        <v>500</v>
      </c>
      <c r="H44" s="119" t="s">
        <v>88</v>
      </c>
      <c r="I44">
        <v>6857</v>
      </c>
      <c r="J44" s="119" t="s">
        <v>178</v>
      </c>
      <c r="K44" s="119" t="s">
        <v>119</v>
      </c>
      <c r="L44">
        <v>5200</v>
      </c>
      <c r="M44">
        <v>5280</v>
      </c>
      <c r="N44">
        <v>200</v>
      </c>
      <c r="O44" s="119" t="s">
        <v>90</v>
      </c>
      <c r="P44">
        <v>0.90233050569027395</v>
      </c>
      <c r="Q44">
        <v>0.93924366725958097</v>
      </c>
      <c r="R44">
        <v>7.7889532282211203E-3</v>
      </c>
      <c r="S44">
        <v>1.35049692885174E-2</v>
      </c>
      <c r="T44">
        <v>-1.0371974821764101</v>
      </c>
      <c r="U44">
        <v>1.0371974821764101</v>
      </c>
      <c r="V44">
        <v>-13.24</v>
      </c>
      <c r="W44">
        <v>10.84</v>
      </c>
      <c r="X44">
        <v>251473</v>
      </c>
      <c r="Y44">
        <v>16765</v>
      </c>
      <c r="Z44">
        <v>0.73</v>
      </c>
      <c r="AA44">
        <v>15</v>
      </c>
      <c r="AB44">
        <v>10</v>
      </c>
      <c r="AC44">
        <v>5</v>
      </c>
      <c r="AD44">
        <v>66.67</v>
      </c>
      <c r="AE44">
        <v>10</v>
      </c>
      <c r="AF44">
        <v>8</v>
      </c>
      <c r="AG44">
        <v>5</v>
      </c>
      <c r="AH44">
        <v>2</v>
      </c>
    </row>
    <row r="45" spans="1:34">
      <c r="A45" s="115">
        <v>169</v>
      </c>
      <c r="B45">
        <v>6506</v>
      </c>
      <c r="C45" s="119" t="s">
        <v>179</v>
      </c>
      <c r="D45" s="119" t="s">
        <v>119</v>
      </c>
      <c r="E45">
        <v>4010</v>
      </c>
      <c r="F45">
        <v>4000</v>
      </c>
      <c r="G45">
        <v>200</v>
      </c>
      <c r="H45" s="119" t="s">
        <v>88</v>
      </c>
      <c r="I45">
        <v>6645</v>
      </c>
      <c r="J45" s="119" t="s">
        <v>180</v>
      </c>
      <c r="K45" s="119" t="s">
        <v>119</v>
      </c>
      <c r="L45">
        <v>6180</v>
      </c>
      <c r="M45">
        <v>6190</v>
      </c>
      <c r="N45">
        <v>100</v>
      </c>
      <c r="O45" s="119" t="s">
        <v>90</v>
      </c>
      <c r="P45">
        <v>0.96700085745271003</v>
      </c>
      <c r="Q45">
        <v>0.91003588257659596</v>
      </c>
      <c r="R45">
        <v>6.6829357163500297E-3</v>
      </c>
      <c r="S45">
        <v>2.67937965122888E-2</v>
      </c>
      <c r="T45">
        <v>-1.67543778169793</v>
      </c>
      <c r="U45">
        <v>1.67543778169793</v>
      </c>
      <c r="V45">
        <v>-3.41</v>
      </c>
      <c r="W45">
        <v>29.24</v>
      </c>
      <c r="X45">
        <v>249448</v>
      </c>
      <c r="Y45">
        <v>19188</v>
      </c>
      <c r="Z45">
        <v>0.86</v>
      </c>
      <c r="AA45">
        <v>13</v>
      </c>
      <c r="AB45">
        <v>8</v>
      </c>
      <c r="AC45">
        <v>5</v>
      </c>
      <c r="AD45">
        <v>61.54</v>
      </c>
      <c r="AE45">
        <v>13</v>
      </c>
      <c r="AF45">
        <v>5</v>
      </c>
      <c r="AG45">
        <v>3</v>
      </c>
      <c r="AH45">
        <v>5</v>
      </c>
    </row>
    <row r="46" spans="1:34">
      <c r="A46" s="115">
        <v>151</v>
      </c>
      <c r="B46">
        <v>4005</v>
      </c>
      <c r="C46" s="119" t="s">
        <v>164</v>
      </c>
      <c r="D46" s="119" t="s">
        <v>89</v>
      </c>
      <c r="E46">
        <v>512</v>
      </c>
      <c r="F46">
        <v>507</v>
      </c>
      <c r="G46">
        <v>1700</v>
      </c>
      <c r="H46" s="119" t="s">
        <v>88</v>
      </c>
      <c r="I46">
        <v>7267</v>
      </c>
      <c r="J46" s="119" t="s">
        <v>165</v>
      </c>
      <c r="K46" s="119" t="s">
        <v>116</v>
      </c>
      <c r="L46">
        <v>2913</v>
      </c>
      <c r="M46">
        <v>2909.5</v>
      </c>
      <c r="N46">
        <v>300</v>
      </c>
      <c r="O46" s="119" t="s">
        <v>90</v>
      </c>
      <c r="P46">
        <v>0.95545851692694395</v>
      </c>
      <c r="Q46">
        <v>0.91318829420373104</v>
      </c>
      <c r="R46">
        <v>1.21884959046678E-3</v>
      </c>
      <c r="S46">
        <v>0.212907271429393</v>
      </c>
      <c r="T46">
        <v>-0.94087316703508495</v>
      </c>
      <c r="U46">
        <v>0.94087316703508495</v>
      </c>
      <c r="V46">
        <v>-2.61</v>
      </c>
      <c r="W46">
        <v>1.25</v>
      </c>
      <c r="X46">
        <v>248001</v>
      </c>
      <c r="Y46">
        <v>13778</v>
      </c>
      <c r="Z46">
        <v>0.68</v>
      </c>
      <c r="AA46">
        <v>18</v>
      </c>
      <c r="AB46">
        <v>12</v>
      </c>
      <c r="AC46">
        <v>6</v>
      </c>
      <c r="AD46">
        <v>66.67</v>
      </c>
      <c r="AE46">
        <v>14</v>
      </c>
      <c r="AF46">
        <v>5</v>
      </c>
      <c r="AG46">
        <v>1</v>
      </c>
      <c r="AH46">
        <v>12</v>
      </c>
    </row>
    <row r="47" spans="1:34">
      <c r="A47" s="115">
        <v>85</v>
      </c>
      <c r="B47">
        <v>1820</v>
      </c>
      <c r="C47" s="119" t="s">
        <v>175</v>
      </c>
      <c r="D47" s="119" t="s">
        <v>109</v>
      </c>
      <c r="E47">
        <v>2148</v>
      </c>
      <c r="F47">
        <v>2157</v>
      </c>
      <c r="G47">
        <v>500</v>
      </c>
      <c r="H47" s="119" t="s">
        <v>90</v>
      </c>
      <c r="I47">
        <v>7278</v>
      </c>
      <c r="J47" s="119" t="s">
        <v>115</v>
      </c>
      <c r="K47" s="119" t="s">
        <v>116</v>
      </c>
      <c r="L47">
        <v>2205</v>
      </c>
      <c r="M47">
        <v>2171</v>
      </c>
      <c r="N47">
        <v>500</v>
      </c>
      <c r="O47" s="119" t="s">
        <v>88</v>
      </c>
      <c r="P47">
        <v>0.90383584570655895</v>
      </c>
      <c r="Q47">
        <v>0.92991321008515504</v>
      </c>
      <c r="R47">
        <v>2.32451499825049E-2</v>
      </c>
      <c r="S47">
        <v>4.03797954392087E-2</v>
      </c>
      <c r="T47">
        <v>2.6026423741120501</v>
      </c>
      <c r="U47">
        <v>2.6026423741120501</v>
      </c>
      <c r="V47">
        <v>5.54</v>
      </c>
      <c r="W47">
        <v>0.64</v>
      </c>
      <c r="X47">
        <v>246478</v>
      </c>
      <c r="Y47">
        <v>18960</v>
      </c>
      <c r="Z47">
        <v>0.94</v>
      </c>
      <c r="AA47">
        <v>13</v>
      </c>
      <c r="AB47">
        <v>8</v>
      </c>
      <c r="AC47">
        <v>5</v>
      </c>
      <c r="AD47">
        <v>61.54</v>
      </c>
      <c r="AE47">
        <v>12</v>
      </c>
      <c r="AF47">
        <v>7</v>
      </c>
      <c r="AG47">
        <v>2</v>
      </c>
      <c r="AH47">
        <v>4</v>
      </c>
    </row>
    <row r="48" spans="1:34">
      <c r="A48" s="115">
        <v>38</v>
      </c>
      <c r="B48">
        <v>3405</v>
      </c>
      <c r="C48" s="119" t="s">
        <v>182</v>
      </c>
      <c r="D48" s="119" t="s">
        <v>89</v>
      </c>
      <c r="E48">
        <v>1372</v>
      </c>
      <c r="F48">
        <v>1337</v>
      </c>
      <c r="G48">
        <v>800</v>
      </c>
      <c r="H48" s="119" t="s">
        <v>88</v>
      </c>
      <c r="I48">
        <v>7205</v>
      </c>
      <c r="J48" s="119" t="s">
        <v>162</v>
      </c>
      <c r="K48" s="119" t="s">
        <v>116</v>
      </c>
      <c r="L48">
        <v>943</v>
      </c>
      <c r="M48">
        <v>938</v>
      </c>
      <c r="N48">
        <v>1100</v>
      </c>
      <c r="O48" s="119" t="s">
        <v>90</v>
      </c>
      <c r="P48">
        <v>0.91074639687374404</v>
      </c>
      <c r="Q48">
        <v>0.94687163635260696</v>
      </c>
      <c r="R48">
        <v>7.6399410148620898E-3</v>
      </c>
      <c r="S48">
        <v>8.6657621256943596E-2</v>
      </c>
      <c r="T48">
        <v>-1.5598708224704301</v>
      </c>
      <c r="U48">
        <v>1.5598708224704301</v>
      </c>
      <c r="V48">
        <v>-3.18</v>
      </c>
      <c r="W48">
        <v>3.53</v>
      </c>
      <c r="X48">
        <v>242999</v>
      </c>
      <c r="Y48">
        <v>20250</v>
      </c>
      <c r="Z48">
        <v>1</v>
      </c>
      <c r="AA48">
        <v>12</v>
      </c>
      <c r="AB48">
        <v>10</v>
      </c>
      <c r="AC48">
        <v>2</v>
      </c>
      <c r="AD48">
        <v>83.33</v>
      </c>
      <c r="AE48">
        <v>13</v>
      </c>
      <c r="AF48">
        <v>5</v>
      </c>
      <c r="AG48">
        <v>2</v>
      </c>
      <c r="AH48">
        <v>5</v>
      </c>
    </row>
    <row r="49" spans="1:34">
      <c r="A49" s="115">
        <v>156</v>
      </c>
      <c r="B49">
        <v>6134</v>
      </c>
      <c r="C49" s="119" t="s">
        <v>183</v>
      </c>
      <c r="D49" s="119" t="s">
        <v>136</v>
      </c>
      <c r="E49">
        <v>1669</v>
      </c>
      <c r="F49">
        <v>1665</v>
      </c>
      <c r="G49">
        <v>600</v>
      </c>
      <c r="H49" s="119" t="s">
        <v>88</v>
      </c>
      <c r="I49">
        <v>6762</v>
      </c>
      <c r="J49" s="119" t="s">
        <v>184</v>
      </c>
      <c r="K49" s="119" t="s">
        <v>119</v>
      </c>
      <c r="L49">
        <v>10500</v>
      </c>
      <c r="M49">
        <v>10550</v>
      </c>
      <c r="N49">
        <v>100</v>
      </c>
      <c r="O49" s="119" t="s">
        <v>90</v>
      </c>
      <c r="P49">
        <v>0.92921140179363004</v>
      </c>
      <c r="Q49">
        <v>0.91257865519502701</v>
      </c>
      <c r="R49">
        <v>6.1982818837236997E-2</v>
      </c>
      <c r="S49">
        <v>4.2738177503850103E-3</v>
      </c>
      <c r="T49">
        <v>-1.4029934589364501</v>
      </c>
      <c r="U49">
        <v>1.4029934589364501</v>
      </c>
      <c r="V49">
        <v>-4.3600000000000003</v>
      </c>
      <c r="W49">
        <v>5.31</v>
      </c>
      <c r="X49">
        <v>240334</v>
      </c>
      <c r="Y49">
        <v>18487</v>
      </c>
      <c r="Z49">
        <v>1.04</v>
      </c>
      <c r="AA49">
        <v>13</v>
      </c>
      <c r="AB49">
        <v>9</v>
      </c>
      <c r="AC49">
        <v>4</v>
      </c>
      <c r="AD49">
        <v>69.23</v>
      </c>
      <c r="AE49">
        <v>13</v>
      </c>
      <c r="AF49">
        <v>5</v>
      </c>
      <c r="AG49">
        <v>1</v>
      </c>
      <c r="AH49">
        <v>7</v>
      </c>
    </row>
    <row r="50" spans="1:34">
      <c r="A50" s="115">
        <v>23</v>
      </c>
      <c r="B50">
        <v>3099</v>
      </c>
      <c r="C50" s="119" t="s">
        <v>91</v>
      </c>
      <c r="D50" s="119" t="s">
        <v>130</v>
      </c>
      <c r="E50">
        <v>879</v>
      </c>
      <c r="F50">
        <v>872</v>
      </c>
      <c r="G50">
        <v>1200</v>
      </c>
      <c r="H50" s="119" t="s">
        <v>88</v>
      </c>
      <c r="I50">
        <v>7211</v>
      </c>
      <c r="J50" s="119" t="s">
        <v>56</v>
      </c>
      <c r="K50" s="119" t="s">
        <v>116</v>
      </c>
      <c r="L50">
        <v>488</v>
      </c>
      <c r="M50">
        <v>493</v>
      </c>
      <c r="N50">
        <v>2100</v>
      </c>
      <c r="O50" s="119" t="s">
        <v>90</v>
      </c>
      <c r="P50">
        <v>0.93272372632881195</v>
      </c>
      <c r="Q50">
        <v>0.95212099477031797</v>
      </c>
      <c r="R50">
        <v>6.7653269209600894E-2</v>
      </c>
      <c r="S50">
        <v>6.6359040188260707E-2</v>
      </c>
      <c r="T50">
        <v>-0.341580370121569</v>
      </c>
      <c r="U50">
        <v>0.341580370121569</v>
      </c>
      <c r="V50">
        <v>-0.77</v>
      </c>
      <c r="W50">
        <v>1.06</v>
      </c>
      <c r="X50">
        <v>237674</v>
      </c>
      <c r="Y50">
        <v>13981</v>
      </c>
      <c r="Z50">
        <v>0.67</v>
      </c>
      <c r="AA50">
        <v>17</v>
      </c>
      <c r="AB50">
        <v>10</v>
      </c>
      <c r="AC50">
        <v>7</v>
      </c>
      <c r="AD50">
        <v>58.82</v>
      </c>
      <c r="AE50">
        <v>12</v>
      </c>
      <c r="AF50">
        <v>9</v>
      </c>
      <c r="AG50">
        <v>2</v>
      </c>
      <c r="AH50">
        <v>6</v>
      </c>
    </row>
    <row r="51" spans="1:34">
      <c r="A51" s="115">
        <v>5</v>
      </c>
      <c r="B51">
        <v>3116</v>
      </c>
      <c r="C51" s="119" t="s">
        <v>188</v>
      </c>
      <c r="D51" s="119" t="s">
        <v>116</v>
      </c>
      <c r="E51">
        <v>1546</v>
      </c>
      <c r="F51">
        <v>1530</v>
      </c>
      <c r="G51">
        <v>700</v>
      </c>
      <c r="H51" s="119" t="s">
        <v>88</v>
      </c>
      <c r="I51">
        <v>7251</v>
      </c>
      <c r="J51" s="119" t="s">
        <v>189</v>
      </c>
      <c r="K51" s="119" t="s">
        <v>116</v>
      </c>
      <c r="L51">
        <v>1722</v>
      </c>
      <c r="M51">
        <v>1695</v>
      </c>
      <c r="N51">
        <v>600</v>
      </c>
      <c r="O51" s="119" t="s">
        <v>90</v>
      </c>
      <c r="P51">
        <v>0.91376639213650701</v>
      </c>
      <c r="Q51">
        <v>0.96668878003885494</v>
      </c>
      <c r="R51">
        <v>0.115064919852537</v>
      </c>
      <c r="S51">
        <v>5.4969518025728295E-4</v>
      </c>
      <c r="T51">
        <v>-1.3361404392298299</v>
      </c>
      <c r="U51">
        <v>1.3361404392298299</v>
      </c>
      <c r="V51">
        <v>-6.22</v>
      </c>
      <c r="W51">
        <v>5.31</v>
      </c>
      <c r="X51">
        <v>231706</v>
      </c>
      <c r="Y51">
        <v>13630</v>
      </c>
      <c r="Z51">
        <v>0.71</v>
      </c>
      <c r="AA51">
        <v>17</v>
      </c>
      <c r="AB51">
        <v>10</v>
      </c>
      <c r="AC51">
        <v>7</v>
      </c>
      <c r="AD51">
        <v>58.82</v>
      </c>
      <c r="AE51">
        <v>13</v>
      </c>
      <c r="AF51">
        <v>7</v>
      </c>
      <c r="AG51">
        <v>3</v>
      </c>
      <c r="AH51">
        <v>7</v>
      </c>
    </row>
    <row r="52" spans="1:34">
      <c r="A52" s="115">
        <v>193</v>
      </c>
      <c r="B52">
        <v>2531</v>
      </c>
      <c r="C52" s="119" t="s">
        <v>190</v>
      </c>
      <c r="D52" s="119" t="s">
        <v>132</v>
      </c>
      <c r="E52">
        <v>1106</v>
      </c>
      <c r="F52">
        <v>1082</v>
      </c>
      <c r="G52">
        <v>1000</v>
      </c>
      <c r="H52" s="119" t="s">
        <v>88</v>
      </c>
      <c r="I52">
        <v>5020</v>
      </c>
      <c r="J52" s="119" t="s">
        <v>191</v>
      </c>
      <c r="K52" s="119" t="s">
        <v>192</v>
      </c>
      <c r="L52">
        <v>490</v>
      </c>
      <c r="M52">
        <v>500.5</v>
      </c>
      <c r="N52">
        <v>2200</v>
      </c>
      <c r="O52" s="119" t="s">
        <v>90</v>
      </c>
      <c r="P52">
        <v>0.91156265229518896</v>
      </c>
      <c r="Q52">
        <v>0.90329614181003604</v>
      </c>
      <c r="R52">
        <v>1.6048018766544998E-2</v>
      </c>
      <c r="S52">
        <v>3.7065592877925303E-2</v>
      </c>
      <c r="T52">
        <v>-0.74970046510796595</v>
      </c>
      <c r="U52">
        <v>0.74970046510796595</v>
      </c>
      <c r="V52">
        <v>-2.41</v>
      </c>
      <c r="W52">
        <v>1.77</v>
      </c>
      <c r="X52">
        <v>228521</v>
      </c>
      <c r="Y52">
        <v>15235</v>
      </c>
      <c r="Z52">
        <v>0.78</v>
      </c>
      <c r="AA52">
        <v>15</v>
      </c>
      <c r="AB52">
        <v>10</v>
      </c>
      <c r="AC52">
        <v>5</v>
      </c>
      <c r="AD52">
        <v>66.67</v>
      </c>
      <c r="AE52">
        <v>10</v>
      </c>
      <c r="AF52">
        <v>9</v>
      </c>
      <c r="AG52">
        <v>4</v>
      </c>
      <c r="AH52">
        <v>2</v>
      </c>
    </row>
    <row r="53" spans="1:34">
      <c r="A53" s="115">
        <v>57</v>
      </c>
      <c r="B53">
        <v>9072</v>
      </c>
      <c r="C53" s="119" t="s">
        <v>193</v>
      </c>
      <c r="D53" s="119" t="s">
        <v>170</v>
      </c>
      <c r="E53">
        <v>2605</v>
      </c>
      <c r="F53">
        <v>2573</v>
      </c>
      <c r="G53">
        <v>300</v>
      </c>
      <c r="H53" s="119" t="s">
        <v>90</v>
      </c>
      <c r="I53">
        <v>9810</v>
      </c>
      <c r="J53" s="119" t="s">
        <v>194</v>
      </c>
      <c r="K53" s="119" t="s">
        <v>139</v>
      </c>
      <c r="L53">
        <v>4440</v>
      </c>
      <c r="M53">
        <v>4395</v>
      </c>
      <c r="N53">
        <v>200</v>
      </c>
      <c r="O53" s="119" t="s">
        <v>88</v>
      </c>
      <c r="P53">
        <v>0.918662506283625</v>
      </c>
      <c r="Q53">
        <v>0.93834992709477505</v>
      </c>
      <c r="R53" s="20">
        <v>1.2553231323509301E-2</v>
      </c>
      <c r="S53">
        <v>6.6972863246048901E-4</v>
      </c>
      <c r="T53">
        <v>0.72543561496157505</v>
      </c>
      <c r="U53">
        <v>0.72543561496157505</v>
      </c>
      <c r="V53">
        <v>1.1000000000000001</v>
      </c>
      <c r="W53">
        <v>12.18</v>
      </c>
      <c r="X53">
        <v>225014</v>
      </c>
      <c r="Y53">
        <v>15001</v>
      </c>
      <c r="Z53">
        <v>0.93</v>
      </c>
      <c r="AA53">
        <v>15</v>
      </c>
      <c r="AB53">
        <v>10</v>
      </c>
      <c r="AC53">
        <v>5</v>
      </c>
      <c r="AD53">
        <v>66.67</v>
      </c>
      <c r="AE53">
        <v>14</v>
      </c>
      <c r="AF53">
        <v>7</v>
      </c>
      <c r="AG53">
        <v>1</v>
      </c>
      <c r="AH53">
        <v>7</v>
      </c>
    </row>
    <row r="54" spans="1:34">
      <c r="A54" s="115">
        <v>171</v>
      </c>
      <c r="B54">
        <v>5110</v>
      </c>
      <c r="C54" s="119" t="s">
        <v>195</v>
      </c>
      <c r="D54" s="119" t="s">
        <v>196</v>
      </c>
      <c r="E54">
        <v>1360</v>
      </c>
      <c r="F54">
        <v>1356</v>
      </c>
      <c r="G54">
        <v>800</v>
      </c>
      <c r="H54" s="119" t="s">
        <v>90</v>
      </c>
      <c r="I54">
        <v>9513</v>
      </c>
      <c r="J54" s="119" t="s">
        <v>197</v>
      </c>
      <c r="K54" s="119" t="s">
        <v>187</v>
      </c>
      <c r="L54">
        <v>2598</v>
      </c>
      <c r="M54">
        <v>2564</v>
      </c>
      <c r="N54">
        <v>400</v>
      </c>
      <c r="O54" s="119" t="s">
        <v>88</v>
      </c>
      <c r="P54">
        <v>0.90221080776707796</v>
      </c>
      <c r="Q54">
        <v>0.909177396493273</v>
      </c>
      <c r="R54">
        <v>1.4676679874403201E-2</v>
      </c>
      <c r="S54">
        <v>3.4313525297568902E-3</v>
      </c>
      <c r="T54">
        <v>2.5642344824577901</v>
      </c>
      <c r="U54">
        <v>2.5642344824577901</v>
      </c>
      <c r="V54">
        <v>5.48</v>
      </c>
      <c r="W54">
        <v>5.77</v>
      </c>
      <c r="X54">
        <v>216123</v>
      </c>
      <c r="Y54">
        <v>16625</v>
      </c>
      <c r="Z54">
        <v>0.87</v>
      </c>
      <c r="AA54">
        <v>13</v>
      </c>
      <c r="AB54">
        <v>9</v>
      </c>
      <c r="AC54">
        <v>4</v>
      </c>
      <c r="AD54">
        <v>69.23</v>
      </c>
      <c r="AE54">
        <v>13</v>
      </c>
      <c r="AF54">
        <v>6</v>
      </c>
      <c r="AG54">
        <v>1</v>
      </c>
      <c r="AH54">
        <v>6</v>
      </c>
    </row>
    <row r="55" spans="1:34">
      <c r="A55" s="115">
        <v>8</v>
      </c>
      <c r="B55">
        <v>7013</v>
      </c>
      <c r="C55" s="119" t="s">
        <v>135</v>
      </c>
      <c r="D55" s="119" t="s">
        <v>136</v>
      </c>
      <c r="E55">
        <v>2507</v>
      </c>
      <c r="F55">
        <v>2556</v>
      </c>
      <c r="G55">
        <v>300</v>
      </c>
      <c r="H55" s="119" t="s">
        <v>90</v>
      </c>
      <c r="I55">
        <v>7846</v>
      </c>
      <c r="J55" s="119" t="s">
        <v>181</v>
      </c>
      <c r="K55" s="119" t="s">
        <v>121</v>
      </c>
      <c r="L55">
        <v>4180</v>
      </c>
      <c r="M55">
        <v>4180</v>
      </c>
      <c r="N55">
        <v>200</v>
      </c>
      <c r="O55" s="119" t="s">
        <v>88</v>
      </c>
      <c r="P55">
        <v>0.91254972374698096</v>
      </c>
      <c r="Q55">
        <v>0.96356181931056295</v>
      </c>
      <c r="R55">
        <v>3.7551817244748299E-2</v>
      </c>
      <c r="S55">
        <v>0.136157237139653</v>
      </c>
      <c r="T55">
        <v>0.46791960172144798</v>
      </c>
      <c r="U55">
        <v>0.46791960172144798</v>
      </c>
      <c r="V55">
        <v>2.08</v>
      </c>
      <c r="W55">
        <v>8.2799999999999994</v>
      </c>
      <c r="X55">
        <v>212602</v>
      </c>
      <c r="Y55">
        <v>23622</v>
      </c>
      <c r="Z55">
        <v>1.45</v>
      </c>
      <c r="AA55">
        <v>9</v>
      </c>
      <c r="AB55">
        <v>7</v>
      </c>
      <c r="AC55">
        <v>2</v>
      </c>
      <c r="AD55">
        <v>77.78</v>
      </c>
      <c r="AE55">
        <v>9</v>
      </c>
      <c r="AF55">
        <v>6</v>
      </c>
      <c r="AG55">
        <v>1</v>
      </c>
      <c r="AH55">
        <v>2</v>
      </c>
    </row>
    <row r="56" spans="1:34">
      <c r="A56" s="115">
        <v>77</v>
      </c>
      <c r="B56">
        <v>4118</v>
      </c>
      <c r="C56" s="119" t="s">
        <v>92</v>
      </c>
      <c r="D56" s="119" t="s">
        <v>89</v>
      </c>
      <c r="E56">
        <v>3520</v>
      </c>
      <c r="F56">
        <v>3500</v>
      </c>
      <c r="G56">
        <v>300</v>
      </c>
      <c r="H56" s="119" t="s">
        <v>90</v>
      </c>
      <c r="I56">
        <v>5406</v>
      </c>
      <c r="J56" s="119" t="s">
        <v>151</v>
      </c>
      <c r="K56" s="119" t="s">
        <v>126</v>
      </c>
      <c r="L56">
        <v>567</v>
      </c>
      <c r="M56">
        <v>562</v>
      </c>
      <c r="N56">
        <v>1900</v>
      </c>
      <c r="O56" s="119" t="s">
        <v>88</v>
      </c>
      <c r="P56">
        <v>0.91486064158880698</v>
      </c>
      <c r="Q56">
        <v>0.93390313305243999</v>
      </c>
      <c r="R56">
        <v>9.1441522385466198E-2</v>
      </c>
      <c r="S56">
        <v>0.110890642901498</v>
      </c>
      <c r="T56">
        <v>1.6814055774283201</v>
      </c>
      <c r="U56">
        <v>1.6814055774283201</v>
      </c>
      <c r="V56">
        <v>5.77</v>
      </c>
      <c r="W56">
        <v>1.7</v>
      </c>
      <c r="X56">
        <v>204492</v>
      </c>
      <c r="Y56">
        <v>12029</v>
      </c>
      <c r="Z56">
        <v>0.56999999999999995</v>
      </c>
      <c r="AA56">
        <v>17</v>
      </c>
      <c r="AB56">
        <v>10</v>
      </c>
      <c r="AC56">
        <v>7</v>
      </c>
      <c r="AD56">
        <v>58.82</v>
      </c>
      <c r="AE56">
        <v>11</v>
      </c>
      <c r="AF56">
        <v>8</v>
      </c>
      <c r="AG56">
        <v>4</v>
      </c>
      <c r="AH56">
        <v>5</v>
      </c>
    </row>
    <row r="57" spans="1:34">
      <c r="A57" s="115">
        <v>133</v>
      </c>
      <c r="B57">
        <v>8273</v>
      </c>
      <c r="C57" s="119" t="s">
        <v>137</v>
      </c>
      <c r="D57" s="119" t="s">
        <v>130</v>
      </c>
      <c r="E57">
        <v>4330</v>
      </c>
      <c r="F57">
        <v>4285</v>
      </c>
      <c r="G57">
        <v>200</v>
      </c>
      <c r="H57" s="119" t="s">
        <v>90</v>
      </c>
      <c r="I57">
        <v>9412</v>
      </c>
      <c r="J57" s="119" t="s">
        <v>110</v>
      </c>
      <c r="K57" s="119" t="s">
        <v>111</v>
      </c>
      <c r="L57">
        <v>449</v>
      </c>
      <c r="M57">
        <v>440</v>
      </c>
      <c r="N57">
        <v>1900</v>
      </c>
      <c r="O57" s="119" t="s">
        <v>88</v>
      </c>
      <c r="P57">
        <v>0.91229867096213302</v>
      </c>
      <c r="Q57">
        <v>0.91800505463670201</v>
      </c>
      <c r="R57">
        <v>6.0026107575988702E-3</v>
      </c>
      <c r="S57">
        <v>6.8325497772662697E-2</v>
      </c>
      <c r="T57">
        <v>0.22514029253026499</v>
      </c>
      <c r="U57">
        <v>0.22514029253026499</v>
      </c>
      <c r="V57">
        <v>0.63</v>
      </c>
      <c r="W57">
        <v>2.4500000000000002</v>
      </c>
      <c r="X57">
        <v>203059</v>
      </c>
      <c r="Y57">
        <v>10687</v>
      </c>
      <c r="Z57">
        <v>0.44</v>
      </c>
      <c r="AA57">
        <v>19</v>
      </c>
      <c r="AB57">
        <v>11</v>
      </c>
      <c r="AC57">
        <v>8</v>
      </c>
      <c r="AD57">
        <v>57.89</v>
      </c>
      <c r="AE57">
        <v>13</v>
      </c>
      <c r="AF57">
        <v>8</v>
      </c>
      <c r="AG57">
        <v>4</v>
      </c>
      <c r="AH57">
        <v>7</v>
      </c>
    </row>
    <row r="58" spans="1:34">
      <c r="A58" s="115">
        <v>145</v>
      </c>
      <c r="B58">
        <v>5201</v>
      </c>
      <c r="C58" s="119" t="s">
        <v>198</v>
      </c>
      <c r="D58" s="119" t="s">
        <v>146</v>
      </c>
      <c r="E58">
        <v>3565</v>
      </c>
      <c r="F58">
        <v>3435</v>
      </c>
      <c r="G58">
        <v>300</v>
      </c>
      <c r="H58" s="119" t="s">
        <v>90</v>
      </c>
      <c r="I58">
        <v>5214</v>
      </c>
      <c r="J58" s="119" t="s">
        <v>199</v>
      </c>
      <c r="K58" s="119" t="s">
        <v>146</v>
      </c>
      <c r="L58">
        <v>2447</v>
      </c>
      <c r="M58">
        <v>2377</v>
      </c>
      <c r="N58">
        <v>400</v>
      </c>
      <c r="O58" s="119" t="s">
        <v>88</v>
      </c>
      <c r="P58">
        <v>0.95792184380371503</v>
      </c>
      <c r="Q58">
        <v>0.91558832210901497</v>
      </c>
      <c r="R58">
        <v>1.33672100973158E-2</v>
      </c>
      <c r="S58">
        <v>4.9883028736856301E-2</v>
      </c>
      <c r="T58">
        <v>2.5881612492558501</v>
      </c>
      <c r="U58">
        <v>2.5881612492558501</v>
      </c>
      <c r="V58">
        <v>4.93</v>
      </c>
      <c r="W58">
        <v>7.73</v>
      </c>
      <c r="X58">
        <v>202734</v>
      </c>
      <c r="Y58">
        <v>22526</v>
      </c>
      <c r="Z58">
        <v>1.1200000000000001</v>
      </c>
      <c r="AA58">
        <v>9</v>
      </c>
      <c r="AB58">
        <v>4</v>
      </c>
      <c r="AC58">
        <v>5</v>
      </c>
      <c r="AD58">
        <v>44.44</v>
      </c>
      <c r="AE58">
        <v>15</v>
      </c>
      <c r="AF58">
        <v>4</v>
      </c>
      <c r="AG58">
        <v>1</v>
      </c>
      <c r="AH58">
        <v>4</v>
      </c>
    </row>
    <row r="59" spans="1:34">
      <c r="A59" s="115">
        <v>130</v>
      </c>
      <c r="B59">
        <v>3116</v>
      </c>
      <c r="C59" s="119" t="s">
        <v>188</v>
      </c>
      <c r="D59" s="119" t="s">
        <v>116</v>
      </c>
      <c r="E59">
        <v>1546</v>
      </c>
      <c r="F59">
        <v>1530</v>
      </c>
      <c r="G59">
        <v>700</v>
      </c>
      <c r="H59" s="119" t="s">
        <v>90</v>
      </c>
      <c r="I59">
        <v>8601</v>
      </c>
      <c r="J59" s="119" t="s">
        <v>53</v>
      </c>
      <c r="K59" s="119" t="s">
        <v>163</v>
      </c>
      <c r="L59">
        <v>490.1</v>
      </c>
      <c r="M59">
        <v>485.6</v>
      </c>
      <c r="N59">
        <v>2200</v>
      </c>
      <c r="O59" s="119" t="s">
        <v>88</v>
      </c>
      <c r="P59">
        <v>0.92388771776317202</v>
      </c>
      <c r="Q59">
        <v>0.91835861094549898</v>
      </c>
      <c r="R59">
        <v>2.4542717298663E-4</v>
      </c>
      <c r="S59">
        <v>0.20825934175320401</v>
      </c>
      <c r="T59">
        <v>1.3457108038712999</v>
      </c>
      <c r="U59">
        <v>1.3457108038712999</v>
      </c>
      <c r="V59">
        <v>2.74</v>
      </c>
      <c r="W59">
        <v>0.25</v>
      </c>
      <c r="X59">
        <v>200214</v>
      </c>
      <c r="Y59">
        <v>15401</v>
      </c>
      <c r="Z59">
        <v>0.71</v>
      </c>
      <c r="AA59">
        <v>13</v>
      </c>
      <c r="AB59">
        <v>9</v>
      </c>
      <c r="AC59">
        <v>4</v>
      </c>
      <c r="AD59">
        <v>69.23</v>
      </c>
      <c r="AE59">
        <v>13</v>
      </c>
      <c r="AF59">
        <v>5</v>
      </c>
      <c r="AG59">
        <v>3</v>
      </c>
      <c r="AH59">
        <v>5</v>
      </c>
    </row>
    <row r="60" spans="1:34">
      <c r="A60" s="115">
        <v>119</v>
      </c>
      <c r="B60">
        <v>7211</v>
      </c>
      <c r="C60" s="119" t="s">
        <v>56</v>
      </c>
      <c r="D60" s="119" t="s">
        <v>116</v>
      </c>
      <c r="E60">
        <v>488</v>
      </c>
      <c r="F60">
        <v>493</v>
      </c>
      <c r="G60">
        <v>2200</v>
      </c>
      <c r="H60" s="119" t="s">
        <v>88</v>
      </c>
      <c r="I60">
        <v>7259</v>
      </c>
      <c r="J60" s="119" t="s">
        <v>55</v>
      </c>
      <c r="K60" s="119" t="s">
        <v>116</v>
      </c>
      <c r="L60">
        <v>3665</v>
      </c>
      <c r="M60">
        <v>3645</v>
      </c>
      <c r="N60">
        <v>300</v>
      </c>
      <c r="O60" s="119" t="s">
        <v>90</v>
      </c>
      <c r="P60">
        <v>0.96127750311140303</v>
      </c>
      <c r="Q60">
        <v>0.92075845173054005</v>
      </c>
      <c r="R60">
        <v>0.122245291366169</v>
      </c>
      <c r="S60">
        <v>0.20473473666036501</v>
      </c>
      <c r="T60">
        <v>-1.41499927079572</v>
      </c>
      <c r="U60">
        <v>1.41499927079572</v>
      </c>
      <c r="V60">
        <v>-2.81</v>
      </c>
      <c r="W60">
        <v>0.81</v>
      </c>
      <c r="X60">
        <v>198687</v>
      </c>
      <c r="Y60">
        <v>11038</v>
      </c>
      <c r="Z60">
        <v>0.56000000000000005</v>
      </c>
      <c r="AA60">
        <v>18</v>
      </c>
      <c r="AB60">
        <v>10</v>
      </c>
      <c r="AC60">
        <v>8</v>
      </c>
      <c r="AD60">
        <v>55.56</v>
      </c>
      <c r="AE60">
        <v>12</v>
      </c>
      <c r="AF60">
        <v>7</v>
      </c>
      <c r="AG60">
        <v>5</v>
      </c>
      <c r="AH60">
        <v>6</v>
      </c>
    </row>
    <row r="61" spans="1:34">
      <c r="A61" s="115">
        <v>177</v>
      </c>
      <c r="B61">
        <v>4005</v>
      </c>
      <c r="C61" s="119" t="s">
        <v>164</v>
      </c>
      <c r="D61" s="119" t="s">
        <v>89</v>
      </c>
      <c r="E61">
        <v>512</v>
      </c>
      <c r="F61">
        <v>507</v>
      </c>
      <c r="G61">
        <v>2000</v>
      </c>
      <c r="H61" s="119" t="s">
        <v>88</v>
      </c>
      <c r="I61">
        <v>5301</v>
      </c>
      <c r="J61" s="119" t="s">
        <v>201</v>
      </c>
      <c r="K61" s="119" t="s">
        <v>146</v>
      </c>
      <c r="L61">
        <v>1119</v>
      </c>
      <c r="M61">
        <v>1130</v>
      </c>
      <c r="N61">
        <v>900</v>
      </c>
      <c r="O61" s="119" t="s">
        <v>90</v>
      </c>
      <c r="P61">
        <v>0.92277823328325403</v>
      </c>
      <c r="Q61">
        <v>0.906269486989846</v>
      </c>
      <c r="R61">
        <v>2.4974321452741501E-2</v>
      </c>
      <c r="S61">
        <v>0.17503227177650199</v>
      </c>
      <c r="T61">
        <v>-0.94930550236386801</v>
      </c>
      <c r="U61">
        <v>0.94930550236386801</v>
      </c>
      <c r="V61">
        <v>-2.13</v>
      </c>
      <c r="W61">
        <v>0.28999999999999998</v>
      </c>
      <c r="X61">
        <v>195678</v>
      </c>
      <c r="Y61">
        <v>8508</v>
      </c>
      <c r="Z61">
        <v>0.42</v>
      </c>
      <c r="AA61">
        <v>23</v>
      </c>
      <c r="AB61">
        <v>14</v>
      </c>
      <c r="AC61">
        <v>9</v>
      </c>
      <c r="AD61">
        <v>60.87</v>
      </c>
      <c r="AE61">
        <v>9</v>
      </c>
      <c r="AF61">
        <v>13</v>
      </c>
      <c r="AG61">
        <v>7</v>
      </c>
      <c r="AH61">
        <v>3</v>
      </c>
    </row>
    <row r="62" spans="1:34">
      <c r="A62" s="115">
        <v>30</v>
      </c>
      <c r="B62">
        <v>5301</v>
      </c>
      <c r="C62" s="119" t="s">
        <v>201</v>
      </c>
      <c r="D62" s="119" t="s">
        <v>146</v>
      </c>
      <c r="E62">
        <v>1119</v>
      </c>
      <c r="F62">
        <v>1130</v>
      </c>
      <c r="G62">
        <v>900</v>
      </c>
      <c r="H62" s="119" t="s">
        <v>88</v>
      </c>
      <c r="I62">
        <v>7251</v>
      </c>
      <c r="J62" s="119" t="s">
        <v>189</v>
      </c>
      <c r="K62" s="119" t="s">
        <v>116</v>
      </c>
      <c r="L62">
        <v>1722</v>
      </c>
      <c r="M62">
        <v>1695</v>
      </c>
      <c r="N62">
        <v>600</v>
      </c>
      <c r="O62" s="119" t="s">
        <v>90</v>
      </c>
      <c r="P62">
        <v>0.90590850217419305</v>
      </c>
      <c r="Q62">
        <v>0.949642954305987</v>
      </c>
      <c r="R62">
        <v>6.1990391152667301E-2</v>
      </c>
      <c r="S62">
        <v>0.12735256964288799</v>
      </c>
      <c r="T62">
        <v>-1.3676373827335799</v>
      </c>
      <c r="U62">
        <v>1.3676373827335799</v>
      </c>
      <c r="V62">
        <v>-4.88</v>
      </c>
      <c r="W62">
        <v>0</v>
      </c>
      <c r="X62">
        <v>195079</v>
      </c>
      <c r="Y62">
        <v>6967</v>
      </c>
      <c r="Z62">
        <v>0.47</v>
      </c>
      <c r="AA62">
        <v>28</v>
      </c>
      <c r="AB62">
        <v>15</v>
      </c>
      <c r="AC62">
        <v>13</v>
      </c>
      <c r="AD62">
        <v>53.57</v>
      </c>
      <c r="AE62">
        <v>8</v>
      </c>
      <c r="AF62">
        <v>13</v>
      </c>
      <c r="AG62">
        <v>13</v>
      </c>
      <c r="AH62">
        <v>2</v>
      </c>
    </row>
    <row r="63" spans="1:34">
      <c r="A63" s="115">
        <v>26</v>
      </c>
      <c r="B63">
        <v>8002</v>
      </c>
      <c r="C63" s="119" t="s">
        <v>57</v>
      </c>
      <c r="D63" s="119" t="s">
        <v>139</v>
      </c>
      <c r="E63">
        <v>736.5</v>
      </c>
      <c r="F63">
        <v>731.6</v>
      </c>
      <c r="G63">
        <v>1500</v>
      </c>
      <c r="H63" s="119" t="s">
        <v>90</v>
      </c>
      <c r="I63">
        <v>8601</v>
      </c>
      <c r="J63" s="119" t="s">
        <v>53</v>
      </c>
      <c r="K63" s="119" t="s">
        <v>163</v>
      </c>
      <c r="L63">
        <v>490.1</v>
      </c>
      <c r="M63">
        <v>485.6</v>
      </c>
      <c r="N63">
        <v>2300</v>
      </c>
      <c r="O63" s="119" t="s">
        <v>88</v>
      </c>
      <c r="P63">
        <v>0.93786381780511197</v>
      </c>
      <c r="Q63">
        <v>0.95080230379015296</v>
      </c>
      <c r="R63">
        <v>0.15843629156248401</v>
      </c>
      <c r="S63">
        <v>1.1915168759799699E-2</v>
      </c>
      <c r="T63">
        <v>0.59221317756663205</v>
      </c>
      <c r="U63">
        <v>0.59221317756663205</v>
      </c>
      <c r="V63">
        <v>1.07</v>
      </c>
      <c r="W63">
        <v>1.78</v>
      </c>
      <c r="X63">
        <v>184862</v>
      </c>
      <c r="Y63">
        <v>11554</v>
      </c>
      <c r="Z63">
        <v>0.55000000000000004</v>
      </c>
      <c r="AA63">
        <v>16</v>
      </c>
      <c r="AB63">
        <v>10</v>
      </c>
      <c r="AC63">
        <v>6</v>
      </c>
      <c r="AD63">
        <v>62.5</v>
      </c>
      <c r="AE63">
        <v>14</v>
      </c>
      <c r="AF63">
        <v>6</v>
      </c>
      <c r="AG63">
        <v>3</v>
      </c>
      <c r="AH63">
        <v>7</v>
      </c>
    </row>
    <row r="64" spans="1:34">
      <c r="A64" s="115">
        <v>150</v>
      </c>
      <c r="B64">
        <v>8309</v>
      </c>
      <c r="C64" s="119" t="s">
        <v>52</v>
      </c>
      <c r="D64" s="119" t="s">
        <v>114</v>
      </c>
      <c r="E64">
        <v>3831</v>
      </c>
      <c r="F64">
        <v>3827</v>
      </c>
      <c r="G64">
        <v>200</v>
      </c>
      <c r="H64" s="119" t="s">
        <v>88</v>
      </c>
      <c r="I64">
        <v>8341</v>
      </c>
      <c r="J64" s="119" t="s">
        <v>185</v>
      </c>
      <c r="K64" s="119" t="s">
        <v>114</v>
      </c>
      <c r="L64">
        <v>1650</v>
      </c>
      <c r="M64">
        <v>1615</v>
      </c>
      <c r="N64">
        <v>500</v>
      </c>
      <c r="O64" s="119" t="s">
        <v>90</v>
      </c>
      <c r="P64">
        <v>0.956310195142269</v>
      </c>
      <c r="Q64">
        <v>0.91338815963321496</v>
      </c>
      <c r="R64">
        <v>0.13748286421191999</v>
      </c>
      <c r="S64" s="20">
        <v>0.33500982789649902</v>
      </c>
      <c r="T64">
        <v>-1.2958854593459499</v>
      </c>
      <c r="U64">
        <v>1.2958854593459499</v>
      </c>
      <c r="V64">
        <v>-4.03</v>
      </c>
      <c r="W64">
        <v>5.5</v>
      </c>
      <c r="X64">
        <v>184184</v>
      </c>
      <c r="Y64">
        <v>9694</v>
      </c>
      <c r="Z64">
        <v>0.66</v>
      </c>
      <c r="AA64">
        <v>19</v>
      </c>
      <c r="AB64">
        <v>12</v>
      </c>
      <c r="AC64">
        <v>7</v>
      </c>
      <c r="AD64">
        <v>63.16</v>
      </c>
      <c r="AE64">
        <v>14</v>
      </c>
      <c r="AF64">
        <v>6</v>
      </c>
      <c r="AG64">
        <v>3</v>
      </c>
      <c r="AH64">
        <v>10</v>
      </c>
    </row>
    <row r="65" spans="1:34">
      <c r="A65" s="115">
        <v>59</v>
      </c>
      <c r="B65">
        <v>7278</v>
      </c>
      <c r="C65" s="119" t="s">
        <v>115</v>
      </c>
      <c r="D65" s="119" t="s">
        <v>116</v>
      </c>
      <c r="E65">
        <v>2205</v>
      </c>
      <c r="F65">
        <v>2171</v>
      </c>
      <c r="G65">
        <v>400</v>
      </c>
      <c r="H65" s="119" t="s">
        <v>88</v>
      </c>
      <c r="I65">
        <v>7846</v>
      </c>
      <c r="J65" s="119" t="s">
        <v>181</v>
      </c>
      <c r="K65" s="119" t="s">
        <v>121</v>
      </c>
      <c r="L65">
        <v>4180</v>
      </c>
      <c r="M65">
        <v>4180</v>
      </c>
      <c r="N65">
        <v>200</v>
      </c>
      <c r="O65" s="119" t="s">
        <v>90</v>
      </c>
      <c r="P65">
        <v>0.94320092513247</v>
      </c>
      <c r="Q65">
        <v>0.93774509193279398</v>
      </c>
      <c r="R65">
        <v>1.9831056413204599E-2</v>
      </c>
      <c r="S65">
        <v>2.8075425154355099E-2</v>
      </c>
      <c r="T65">
        <v>-2.2468358557301502</v>
      </c>
      <c r="U65">
        <v>2.2468358557301502</v>
      </c>
      <c r="V65">
        <v>-4.17</v>
      </c>
      <c r="W65">
        <v>3.88</v>
      </c>
      <c r="X65">
        <v>180727</v>
      </c>
      <c r="Y65">
        <v>20081</v>
      </c>
      <c r="Z65">
        <v>1.01</v>
      </c>
      <c r="AA65">
        <v>9</v>
      </c>
      <c r="AB65">
        <v>6</v>
      </c>
      <c r="AC65">
        <v>3</v>
      </c>
      <c r="AD65">
        <v>66.67</v>
      </c>
      <c r="AE65">
        <v>11</v>
      </c>
      <c r="AF65">
        <v>5</v>
      </c>
      <c r="AG65">
        <v>2</v>
      </c>
      <c r="AH65">
        <v>2</v>
      </c>
    </row>
    <row r="66" spans="1:34">
      <c r="A66" s="115">
        <v>10</v>
      </c>
      <c r="B66">
        <v>6752</v>
      </c>
      <c r="C66" s="119" t="s">
        <v>144</v>
      </c>
      <c r="D66" s="119" t="s">
        <v>119</v>
      </c>
      <c r="E66">
        <v>910.6</v>
      </c>
      <c r="F66">
        <v>907</v>
      </c>
      <c r="G66">
        <v>1200</v>
      </c>
      <c r="H66" s="119" t="s">
        <v>90</v>
      </c>
      <c r="I66">
        <v>7278</v>
      </c>
      <c r="J66" s="119" t="s">
        <v>115</v>
      </c>
      <c r="K66" s="119" t="s">
        <v>116</v>
      </c>
      <c r="L66">
        <v>2205</v>
      </c>
      <c r="M66">
        <v>2171</v>
      </c>
      <c r="N66">
        <v>500</v>
      </c>
      <c r="O66" s="119" t="s">
        <v>88</v>
      </c>
      <c r="P66">
        <v>0.95957608731652499</v>
      </c>
      <c r="Q66">
        <v>0.961324703993929</v>
      </c>
      <c r="R66">
        <v>1.65002054438118E-2</v>
      </c>
      <c r="S66">
        <v>0.19462350919038099</v>
      </c>
      <c r="T66">
        <v>0.38501369633480698</v>
      </c>
      <c r="U66">
        <v>0.38501369633480698</v>
      </c>
      <c r="V66">
        <v>0.69</v>
      </c>
      <c r="W66">
        <v>0.27</v>
      </c>
      <c r="X66">
        <v>178895</v>
      </c>
      <c r="Y66">
        <v>10523</v>
      </c>
      <c r="Z66">
        <v>0.53</v>
      </c>
      <c r="AA66">
        <v>17</v>
      </c>
      <c r="AB66">
        <v>9</v>
      </c>
      <c r="AC66">
        <v>8</v>
      </c>
      <c r="AD66">
        <v>52.94</v>
      </c>
      <c r="AE66">
        <v>12</v>
      </c>
      <c r="AF66">
        <v>6</v>
      </c>
      <c r="AG66">
        <v>2</v>
      </c>
      <c r="AH66">
        <v>9</v>
      </c>
    </row>
    <row r="67" spans="1:34">
      <c r="A67" s="115">
        <v>66</v>
      </c>
      <c r="B67">
        <v>3635</v>
      </c>
      <c r="C67" s="119" t="s">
        <v>117</v>
      </c>
      <c r="D67" s="119" t="s">
        <v>111</v>
      </c>
      <c r="E67">
        <v>2368</v>
      </c>
      <c r="F67">
        <v>2389</v>
      </c>
      <c r="G67">
        <v>300</v>
      </c>
      <c r="H67" s="119" t="s">
        <v>88</v>
      </c>
      <c r="I67">
        <v>4612</v>
      </c>
      <c r="J67" s="119" t="s">
        <v>204</v>
      </c>
      <c r="K67" s="119" t="s">
        <v>89</v>
      </c>
      <c r="L67">
        <v>6160</v>
      </c>
      <c r="M67">
        <v>6170</v>
      </c>
      <c r="N67">
        <v>100</v>
      </c>
      <c r="O67" s="119" t="s">
        <v>90</v>
      </c>
      <c r="P67">
        <v>0.93878658611910903</v>
      </c>
      <c r="Q67">
        <v>0.935480031345304</v>
      </c>
      <c r="R67">
        <v>0.15565577669271799</v>
      </c>
      <c r="S67">
        <v>2.1377084547205402E-3</v>
      </c>
      <c r="T67">
        <v>-1.9605174130495999</v>
      </c>
      <c r="U67">
        <v>1.9605174130495999</v>
      </c>
      <c r="V67">
        <v>-12.99</v>
      </c>
      <c r="W67">
        <v>16.16</v>
      </c>
      <c r="X67">
        <v>175106</v>
      </c>
      <c r="Y67">
        <v>11674</v>
      </c>
      <c r="Z67">
        <v>0.46</v>
      </c>
      <c r="AA67">
        <v>15</v>
      </c>
      <c r="AB67">
        <v>9</v>
      </c>
      <c r="AC67">
        <v>6</v>
      </c>
      <c r="AD67">
        <v>60</v>
      </c>
      <c r="AE67">
        <v>10</v>
      </c>
      <c r="AF67">
        <v>8</v>
      </c>
      <c r="AG67">
        <v>5</v>
      </c>
      <c r="AH67">
        <v>2</v>
      </c>
    </row>
    <row r="68" spans="1:34">
      <c r="A68" s="115">
        <v>83</v>
      </c>
      <c r="B68">
        <v>7251</v>
      </c>
      <c r="C68" s="119" t="s">
        <v>189</v>
      </c>
      <c r="D68" s="119" t="s">
        <v>116</v>
      </c>
      <c r="E68">
        <v>1722</v>
      </c>
      <c r="F68">
        <v>1695</v>
      </c>
      <c r="G68">
        <v>600</v>
      </c>
      <c r="H68" s="119" t="s">
        <v>90</v>
      </c>
      <c r="I68">
        <v>8601</v>
      </c>
      <c r="J68" s="119" t="s">
        <v>53</v>
      </c>
      <c r="K68" s="119" t="s">
        <v>163</v>
      </c>
      <c r="L68">
        <v>490.1</v>
      </c>
      <c r="M68">
        <v>485.6</v>
      </c>
      <c r="N68">
        <v>2100</v>
      </c>
      <c r="O68" s="119" t="s">
        <v>88</v>
      </c>
      <c r="P68">
        <v>0.926986535697367</v>
      </c>
      <c r="Q68">
        <v>0.93076850915755305</v>
      </c>
      <c r="R68">
        <v>1.9389077190095302E-2</v>
      </c>
      <c r="S68">
        <v>0.145663715742779</v>
      </c>
      <c r="T68">
        <v>2.6744422852160299</v>
      </c>
      <c r="U68">
        <v>2.6744422852160299</v>
      </c>
      <c r="V68">
        <v>8.31</v>
      </c>
      <c r="W68">
        <v>0.27</v>
      </c>
      <c r="X68">
        <v>174349</v>
      </c>
      <c r="Y68">
        <v>10897</v>
      </c>
      <c r="Z68">
        <v>0.56999999999999995</v>
      </c>
      <c r="AA68">
        <v>16</v>
      </c>
      <c r="AB68">
        <v>10</v>
      </c>
      <c r="AC68">
        <v>6</v>
      </c>
      <c r="AD68">
        <v>62.5</v>
      </c>
      <c r="AE68">
        <v>14</v>
      </c>
      <c r="AF68">
        <v>6</v>
      </c>
      <c r="AG68">
        <v>1</v>
      </c>
      <c r="AH68">
        <v>9</v>
      </c>
    </row>
    <row r="69" spans="1:34">
      <c r="A69" s="115">
        <v>208</v>
      </c>
      <c r="B69">
        <v>6473</v>
      </c>
      <c r="C69" s="119" t="s">
        <v>205</v>
      </c>
      <c r="D69" s="119" t="s">
        <v>136</v>
      </c>
      <c r="E69">
        <v>1293</v>
      </c>
      <c r="F69">
        <v>1279</v>
      </c>
      <c r="G69">
        <v>900</v>
      </c>
      <c r="H69" s="119" t="s">
        <v>88</v>
      </c>
      <c r="I69">
        <v>7259</v>
      </c>
      <c r="J69" s="119" t="s">
        <v>55</v>
      </c>
      <c r="K69" s="119" t="s">
        <v>116</v>
      </c>
      <c r="L69">
        <v>3665</v>
      </c>
      <c r="M69">
        <v>3645</v>
      </c>
      <c r="N69">
        <v>300</v>
      </c>
      <c r="O69" s="119" t="s">
        <v>90</v>
      </c>
      <c r="P69">
        <v>0.96479114889895501</v>
      </c>
      <c r="Q69">
        <v>0.90043028196925801</v>
      </c>
      <c r="R69">
        <v>0.20344590488183401</v>
      </c>
      <c r="S69">
        <v>0.14702463069959901</v>
      </c>
      <c r="T69">
        <v>-1.5828170915758599</v>
      </c>
      <c r="U69">
        <v>1.5828170915758599</v>
      </c>
      <c r="V69">
        <v>-3.51</v>
      </c>
      <c r="W69">
        <v>5.27</v>
      </c>
      <c r="X69">
        <v>174145</v>
      </c>
      <c r="Y69">
        <v>12439</v>
      </c>
      <c r="Z69">
        <v>0.72</v>
      </c>
      <c r="AA69">
        <v>14</v>
      </c>
      <c r="AB69">
        <v>7</v>
      </c>
      <c r="AC69">
        <v>7</v>
      </c>
      <c r="AD69">
        <v>50</v>
      </c>
      <c r="AE69">
        <v>11</v>
      </c>
      <c r="AF69">
        <v>6</v>
      </c>
      <c r="AG69">
        <v>1</v>
      </c>
      <c r="AH69">
        <v>7</v>
      </c>
    </row>
    <row r="70" spans="1:34">
      <c r="A70" s="115">
        <v>106</v>
      </c>
      <c r="B70">
        <v>3076</v>
      </c>
      <c r="C70" s="119" t="s">
        <v>212</v>
      </c>
      <c r="D70" s="119" t="s">
        <v>139</v>
      </c>
      <c r="E70">
        <v>1860</v>
      </c>
      <c r="F70">
        <v>1859</v>
      </c>
      <c r="G70">
        <v>600</v>
      </c>
      <c r="H70" s="119" t="s">
        <v>90</v>
      </c>
      <c r="I70">
        <v>9513</v>
      </c>
      <c r="J70" s="119" t="s">
        <v>197</v>
      </c>
      <c r="K70" s="119" t="s">
        <v>187</v>
      </c>
      <c r="L70">
        <v>2598</v>
      </c>
      <c r="M70">
        <v>2564</v>
      </c>
      <c r="N70">
        <v>400</v>
      </c>
      <c r="O70" s="119" t="s">
        <v>88</v>
      </c>
      <c r="P70">
        <v>0.91640443310193598</v>
      </c>
      <c r="Q70">
        <v>0.92611263972617897</v>
      </c>
      <c r="R70">
        <v>1.63500524521632E-2</v>
      </c>
      <c r="S70">
        <v>1.8074372948238899E-4</v>
      </c>
      <c r="T70">
        <v>1.0535037864107399</v>
      </c>
      <c r="U70">
        <v>1.0535037864107399</v>
      </c>
      <c r="V70">
        <v>2.5499999999999998</v>
      </c>
      <c r="W70">
        <v>8.76</v>
      </c>
      <c r="X70">
        <v>170411</v>
      </c>
      <c r="Y70">
        <v>11361</v>
      </c>
      <c r="Z70">
        <v>0.57999999999999996</v>
      </c>
      <c r="AA70">
        <v>15</v>
      </c>
      <c r="AB70">
        <v>10</v>
      </c>
      <c r="AC70">
        <v>5</v>
      </c>
      <c r="AD70">
        <v>66.67</v>
      </c>
      <c r="AE70">
        <v>11</v>
      </c>
      <c r="AF70">
        <v>6</v>
      </c>
      <c r="AG70">
        <v>3</v>
      </c>
      <c r="AH70">
        <v>6</v>
      </c>
    </row>
    <row r="71" spans="1:34">
      <c r="A71" s="115">
        <v>109</v>
      </c>
      <c r="B71">
        <v>1944</v>
      </c>
      <c r="C71" s="119" t="s">
        <v>206</v>
      </c>
      <c r="D71" s="119" t="s">
        <v>109</v>
      </c>
      <c r="E71">
        <v>1626</v>
      </c>
      <c r="F71">
        <v>1609</v>
      </c>
      <c r="G71">
        <v>600</v>
      </c>
      <c r="H71" s="119" t="s">
        <v>88</v>
      </c>
      <c r="I71">
        <v>9072</v>
      </c>
      <c r="J71" s="119" t="s">
        <v>193</v>
      </c>
      <c r="K71" s="119" t="s">
        <v>170</v>
      </c>
      <c r="L71">
        <v>2605</v>
      </c>
      <c r="M71">
        <v>2573</v>
      </c>
      <c r="N71">
        <v>400</v>
      </c>
      <c r="O71" s="119" t="s">
        <v>90</v>
      </c>
      <c r="P71">
        <v>0.90527506350974896</v>
      </c>
      <c r="Q71">
        <v>0.92497677432786796</v>
      </c>
      <c r="R71">
        <v>0.10104225430198201</v>
      </c>
      <c r="S71">
        <v>2.3555337377199701E-2</v>
      </c>
      <c r="T71">
        <v>-2.2646590471449599</v>
      </c>
      <c r="U71">
        <v>2.2646590471449599</v>
      </c>
      <c r="V71">
        <v>-3.67</v>
      </c>
      <c r="W71">
        <v>6.2</v>
      </c>
      <c r="X71">
        <v>165359</v>
      </c>
      <c r="Y71">
        <v>11811</v>
      </c>
      <c r="Z71">
        <v>0.63</v>
      </c>
      <c r="AA71">
        <v>14</v>
      </c>
      <c r="AB71">
        <v>7</v>
      </c>
      <c r="AC71">
        <v>7</v>
      </c>
      <c r="AD71">
        <v>50</v>
      </c>
      <c r="AE71">
        <v>14</v>
      </c>
      <c r="AF71">
        <v>3</v>
      </c>
      <c r="AG71">
        <v>2</v>
      </c>
      <c r="AH71">
        <v>9</v>
      </c>
    </row>
    <row r="72" spans="1:34">
      <c r="A72" s="115">
        <v>48</v>
      </c>
      <c r="B72">
        <v>7182</v>
      </c>
      <c r="C72" s="119" t="s">
        <v>207</v>
      </c>
      <c r="D72" s="119" t="s">
        <v>114</v>
      </c>
      <c r="E72">
        <v>1056</v>
      </c>
      <c r="F72">
        <v>1048</v>
      </c>
      <c r="G72">
        <v>1000</v>
      </c>
      <c r="H72" s="119" t="s">
        <v>88</v>
      </c>
      <c r="I72">
        <v>7278</v>
      </c>
      <c r="J72" s="119" t="s">
        <v>115</v>
      </c>
      <c r="K72" s="119" t="s">
        <v>116</v>
      </c>
      <c r="L72">
        <v>2205</v>
      </c>
      <c r="M72">
        <v>2171</v>
      </c>
      <c r="N72">
        <v>500</v>
      </c>
      <c r="O72" s="119" t="s">
        <v>90</v>
      </c>
      <c r="P72">
        <v>0.90883294892184296</v>
      </c>
      <c r="Q72">
        <v>0.942379162712775</v>
      </c>
      <c r="R72">
        <v>0.396045175254717</v>
      </c>
      <c r="S72">
        <v>3.5941043627738999E-2</v>
      </c>
      <c r="T72">
        <v>-0.87903345462217497</v>
      </c>
      <c r="U72">
        <v>0.87903345462217497</v>
      </c>
      <c r="V72">
        <v>-2.17</v>
      </c>
      <c r="W72">
        <v>3.45</v>
      </c>
      <c r="X72">
        <v>164980</v>
      </c>
      <c r="Y72">
        <v>9705</v>
      </c>
      <c r="Z72">
        <v>0.49</v>
      </c>
      <c r="AA72">
        <v>17</v>
      </c>
      <c r="AB72">
        <v>10</v>
      </c>
      <c r="AC72">
        <v>7</v>
      </c>
      <c r="AD72">
        <v>58.82</v>
      </c>
      <c r="AE72">
        <v>13</v>
      </c>
      <c r="AF72">
        <v>7</v>
      </c>
      <c r="AG72">
        <v>2</v>
      </c>
      <c r="AH72">
        <v>8</v>
      </c>
    </row>
    <row r="73" spans="1:34">
      <c r="A73" s="115">
        <v>9</v>
      </c>
      <c r="B73">
        <v>7182</v>
      </c>
      <c r="C73" s="119" t="s">
        <v>207</v>
      </c>
      <c r="D73" s="119" t="s">
        <v>114</v>
      </c>
      <c r="E73">
        <v>1056</v>
      </c>
      <c r="F73">
        <v>1048</v>
      </c>
      <c r="G73">
        <v>1000</v>
      </c>
      <c r="H73" s="119" t="s">
        <v>88</v>
      </c>
      <c r="I73">
        <v>7211</v>
      </c>
      <c r="J73" s="119" t="s">
        <v>56</v>
      </c>
      <c r="K73" s="119" t="s">
        <v>116</v>
      </c>
      <c r="L73">
        <v>488</v>
      </c>
      <c r="M73">
        <v>493</v>
      </c>
      <c r="N73">
        <v>2100</v>
      </c>
      <c r="O73" s="119" t="s">
        <v>90</v>
      </c>
      <c r="P73">
        <v>0.92693147602403603</v>
      </c>
      <c r="Q73">
        <v>0.96197196442710897</v>
      </c>
      <c r="R73">
        <v>0.17578548505225799</v>
      </c>
      <c r="S73">
        <v>6.6174877683017001E-3</v>
      </c>
      <c r="T73">
        <v>-1.1975629030975199</v>
      </c>
      <c r="U73">
        <v>1.1975629030975199</v>
      </c>
      <c r="V73">
        <v>-3.46</v>
      </c>
      <c r="W73">
        <v>1.21</v>
      </c>
      <c r="X73">
        <v>160408</v>
      </c>
      <c r="Y73">
        <v>10694</v>
      </c>
      <c r="Z73">
        <v>0.5</v>
      </c>
      <c r="AA73">
        <v>15</v>
      </c>
      <c r="AB73">
        <v>8</v>
      </c>
      <c r="AC73">
        <v>7</v>
      </c>
      <c r="AD73">
        <v>53.33</v>
      </c>
      <c r="AE73">
        <v>16</v>
      </c>
      <c r="AF73">
        <v>3</v>
      </c>
      <c r="AG73">
        <v>1</v>
      </c>
      <c r="AH73">
        <v>11</v>
      </c>
    </row>
    <row r="74" spans="1:34">
      <c r="A74" s="115">
        <v>45</v>
      </c>
      <c r="B74">
        <v>4182</v>
      </c>
      <c r="C74" s="119" t="s">
        <v>120</v>
      </c>
      <c r="D74" s="119" t="s">
        <v>89</v>
      </c>
      <c r="E74">
        <v>1498</v>
      </c>
      <c r="F74">
        <v>1498</v>
      </c>
      <c r="G74">
        <v>700</v>
      </c>
      <c r="H74" s="119" t="s">
        <v>90</v>
      </c>
      <c r="I74">
        <v>6752</v>
      </c>
      <c r="J74" s="119" t="s">
        <v>144</v>
      </c>
      <c r="K74" s="119" t="s">
        <v>119</v>
      </c>
      <c r="L74">
        <v>910.6</v>
      </c>
      <c r="M74">
        <v>907</v>
      </c>
      <c r="N74">
        <v>1200</v>
      </c>
      <c r="O74" s="119" t="s">
        <v>88</v>
      </c>
      <c r="P74">
        <v>0.91487465639087695</v>
      </c>
      <c r="Q74">
        <v>0.94340209346222303</v>
      </c>
      <c r="R74">
        <v>0.39024629945865302</v>
      </c>
      <c r="S74">
        <v>4.9752463697751603E-2</v>
      </c>
      <c r="T74">
        <v>1.5284380851338</v>
      </c>
      <c r="U74">
        <v>1.5284380851338</v>
      </c>
      <c r="V74">
        <v>5.23</v>
      </c>
      <c r="W74">
        <v>3.8</v>
      </c>
      <c r="X74">
        <v>155744</v>
      </c>
      <c r="Y74">
        <v>8652</v>
      </c>
      <c r="Z74">
        <v>0.4</v>
      </c>
      <c r="AA74">
        <v>18</v>
      </c>
      <c r="AB74">
        <v>12</v>
      </c>
      <c r="AC74">
        <v>6</v>
      </c>
      <c r="AD74">
        <v>66.67</v>
      </c>
      <c r="AE74">
        <v>13</v>
      </c>
      <c r="AF74">
        <v>7</v>
      </c>
      <c r="AG74">
        <v>4</v>
      </c>
      <c r="AH74">
        <v>7</v>
      </c>
    </row>
    <row r="75" spans="1:34">
      <c r="A75" s="115">
        <v>203</v>
      </c>
      <c r="B75">
        <v>4631</v>
      </c>
      <c r="C75" s="119" t="s">
        <v>209</v>
      </c>
      <c r="D75" s="119" t="s">
        <v>89</v>
      </c>
      <c r="E75">
        <v>3125</v>
      </c>
      <c r="F75">
        <v>3110</v>
      </c>
      <c r="G75">
        <v>300</v>
      </c>
      <c r="H75" s="119" t="s">
        <v>88</v>
      </c>
      <c r="I75">
        <v>7251</v>
      </c>
      <c r="J75" s="119" t="s">
        <v>189</v>
      </c>
      <c r="K75" s="119" t="s">
        <v>116</v>
      </c>
      <c r="L75">
        <v>1722</v>
      </c>
      <c r="M75">
        <v>1695</v>
      </c>
      <c r="N75">
        <v>600</v>
      </c>
      <c r="O75" s="119" t="s">
        <v>90</v>
      </c>
      <c r="P75">
        <v>0.94349397388690104</v>
      </c>
      <c r="Q75">
        <v>0.901537312855341</v>
      </c>
      <c r="R75">
        <v>7.8060844722530706E-2</v>
      </c>
      <c r="S75" s="20">
        <v>0.27358955126358198</v>
      </c>
      <c r="T75">
        <v>-0.94342370443800905</v>
      </c>
      <c r="U75">
        <v>0.94342370443800905</v>
      </c>
      <c r="V75">
        <v>-3.11</v>
      </c>
      <c r="W75">
        <v>9</v>
      </c>
      <c r="X75">
        <v>155312</v>
      </c>
      <c r="Y75">
        <v>9707</v>
      </c>
      <c r="Z75">
        <v>0.37</v>
      </c>
      <c r="AA75">
        <v>16</v>
      </c>
      <c r="AB75">
        <v>10</v>
      </c>
      <c r="AC75">
        <v>6</v>
      </c>
      <c r="AD75">
        <v>62.5</v>
      </c>
      <c r="AE75">
        <v>13</v>
      </c>
      <c r="AF75">
        <v>4</v>
      </c>
      <c r="AG75">
        <v>3</v>
      </c>
      <c r="AH75">
        <v>9</v>
      </c>
    </row>
    <row r="76" spans="1:34">
      <c r="A76" s="115">
        <v>3</v>
      </c>
      <c r="B76">
        <v>3099</v>
      </c>
      <c r="C76" s="119" t="s">
        <v>91</v>
      </c>
      <c r="D76" s="119" t="s">
        <v>130</v>
      </c>
      <c r="E76">
        <v>879</v>
      </c>
      <c r="F76">
        <v>872</v>
      </c>
      <c r="G76">
        <v>1100</v>
      </c>
      <c r="H76" s="119" t="s">
        <v>90</v>
      </c>
      <c r="I76">
        <v>8242</v>
      </c>
      <c r="J76" s="119" t="s">
        <v>173</v>
      </c>
      <c r="K76" s="119" t="s">
        <v>130</v>
      </c>
      <c r="L76">
        <v>1251</v>
      </c>
      <c r="M76">
        <v>1228</v>
      </c>
      <c r="N76">
        <v>800</v>
      </c>
      <c r="O76" s="119" t="s">
        <v>88</v>
      </c>
      <c r="P76">
        <v>0.95561968550196597</v>
      </c>
      <c r="Q76">
        <v>0.97405289648222604</v>
      </c>
      <c r="R76">
        <v>3.1733393518331099E-2</v>
      </c>
      <c r="S76">
        <v>4.9709450281848401E-4</v>
      </c>
      <c r="T76">
        <v>0.40096716447187702</v>
      </c>
      <c r="U76">
        <v>0.40096716447187702</v>
      </c>
      <c r="V76">
        <v>0.59</v>
      </c>
      <c r="W76">
        <v>2.36</v>
      </c>
      <c r="X76">
        <v>153254</v>
      </c>
      <c r="Y76">
        <v>11789</v>
      </c>
      <c r="Z76">
        <v>0.63</v>
      </c>
      <c r="AA76">
        <v>13</v>
      </c>
      <c r="AB76">
        <v>9</v>
      </c>
      <c r="AC76">
        <v>4</v>
      </c>
      <c r="AD76">
        <v>69.23</v>
      </c>
      <c r="AE76">
        <v>11</v>
      </c>
      <c r="AF76">
        <v>7</v>
      </c>
      <c r="AG76">
        <v>3</v>
      </c>
      <c r="AH76">
        <v>3</v>
      </c>
    </row>
    <row r="77" spans="1:34">
      <c r="A77" s="115">
        <v>123</v>
      </c>
      <c r="B77">
        <v>3116</v>
      </c>
      <c r="C77" s="119" t="s">
        <v>188</v>
      </c>
      <c r="D77" s="119" t="s">
        <v>116</v>
      </c>
      <c r="E77">
        <v>1546</v>
      </c>
      <c r="F77">
        <v>1530</v>
      </c>
      <c r="G77">
        <v>600</v>
      </c>
      <c r="H77" s="119" t="s">
        <v>88</v>
      </c>
      <c r="I77">
        <v>6995</v>
      </c>
      <c r="J77" s="119" t="s">
        <v>124</v>
      </c>
      <c r="K77" s="119" t="s">
        <v>116</v>
      </c>
      <c r="L77">
        <v>1922</v>
      </c>
      <c r="M77">
        <v>1908</v>
      </c>
      <c r="N77">
        <v>500</v>
      </c>
      <c r="O77" s="119" t="s">
        <v>90</v>
      </c>
      <c r="P77">
        <v>0.931396705339122</v>
      </c>
      <c r="Q77">
        <v>0.92001484375376896</v>
      </c>
      <c r="R77">
        <v>0.18212157854828101</v>
      </c>
      <c r="S77">
        <v>5.5899179223775103E-2</v>
      </c>
      <c r="T77">
        <v>-0.78208937185312599</v>
      </c>
      <c r="U77">
        <v>0.78208937185312599</v>
      </c>
      <c r="V77">
        <v>-2.69</v>
      </c>
      <c r="W77">
        <v>3.77</v>
      </c>
      <c r="X77">
        <v>151613</v>
      </c>
      <c r="Y77">
        <v>9476</v>
      </c>
      <c r="Z77">
        <v>0.5</v>
      </c>
      <c r="AA77">
        <v>16</v>
      </c>
      <c r="AB77">
        <v>9</v>
      </c>
      <c r="AC77">
        <v>7</v>
      </c>
      <c r="AD77">
        <v>56.25</v>
      </c>
      <c r="AE77">
        <v>14</v>
      </c>
      <c r="AF77">
        <v>4</v>
      </c>
      <c r="AG77">
        <v>2</v>
      </c>
      <c r="AH77">
        <v>10</v>
      </c>
    </row>
    <row r="78" spans="1:34">
      <c r="A78" s="115">
        <v>166</v>
      </c>
      <c r="B78">
        <v>3105</v>
      </c>
      <c r="C78" s="119" t="s">
        <v>123</v>
      </c>
      <c r="D78" s="119" t="s">
        <v>119</v>
      </c>
      <c r="E78">
        <v>887</v>
      </c>
      <c r="F78">
        <v>873</v>
      </c>
      <c r="G78">
        <v>1000</v>
      </c>
      <c r="H78" s="119" t="s">
        <v>90</v>
      </c>
      <c r="I78">
        <v>8078</v>
      </c>
      <c r="J78" s="119" t="s">
        <v>211</v>
      </c>
      <c r="K78" s="119" t="s">
        <v>139</v>
      </c>
      <c r="L78">
        <v>3070</v>
      </c>
      <c r="M78">
        <v>3055</v>
      </c>
      <c r="N78">
        <v>300</v>
      </c>
      <c r="O78" s="119" t="s">
        <v>88</v>
      </c>
      <c r="P78">
        <v>0.90823670216764196</v>
      </c>
      <c r="Q78">
        <v>0.910316326098083</v>
      </c>
      <c r="R78">
        <v>9.0409344830396504E-2</v>
      </c>
      <c r="S78">
        <v>2.18978177638618E-2</v>
      </c>
      <c r="T78">
        <v>0.29126392182676403</v>
      </c>
      <c r="U78">
        <v>0.29126392182676403</v>
      </c>
      <c r="V78">
        <v>0.56000000000000005</v>
      </c>
      <c r="W78">
        <v>4.75</v>
      </c>
      <c r="X78">
        <v>150170</v>
      </c>
      <c r="Y78">
        <v>11552</v>
      </c>
      <c r="Z78">
        <v>0.67</v>
      </c>
      <c r="AA78">
        <v>13</v>
      </c>
      <c r="AB78">
        <v>8</v>
      </c>
      <c r="AC78">
        <v>5</v>
      </c>
      <c r="AD78">
        <v>61.54</v>
      </c>
      <c r="AE78">
        <v>13</v>
      </c>
      <c r="AF78">
        <v>3</v>
      </c>
      <c r="AG78">
        <v>3</v>
      </c>
      <c r="AH78">
        <v>7</v>
      </c>
    </row>
    <row r="79" spans="1:34">
      <c r="A79" s="115">
        <v>195</v>
      </c>
      <c r="B79">
        <v>5214</v>
      </c>
      <c r="C79" s="119" t="s">
        <v>199</v>
      </c>
      <c r="D79" s="119" t="s">
        <v>146</v>
      </c>
      <c r="E79">
        <v>2447</v>
      </c>
      <c r="F79">
        <v>2377</v>
      </c>
      <c r="G79">
        <v>400</v>
      </c>
      <c r="H79" s="119" t="s">
        <v>90</v>
      </c>
      <c r="I79">
        <v>5411</v>
      </c>
      <c r="J79" s="119" t="s">
        <v>125</v>
      </c>
      <c r="K79" s="119" t="s">
        <v>126</v>
      </c>
      <c r="L79">
        <v>1311</v>
      </c>
      <c r="M79">
        <v>1301.5</v>
      </c>
      <c r="N79">
        <v>700</v>
      </c>
      <c r="O79" s="119" t="s">
        <v>88</v>
      </c>
      <c r="P79">
        <v>0.94495025965451995</v>
      </c>
      <c r="Q79">
        <v>0.90266820887064403</v>
      </c>
      <c r="R79">
        <v>8.5583397131363693E-3</v>
      </c>
      <c r="S79">
        <v>0.10348524664769</v>
      </c>
      <c r="T79">
        <v>0.74297690150449702</v>
      </c>
      <c r="U79">
        <v>0.74297690150449702</v>
      </c>
      <c r="V79">
        <v>1.65</v>
      </c>
      <c r="W79">
        <v>4.18</v>
      </c>
      <c r="X79">
        <v>145032</v>
      </c>
      <c r="Y79">
        <v>9064</v>
      </c>
      <c r="Z79">
        <v>0.55000000000000004</v>
      </c>
      <c r="AA79">
        <v>16</v>
      </c>
      <c r="AB79">
        <v>8</v>
      </c>
      <c r="AC79">
        <v>8</v>
      </c>
      <c r="AD79">
        <v>50</v>
      </c>
      <c r="AE79">
        <v>13</v>
      </c>
      <c r="AF79">
        <v>6</v>
      </c>
      <c r="AG79">
        <v>4</v>
      </c>
      <c r="AH79">
        <v>6</v>
      </c>
    </row>
    <row r="80" spans="1:34">
      <c r="A80" s="115">
        <v>199</v>
      </c>
      <c r="B80">
        <v>5991</v>
      </c>
      <c r="C80" s="119" t="s">
        <v>159</v>
      </c>
      <c r="D80" s="119" t="s">
        <v>160</v>
      </c>
      <c r="E80">
        <v>864</v>
      </c>
      <c r="F80">
        <v>857</v>
      </c>
      <c r="G80">
        <v>1200</v>
      </c>
      <c r="H80" s="119" t="s">
        <v>90</v>
      </c>
      <c r="I80">
        <v>7182</v>
      </c>
      <c r="J80" s="119" t="s">
        <v>207</v>
      </c>
      <c r="K80" s="119" t="s">
        <v>114</v>
      </c>
      <c r="L80">
        <v>1056</v>
      </c>
      <c r="M80">
        <v>1048</v>
      </c>
      <c r="N80">
        <v>1000</v>
      </c>
      <c r="O80" s="119" t="s">
        <v>88</v>
      </c>
      <c r="P80">
        <v>0.90811451587213798</v>
      </c>
      <c r="Q80">
        <v>0.90202236850551898</v>
      </c>
      <c r="R80">
        <v>1.9585015444135399E-2</v>
      </c>
      <c r="S80">
        <v>0.130529851489528</v>
      </c>
      <c r="T80">
        <v>1.74607590808155</v>
      </c>
      <c r="U80">
        <v>1.74607590808155</v>
      </c>
      <c r="V80">
        <v>5.3</v>
      </c>
      <c r="W80">
        <v>1.87</v>
      </c>
      <c r="X80">
        <v>141623</v>
      </c>
      <c r="Y80">
        <v>9442</v>
      </c>
      <c r="Z80">
        <v>0.46</v>
      </c>
      <c r="AA80">
        <v>15</v>
      </c>
      <c r="AB80">
        <v>8</v>
      </c>
      <c r="AC80">
        <v>7</v>
      </c>
      <c r="AD80">
        <v>53.33</v>
      </c>
      <c r="AE80">
        <v>14</v>
      </c>
      <c r="AF80">
        <v>4</v>
      </c>
      <c r="AG80">
        <v>2</v>
      </c>
      <c r="AH80">
        <v>9</v>
      </c>
    </row>
    <row r="81" spans="1:34">
      <c r="A81" s="115">
        <v>33</v>
      </c>
      <c r="B81">
        <v>7846</v>
      </c>
      <c r="C81" s="119" t="s">
        <v>181</v>
      </c>
      <c r="D81" s="119" t="s">
        <v>121</v>
      </c>
      <c r="E81">
        <v>4180</v>
      </c>
      <c r="F81">
        <v>4180</v>
      </c>
      <c r="G81">
        <v>200</v>
      </c>
      <c r="H81" s="119" t="s">
        <v>90</v>
      </c>
      <c r="I81">
        <v>9505</v>
      </c>
      <c r="J81" s="119" t="s">
        <v>186</v>
      </c>
      <c r="K81" s="119" t="s">
        <v>187</v>
      </c>
      <c r="L81">
        <v>752</v>
      </c>
      <c r="M81">
        <v>734</v>
      </c>
      <c r="N81">
        <v>1100</v>
      </c>
      <c r="O81" s="119" t="s">
        <v>88</v>
      </c>
      <c r="P81">
        <v>0.930510572448911</v>
      </c>
      <c r="Q81">
        <v>0.94877280115276097</v>
      </c>
      <c r="R81" s="20">
        <v>8.0782849633282295E-5</v>
      </c>
      <c r="S81">
        <v>3.7259761783425001E-2</v>
      </c>
      <c r="T81">
        <v>1.7035234661568399</v>
      </c>
      <c r="U81">
        <v>1.7035234661568399</v>
      </c>
      <c r="V81">
        <v>4.1500000000000004</v>
      </c>
      <c r="W81">
        <v>3.42</v>
      </c>
      <c r="X81">
        <v>139470</v>
      </c>
      <c r="Y81">
        <v>6641</v>
      </c>
      <c r="Z81">
        <v>0.38</v>
      </c>
      <c r="AA81">
        <v>21</v>
      </c>
      <c r="AB81">
        <v>11</v>
      </c>
      <c r="AC81">
        <v>10</v>
      </c>
      <c r="AD81">
        <v>52.38</v>
      </c>
      <c r="AE81">
        <v>12</v>
      </c>
      <c r="AF81">
        <v>7</v>
      </c>
      <c r="AG81">
        <v>4</v>
      </c>
      <c r="AH81">
        <v>10</v>
      </c>
    </row>
    <row r="82" spans="1:34">
      <c r="A82" s="115">
        <v>159</v>
      </c>
      <c r="B82">
        <v>8273</v>
      </c>
      <c r="C82" s="119" t="s">
        <v>137</v>
      </c>
      <c r="D82" s="119" t="s">
        <v>130</v>
      </c>
      <c r="E82">
        <v>4330</v>
      </c>
      <c r="F82">
        <v>4285</v>
      </c>
      <c r="G82">
        <v>200</v>
      </c>
      <c r="H82" s="119" t="s">
        <v>88</v>
      </c>
      <c r="I82">
        <v>8385</v>
      </c>
      <c r="J82" s="119" t="s">
        <v>167</v>
      </c>
      <c r="K82" s="119" t="s">
        <v>114</v>
      </c>
      <c r="L82">
        <v>577</v>
      </c>
      <c r="M82">
        <v>569</v>
      </c>
      <c r="N82">
        <v>1500</v>
      </c>
      <c r="O82" s="119" t="s">
        <v>90</v>
      </c>
      <c r="P82">
        <v>0.93714503225181101</v>
      </c>
      <c r="Q82">
        <v>0.91207285561524098</v>
      </c>
      <c r="R82">
        <v>0.38661928069273999</v>
      </c>
      <c r="S82">
        <v>5.9877327531226099E-2</v>
      </c>
      <c r="T82">
        <v>-1.0141865184938601</v>
      </c>
      <c r="U82">
        <v>1.0141865184938601</v>
      </c>
      <c r="V82">
        <v>-2.74</v>
      </c>
      <c r="W82">
        <v>0.41</v>
      </c>
      <c r="X82">
        <v>137189</v>
      </c>
      <c r="Y82">
        <v>8574</v>
      </c>
      <c r="Z82">
        <v>0.68</v>
      </c>
      <c r="AA82">
        <v>16</v>
      </c>
      <c r="AB82">
        <v>8</v>
      </c>
      <c r="AC82">
        <v>8</v>
      </c>
      <c r="AD82">
        <v>50</v>
      </c>
      <c r="AE82">
        <v>14</v>
      </c>
      <c r="AF82">
        <v>6</v>
      </c>
      <c r="AG82">
        <v>3</v>
      </c>
      <c r="AH82">
        <v>7</v>
      </c>
    </row>
    <row r="83" spans="1:34">
      <c r="A83" s="115">
        <v>154</v>
      </c>
      <c r="B83">
        <v>3099</v>
      </c>
      <c r="C83" s="119" t="s">
        <v>91</v>
      </c>
      <c r="D83" s="119" t="s">
        <v>130</v>
      </c>
      <c r="E83">
        <v>879</v>
      </c>
      <c r="F83">
        <v>872</v>
      </c>
      <c r="G83">
        <v>1200</v>
      </c>
      <c r="H83" s="119" t="s">
        <v>88</v>
      </c>
      <c r="I83">
        <v>4182</v>
      </c>
      <c r="J83" s="119" t="s">
        <v>120</v>
      </c>
      <c r="K83" s="119" t="s">
        <v>89</v>
      </c>
      <c r="L83">
        <v>1498</v>
      </c>
      <c r="M83">
        <v>1498</v>
      </c>
      <c r="N83">
        <v>700</v>
      </c>
      <c r="O83" s="119" t="s">
        <v>90</v>
      </c>
      <c r="P83">
        <v>0.95545165351165495</v>
      </c>
      <c r="Q83">
        <v>0.91309026958378203</v>
      </c>
      <c r="R83">
        <v>3.2072003964926099E-2</v>
      </c>
      <c r="S83">
        <v>0.18827414552319999</v>
      </c>
      <c r="T83">
        <v>-1.98773004324474</v>
      </c>
      <c r="U83">
        <v>1.98773004324474</v>
      </c>
      <c r="V83">
        <v>-5.85</v>
      </c>
      <c r="W83">
        <v>0.21</v>
      </c>
      <c r="X83">
        <v>136657</v>
      </c>
      <c r="Y83">
        <v>7192</v>
      </c>
      <c r="Z83">
        <v>0.3</v>
      </c>
      <c r="AA83">
        <v>19</v>
      </c>
      <c r="AB83">
        <v>13</v>
      </c>
      <c r="AC83">
        <v>6</v>
      </c>
      <c r="AD83">
        <v>68.42</v>
      </c>
      <c r="AE83">
        <v>12</v>
      </c>
      <c r="AF83">
        <v>8</v>
      </c>
      <c r="AG83">
        <v>5</v>
      </c>
      <c r="AH83">
        <v>6</v>
      </c>
    </row>
    <row r="84" spans="1:34">
      <c r="A84" s="115">
        <v>15</v>
      </c>
      <c r="B84">
        <v>7013</v>
      </c>
      <c r="C84" s="119" t="s">
        <v>135</v>
      </c>
      <c r="D84" s="119" t="s">
        <v>136</v>
      </c>
      <c r="E84">
        <v>2507</v>
      </c>
      <c r="F84">
        <v>2556</v>
      </c>
      <c r="G84">
        <v>400</v>
      </c>
      <c r="H84" s="119" t="s">
        <v>90</v>
      </c>
      <c r="I84">
        <v>8795</v>
      </c>
      <c r="J84" s="119" t="s">
        <v>214</v>
      </c>
      <c r="K84" s="119" t="s">
        <v>150</v>
      </c>
      <c r="L84">
        <v>1196.5</v>
      </c>
      <c r="M84">
        <v>1187.5</v>
      </c>
      <c r="N84">
        <v>900</v>
      </c>
      <c r="O84" s="119" t="s">
        <v>88</v>
      </c>
      <c r="P84">
        <v>0.94896328988232403</v>
      </c>
      <c r="Q84">
        <v>0.95870220663391104</v>
      </c>
      <c r="R84">
        <v>8.2765979455875199E-3</v>
      </c>
      <c r="S84">
        <v>9.7407502291514098E-2</v>
      </c>
      <c r="T84">
        <v>1.2168293399958101</v>
      </c>
      <c r="U84">
        <v>1.2168293399958101</v>
      </c>
      <c r="V84">
        <v>4.09</v>
      </c>
      <c r="W84">
        <v>4.53</v>
      </c>
      <c r="X84">
        <v>133543</v>
      </c>
      <c r="Y84">
        <v>7029</v>
      </c>
      <c r="Z84">
        <v>0.47</v>
      </c>
      <c r="AA84">
        <v>19</v>
      </c>
      <c r="AB84">
        <v>11</v>
      </c>
      <c r="AC84">
        <v>8</v>
      </c>
      <c r="AD84">
        <v>57.89</v>
      </c>
      <c r="AE84">
        <v>10</v>
      </c>
      <c r="AF84">
        <v>9</v>
      </c>
      <c r="AG84">
        <v>7</v>
      </c>
      <c r="AH84">
        <v>3</v>
      </c>
    </row>
    <row r="85" spans="1:34">
      <c r="A85" s="115">
        <v>124</v>
      </c>
      <c r="B85">
        <v>4061</v>
      </c>
      <c r="C85" s="119" t="s">
        <v>176</v>
      </c>
      <c r="D85" s="119" t="s">
        <v>89</v>
      </c>
      <c r="E85">
        <v>3095</v>
      </c>
      <c r="F85">
        <v>3050</v>
      </c>
      <c r="G85">
        <v>200</v>
      </c>
      <c r="H85" s="119" t="s">
        <v>90</v>
      </c>
      <c r="I85">
        <v>8316</v>
      </c>
      <c r="J85" s="119" t="s">
        <v>215</v>
      </c>
      <c r="K85" s="119" t="s">
        <v>114</v>
      </c>
      <c r="L85">
        <v>3759</v>
      </c>
      <c r="M85">
        <v>3742</v>
      </c>
      <c r="N85">
        <v>200</v>
      </c>
      <c r="O85" s="119" t="s">
        <v>88</v>
      </c>
      <c r="P85">
        <v>0.946029456509066</v>
      </c>
      <c r="Q85">
        <v>0.91975626220788098</v>
      </c>
      <c r="R85">
        <v>4.97647909855716E-2</v>
      </c>
      <c r="S85">
        <v>8.5456294111867608E-3</v>
      </c>
      <c r="T85">
        <v>0.24341953883567499</v>
      </c>
      <c r="U85">
        <v>0.24341953883567499</v>
      </c>
      <c r="V85">
        <v>0.56999999999999995</v>
      </c>
      <c r="W85">
        <v>18.489999999999998</v>
      </c>
      <c r="X85">
        <v>133292</v>
      </c>
      <c r="Y85">
        <v>16662</v>
      </c>
      <c r="Z85">
        <v>0.99</v>
      </c>
      <c r="AA85">
        <v>8</v>
      </c>
      <c r="AB85">
        <v>6</v>
      </c>
      <c r="AC85">
        <v>2</v>
      </c>
      <c r="AD85">
        <v>75</v>
      </c>
      <c r="AE85">
        <v>14</v>
      </c>
      <c r="AF85">
        <v>2</v>
      </c>
      <c r="AG85">
        <v>0</v>
      </c>
      <c r="AH85">
        <v>6</v>
      </c>
    </row>
    <row r="86" spans="1:34">
      <c r="A86" s="115">
        <v>165</v>
      </c>
      <c r="B86">
        <v>4118</v>
      </c>
      <c r="C86" s="119" t="s">
        <v>92</v>
      </c>
      <c r="D86" s="119" t="s">
        <v>89</v>
      </c>
      <c r="E86">
        <v>3520</v>
      </c>
      <c r="F86">
        <v>3500</v>
      </c>
      <c r="G86">
        <v>300</v>
      </c>
      <c r="H86" s="119" t="s">
        <v>88</v>
      </c>
      <c r="I86">
        <v>7751</v>
      </c>
      <c r="J86" s="119" t="s">
        <v>216</v>
      </c>
      <c r="K86" s="119" t="s">
        <v>119</v>
      </c>
      <c r="L86">
        <v>2913</v>
      </c>
      <c r="M86">
        <v>2904.5</v>
      </c>
      <c r="N86">
        <v>400</v>
      </c>
      <c r="O86" s="119" t="s">
        <v>90</v>
      </c>
      <c r="P86">
        <v>0.91610253286890198</v>
      </c>
      <c r="Q86">
        <v>0.910579850718229</v>
      </c>
      <c r="R86">
        <v>7.9114490957913397E-2</v>
      </c>
      <c r="S86">
        <v>1.45971712650779E-2</v>
      </c>
      <c r="T86">
        <v>-0.19824050988308101</v>
      </c>
      <c r="U86">
        <v>0.19824050988308101</v>
      </c>
      <c r="V86">
        <v>-1.1000000000000001</v>
      </c>
      <c r="W86">
        <v>10.65</v>
      </c>
      <c r="X86">
        <v>129977</v>
      </c>
      <c r="Y86">
        <v>43326</v>
      </c>
      <c r="Z86">
        <v>1.93</v>
      </c>
      <c r="AA86">
        <v>3</v>
      </c>
      <c r="AB86">
        <v>3</v>
      </c>
      <c r="AC86">
        <v>0</v>
      </c>
      <c r="AD86">
        <v>100</v>
      </c>
      <c r="AE86">
        <v>11</v>
      </c>
      <c r="AF86">
        <v>2</v>
      </c>
      <c r="AG86">
        <v>0</v>
      </c>
      <c r="AH86">
        <v>1</v>
      </c>
    </row>
    <row r="87" spans="1:34">
      <c r="A87" s="115">
        <v>187</v>
      </c>
      <c r="B87">
        <v>1911</v>
      </c>
      <c r="C87" s="119" t="s">
        <v>141</v>
      </c>
      <c r="D87" s="119" t="s">
        <v>109</v>
      </c>
      <c r="E87">
        <v>1520</v>
      </c>
      <c r="F87">
        <v>1514</v>
      </c>
      <c r="G87">
        <v>600</v>
      </c>
      <c r="H87" s="119" t="s">
        <v>90</v>
      </c>
      <c r="I87">
        <v>6923</v>
      </c>
      <c r="J87" s="119" t="s">
        <v>156</v>
      </c>
      <c r="K87" s="119" t="s">
        <v>119</v>
      </c>
      <c r="L87">
        <v>3015</v>
      </c>
      <c r="M87">
        <v>2954</v>
      </c>
      <c r="N87">
        <v>300</v>
      </c>
      <c r="O87" s="119" t="s">
        <v>88</v>
      </c>
      <c r="P87">
        <v>0.95473256286976704</v>
      </c>
      <c r="Q87">
        <v>0.90443676144391205</v>
      </c>
      <c r="R87">
        <v>1.25942298524622E-3</v>
      </c>
      <c r="S87">
        <v>8.3263277945966899E-2</v>
      </c>
      <c r="T87">
        <v>1.32602538090554</v>
      </c>
      <c r="U87">
        <v>1.32602538090554</v>
      </c>
      <c r="V87">
        <v>2.65</v>
      </c>
      <c r="W87">
        <v>2.5099999999999998</v>
      </c>
      <c r="X87">
        <v>129842</v>
      </c>
      <c r="Y87">
        <v>6834</v>
      </c>
      <c r="Z87">
        <v>0.48</v>
      </c>
      <c r="AA87">
        <v>19</v>
      </c>
      <c r="AB87">
        <v>10</v>
      </c>
      <c r="AC87">
        <v>9</v>
      </c>
      <c r="AD87">
        <v>52.63</v>
      </c>
      <c r="AE87">
        <v>13</v>
      </c>
      <c r="AF87">
        <v>5</v>
      </c>
      <c r="AG87">
        <v>2</v>
      </c>
      <c r="AH87">
        <v>12</v>
      </c>
    </row>
    <row r="88" spans="1:34">
      <c r="A88" s="115">
        <v>153</v>
      </c>
      <c r="B88">
        <v>8273</v>
      </c>
      <c r="C88" s="119" t="s">
        <v>137</v>
      </c>
      <c r="D88" s="119" t="s">
        <v>130</v>
      </c>
      <c r="E88">
        <v>4330</v>
      </c>
      <c r="F88">
        <v>4285</v>
      </c>
      <c r="G88">
        <v>200</v>
      </c>
      <c r="H88" s="119" t="s">
        <v>90</v>
      </c>
      <c r="I88">
        <v>8309</v>
      </c>
      <c r="J88" s="119" t="s">
        <v>52</v>
      </c>
      <c r="K88" s="119" t="s">
        <v>114</v>
      </c>
      <c r="L88">
        <v>3831</v>
      </c>
      <c r="M88">
        <v>3827</v>
      </c>
      <c r="N88">
        <v>200</v>
      </c>
      <c r="O88" s="119" t="s">
        <v>88</v>
      </c>
      <c r="P88">
        <v>0.93049562507597905</v>
      </c>
      <c r="Q88">
        <v>0.913110852166649</v>
      </c>
      <c r="R88">
        <v>6.9328120330888702E-3</v>
      </c>
      <c r="S88">
        <v>0.165621175057409</v>
      </c>
      <c r="T88">
        <v>0.18780487681847199</v>
      </c>
      <c r="U88">
        <v>0.18780487681847199</v>
      </c>
      <c r="V88">
        <v>0.45</v>
      </c>
      <c r="W88">
        <v>10.69</v>
      </c>
      <c r="X88">
        <v>129319</v>
      </c>
      <c r="Y88">
        <v>64660</v>
      </c>
      <c r="Z88">
        <v>3.55</v>
      </c>
      <c r="AA88">
        <v>2</v>
      </c>
      <c r="AB88">
        <v>2</v>
      </c>
      <c r="AC88">
        <v>0</v>
      </c>
      <c r="AD88">
        <v>100</v>
      </c>
      <c r="AE88">
        <v>12</v>
      </c>
      <c r="AF88">
        <v>2</v>
      </c>
      <c r="AG88">
        <v>0</v>
      </c>
      <c r="AH88">
        <v>0</v>
      </c>
    </row>
    <row r="89" spans="1:34">
      <c r="A89" s="115">
        <v>24</v>
      </c>
      <c r="B89">
        <v>6752</v>
      </c>
      <c r="C89" s="119" t="s">
        <v>144</v>
      </c>
      <c r="D89" s="119" t="s">
        <v>119</v>
      </c>
      <c r="E89">
        <v>910.6</v>
      </c>
      <c r="F89">
        <v>907</v>
      </c>
      <c r="G89">
        <v>900</v>
      </c>
      <c r="H89" s="119" t="s">
        <v>88</v>
      </c>
      <c r="I89">
        <v>7846</v>
      </c>
      <c r="J89" s="119" t="s">
        <v>181</v>
      </c>
      <c r="K89" s="119" t="s">
        <v>121</v>
      </c>
      <c r="L89">
        <v>4180</v>
      </c>
      <c r="M89">
        <v>4180</v>
      </c>
      <c r="N89">
        <v>200</v>
      </c>
      <c r="O89" s="119" t="s">
        <v>90</v>
      </c>
      <c r="P89">
        <v>0.93063989019316495</v>
      </c>
      <c r="Q89">
        <v>0.95207570041649703</v>
      </c>
      <c r="R89">
        <v>4.9757076527715702E-2</v>
      </c>
      <c r="S89">
        <v>0.138222104221813</v>
      </c>
      <c r="T89">
        <v>-1.58166704300104</v>
      </c>
      <c r="U89">
        <v>1.58166704300104</v>
      </c>
      <c r="V89">
        <v>-3.44</v>
      </c>
      <c r="W89">
        <v>2.36</v>
      </c>
      <c r="X89">
        <v>128492</v>
      </c>
      <c r="Y89">
        <v>8031</v>
      </c>
      <c r="Z89">
        <v>0.28999999999999998</v>
      </c>
      <c r="AA89">
        <v>16</v>
      </c>
      <c r="AB89">
        <v>7</v>
      </c>
      <c r="AC89">
        <v>9</v>
      </c>
      <c r="AD89">
        <v>43.75</v>
      </c>
      <c r="AE89">
        <v>13</v>
      </c>
      <c r="AF89">
        <v>6</v>
      </c>
      <c r="AG89">
        <v>2</v>
      </c>
      <c r="AH89">
        <v>8</v>
      </c>
    </row>
    <row r="90" spans="1:34">
      <c r="A90" s="115">
        <v>4</v>
      </c>
      <c r="B90">
        <v>4581</v>
      </c>
      <c r="C90" s="119" t="s">
        <v>217</v>
      </c>
      <c r="D90" s="119" t="s">
        <v>218</v>
      </c>
      <c r="E90">
        <v>8000</v>
      </c>
      <c r="F90">
        <v>7850</v>
      </c>
      <c r="G90">
        <v>100</v>
      </c>
      <c r="H90" s="119" t="s">
        <v>90</v>
      </c>
      <c r="I90">
        <v>7181</v>
      </c>
      <c r="J90" s="119" t="s">
        <v>219</v>
      </c>
      <c r="K90" s="119" t="s">
        <v>150</v>
      </c>
      <c r="L90">
        <v>1680</v>
      </c>
      <c r="M90">
        <v>1667</v>
      </c>
      <c r="N90">
        <v>500</v>
      </c>
      <c r="O90" s="119" t="s">
        <v>88</v>
      </c>
      <c r="P90">
        <v>0.90417236953537805</v>
      </c>
      <c r="Q90">
        <v>0.968421410373144</v>
      </c>
      <c r="R90">
        <v>3.65617954483487E-2</v>
      </c>
      <c r="S90">
        <v>6.9062618577733506E-2</v>
      </c>
      <c r="T90">
        <v>0.20449154674589501</v>
      </c>
      <c r="U90">
        <v>0.20449154674589501</v>
      </c>
      <c r="V90">
        <v>0.86</v>
      </c>
      <c r="W90">
        <v>6.18</v>
      </c>
      <c r="X90">
        <v>127968</v>
      </c>
      <c r="Y90">
        <v>12797</v>
      </c>
      <c r="Z90">
        <v>0.84</v>
      </c>
      <c r="AA90">
        <v>10</v>
      </c>
      <c r="AB90">
        <v>6</v>
      </c>
      <c r="AC90">
        <v>4</v>
      </c>
      <c r="AD90">
        <v>60</v>
      </c>
      <c r="AE90">
        <v>12</v>
      </c>
      <c r="AF90">
        <v>4</v>
      </c>
      <c r="AG90">
        <v>2</v>
      </c>
      <c r="AH90">
        <v>4</v>
      </c>
    </row>
    <row r="91" spans="1:34">
      <c r="A91" s="115">
        <v>143</v>
      </c>
      <c r="B91">
        <v>5401</v>
      </c>
      <c r="C91" s="119" t="s">
        <v>161</v>
      </c>
      <c r="D91" s="119" t="s">
        <v>126</v>
      </c>
      <c r="E91">
        <v>1511.5</v>
      </c>
      <c r="F91">
        <v>1512.5</v>
      </c>
      <c r="G91">
        <v>700</v>
      </c>
      <c r="H91" s="119" t="s">
        <v>88</v>
      </c>
      <c r="I91">
        <v>6586</v>
      </c>
      <c r="J91" s="119" t="s">
        <v>152</v>
      </c>
      <c r="K91" s="119" t="s">
        <v>136</v>
      </c>
      <c r="L91">
        <v>3390</v>
      </c>
      <c r="M91">
        <v>3405</v>
      </c>
      <c r="N91">
        <v>300</v>
      </c>
      <c r="O91" s="119" t="s">
        <v>90</v>
      </c>
      <c r="P91">
        <v>0.92571730714765699</v>
      </c>
      <c r="Q91">
        <v>0.91569109456011399</v>
      </c>
      <c r="R91">
        <v>7.7041424165153097E-2</v>
      </c>
      <c r="S91">
        <v>0.13560191007240199</v>
      </c>
      <c r="T91">
        <v>-2.3182415510253298</v>
      </c>
      <c r="U91">
        <v>2.3182415510253298</v>
      </c>
      <c r="V91">
        <v>-7.15</v>
      </c>
      <c r="W91">
        <v>3.65</v>
      </c>
      <c r="X91">
        <v>127686</v>
      </c>
      <c r="Y91">
        <v>10640</v>
      </c>
      <c r="Z91">
        <v>0.63</v>
      </c>
      <c r="AA91">
        <v>12</v>
      </c>
      <c r="AB91">
        <v>7</v>
      </c>
      <c r="AC91">
        <v>5</v>
      </c>
      <c r="AD91">
        <v>58.33</v>
      </c>
      <c r="AE91">
        <v>14</v>
      </c>
      <c r="AF91">
        <v>4</v>
      </c>
      <c r="AG91">
        <v>1</v>
      </c>
      <c r="AH91">
        <v>7</v>
      </c>
    </row>
    <row r="92" spans="1:34">
      <c r="A92" s="115">
        <v>97</v>
      </c>
      <c r="B92">
        <v>4208</v>
      </c>
      <c r="C92" s="119" t="s">
        <v>133</v>
      </c>
      <c r="D92" s="119" t="s">
        <v>89</v>
      </c>
      <c r="E92">
        <v>2266</v>
      </c>
      <c r="F92">
        <v>2255</v>
      </c>
      <c r="G92">
        <v>500</v>
      </c>
      <c r="H92" s="119" t="s">
        <v>90</v>
      </c>
      <c r="I92">
        <v>9072</v>
      </c>
      <c r="J92" s="119" t="s">
        <v>193</v>
      </c>
      <c r="K92" s="119" t="s">
        <v>170</v>
      </c>
      <c r="L92">
        <v>2605</v>
      </c>
      <c r="M92">
        <v>2573</v>
      </c>
      <c r="N92">
        <v>400</v>
      </c>
      <c r="O92" s="119" t="s">
        <v>88</v>
      </c>
      <c r="P92">
        <v>0.94367140101155</v>
      </c>
      <c r="Q92">
        <v>0.92792915890606598</v>
      </c>
      <c r="R92">
        <v>2.61253639497096E-3</v>
      </c>
      <c r="S92">
        <v>2.37421164960747E-3</v>
      </c>
      <c r="T92">
        <v>0.443836923341484</v>
      </c>
      <c r="U92">
        <v>0.443836923341484</v>
      </c>
      <c r="V92">
        <v>0.84</v>
      </c>
      <c r="W92">
        <v>9.5500000000000007</v>
      </c>
      <c r="X92">
        <v>126426</v>
      </c>
      <c r="Y92">
        <v>11493</v>
      </c>
      <c r="Z92">
        <v>0.65</v>
      </c>
      <c r="AA92">
        <v>11</v>
      </c>
      <c r="AB92">
        <v>7</v>
      </c>
      <c r="AC92">
        <v>4</v>
      </c>
      <c r="AD92">
        <v>63.64</v>
      </c>
      <c r="AE92">
        <v>14</v>
      </c>
      <c r="AF92">
        <v>5</v>
      </c>
      <c r="AG92">
        <v>1</v>
      </c>
      <c r="AH92">
        <v>5</v>
      </c>
    </row>
    <row r="93" spans="1:34">
      <c r="A93" s="115">
        <v>56</v>
      </c>
      <c r="B93">
        <v>5201</v>
      </c>
      <c r="C93" s="119" t="s">
        <v>198</v>
      </c>
      <c r="D93" s="119" t="s">
        <v>146</v>
      </c>
      <c r="E93">
        <v>3565</v>
      </c>
      <c r="F93">
        <v>3435</v>
      </c>
      <c r="G93">
        <v>300</v>
      </c>
      <c r="H93" s="119" t="s">
        <v>88</v>
      </c>
      <c r="I93">
        <v>7012</v>
      </c>
      <c r="J93" s="119" t="s">
        <v>232</v>
      </c>
      <c r="K93" s="119" t="s">
        <v>116</v>
      </c>
      <c r="L93">
        <v>2477</v>
      </c>
      <c r="M93">
        <v>2487</v>
      </c>
      <c r="N93">
        <v>400</v>
      </c>
      <c r="O93" s="119" t="s">
        <v>90</v>
      </c>
      <c r="P93">
        <v>0.96084481523324905</v>
      </c>
      <c r="Q93">
        <v>0.93836776758186502</v>
      </c>
      <c r="R93">
        <v>1.4932373330701699E-2</v>
      </c>
      <c r="S93">
        <v>1.79448432453828E-3</v>
      </c>
      <c r="T93">
        <v>-1.69417919230614</v>
      </c>
      <c r="U93">
        <v>1.69417919230614</v>
      </c>
      <c r="V93">
        <v>-4.41</v>
      </c>
      <c r="W93">
        <v>3.46</v>
      </c>
      <c r="X93">
        <v>126142</v>
      </c>
      <c r="Y93">
        <v>11467</v>
      </c>
      <c r="Z93">
        <v>0.6</v>
      </c>
      <c r="AA93">
        <v>11</v>
      </c>
      <c r="AB93">
        <v>6</v>
      </c>
      <c r="AC93">
        <v>5</v>
      </c>
      <c r="AD93">
        <v>54.55</v>
      </c>
      <c r="AE93">
        <v>15</v>
      </c>
      <c r="AF93">
        <v>3</v>
      </c>
      <c r="AG93">
        <v>0</v>
      </c>
      <c r="AH93">
        <v>8</v>
      </c>
    </row>
    <row r="94" spans="1:34">
      <c r="A94" s="115">
        <v>126</v>
      </c>
      <c r="B94">
        <v>3861</v>
      </c>
      <c r="C94" s="119" t="s">
        <v>93</v>
      </c>
      <c r="D94" s="119" t="s">
        <v>112</v>
      </c>
      <c r="E94">
        <v>548</v>
      </c>
      <c r="F94">
        <v>541</v>
      </c>
      <c r="G94">
        <v>2000</v>
      </c>
      <c r="H94" s="119" t="s">
        <v>90</v>
      </c>
      <c r="I94">
        <v>5401</v>
      </c>
      <c r="J94" s="119" t="s">
        <v>161</v>
      </c>
      <c r="K94" s="119" t="s">
        <v>126</v>
      </c>
      <c r="L94">
        <v>1511.5</v>
      </c>
      <c r="M94">
        <v>1512.5</v>
      </c>
      <c r="N94">
        <v>700</v>
      </c>
      <c r="O94" s="119" t="s">
        <v>88</v>
      </c>
      <c r="P94">
        <v>0.90509946740564595</v>
      </c>
      <c r="Q94">
        <v>0.91861592465494502</v>
      </c>
      <c r="R94">
        <v>0.155131132201665</v>
      </c>
      <c r="S94">
        <v>0.16729036696073701</v>
      </c>
      <c r="T94">
        <v>2.5220834907425802</v>
      </c>
      <c r="U94">
        <v>2.5220834907425802</v>
      </c>
      <c r="V94">
        <v>6.52</v>
      </c>
      <c r="W94">
        <v>2.2000000000000002</v>
      </c>
      <c r="X94">
        <v>125278</v>
      </c>
      <c r="Y94">
        <v>7369</v>
      </c>
      <c r="Z94">
        <v>0.32</v>
      </c>
      <c r="AA94">
        <v>17</v>
      </c>
      <c r="AB94">
        <v>6</v>
      </c>
      <c r="AC94">
        <v>11</v>
      </c>
      <c r="AD94">
        <v>35.29</v>
      </c>
      <c r="AE94">
        <v>15</v>
      </c>
      <c r="AF94">
        <v>5</v>
      </c>
      <c r="AG94">
        <v>3</v>
      </c>
      <c r="AH94">
        <v>9</v>
      </c>
    </row>
    <row r="95" spans="1:34">
      <c r="A95" s="115">
        <v>183</v>
      </c>
      <c r="B95">
        <v>4208</v>
      </c>
      <c r="C95" s="119" t="s">
        <v>133</v>
      </c>
      <c r="D95" s="119" t="s">
        <v>89</v>
      </c>
      <c r="E95">
        <v>2266</v>
      </c>
      <c r="F95">
        <v>2255</v>
      </c>
      <c r="G95">
        <v>400</v>
      </c>
      <c r="H95" s="119" t="s">
        <v>88</v>
      </c>
      <c r="I95">
        <v>5991</v>
      </c>
      <c r="J95" s="119" t="s">
        <v>159</v>
      </c>
      <c r="K95" s="119" t="s">
        <v>160</v>
      </c>
      <c r="L95">
        <v>864</v>
      </c>
      <c r="M95">
        <v>857</v>
      </c>
      <c r="N95">
        <v>1100</v>
      </c>
      <c r="O95" s="119" t="s">
        <v>90</v>
      </c>
      <c r="P95">
        <v>0.94480604401699497</v>
      </c>
      <c r="Q95">
        <v>0.90518363449224404</v>
      </c>
      <c r="R95">
        <v>4.1239382531872003E-2</v>
      </c>
      <c r="S95">
        <v>4.9867294546792E-2</v>
      </c>
      <c r="T95">
        <v>-0.532178901904516</v>
      </c>
      <c r="U95">
        <v>0.532178901904516</v>
      </c>
      <c r="V95">
        <v>-1.34</v>
      </c>
      <c r="W95">
        <v>4.51</v>
      </c>
      <c r="X95">
        <v>118186</v>
      </c>
      <c r="Y95">
        <v>7879</v>
      </c>
      <c r="Z95">
        <v>0.34</v>
      </c>
      <c r="AA95">
        <v>15</v>
      </c>
      <c r="AB95">
        <v>9</v>
      </c>
      <c r="AC95">
        <v>6</v>
      </c>
      <c r="AD95">
        <v>60</v>
      </c>
      <c r="AE95">
        <v>11</v>
      </c>
      <c r="AF95">
        <v>7</v>
      </c>
      <c r="AG95">
        <v>4</v>
      </c>
      <c r="AH95">
        <v>4</v>
      </c>
    </row>
    <row r="96" spans="1:34">
      <c r="A96" s="115">
        <v>136</v>
      </c>
      <c r="B96">
        <v>1893</v>
      </c>
      <c r="C96" s="119" t="s">
        <v>153</v>
      </c>
      <c r="D96" s="119" t="s">
        <v>109</v>
      </c>
      <c r="E96">
        <v>613</v>
      </c>
      <c r="F96">
        <v>619</v>
      </c>
      <c r="G96">
        <v>1600</v>
      </c>
      <c r="H96" s="119" t="s">
        <v>90</v>
      </c>
      <c r="I96">
        <v>2229</v>
      </c>
      <c r="J96" s="119" t="s">
        <v>220</v>
      </c>
      <c r="K96" s="119" t="s">
        <v>132</v>
      </c>
      <c r="L96">
        <v>3420</v>
      </c>
      <c r="M96">
        <v>3400</v>
      </c>
      <c r="N96">
        <v>300</v>
      </c>
      <c r="O96" s="119" t="s">
        <v>88</v>
      </c>
      <c r="P96">
        <v>0.91150908221058802</v>
      </c>
      <c r="Q96">
        <v>0.91746732621824301</v>
      </c>
      <c r="R96">
        <v>0.19346581086883199</v>
      </c>
      <c r="S96">
        <v>6.9588008958415002E-3</v>
      </c>
      <c r="T96">
        <v>1.7331024616600299</v>
      </c>
      <c r="U96">
        <v>1.7331024616600299</v>
      </c>
      <c r="V96">
        <v>4.68</v>
      </c>
      <c r="W96">
        <v>2.9</v>
      </c>
      <c r="X96">
        <v>116482</v>
      </c>
      <c r="Y96">
        <v>5547</v>
      </c>
      <c r="Z96">
        <v>0.19</v>
      </c>
      <c r="AA96">
        <v>21</v>
      </c>
      <c r="AB96">
        <v>11</v>
      </c>
      <c r="AC96">
        <v>10</v>
      </c>
      <c r="AD96">
        <v>52.38</v>
      </c>
      <c r="AE96">
        <v>12</v>
      </c>
      <c r="AF96">
        <v>6</v>
      </c>
      <c r="AG96">
        <v>6</v>
      </c>
      <c r="AH96">
        <v>9</v>
      </c>
    </row>
    <row r="97" spans="1:34">
      <c r="A97" s="115">
        <v>44</v>
      </c>
      <c r="B97">
        <v>4612</v>
      </c>
      <c r="C97" s="119" t="s">
        <v>204</v>
      </c>
      <c r="D97" s="119" t="s">
        <v>89</v>
      </c>
      <c r="E97">
        <v>6160</v>
      </c>
      <c r="F97">
        <v>6170</v>
      </c>
      <c r="G97">
        <v>100</v>
      </c>
      <c r="H97" s="119" t="s">
        <v>88</v>
      </c>
      <c r="I97">
        <v>6920</v>
      </c>
      <c r="J97" s="119" t="s">
        <v>118</v>
      </c>
      <c r="K97" s="119" t="s">
        <v>119</v>
      </c>
      <c r="L97">
        <v>7760</v>
      </c>
      <c r="M97">
        <v>7760</v>
      </c>
      <c r="N97">
        <v>100</v>
      </c>
      <c r="O97" s="119" t="s">
        <v>90</v>
      </c>
      <c r="P97">
        <v>0.937668350669982</v>
      </c>
      <c r="Q97">
        <v>0.94362873040223205</v>
      </c>
      <c r="R97">
        <v>0.10814595602211199</v>
      </c>
      <c r="S97">
        <v>1.7769081310062999E-2</v>
      </c>
      <c r="T97">
        <v>-0.85990708853513897</v>
      </c>
      <c r="U97">
        <v>0.85990708853513897</v>
      </c>
      <c r="V97">
        <v>-8.23</v>
      </c>
      <c r="W97">
        <v>20.49</v>
      </c>
      <c r="X97">
        <v>114910</v>
      </c>
      <c r="Y97">
        <v>9576</v>
      </c>
      <c r="Z97">
        <v>0.42</v>
      </c>
      <c r="AA97">
        <v>12</v>
      </c>
      <c r="AB97">
        <v>6</v>
      </c>
      <c r="AC97">
        <v>6</v>
      </c>
      <c r="AD97">
        <v>50</v>
      </c>
      <c r="AE97">
        <v>11</v>
      </c>
      <c r="AF97">
        <v>5</v>
      </c>
      <c r="AG97">
        <v>4</v>
      </c>
      <c r="AH97">
        <v>3</v>
      </c>
    </row>
    <row r="98" spans="1:34">
      <c r="A98" s="115">
        <v>128</v>
      </c>
      <c r="B98">
        <v>4208</v>
      </c>
      <c r="C98" s="119" t="s">
        <v>133</v>
      </c>
      <c r="D98" s="119" t="s">
        <v>89</v>
      </c>
      <c r="E98">
        <v>2266</v>
      </c>
      <c r="F98">
        <v>2255</v>
      </c>
      <c r="G98">
        <v>500</v>
      </c>
      <c r="H98" s="119" t="s">
        <v>88</v>
      </c>
      <c r="I98">
        <v>7259</v>
      </c>
      <c r="J98" s="119" t="s">
        <v>55</v>
      </c>
      <c r="K98" s="119" t="s">
        <v>116</v>
      </c>
      <c r="L98">
        <v>3665</v>
      </c>
      <c r="M98">
        <v>3645</v>
      </c>
      <c r="N98">
        <v>300</v>
      </c>
      <c r="O98" s="119" t="s">
        <v>90</v>
      </c>
      <c r="P98">
        <v>0.95515770325722005</v>
      </c>
      <c r="Q98">
        <v>0.91848068142065198</v>
      </c>
      <c r="R98">
        <v>0.12304831902053</v>
      </c>
      <c r="S98">
        <v>8.1004847636158405E-3</v>
      </c>
      <c r="T98">
        <v>-0.57082406007006703</v>
      </c>
      <c r="U98">
        <v>0.57082406007006703</v>
      </c>
      <c r="V98">
        <v>-1.99</v>
      </c>
      <c r="W98">
        <v>3.11</v>
      </c>
      <c r="X98">
        <v>114827</v>
      </c>
      <c r="Y98">
        <v>9569</v>
      </c>
      <c r="Z98">
        <v>0.74</v>
      </c>
      <c r="AA98">
        <v>12</v>
      </c>
      <c r="AB98">
        <v>7</v>
      </c>
      <c r="AC98">
        <v>5</v>
      </c>
      <c r="AD98">
        <v>58.33</v>
      </c>
      <c r="AE98">
        <v>13</v>
      </c>
      <c r="AF98">
        <v>6</v>
      </c>
      <c r="AG98">
        <v>2</v>
      </c>
      <c r="AH98">
        <v>4</v>
      </c>
    </row>
    <row r="99" spans="1:34">
      <c r="A99" s="115">
        <v>142</v>
      </c>
      <c r="B99">
        <v>6471</v>
      </c>
      <c r="C99" s="119" t="s">
        <v>221</v>
      </c>
      <c r="D99" s="119" t="s">
        <v>136</v>
      </c>
      <c r="E99">
        <v>983</v>
      </c>
      <c r="F99">
        <v>978</v>
      </c>
      <c r="G99">
        <v>1100</v>
      </c>
      <c r="H99" s="119" t="s">
        <v>90</v>
      </c>
      <c r="I99">
        <v>7259</v>
      </c>
      <c r="J99" s="119" t="s">
        <v>55</v>
      </c>
      <c r="K99" s="119" t="s">
        <v>116</v>
      </c>
      <c r="L99">
        <v>3665</v>
      </c>
      <c r="M99">
        <v>3645</v>
      </c>
      <c r="N99">
        <v>300</v>
      </c>
      <c r="O99" s="119" t="s">
        <v>88</v>
      </c>
      <c r="P99">
        <v>0.96638293961691402</v>
      </c>
      <c r="Q99">
        <v>0.91576556734958303</v>
      </c>
      <c r="R99">
        <v>1.60634128970459E-3</v>
      </c>
      <c r="S99">
        <v>0.16982587618349801</v>
      </c>
      <c r="T99">
        <v>8.1313592049088404E-2</v>
      </c>
      <c r="U99">
        <v>8.1313592049088404E-2</v>
      </c>
      <c r="V99">
        <v>0.2</v>
      </c>
      <c r="W99">
        <v>1.62</v>
      </c>
      <c r="X99">
        <v>114507</v>
      </c>
      <c r="Y99">
        <v>5725</v>
      </c>
      <c r="Z99">
        <v>0.39</v>
      </c>
      <c r="AA99">
        <v>20</v>
      </c>
      <c r="AB99">
        <v>12</v>
      </c>
      <c r="AC99">
        <v>8</v>
      </c>
      <c r="AD99">
        <v>60</v>
      </c>
      <c r="AE99">
        <v>12</v>
      </c>
      <c r="AF99">
        <v>7</v>
      </c>
      <c r="AG99">
        <v>4</v>
      </c>
      <c r="AH99">
        <v>9</v>
      </c>
    </row>
    <row r="100" spans="1:34">
      <c r="A100" s="115">
        <v>101</v>
      </c>
      <c r="B100">
        <v>6178</v>
      </c>
      <c r="C100" s="119" t="s">
        <v>171</v>
      </c>
      <c r="D100" s="119" t="s">
        <v>172</v>
      </c>
      <c r="E100">
        <v>990</v>
      </c>
      <c r="F100">
        <v>983</v>
      </c>
      <c r="G100">
        <v>1100</v>
      </c>
      <c r="H100" s="119" t="s">
        <v>88</v>
      </c>
      <c r="I100">
        <v>7201</v>
      </c>
      <c r="J100" s="119" t="s">
        <v>143</v>
      </c>
      <c r="K100" s="119" t="s">
        <v>116</v>
      </c>
      <c r="L100">
        <v>685.5</v>
      </c>
      <c r="M100">
        <v>685.1</v>
      </c>
      <c r="N100">
        <v>1600</v>
      </c>
      <c r="O100" s="119" t="s">
        <v>90</v>
      </c>
      <c r="P100">
        <v>0.91485560375531805</v>
      </c>
      <c r="Q100">
        <v>0.92764378589391305</v>
      </c>
      <c r="R100">
        <v>0.182110563773458</v>
      </c>
      <c r="S100">
        <v>0.318235496791195</v>
      </c>
      <c r="T100">
        <v>-1.10496627728637</v>
      </c>
      <c r="U100">
        <v>1.10496627728637</v>
      </c>
      <c r="V100">
        <v>-3.55</v>
      </c>
      <c r="W100">
        <v>1.37</v>
      </c>
      <c r="X100">
        <v>113717</v>
      </c>
      <c r="Y100">
        <v>5985</v>
      </c>
      <c r="Z100">
        <v>0.27</v>
      </c>
      <c r="AA100">
        <v>19</v>
      </c>
      <c r="AB100">
        <v>10</v>
      </c>
      <c r="AC100">
        <v>9</v>
      </c>
      <c r="AD100">
        <v>52.63</v>
      </c>
      <c r="AE100">
        <v>14</v>
      </c>
      <c r="AF100">
        <v>4</v>
      </c>
      <c r="AG100">
        <v>2</v>
      </c>
      <c r="AH100">
        <v>13</v>
      </c>
    </row>
    <row r="101" spans="1:34">
      <c r="A101" s="115">
        <v>69</v>
      </c>
      <c r="B101">
        <v>6472</v>
      </c>
      <c r="C101" s="119" t="s">
        <v>210</v>
      </c>
      <c r="D101" s="119" t="s">
        <v>136</v>
      </c>
      <c r="E101">
        <v>326</v>
      </c>
      <c r="F101">
        <v>325</v>
      </c>
      <c r="G101">
        <v>3400</v>
      </c>
      <c r="H101" s="119" t="s">
        <v>90</v>
      </c>
      <c r="I101">
        <v>6988</v>
      </c>
      <c r="J101" s="119" t="s">
        <v>222</v>
      </c>
      <c r="K101" s="119" t="s">
        <v>89</v>
      </c>
      <c r="L101">
        <v>5473</v>
      </c>
      <c r="M101">
        <v>5472</v>
      </c>
      <c r="N101">
        <v>200</v>
      </c>
      <c r="O101" s="119" t="s">
        <v>88</v>
      </c>
      <c r="P101">
        <v>0.93596571371436499</v>
      </c>
      <c r="Q101">
        <v>0.93487694581278102</v>
      </c>
      <c r="R101">
        <v>0.20026196526447401</v>
      </c>
      <c r="S101">
        <v>0.1332563325251</v>
      </c>
      <c r="T101">
        <v>0.31244906802292199</v>
      </c>
      <c r="U101">
        <v>0.31244906802292199</v>
      </c>
      <c r="V101">
        <v>1.18</v>
      </c>
      <c r="W101">
        <v>0.97</v>
      </c>
      <c r="X101">
        <v>111707</v>
      </c>
      <c r="Y101">
        <v>7447</v>
      </c>
      <c r="Z101">
        <v>0.46</v>
      </c>
      <c r="AA101">
        <v>15</v>
      </c>
      <c r="AB101">
        <v>7</v>
      </c>
      <c r="AC101">
        <v>8</v>
      </c>
      <c r="AD101">
        <v>46.67</v>
      </c>
      <c r="AE101">
        <v>14</v>
      </c>
      <c r="AF101">
        <v>6</v>
      </c>
      <c r="AG101">
        <v>2</v>
      </c>
      <c r="AH101">
        <v>7</v>
      </c>
    </row>
    <row r="102" spans="1:34">
      <c r="A102" s="115">
        <v>196</v>
      </c>
      <c r="B102">
        <v>4634</v>
      </c>
      <c r="C102" s="119" t="s">
        <v>223</v>
      </c>
      <c r="D102" s="119" t="s">
        <v>89</v>
      </c>
      <c r="E102">
        <v>2611</v>
      </c>
      <c r="F102">
        <v>2590</v>
      </c>
      <c r="G102">
        <v>400</v>
      </c>
      <c r="H102" s="119" t="s">
        <v>88</v>
      </c>
      <c r="I102">
        <v>6770</v>
      </c>
      <c r="J102" s="119" t="s">
        <v>50</v>
      </c>
      <c r="K102" s="119" t="s">
        <v>119</v>
      </c>
      <c r="L102">
        <v>2154</v>
      </c>
      <c r="M102">
        <v>2125</v>
      </c>
      <c r="N102">
        <v>500</v>
      </c>
      <c r="O102" s="119" t="s">
        <v>90</v>
      </c>
      <c r="P102">
        <v>0.962541155215489</v>
      </c>
      <c r="Q102">
        <v>0.902541915833318</v>
      </c>
      <c r="R102">
        <v>9.0152643578426603E-3</v>
      </c>
      <c r="S102">
        <v>3.5048258653914998E-3</v>
      </c>
      <c r="T102">
        <v>-4.9990622084854101E-2</v>
      </c>
      <c r="U102">
        <v>4.9990622084854101E-2</v>
      </c>
      <c r="V102">
        <v>-0.12</v>
      </c>
      <c r="W102">
        <v>2.56</v>
      </c>
      <c r="X102">
        <v>108948</v>
      </c>
      <c r="Y102">
        <v>5447</v>
      </c>
      <c r="Z102">
        <v>0.15</v>
      </c>
      <c r="AA102">
        <v>20</v>
      </c>
      <c r="AB102">
        <v>12</v>
      </c>
      <c r="AC102">
        <v>8</v>
      </c>
      <c r="AD102">
        <v>60</v>
      </c>
      <c r="AE102">
        <v>11</v>
      </c>
      <c r="AF102">
        <v>7</v>
      </c>
      <c r="AG102">
        <v>5</v>
      </c>
      <c r="AH102">
        <v>8</v>
      </c>
    </row>
    <row r="103" spans="1:34">
      <c r="A103" s="115">
        <v>31</v>
      </c>
      <c r="B103">
        <v>4005</v>
      </c>
      <c r="C103" s="119" t="s">
        <v>164</v>
      </c>
      <c r="D103" s="119" t="s">
        <v>89</v>
      </c>
      <c r="E103">
        <v>512</v>
      </c>
      <c r="F103">
        <v>507</v>
      </c>
      <c r="G103">
        <v>2100</v>
      </c>
      <c r="H103" s="119" t="s">
        <v>90</v>
      </c>
      <c r="I103">
        <v>7211</v>
      </c>
      <c r="J103" s="119" t="s">
        <v>56</v>
      </c>
      <c r="K103" s="119" t="s">
        <v>116</v>
      </c>
      <c r="L103">
        <v>488</v>
      </c>
      <c r="M103">
        <v>493</v>
      </c>
      <c r="N103">
        <v>2200</v>
      </c>
      <c r="O103" s="119" t="s">
        <v>88</v>
      </c>
      <c r="P103">
        <v>0.91178052704081802</v>
      </c>
      <c r="Q103">
        <v>0.94926130469581405</v>
      </c>
      <c r="R103">
        <v>0.182280128506695</v>
      </c>
      <c r="S103">
        <v>1.6696467209059401E-3</v>
      </c>
      <c r="T103">
        <v>4.7893587865484602E-2</v>
      </c>
      <c r="U103">
        <v>4.7893587865484602E-2</v>
      </c>
      <c r="V103">
        <v>0.18</v>
      </c>
      <c r="W103">
        <v>1.87</v>
      </c>
      <c r="X103">
        <v>108463</v>
      </c>
      <c r="Y103">
        <v>6026</v>
      </c>
      <c r="Z103">
        <v>0.31</v>
      </c>
      <c r="AA103">
        <v>18</v>
      </c>
      <c r="AB103">
        <v>9</v>
      </c>
      <c r="AC103">
        <v>9</v>
      </c>
      <c r="AD103">
        <v>50</v>
      </c>
      <c r="AE103">
        <v>12</v>
      </c>
      <c r="AF103">
        <v>6</v>
      </c>
      <c r="AG103">
        <v>4</v>
      </c>
      <c r="AH103">
        <v>8</v>
      </c>
    </row>
    <row r="104" spans="1:34">
      <c r="A104" s="115">
        <v>19</v>
      </c>
      <c r="B104">
        <v>6752</v>
      </c>
      <c r="C104" s="119" t="s">
        <v>144</v>
      </c>
      <c r="D104" s="119" t="s">
        <v>119</v>
      </c>
      <c r="E104">
        <v>910.6</v>
      </c>
      <c r="F104">
        <v>907</v>
      </c>
      <c r="G104">
        <v>1200</v>
      </c>
      <c r="H104" s="119" t="s">
        <v>90</v>
      </c>
      <c r="I104">
        <v>7167</v>
      </c>
      <c r="J104" s="119" t="s">
        <v>138</v>
      </c>
      <c r="K104" s="119" t="s">
        <v>114</v>
      </c>
      <c r="L104">
        <v>270</v>
      </c>
      <c r="M104">
        <v>264</v>
      </c>
      <c r="N104">
        <v>4100</v>
      </c>
      <c r="O104" s="119" t="s">
        <v>88</v>
      </c>
      <c r="P104">
        <v>0.96312793038834099</v>
      </c>
      <c r="Q104">
        <v>0.95504686124992799</v>
      </c>
      <c r="R104">
        <v>4.2807494364387397E-2</v>
      </c>
      <c r="S104">
        <v>4.93533387501588E-2</v>
      </c>
      <c r="T104">
        <v>0.73815585250208005</v>
      </c>
      <c r="U104">
        <v>0.73815585250208005</v>
      </c>
      <c r="V104">
        <v>1.76</v>
      </c>
      <c r="W104">
        <v>0.55000000000000004</v>
      </c>
      <c r="X104">
        <v>107959</v>
      </c>
      <c r="Y104">
        <v>5998</v>
      </c>
      <c r="Z104">
        <v>0.3</v>
      </c>
      <c r="AA104">
        <v>18</v>
      </c>
      <c r="AB104">
        <v>9</v>
      </c>
      <c r="AC104">
        <v>9</v>
      </c>
      <c r="AD104">
        <v>50</v>
      </c>
      <c r="AE104">
        <v>13</v>
      </c>
      <c r="AF104">
        <v>6</v>
      </c>
      <c r="AG104">
        <v>3</v>
      </c>
      <c r="AH104">
        <v>9</v>
      </c>
    </row>
    <row r="105" spans="1:34">
      <c r="A105" s="115">
        <v>2</v>
      </c>
      <c r="B105">
        <v>4530</v>
      </c>
      <c r="C105" s="119" t="s">
        <v>226</v>
      </c>
      <c r="D105" s="119" t="s">
        <v>218</v>
      </c>
      <c r="E105">
        <v>5180</v>
      </c>
      <c r="F105">
        <v>5080</v>
      </c>
      <c r="G105">
        <v>200</v>
      </c>
      <c r="H105" s="119" t="s">
        <v>90</v>
      </c>
      <c r="I105">
        <v>8276</v>
      </c>
      <c r="J105" s="119" t="s">
        <v>227</v>
      </c>
      <c r="K105" s="119" t="s">
        <v>130</v>
      </c>
      <c r="L105">
        <v>2101</v>
      </c>
      <c r="M105">
        <v>2066</v>
      </c>
      <c r="N105">
        <v>500</v>
      </c>
      <c r="O105" s="119" t="s">
        <v>88</v>
      </c>
      <c r="P105">
        <v>0.91331345078909998</v>
      </c>
      <c r="Q105">
        <v>0.97637895596598201</v>
      </c>
      <c r="R105" s="20">
        <v>8.1512758913116095E-5</v>
      </c>
      <c r="S105" s="20">
        <v>1.2953575383937601E-2</v>
      </c>
      <c r="T105">
        <v>2.9202083613852299</v>
      </c>
      <c r="U105">
        <v>2.9202083613852299</v>
      </c>
      <c r="V105">
        <v>9.5500000000000007</v>
      </c>
      <c r="W105">
        <v>1.67</v>
      </c>
      <c r="X105">
        <v>107616</v>
      </c>
      <c r="Y105">
        <v>8278</v>
      </c>
      <c r="Z105">
        <v>0.49</v>
      </c>
      <c r="AA105">
        <v>13</v>
      </c>
      <c r="AB105">
        <v>7</v>
      </c>
      <c r="AC105">
        <v>6</v>
      </c>
      <c r="AD105">
        <v>53.85</v>
      </c>
      <c r="AE105">
        <v>14</v>
      </c>
      <c r="AF105">
        <v>5</v>
      </c>
      <c r="AG105">
        <v>1</v>
      </c>
      <c r="AH105">
        <v>7</v>
      </c>
    </row>
    <row r="106" spans="1:34">
      <c r="A106" s="115">
        <v>122</v>
      </c>
      <c r="B106">
        <v>5411</v>
      </c>
      <c r="C106" s="119" t="s">
        <v>125</v>
      </c>
      <c r="D106" s="119" t="s">
        <v>126</v>
      </c>
      <c r="E106">
        <v>1311</v>
      </c>
      <c r="F106">
        <v>1301.5</v>
      </c>
      <c r="G106">
        <v>800</v>
      </c>
      <c r="H106" s="119" t="s">
        <v>88</v>
      </c>
      <c r="I106">
        <v>6586</v>
      </c>
      <c r="J106" s="119" t="s">
        <v>152</v>
      </c>
      <c r="K106" s="119" t="s">
        <v>136</v>
      </c>
      <c r="L106">
        <v>3390</v>
      </c>
      <c r="M106">
        <v>3405</v>
      </c>
      <c r="N106">
        <v>300</v>
      </c>
      <c r="O106" s="119" t="s">
        <v>90</v>
      </c>
      <c r="P106">
        <v>0.93596099636549601</v>
      </c>
      <c r="Q106">
        <v>0.920065857620463</v>
      </c>
      <c r="R106">
        <v>5.2739271084807898E-3</v>
      </c>
      <c r="S106">
        <v>5.3168161085448098E-2</v>
      </c>
      <c r="T106">
        <v>-2.1248516768861698</v>
      </c>
      <c r="U106">
        <v>2.1248516768861698</v>
      </c>
      <c r="V106">
        <v>-6.21</v>
      </c>
      <c r="W106">
        <v>1.93</v>
      </c>
      <c r="X106">
        <v>105655</v>
      </c>
      <c r="Y106">
        <v>10566</v>
      </c>
      <c r="Z106">
        <v>0.68</v>
      </c>
      <c r="AA106">
        <v>10</v>
      </c>
      <c r="AB106">
        <v>7</v>
      </c>
      <c r="AC106">
        <v>3</v>
      </c>
      <c r="AD106">
        <v>70</v>
      </c>
      <c r="AE106">
        <v>10</v>
      </c>
      <c r="AF106">
        <v>5</v>
      </c>
      <c r="AG106">
        <v>2</v>
      </c>
      <c r="AH106">
        <v>3</v>
      </c>
    </row>
    <row r="107" spans="1:34">
      <c r="A107" s="115">
        <v>71</v>
      </c>
      <c r="B107">
        <v>5991</v>
      </c>
      <c r="C107" s="119" t="s">
        <v>159</v>
      </c>
      <c r="D107" s="119" t="s">
        <v>160</v>
      </c>
      <c r="E107">
        <v>864</v>
      </c>
      <c r="F107">
        <v>857</v>
      </c>
      <c r="G107">
        <v>1300</v>
      </c>
      <c r="H107" s="119" t="s">
        <v>88</v>
      </c>
      <c r="I107">
        <v>7259</v>
      </c>
      <c r="J107" s="119" t="s">
        <v>55</v>
      </c>
      <c r="K107" s="119" t="s">
        <v>116</v>
      </c>
      <c r="L107">
        <v>3665</v>
      </c>
      <c r="M107">
        <v>3645</v>
      </c>
      <c r="N107">
        <v>300</v>
      </c>
      <c r="O107" s="119" t="s">
        <v>90</v>
      </c>
      <c r="P107">
        <v>0.93792985356647895</v>
      </c>
      <c r="Q107">
        <v>0.93481551274640895</v>
      </c>
      <c r="R107">
        <v>0.19136273308712601</v>
      </c>
      <c r="S107">
        <v>2.9576554840946401E-2</v>
      </c>
      <c r="T107">
        <v>-0.221421278933356</v>
      </c>
      <c r="U107">
        <v>0.221421278933356</v>
      </c>
      <c r="V107">
        <v>-0.66</v>
      </c>
      <c r="W107">
        <v>1.88</v>
      </c>
      <c r="X107">
        <v>101097</v>
      </c>
      <c r="Y107">
        <v>6319</v>
      </c>
      <c r="Z107">
        <v>0.49</v>
      </c>
      <c r="AA107">
        <v>16</v>
      </c>
      <c r="AB107">
        <v>8</v>
      </c>
      <c r="AC107">
        <v>8</v>
      </c>
      <c r="AD107">
        <v>50</v>
      </c>
      <c r="AE107">
        <v>12</v>
      </c>
      <c r="AF107">
        <v>7</v>
      </c>
      <c r="AG107">
        <v>3</v>
      </c>
      <c r="AH107">
        <v>6</v>
      </c>
    </row>
    <row r="108" spans="1:34">
      <c r="A108" s="115">
        <v>64</v>
      </c>
      <c r="B108">
        <v>1860</v>
      </c>
      <c r="C108" s="119" t="s">
        <v>155</v>
      </c>
      <c r="D108" s="119" t="s">
        <v>109</v>
      </c>
      <c r="E108">
        <v>656</v>
      </c>
      <c r="F108">
        <v>653</v>
      </c>
      <c r="G108">
        <v>1700</v>
      </c>
      <c r="H108" s="119" t="s">
        <v>88</v>
      </c>
      <c r="I108">
        <v>5110</v>
      </c>
      <c r="J108" s="119" t="s">
        <v>195</v>
      </c>
      <c r="K108" s="119" t="s">
        <v>196</v>
      </c>
      <c r="L108">
        <v>1360</v>
      </c>
      <c r="M108">
        <v>1356</v>
      </c>
      <c r="N108">
        <v>800</v>
      </c>
      <c r="O108" s="119" t="s">
        <v>90</v>
      </c>
      <c r="P108">
        <v>0.95672884891510102</v>
      </c>
      <c r="Q108">
        <v>0.93594905955797203</v>
      </c>
      <c r="R108">
        <v>1.9327880280226299E-2</v>
      </c>
      <c r="S108">
        <v>3.2210490420459298E-3</v>
      </c>
      <c r="T108">
        <v>-0.64144950904889297</v>
      </c>
      <c r="U108">
        <v>0.64144950904889297</v>
      </c>
      <c r="V108">
        <v>-1.3</v>
      </c>
      <c r="W108">
        <v>2.33</v>
      </c>
      <c r="X108">
        <v>98838</v>
      </c>
      <c r="Y108">
        <v>5814</v>
      </c>
      <c r="Z108">
        <v>0.24</v>
      </c>
      <c r="AA108">
        <v>17</v>
      </c>
      <c r="AB108">
        <v>10</v>
      </c>
      <c r="AC108">
        <v>7</v>
      </c>
      <c r="AD108">
        <v>58.82</v>
      </c>
      <c r="AE108">
        <v>14</v>
      </c>
      <c r="AF108">
        <v>5</v>
      </c>
      <c r="AG108">
        <v>4</v>
      </c>
      <c r="AH108">
        <v>8</v>
      </c>
    </row>
    <row r="109" spans="1:34">
      <c r="A109" s="115">
        <v>148</v>
      </c>
      <c r="B109">
        <v>4902</v>
      </c>
      <c r="C109" s="119" t="s">
        <v>233</v>
      </c>
      <c r="D109" s="119" t="s">
        <v>119</v>
      </c>
      <c r="E109">
        <v>789</v>
      </c>
      <c r="F109">
        <v>786</v>
      </c>
      <c r="G109">
        <v>1300</v>
      </c>
      <c r="H109" s="119" t="s">
        <v>88</v>
      </c>
      <c r="I109">
        <v>5401</v>
      </c>
      <c r="J109" s="119" t="s">
        <v>161</v>
      </c>
      <c r="K109" s="119" t="s">
        <v>126</v>
      </c>
      <c r="L109">
        <v>1511.5</v>
      </c>
      <c r="M109">
        <v>1512.5</v>
      </c>
      <c r="N109">
        <v>700</v>
      </c>
      <c r="O109" s="119" t="s">
        <v>90</v>
      </c>
      <c r="P109">
        <v>0.96574281907088799</v>
      </c>
      <c r="Q109">
        <v>0.91447898152569995</v>
      </c>
      <c r="R109">
        <v>0.11820661559314</v>
      </c>
      <c r="S109">
        <v>0.25979884934136999</v>
      </c>
      <c r="T109">
        <v>-0.31118753031112401</v>
      </c>
      <c r="U109">
        <v>0.31118753031112401</v>
      </c>
      <c r="V109">
        <v>-2.2000000000000002</v>
      </c>
      <c r="W109">
        <v>3.49</v>
      </c>
      <c r="X109">
        <v>97546</v>
      </c>
      <c r="Y109">
        <v>5134</v>
      </c>
      <c r="Z109">
        <v>0.25</v>
      </c>
      <c r="AA109">
        <v>19</v>
      </c>
      <c r="AB109">
        <v>11</v>
      </c>
      <c r="AC109">
        <v>8</v>
      </c>
      <c r="AD109">
        <v>57.89</v>
      </c>
      <c r="AE109">
        <v>13</v>
      </c>
      <c r="AF109">
        <v>6</v>
      </c>
      <c r="AG109">
        <v>6</v>
      </c>
      <c r="AH109">
        <v>7</v>
      </c>
    </row>
    <row r="110" spans="1:34">
      <c r="A110" s="115">
        <v>186</v>
      </c>
      <c r="B110">
        <v>4061</v>
      </c>
      <c r="C110" s="119" t="s">
        <v>176</v>
      </c>
      <c r="D110" s="119" t="s">
        <v>89</v>
      </c>
      <c r="E110">
        <v>3095</v>
      </c>
      <c r="F110">
        <v>3050</v>
      </c>
      <c r="G110">
        <v>300</v>
      </c>
      <c r="H110" s="119" t="s">
        <v>88</v>
      </c>
      <c r="I110">
        <v>7327</v>
      </c>
      <c r="J110" s="119" t="s">
        <v>228</v>
      </c>
      <c r="K110" s="119" t="s">
        <v>114</v>
      </c>
      <c r="L110">
        <v>2775</v>
      </c>
      <c r="M110">
        <v>2734</v>
      </c>
      <c r="N110">
        <v>300</v>
      </c>
      <c r="O110" s="119" t="s">
        <v>90</v>
      </c>
      <c r="P110">
        <v>0.94430109010155605</v>
      </c>
      <c r="Q110">
        <v>0.90451006461638095</v>
      </c>
      <c r="R110">
        <v>3.8874070900813497E-2</v>
      </c>
      <c r="S110">
        <v>9.2859402114098301E-3</v>
      </c>
      <c r="T110">
        <v>-0.173857108056896</v>
      </c>
      <c r="U110">
        <v>0.173857108056896</v>
      </c>
      <c r="V110">
        <v>-0.32</v>
      </c>
      <c r="W110">
        <v>10.36</v>
      </c>
      <c r="X110">
        <v>96366</v>
      </c>
      <c r="Y110">
        <v>48183</v>
      </c>
      <c r="Z110">
        <v>2.5299999999999998</v>
      </c>
      <c r="AA110">
        <v>2</v>
      </c>
      <c r="AB110">
        <v>2</v>
      </c>
      <c r="AC110">
        <v>0</v>
      </c>
      <c r="AD110">
        <v>100</v>
      </c>
      <c r="AE110">
        <v>16</v>
      </c>
      <c r="AF110">
        <v>1</v>
      </c>
      <c r="AG110">
        <v>0</v>
      </c>
      <c r="AH110">
        <v>1</v>
      </c>
    </row>
    <row r="111" spans="1:34">
      <c r="A111" s="115">
        <v>0</v>
      </c>
      <c r="B111">
        <v>5406</v>
      </c>
      <c r="C111" s="119" t="s">
        <v>151</v>
      </c>
      <c r="D111" s="119" t="s">
        <v>126</v>
      </c>
      <c r="E111">
        <v>567</v>
      </c>
      <c r="F111">
        <v>562</v>
      </c>
      <c r="G111">
        <v>1900</v>
      </c>
      <c r="H111" s="119" t="s">
        <v>88</v>
      </c>
      <c r="I111">
        <v>5411</v>
      </c>
      <c r="J111" s="119" t="s">
        <v>125</v>
      </c>
      <c r="K111" s="119" t="s">
        <v>126</v>
      </c>
      <c r="L111">
        <v>1311</v>
      </c>
      <c r="M111">
        <v>1301.5</v>
      </c>
      <c r="N111">
        <v>800</v>
      </c>
      <c r="O111" s="119" t="s">
        <v>90</v>
      </c>
      <c r="P111">
        <v>0.94315238236130094</v>
      </c>
      <c r="Q111">
        <v>0.98773960493313595</v>
      </c>
      <c r="R111">
        <v>0.12071964358395799</v>
      </c>
      <c r="S111">
        <v>1.01625638176053E-3</v>
      </c>
      <c r="T111">
        <v>-1.1425186794083699</v>
      </c>
      <c r="U111">
        <v>1.1425186794083699</v>
      </c>
      <c r="V111">
        <v>-3.74</v>
      </c>
      <c r="W111">
        <v>2.5499999999999998</v>
      </c>
      <c r="X111">
        <v>95819</v>
      </c>
      <c r="Y111">
        <v>7985</v>
      </c>
      <c r="Z111">
        <v>0.33</v>
      </c>
      <c r="AA111">
        <v>12</v>
      </c>
      <c r="AB111">
        <v>7</v>
      </c>
      <c r="AC111">
        <v>5</v>
      </c>
      <c r="AD111">
        <v>58.33</v>
      </c>
      <c r="AE111">
        <v>11</v>
      </c>
      <c r="AF111">
        <v>5</v>
      </c>
      <c r="AG111">
        <v>4</v>
      </c>
      <c r="AH111">
        <v>3</v>
      </c>
    </row>
    <row r="112" spans="1:34">
      <c r="A112" s="115">
        <v>98</v>
      </c>
      <c r="B112">
        <v>6371</v>
      </c>
      <c r="C112" s="119" t="s">
        <v>148</v>
      </c>
      <c r="D112" s="119" t="s">
        <v>136</v>
      </c>
      <c r="E112">
        <v>3550</v>
      </c>
      <c r="F112">
        <v>3520</v>
      </c>
      <c r="G112">
        <v>300</v>
      </c>
      <c r="H112" s="119" t="s">
        <v>90</v>
      </c>
      <c r="I112">
        <v>7327</v>
      </c>
      <c r="J112" s="119" t="s">
        <v>228</v>
      </c>
      <c r="K112" s="119" t="s">
        <v>114</v>
      </c>
      <c r="L112">
        <v>2775</v>
      </c>
      <c r="M112">
        <v>2734</v>
      </c>
      <c r="N112">
        <v>400</v>
      </c>
      <c r="O112" s="119" t="s">
        <v>88</v>
      </c>
      <c r="P112">
        <v>0.90742152417709199</v>
      </c>
      <c r="Q112">
        <v>0.92789721928457203</v>
      </c>
      <c r="R112">
        <v>7.1069424363577896E-2</v>
      </c>
      <c r="S112">
        <v>2.2793865064281001E-2</v>
      </c>
      <c r="T112">
        <v>0.440910242596047</v>
      </c>
      <c r="U112">
        <v>0.440910242596047</v>
      </c>
      <c r="V112">
        <v>0.95</v>
      </c>
      <c r="W112">
        <v>3.56</v>
      </c>
      <c r="X112">
        <v>92235</v>
      </c>
      <c r="Y112">
        <v>46118</v>
      </c>
      <c r="Z112">
        <v>2.1</v>
      </c>
      <c r="AA112">
        <v>2</v>
      </c>
      <c r="AB112">
        <v>2</v>
      </c>
      <c r="AC112">
        <v>0</v>
      </c>
      <c r="AD112">
        <v>100</v>
      </c>
      <c r="AE112">
        <v>11</v>
      </c>
      <c r="AF112">
        <v>2</v>
      </c>
      <c r="AG112">
        <v>0</v>
      </c>
      <c r="AH112">
        <v>0</v>
      </c>
    </row>
    <row r="113" spans="1:34">
      <c r="A113" s="115">
        <v>175</v>
      </c>
      <c r="B113">
        <v>1860</v>
      </c>
      <c r="C113" s="119" t="s">
        <v>155</v>
      </c>
      <c r="D113" s="119" t="s">
        <v>109</v>
      </c>
      <c r="E113">
        <v>656</v>
      </c>
      <c r="F113">
        <v>653</v>
      </c>
      <c r="G113">
        <v>1600</v>
      </c>
      <c r="H113" s="119" t="s">
        <v>90</v>
      </c>
      <c r="I113">
        <v>9513</v>
      </c>
      <c r="J113" s="119" t="s">
        <v>197</v>
      </c>
      <c r="K113" s="119" t="s">
        <v>187</v>
      </c>
      <c r="L113">
        <v>2598</v>
      </c>
      <c r="M113">
        <v>2564</v>
      </c>
      <c r="N113">
        <v>400</v>
      </c>
      <c r="O113" s="119" t="s">
        <v>88</v>
      </c>
      <c r="P113">
        <v>0.90857989129591199</v>
      </c>
      <c r="Q113">
        <v>0.90629090927581302</v>
      </c>
      <c r="R113">
        <v>2.24229107975004E-2</v>
      </c>
      <c r="S113">
        <v>2.7801621374194401E-3</v>
      </c>
      <c r="T113">
        <v>1.86772772343531</v>
      </c>
      <c r="U113">
        <v>1.86772772343531</v>
      </c>
      <c r="V113">
        <v>4.2699999999999996</v>
      </c>
      <c r="W113">
        <v>1.87</v>
      </c>
      <c r="X113">
        <v>91602</v>
      </c>
      <c r="Y113">
        <v>4362</v>
      </c>
      <c r="Z113">
        <v>0.28000000000000003</v>
      </c>
      <c r="AA113">
        <v>21</v>
      </c>
      <c r="AB113">
        <v>11</v>
      </c>
      <c r="AC113">
        <v>10</v>
      </c>
      <c r="AD113">
        <v>52.38</v>
      </c>
      <c r="AE113">
        <v>12</v>
      </c>
      <c r="AF113">
        <v>9</v>
      </c>
      <c r="AG113">
        <v>5</v>
      </c>
      <c r="AH113">
        <v>7</v>
      </c>
    </row>
    <row r="114" spans="1:34">
      <c r="A114" s="115">
        <v>46</v>
      </c>
      <c r="B114">
        <v>4208</v>
      </c>
      <c r="C114" s="119" t="s">
        <v>133</v>
      </c>
      <c r="D114" s="119" t="s">
        <v>89</v>
      </c>
      <c r="E114">
        <v>2266</v>
      </c>
      <c r="F114">
        <v>2255</v>
      </c>
      <c r="G114">
        <v>400</v>
      </c>
      <c r="H114" s="119" t="s">
        <v>88</v>
      </c>
      <c r="I114">
        <v>5802</v>
      </c>
      <c r="J114" s="119" t="s">
        <v>202</v>
      </c>
      <c r="K114" s="119" t="s">
        <v>203</v>
      </c>
      <c r="L114">
        <v>1424</v>
      </c>
      <c r="M114">
        <v>1415.5</v>
      </c>
      <c r="N114">
        <v>600</v>
      </c>
      <c r="O114" s="119" t="s">
        <v>90</v>
      </c>
      <c r="P114">
        <v>0.95252715833000701</v>
      </c>
      <c r="Q114">
        <v>0.94288510677494897</v>
      </c>
      <c r="R114">
        <v>0.16296089854467399</v>
      </c>
      <c r="S114">
        <v>2.2951514853126301E-2</v>
      </c>
      <c r="T114">
        <v>-0.59200896513779899</v>
      </c>
      <c r="U114">
        <v>0.59200896513779899</v>
      </c>
      <c r="V114">
        <v>-1.21</v>
      </c>
      <c r="W114">
        <v>5.84</v>
      </c>
      <c r="X114">
        <v>89209</v>
      </c>
      <c r="Y114">
        <v>6862</v>
      </c>
      <c r="Z114">
        <v>0.28000000000000003</v>
      </c>
      <c r="AA114">
        <v>13</v>
      </c>
      <c r="AB114">
        <v>7</v>
      </c>
      <c r="AC114">
        <v>6</v>
      </c>
      <c r="AD114">
        <v>53.85</v>
      </c>
      <c r="AE114">
        <v>13</v>
      </c>
      <c r="AF114">
        <v>5</v>
      </c>
      <c r="AG114">
        <v>3</v>
      </c>
      <c r="AH114">
        <v>5</v>
      </c>
    </row>
    <row r="115" spans="1:34">
      <c r="A115" s="115">
        <v>170</v>
      </c>
      <c r="B115">
        <v>7202</v>
      </c>
      <c r="C115" s="119" t="s">
        <v>208</v>
      </c>
      <c r="D115" s="119" t="s">
        <v>116</v>
      </c>
      <c r="E115">
        <v>1243</v>
      </c>
      <c r="F115">
        <v>1238</v>
      </c>
      <c r="G115">
        <v>700</v>
      </c>
      <c r="H115" s="119" t="s">
        <v>88</v>
      </c>
      <c r="I115">
        <v>7267</v>
      </c>
      <c r="J115" s="119" t="s">
        <v>165</v>
      </c>
      <c r="K115" s="119" t="s">
        <v>116</v>
      </c>
      <c r="L115">
        <v>2913</v>
      </c>
      <c r="M115">
        <v>2909.5</v>
      </c>
      <c r="N115">
        <v>300</v>
      </c>
      <c r="O115" s="119" t="s">
        <v>90</v>
      </c>
      <c r="P115">
        <v>0.93758409707041501</v>
      </c>
      <c r="Q115">
        <v>0.90985883047523397</v>
      </c>
      <c r="R115">
        <v>0.16594983449320899</v>
      </c>
      <c r="S115">
        <v>3.6577102054365498E-2</v>
      </c>
      <c r="T115">
        <v>-1.0452806804096799</v>
      </c>
      <c r="U115">
        <v>1.0452806804096799</v>
      </c>
      <c r="V115">
        <v>-2.29</v>
      </c>
      <c r="W115">
        <v>0.72</v>
      </c>
      <c r="X115">
        <v>88797</v>
      </c>
      <c r="Y115">
        <v>5550</v>
      </c>
      <c r="Z115">
        <v>0.27</v>
      </c>
      <c r="AA115">
        <v>16</v>
      </c>
      <c r="AB115">
        <v>10</v>
      </c>
      <c r="AC115">
        <v>6</v>
      </c>
      <c r="AD115">
        <v>62.5</v>
      </c>
      <c r="AE115">
        <v>15</v>
      </c>
      <c r="AF115">
        <v>2</v>
      </c>
      <c r="AG115">
        <v>2</v>
      </c>
      <c r="AH115">
        <v>12</v>
      </c>
    </row>
    <row r="116" spans="1:34">
      <c r="A116" s="115">
        <v>120</v>
      </c>
      <c r="B116">
        <v>6752</v>
      </c>
      <c r="C116" s="119" t="s">
        <v>144</v>
      </c>
      <c r="D116" s="119" t="s">
        <v>119</v>
      </c>
      <c r="E116">
        <v>910.6</v>
      </c>
      <c r="F116">
        <v>907</v>
      </c>
      <c r="G116">
        <v>1100</v>
      </c>
      <c r="H116" s="119" t="s">
        <v>90</v>
      </c>
      <c r="I116">
        <v>8242</v>
      </c>
      <c r="J116" s="119" t="s">
        <v>173</v>
      </c>
      <c r="K116" s="119" t="s">
        <v>130</v>
      </c>
      <c r="L116">
        <v>1251</v>
      </c>
      <c r="M116">
        <v>1228</v>
      </c>
      <c r="N116">
        <v>800</v>
      </c>
      <c r="O116" s="119" t="s">
        <v>88</v>
      </c>
      <c r="P116">
        <v>0.96013066524229795</v>
      </c>
      <c r="Q116">
        <v>0.92062720278426602</v>
      </c>
      <c r="R116">
        <v>2.6267164964612799E-3</v>
      </c>
      <c r="S116">
        <v>2.02478525267407E-2</v>
      </c>
      <c r="T116">
        <v>0.513374077694144</v>
      </c>
      <c r="U116">
        <v>0.513374077694144</v>
      </c>
      <c r="V116">
        <v>0.8</v>
      </c>
      <c r="W116">
        <v>1.56</v>
      </c>
      <c r="X116">
        <v>88150</v>
      </c>
      <c r="Y116">
        <v>4408</v>
      </c>
      <c r="Z116">
        <v>0.2</v>
      </c>
      <c r="AA116">
        <v>20</v>
      </c>
      <c r="AB116">
        <v>12</v>
      </c>
      <c r="AC116">
        <v>8</v>
      </c>
      <c r="AD116">
        <v>60</v>
      </c>
      <c r="AE116">
        <v>14</v>
      </c>
      <c r="AF116">
        <v>8</v>
      </c>
      <c r="AG116">
        <v>5</v>
      </c>
      <c r="AH116">
        <v>7</v>
      </c>
    </row>
    <row r="117" spans="1:34">
      <c r="A117" s="115">
        <v>63</v>
      </c>
      <c r="B117">
        <v>4208</v>
      </c>
      <c r="C117" s="119" t="s">
        <v>133</v>
      </c>
      <c r="D117" s="119" t="s">
        <v>89</v>
      </c>
      <c r="E117">
        <v>2266</v>
      </c>
      <c r="F117">
        <v>2255</v>
      </c>
      <c r="G117">
        <v>500</v>
      </c>
      <c r="H117" s="119" t="s">
        <v>90</v>
      </c>
      <c r="I117">
        <v>6371</v>
      </c>
      <c r="J117" s="119" t="s">
        <v>148</v>
      </c>
      <c r="K117" s="119" t="s">
        <v>136</v>
      </c>
      <c r="L117">
        <v>3550</v>
      </c>
      <c r="M117">
        <v>3520</v>
      </c>
      <c r="N117">
        <v>300</v>
      </c>
      <c r="O117" s="119" t="s">
        <v>88</v>
      </c>
      <c r="P117">
        <v>0.95803847110630702</v>
      </c>
      <c r="Q117">
        <v>0.93665052733425502</v>
      </c>
      <c r="R117">
        <v>0.29023131958729198</v>
      </c>
      <c r="S117">
        <v>4.6659804519443198E-3</v>
      </c>
      <c r="T117">
        <v>1.00111858636724</v>
      </c>
      <c r="U117">
        <v>1.00111858636724</v>
      </c>
      <c r="V117">
        <v>1.33</v>
      </c>
      <c r="W117">
        <v>6.77</v>
      </c>
      <c r="X117">
        <v>73866</v>
      </c>
      <c r="Y117">
        <v>5682</v>
      </c>
      <c r="Z117">
        <v>0.23</v>
      </c>
      <c r="AA117">
        <v>13</v>
      </c>
      <c r="AB117">
        <v>8</v>
      </c>
      <c r="AC117">
        <v>5</v>
      </c>
      <c r="AD117">
        <v>61.54</v>
      </c>
      <c r="AE117">
        <v>13</v>
      </c>
      <c r="AF117">
        <v>4</v>
      </c>
      <c r="AG117">
        <v>4</v>
      </c>
      <c r="AH117">
        <v>5</v>
      </c>
    </row>
    <row r="118" spans="1:34">
      <c r="A118" s="115">
        <v>135</v>
      </c>
      <c r="B118">
        <v>6995</v>
      </c>
      <c r="C118" s="119" t="s">
        <v>124</v>
      </c>
      <c r="D118" s="119" t="s">
        <v>116</v>
      </c>
      <c r="E118">
        <v>1922</v>
      </c>
      <c r="F118">
        <v>1908</v>
      </c>
      <c r="G118">
        <v>500</v>
      </c>
      <c r="H118" s="119" t="s">
        <v>90</v>
      </c>
      <c r="I118">
        <v>8002</v>
      </c>
      <c r="J118" s="119" t="s">
        <v>57</v>
      </c>
      <c r="K118" s="119" t="s">
        <v>139</v>
      </c>
      <c r="L118">
        <v>736.5</v>
      </c>
      <c r="M118">
        <v>731.6</v>
      </c>
      <c r="N118">
        <v>1300</v>
      </c>
      <c r="O118" s="119" t="s">
        <v>88</v>
      </c>
      <c r="P118">
        <v>0.95095588744378301</v>
      </c>
      <c r="Q118">
        <v>0.91793741261725104</v>
      </c>
      <c r="R118">
        <v>8.3663420947161005E-2</v>
      </c>
      <c r="S118">
        <v>6.57805645645149E-3</v>
      </c>
      <c r="T118">
        <v>2.0025207201635702</v>
      </c>
      <c r="U118">
        <v>2.0025207201635702</v>
      </c>
      <c r="V118">
        <v>4.1900000000000004</v>
      </c>
      <c r="W118">
        <v>0.31</v>
      </c>
      <c r="X118">
        <v>71731</v>
      </c>
      <c r="Y118">
        <v>5518</v>
      </c>
      <c r="Z118">
        <v>0.25</v>
      </c>
      <c r="AA118">
        <v>13</v>
      </c>
      <c r="AB118">
        <v>7</v>
      </c>
      <c r="AC118">
        <v>6</v>
      </c>
      <c r="AD118">
        <v>53.85</v>
      </c>
      <c r="AE118">
        <v>14</v>
      </c>
      <c r="AF118">
        <v>3</v>
      </c>
      <c r="AG118">
        <v>1</v>
      </c>
      <c r="AH118">
        <v>9</v>
      </c>
    </row>
    <row r="119" spans="1:34">
      <c r="A119" s="115">
        <v>70</v>
      </c>
      <c r="B119">
        <v>4005</v>
      </c>
      <c r="C119" s="119" t="s">
        <v>164</v>
      </c>
      <c r="D119" s="119" t="s">
        <v>89</v>
      </c>
      <c r="E119">
        <v>512</v>
      </c>
      <c r="F119">
        <v>507</v>
      </c>
      <c r="G119">
        <v>2100</v>
      </c>
      <c r="H119" s="119" t="s">
        <v>88</v>
      </c>
      <c r="I119">
        <v>4182</v>
      </c>
      <c r="J119" s="119" t="s">
        <v>120</v>
      </c>
      <c r="K119" s="119" t="s">
        <v>89</v>
      </c>
      <c r="L119">
        <v>1498</v>
      </c>
      <c r="M119">
        <v>1498</v>
      </c>
      <c r="N119">
        <v>700</v>
      </c>
      <c r="O119" s="119" t="s">
        <v>90</v>
      </c>
      <c r="P119">
        <v>0.93346584909486796</v>
      </c>
      <c r="Q119">
        <v>0.93483233249303299</v>
      </c>
      <c r="R119">
        <v>5.4242768487832299E-2</v>
      </c>
      <c r="S119">
        <v>1.15670702212645E-2</v>
      </c>
      <c r="T119">
        <v>-1.1016426262762</v>
      </c>
      <c r="U119">
        <v>1.1016426262762</v>
      </c>
      <c r="V119">
        <v>-4.8600000000000003</v>
      </c>
      <c r="W119">
        <v>1.54</v>
      </c>
      <c r="X119">
        <v>71264</v>
      </c>
      <c r="Y119">
        <v>4454</v>
      </c>
      <c r="Z119">
        <v>0.26</v>
      </c>
      <c r="AA119">
        <v>16</v>
      </c>
      <c r="AB119">
        <v>11</v>
      </c>
      <c r="AC119">
        <v>5</v>
      </c>
      <c r="AD119">
        <v>68.75</v>
      </c>
      <c r="AE119">
        <v>14</v>
      </c>
      <c r="AF119">
        <v>6</v>
      </c>
      <c r="AG119">
        <v>4</v>
      </c>
      <c r="AH119">
        <v>6</v>
      </c>
    </row>
    <row r="120" spans="1:34">
      <c r="A120" s="115">
        <v>160</v>
      </c>
      <c r="B120">
        <v>1963</v>
      </c>
      <c r="C120" s="119" t="s">
        <v>200</v>
      </c>
      <c r="D120" s="119" t="s">
        <v>109</v>
      </c>
      <c r="E120">
        <v>1475</v>
      </c>
      <c r="F120">
        <v>1472</v>
      </c>
      <c r="G120">
        <v>700</v>
      </c>
      <c r="H120" s="119" t="s">
        <v>90</v>
      </c>
      <c r="I120">
        <v>8002</v>
      </c>
      <c r="J120" s="119" t="s">
        <v>57</v>
      </c>
      <c r="K120" s="119" t="s">
        <v>139</v>
      </c>
      <c r="L120">
        <v>736.5</v>
      </c>
      <c r="M120">
        <v>731.6</v>
      </c>
      <c r="N120">
        <v>1400</v>
      </c>
      <c r="O120" s="119" t="s">
        <v>88</v>
      </c>
      <c r="P120">
        <v>0.91693488068322804</v>
      </c>
      <c r="Q120">
        <v>0.91181192956807999</v>
      </c>
      <c r="R120">
        <v>0.279391204752654</v>
      </c>
      <c r="S120">
        <v>0.285850785099725</v>
      </c>
      <c r="T120">
        <v>0.99797097491541198</v>
      </c>
      <c r="U120">
        <v>0.99797097491541198</v>
      </c>
      <c r="V120">
        <v>3.72</v>
      </c>
      <c r="W120">
        <v>0.6</v>
      </c>
      <c r="X120">
        <v>66179</v>
      </c>
      <c r="Y120">
        <v>3151</v>
      </c>
      <c r="Z120">
        <v>0.15</v>
      </c>
      <c r="AA120">
        <v>21</v>
      </c>
      <c r="AB120">
        <v>13</v>
      </c>
      <c r="AC120">
        <v>8</v>
      </c>
      <c r="AD120">
        <v>61.9</v>
      </c>
      <c r="AE120">
        <v>13</v>
      </c>
      <c r="AF120">
        <v>7</v>
      </c>
      <c r="AG120">
        <v>6</v>
      </c>
      <c r="AH120">
        <v>8</v>
      </c>
    </row>
    <row r="121" spans="1:34">
      <c r="A121" s="115">
        <v>51</v>
      </c>
      <c r="B121">
        <v>6752</v>
      </c>
      <c r="C121" s="119" t="s">
        <v>144</v>
      </c>
      <c r="D121" s="119" t="s">
        <v>119</v>
      </c>
      <c r="E121">
        <v>910.6</v>
      </c>
      <c r="F121">
        <v>907</v>
      </c>
      <c r="G121">
        <v>1200</v>
      </c>
      <c r="H121" s="119" t="s">
        <v>90</v>
      </c>
      <c r="I121">
        <v>7327</v>
      </c>
      <c r="J121" s="119" t="s">
        <v>228</v>
      </c>
      <c r="K121" s="119" t="s">
        <v>114</v>
      </c>
      <c r="L121">
        <v>2775</v>
      </c>
      <c r="M121">
        <v>2734</v>
      </c>
      <c r="N121">
        <v>400</v>
      </c>
      <c r="O121" s="119" t="s">
        <v>88</v>
      </c>
      <c r="P121">
        <v>0.91599606690850199</v>
      </c>
      <c r="Q121">
        <v>0.94080993608425001</v>
      </c>
      <c r="R121">
        <v>0.23435494148452701</v>
      </c>
      <c r="S121">
        <v>0.15323599366202001</v>
      </c>
      <c r="T121">
        <v>0.48490265328409199</v>
      </c>
      <c r="U121">
        <v>0.48490265328409199</v>
      </c>
      <c r="V121">
        <v>0.93</v>
      </c>
      <c r="W121">
        <v>0.48</v>
      </c>
      <c r="X121">
        <v>61534</v>
      </c>
      <c r="Y121">
        <v>61534</v>
      </c>
      <c r="Z121">
        <v>3.06</v>
      </c>
      <c r="AA121">
        <v>1</v>
      </c>
      <c r="AB121">
        <v>1</v>
      </c>
      <c r="AC121">
        <v>0</v>
      </c>
      <c r="AD121">
        <v>100</v>
      </c>
      <c r="AE121">
        <v>16</v>
      </c>
      <c r="AF121">
        <v>1</v>
      </c>
      <c r="AG121">
        <v>0</v>
      </c>
      <c r="AH121">
        <v>0</v>
      </c>
    </row>
    <row r="122" spans="1:34">
      <c r="A122" s="115">
        <v>20</v>
      </c>
      <c r="B122">
        <v>5802</v>
      </c>
      <c r="C122" s="119" t="s">
        <v>202</v>
      </c>
      <c r="D122" s="119" t="s">
        <v>203</v>
      </c>
      <c r="E122">
        <v>1424</v>
      </c>
      <c r="F122">
        <v>1415.5</v>
      </c>
      <c r="G122">
        <v>600</v>
      </c>
      <c r="H122" s="119" t="s">
        <v>88</v>
      </c>
      <c r="I122">
        <v>7267</v>
      </c>
      <c r="J122" s="119" t="s">
        <v>165</v>
      </c>
      <c r="K122" s="119" t="s">
        <v>116</v>
      </c>
      <c r="L122">
        <v>2913</v>
      </c>
      <c r="M122">
        <v>2909.5</v>
      </c>
      <c r="N122">
        <v>300</v>
      </c>
      <c r="O122" s="119" t="s">
        <v>90</v>
      </c>
      <c r="P122">
        <v>0.98469490174326202</v>
      </c>
      <c r="Q122">
        <v>0.95427228167114297</v>
      </c>
      <c r="R122" s="20">
        <v>6.3343199994590593E-2</v>
      </c>
      <c r="S122">
        <v>5.2933635740023702E-2</v>
      </c>
      <c r="T122">
        <v>-0.49073801695862401</v>
      </c>
      <c r="U122">
        <v>0.49073801695862401</v>
      </c>
      <c r="V122">
        <v>-0.78</v>
      </c>
      <c r="W122">
        <v>2.7</v>
      </c>
      <c r="X122">
        <v>60623</v>
      </c>
      <c r="Y122">
        <v>3566</v>
      </c>
      <c r="Z122">
        <v>0.19</v>
      </c>
      <c r="AA122">
        <v>17</v>
      </c>
      <c r="AB122">
        <v>10</v>
      </c>
      <c r="AC122">
        <v>7</v>
      </c>
      <c r="AD122">
        <v>58.82</v>
      </c>
      <c r="AE122">
        <v>16</v>
      </c>
      <c r="AF122">
        <v>1</v>
      </c>
      <c r="AG122">
        <v>1</v>
      </c>
      <c r="AH122">
        <v>15</v>
      </c>
    </row>
    <row r="123" spans="1:34">
      <c r="A123" s="115">
        <v>191</v>
      </c>
      <c r="B123">
        <v>3291</v>
      </c>
      <c r="C123" s="119" t="s">
        <v>157</v>
      </c>
      <c r="D123" s="119" t="s">
        <v>158</v>
      </c>
      <c r="E123">
        <v>1776</v>
      </c>
      <c r="F123">
        <v>1758</v>
      </c>
      <c r="G123">
        <v>600</v>
      </c>
      <c r="H123" s="119" t="s">
        <v>88</v>
      </c>
      <c r="I123">
        <v>7211</v>
      </c>
      <c r="J123" s="119" t="s">
        <v>56</v>
      </c>
      <c r="K123" s="119" t="s">
        <v>116</v>
      </c>
      <c r="L123">
        <v>488</v>
      </c>
      <c r="M123">
        <v>493</v>
      </c>
      <c r="N123">
        <v>2100</v>
      </c>
      <c r="O123" s="119" t="s">
        <v>90</v>
      </c>
      <c r="P123">
        <v>0.93661807307373701</v>
      </c>
      <c r="Q123">
        <v>0.90350188027090805</v>
      </c>
      <c r="R123">
        <v>0.10114479414437</v>
      </c>
      <c r="S123">
        <v>0.2268602816816</v>
      </c>
      <c r="T123">
        <v>-0.77908175583391204</v>
      </c>
      <c r="U123">
        <v>0.77908175583391204</v>
      </c>
      <c r="V123">
        <v>-2.4700000000000002</v>
      </c>
      <c r="W123">
        <v>1.85</v>
      </c>
      <c r="X123">
        <v>59266</v>
      </c>
      <c r="Y123">
        <v>3293</v>
      </c>
      <c r="Z123">
        <v>0.13</v>
      </c>
      <c r="AA123">
        <v>18</v>
      </c>
      <c r="AB123">
        <v>8</v>
      </c>
      <c r="AC123">
        <v>10</v>
      </c>
      <c r="AD123">
        <v>44.44</v>
      </c>
      <c r="AE123">
        <v>10</v>
      </c>
      <c r="AF123">
        <v>7</v>
      </c>
      <c r="AG123">
        <v>5</v>
      </c>
      <c r="AH123">
        <v>6</v>
      </c>
    </row>
    <row r="124" spans="1:34">
      <c r="A124" s="115">
        <v>163</v>
      </c>
      <c r="B124">
        <v>4507</v>
      </c>
      <c r="C124" s="119" t="s">
        <v>231</v>
      </c>
      <c r="D124" s="119" t="s">
        <v>218</v>
      </c>
      <c r="E124">
        <v>5984</v>
      </c>
      <c r="F124">
        <v>6084</v>
      </c>
      <c r="G124">
        <v>100</v>
      </c>
      <c r="H124" s="119" t="s">
        <v>90</v>
      </c>
      <c r="I124">
        <v>8377</v>
      </c>
      <c r="J124" s="119" t="s">
        <v>129</v>
      </c>
      <c r="K124" s="119" t="s">
        <v>114</v>
      </c>
      <c r="L124">
        <v>1061</v>
      </c>
      <c r="M124">
        <v>1041</v>
      </c>
      <c r="N124">
        <v>600</v>
      </c>
      <c r="O124" s="119" t="s">
        <v>88</v>
      </c>
      <c r="P124">
        <v>0.90278805484770597</v>
      </c>
      <c r="Q124">
        <v>0.91094254001152397</v>
      </c>
      <c r="R124">
        <v>1.1159015342724499E-3</v>
      </c>
      <c r="S124">
        <v>8.7969153679011702E-3</v>
      </c>
      <c r="T124">
        <v>0.69900776815219101</v>
      </c>
      <c r="U124">
        <v>0.69900776815219101</v>
      </c>
      <c r="V124">
        <v>2.68</v>
      </c>
      <c r="W124">
        <v>2.66</v>
      </c>
      <c r="X124">
        <v>56732</v>
      </c>
      <c r="Y124">
        <v>3337</v>
      </c>
      <c r="Z124">
        <v>0</v>
      </c>
      <c r="AA124">
        <v>17</v>
      </c>
      <c r="AB124">
        <v>9</v>
      </c>
      <c r="AC124">
        <v>8</v>
      </c>
      <c r="AD124">
        <v>52.94</v>
      </c>
      <c r="AE124">
        <v>11</v>
      </c>
      <c r="AF124">
        <v>5</v>
      </c>
      <c r="AG124">
        <v>7</v>
      </c>
      <c r="AH124">
        <v>5</v>
      </c>
    </row>
    <row r="125" spans="1:34">
      <c r="A125" s="115">
        <v>152</v>
      </c>
      <c r="B125">
        <v>8242</v>
      </c>
      <c r="C125" s="119" t="s">
        <v>173</v>
      </c>
      <c r="D125" s="119" t="s">
        <v>130</v>
      </c>
      <c r="E125">
        <v>1251</v>
      </c>
      <c r="F125">
        <v>1228</v>
      </c>
      <c r="G125">
        <v>700</v>
      </c>
      <c r="H125" s="119" t="s">
        <v>88</v>
      </c>
      <c r="I125">
        <v>9810</v>
      </c>
      <c r="J125" s="119" t="s">
        <v>194</v>
      </c>
      <c r="K125" s="119" t="s">
        <v>139</v>
      </c>
      <c r="L125">
        <v>4440</v>
      </c>
      <c r="M125">
        <v>4395</v>
      </c>
      <c r="N125">
        <v>200</v>
      </c>
      <c r="O125" s="119" t="s">
        <v>90</v>
      </c>
      <c r="P125">
        <v>0.95064402384951296</v>
      </c>
      <c r="Q125">
        <v>0.913168449436629</v>
      </c>
      <c r="R125">
        <v>0.25287564234860199</v>
      </c>
      <c r="S125">
        <v>8.3563882971344899E-2</v>
      </c>
      <c r="T125">
        <v>-0.109527721039753</v>
      </c>
      <c r="U125">
        <v>0.109527721039753</v>
      </c>
      <c r="V125">
        <v>-0.24</v>
      </c>
      <c r="W125">
        <v>2.21</v>
      </c>
      <c r="X125">
        <v>56182</v>
      </c>
      <c r="Y125">
        <v>3511</v>
      </c>
      <c r="Z125">
        <v>0.13</v>
      </c>
      <c r="AA125">
        <v>16</v>
      </c>
      <c r="AB125">
        <v>7</v>
      </c>
      <c r="AC125">
        <v>9</v>
      </c>
      <c r="AD125">
        <v>43.75</v>
      </c>
      <c r="AE125">
        <v>14</v>
      </c>
      <c r="AF125">
        <v>4</v>
      </c>
      <c r="AG125">
        <v>1</v>
      </c>
      <c r="AH125">
        <v>11</v>
      </c>
    </row>
    <row r="126" spans="1:34">
      <c r="A126" s="115">
        <v>194</v>
      </c>
      <c r="B126">
        <v>7211</v>
      </c>
      <c r="C126" s="119" t="s">
        <v>56</v>
      </c>
      <c r="D126" s="119" t="s">
        <v>116</v>
      </c>
      <c r="E126">
        <v>488</v>
      </c>
      <c r="F126">
        <v>493</v>
      </c>
      <c r="G126">
        <v>1600</v>
      </c>
      <c r="H126" s="119" t="s">
        <v>90</v>
      </c>
      <c r="I126">
        <v>8309</v>
      </c>
      <c r="J126" s="119" t="s">
        <v>52</v>
      </c>
      <c r="K126" s="119" t="s">
        <v>114</v>
      </c>
      <c r="L126">
        <v>3831</v>
      </c>
      <c r="M126">
        <v>3827</v>
      </c>
      <c r="N126">
        <v>200</v>
      </c>
      <c r="O126" s="119" t="s">
        <v>88</v>
      </c>
      <c r="P126">
        <v>0.955848649928012</v>
      </c>
      <c r="Q126">
        <v>0.90267548257041297</v>
      </c>
      <c r="R126">
        <v>6.5362697139904904E-2</v>
      </c>
      <c r="S126">
        <v>0.224811661395285</v>
      </c>
      <c r="T126">
        <v>0.70178858518335796</v>
      </c>
      <c r="U126">
        <v>0.70178858518335796</v>
      </c>
      <c r="V126">
        <v>1.56</v>
      </c>
      <c r="W126">
        <v>3.06</v>
      </c>
      <c r="X126">
        <v>55849</v>
      </c>
      <c r="Y126">
        <v>3103</v>
      </c>
      <c r="Z126">
        <v>0.19</v>
      </c>
      <c r="AA126">
        <v>18</v>
      </c>
      <c r="AB126">
        <v>10</v>
      </c>
      <c r="AC126">
        <v>8</v>
      </c>
      <c r="AD126">
        <v>55.56</v>
      </c>
      <c r="AE126">
        <v>14</v>
      </c>
      <c r="AF126">
        <v>6</v>
      </c>
      <c r="AG126">
        <v>3</v>
      </c>
      <c r="AH126">
        <v>9</v>
      </c>
    </row>
    <row r="127" spans="1:34">
      <c r="A127" s="115">
        <v>81</v>
      </c>
      <c r="B127">
        <v>4182</v>
      </c>
      <c r="C127" s="119" t="s">
        <v>120</v>
      </c>
      <c r="D127" s="119" t="s">
        <v>89</v>
      </c>
      <c r="E127">
        <v>1498</v>
      </c>
      <c r="F127">
        <v>1498</v>
      </c>
      <c r="G127">
        <v>700</v>
      </c>
      <c r="H127" s="119" t="s">
        <v>90</v>
      </c>
      <c r="I127">
        <v>6472</v>
      </c>
      <c r="J127" s="119" t="s">
        <v>210</v>
      </c>
      <c r="K127" s="119" t="s">
        <v>136</v>
      </c>
      <c r="L127">
        <v>326</v>
      </c>
      <c r="M127">
        <v>325</v>
      </c>
      <c r="N127">
        <v>3200</v>
      </c>
      <c r="O127" s="119" t="s">
        <v>88</v>
      </c>
      <c r="P127">
        <v>0.95842877977032603</v>
      </c>
      <c r="Q127">
        <v>0.93175007324136405</v>
      </c>
      <c r="R127">
        <v>0.117294521591711</v>
      </c>
      <c r="S127">
        <v>0.20315822897038299</v>
      </c>
      <c r="T127">
        <v>0.95207017155950602</v>
      </c>
      <c r="U127">
        <v>0.95207017155950602</v>
      </c>
      <c r="V127">
        <v>1.86</v>
      </c>
      <c r="W127">
        <v>0.82</v>
      </c>
      <c r="X127">
        <v>54769</v>
      </c>
      <c r="Y127">
        <v>3222</v>
      </c>
      <c r="Z127">
        <v>0.16</v>
      </c>
      <c r="AA127">
        <v>17</v>
      </c>
      <c r="AB127">
        <v>9</v>
      </c>
      <c r="AC127">
        <v>8</v>
      </c>
      <c r="AD127">
        <v>52.94</v>
      </c>
      <c r="AE127">
        <v>13</v>
      </c>
      <c r="AF127">
        <v>6</v>
      </c>
      <c r="AG127">
        <v>4</v>
      </c>
      <c r="AH127">
        <v>7</v>
      </c>
    </row>
    <row r="128" spans="1:34">
      <c r="A128" s="115">
        <v>60</v>
      </c>
      <c r="B128">
        <v>7167</v>
      </c>
      <c r="C128" s="119" t="s">
        <v>138</v>
      </c>
      <c r="D128" s="119" t="s">
        <v>114</v>
      </c>
      <c r="E128">
        <v>270</v>
      </c>
      <c r="F128">
        <v>264</v>
      </c>
      <c r="G128">
        <v>4000</v>
      </c>
      <c r="H128" s="119" t="s">
        <v>88</v>
      </c>
      <c r="I128">
        <v>8795</v>
      </c>
      <c r="J128" s="119" t="s">
        <v>214</v>
      </c>
      <c r="K128" s="119" t="s">
        <v>150</v>
      </c>
      <c r="L128">
        <v>1196.5</v>
      </c>
      <c r="M128">
        <v>1187.5</v>
      </c>
      <c r="N128">
        <v>900</v>
      </c>
      <c r="O128" s="119" t="s">
        <v>90</v>
      </c>
      <c r="P128">
        <v>0.94510167166499603</v>
      </c>
      <c r="Q128">
        <v>0.937065453042494</v>
      </c>
      <c r="R128">
        <v>0.22724678108372601</v>
      </c>
      <c r="S128">
        <v>0.27770552961473099</v>
      </c>
      <c r="T128">
        <v>-1.1407475642557301</v>
      </c>
      <c r="U128">
        <v>1.1407475642557301</v>
      </c>
      <c r="V128">
        <v>-3.23</v>
      </c>
      <c r="W128">
        <v>1.19</v>
      </c>
      <c r="X128">
        <v>53886</v>
      </c>
      <c r="Y128">
        <v>3592</v>
      </c>
      <c r="Z128">
        <v>0.13</v>
      </c>
      <c r="AA128">
        <v>15</v>
      </c>
      <c r="AB128">
        <v>8</v>
      </c>
      <c r="AC128">
        <v>7</v>
      </c>
      <c r="AD128">
        <v>53.33</v>
      </c>
      <c r="AE128">
        <v>15</v>
      </c>
      <c r="AF128">
        <v>2</v>
      </c>
      <c r="AG128">
        <v>1</v>
      </c>
      <c r="AH128">
        <v>12</v>
      </c>
    </row>
    <row r="129" spans="1:34">
      <c r="A129" s="115">
        <v>99</v>
      </c>
      <c r="B129">
        <v>7167</v>
      </c>
      <c r="C129" s="119" t="s">
        <v>138</v>
      </c>
      <c r="D129" s="119" t="s">
        <v>114</v>
      </c>
      <c r="E129">
        <v>270</v>
      </c>
      <c r="F129">
        <v>264</v>
      </c>
      <c r="G129">
        <v>3900</v>
      </c>
      <c r="H129" s="119" t="s">
        <v>88</v>
      </c>
      <c r="I129">
        <v>9505</v>
      </c>
      <c r="J129" s="119" t="s">
        <v>186</v>
      </c>
      <c r="K129" s="119" t="s">
        <v>187</v>
      </c>
      <c r="L129">
        <v>752</v>
      </c>
      <c r="M129">
        <v>734</v>
      </c>
      <c r="N129">
        <v>1400</v>
      </c>
      <c r="O129" s="119" t="s">
        <v>90</v>
      </c>
      <c r="P129">
        <v>0.94753831232333496</v>
      </c>
      <c r="Q129">
        <v>0.92785923527008896</v>
      </c>
      <c r="R129">
        <v>1.8233744506220399E-3</v>
      </c>
      <c r="S129">
        <v>0.111253743012351</v>
      </c>
      <c r="T129">
        <v>-0.50381433331639303</v>
      </c>
      <c r="U129">
        <v>0.50381433331639303</v>
      </c>
      <c r="V129">
        <v>-0.92</v>
      </c>
      <c r="W129">
        <v>0.19</v>
      </c>
      <c r="X129">
        <v>50326</v>
      </c>
      <c r="Y129">
        <v>2649</v>
      </c>
      <c r="Z129">
        <v>0.11</v>
      </c>
      <c r="AA129">
        <v>19</v>
      </c>
      <c r="AB129">
        <v>8</v>
      </c>
      <c r="AC129">
        <v>11</v>
      </c>
      <c r="AD129">
        <v>42.11</v>
      </c>
      <c r="AE129">
        <v>14</v>
      </c>
      <c r="AF129">
        <v>4</v>
      </c>
      <c r="AG129">
        <v>4</v>
      </c>
      <c r="AH129">
        <v>11</v>
      </c>
    </row>
    <row r="130" spans="1:34">
      <c r="A130" s="115">
        <v>79</v>
      </c>
      <c r="B130">
        <v>4005</v>
      </c>
      <c r="C130" s="119" t="s">
        <v>164</v>
      </c>
      <c r="D130" s="119" t="s">
        <v>89</v>
      </c>
      <c r="E130">
        <v>512</v>
      </c>
      <c r="F130">
        <v>507</v>
      </c>
      <c r="G130">
        <v>2000</v>
      </c>
      <c r="H130" s="119" t="s">
        <v>88</v>
      </c>
      <c r="I130">
        <v>5802</v>
      </c>
      <c r="J130" s="119" t="s">
        <v>202</v>
      </c>
      <c r="K130" s="119" t="s">
        <v>203</v>
      </c>
      <c r="L130">
        <v>1424</v>
      </c>
      <c r="M130">
        <v>1415.5</v>
      </c>
      <c r="N130">
        <v>700</v>
      </c>
      <c r="O130" s="119" t="s">
        <v>90</v>
      </c>
      <c r="P130">
        <v>0.94948592916936503</v>
      </c>
      <c r="Q130">
        <v>0.93252709549198198</v>
      </c>
      <c r="R130">
        <v>1.0221601762048E-2</v>
      </c>
      <c r="S130">
        <v>0.13977878648373199</v>
      </c>
      <c r="T130">
        <v>-0.62998388458700905</v>
      </c>
      <c r="U130">
        <v>0.62998388458700905</v>
      </c>
      <c r="V130">
        <v>-1.83</v>
      </c>
      <c r="W130">
        <v>2.34</v>
      </c>
      <c r="X130">
        <v>46076</v>
      </c>
      <c r="Y130">
        <v>3072</v>
      </c>
      <c r="Z130">
        <v>0.16</v>
      </c>
      <c r="AA130">
        <v>15</v>
      </c>
      <c r="AB130">
        <v>8</v>
      </c>
      <c r="AC130">
        <v>7</v>
      </c>
      <c r="AD130">
        <v>53.33</v>
      </c>
      <c r="AE130">
        <v>15</v>
      </c>
      <c r="AF130">
        <v>5</v>
      </c>
      <c r="AG130">
        <v>1</v>
      </c>
      <c r="AH130">
        <v>9</v>
      </c>
    </row>
    <row r="131" spans="1:34">
      <c r="A131" s="115">
        <v>139</v>
      </c>
      <c r="B131">
        <v>7180</v>
      </c>
      <c r="C131" s="119" t="s">
        <v>230</v>
      </c>
      <c r="D131" s="119" t="s">
        <v>114</v>
      </c>
      <c r="E131">
        <v>452</v>
      </c>
      <c r="F131">
        <v>444</v>
      </c>
      <c r="G131">
        <v>2400</v>
      </c>
      <c r="H131" s="119" t="s">
        <v>88</v>
      </c>
      <c r="I131">
        <v>7186</v>
      </c>
      <c r="J131" s="119" t="s">
        <v>51</v>
      </c>
      <c r="K131" s="119" t="s">
        <v>114</v>
      </c>
      <c r="L131">
        <v>421</v>
      </c>
      <c r="M131">
        <v>416</v>
      </c>
      <c r="N131">
        <v>2600</v>
      </c>
      <c r="O131" s="119" t="s">
        <v>90</v>
      </c>
      <c r="P131">
        <v>0.94079192874060202</v>
      </c>
      <c r="Q131">
        <v>0.91687121294003604</v>
      </c>
      <c r="R131">
        <v>9.3964657162020099E-2</v>
      </c>
      <c r="S131">
        <v>3.44814003170196E-2</v>
      </c>
      <c r="T131">
        <v>-0.21663200495148899</v>
      </c>
      <c r="U131">
        <v>0.21663200495148899</v>
      </c>
      <c r="V131">
        <v>-0.63</v>
      </c>
      <c r="W131">
        <v>1.5</v>
      </c>
      <c r="X131">
        <v>45296</v>
      </c>
      <c r="Y131">
        <v>2265</v>
      </c>
      <c r="Z131">
        <v>0.11</v>
      </c>
      <c r="AA131">
        <v>20</v>
      </c>
      <c r="AB131">
        <v>10</v>
      </c>
      <c r="AC131">
        <v>10</v>
      </c>
      <c r="AD131">
        <v>50</v>
      </c>
      <c r="AE131">
        <v>14</v>
      </c>
      <c r="AF131">
        <v>6</v>
      </c>
      <c r="AG131">
        <v>4</v>
      </c>
      <c r="AH131">
        <v>10</v>
      </c>
    </row>
    <row r="132" spans="1:34">
      <c r="A132" s="115">
        <v>73</v>
      </c>
      <c r="B132">
        <v>7167</v>
      </c>
      <c r="C132" s="119" t="s">
        <v>138</v>
      </c>
      <c r="D132" s="119" t="s">
        <v>114</v>
      </c>
      <c r="E132">
        <v>270</v>
      </c>
      <c r="F132">
        <v>264</v>
      </c>
      <c r="G132">
        <v>3200</v>
      </c>
      <c r="H132" s="119" t="s">
        <v>88</v>
      </c>
      <c r="I132">
        <v>7846</v>
      </c>
      <c r="J132" s="119" t="s">
        <v>181</v>
      </c>
      <c r="K132" s="119" t="s">
        <v>121</v>
      </c>
      <c r="L132">
        <v>4180</v>
      </c>
      <c r="M132">
        <v>4180</v>
      </c>
      <c r="N132">
        <v>200</v>
      </c>
      <c r="O132" s="119" t="s">
        <v>90</v>
      </c>
      <c r="P132">
        <v>0.942846418195461</v>
      </c>
      <c r="Q132">
        <v>0.93465421849944696</v>
      </c>
      <c r="R132">
        <v>6.4088302020456501E-3</v>
      </c>
      <c r="S132">
        <v>0.10790227263926901</v>
      </c>
      <c r="T132">
        <v>-2.2937678321317199</v>
      </c>
      <c r="U132">
        <v>2.2937678321317199</v>
      </c>
      <c r="V132">
        <v>-5.33</v>
      </c>
      <c r="W132">
        <v>1.05</v>
      </c>
      <c r="X132">
        <v>44180</v>
      </c>
      <c r="Y132">
        <v>2104</v>
      </c>
      <c r="Z132">
        <v>0.12</v>
      </c>
      <c r="AA132">
        <v>21</v>
      </c>
      <c r="AB132">
        <v>10</v>
      </c>
      <c r="AC132">
        <v>11</v>
      </c>
      <c r="AD132">
        <v>47.62</v>
      </c>
      <c r="AE132">
        <v>13</v>
      </c>
      <c r="AF132">
        <v>7</v>
      </c>
      <c r="AG132">
        <v>7</v>
      </c>
      <c r="AH132">
        <v>7</v>
      </c>
    </row>
    <row r="133" spans="1:34">
      <c r="A133" s="115">
        <v>55</v>
      </c>
      <c r="B133">
        <v>1333</v>
      </c>
      <c r="C133" s="119" t="s">
        <v>224</v>
      </c>
      <c r="D133" s="119" t="s">
        <v>225</v>
      </c>
      <c r="E133">
        <v>2795</v>
      </c>
      <c r="F133">
        <v>2763</v>
      </c>
      <c r="G133">
        <v>300</v>
      </c>
      <c r="H133" s="119" t="s">
        <v>90</v>
      </c>
      <c r="I133">
        <v>5401</v>
      </c>
      <c r="J133" s="119" t="s">
        <v>161</v>
      </c>
      <c r="K133" s="119" t="s">
        <v>126</v>
      </c>
      <c r="L133">
        <v>1511.5</v>
      </c>
      <c r="M133">
        <v>1512.5</v>
      </c>
      <c r="N133">
        <v>500</v>
      </c>
      <c r="O133" s="119" t="s">
        <v>88</v>
      </c>
      <c r="P133">
        <v>0.93270023471638697</v>
      </c>
      <c r="Q133">
        <v>0.93889438484299603</v>
      </c>
      <c r="R133">
        <v>3.28574212811438E-2</v>
      </c>
      <c r="S133">
        <v>9.0573173344018806E-2</v>
      </c>
      <c r="T133">
        <v>0.17427951403847</v>
      </c>
      <c r="U133">
        <v>0.17427951403847</v>
      </c>
      <c r="V133">
        <v>0.47</v>
      </c>
      <c r="W133">
        <v>8.76</v>
      </c>
      <c r="X133">
        <v>42346</v>
      </c>
      <c r="Y133">
        <v>2823</v>
      </c>
      <c r="Z133">
        <v>0.22</v>
      </c>
      <c r="AA133">
        <v>15</v>
      </c>
      <c r="AB133">
        <v>7</v>
      </c>
      <c r="AC133">
        <v>8</v>
      </c>
      <c r="AD133">
        <v>46.67</v>
      </c>
      <c r="AE133">
        <v>12</v>
      </c>
      <c r="AF133">
        <v>4</v>
      </c>
      <c r="AG133">
        <v>4</v>
      </c>
      <c r="AH133">
        <v>7</v>
      </c>
    </row>
    <row r="134" spans="1:34">
      <c r="A134" s="115">
        <v>181</v>
      </c>
      <c r="B134">
        <v>8242</v>
      </c>
      <c r="C134" s="119" t="s">
        <v>173</v>
      </c>
      <c r="D134" s="119" t="s">
        <v>130</v>
      </c>
      <c r="E134">
        <v>1251</v>
      </c>
      <c r="F134">
        <v>1228</v>
      </c>
      <c r="G134">
        <v>800</v>
      </c>
      <c r="H134" s="119" t="s">
        <v>88</v>
      </c>
      <c r="I134">
        <v>9072</v>
      </c>
      <c r="J134" s="119" t="s">
        <v>193</v>
      </c>
      <c r="K134" s="119" t="s">
        <v>170</v>
      </c>
      <c r="L134">
        <v>2605</v>
      </c>
      <c r="M134">
        <v>2573</v>
      </c>
      <c r="N134">
        <v>400</v>
      </c>
      <c r="O134" s="119" t="s">
        <v>90</v>
      </c>
      <c r="P134">
        <v>0.93913000058368101</v>
      </c>
      <c r="Q134">
        <v>0.90535141393423602</v>
      </c>
      <c r="R134">
        <v>1.16729662297189E-2</v>
      </c>
      <c r="S134">
        <v>2.36078638840031E-2</v>
      </c>
      <c r="T134">
        <v>-0.52759615344007105</v>
      </c>
      <c r="U134">
        <v>0.52759615344007105</v>
      </c>
      <c r="V134">
        <v>-1.38</v>
      </c>
      <c r="W134">
        <v>4.55</v>
      </c>
      <c r="X134">
        <v>37710</v>
      </c>
      <c r="Y134">
        <v>2357</v>
      </c>
      <c r="Z134">
        <v>0.15</v>
      </c>
      <c r="AA134">
        <v>16</v>
      </c>
      <c r="AB134">
        <v>9</v>
      </c>
      <c r="AC134">
        <v>7</v>
      </c>
      <c r="AD134">
        <v>56.25</v>
      </c>
      <c r="AE134">
        <v>14</v>
      </c>
      <c r="AF134">
        <v>5</v>
      </c>
      <c r="AG134">
        <v>3</v>
      </c>
      <c r="AH134">
        <v>8</v>
      </c>
    </row>
    <row r="135" spans="1:34">
      <c r="A135" s="115">
        <v>157</v>
      </c>
      <c r="B135">
        <v>6371</v>
      </c>
      <c r="C135" s="119" t="s">
        <v>148</v>
      </c>
      <c r="D135" s="119" t="s">
        <v>136</v>
      </c>
      <c r="E135">
        <v>3550</v>
      </c>
      <c r="F135">
        <v>3520</v>
      </c>
      <c r="G135">
        <v>200</v>
      </c>
      <c r="H135" s="119" t="s">
        <v>90</v>
      </c>
      <c r="I135">
        <v>9810</v>
      </c>
      <c r="J135" s="119" t="s">
        <v>194</v>
      </c>
      <c r="K135" s="119" t="s">
        <v>139</v>
      </c>
      <c r="L135">
        <v>4440</v>
      </c>
      <c r="M135">
        <v>4395</v>
      </c>
      <c r="N135">
        <v>200</v>
      </c>
      <c r="O135" s="119" t="s">
        <v>88</v>
      </c>
      <c r="P135">
        <v>0.93040013606653804</v>
      </c>
      <c r="Q135">
        <v>0.91237409190443197</v>
      </c>
      <c r="R135">
        <v>4.9484079024141297E-3</v>
      </c>
      <c r="S135">
        <v>0.174314130049251</v>
      </c>
      <c r="T135">
        <v>0.33698963279642502</v>
      </c>
      <c r="U135">
        <v>0.33698963279642502</v>
      </c>
      <c r="V135">
        <v>0.61</v>
      </c>
      <c r="W135">
        <v>19.91</v>
      </c>
      <c r="X135">
        <v>33202</v>
      </c>
      <c r="Y135">
        <v>8300</v>
      </c>
      <c r="Z135">
        <v>0.86</v>
      </c>
      <c r="AA135">
        <v>4</v>
      </c>
      <c r="AB135">
        <v>3</v>
      </c>
      <c r="AC135">
        <v>1</v>
      </c>
      <c r="AD135">
        <v>75</v>
      </c>
      <c r="AE135">
        <v>12</v>
      </c>
      <c r="AF135">
        <v>2</v>
      </c>
      <c r="AG135">
        <v>1</v>
      </c>
      <c r="AH135">
        <v>1</v>
      </c>
    </row>
    <row r="136" spans="1:34">
      <c r="A136" s="115">
        <v>141</v>
      </c>
      <c r="B136">
        <v>7201</v>
      </c>
      <c r="C136" s="119" t="s">
        <v>143</v>
      </c>
      <c r="D136" s="119" t="s">
        <v>116</v>
      </c>
      <c r="E136">
        <v>685.5</v>
      </c>
      <c r="F136">
        <v>685.1</v>
      </c>
      <c r="G136">
        <v>1600</v>
      </c>
      <c r="H136" s="119" t="s">
        <v>90</v>
      </c>
      <c r="I136">
        <v>8058</v>
      </c>
      <c r="J136" s="119" t="s">
        <v>235</v>
      </c>
      <c r="K136" s="119" t="s">
        <v>139</v>
      </c>
      <c r="L136">
        <v>2693</v>
      </c>
      <c r="M136">
        <v>2677.5</v>
      </c>
      <c r="N136">
        <v>400</v>
      </c>
      <c r="O136" s="119" t="s">
        <v>88</v>
      </c>
      <c r="P136">
        <v>0.92660392164896799</v>
      </c>
      <c r="Q136">
        <v>0.91604039782136604</v>
      </c>
      <c r="R136">
        <v>1.34570192856922E-2</v>
      </c>
      <c r="S136">
        <v>0.13072607148853799</v>
      </c>
      <c r="T136">
        <v>4.6988260294748403E-2</v>
      </c>
      <c r="U136">
        <v>4.6988260294748403E-2</v>
      </c>
      <c r="V136">
        <v>0.11</v>
      </c>
      <c r="W136">
        <v>2.35</v>
      </c>
      <c r="X136">
        <v>32501</v>
      </c>
      <c r="Y136">
        <v>2955</v>
      </c>
      <c r="Z136">
        <v>0.15</v>
      </c>
      <c r="AA136">
        <v>11</v>
      </c>
      <c r="AB136">
        <v>7</v>
      </c>
      <c r="AC136">
        <v>4</v>
      </c>
      <c r="AD136">
        <v>63.64</v>
      </c>
      <c r="AE136">
        <v>16</v>
      </c>
      <c r="AF136">
        <v>1</v>
      </c>
      <c r="AG136">
        <v>1</v>
      </c>
      <c r="AH136">
        <v>9</v>
      </c>
    </row>
    <row r="137" spans="1:34">
      <c r="A137" s="115">
        <v>91</v>
      </c>
      <c r="B137">
        <v>6674</v>
      </c>
      <c r="C137" s="119" t="s">
        <v>242</v>
      </c>
      <c r="D137" s="119" t="s">
        <v>119</v>
      </c>
      <c r="E137">
        <v>1898</v>
      </c>
      <c r="F137">
        <v>1890</v>
      </c>
      <c r="G137">
        <v>500</v>
      </c>
      <c r="H137" s="119" t="s">
        <v>88</v>
      </c>
      <c r="I137">
        <v>7181</v>
      </c>
      <c r="J137" s="119" t="s">
        <v>219</v>
      </c>
      <c r="K137" s="119" t="s">
        <v>150</v>
      </c>
      <c r="L137">
        <v>1680</v>
      </c>
      <c r="M137">
        <v>1667</v>
      </c>
      <c r="N137">
        <v>600</v>
      </c>
      <c r="O137" s="119" t="s">
        <v>90</v>
      </c>
      <c r="P137">
        <v>0.92659245767556597</v>
      </c>
      <c r="Q137">
        <v>0.92883339113168994</v>
      </c>
      <c r="R137">
        <v>1.5214352272520999E-2</v>
      </c>
      <c r="S137">
        <v>3.7414698057827003E-2</v>
      </c>
      <c r="T137">
        <v>-0.25736896388438701</v>
      </c>
      <c r="U137">
        <v>0.25736896388438701</v>
      </c>
      <c r="V137">
        <v>-0.89</v>
      </c>
      <c r="W137">
        <v>5.84</v>
      </c>
      <c r="X137">
        <v>32076</v>
      </c>
      <c r="Y137">
        <v>1887</v>
      </c>
      <c r="Z137">
        <v>0.1</v>
      </c>
      <c r="AA137">
        <v>17</v>
      </c>
      <c r="AB137">
        <v>10</v>
      </c>
      <c r="AC137">
        <v>7</v>
      </c>
      <c r="AD137">
        <v>58.82</v>
      </c>
      <c r="AE137">
        <v>13</v>
      </c>
      <c r="AF137">
        <v>8</v>
      </c>
      <c r="AG137">
        <v>6</v>
      </c>
      <c r="AH137">
        <v>3</v>
      </c>
    </row>
    <row r="138" spans="1:34">
      <c r="A138" s="115">
        <v>93</v>
      </c>
      <c r="B138">
        <v>6371</v>
      </c>
      <c r="C138" s="119" t="s">
        <v>148</v>
      </c>
      <c r="D138" s="119" t="s">
        <v>136</v>
      </c>
      <c r="E138">
        <v>3550</v>
      </c>
      <c r="F138">
        <v>3520</v>
      </c>
      <c r="G138">
        <v>300</v>
      </c>
      <c r="H138" s="119" t="s">
        <v>90</v>
      </c>
      <c r="I138">
        <v>6752</v>
      </c>
      <c r="J138" s="119" t="s">
        <v>144</v>
      </c>
      <c r="K138" s="119" t="s">
        <v>119</v>
      </c>
      <c r="L138">
        <v>910.6</v>
      </c>
      <c r="M138">
        <v>907</v>
      </c>
      <c r="N138">
        <v>1200</v>
      </c>
      <c r="O138" s="119" t="s">
        <v>88</v>
      </c>
      <c r="P138">
        <v>0.94142176769211605</v>
      </c>
      <c r="Q138">
        <v>0.92863797141974902</v>
      </c>
      <c r="R138">
        <v>6.1646676744225E-3</v>
      </c>
      <c r="S138">
        <v>0.102845097358841</v>
      </c>
      <c r="T138">
        <v>7.7387336761953196E-3</v>
      </c>
      <c r="U138">
        <v>7.7387336761953196E-3</v>
      </c>
      <c r="V138">
        <v>0.01</v>
      </c>
      <c r="W138">
        <v>3.07</v>
      </c>
      <c r="X138">
        <v>31718</v>
      </c>
      <c r="Y138">
        <v>1586</v>
      </c>
      <c r="Z138">
        <v>0.08</v>
      </c>
      <c r="AA138">
        <v>20</v>
      </c>
      <c r="AB138">
        <v>9</v>
      </c>
      <c r="AC138">
        <v>11</v>
      </c>
      <c r="AD138">
        <v>45</v>
      </c>
      <c r="AE138">
        <v>14</v>
      </c>
      <c r="AF138">
        <v>4</v>
      </c>
      <c r="AG138">
        <v>3</v>
      </c>
      <c r="AH138">
        <v>13</v>
      </c>
    </row>
    <row r="139" spans="1:34">
      <c r="A139" s="115">
        <v>178</v>
      </c>
      <c r="B139">
        <v>6752</v>
      </c>
      <c r="C139" s="119" t="s">
        <v>144</v>
      </c>
      <c r="D139" s="119" t="s">
        <v>119</v>
      </c>
      <c r="E139">
        <v>910.6</v>
      </c>
      <c r="F139">
        <v>907</v>
      </c>
      <c r="G139">
        <v>1200</v>
      </c>
      <c r="H139" s="119" t="s">
        <v>90</v>
      </c>
      <c r="I139">
        <v>9505</v>
      </c>
      <c r="J139" s="119" t="s">
        <v>186</v>
      </c>
      <c r="K139" s="119" t="s">
        <v>187</v>
      </c>
      <c r="L139">
        <v>752</v>
      </c>
      <c r="M139">
        <v>734</v>
      </c>
      <c r="N139">
        <v>1500</v>
      </c>
      <c r="O139" s="119" t="s">
        <v>88</v>
      </c>
      <c r="P139">
        <v>0.90423308213653197</v>
      </c>
      <c r="Q139">
        <v>0.90622338958117798</v>
      </c>
      <c r="R139">
        <v>1.8644594442393098E-2</v>
      </c>
      <c r="S139">
        <v>0.16454077127865099</v>
      </c>
      <c r="T139">
        <v>0.276572520773882</v>
      </c>
      <c r="U139">
        <v>0.276572520773882</v>
      </c>
      <c r="V139">
        <v>0.85</v>
      </c>
      <c r="W139">
        <v>1.1599999999999999</v>
      </c>
      <c r="X139">
        <v>30182</v>
      </c>
      <c r="Y139">
        <v>1372</v>
      </c>
      <c r="Z139">
        <v>0.08</v>
      </c>
      <c r="AA139">
        <v>22</v>
      </c>
      <c r="AB139">
        <v>12</v>
      </c>
      <c r="AC139">
        <v>10</v>
      </c>
      <c r="AD139">
        <v>54.55</v>
      </c>
      <c r="AE139">
        <v>13</v>
      </c>
      <c r="AF139">
        <v>6</v>
      </c>
      <c r="AG139">
        <v>6</v>
      </c>
      <c r="AH139">
        <v>10</v>
      </c>
    </row>
    <row r="140" spans="1:34">
      <c r="A140" s="115">
        <v>202</v>
      </c>
      <c r="B140">
        <v>1963</v>
      </c>
      <c r="C140" s="119" t="s">
        <v>200</v>
      </c>
      <c r="D140" s="119" t="s">
        <v>109</v>
      </c>
      <c r="E140">
        <v>1475</v>
      </c>
      <c r="F140">
        <v>1472</v>
      </c>
      <c r="G140">
        <v>700</v>
      </c>
      <c r="H140" s="119" t="s">
        <v>90</v>
      </c>
      <c r="I140">
        <v>6472</v>
      </c>
      <c r="J140" s="119" t="s">
        <v>210</v>
      </c>
      <c r="K140" s="119" t="s">
        <v>136</v>
      </c>
      <c r="L140">
        <v>326</v>
      </c>
      <c r="M140">
        <v>325</v>
      </c>
      <c r="N140">
        <v>3200</v>
      </c>
      <c r="O140" s="119" t="s">
        <v>88</v>
      </c>
      <c r="P140">
        <v>0.94447396753715396</v>
      </c>
      <c r="Q140">
        <v>0.90163015358454801</v>
      </c>
      <c r="R140">
        <v>4.0633817367926699E-2</v>
      </c>
      <c r="S140">
        <v>0.17874844707953899</v>
      </c>
      <c r="T140">
        <v>8.1686290194654301E-2</v>
      </c>
      <c r="U140">
        <v>8.1686290194654301E-2</v>
      </c>
      <c r="V140">
        <v>0.22</v>
      </c>
      <c r="W140">
        <v>0.93</v>
      </c>
      <c r="X140">
        <v>29271</v>
      </c>
      <c r="Y140">
        <v>1541</v>
      </c>
      <c r="Z140">
        <v>0.06</v>
      </c>
      <c r="AA140">
        <v>19</v>
      </c>
      <c r="AB140">
        <v>10</v>
      </c>
      <c r="AC140">
        <v>9</v>
      </c>
      <c r="AD140">
        <v>52.63</v>
      </c>
      <c r="AE140">
        <v>11</v>
      </c>
      <c r="AF140">
        <v>7</v>
      </c>
      <c r="AG140">
        <v>7</v>
      </c>
      <c r="AH140">
        <v>5</v>
      </c>
    </row>
    <row r="141" spans="1:34">
      <c r="A141" s="115">
        <v>114</v>
      </c>
      <c r="B141">
        <v>7189</v>
      </c>
      <c r="C141" s="119" t="s">
        <v>113</v>
      </c>
      <c r="D141" s="119" t="s">
        <v>114</v>
      </c>
      <c r="E141">
        <v>794</v>
      </c>
      <c r="F141">
        <v>775</v>
      </c>
      <c r="G141">
        <v>1100</v>
      </c>
      <c r="H141" s="119" t="s">
        <v>90</v>
      </c>
      <c r="I141">
        <v>9810</v>
      </c>
      <c r="J141" s="119" t="s">
        <v>194</v>
      </c>
      <c r="K141" s="119" t="s">
        <v>139</v>
      </c>
      <c r="L141">
        <v>4440</v>
      </c>
      <c r="M141">
        <v>4395</v>
      </c>
      <c r="N141">
        <v>200</v>
      </c>
      <c r="O141" s="119" t="s">
        <v>88</v>
      </c>
      <c r="P141">
        <v>0.94091810893124295</v>
      </c>
      <c r="Q141">
        <v>0.92295002196112796</v>
      </c>
      <c r="R141">
        <v>6.0197386258884399E-2</v>
      </c>
      <c r="S141">
        <v>3.4607121236912397E-2</v>
      </c>
      <c r="T141">
        <v>0.86691678268172301</v>
      </c>
      <c r="U141">
        <v>0.86691678268172301</v>
      </c>
      <c r="V141">
        <v>3.21</v>
      </c>
      <c r="W141">
        <v>3.01</v>
      </c>
      <c r="X141">
        <v>29244</v>
      </c>
      <c r="Y141">
        <v>2250</v>
      </c>
      <c r="Z141">
        <v>0.23</v>
      </c>
      <c r="AA141">
        <v>13</v>
      </c>
      <c r="AB141">
        <v>8</v>
      </c>
      <c r="AC141">
        <v>5</v>
      </c>
      <c r="AD141">
        <v>61.54</v>
      </c>
      <c r="AE141">
        <v>12</v>
      </c>
      <c r="AF141">
        <v>4</v>
      </c>
      <c r="AG141">
        <v>4</v>
      </c>
      <c r="AH141">
        <v>5</v>
      </c>
    </row>
    <row r="142" spans="1:34">
      <c r="A142" s="115">
        <v>6</v>
      </c>
      <c r="B142">
        <v>3116</v>
      </c>
      <c r="C142" s="119" t="s">
        <v>188</v>
      </c>
      <c r="D142" s="119" t="s">
        <v>116</v>
      </c>
      <c r="E142">
        <v>1546</v>
      </c>
      <c r="F142">
        <v>1530</v>
      </c>
      <c r="G142">
        <v>600</v>
      </c>
      <c r="H142" s="119" t="s">
        <v>88</v>
      </c>
      <c r="I142">
        <v>6923</v>
      </c>
      <c r="J142" s="119" t="s">
        <v>156</v>
      </c>
      <c r="K142" s="119" t="s">
        <v>119</v>
      </c>
      <c r="L142">
        <v>3015</v>
      </c>
      <c r="M142">
        <v>2954</v>
      </c>
      <c r="N142">
        <v>300</v>
      </c>
      <c r="O142" s="119" t="s">
        <v>90</v>
      </c>
      <c r="P142">
        <v>0.90784993294434502</v>
      </c>
      <c r="Q142">
        <v>0.96488612711218902</v>
      </c>
      <c r="R142">
        <v>0.28807195974171901</v>
      </c>
      <c r="S142">
        <v>1.4817601933823201E-2</v>
      </c>
      <c r="T142">
        <v>-1.7883852598474701</v>
      </c>
      <c r="U142">
        <v>1.7883852598474701</v>
      </c>
      <c r="V142">
        <v>-3.83</v>
      </c>
      <c r="W142">
        <v>3.59</v>
      </c>
      <c r="X142">
        <v>28357</v>
      </c>
      <c r="Y142">
        <v>2026</v>
      </c>
      <c r="Z142">
        <v>0.2</v>
      </c>
      <c r="AA142">
        <v>14</v>
      </c>
      <c r="AB142">
        <v>8</v>
      </c>
      <c r="AC142">
        <v>6</v>
      </c>
      <c r="AD142">
        <v>57.14</v>
      </c>
      <c r="AE142">
        <v>12</v>
      </c>
      <c r="AF142">
        <v>3</v>
      </c>
      <c r="AG142">
        <v>3</v>
      </c>
      <c r="AH142">
        <v>8</v>
      </c>
    </row>
    <row r="143" spans="1:34">
      <c r="A143" s="115">
        <v>149</v>
      </c>
      <c r="B143">
        <v>5802</v>
      </c>
      <c r="C143" s="119" t="s">
        <v>202</v>
      </c>
      <c r="D143" s="119" t="s">
        <v>203</v>
      </c>
      <c r="E143">
        <v>1424</v>
      </c>
      <c r="F143">
        <v>1415.5</v>
      </c>
      <c r="G143">
        <v>700</v>
      </c>
      <c r="H143" s="119" t="s">
        <v>90</v>
      </c>
      <c r="I143">
        <v>8385</v>
      </c>
      <c r="J143" s="119" t="s">
        <v>167</v>
      </c>
      <c r="K143" s="119" t="s">
        <v>114</v>
      </c>
      <c r="L143">
        <v>577</v>
      </c>
      <c r="M143">
        <v>569</v>
      </c>
      <c r="N143">
        <v>1700</v>
      </c>
      <c r="O143" s="119" t="s">
        <v>88</v>
      </c>
      <c r="P143">
        <v>0.91297404251581504</v>
      </c>
      <c r="Q143">
        <v>0.91347503153576204</v>
      </c>
      <c r="R143">
        <v>3.44664572929702E-4</v>
      </c>
      <c r="S143">
        <v>0.29769189137829899</v>
      </c>
      <c r="T143">
        <v>0.182085768530936</v>
      </c>
      <c r="U143">
        <v>0.182085768530936</v>
      </c>
      <c r="V143">
        <v>0.44</v>
      </c>
      <c r="W143">
        <v>2.38</v>
      </c>
      <c r="X143">
        <v>23702</v>
      </c>
      <c r="Y143">
        <v>1975</v>
      </c>
      <c r="Z143">
        <v>0.15</v>
      </c>
      <c r="AA143">
        <v>12</v>
      </c>
      <c r="AB143">
        <v>6</v>
      </c>
      <c r="AC143">
        <v>6</v>
      </c>
      <c r="AD143">
        <v>50</v>
      </c>
      <c r="AE143">
        <v>14</v>
      </c>
      <c r="AF143">
        <v>3</v>
      </c>
      <c r="AG143">
        <v>2</v>
      </c>
      <c r="AH143">
        <v>7</v>
      </c>
    </row>
    <row r="144" spans="1:34">
      <c r="A144" s="115">
        <v>16</v>
      </c>
      <c r="B144">
        <v>3105</v>
      </c>
      <c r="C144" s="119" t="s">
        <v>123</v>
      </c>
      <c r="D144" s="119" t="s">
        <v>119</v>
      </c>
      <c r="E144">
        <v>887</v>
      </c>
      <c r="F144">
        <v>873</v>
      </c>
      <c r="G144">
        <v>1300</v>
      </c>
      <c r="H144" s="119" t="s">
        <v>88</v>
      </c>
      <c r="I144">
        <v>6988</v>
      </c>
      <c r="J144" s="119" t="s">
        <v>222</v>
      </c>
      <c r="K144" s="119" t="s">
        <v>89</v>
      </c>
      <c r="L144">
        <v>5473</v>
      </c>
      <c r="M144">
        <v>5472</v>
      </c>
      <c r="N144">
        <v>200</v>
      </c>
      <c r="O144" s="119" t="s">
        <v>90</v>
      </c>
      <c r="P144">
        <v>0.91869508588699</v>
      </c>
      <c r="Q144">
        <v>0.95702791792644304</v>
      </c>
      <c r="R144">
        <v>8.9053364592098394E-2</v>
      </c>
      <c r="S144">
        <v>5.7893037696887403E-2</v>
      </c>
      <c r="T144">
        <v>-1.1237291956962299E-2</v>
      </c>
      <c r="U144">
        <v>1.1237291956962299E-2</v>
      </c>
      <c r="V144">
        <v>-0.02</v>
      </c>
      <c r="W144">
        <v>3.7</v>
      </c>
      <c r="X144">
        <v>23521</v>
      </c>
      <c r="Y144">
        <v>1384</v>
      </c>
      <c r="Z144">
        <v>-0.12</v>
      </c>
      <c r="AA144">
        <v>17</v>
      </c>
      <c r="AB144">
        <v>9</v>
      </c>
      <c r="AC144">
        <v>8</v>
      </c>
      <c r="AD144">
        <v>52.94</v>
      </c>
      <c r="AE144">
        <v>12</v>
      </c>
      <c r="AF144">
        <v>5</v>
      </c>
      <c r="AG144">
        <v>5</v>
      </c>
      <c r="AH144">
        <v>7</v>
      </c>
    </row>
    <row r="145" spans="1:34">
      <c r="A145" s="115">
        <v>115</v>
      </c>
      <c r="B145">
        <v>6481</v>
      </c>
      <c r="C145" s="119" t="s">
        <v>236</v>
      </c>
      <c r="D145" s="119" t="s">
        <v>136</v>
      </c>
      <c r="E145">
        <v>2894</v>
      </c>
      <c r="F145">
        <v>2894</v>
      </c>
      <c r="G145">
        <v>200</v>
      </c>
      <c r="H145" s="119" t="s">
        <v>88</v>
      </c>
      <c r="I145">
        <v>6856</v>
      </c>
      <c r="J145" s="119" t="s">
        <v>237</v>
      </c>
      <c r="K145" s="119" t="s">
        <v>119</v>
      </c>
      <c r="L145">
        <v>6730</v>
      </c>
      <c r="M145">
        <v>6730</v>
      </c>
      <c r="N145">
        <v>100</v>
      </c>
      <c r="O145" s="119" t="s">
        <v>90</v>
      </c>
      <c r="P145">
        <v>0.903357252543182</v>
      </c>
      <c r="Q145">
        <v>0.92184615771941203</v>
      </c>
      <c r="R145" s="20">
        <v>0.372496164824068</v>
      </c>
      <c r="S145">
        <v>4.3513694986895999E-3</v>
      </c>
      <c r="T145">
        <v>-1.70361329899936</v>
      </c>
      <c r="U145">
        <v>1.70361329899936</v>
      </c>
      <c r="V145">
        <v>-5.24</v>
      </c>
      <c r="W145">
        <v>14</v>
      </c>
      <c r="X145">
        <v>19908</v>
      </c>
      <c r="Y145">
        <v>1810</v>
      </c>
      <c r="Z145">
        <v>-0.11</v>
      </c>
      <c r="AA145">
        <v>11</v>
      </c>
      <c r="AB145">
        <v>6</v>
      </c>
      <c r="AC145">
        <v>5</v>
      </c>
      <c r="AD145">
        <v>54.55</v>
      </c>
      <c r="AE145">
        <v>12</v>
      </c>
      <c r="AF145">
        <v>5</v>
      </c>
      <c r="AG145">
        <v>3</v>
      </c>
      <c r="AH145">
        <v>3</v>
      </c>
    </row>
    <row r="146" spans="1:34">
      <c r="A146" s="115">
        <v>34</v>
      </c>
      <c r="B146">
        <v>5401</v>
      </c>
      <c r="C146" s="119" t="s">
        <v>161</v>
      </c>
      <c r="D146" s="119" t="s">
        <v>126</v>
      </c>
      <c r="E146">
        <v>1511.5</v>
      </c>
      <c r="F146">
        <v>1512.5</v>
      </c>
      <c r="G146">
        <v>700</v>
      </c>
      <c r="H146" s="119" t="s">
        <v>88</v>
      </c>
      <c r="I146">
        <v>7201</v>
      </c>
      <c r="J146" s="119" t="s">
        <v>143</v>
      </c>
      <c r="K146" s="119" t="s">
        <v>116</v>
      </c>
      <c r="L146">
        <v>685.5</v>
      </c>
      <c r="M146">
        <v>685.1</v>
      </c>
      <c r="N146">
        <v>1500</v>
      </c>
      <c r="O146" s="119" t="s">
        <v>90</v>
      </c>
      <c r="P146">
        <v>0.90404334763490302</v>
      </c>
      <c r="Q146">
        <v>0.94821912735629699</v>
      </c>
      <c r="R146">
        <v>0.356333098219417</v>
      </c>
      <c r="S146">
        <v>0.23682661618675799</v>
      </c>
      <c r="T146">
        <v>-0.76963345942198302</v>
      </c>
      <c r="U146">
        <v>0.76963345942198302</v>
      </c>
      <c r="V146">
        <v>-2.66</v>
      </c>
      <c r="W146">
        <v>2.94</v>
      </c>
      <c r="X146">
        <v>16874</v>
      </c>
      <c r="Y146">
        <v>1205</v>
      </c>
      <c r="Z146">
        <v>0.05</v>
      </c>
      <c r="AA146">
        <v>14</v>
      </c>
      <c r="AB146">
        <v>8</v>
      </c>
      <c r="AC146">
        <v>6</v>
      </c>
      <c r="AD146">
        <v>57.14</v>
      </c>
      <c r="AE146">
        <v>16</v>
      </c>
      <c r="AF146">
        <v>1</v>
      </c>
      <c r="AG146">
        <v>1</v>
      </c>
      <c r="AH146">
        <v>12</v>
      </c>
    </row>
    <row r="147" spans="1:34">
      <c r="A147" s="115">
        <v>204</v>
      </c>
      <c r="B147">
        <v>5463</v>
      </c>
      <c r="C147" s="119" t="s">
        <v>238</v>
      </c>
      <c r="D147" s="119" t="s">
        <v>126</v>
      </c>
      <c r="E147">
        <v>2824</v>
      </c>
      <c r="F147">
        <v>2800</v>
      </c>
      <c r="G147">
        <v>300</v>
      </c>
      <c r="H147" s="119" t="s">
        <v>88</v>
      </c>
      <c r="I147">
        <v>7182</v>
      </c>
      <c r="J147" s="119" t="s">
        <v>207</v>
      </c>
      <c r="K147" s="119" t="s">
        <v>114</v>
      </c>
      <c r="L147">
        <v>1056</v>
      </c>
      <c r="M147">
        <v>1048</v>
      </c>
      <c r="N147">
        <v>800</v>
      </c>
      <c r="O147" s="119" t="s">
        <v>90</v>
      </c>
      <c r="P147">
        <v>0.91866783552419795</v>
      </c>
      <c r="Q147">
        <v>0.90141985852672202</v>
      </c>
      <c r="R147">
        <v>0.29894851298007102</v>
      </c>
      <c r="S147">
        <v>0.35917145378158599</v>
      </c>
      <c r="T147">
        <v>-6.2350077362120698E-2</v>
      </c>
      <c r="U147">
        <v>6.2350077362120698E-2</v>
      </c>
      <c r="V147">
        <v>-0.12</v>
      </c>
      <c r="W147">
        <v>0.19</v>
      </c>
      <c r="X147">
        <v>15890</v>
      </c>
      <c r="Y147">
        <v>1059</v>
      </c>
      <c r="Z147">
        <v>0.02</v>
      </c>
      <c r="AA147">
        <v>15</v>
      </c>
      <c r="AB147">
        <v>7</v>
      </c>
      <c r="AC147">
        <v>8</v>
      </c>
      <c r="AD147">
        <v>46.67</v>
      </c>
      <c r="AE147">
        <v>14</v>
      </c>
      <c r="AF147">
        <v>3</v>
      </c>
      <c r="AG147">
        <v>3</v>
      </c>
      <c r="AH147">
        <v>9</v>
      </c>
    </row>
    <row r="148" spans="1:34">
      <c r="A148" s="115">
        <v>179</v>
      </c>
      <c r="B148">
        <v>6371</v>
      </c>
      <c r="C148" s="119" t="s">
        <v>148</v>
      </c>
      <c r="D148" s="119" t="s">
        <v>136</v>
      </c>
      <c r="E148">
        <v>3550</v>
      </c>
      <c r="F148">
        <v>3520</v>
      </c>
      <c r="G148">
        <v>300</v>
      </c>
      <c r="H148" s="119" t="s">
        <v>90</v>
      </c>
      <c r="I148">
        <v>7182</v>
      </c>
      <c r="J148" s="119" t="s">
        <v>207</v>
      </c>
      <c r="K148" s="119" t="s">
        <v>114</v>
      </c>
      <c r="L148">
        <v>1056</v>
      </c>
      <c r="M148">
        <v>1048</v>
      </c>
      <c r="N148">
        <v>1000</v>
      </c>
      <c r="O148" s="119" t="s">
        <v>88</v>
      </c>
      <c r="P148">
        <v>0.91705831247244796</v>
      </c>
      <c r="Q148">
        <v>0.90598376676472703</v>
      </c>
      <c r="R148">
        <v>3.5254949717990598E-2</v>
      </c>
      <c r="S148">
        <v>0.14884805383459099</v>
      </c>
      <c r="T148">
        <v>1.43419954084622</v>
      </c>
      <c r="U148">
        <v>1.43419954084622</v>
      </c>
      <c r="V148">
        <v>2.8</v>
      </c>
      <c r="W148">
        <v>0.76</v>
      </c>
      <c r="X148">
        <v>14686</v>
      </c>
      <c r="Y148">
        <v>864</v>
      </c>
      <c r="Z148">
        <v>0.06</v>
      </c>
      <c r="AA148">
        <v>17</v>
      </c>
      <c r="AB148">
        <v>9</v>
      </c>
      <c r="AC148">
        <v>8</v>
      </c>
      <c r="AD148">
        <v>52.94</v>
      </c>
      <c r="AE148">
        <v>14</v>
      </c>
      <c r="AF148">
        <v>4</v>
      </c>
      <c r="AG148">
        <v>3</v>
      </c>
      <c r="AH148">
        <v>10</v>
      </c>
    </row>
    <row r="149" spans="1:34">
      <c r="A149" s="115">
        <v>94</v>
      </c>
      <c r="B149">
        <v>4114</v>
      </c>
      <c r="C149" s="119" t="s">
        <v>239</v>
      </c>
      <c r="D149" s="119" t="s">
        <v>89</v>
      </c>
      <c r="E149">
        <v>6550</v>
      </c>
      <c r="F149">
        <v>6530</v>
      </c>
      <c r="G149">
        <v>100</v>
      </c>
      <c r="H149" s="119" t="s">
        <v>90</v>
      </c>
      <c r="I149">
        <v>5214</v>
      </c>
      <c r="J149" s="119" t="s">
        <v>199</v>
      </c>
      <c r="K149" s="119" t="s">
        <v>146</v>
      </c>
      <c r="L149">
        <v>2447</v>
      </c>
      <c r="M149">
        <v>2377</v>
      </c>
      <c r="N149">
        <v>300</v>
      </c>
      <c r="O149" s="119" t="s">
        <v>88</v>
      </c>
      <c r="P149">
        <v>0.90931943539397897</v>
      </c>
      <c r="Q149">
        <v>0.92854486672508896</v>
      </c>
      <c r="R149">
        <v>1.1086738921681301E-3</v>
      </c>
      <c r="S149">
        <v>4.1772186936218101E-4</v>
      </c>
      <c r="T149">
        <v>1.0592872860112801</v>
      </c>
      <c r="U149">
        <v>1.0592872860112801</v>
      </c>
      <c r="V149">
        <v>3.1</v>
      </c>
      <c r="W149">
        <v>9.1999999999999993</v>
      </c>
      <c r="X149">
        <v>14130</v>
      </c>
      <c r="Y149">
        <v>1570</v>
      </c>
      <c r="Z149">
        <v>0.05</v>
      </c>
      <c r="AA149">
        <v>9</v>
      </c>
      <c r="AB149">
        <v>4</v>
      </c>
      <c r="AC149">
        <v>5</v>
      </c>
      <c r="AD149">
        <v>44.44</v>
      </c>
      <c r="AE149">
        <v>11</v>
      </c>
      <c r="AF149">
        <v>3</v>
      </c>
      <c r="AG149">
        <v>3</v>
      </c>
      <c r="AH149">
        <v>3</v>
      </c>
    </row>
    <row r="150" spans="1:34">
      <c r="A150" s="115">
        <v>11</v>
      </c>
      <c r="B150">
        <v>5020</v>
      </c>
      <c r="C150" s="119" t="s">
        <v>191</v>
      </c>
      <c r="D150" s="119" t="s">
        <v>192</v>
      </c>
      <c r="E150">
        <v>490</v>
      </c>
      <c r="F150">
        <v>500.5</v>
      </c>
      <c r="G150">
        <v>2100</v>
      </c>
      <c r="H150" s="119" t="s">
        <v>88</v>
      </c>
      <c r="I150">
        <v>8795</v>
      </c>
      <c r="J150" s="119" t="s">
        <v>214</v>
      </c>
      <c r="K150" s="119" t="s">
        <v>150</v>
      </c>
      <c r="L150">
        <v>1196.5</v>
      </c>
      <c r="M150">
        <v>1187.5</v>
      </c>
      <c r="N150">
        <v>900</v>
      </c>
      <c r="O150" s="119" t="s">
        <v>90</v>
      </c>
      <c r="P150">
        <v>0.96561978651392799</v>
      </c>
      <c r="Q150">
        <v>0.960878208291158</v>
      </c>
      <c r="R150">
        <v>9.3188473413125094E-3</v>
      </c>
      <c r="S150">
        <v>9.5265387896522093E-3</v>
      </c>
      <c r="T150">
        <v>-0.72631450743956805</v>
      </c>
      <c r="U150">
        <v>0.72631450743956805</v>
      </c>
      <c r="V150">
        <v>-1.84</v>
      </c>
      <c r="W150">
        <v>1.66</v>
      </c>
      <c r="X150">
        <v>13332</v>
      </c>
      <c r="Y150">
        <v>702</v>
      </c>
      <c r="Z150">
        <v>0.02</v>
      </c>
      <c r="AA150">
        <v>19</v>
      </c>
      <c r="AB150">
        <v>10</v>
      </c>
      <c r="AC150">
        <v>9</v>
      </c>
      <c r="AD150">
        <v>52.63</v>
      </c>
      <c r="AE150">
        <v>10</v>
      </c>
      <c r="AF150">
        <v>7</v>
      </c>
      <c r="AG150">
        <v>7</v>
      </c>
      <c r="AH150">
        <v>5</v>
      </c>
    </row>
    <row r="151" spans="1:34">
      <c r="A151" s="115">
        <v>131</v>
      </c>
      <c r="B151">
        <v>4634</v>
      </c>
      <c r="C151" s="119" t="s">
        <v>223</v>
      </c>
      <c r="D151" s="119" t="s">
        <v>89</v>
      </c>
      <c r="E151">
        <v>2611</v>
      </c>
      <c r="F151">
        <v>2590</v>
      </c>
      <c r="G151">
        <v>400</v>
      </c>
      <c r="H151" s="119" t="s">
        <v>90</v>
      </c>
      <c r="I151">
        <v>6995</v>
      </c>
      <c r="J151" s="119" t="s">
        <v>124</v>
      </c>
      <c r="K151" s="119" t="s">
        <v>116</v>
      </c>
      <c r="L151">
        <v>1922</v>
      </c>
      <c r="M151">
        <v>1908</v>
      </c>
      <c r="N151">
        <v>500</v>
      </c>
      <c r="O151" s="119" t="s">
        <v>88</v>
      </c>
      <c r="P151">
        <v>0.95211031432863202</v>
      </c>
      <c r="Q151">
        <v>0.91824920357430095</v>
      </c>
      <c r="R151">
        <v>0.14075116466333101</v>
      </c>
      <c r="S151">
        <v>0.27348711563025702</v>
      </c>
      <c r="T151">
        <v>1.5173174769167901</v>
      </c>
      <c r="U151">
        <v>1.5173174769167901</v>
      </c>
      <c r="V151">
        <v>2.95</v>
      </c>
      <c r="W151">
        <v>7.92</v>
      </c>
      <c r="X151">
        <v>13172</v>
      </c>
      <c r="Y151">
        <v>878</v>
      </c>
      <c r="Z151">
        <v>-0.04</v>
      </c>
      <c r="AA151">
        <v>15</v>
      </c>
      <c r="AB151">
        <v>8</v>
      </c>
      <c r="AC151">
        <v>7</v>
      </c>
      <c r="AD151">
        <v>53.33</v>
      </c>
      <c r="AE151">
        <v>13</v>
      </c>
      <c r="AF151">
        <v>3</v>
      </c>
      <c r="AG151">
        <v>3</v>
      </c>
      <c r="AH151">
        <v>9</v>
      </c>
    </row>
    <row r="152" spans="1:34">
      <c r="A152" s="115">
        <v>75</v>
      </c>
      <c r="B152">
        <v>7327</v>
      </c>
      <c r="C152" s="119" t="s">
        <v>228</v>
      </c>
      <c r="D152" s="119" t="s">
        <v>114</v>
      </c>
      <c r="E152">
        <v>2775</v>
      </c>
      <c r="F152">
        <v>2734</v>
      </c>
      <c r="G152">
        <v>300</v>
      </c>
      <c r="H152" s="119" t="s">
        <v>90</v>
      </c>
      <c r="I152">
        <v>8316</v>
      </c>
      <c r="J152" s="119" t="s">
        <v>215</v>
      </c>
      <c r="K152" s="119" t="s">
        <v>114</v>
      </c>
      <c r="L152">
        <v>3759</v>
      </c>
      <c r="M152">
        <v>3742</v>
      </c>
      <c r="N152">
        <v>200</v>
      </c>
      <c r="O152" s="119" t="s">
        <v>88</v>
      </c>
      <c r="P152">
        <v>0.92409674903030603</v>
      </c>
      <c r="Q152">
        <v>0.93419757162027495</v>
      </c>
      <c r="R152">
        <v>9.1441627341772892E-3</v>
      </c>
      <c r="S152">
        <v>9.30308693750313E-2</v>
      </c>
      <c r="T152">
        <v>0.381520937190231</v>
      </c>
      <c r="U152">
        <v>0.381520937190231</v>
      </c>
      <c r="V152">
        <v>0.87</v>
      </c>
      <c r="W152">
        <v>9.59</v>
      </c>
      <c r="X152">
        <v>12378</v>
      </c>
      <c r="Y152">
        <v>12378</v>
      </c>
      <c r="Z152">
        <v>0.77</v>
      </c>
      <c r="AA152">
        <v>1</v>
      </c>
      <c r="AB152">
        <v>1</v>
      </c>
      <c r="AC152">
        <v>0</v>
      </c>
      <c r="AD152">
        <v>100</v>
      </c>
      <c r="AE152">
        <v>18</v>
      </c>
      <c r="AF152">
        <v>0</v>
      </c>
      <c r="AG152">
        <v>0</v>
      </c>
      <c r="AH152">
        <v>1</v>
      </c>
    </row>
    <row r="153" spans="1:34">
      <c r="A153" s="115">
        <v>102</v>
      </c>
      <c r="B153">
        <v>4005</v>
      </c>
      <c r="C153" s="119" t="s">
        <v>164</v>
      </c>
      <c r="D153" s="119" t="s">
        <v>89</v>
      </c>
      <c r="E153">
        <v>512</v>
      </c>
      <c r="F153">
        <v>507</v>
      </c>
      <c r="G153">
        <v>2100</v>
      </c>
      <c r="H153" s="119" t="s">
        <v>90</v>
      </c>
      <c r="I153">
        <v>8601</v>
      </c>
      <c r="J153" s="119" t="s">
        <v>53</v>
      </c>
      <c r="K153" s="119" t="s">
        <v>163</v>
      </c>
      <c r="L153">
        <v>490.1</v>
      </c>
      <c r="M153">
        <v>485.6</v>
      </c>
      <c r="N153">
        <v>2200</v>
      </c>
      <c r="O153" s="119" t="s">
        <v>88</v>
      </c>
      <c r="P153">
        <v>0.91489300870062096</v>
      </c>
      <c r="Q153">
        <v>0.92761003202987902</v>
      </c>
      <c r="R153">
        <v>1.7155352076203799E-2</v>
      </c>
      <c r="S153">
        <v>1.3353292448244101E-2</v>
      </c>
      <c r="T153">
        <v>0.89830201454300196</v>
      </c>
      <c r="U153">
        <v>0.89830201454300196</v>
      </c>
      <c r="V153">
        <v>1.9</v>
      </c>
      <c r="W153">
        <v>0.34</v>
      </c>
      <c r="X153">
        <v>2505</v>
      </c>
      <c r="Y153">
        <v>132</v>
      </c>
      <c r="Z153">
        <v>0</v>
      </c>
      <c r="AA153">
        <v>19</v>
      </c>
      <c r="AB153">
        <v>8</v>
      </c>
      <c r="AC153">
        <v>11</v>
      </c>
      <c r="AD153">
        <v>42.11</v>
      </c>
      <c r="AE153">
        <v>14</v>
      </c>
      <c r="AF153">
        <v>6</v>
      </c>
      <c r="AG153">
        <v>3</v>
      </c>
      <c r="AH153">
        <v>10</v>
      </c>
    </row>
    <row r="154" spans="1:34">
      <c r="A154" s="115">
        <v>92</v>
      </c>
      <c r="B154">
        <v>7278</v>
      </c>
      <c r="C154" s="119" t="s">
        <v>115</v>
      </c>
      <c r="D154" s="119" t="s">
        <v>116</v>
      </c>
      <c r="E154">
        <v>2205</v>
      </c>
      <c r="F154">
        <v>2171</v>
      </c>
      <c r="G154">
        <v>500</v>
      </c>
      <c r="H154" s="119" t="s">
        <v>90</v>
      </c>
      <c r="I154">
        <v>7327</v>
      </c>
      <c r="J154" s="119" t="s">
        <v>228</v>
      </c>
      <c r="K154" s="119" t="s">
        <v>114</v>
      </c>
      <c r="L154">
        <v>2775</v>
      </c>
      <c r="M154">
        <v>2734</v>
      </c>
      <c r="N154">
        <v>400</v>
      </c>
      <c r="O154" s="119" t="s">
        <v>88</v>
      </c>
      <c r="P154">
        <v>0.91965460388082498</v>
      </c>
      <c r="Q154">
        <v>0.92877100678737101</v>
      </c>
      <c r="R154">
        <v>0.197669827553456</v>
      </c>
      <c r="S154">
        <v>3.9600344734616599E-2</v>
      </c>
      <c r="T154">
        <v>0.10854350256107199</v>
      </c>
      <c r="U154">
        <v>0.10854350256107199</v>
      </c>
      <c r="V154">
        <v>0.22</v>
      </c>
      <c r="W154">
        <v>0.74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</row>
    <row r="155" spans="1:34">
      <c r="A155" s="115">
        <v>198</v>
      </c>
      <c r="B155">
        <v>3861</v>
      </c>
      <c r="C155" s="119" t="s">
        <v>93</v>
      </c>
      <c r="D155" s="119" t="s">
        <v>112</v>
      </c>
      <c r="E155">
        <v>548</v>
      </c>
      <c r="F155">
        <v>541</v>
      </c>
      <c r="G155">
        <v>1600</v>
      </c>
      <c r="H155" s="119" t="s">
        <v>90</v>
      </c>
      <c r="I155">
        <v>7751</v>
      </c>
      <c r="J155" s="119" t="s">
        <v>216</v>
      </c>
      <c r="K155" s="119" t="s">
        <v>119</v>
      </c>
      <c r="L155">
        <v>2913</v>
      </c>
      <c r="M155">
        <v>2904.5</v>
      </c>
      <c r="N155">
        <v>300</v>
      </c>
      <c r="O155" s="119" t="s">
        <v>88</v>
      </c>
      <c r="P155">
        <v>0.92980835528239103</v>
      </c>
      <c r="Q155">
        <v>0.90207258919032596</v>
      </c>
      <c r="R155">
        <v>0.31205918020026402</v>
      </c>
      <c r="S155">
        <v>1.6108195140876701E-2</v>
      </c>
      <c r="T155">
        <v>0.72811671334570405</v>
      </c>
      <c r="U155">
        <v>0.72811671334570405</v>
      </c>
      <c r="V155">
        <v>2.4900000000000002</v>
      </c>
      <c r="W155">
        <v>0.66</v>
      </c>
      <c r="X155">
        <v>-1977</v>
      </c>
      <c r="Y155">
        <v>-99</v>
      </c>
      <c r="Z155">
        <v>-0.02</v>
      </c>
      <c r="AA155">
        <v>20</v>
      </c>
      <c r="AB155">
        <v>11</v>
      </c>
      <c r="AC155">
        <v>9</v>
      </c>
      <c r="AD155">
        <v>55</v>
      </c>
      <c r="AE155">
        <v>14</v>
      </c>
      <c r="AF155">
        <v>4</v>
      </c>
      <c r="AG155">
        <v>5</v>
      </c>
      <c r="AH155">
        <v>11</v>
      </c>
    </row>
    <row r="156" spans="1:34">
      <c r="A156" s="115">
        <v>76</v>
      </c>
      <c r="B156">
        <v>7846</v>
      </c>
      <c r="C156" s="119" t="s">
        <v>181</v>
      </c>
      <c r="D156" s="119" t="s">
        <v>121</v>
      </c>
      <c r="E156">
        <v>4180</v>
      </c>
      <c r="F156">
        <v>4180</v>
      </c>
      <c r="G156">
        <v>200</v>
      </c>
      <c r="H156" s="119" t="s">
        <v>90</v>
      </c>
      <c r="I156">
        <v>8341</v>
      </c>
      <c r="J156" s="119" t="s">
        <v>185</v>
      </c>
      <c r="K156" s="119" t="s">
        <v>114</v>
      </c>
      <c r="L156">
        <v>1650</v>
      </c>
      <c r="M156">
        <v>1615</v>
      </c>
      <c r="N156">
        <v>500</v>
      </c>
      <c r="O156" s="119" t="s">
        <v>88</v>
      </c>
      <c r="P156">
        <v>0.91354358244699296</v>
      </c>
      <c r="Q156">
        <v>0.93413403291478803</v>
      </c>
      <c r="R156">
        <v>8.91602610872025E-2</v>
      </c>
      <c r="S156">
        <v>0.17687328969011101</v>
      </c>
      <c r="T156">
        <v>0.13157176526535699</v>
      </c>
      <c r="U156">
        <v>0.13157176526535699</v>
      </c>
      <c r="V156">
        <v>0.45</v>
      </c>
      <c r="W156">
        <v>3.41</v>
      </c>
      <c r="X156">
        <v>-2424</v>
      </c>
      <c r="Y156">
        <v>-173</v>
      </c>
      <c r="Z156">
        <v>-0.02</v>
      </c>
      <c r="AA156">
        <v>14</v>
      </c>
      <c r="AB156">
        <v>7</v>
      </c>
      <c r="AC156">
        <v>7</v>
      </c>
      <c r="AD156">
        <v>50</v>
      </c>
      <c r="AE156">
        <v>13</v>
      </c>
      <c r="AF156">
        <v>4</v>
      </c>
      <c r="AG156">
        <v>4</v>
      </c>
      <c r="AH156">
        <v>6</v>
      </c>
    </row>
    <row r="157" spans="1:34">
      <c r="A157" s="115">
        <v>167</v>
      </c>
      <c r="B157">
        <v>5406</v>
      </c>
      <c r="C157" s="119" t="s">
        <v>151</v>
      </c>
      <c r="D157" s="119" t="s">
        <v>126</v>
      </c>
      <c r="E157">
        <v>567</v>
      </c>
      <c r="F157">
        <v>562</v>
      </c>
      <c r="G157">
        <v>1700</v>
      </c>
      <c r="H157" s="119" t="s">
        <v>88</v>
      </c>
      <c r="I157">
        <v>7731</v>
      </c>
      <c r="J157" s="119" t="s">
        <v>127</v>
      </c>
      <c r="K157" s="119" t="s">
        <v>128</v>
      </c>
      <c r="L157">
        <v>1391</v>
      </c>
      <c r="M157">
        <v>1376</v>
      </c>
      <c r="N157">
        <v>700</v>
      </c>
      <c r="O157" s="119" t="s">
        <v>90</v>
      </c>
      <c r="P157">
        <v>0.94907079121548898</v>
      </c>
      <c r="Q157">
        <v>0.91030014301102502</v>
      </c>
      <c r="R157">
        <v>7.2745619314458E-4</v>
      </c>
      <c r="S157">
        <v>0.31527228004427998</v>
      </c>
      <c r="T157">
        <v>-1.2027955659984</v>
      </c>
      <c r="U157">
        <v>1.2027955659984</v>
      </c>
      <c r="V157">
        <v>-5.65</v>
      </c>
      <c r="W157">
        <v>0.81</v>
      </c>
      <c r="X157">
        <v>-3059</v>
      </c>
      <c r="Y157">
        <v>-170</v>
      </c>
      <c r="Z157">
        <v>-0.01</v>
      </c>
      <c r="AA157">
        <v>18</v>
      </c>
      <c r="AB157">
        <v>9</v>
      </c>
      <c r="AC157">
        <v>9</v>
      </c>
      <c r="AD157">
        <v>50</v>
      </c>
      <c r="AE157">
        <v>14</v>
      </c>
      <c r="AF157">
        <v>5</v>
      </c>
      <c r="AG157">
        <v>4</v>
      </c>
      <c r="AH157">
        <v>9</v>
      </c>
    </row>
    <row r="158" spans="1:34">
      <c r="A158" s="115">
        <v>206</v>
      </c>
      <c r="B158">
        <v>3591</v>
      </c>
      <c r="C158" s="119" t="s">
        <v>240</v>
      </c>
      <c r="D158" s="119" t="s">
        <v>241</v>
      </c>
      <c r="E158">
        <v>2819</v>
      </c>
      <c r="F158">
        <v>2796</v>
      </c>
      <c r="G158">
        <v>300</v>
      </c>
      <c r="H158" s="119" t="s">
        <v>90</v>
      </c>
      <c r="I158">
        <v>7167</v>
      </c>
      <c r="J158" s="119" t="s">
        <v>138</v>
      </c>
      <c r="K158" s="119" t="s">
        <v>114</v>
      </c>
      <c r="L158">
        <v>270</v>
      </c>
      <c r="M158">
        <v>264</v>
      </c>
      <c r="N158">
        <v>3200</v>
      </c>
      <c r="O158" s="119" t="s">
        <v>88</v>
      </c>
      <c r="P158">
        <v>0.938928759869746</v>
      </c>
      <c r="Q158">
        <v>0.901200423220469</v>
      </c>
      <c r="R158">
        <v>7.1236669532777505E-2</v>
      </c>
      <c r="S158">
        <v>1.8813109003431298E-2</v>
      </c>
      <c r="T158">
        <v>1.25452421370258</v>
      </c>
      <c r="U158">
        <v>1.25452421370258</v>
      </c>
      <c r="V158">
        <v>2.89</v>
      </c>
      <c r="W158">
        <v>0.72</v>
      </c>
      <c r="X158">
        <v>-3363</v>
      </c>
      <c r="Y158">
        <v>-198</v>
      </c>
      <c r="Z158">
        <v>0</v>
      </c>
      <c r="AA158">
        <v>17</v>
      </c>
      <c r="AB158">
        <v>8</v>
      </c>
      <c r="AC158">
        <v>9</v>
      </c>
      <c r="AD158">
        <v>47.06</v>
      </c>
      <c r="AE158">
        <v>15</v>
      </c>
      <c r="AF158">
        <v>3</v>
      </c>
      <c r="AG158">
        <v>2</v>
      </c>
      <c r="AH158">
        <v>12</v>
      </c>
    </row>
    <row r="159" spans="1:34">
      <c r="A159" s="115">
        <v>72</v>
      </c>
      <c r="B159">
        <v>6770</v>
      </c>
      <c r="C159" s="119" t="s">
        <v>50</v>
      </c>
      <c r="D159" s="119" t="s">
        <v>119</v>
      </c>
      <c r="E159">
        <v>2154</v>
      </c>
      <c r="F159">
        <v>2125</v>
      </c>
      <c r="G159">
        <v>500</v>
      </c>
      <c r="H159" s="119" t="s">
        <v>88</v>
      </c>
      <c r="I159">
        <v>7251</v>
      </c>
      <c r="J159" s="119" t="s">
        <v>189</v>
      </c>
      <c r="K159" s="119" t="s">
        <v>116</v>
      </c>
      <c r="L159">
        <v>1722</v>
      </c>
      <c r="M159">
        <v>1695</v>
      </c>
      <c r="N159">
        <v>600</v>
      </c>
      <c r="O159" s="119" t="s">
        <v>90</v>
      </c>
      <c r="P159">
        <v>0.95697870111234096</v>
      </c>
      <c r="Q159">
        <v>0.93475524477962402</v>
      </c>
      <c r="R159">
        <v>6.9528440495267393E-2</v>
      </c>
      <c r="S159">
        <v>0.120845820187229</v>
      </c>
      <c r="T159">
        <v>-8.6853723190971899E-2</v>
      </c>
      <c r="U159">
        <v>8.6853723190971899E-2</v>
      </c>
      <c r="V159">
        <v>-0.28000000000000003</v>
      </c>
      <c r="W159">
        <v>4.28</v>
      </c>
      <c r="X159">
        <v>-6788</v>
      </c>
      <c r="Y159">
        <v>-485</v>
      </c>
      <c r="Z159">
        <v>0.04</v>
      </c>
      <c r="AA159">
        <v>14</v>
      </c>
      <c r="AB159">
        <v>6</v>
      </c>
      <c r="AC159">
        <v>8</v>
      </c>
      <c r="AD159">
        <v>42.86</v>
      </c>
      <c r="AE159">
        <v>14</v>
      </c>
      <c r="AF159">
        <v>4</v>
      </c>
      <c r="AG159">
        <v>2</v>
      </c>
      <c r="AH159">
        <v>8</v>
      </c>
    </row>
    <row r="160" spans="1:34">
      <c r="A160" s="115">
        <v>182</v>
      </c>
      <c r="B160">
        <v>4188</v>
      </c>
      <c r="C160" s="119" t="s">
        <v>213</v>
      </c>
      <c r="D160" s="119" t="s">
        <v>89</v>
      </c>
      <c r="E160">
        <v>818.7</v>
      </c>
      <c r="F160">
        <v>814.2</v>
      </c>
      <c r="G160">
        <v>1300</v>
      </c>
      <c r="H160" s="119" t="s">
        <v>90</v>
      </c>
      <c r="I160">
        <v>8411</v>
      </c>
      <c r="J160" s="119" t="s">
        <v>174</v>
      </c>
      <c r="K160" s="119" t="s">
        <v>114</v>
      </c>
      <c r="L160">
        <v>166.6</v>
      </c>
      <c r="M160">
        <v>164.6</v>
      </c>
      <c r="N160">
        <v>6400</v>
      </c>
      <c r="O160" s="119" t="s">
        <v>88</v>
      </c>
      <c r="P160">
        <v>0.90332468555095402</v>
      </c>
      <c r="Q160">
        <v>0.90534264073510196</v>
      </c>
      <c r="R160">
        <v>1.92427620234615E-2</v>
      </c>
      <c r="S160">
        <v>4.9853569765316103E-2</v>
      </c>
      <c r="T160">
        <v>1.80095001461107</v>
      </c>
      <c r="U160">
        <v>1.80095001461107</v>
      </c>
      <c r="V160">
        <v>3.76</v>
      </c>
      <c r="W160">
        <v>0.47</v>
      </c>
      <c r="X160">
        <v>-8799</v>
      </c>
      <c r="Y160">
        <v>-463</v>
      </c>
      <c r="Z160">
        <v>-0.01</v>
      </c>
      <c r="AA160">
        <v>19</v>
      </c>
      <c r="AB160">
        <v>8</v>
      </c>
      <c r="AC160">
        <v>11</v>
      </c>
      <c r="AD160">
        <v>42.11</v>
      </c>
      <c r="AE160">
        <v>12</v>
      </c>
      <c r="AF160">
        <v>6</v>
      </c>
      <c r="AG160">
        <v>5</v>
      </c>
      <c r="AH160">
        <v>8</v>
      </c>
    </row>
    <row r="161" spans="1:34">
      <c r="A161" s="115">
        <v>25</v>
      </c>
      <c r="B161">
        <v>6471</v>
      </c>
      <c r="C161" s="119" t="s">
        <v>221</v>
      </c>
      <c r="D161" s="119" t="s">
        <v>136</v>
      </c>
      <c r="E161">
        <v>983</v>
      </c>
      <c r="F161">
        <v>978</v>
      </c>
      <c r="G161">
        <v>1000</v>
      </c>
      <c r="H161" s="119" t="s">
        <v>90</v>
      </c>
      <c r="I161">
        <v>6473</v>
      </c>
      <c r="J161" s="119" t="s">
        <v>205</v>
      </c>
      <c r="K161" s="119" t="s">
        <v>136</v>
      </c>
      <c r="L161">
        <v>1293</v>
      </c>
      <c r="M161">
        <v>1279</v>
      </c>
      <c r="N161">
        <v>800</v>
      </c>
      <c r="O161" s="119" t="s">
        <v>88</v>
      </c>
      <c r="P161">
        <v>0.95625803695226497</v>
      </c>
      <c r="Q161">
        <v>0.95145190815913805</v>
      </c>
      <c r="R161">
        <v>0.22120162916524</v>
      </c>
      <c r="S161">
        <v>4.1873454079936201E-2</v>
      </c>
      <c r="T161">
        <v>1.8975201414385501</v>
      </c>
      <c r="U161">
        <v>1.8975201414385501</v>
      </c>
      <c r="V161">
        <v>3.58</v>
      </c>
      <c r="W161">
        <v>4.42</v>
      </c>
      <c r="X161">
        <v>-10504</v>
      </c>
      <c r="Y161">
        <v>-750</v>
      </c>
      <c r="Z161">
        <v>-0.03</v>
      </c>
      <c r="AA161">
        <v>14</v>
      </c>
      <c r="AB161">
        <v>9</v>
      </c>
      <c r="AC161">
        <v>5</v>
      </c>
      <c r="AD161">
        <v>64.290000000000006</v>
      </c>
      <c r="AE161">
        <v>16</v>
      </c>
      <c r="AF161">
        <v>1</v>
      </c>
      <c r="AG161">
        <v>2</v>
      </c>
      <c r="AH161">
        <v>11</v>
      </c>
    </row>
    <row r="162" spans="1:34">
      <c r="A162" s="115">
        <v>90</v>
      </c>
      <c r="B162">
        <v>5020</v>
      </c>
      <c r="C162" s="119" t="s">
        <v>191</v>
      </c>
      <c r="D162" s="119" t="s">
        <v>192</v>
      </c>
      <c r="E162">
        <v>490</v>
      </c>
      <c r="F162">
        <v>500.5</v>
      </c>
      <c r="G162">
        <v>2200</v>
      </c>
      <c r="H162" s="119" t="s">
        <v>88</v>
      </c>
      <c r="I162">
        <v>6752</v>
      </c>
      <c r="J162" s="119" t="s">
        <v>144</v>
      </c>
      <c r="K162" s="119" t="s">
        <v>119</v>
      </c>
      <c r="L162">
        <v>910.6</v>
      </c>
      <c r="M162">
        <v>907</v>
      </c>
      <c r="N162">
        <v>1200</v>
      </c>
      <c r="O162" s="119" t="s">
        <v>90</v>
      </c>
      <c r="P162">
        <v>0.93817754468897196</v>
      </c>
      <c r="Q162">
        <v>0.92894151284556703</v>
      </c>
      <c r="R162">
        <v>4.0344379903757797E-2</v>
      </c>
      <c r="S162">
        <v>0.183630796912715</v>
      </c>
      <c r="T162">
        <v>-0.15708907462233901</v>
      </c>
      <c r="U162">
        <v>0.15708907462233901</v>
      </c>
      <c r="V162">
        <v>-0.51</v>
      </c>
      <c r="W162">
        <v>1.17</v>
      </c>
      <c r="X162">
        <v>-13992</v>
      </c>
      <c r="Y162">
        <v>-736</v>
      </c>
      <c r="Z162">
        <v>-0.05</v>
      </c>
      <c r="AA162">
        <v>19</v>
      </c>
      <c r="AB162">
        <v>8</v>
      </c>
      <c r="AC162">
        <v>11</v>
      </c>
      <c r="AD162">
        <v>42.11</v>
      </c>
      <c r="AE162">
        <v>12</v>
      </c>
      <c r="AF162">
        <v>6</v>
      </c>
      <c r="AG162">
        <v>5</v>
      </c>
      <c r="AH162">
        <v>8</v>
      </c>
    </row>
    <row r="163" spans="1:34">
      <c r="A163" s="115">
        <v>35</v>
      </c>
      <c r="B163">
        <v>5201</v>
      </c>
      <c r="C163" s="119" t="s">
        <v>198</v>
      </c>
      <c r="D163" s="119" t="s">
        <v>146</v>
      </c>
      <c r="E163">
        <v>3565</v>
      </c>
      <c r="F163">
        <v>3435</v>
      </c>
      <c r="G163">
        <v>300</v>
      </c>
      <c r="H163" s="119" t="s">
        <v>90</v>
      </c>
      <c r="I163">
        <v>7751</v>
      </c>
      <c r="J163" s="119" t="s">
        <v>216</v>
      </c>
      <c r="K163" s="119" t="s">
        <v>119</v>
      </c>
      <c r="L163">
        <v>2913</v>
      </c>
      <c r="M163">
        <v>2904.5</v>
      </c>
      <c r="N163">
        <v>400</v>
      </c>
      <c r="O163" s="119" t="s">
        <v>88</v>
      </c>
      <c r="P163">
        <v>0.90808109715783403</v>
      </c>
      <c r="Q163">
        <v>0.94777935749267395</v>
      </c>
      <c r="R163">
        <v>0.15674912955120601</v>
      </c>
      <c r="S163" s="20">
        <v>5.0119723231368103E-6</v>
      </c>
      <c r="T163">
        <v>0.86969643160120902</v>
      </c>
      <c r="U163">
        <v>0.86969643160120902</v>
      </c>
      <c r="V163">
        <v>3.3</v>
      </c>
      <c r="W163">
        <v>12.74</v>
      </c>
      <c r="X163">
        <v>-15991</v>
      </c>
      <c r="Y163">
        <v>-5330</v>
      </c>
      <c r="Z163">
        <v>-0.26</v>
      </c>
      <c r="AA163">
        <v>3</v>
      </c>
      <c r="AB163">
        <v>1</v>
      </c>
      <c r="AC163">
        <v>2</v>
      </c>
      <c r="AD163">
        <v>33.33</v>
      </c>
      <c r="AE163">
        <v>17</v>
      </c>
      <c r="AF163">
        <v>0</v>
      </c>
      <c r="AG163">
        <v>0</v>
      </c>
      <c r="AH163">
        <v>3</v>
      </c>
    </row>
    <row r="164" spans="1:34">
      <c r="A164" s="115">
        <v>86</v>
      </c>
      <c r="B164">
        <v>7186</v>
      </c>
      <c r="C164" s="119" t="s">
        <v>51</v>
      </c>
      <c r="D164" s="119" t="s">
        <v>114</v>
      </c>
      <c r="E164">
        <v>421</v>
      </c>
      <c r="F164">
        <v>416</v>
      </c>
      <c r="G164">
        <v>2300</v>
      </c>
      <c r="H164" s="119" t="s">
        <v>88</v>
      </c>
      <c r="I164">
        <v>8341</v>
      </c>
      <c r="J164" s="119" t="s">
        <v>185</v>
      </c>
      <c r="K164" s="119" t="s">
        <v>114</v>
      </c>
      <c r="L164">
        <v>1650</v>
      </c>
      <c r="M164">
        <v>1615</v>
      </c>
      <c r="N164">
        <v>600</v>
      </c>
      <c r="O164" s="119" t="s">
        <v>90</v>
      </c>
      <c r="P164">
        <v>0.96215154922645996</v>
      </c>
      <c r="Q164">
        <v>0.92988855042171203</v>
      </c>
      <c r="R164">
        <v>0.35185104488274399</v>
      </c>
      <c r="S164">
        <v>0.14171200528198899</v>
      </c>
      <c r="T164">
        <v>-0.27547853728289501</v>
      </c>
      <c r="U164">
        <v>0.27547853728289501</v>
      </c>
      <c r="V164">
        <v>-0.65</v>
      </c>
      <c r="W164">
        <v>1.26</v>
      </c>
      <c r="X164">
        <v>-16042</v>
      </c>
      <c r="Y164">
        <v>-844</v>
      </c>
      <c r="Z164">
        <v>-0.06</v>
      </c>
      <c r="AA164">
        <v>19</v>
      </c>
      <c r="AB164">
        <v>8</v>
      </c>
      <c r="AC164">
        <v>11</v>
      </c>
      <c r="AD164">
        <v>42.11</v>
      </c>
      <c r="AE164">
        <v>13</v>
      </c>
      <c r="AF164">
        <v>6</v>
      </c>
      <c r="AG164">
        <v>4</v>
      </c>
      <c r="AH164">
        <v>9</v>
      </c>
    </row>
    <row r="165" spans="1:34">
      <c r="A165" s="115">
        <v>174</v>
      </c>
      <c r="B165">
        <v>6371</v>
      </c>
      <c r="C165" s="119" t="s">
        <v>148</v>
      </c>
      <c r="D165" s="119" t="s">
        <v>136</v>
      </c>
      <c r="E165">
        <v>3550</v>
      </c>
      <c r="F165">
        <v>3520</v>
      </c>
      <c r="G165">
        <v>300</v>
      </c>
      <c r="H165" s="119" t="s">
        <v>88</v>
      </c>
      <c r="I165">
        <v>6471</v>
      </c>
      <c r="J165" s="119" t="s">
        <v>221</v>
      </c>
      <c r="K165" s="119" t="s">
        <v>136</v>
      </c>
      <c r="L165">
        <v>983</v>
      </c>
      <c r="M165">
        <v>978</v>
      </c>
      <c r="N165">
        <v>1100</v>
      </c>
      <c r="O165" s="119" t="s">
        <v>90</v>
      </c>
      <c r="P165">
        <v>0.90795616047213801</v>
      </c>
      <c r="Q165">
        <v>0.90662583620251502</v>
      </c>
      <c r="R165">
        <v>0.157888087299591</v>
      </c>
      <c r="S165">
        <v>0.19519989248217001</v>
      </c>
      <c r="T165">
        <v>-1.27067834372108</v>
      </c>
      <c r="U165">
        <v>1.27067834372108</v>
      </c>
      <c r="V165">
        <v>-3.59</v>
      </c>
      <c r="W165">
        <v>1.88</v>
      </c>
      <c r="X165">
        <v>-21974</v>
      </c>
      <c r="Y165">
        <v>-955</v>
      </c>
      <c r="Z165">
        <v>-0.08</v>
      </c>
      <c r="AA165">
        <v>23</v>
      </c>
      <c r="AB165">
        <v>11</v>
      </c>
      <c r="AC165">
        <v>12</v>
      </c>
      <c r="AD165">
        <v>47.83</v>
      </c>
      <c r="AE165">
        <v>15</v>
      </c>
      <c r="AF165">
        <v>8</v>
      </c>
      <c r="AG165">
        <v>5</v>
      </c>
      <c r="AH165">
        <v>10</v>
      </c>
    </row>
    <row r="166" spans="1:34">
      <c r="A166" s="115">
        <v>176</v>
      </c>
      <c r="B166">
        <v>4005</v>
      </c>
      <c r="C166" s="119" t="s">
        <v>164</v>
      </c>
      <c r="D166" s="119" t="s">
        <v>89</v>
      </c>
      <c r="E166">
        <v>512</v>
      </c>
      <c r="F166">
        <v>507</v>
      </c>
      <c r="G166">
        <v>2100</v>
      </c>
      <c r="H166" s="119" t="s">
        <v>88</v>
      </c>
      <c r="I166">
        <v>7186</v>
      </c>
      <c r="J166" s="119" t="s">
        <v>51</v>
      </c>
      <c r="K166" s="119" t="s">
        <v>114</v>
      </c>
      <c r="L166">
        <v>421</v>
      </c>
      <c r="M166">
        <v>416</v>
      </c>
      <c r="N166">
        <v>2600</v>
      </c>
      <c r="O166" s="119" t="s">
        <v>90</v>
      </c>
      <c r="P166">
        <v>0.90897558227530095</v>
      </c>
      <c r="Q166">
        <v>0.90627597479562305</v>
      </c>
      <c r="R166">
        <v>3.9827985419963401E-2</v>
      </c>
      <c r="S166">
        <v>0.28639433302211398</v>
      </c>
      <c r="T166">
        <v>-0.40404763522642001</v>
      </c>
      <c r="U166">
        <v>0.40404763522642001</v>
      </c>
      <c r="V166">
        <v>-1.53</v>
      </c>
      <c r="W166">
        <v>1.59</v>
      </c>
      <c r="X166">
        <v>-23574</v>
      </c>
      <c r="Y166">
        <v>-1473</v>
      </c>
      <c r="Z166">
        <v>-0.08</v>
      </c>
      <c r="AA166">
        <v>16</v>
      </c>
      <c r="AB166">
        <v>7</v>
      </c>
      <c r="AC166">
        <v>9</v>
      </c>
      <c r="AD166">
        <v>43.75</v>
      </c>
      <c r="AE166">
        <v>12</v>
      </c>
      <c r="AF166">
        <v>4</v>
      </c>
      <c r="AG166">
        <v>5</v>
      </c>
      <c r="AH166">
        <v>7</v>
      </c>
    </row>
    <row r="167" spans="1:34">
      <c r="A167" s="115">
        <v>82</v>
      </c>
      <c r="B167">
        <v>6752</v>
      </c>
      <c r="C167" s="119" t="s">
        <v>144</v>
      </c>
      <c r="D167" s="119" t="s">
        <v>119</v>
      </c>
      <c r="E167">
        <v>910.6</v>
      </c>
      <c r="F167">
        <v>907</v>
      </c>
      <c r="G167">
        <v>1200</v>
      </c>
      <c r="H167" s="119" t="s">
        <v>88</v>
      </c>
      <c r="I167">
        <v>8795</v>
      </c>
      <c r="J167" s="119" t="s">
        <v>214</v>
      </c>
      <c r="K167" s="119" t="s">
        <v>150</v>
      </c>
      <c r="L167">
        <v>1196.5</v>
      </c>
      <c r="M167">
        <v>1187.5</v>
      </c>
      <c r="N167">
        <v>900</v>
      </c>
      <c r="O167" s="119" t="s">
        <v>90</v>
      </c>
      <c r="P167">
        <v>0.96250153015683704</v>
      </c>
      <c r="Q167">
        <v>0.93138782567602196</v>
      </c>
      <c r="R167">
        <v>1.55988472593196E-2</v>
      </c>
      <c r="S167">
        <v>0.21659661574323399</v>
      </c>
      <c r="T167">
        <v>-0.51948693899142595</v>
      </c>
      <c r="U167">
        <v>0.51948693899142595</v>
      </c>
      <c r="V167">
        <v>-1.38</v>
      </c>
      <c r="W167">
        <v>1.84</v>
      </c>
      <c r="X167">
        <v>-25150</v>
      </c>
      <c r="Y167">
        <v>-1572</v>
      </c>
      <c r="Z167">
        <v>-0.03</v>
      </c>
      <c r="AA167">
        <v>16</v>
      </c>
      <c r="AB167">
        <v>7</v>
      </c>
      <c r="AC167">
        <v>9</v>
      </c>
      <c r="AD167">
        <v>43.75</v>
      </c>
      <c r="AE167">
        <v>14</v>
      </c>
      <c r="AF167">
        <v>5</v>
      </c>
      <c r="AG167">
        <v>5</v>
      </c>
      <c r="AH167">
        <v>6</v>
      </c>
    </row>
    <row r="168" spans="1:34">
      <c r="A168" s="115">
        <v>14</v>
      </c>
      <c r="B168">
        <v>1942</v>
      </c>
      <c r="C168" s="119" t="s">
        <v>108</v>
      </c>
      <c r="D168" s="119" t="s">
        <v>109</v>
      </c>
      <c r="E168">
        <v>1013</v>
      </c>
      <c r="F168">
        <v>1010</v>
      </c>
      <c r="G168">
        <v>1100</v>
      </c>
      <c r="H168" s="119" t="s">
        <v>90</v>
      </c>
      <c r="I168">
        <v>1959</v>
      </c>
      <c r="J168" s="119" t="s">
        <v>244</v>
      </c>
      <c r="K168" s="119" t="s">
        <v>109</v>
      </c>
      <c r="L168">
        <v>3560</v>
      </c>
      <c r="M168">
        <v>3555</v>
      </c>
      <c r="N168">
        <v>300</v>
      </c>
      <c r="O168" s="119" t="s">
        <v>88</v>
      </c>
      <c r="P168">
        <v>0.94064406448924998</v>
      </c>
      <c r="Q168">
        <v>0.95874585352438102</v>
      </c>
      <c r="R168">
        <v>0.100858910030935</v>
      </c>
      <c r="S168">
        <v>6.9661940857480397E-4</v>
      </c>
      <c r="T168">
        <v>1.24721238580491</v>
      </c>
      <c r="U168">
        <v>1.24721238580491</v>
      </c>
      <c r="V168">
        <v>2.02</v>
      </c>
      <c r="W168">
        <v>4.17</v>
      </c>
      <c r="X168">
        <v>-35672</v>
      </c>
      <c r="Y168">
        <v>-2744</v>
      </c>
      <c r="Z168">
        <v>-0.12</v>
      </c>
      <c r="AA168">
        <v>13</v>
      </c>
      <c r="AB168">
        <v>5</v>
      </c>
      <c r="AC168">
        <v>8</v>
      </c>
      <c r="AD168">
        <v>38.46</v>
      </c>
      <c r="AE168">
        <v>15</v>
      </c>
      <c r="AF168">
        <v>4</v>
      </c>
      <c r="AG168">
        <v>4</v>
      </c>
      <c r="AH168">
        <v>5</v>
      </c>
    </row>
    <row r="169" spans="1:34">
      <c r="A169" s="115">
        <v>104</v>
      </c>
      <c r="B169">
        <v>7189</v>
      </c>
      <c r="C169" s="119" t="s">
        <v>113</v>
      </c>
      <c r="D169" s="119" t="s">
        <v>114</v>
      </c>
      <c r="E169">
        <v>794</v>
      </c>
      <c r="F169">
        <v>775</v>
      </c>
      <c r="G169">
        <v>1400</v>
      </c>
      <c r="H169" s="119" t="s">
        <v>90</v>
      </c>
      <c r="I169">
        <v>9505</v>
      </c>
      <c r="J169" s="119" t="s">
        <v>186</v>
      </c>
      <c r="K169" s="119" t="s">
        <v>187</v>
      </c>
      <c r="L169">
        <v>752</v>
      </c>
      <c r="M169">
        <v>734</v>
      </c>
      <c r="N169">
        <v>1500</v>
      </c>
      <c r="O169" s="119" t="s">
        <v>88</v>
      </c>
      <c r="P169">
        <v>0.94020244847054002</v>
      </c>
      <c r="Q169">
        <v>0.92683195614126701</v>
      </c>
      <c r="R169">
        <v>7.0429251746985397E-3</v>
      </c>
      <c r="S169">
        <v>0.15620716749526101</v>
      </c>
      <c r="T169">
        <v>1.6537886270072799</v>
      </c>
      <c r="U169">
        <v>1.6537886270072799</v>
      </c>
      <c r="V169">
        <v>3.55</v>
      </c>
      <c r="W169">
        <v>1.47</v>
      </c>
      <c r="X169">
        <v>-38234</v>
      </c>
      <c r="Y169">
        <v>-2012</v>
      </c>
      <c r="Z169">
        <v>-0.12</v>
      </c>
      <c r="AA169">
        <v>19</v>
      </c>
      <c r="AB169">
        <v>8</v>
      </c>
      <c r="AC169">
        <v>11</v>
      </c>
      <c r="AD169">
        <v>42.11</v>
      </c>
      <c r="AE169">
        <v>12</v>
      </c>
      <c r="AF169">
        <v>6</v>
      </c>
      <c r="AG169">
        <v>7</v>
      </c>
      <c r="AH169">
        <v>6</v>
      </c>
    </row>
    <row r="170" spans="1:34">
      <c r="A170" s="115">
        <v>100</v>
      </c>
      <c r="B170">
        <v>8273</v>
      </c>
      <c r="C170" s="119" t="s">
        <v>137</v>
      </c>
      <c r="D170" s="119" t="s">
        <v>130</v>
      </c>
      <c r="E170">
        <v>4330</v>
      </c>
      <c r="F170">
        <v>4285</v>
      </c>
      <c r="G170">
        <v>200</v>
      </c>
      <c r="H170" s="119" t="s">
        <v>88</v>
      </c>
      <c r="I170">
        <v>8341</v>
      </c>
      <c r="J170" s="119" t="s">
        <v>185</v>
      </c>
      <c r="K170" s="119" t="s">
        <v>114</v>
      </c>
      <c r="L170">
        <v>1650</v>
      </c>
      <c r="M170">
        <v>1615</v>
      </c>
      <c r="N170">
        <v>500</v>
      </c>
      <c r="O170" s="119" t="s">
        <v>90</v>
      </c>
      <c r="P170">
        <v>0.93702140204065698</v>
      </c>
      <c r="Q170">
        <v>0.92774623067176398</v>
      </c>
      <c r="R170">
        <v>7.3780616799195304E-3</v>
      </c>
      <c r="S170">
        <v>0.199576624609685</v>
      </c>
      <c r="T170">
        <v>-0.78840867557891903</v>
      </c>
      <c r="U170">
        <v>0.78840867557891903</v>
      </c>
      <c r="V170">
        <v>-3.59</v>
      </c>
      <c r="W170">
        <v>5.78</v>
      </c>
      <c r="X170">
        <v>-40504</v>
      </c>
      <c r="Y170">
        <v>-3116</v>
      </c>
      <c r="Z170">
        <v>-0.01</v>
      </c>
      <c r="AA170">
        <v>13</v>
      </c>
      <c r="AB170">
        <v>7</v>
      </c>
      <c r="AC170">
        <v>6</v>
      </c>
      <c r="AD170">
        <v>53.85</v>
      </c>
      <c r="AE170">
        <v>12</v>
      </c>
      <c r="AF170">
        <v>5</v>
      </c>
      <c r="AG170">
        <v>4</v>
      </c>
      <c r="AH170">
        <v>4</v>
      </c>
    </row>
    <row r="171" spans="1:34">
      <c r="A171" s="115">
        <v>207</v>
      </c>
      <c r="B171">
        <v>4182</v>
      </c>
      <c r="C171" s="119" t="s">
        <v>120</v>
      </c>
      <c r="D171" s="119" t="s">
        <v>89</v>
      </c>
      <c r="E171">
        <v>1498</v>
      </c>
      <c r="F171">
        <v>1498</v>
      </c>
      <c r="G171">
        <v>600</v>
      </c>
      <c r="H171" s="119" t="s">
        <v>90</v>
      </c>
      <c r="I171">
        <v>5019</v>
      </c>
      <c r="J171" s="119" t="s">
        <v>234</v>
      </c>
      <c r="K171" s="119" t="s">
        <v>192</v>
      </c>
      <c r="L171">
        <v>3040</v>
      </c>
      <c r="M171">
        <v>3055</v>
      </c>
      <c r="N171">
        <v>300</v>
      </c>
      <c r="O171" s="119" t="s">
        <v>88</v>
      </c>
      <c r="P171">
        <v>0.93158336323997404</v>
      </c>
      <c r="Q171">
        <v>0.90080612589609399</v>
      </c>
      <c r="R171">
        <v>2.0692539785726299E-2</v>
      </c>
      <c r="S171">
        <v>9.8989064603991803E-2</v>
      </c>
      <c r="T171">
        <v>2.64176326757448</v>
      </c>
      <c r="U171">
        <v>2.64176326757448</v>
      </c>
      <c r="V171">
        <v>6.85</v>
      </c>
      <c r="W171">
        <v>1.93</v>
      </c>
      <c r="X171">
        <v>-44899</v>
      </c>
      <c r="Y171">
        <v>-4082</v>
      </c>
      <c r="Z171">
        <v>-0.06</v>
      </c>
      <c r="AA171">
        <v>11</v>
      </c>
      <c r="AB171">
        <v>6</v>
      </c>
      <c r="AC171">
        <v>5</v>
      </c>
      <c r="AD171">
        <v>54.55</v>
      </c>
      <c r="AE171">
        <v>12</v>
      </c>
      <c r="AF171">
        <v>5</v>
      </c>
      <c r="AG171">
        <v>4</v>
      </c>
      <c r="AH171">
        <v>2</v>
      </c>
    </row>
    <row r="172" spans="1:34">
      <c r="A172" s="115">
        <v>127</v>
      </c>
      <c r="B172">
        <v>7186</v>
      </c>
      <c r="C172" s="119" t="s">
        <v>51</v>
      </c>
      <c r="D172" s="119" t="s">
        <v>114</v>
      </c>
      <c r="E172">
        <v>421</v>
      </c>
      <c r="F172">
        <v>416</v>
      </c>
      <c r="G172">
        <v>2600</v>
      </c>
      <c r="H172" s="119" t="s">
        <v>90</v>
      </c>
      <c r="I172">
        <v>8002</v>
      </c>
      <c r="J172" s="119" t="s">
        <v>57</v>
      </c>
      <c r="K172" s="119" t="s">
        <v>139</v>
      </c>
      <c r="L172">
        <v>736.5</v>
      </c>
      <c r="M172">
        <v>731.6</v>
      </c>
      <c r="N172">
        <v>1500</v>
      </c>
      <c r="O172" s="119" t="s">
        <v>88</v>
      </c>
      <c r="P172">
        <v>0.91300992622370003</v>
      </c>
      <c r="Q172">
        <v>0.91855672461792903</v>
      </c>
      <c r="R172">
        <v>0.37966522151290899</v>
      </c>
      <c r="S172">
        <v>0.14505529985087101</v>
      </c>
      <c r="T172">
        <v>0.73429474670827899</v>
      </c>
      <c r="U172">
        <v>0.73429474670827899</v>
      </c>
      <c r="V172">
        <v>2.2200000000000002</v>
      </c>
      <c r="W172">
        <v>1.44</v>
      </c>
      <c r="X172">
        <v>-46992</v>
      </c>
      <c r="Y172">
        <v>-2764</v>
      </c>
      <c r="Z172">
        <v>-0.1</v>
      </c>
      <c r="AA172">
        <v>17</v>
      </c>
      <c r="AB172">
        <v>9</v>
      </c>
      <c r="AC172">
        <v>8</v>
      </c>
      <c r="AD172">
        <v>52.94</v>
      </c>
      <c r="AE172">
        <v>13</v>
      </c>
      <c r="AF172">
        <v>6</v>
      </c>
      <c r="AG172">
        <v>6</v>
      </c>
      <c r="AH172">
        <v>5</v>
      </c>
    </row>
    <row r="173" spans="1:34">
      <c r="A173" s="115">
        <v>12</v>
      </c>
      <c r="B173">
        <v>8341</v>
      </c>
      <c r="C173" s="119" t="s">
        <v>185</v>
      </c>
      <c r="D173" s="119" t="s">
        <v>114</v>
      </c>
      <c r="E173">
        <v>1650</v>
      </c>
      <c r="F173">
        <v>1615</v>
      </c>
      <c r="G173">
        <v>600</v>
      </c>
      <c r="H173" s="119" t="s">
        <v>88</v>
      </c>
      <c r="I173">
        <v>8750</v>
      </c>
      <c r="J173" s="119" t="s">
        <v>58</v>
      </c>
      <c r="K173" s="119" t="s">
        <v>150</v>
      </c>
      <c r="L173">
        <v>1713.5</v>
      </c>
      <c r="M173">
        <v>1713.5</v>
      </c>
      <c r="N173">
        <v>600</v>
      </c>
      <c r="O173" s="119" t="s">
        <v>90</v>
      </c>
      <c r="P173">
        <v>0.94997027633354802</v>
      </c>
      <c r="Q173">
        <v>0.96061162031809799</v>
      </c>
      <c r="R173">
        <v>2.64944124174262E-2</v>
      </c>
      <c r="S173">
        <v>0.106941898405308</v>
      </c>
      <c r="T173">
        <v>-1.2000596513570201</v>
      </c>
      <c r="U173">
        <v>1.2000596513570201</v>
      </c>
      <c r="V173">
        <v>-3.09</v>
      </c>
      <c r="W173">
        <v>5.75</v>
      </c>
      <c r="X173">
        <v>-51268</v>
      </c>
      <c r="Y173">
        <v>-2848</v>
      </c>
      <c r="Z173">
        <v>-0.09</v>
      </c>
      <c r="AA173">
        <v>18</v>
      </c>
      <c r="AB173">
        <v>10</v>
      </c>
      <c r="AC173">
        <v>8</v>
      </c>
      <c r="AD173">
        <v>55.56</v>
      </c>
      <c r="AE173">
        <v>13</v>
      </c>
      <c r="AF173">
        <v>4</v>
      </c>
      <c r="AG173">
        <v>5</v>
      </c>
      <c r="AH173">
        <v>9</v>
      </c>
    </row>
    <row r="174" spans="1:34">
      <c r="A174" s="115">
        <v>137</v>
      </c>
      <c r="B174">
        <v>4581</v>
      </c>
      <c r="C174" s="119" t="s">
        <v>217</v>
      </c>
      <c r="D174" s="119" t="s">
        <v>218</v>
      </c>
      <c r="E174">
        <v>8000</v>
      </c>
      <c r="F174">
        <v>7850</v>
      </c>
      <c r="G174">
        <v>100</v>
      </c>
      <c r="H174" s="119" t="s">
        <v>88</v>
      </c>
      <c r="I174">
        <v>5463</v>
      </c>
      <c r="J174" s="119" t="s">
        <v>238</v>
      </c>
      <c r="K174" s="119" t="s">
        <v>126</v>
      </c>
      <c r="L174">
        <v>2824</v>
      </c>
      <c r="M174">
        <v>2800</v>
      </c>
      <c r="N174">
        <v>300</v>
      </c>
      <c r="O174" s="119" t="s">
        <v>90</v>
      </c>
      <c r="P174">
        <v>0.92182939089356997</v>
      </c>
      <c r="Q174">
        <v>0.91721909834183202</v>
      </c>
      <c r="R174">
        <v>0.28307333280122898</v>
      </c>
      <c r="S174">
        <v>0.297661432504368</v>
      </c>
      <c r="T174">
        <v>-0.30838570252457098</v>
      </c>
      <c r="U174">
        <v>0.30838570252457098</v>
      </c>
      <c r="V174">
        <v>-0.64</v>
      </c>
      <c r="W174">
        <v>7.01</v>
      </c>
      <c r="X174">
        <v>-57304</v>
      </c>
      <c r="Y174">
        <v>-5209</v>
      </c>
      <c r="Z174">
        <v>-0.32</v>
      </c>
      <c r="AA174">
        <v>11</v>
      </c>
      <c r="AB174">
        <v>5</v>
      </c>
      <c r="AC174">
        <v>6</v>
      </c>
      <c r="AD174">
        <v>45.45</v>
      </c>
      <c r="AE174">
        <v>12</v>
      </c>
      <c r="AF174">
        <v>4</v>
      </c>
      <c r="AG174">
        <v>4</v>
      </c>
      <c r="AH174">
        <v>3</v>
      </c>
    </row>
    <row r="175" spans="1:34">
      <c r="A175" s="115">
        <v>168</v>
      </c>
      <c r="B175">
        <v>3105</v>
      </c>
      <c r="C175" s="119" t="s">
        <v>123</v>
      </c>
      <c r="D175" s="119" t="s">
        <v>119</v>
      </c>
      <c r="E175">
        <v>887</v>
      </c>
      <c r="F175">
        <v>873</v>
      </c>
      <c r="G175">
        <v>1200</v>
      </c>
      <c r="H175" s="119" t="s">
        <v>90</v>
      </c>
      <c r="I175">
        <v>8002</v>
      </c>
      <c r="J175" s="119" t="s">
        <v>57</v>
      </c>
      <c r="K175" s="119" t="s">
        <v>139</v>
      </c>
      <c r="L175">
        <v>736.5</v>
      </c>
      <c r="M175">
        <v>731.6</v>
      </c>
      <c r="N175">
        <v>1400</v>
      </c>
      <c r="O175" s="119" t="s">
        <v>88</v>
      </c>
      <c r="P175">
        <v>0.91697138951830903</v>
      </c>
      <c r="Q175">
        <v>0.91012142037596899</v>
      </c>
      <c r="R175">
        <v>5.1895546815287297E-2</v>
      </c>
      <c r="S175">
        <v>0.37563279905284103</v>
      </c>
      <c r="T175">
        <v>1.0414507082086</v>
      </c>
      <c r="U175">
        <v>1.0414507082086</v>
      </c>
      <c r="V175">
        <v>2.2999999999999998</v>
      </c>
      <c r="W175">
        <v>2.23</v>
      </c>
      <c r="X175">
        <v>-60424</v>
      </c>
      <c r="Y175">
        <v>-4316</v>
      </c>
      <c r="Z175">
        <v>-0.23</v>
      </c>
      <c r="AA175">
        <v>14</v>
      </c>
      <c r="AB175">
        <v>6</v>
      </c>
      <c r="AC175">
        <v>8</v>
      </c>
      <c r="AD175">
        <v>42.86</v>
      </c>
      <c r="AE175">
        <v>13</v>
      </c>
      <c r="AF175">
        <v>3</v>
      </c>
      <c r="AG175">
        <v>5</v>
      </c>
      <c r="AH175">
        <v>6</v>
      </c>
    </row>
    <row r="176" spans="1:34">
      <c r="A176" s="115">
        <v>110</v>
      </c>
      <c r="B176">
        <v>4182</v>
      </c>
      <c r="C176" s="119" t="s">
        <v>120</v>
      </c>
      <c r="D176" s="119" t="s">
        <v>89</v>
      </c>
      <c r="E176">
        <v>1498</v>
      </c>
      <c r="F176">
        <v>1498</v>
      </c>
      <c r="G176">
        <v>700</v>
      </c>
      <c r="H176" s="119" t="s">
        <v>90</v>
      </c>
      <c r="I176">
        <v>7167</v>
      </c>
      <c r="J176" s="119" t="s">
        <v>138</v>
      </c>
      <c r="K176" s="119" t="s">
        <v>114</v>
      </c>
      <c r="L176">
        <v>270</v>
      </c>
      <c r="M176">
        <v>264</v>
      </c>
      <c r="N176">
        <v>4000</v>
      </c>
      <c r="O176" s="119" t="s">
        <v>88</v>
      </c>
      <c r="P176">
        <v>0.92843192060758795</v>
      </c>
      <c r="Q176">
        <v>0.92484365991678696</v>
      </c>
      <c r="R176">
        <v>0.250096138179217</v>
      </c>
      <c r="S176">
        <v>0.28185991790562598</v>
      </c>
      <c r="T176">
        <v>2.27891741998361</v>
      </c>
      <c r="U176">
        <v>2.27891741998361</v>
      </c>
      <c r="V176">
        <v>6.94</v>
      </c>
      <c r="W176">
        <v>0.71</v>
      </c>
      <c r="X176">
        <v>-64227</v>
      </c>
      <c r="Y176">
        <v>-4014</v>
      </c>
      <c r="Z176">
        <v>-0.26</v>
      </c>
      <c r="AA176">
        <v>16</v>
      </c>
      <c r="AB176">
        <v>9</v>
      </c>
      <c r="AC176">
        <v>7</v>
      </c>
      <c r="AD176">
        <v>56.25</v>
      </c>
      <c r="AE176">
        <v>15</v>
      </c>
      <c r="AF176">
        <v>3</v>
      </c>
      <c r="AG176">
        <v>4</v>
      </c>
      <c r="AH176">
        <v>9</v>
      </c>
    </row>
    <row r="177" spans="1:34">
      <c r="A177" s="115">
        <v>197</v>
      </c>
      <c r="B177">
        <v>3405</v>
      </c>
      <c r="C177" s="119" t="s">
        <v>182</v>
      </c>
      <c r="D177" s="119" t="s">
        <v>89</v>
      </c>
      <c r="E177">
        <v>1372</v>
      </c>
      <c r="F177">
        <v>1337</v>
      </c>
      <c r="G177">
        <v>700</v>
      </c>
      <c r="H177" s="119" t="s">
        <v>88</v>
      </c>
      <c r="I177">
        <v>4631</v>
      </c>
      <c r="J177" s="119" t="s">
        <v>209</v>
      </c>
      <c r="K177" s="119" t="s">
        <v>89</v>
      </c>
      <c r="L177">
        <v>3125</v>
      </c>
      <c r="M177">
        <v>3110</v>
      </c>
      <c r="N177">
        <v>300</v>
      </c>
      <c r="O177" s="119" t="s">
        <v>90</v>
      </c>
      <c r="P177">
        <v>0.94794601638415499</v>
      </c>
      <c r="Q177">
        <v>0.90220633509043902</v>
      </c>
      <c r="R177">
        <v>0.28481739998758099</v>
      </c>
      <c r="S177">
        <v>0.27973540268375302</v>
      </c>
      <c r="T177">
        <v>-2.0103616078682802</v>
      </c>
      <c r="U177">
        <v>2.0103616078682802</v>
      </c>
      <c r="V177">
        <v>-3.52</v>
      </c>
      <c r="W177">
        <v>0.31</v>
      </c>
      <c r="X177">
        <v>-65496</v>
      </c>
      <c r="Y177">
        <v>-4366</v>
      </c>
      <c r="Z177">
        <v>-0.25</v>
      </c>
      <c r="AA177">
        <v>15</v>
      </c>
      <c r="AB177">
        <v>7</v>
      </c>
      <c r="AC177">
        <v>8</v>
      </c>
      <c r="AD177">
        <v>46.67</v>
      </c>
      <c r="AE177">
        <v>14</v>
      </c>
      <c r="AF177">
        <v>3</v>
      </c>
      <c r="AG177">
        <v>4</v>
      </c>
      <c r="AH177">
        <v>8</v>
      </c>
    </row>
    <row r="178" spans="1:34">
      <c r="A178" s="115">
        <v>129</v>
      </c>
      <c r="B178">
        <v>5233</v>
      </c>
      <c r="C178" s="119" t="s">
        <v>247</v>
      </c>
      <c r="D178" s="119" t="s">
        <v>146</v>
      </c>
      <c r="E178">
        <v>3060</v>
      </c>
      <c r="F178">
        <v>3105</v>
      </c>
      <c r="G178">
        <v>300</v>
      </c>
      <c r="H178" s="119" t="s">
        <v>90</v>
      </c>
      <c r="I178">
        <v>7261</v>
      </c>
      <c r="J178" s="119" t="s">
        <v>229</v>
      </c>
      <c r="K178" s="119" t="s">
        <v>116</v>
      </c>
      <c r="L178">
        <v>990</v>
      </c>
      <c r="M178">
        <v>999.1</v>
      </c>
      <c r="N178">
        <v>900</v>
      </c>
      <c r="O178" s="119" t="s">
        <v>88</v>
      </c>
      <c r="P178">
        <v>0.94196056366199099</v>
      </c>
      <c r="Q178">
        <v>0.91844918933505704</v>
      </c>
      <c r="R178">
        <v>4.5792697020711202E-4</v>
      </c>
      <c r="S178">
        <v>0.113822068992827</v>
      </c>
      <c r="T178">
        <v>1.9482007921872899</v>
      </c>
      <c r="U178">
        <v>1.9482007921872899</v>
      </c>
      <c r="V178">
        <v>5.05</v>
      </c>
      <c r="W178">
        <v>3.47</v>
      </c>
      <c r="X178">
        <v>-68796</v>
      </c>
      <c r="Y178">
        <v>-3276</v>
      </c>
      <c r="Z178">
        <v>-7.0000000000000007E-2</v>
      </c>
      <c r="AA178">
        <v>21</v>
      </c>
      <c r="AB178">
        <v>12</v>
      </c>
      <c r="AC178">
        <v>9</v>
      </c>
      <c r="AD178">
        <v>57.14</v>
      </c>
      <c r="AE178">
        <v>12</v>
      </c>
      <c r="AF178">
        <v>7</v>
      </c>
      <c r="AG178">
        <v>6</v>
      </c>
      <c r="AH178">
        <v>8</v>
      </c>
    </row>
    <row r="179" spans="1:34">
      <c r="A179" s="115">
        <v>28</v>
      </c>
      <c r="B179">
        <v>1333</v>
      </c>
      <c r="C179" s="119" t="s">
        <v>224</v>
      </c>
      <c r="D179" s="119" t="s">
        <v>225</v>
      </c>
      <c r="E179">
        <v>2795</v>
      </c>
      <c r="F179">
        <v>2763</v>
      </c>
      <c r="G179">
        <v>300</v>
      </c>
      <c r="H179" s="119" t="s">
        <v>90</v>
      </c>
      <c r="I179">
        <v>5406</v>
      </c>
      <c r="J179" s="119" t="s">
        <v>151</v>
      </c>
      <c r="K179" s="119" t="s">
        <v>126</v>
      </c>
      <c r="L179">
        <v>567</v>
      </c>
      <c r="M179">
        <v>562</v>
      </c>
      <c r="N179">
        <v>1500</v>
      </c>
      <c r="O179" s="119" t="s">
        <v>88</v>
      </c>
      <c r="P179">
        <v>0.93432166435464203</v>
      </c>
      <c r="Q179">
        <v>0.95070008621612301</v>
      </c>
      <c r="R179">
        <v>0.22555469819451399</v>
      </c>
      <c r="S179">
        <v>1.0534344068263301E-2</v>
      </c>
      <c r="T179">
        <v>0.80754240812995903</v>
      </c>
      <c r="U179">
        <v>0.80754240812995903</v>
      </c>
      <c r="V179">
        <v>3.13</v>
      </c>
      <c r="W179">
        <v>1.7</v>
      </c>
      <c r="X179">
        <v>-71417</v>
      </c>
      <c r="Y179">
        <v>-3759</v>
      </c>
      <c r="Z179">
        <v>-0.26</v>
      </c>
      <c r="AA179">
        <v>19</v>
      </c>
      <c r="AB179">
        <v>11</v>
      </c>
      <c r="AC179">
        <v>8</v>
      </c>
      <c r="AD179">
        <v>57.89</v>
      </c>
      <c r="AE179">
        <v>8</v>
      </c>
      <c r="AF179">
        <v>10</v>
      </c>
      <c r="AG179">
        <v>8</v>
      </c>
      <c r="AH179">
        <v>1</v>
      </c>
    </row>
    <row r="180" spans="1:34">
      <c r="A180" s="115">
        <v>27</v>
      </c>
      <c r="B180">
        <v>3099</v>
      </c>
      <c r="C180" s="119" t="s">
        <v>91</v>
      </c>
      <c r="D180" s="119" t="s">
        <v>130</v>
      </c>
      <c r="E180">
        <v>879</v>
      </c>
      <c r="F180">
        <v>872</v>
      </c>
      <c r="G180">
        <v>1200</v>
      </c>
      <c r="H180" s="119" t="s">
        <v>90</v>
      </c>
      <c r="I180">
        <v>9505</v>
      </c>
      <c r="J180" s="119" t="s">
        <v>186</v>
      </c>
      <c r="K180" s="119" t="s">
        <v>187</v>
      </c>
      <c r="L180">
        <v>752</v>
      </c>
      <c r="M180">
        <v>734</v>
      </c>
      <c r="N180">
        <v>1400</v>
      </c>
      <c r="O180" s="119" t="s">
        <v>88</v>
      </c>
      <c r="P180">
        <v>0.92437855771232302</v>
      </c>
      <c r="Q180">
        <v>0.95078646124723398</v>
      </c>
      <c r="R180">
        <v>1.2664284520506599E-2</v>
      </c>
      <c r="S180">
        <v>0.166906616334522</v>
      </c>
      <c r="T180">
        <v>0.26544526379005201</v>
      </c>
      <c r="U180">
        <v>0.26544526379005201</v>
      </c>
      <c r="V180">
        <v>0.66</v>
      </c>
      <c r="W180">
        <v>1.8</v>
      </c>
      <c r="X180">
        <v>-73239</v>
      </c>
      <c r="Y180">
        <v>-3329</v>
      </c>
      <c r="Z180">
        <v>-0.17</v>
      </c>
      <c r="AA180">
        <v>22</v>
      </c>
      <c r="AB180">
        <v>11</v>
      </c>
      <c r="AC180">
        <v>11</v>
      </c>
      <c r="AD180">
        <v>50</v>
      </c>
      <c r="AE180">
        <v>10</v>
      </c>
      <c r="AF180">
        <v>9</v>
      </c>
      <c r="AG180">
        <v>9</v>
      </c>
      <c r="AH180">
        <v>4</v>
      </c>
    </row>
    <row r="181" spans="1:34">
      <c r="A181" s="115">
        <v>134</v>
      </c>
      <c r="B181">
        <v>2784</v>
      </c>
      <c r="C181" s="119" t="s">
        <v>243</v>
      </c>
      <c r="D181" s="119" t="s">
        <v>139</v>
      </c>
      <c r="E181">
        <v>2461</v>
      </c>
      <c r="F181">
        <v>2428</v>
      </c>
      <c r="G181">
        <v>400</v>
      </c>
      <c r="H181" s="119" t="s">
        <v>90</v>
      </c>
      <c r="I181">
        <v>6178</v>
      </c>
      <c r="J181" s="119" t="s">
        <v>171</v>
      </c>
      <c r="K181" s="119" t="s">
        <v>172</v>
      </c>
      <c r="L181">
        <v>990</v>
      </c>
      <c r="M181">
        <v>983</v>
      </c>
      <c r="N181">
        <v>1000</v>
      </c>
      <c r="O181" s="119" t="s">
        <v>88</v>
      </c>
      <c r="P181">
        <v>0.91363391656077997</v>
      </c>
      <c r="Q181">
        <v>0.918002623052939</v>
      </c>
      <c r="R181">
        <v>1.94607623589331E-3</v>
      </c>
      <c r="S181" s="20">
        <v>0.14332954779884299</v>
      </c>
      <c r="T181">
        <v>0.62742848942573903</v>
      </c>
      <c r="U181">
        <v>0.62742848942573903</v>
      </c>
      <c r="V181">
        <v>2.11</v>
      </c>
      <c r="W181">
        <v>1.21</v>
      </c>
      <c r="X181">
        <v>-75218</v>
      </c>
      <c r="Y181">
        <v>-3959</v>
      </c>
      <c r="Z181">
        <v>-0.2</v>
      </c>
      <c r="AA181">
        <v>19</v>
      </c>
      <c r="AB181">
        <v>10</v>
      </c>
      <c r="AC181">
        <v>9</v>
      </c>
      <c r="AD181">
        <v>52.63</v>
      </c>
      <c r="AE181">
        <v>14</v>
      </c>
      <c r="AF181">
        <v>4</v>
      </c>
      <c r="AG181">
        <v>5</v>
      </c>
      <c r="AH181">
        <v>10</v>
      </c>
    </row>
    <row r="182" spans="1:34">
      <c r="A182" s="115">
        <v>140</v>
      </c>
      <c r="B182">
        <v>5411</v>
      </c>
      <c r="C182" s="119" t="s">
        <v>125</v>
      </c>
      <c r="D182" s="119" t="s">
        <v>126</v>
      </c>
      <c r="E182">
        <v>1311</v>
      </c>
      <c r="F182">
        <v>1301.5</v>
      </c>
      <c r="G182">
        <v>800</v>
      </c>
      <c r="H182" s="119" t="s">
        <v>88</v>
      </c>
      <c r="I182">
        <v>8058</v>
      </c>
      <c r="J182" s="119" t="s">
        <v>235</v>
      </c>
      <c r="K182" s="119" t="s">
        <v>139</v>
      </c>
      <c r="L182">
        <v>2693</v>
      </c>
      <c r="M182">
        <v>2677.5</v>
      </c>
      <c r="N182">
        <v>400</v>
      </c>
      <c r="O182" s="119" t="s">
        <v>90</v>
      </c>
      <c r="P182">
        <v>0.946887170898839</v>
      </c>
      <c r="Q182">
        <v>0.91683896772854001</v>
      </c>
      <c r="R182">
        <v>0.394989082264807</v>
      </c>
      <c r="S182">
        <v>0.223301339922794</v>
      </c>
      <c r="T182">
        <v>-0.36027434173554701</v>
      </c>
      <c r="U182">
        <v>0.36027434173554701</v>
      </c>
      <c r="V182">
        <v>-1.67</v>
      </c>
      <c r="W182">
        <v>2.78</v>
      </c>
      <c r="X182">
        <v>-84707</v>
      </c>
      <c r="Y182">
        <v>-4983</v>
      </c>
      <c r="Z182">
        <v>-0.28000000000000003</v>
      </c>
      <c r="AA182">
        <v>17</v>
      </c>
      <c r="AB182">
        <v>8</v>
      </c>
      <c r="AC182">
        <v>9</v>
      </c>
      <c r="AD182">
        <v>47.06</v>
      </c>
      <c r="AE182">
        <v>14</v>
      </c>
      <c r="AF182">
        <v>3</v>
      </c>
      <c r="AG182">
        <v>6</v>
      </c>
      <c r="AH182">
        <v>8</v>
      </c>
    </row>
    <row r="183" spans="1:34">
      <c r="A183" s="115">
        <v>180</v>
      </c>
      <c r="B183">
        <v>4061</v>
      </c>
      <c r="C183" s="119" t="s">
        <v>176</v>
      </c>
      <c r="D183" s="119" t="s">
        <v>89</v>
      </c>
      <c r="E183">
        <v>3095</v>
      </c>
      <c r="F183">
        <v>3050</v>
      </c>
      <c r="G183">
        <v>300</v>
      </c>
      <c r="H183" s="119" t="s">
        <v>90</v>
      </c>
      <c r="I183">
        <v>8377</v>
      </c>
      <c r="J183" s="119" t="s">
        <v>129</v>
      </c>
      <c r="K183" s="119" t="s">
        <v>114</v>
      </c>
      <c r="L183">
        <v>1061</v>
      </c>
      <c r="M183">
        <v>1041</v>
      </c>
      <c r="N183">
        <v>900</v>
      </c>
      <c r="O183" s="119" t="s">
        <v>88</v>
      </c>
      <c r="P183">
        <v>0.94015997477137603</v>
      </c>
      <c r="Q183">
        <v>0.90540003345299203</v>
      </c>
      <c r="R183">
        <v>2.2436129590465301E-2</v>
      </c>
      <c r="S183">
        <v>3.0841115658121199E-2</v>
      </c>
      <c r="T183">
        <v>1.1229034205664401</v>
      </c>
      <c r="U183">
        <v>1.1229034205664401</v>
      </c>
      <c r="V183">
        <v>2.63</v>
      </c>
      <c r="W183">
        <v>2.39</v>
      </c>
      <c r="X183">
        <v>-85011</v>
      </c>
      <c r="Y183">
        <v>-4474</v>
      </c>
      <c r="Z183">
        <v>-0.17</v>
      </c>
      <c r="AA183">
        <v>19</v>
      </c>
      <c r="AB183">
        <v>10</v>
      </c>
      <c r="AC183">
        <v>9</v>
      </c>
      <c r="AD183">
        <v>52.63</v>
      </c>
      <c r="AE183">
        <v>11</v>
      </c>
      <c r="AF183">
        <v>8</v>
      </c>
      <c r="AG183">
        <v>7</v>
      </c>
      <c r="AH183">
        <v>4</v>
      </c>
    </row>
    <row r="184" spans="1:34">
      <c r="A184" s="115">
        <v>13</v>
      </c>
      <c r="B184">
        <v>7976</v>
      </c>
      <c r="C184" s="119" t="s">
        <v>245</v>
      </c>
      <c r="D184" s="119" t="s">
        <v>121</v>
      </c>
      <c r="E184">
        <v>1777</v>
      </c>
      <c r="F184">
        <v>1779</v>
      </c>
      <c r="G184">
        <v>600</v>
      </c>
      <c r="H184" s="119" t="s">
        <v>90</v>
      </c>
      <c r="I184">
        <v>9603</v>
      </c>
      <c r="J184" s="119" t="s">
        <v>246</v>
      </c>
      <c r="K184" s="119" t="s">
        <v>172</v>
      </c>
      <c r="L184">
        <v>2720</v>
      </c>
      <c r="M184">
        <v>2710</v>
      </c>
      <c r="N184">
        <v>400</v>
      </c>
      <c r="O184" s="119" t="s">
        <v>88</v>
      </c>
      <c r="P184">
        <v>0.91875911354693995</v>
      </c>
      <c r="Q184">
        <v>0.96023286348513504</v>
      </c>
      <c r="R184" s="20">
        <v>3.6533014004165697E-5</v>
      </c>
      <c r="S184">
        <v>3.2615004174355297E-2</v>
      </c>
      <c r="T184">
        <v>1.80841712430746</v>
      </c>
      <c r="U184">
        <v>1.80841712430746</v>
      </c>
      <c r="V184">
        <v>3.18</v>
      </c>
      <c r="W184">
        <v>1.53</v>
      </c>
      <c r="X184">
        <v>-88313</v>
      </c>
      <c r="Y184">
        <v>-6793</v>
      </c>
      <c r="Z184">
        <v>-0.37</v>
      </c>
      <c r="AA184">
        <v>13</v>
      </c>
      <c r="AB184">
        <v>7</v>
      </c>
      <c r="AC184">
        <v>6</v>
      </c>
      <c r="AD184">
        <v>53.85</v>
      </c>
      <c r="AE184">
        <v>13</v>
      </c>
      <c r="AF184">
        <v>4</v>
      </c>
      <c r="AG184">
        <v>5</v>
      </c>
      <c r="AH184">
        <v>4</v>
      </c>
    </row>
    <row r="185" spans="1:34">
      <c r="A185" s="115">
        <v>80</v>
      </c>
      <c r="B185">
        <v>4208</v>
      </c>
      <c r="C185" s="119" t="s">
        <v>133</v>
      </c>
      <c r="D185" s="119" t="s">
        <v>89</v>
      </c>
      <c r="E185">
        <v>2266</v>
      </c>
      <c r="F185">
        <v>2255</v>
      </c>
      <c r="G185">
        <v>400</v>
      </c>
      <c r="H185" s="119" t="s">
        <v>88</v>
      </c>
      <c r="I185">
        <v>5803</v>
      </c>
      <c r="J185" s="119" t="s">
        <v>54</v>
      </c>
      <c r="K185" s="119" t="s">
        <v>203</v>
      </c>
      <c r="L185">
        <v>446</v>
      </c>
      <c r="M185">
        <v>446</v>
      </c>
      <c r="N185">
        <v>2000</v>
      </c>
      <c r="O185" s="119" t="s">
        <v>90</v>
      </c>
      <c r="P185">
        <v>0.93784608208143005</v>
      </c>
      <c r="Q185">
        <v>0.93204164578035797</v>
      </c>
      <c r="R185">
        <v>0.12339621283378201</v>
      </c>
      <c r="S185">
        <v>1.6033558795380501E-2</v>
      </c>
      <c r="T185">
        <v>-1.6732550210329</v>
      </c>
      <c r="U185">
        <v>1.6732550210329</v>
      </c>
      <c r="V185">
        <v>-10.55</v>
      </c>
      <c r="W185">
        <v>1.1100000000000001</v>
      </c>
      <c r="X185">
        <v>-95504</v>
      </c>
      <c r="Y185">
        <v>-5969</v>
      </c>
      <c r="Z185">
        <v>-0.34</v>
      </c>
      <c r="AA185">
        <v>16</v>
      </c>
      <c r="AB185">
        <v>9</v>
      </c>
      <c r="AC185">
        <v>7</v>
      </c>
      <c r="AD185">
        <v>56.25</v>
      </c>
      <c r="AE185">
        <v>13</v>
      </c>
      <c r="AF185">
        <v>6</v>
      </c>
      <c r="AG185">
        <v>3</v>
      </c>
      <c r="AH185">
        <v>7</v>
      </c>
    </row>
    <row r="186" spans="1:34">
      <c r="A186" s="115">
        <v>21</v>
      </c>
      <c r="B186">
        <v>7189</v>
      </c>
      <c r="C186" s="119" t="s">
        <v>113</v>
      </c>
      <c r="D186" s="119" t="s">
        <v>114</v>
      </c>
      <c r="E186">
        <v>794</v>
      </c>
      <c r="F186">
        <v>775</v>
      </c>
      <c r="G186">
        <v>1300</v>
      </c>
      <c r="H186" s="119" t="s">
        <v>90</v>
      </c>
      <c r="I186">
        <v>8377</v>
      </c>
      <c r="J186" s="119" t="s">
        <v>129</v>
      </c>
      <c r="K186" s="119" t="s">
        <v>114</v>
      </c>
      <c r="L186">
        <v>1061</v>
      </c>
      <c r="M186">
        <v>1041</v>
      </c>
      <c r="N186">
        <v>1000</v>
      </c>
      <c r="O186" s="119" t="s">
        <v>88</v>
      </c>
      <c r="P186">
        <v>0.92525960945133301</v>
      </c>
      <c r="Q186">
        <v>0.95426262841276899</v>
      </c>
      <c r="R186">
        <v>0.26996913942103901</v>
      </c>
      <c r="S186">
        <v>0.28493007727979502</v>
      </c>
      <c r="T186">
        <v>2.7443686322488201</v>
      </c>
      <c r="U186">
        <v>2.7443686322488201</v>
      </c>
      <c r="V186">
        <v>6.44</v>
      </c>
      <c r="W186">
        <v>3.22</v>
      </c>
      <c r="X186">
        <v>-97687</v>
      </c>
      <c r="Y186">
        <v>-6105</v>
      </c>
      <c r="Z186">
        <v>-0.27</v>
      </c>
      <c r="AA186">
        <v>16</v>
      </c>
      <c r="AB186">
        <v>8</v>
      </c>
      <c r="AC186">
        <v>8</v>
      </c>
      <c r="AD186">
        <v>50</v>
      </c>
      <c r="AE186">
        <v>14</v>
      </c>
      <c r="AF186">
        <v>2</v>
      </c>
      <c r="AG186">
        <v>4</v>
      </c>
      <c r="AH186">
        <v>10</v>
      </c>
    </row>
    <row r="187" spans="1:34">
      <c r="A187" s="115">
        <v>61</v>
      </c>
      <c r="B187">
        <v>3405</v>
      </c>
      <c r="C187" s="119" t="s">
        <v>182</v>
      </c>
      <c r="D187" s="119" t="s">
        <v>89</v>
      </c>
      <c r="E187">
        <v>1372</v>
      </c>
      <c r="F187">
        <v>1337</v>
      </c>
      <c r="G187">
        <v>800</v>
      </c>
      <c r="H187" s="119" t="s">
        <v>90</v>
      </c>
      <c r="I187">
        <v>4005</v>
      </c>
      <c r="J187" s="119" t="s">
        <v>164</v>
      </c>
      <c r="K187" s="119" t="s">
        <v>89</v>
      </c>
      <c r="L187">
        <v>512</v>
      </c>
      <c r="M187">
        <v>507</v>
      </c>
      <c r="N187">
        <v>2100</v>
      </c>
      <c r="O187" s="119" t="s">
        <v>88</v>
      </c>
      <c r="P187">
        <v>0.93698801513334995</v>
      </c>
      <c r="Q187">
        <v>0.93696363321215204</v>
      </c>
      <c r="R187">
        <v>4.6964980415166599E-2</v>
      </c>
      <c r="S187">
        <v>2.0563290534226501E-2</v>
      </c>
      <c r="T187">
        <v>0.167416140994714</v>
      </c>
      <c r="U187">
        <v>0.167416140994714</v>
      </c>
      <c r="V187">
        <v>0.32</v>
      </c>
      <c r="W187">
        <v>0.46</v>
      </c>
      <c r="X187">
        <v>-100439</v>
      </c>
      <c r="Y187">
        <v>-6277</v>
      </c>
      <c r="Z187">
        <v>-0.34</v>
      </c>
      <c r="AA187">
        <v>16</v>
      </c>
      <c r="AB187">
        <v>7</v>
      </c>
      <c r="AC187">
        <v>9</v>
      </c>
      <c r="AD187">
        <v>43.75</v>
      </c>
      <c r="AE187">
        <v>15</v>
      </c>
      <c r="AF187">
        <v>3</v>
      </c>
      <c r="AG187">
        <v>4</v>
      </c>
      <c r="AH187">
        <v>9</v>
      </c>
    </row>
    <row r="188" spans="1:34">
      <c r="A188" s="115">
        <v>95</v>
      </c>
      <c r="B188">
        <v>3291</v>
      </c>
      <c r="C188" s="119" t="s">
        <v>157</v>
      </c>
      <c r="D188" s="119" t="s">
        <v>158</v>
      </c>
      <c r="E188">
        <v>1776</v>
      </c>
      <c r="F188">
        <v>1758</v>
      </c>
      <c r="G188">
        <v>600</v>
      </c>
      <c r="H188" s="119" t="s">
        <v>90</v>
      </c>
      <c r="I188">
        <v>7182</v>
      </c>
      <c r="J188" s="119" t="s">
        <v>207</v>
      </c>
      <c r="K188" s="119" t="s">
        <v>114</v>
      </c>
      <c r="L188">
        <v>1056</v>
      </c>
      <c r="M188">
        <v>1048</v>
      </c>
      <c r="N188">
        <v>1000</v>
      </c>
      <c r="O188" s="119" t="s">
        <v>88</v>
      </c>
      <c r="P188">
        <v>0.91511415525803796</v>
      </c>
      <c r="Q188">
        <v>0.92841905878095499</v>
      </c>
      <c r="R188">
        <v>0.24367253725527199</v>
      </c>
      <c r="S188">
        <v>8.7290727347470107E-2</v>
      </c>
      <c r="T188">
        <v>0.46564128066427801</v>
      </c>
      <c r="U188">
        <v>0.46564128066427801</v>
      </c>
      <c r="V188">
        <v>0.95</v>
      </c>
      <c r="W188">
        <v>0.64</v>
      </c>
      <c r="X188">
        <v>-100950</v>
      </c>
      <c r="Y188">
        <v>-5938</v>
      </c>
      <c r="Z188">
        <v>-0.28000000000000003</v>
      </c>
      <c r="AA188">
        <v>17</v>
      </c>
      <c r="AB188">
        <v>9</v>
      </c>
      <c r="AC188">
        <v>8</v>
      </c>
      <c r="AD188">
        <v>52.94</v>
      </c>
      <c r="AE188">
        <v>15</v>
      </c>
      <c r="AF188">
        <v>2</v>
      </c>
      <c r="AG188">
        <v>3</v>
      </c>
      <c r="AH188">
        <v>12</v>
      </c>
    </row>
    <row r="189" spans="1:34">
      <c r="A189" s="115">
        <v>205</v>
      </c>
      <c r="B189">
        <v>5214</v>
      </c>
      <c r="C189" s="119" t="s">
        <v>199</v>
      </c>
      <c r="D189" s="119" t="s">
        <v>146</v>
      </c>
      <c r="E189">
        <v>2447</v>
      </c>
      <c r="F189">
        <v>2377</v>
      </c>
      <c r="G189">
        <v>400</v>
      </c>
      <c r="H189" s="119" t="s">
        <v>88</v>
      </c>
      <c r="I189">
        <v>7751</v>
      </c>
      <c r="J189" s="119" t="s">
        <v>216</v>
      </c>
      <c r="K189" s="119" t="s">
        <v>119</v>
      </c>
      <c r="L189">
        <v>2913</v>
      </c>
      <c r="M189">
        <v>2904.5</v>
      </c>
      <c r="N189">
        <v>300</v>
      </c>
      <c r="O189" s="119" t="s">
        <v>90</v>
      </c>
      <c r="P189">
        <v>0.93760522110387301</v>
      </c>
      <c r="Q189">
        <v>0.90136955194142798</v>
      </c>
      <c r="R189">
        <v>9.4163076261777806E-2</v>
      </c>
      <c r="S189">
        <v>8.3691620946971496E-2</v>
      </c>
      <c r="T189">
        <v>-0.42652783317061899</v>
      </c>
      <c r="U189">
        <v>0.42652783317061899</v>
      </c>
      <c r="V189">
        <v>-1.73</v>
      </c>
      <c r="W189">
        <v>9.1199999999999992</v>
      </c>
      <c r="X189">
        <v>-103840</v>
      </c>
      <c r="Y189">
        <v>-9440</v>
      </c>
      <c r="Z189">
        <v>-0.51</v>
      </c>
      <c r="AA189">
        <v>11</v>
      </c>
      <c r="AB189">
        <v>5</v>
      </c>
      <c r="AC189">
        <v>6</v>
      </c>
      <c r="AD189">
        <v>45.45</v>
      </c>
      <c r="AE189">
        <v>15</v>
      </c>
      <c r="AF189">
        <v>2</v>
      </c>
      <c r="AG189">
        <v>2</v>
      </c>
      <c r="AH189">
        <v>7</v>
      </c>
    </row>
    <row r="190" spans="1:34">
      <c r="A190" s="115">
        <v>132</v>
      </c>
      <c r="B190">
        <v>8304</v>
      </c>
      <c r="C190" s="119" t="s">
        <v>248</v>
      </c>
      <c r="D190" s="119" t="s">
        <v>114</v>
      </c>
      <c r="E190">
        <v>2665</v>
      </c>
      <c r="F190">
        <v>2659</v>
      </c>
      <c r="G190">
        <v>400</v>
      </c>
      <c r="H190" s="119" t="s">
        <v>88</v>
      </c>
      <c r="I190">
        <v>8411</v>
      </c>
      <c r="J190" s="119" t="s">
        <v>174</v>
      </c>
      <c r="K190" s="119" t="s">
        <v>114</v>
      </c>
      <c r="L190">
        <v>166.6</v>
      </c>
      <c r="M190">
        <v>164.6</v>
      </c>
      <c r="N190">
        <v>6500</v>
      </c>
      <c r="O190" s="119" t="s">
        <v>90</v>
      </c>
      <c r="P190">
        <v>0.92076655906903204</v>
      </c>
      <c r="Q190">
        <v>0.91822610584841902</v>
      </c>
      <c r="R190">
        <v>8.9936855356310297E-2</v>
      </c>
      <c r="S190">
        <v>5.1823261799221101E-2</v>
      </c>
      <c r="T190">
        <v>-0.14395521686504001</v>
      </c>
      <c r="U190">
        <v>0.14395521686504001</v>
      </c>
      <c r="V190">
        <v>-0.26</v>
      </c>
      <c r="W190">
        <v>0.59</v>
      </c>
      <c r="X190">
        <v>-111266</v>
      </c>
      <c r="Y190">
        <v>-5856</v>
      </c>
      <c r="Z190">
        <v>-0.34</v>
      </c>
      <c r="AA190">
        <v>19</v>
      </c>
      <c r="AB190">
        <v>6</v>
      </c>
      <c r="AC190">
        <v>13</v>
      </c>
      <c r="AD190">
        <v>31.58</v>
      </c>
      <c r="AE190">
        <v>18</v>
      </c>
      <c r="AF190">
        <v>2</v>
      </c>
      <c r="AG190">
        <v>2</v>
      </c>
      <c r="AH190">
        <v>15</v>
      </c>
    </row>
    <row r="191" spans="1:34">
      <c r="A191" s="115">
        <v>162</v>
      </c>
      <c r="B191">
        <v>4182</v>
      </c>
      <c r="C191" s="119" t="s">
        <v>120</v>
      </c>
      <c r="D191" s="119" t="s">
        <v>89</v>
      </c>
      <c r="E191">
        <v>1498</v>
      </c>
      <c r="F191">
        <v>1498</v>
      </c>
      <c r="G191">
        <v>700</v>
      </c>
      <c r="H191" s="119" t="s">
        <v>90</v>
      </c>
      <c r="I191">
        <v>9505</v>
      </c>
      <c r="J191" s="119" t="s">
        <v>186</v>
      </c>
      <c r="K191" s="119" t="s">
        <v>187</v>
      </c>
      <c r="L191">
        <v>752</v>
      </c>
      <c r="M191">
        <v>734</v>
      </c>
      <c r="N191">
        <v>1400</v>
      </c>
      <c r="O191" s="119" t="s">
        <v>88</v>
      </c>
      <c r="P191">
        <v>0.91588674488303901</v>
      </c>
      <c r="Q191">
        <v>0.91111203513819805</v>
      </c>
      <c r="R191">
        <v>0.32354960167977398</v>
      </c>
      <c r="S191">
        <v>3.06822806562508E-2</v>
      </c>
      <c r="T191">
        <v>1.8630939289702</v>
      </c>
      <c r="U191">
        <v>1.8630939289702</v>
      </c>
      <c r="V191">
        <v>6.09</v>
      </c>
      <c r="W191">
        <v>2</v>
      </c>
      <c r="X191">
        <v>-112668</v>
      </c>
      <c r="Y191">
        <v>-4694</v>
      </c>
      <c r="Z191">
        <v>-0.31</v>
      </c>
      <c r="AA191">
        <v>24</v>
      </c>
      <c r="AB191">
        <v>12</v>
      </c>
      <c r="AC191">
        <v>12</v>
      </c>
      <c r="AD191">
        <v>50</v>
      </c>
      <c r="AE191">
        <v>11</v>
      </c>
      <c r="AF191">
        <v>10</v>
      </c>
      <c r="AG191">
        <v>11</v>
      </c>
      <c r="AH191">
        <v>3</v>
      </c>
    </row>
    <row r="192" spans="1:34">
      <c r="A192" s="115">
        <v>111</v>
      </c>
      <c r="B192">
        <v>5406</v>
      </c>
      <c r="C192" s="119" t="s">
        <v>151</v>
      </c>
      <c r="D192" s="119" t="s">
        <v>126</v>
      </c>
      <c r="E192">
        <v>567</v>
      </c>
      <c r="F192">
        <v>562</v>
      </c>
      <c r="G192">
        <v>1900</v>
      </c>
      <c r="H192" s="119" t="s">
        <v>88</v>
      </c>
      <c r="I192">
        <v>8058</v>
      </c>
      <c r="J192" s="119" t="s">
        <v>235</v>
      </c>
      <c r="K192" s="119" t="s">
        <v>139</v>
      </c>
      <c r="L192">
        <v>2693</v>
      </c>
      <c r="M192">
        <v>2677.5</v>
      </c>
      <c r="N192">
        <v>400</v>
      </c>
      <c r="O192" s="119" t="s">
        <v>90</v>
      </c>
      <c r="P192">
        <v>0.93286438890309298</v>
      </c>
      <c r="Q192">
        <v>0.92483371481594101</v>
      </c>
      <c r="R192">
        <v>0.221441882290243</v>
      </c>
      <c r="S192">
        <v>0.211308425788341</v>
      </c>
      <c r="T192">
        <v>-0.86144920646073597</v>
      </c>
      <c r="U192">
        <v>0.86144920646073597</v>
      </c>
      <c r="V192">
        <v>-5.5</v>
      </c>
      <c r="W192">
        <v>0.3</v>
      </c>
      <c r="X192">
        <v>-122859</v>
      </c>
      <c r="Y192">
        <v>-6143</v>
      </c>
      <c r="Z192">
        <v>-0.28999999999999998</v>
      </c>
      <c r="AA192">
        <v>20</v>
      </c>
      <c r="AB192">
        <v>9</v>
      </c>
      <c r="AC192">
        <v>11</v>
      </c>
      <c r="AD192">
        <v>45</v>
      </c>
      <c r="AE192">
        <v>11</v>
      </c>
      <c r="AF192">
        <v>8</v>
      </c>
      <c r="AG192">
        <v>6</v>
      </c>
      <c r="AH192">
        <v>6</v>
      </c>
    </row>
    <row r="193" spans="1:34">
      <c r="A193" s="115">
        <v>164</v>
      </c>
      <c r="B193">
        <v>7211</v>
      </c>
      <c r="C193" s="119" t="s">
        <v>56</v>
      </c>
      <c r="D193" s="119" t="s">
        <v>116</v>
      </c>
      <c r="E193">
        <v>488</v>
      </c>
      <c r="F193">
        <v>493</v>
      </c>
      <c r="G193">
        <v>1800</v>
      </c>
      <c r="H193" s="119" t="s">
        <v>88</v>
      </c>
      <c r="I193">
        <v>7267</v>
      </c>
      <c r="J193" s="119" t="s">
        <v>165</v>
      </c>
      <c r="K193" s="119" t="s">
        <v>116</v>
      </c>
      <c r="L193">
        <v>2913</v>
      </c>
      <c r="M193">
        <v>2909.5</v>
      </c>
      <c r="N193">
        <v>300</v>
      </c>
      <c r="O193" s="119" t="s">
        <v>90</v>
      </c>
      <c r="P193">
        <v>0.95139102479433002</v>
      </c>
      <c r="Q193">
        <v>0.910782106319448</v>
      </c>
      <c r="R193">
        <v>0.38328672051098001</v>
      </c>
      <c r="S193">
        <v>0.18124875161234499</v>
      </c>
      <c r="T193">
        <v>-0.97382086406210799</v>
      </c>
      <c r="U193">
        <v>0.97382086406210799</v>
      </c>
      <c r="V193">
        <v>-2.87</v>
      </c>
      <c r="W193">
        <v>1.67</v>
      </c>
      <c r="X193">
        <v>-128767</v>
      </c>
      <c r="Y193">
        <v>-7154</v>
      </c>
      <c r="Z193">
        <v>-0.45</v>
      </c>
      <c r="AA193">
        <v>18</v>
      </c>
      <c r="AB193">
        <v>9</v>
      </c>
      <c r="AC193">
        <v>9</v>
      </c>
      <c r="AD193">
        <v>50</v>
      </c>
      <c r="AE193">
        <v>15</v>
      </c>
      <c r="AF193">
        <v>3</v>
      </c>
      <c r="AG193">
        <v>3</v>
      </c>
      <c r="AH193">
        <v>12</v>
      </c>
    </row>
    <row r="194" spans="1:34">
      <c r="A194" s="115">
        <v>58</v>
      </c>
      <c r="B194">
        <v>8002</v>
      </c>
      <c r="C194" s="119" t="s">
        <v>57</v>
      </c>
      <c r="D194" s="119" t="s">
        <v>139</v>
      </c>
      <c r="E194">
        <v>736.5</v>
      </c>
      <c r="F194">
        <v>731.6</v>
      </c>
      <c r="G194">
        <v>1500</v>
      </c>
      <c r="H194" s="119" t="s">
        <v>88</v>
      </c>
      <c r="I194">
        <v>8306</v>
      </c>
      <c r="J194" s="119" t="s">
        <v>249</v>
      </c>
      <c r="K194" s="119" t="s">
        <v>114</v>
      </c>
      <c r="L194">
        <v>551.4</v>
      </c>
      <c r="M194">
        <v>546.9</v>
      </c>
      <c r="N194">
        <v>2000</v>
      </c>
      <c r="O194" s="119" t="s">
        <v>90</v>
      </c>
      <c r="P194">
        <v>0.924683653644229</v>
      </c>
      <c r="Q194">
        <v>0.93778024964411699</v>
      </c>
      <c r="R194">
        <v>0.27338737724127199</v>
      </c>
      <c r="S194">
        <v>0.114493272408903</v>
      </c>
      <c r="T194">
        <v>-0.10634368912583</v>
      </c>
      <c r="U194">
        <v>0.10634368912583</v>
      </c>
      <c r="V194">
        <v>-0.26</v>
      </c>
      <c r="W194">
        <v>0.33</v>
      </c>
      <c r="X194">
        <v>-138604</v>
      </c>
      <c r="Y194">
        <v>-8663</v>
      </c>
      <c r="Z194">
        <v>-0.4</v>
      </c>
      <c r="AA194">
        <v>16</v>
      </c>
      <c r="AB194">
        <v>6</v>
      </c>
      <c r="AC194">
        <v>10</v>
      </c>
      <c r="AD194">
        <v>37.5</v>
      </c>
      <c r="AE194">
        <v>16</v>
      </c>
      <c r="AF194">
        <v>2</v>
      </c>
      <c r="AG194">
        <v>4</v>
      </c>
      <c r="AH194">
        <v>10</v>
      </c>
    </row>
    <row r="195" spans="1:34">
      <c r="A195" s="115">
        <v>40</v>
      </c>
      <c r="B195">
        <v>5020</v>
      </c>
      <c r="C195" s="119" t="s">
        <v>191</v>
      </c>
      <c r="D195" s="119" t="s">
        <v>192</v>
      </c>
      <c r="E195">
        <v>490</v>
      </c>
      <c r="F195">
        <v>500.5</v>
      </c>
      <c r="G195">
        <v>2100</v>
      </c>
      <c r="H195" s="119" t="s">
        <v>90</v>
      </c>
      <c r="I195">
        <v>7167</v>
      </c>
      <c r="J195" s="119" t="s">
        <v>138</v>
      </c>
      <c r="K195" s="119" t="s">
        <v>114</v>
      </c>
      <c r="L195">
        <v>270</v>
      </c>
      <c r="M195">
        <v>264</v>
      </c>
      <c r="N195">
        <v>4000</v>
      </c>
      <c r="O195" s="119" t="s">
        <v>88</v>
      </c>
      <c r="P195">
        <v>0.94795315108637901</v>
      </c>
      <c r="Q195">
        <v>0.946151569365144</v>
      </c>
      <c r="R195">
        <v>6.7307077578741603E-2</v>
      </c>
      <c r="S195">
        <v>7.6754044922048001E-2</v>
      </c>
      <c r="T195">
        <v>0.64013756501003305</v>
      </c>
      <c r="U195">
        <v>0.64013756501003305</v>
      </c>
      <c r="V195">
        <v>1.32</v>
      </c>
      <c r="W195">
        <v>0.47</v>
      </c>
      <c r="X195">
        <v>-139732</v>
      </c>
      <c r="Y195">
        <v>-8220</v>
      </c>
      <c r="Z195">
        <v>-0.4</v>
      </c>
      <c r="AA195">
        <v>17</v>
      </c>
      <c r="AB195">
        <v>7</v>
      </c>
      <c r="AC195">
        <v>10</v>
      </c>
      <c r="AD195">
        <v>41.18</v>
      </c>
      <c r="AE195">
        <v>14</v>
      </c>
      <c r="AF195">
        <v>3</v>
      </c>
      <c r="AG195">
        <v>5</v>
      </c>
      <c r="AH195">
        <v>9</v>
      </c>
    </row>
    <row r="196" spans="1:34">
      <c r="A196" s="115">
        <v>200</v>
      </c>
      <c r="B196">
        <v>6371</v>
      </c>
      <c r="C196" s="119" t="s">
        <v>148</v>
      </c>
      <c r="D196" s="119" t="s">
        <v>136</v>
      </c>
      <c r="E196">
        <v>3550</v>
      </c>
      <c r="F196">
        <v>3520</v>
      </c>
      <c r="G196">
        <v>300</v>
      </c>
      <c r="H196" s="119" t="s">
        <v>90</v>
      </c>
      <c r="I196">
        <v>6473</v>
      </c>
      <c r="J196" s="119" t="s">
        <v>205</v>
      </c>
      <c r="K196" s="119" t="s">
        <v>136</v>
      </c>
      <c r="L196">
        <v>1293</v>
      </c>
      <c r="M196">
        <v>1279</v>
      </c>
      <c r="N196">
        <v>800</v>
      </c>
      <c r="O196" s="119" t="s">
        <v>88</v>
      </c>
      <c r="P196">
        <v>0.96291727203912403</v>
      </c>
      <c r="Q196">
        <v>0.90196424760502703</v>
      </c>
      <c r="R196">
        <v>4.3465649339090497E-3</v>
      </c>
      <c r="S196">
        <v>0.26038995821489302</v>
      </c>
      <c r="T196">
        <v>7.4719972797524195E-2</v>
      </c>
      <c r="U196">
        <v>7.4719972797524195E-2</v>
      </c>
      <c r="V196">
        <v>0.15</v>
      </c>
      <c r="W196">
        <v>3.11</v>
      </c>
      <c r="X196">
        <v>-143311</v>
      </c>
      <c r="Y196">
        <v>-7962</v>
      </c>
      <c r="Z196">
        <v>-0.47</v>
      </c>
      <c r="AA196">
        <v>18</v>
      </c>
      <c r="AB196">
        <v>7</v>
      </c>
      <c r="AC196">
        <v>11</v>
      </c>
      <c r="AD196">
        <v>38.89</v>
      </c>
      <c r="AE196">
        <v>15</v>
      </c>
      <c r="AF196">
        <v>2</v>
      </c>
      <c r="AG196">
        <v>2</v>
      </c>
      <c r="AH196">
        <v>14</v>
      </c>
    </row>
    <row r="197" spans="1:34">
      <c r="A197" s="115">
        <v>107</v>
      </c>
      <c r="B197">
        <v>4005</v>
      </c>
      <c r="C197" s="119" t="s">
        <v>164</v>
      </c>
      <c r="D197" s="119" t="s">
        <v>89</v>
      </c>
      <c r="E197">
        <v>512</v>
      </c>
      <c r="F197">
        <v>507</v>
      </c>
      <c r="G197">
        <v>2200</v>
      </c>
      <c r="H197" s="119" t="s">
        <v>90</v>
      </c>
      <c r="I197">
        <v>8002</v>
      </c>
      <c r="J197" s="119" t="s">
        <v>57</v>
      </c>
      <c r="K197" s="119" t="s">
        <v>139</v>
      </c>
      <c r="L197">
        <v>736.5</v>
      </c>
      <c r="M197">
        <v>731.6</v>
      </c>
      <c r="N197">
        <v>1500</v>
      </c>
      <c r="O197" s="119" t="s">
        <v>88</v>
      </c>
      <c r="P197">
        <v>0.94995960581565198</v>
      </c>
      <c r="Q197">
        <v>0.92597209253130297</v>
      </c>
      <c r="R197">
        <v>2.3644713518187902E-3</v>
      </c>
      <c r="S197" s="20">
        <v>0.22944243642557799</v>
      </c>
      <c r="T197">
        <v>0.54386552867260696</v>
      </c>
      <c r="U197">
        <v>0.54386552867260696</v>
      </c>
      <c r="V197">
        <v>0.83</v>
      </c>
      <c r="W197">
        <v>1.64</v>
      </c>
      <c r="X197">
        <v>-151457</v>
      </c>
      <c r="Y197">
        <v>-9466</v>
      </c>
      <c r="Z197">
        <v>-0.43</v>
      </c>
      <c r="AA197">
        <v>16</v>
      </c>
      <c r="AB197">
        <v>8</v>
      </c>
      <c r="AC197">
        <v>8</v>
      </c>
      <c r="AD197">
        <v>50</v>
      </c>
      <c r="AE197">
        <v>15</v>
      </c>
      <c r="AF197">
        <v>3</v>
      </c>
      <c r="AG197">
        <v>3</v>
      </c>
      <c r="AH197">
        <v>10</v>
      </c>
    </row>
    <row r="198" spans="1:34">
      <c r="A198" s="115">
        <v>1</v>
      </c>
      <c r="B198">
        <v>9506</v>
      </c>
      <c r="C198" s="119" t="s">
        <v>250</v>
      </c>
      <c r="D198" s="119" t="s">
        <v>187</v>
      </c>
      <c r="E198">
        <v>1108</v>
      </c>
      <c r="F198">
        <v>1086</v>
      </c>
      <c r="G198">
        <v>1000</v>
      </c>
      <c r="H198" s="119" t="s">
        <v>88</v>
      </c>
      <c r="I198">
        <v>9507</v>
      </c>
      <c r="J198" s="119" t="s">
        <v>251</v>
      </c>
      <c r="K198" s="119" t="s">
        <v>187</v>
      </c>
      <c r="L198">
        <v>1057</v>
      </c>
      <c r="M198">
        <v>1035</v>
      </c>
      <c r="N198">
        <v>1000</v>
      </c>
      <c r="O198" s="119" t="s">
        <v>90</v>
      </c>
      <c r="P198">
        <v>0.91160356094149297</v>
      </c>
      <c r="Q198">
        <v>0.976386655063189</v>
      </c>
      <c r="R198">
        <v>7.3933315544662703E-2</v>
      </c>
      <c r="S198">
        <v>4.3406302982093699E-2</v>
      </c>
      <c r="T198">
        <v>-0.29590257392811198</v>
      </c>
      <c r="U198">
        <v>0.29590257392811198</v>
      </c>
      <c r="V198">
        <v>-0.61</v>
      </c>
      <c r="W198">
        <v>4.7</v>
      </c>
      <c r="X198">
        <v>-158012</v>
      </c>
      <c r="Y198">
        <v>-6870</v>
      </c>
      <c r="Z198">
        <v>-0.32</v>
      </c>
      <c r="AA198">
        <v>23</v>
      </c>
      <c r="AB198">
        <v>10</v>
      </c>
      <c r="AC198">
        <v>13</v>
      </c>
      <c r="AD198">
        <v>43.48</v>
      </c>
      <c r="AE198">
        <v>14</v>
      </c>
      <c r="AF198">
        <v>2</v>
      </c>
      <c r="AG198">
        <v>6</v>
      </c>
      <c r="AH198">
        <v>15</v>
      </c>
    </row>
    <row r="199" spans="1:34">
      <c r="A199" s="115">
        <v>43</v>
      </c>
      <c r="B199">
        <v>2914</v>
      </c>
      <c r="C199" s="119" t="s">
        <v>131</v>
      </c>
      <c r="D199" s="119" t="s">
        <v>132</v>
      </c>
      <c r="E199">
        <v>2400</v>
      </c>
      <c r="F199">
        <v>2397.5</v>
      </c>
      <c r="G199">
        <v>400</v>
      </c>
      <c r="H199" s="119" t="s">
        <v>90</v>
      </c>
      <c r="I199">
        <v>7181</v>
      </c>
      <c r="J199" s="119" t="s">
        <v>219</v>
      </c>
      <c r="K199" s="119" t="s">
        <v>150</v>
      </c>
      <c r="L199">
        <v>1680</v>
      </c>
      <c r="M199">
        <v>1667</v>
      </c>
      <c r="N199">
        <v>600</v>
      </c>
      <c r="O199" s="119" t="s">
        <v>88</v>
      </c>
      <c r="P199">
        <v>0.90032256007614297</v>
      </c>
      <c r="Q199">
        <v>0.94368395280392403</v>
      </c>
      <c r="R199">
        <v>4.0263568191959101E-2</v>
      </c>
      <c r="S199">
        <v>3.63261730565975E-3</v>
      </c>
      <c r="T199">
        <v>0.55135141900812401</v>
      </c>
      <c r="U199">
        <v>0.55135141900812401</v>
      </c>
      <c r="V199">
        <v>3.07</v>
      </c>
      <c r="W199">
        <v>4.3</v>
      </c>
      <c r="X199">
        <v>-170160</v>
      </c>
      <c r="Y199">
        <v>-10635</v>
      </c>
      <c r="Z199">
        <v>-0.56999999999999995</v>
      </c>
      <c r="AA199">
        <v>16</v>
      </c>
      <c r="AB199">
        <v>5</v>
      </c>
      <c r="AC199">
        <v>11</v>
      </c>
      <c r="AD199">
        <v>31.25</v>
      </c>
      <c r="AE199">
        <v>11</v>
      </c>
      <c r="AF199">
        <v>4</v>
      </c>
      <c r="AG199">
        <v>7</v>
      </c>
      <c r="AH199">
        <v>5</v>
      </c>
    </row>
    <row r="200" spans="1:34">
      <c r="A200" s="115">
        <v>42</v>
      </c>
      <c r="B200">
        <v>5214</v>
      </c>
      <c r="C200" s="119" t="s">
        <v>199</v>
      </c>
      <c r="D200" s="119" t="s">
        <v>146</v>
      </c>
      <c r="E200">
        <v>2447</v>
      </c>
      <c r="F200">
        <v>2377</v>
      </c>
      <c r="G200">
        <v>400</v>
      </c>
      <c r="H200" s="119" t="s">
        <v>88</v>
      </c>
      <c r="I200">
        <v>7261</v>
      </c>
      <c r="J200" s="119" t="s">
        <v>229</v>
      </c>
      <c r="K200" s="119" t="s">
        <v>116</v>
      </c>
      <c r="L200">
        <v>990</v>
      </c>
      <c r="M200">
        <v>999.1</v>
      </c>
      <c r="N200">
        <v>1000</v>
      </c>
      <c r="O200" s="119" t="s">
        <v>90</v>
      </c>
      <c r="P200">
        <v>0.94385577822798705</v>
      </c>
      <c r="Q200">
        <v>0.94388928739798905</v>
      </c>
      <c r="R200">
        <v>4.1259437459785601E-2</v>
      </c>
      <c r="S200">
        <v>9.1985412036672695E-2</v>
      </c>
      <c r="T200">
        <v>-1.5069827660764099</v>
      </c>
      <c r="U200">
        <v>1.5069827660764099</v>
      </c>
      <c r="V200">
        <v>-3.53</v>
      </c>
      <c r="W200">
        <v>5.08</v>
      </c>
      <c r="X200">
        <v>-176410</v>
      </c>
      <c r="Y200">
        <v>-8820</v>
      </c>
      <c r="Z200">
        <v>-0.47</v>
      </c>
      <c r="AA200">
        <v>20</v>
      </c>
      <c r="AB200">
        <v>10</v>
      </c>
      <c r="AC200">
        <v>10</v>
      </c>
      <c r="AD200">
        <v>50</v>
      </c>
      <c r="AE200">
        <v>13</v>
      </c>
      <c r="AF200">
        <v>6</v>
      </c>
      <c r="AG200">
        <v>4</v>
      </c>
      <c r="AH200">
        <v>10</v>
      </c>
    </row>
    <row r="201" spans="1:34">
      <c r="A201" s="115">
        <v>39</v>
      </c>
      <c r="B201">
        <v>9531</v>
      </c>
      <c r="C201" s="119" t="s">
        <v>252</v>
      </c>
      <c r="D201" s="119" t="s">
        <v>187</v>
      </c>
      <c r="E201">
        <v>2727.5</v>
      </c>
      <c r="F201">
        <v>2682.5</v>
      </c>
      <c r="G201">
        <v>400</v>
      </c>
      <c r="H201" s="119" t="s">
        <v>88</v>
      </c>
      <c r="I201">
        <v>9532</v>
      </c>
      <c r="J201" s="119" t="s">
        <v>253</v>
      </c>
      <c r="K201" s="119" t="s">
        <v>187</v>
      </c>
      <c r="L201">
        <v>2091</v>
      </c>
      <c r="M201">
        <v>2054</v>
      </c>
      <c r="N201">
        <v>500</v>
      </c>
      <c r="O201" s="119" t="s">
        <v>90</v>
      </c>
      <c r="P201">
        <v>0.90115525776081296</v>
      </c>
      <c r="Q201">
        <v>0.94665463810925399</v>
      </c>
      <c r="R201">
        <v>4.6882123053330104E-3</v>
      </c>
      <c r="S201">
        <v>1.40333380487375E-2</v>
      </c>
      <c r="T201">
        <v>-2.26371663489219</v>
      </c>
      <c r="U201">
        <v>2.26371663489219</v>
      </c>
      <c r="V201">
        <v>-4.84</v>
      </c>
      <c r="W201">
        <v>4.29</v>
      </c>
      <c r="X201">
        <v>-182702</v>
      </c>
      <c r="Y201">
        <v>-13050</v>
      </c>
      <c r="Z201">
        <v>-0.7</v>
      </c>
      <c r="AA201">
        <v>14</v>
      </c>
      <c r="AB201">
        <v>3</v>
      </c>
      <c r="AC201">
        <v>11</v>
      </c>
      <c r="AD201">
        <v>21.43</v>
      </c>
      <c r="AE201">
        <v>15</v>
      </c>
      <c r="AF201">
        <v>2</v>
      </c>
      <c r="AG201">
        <v>2</v>
      </c>
      <c r="AH201">
        <v>10</v>
      </c>
    </row>
    <row r="202" spans="1:34">
      <c r="A202" s="115">
        <v>37</v>
      </c>
      <c r="B202">
        <v>5020</v>
      </c>
      <c r="C202" s="119" t="s">
        <v>191</v>
      </c>
      <c r="D202" s="119" t="s">
        <v>192</v>
      </c>
      <c r="E202">
        <v>490</v>
      </c>
      <c r="F202">
        <v>500.5</v>
      </c>
      <c r="G202">
        <v>2000</v>
      </c>
      <c r="H202" s="119" t="s">
        <v>88</v>
      </c>
      <c r="I202">
        <v>7013</v>
      </c>
      <c r="J202" s="119" t="s">
        <v>135</v>
      </c>
      <c r="K202" s="119" t="s">
        <v>136</v>
      </c>
      <c r="L202">
        <v>2507</v>
      </c>
      <c r="M202">
        <v>2556</v>
      </c>
      <c r="N202">
        <v>400</v>
      </c>
      <c r="O202" s="119" t="s">
        <v>90</v>
      </c>
      <c r="P202">
        <v>0.94604876128961701</v>
      </c>
      <c r="Q202">
        <v>0.94689551720647902</v>
      </c>
      <c r="R202">
        <v>5.8102177787614902E-2</v>
      </c>
      <c r="S202">
        <v>6.70416756573083E-2</v>
      </c>
      <c r="T202">
        <v>-1.6531119351508401</v>
      </c>
      <c r="U202">
        <v>1.6531119351508401</v>
      </c>
      <c r="V202">
        <v>-6.28</v>
      </c>
      <c r="W202">
        <v>2.09</v>
      </c>
      <c r="X202">
        <v>-190284</v>
      </c>
      <c r="Y202">
        <v>-10015</v>
      </c>
      <c r="Z202">
        <v>-0.63</v>
      </c>
      <c r="AA202">
        <v>19</v>
      </c>
      <c r="AB202">
        <v>10</v>
      </c>
      <c r="AC202">
        <v>9</v>
      </c>
      <c r="AD202">
        <v>52.63</v>
      </c>
      <c r="AE202">
        <v>10</v>
      </c>
      <c r="AF202">
        <v>7</v>
      </c>
      <c r="AG202">
        <v>8</v>
      </c>
      <c r="AH202">
        <v>4</v>
      </c>
    </row>
    <row r="203" spans="1:34">
      <c r="A203" s="115">
        <v>147</v>
      </c>
      <c r="B203">
        <v>5214</v>
      </c>
      <c r="C203" s="119" t="s">
        <v>199</v>
      </c>
      <c r="D203" s="119" t="s">
        <v>146</v>
      </c>
      <c r="E203">
        <v>2447</v>
      </c>
      <c r="F203">
        <v>2377</v>
      </c>
      <c r="G203">
        <v>500</v>
      </c>
      <c r="H203" s="119" t="s">
        <v>90</v>
      </c>
      <c r="I203">
        <v>8058</v>
      </c>
      <c r="J203" s="119" t="s">
        <v>235</v>
      </c>
      <c r="K203" s="119" t="s">
        <v>139</v>
      </c>
      <c r="L203">
        <v>2693</v>
      </c>
      <c r="M203">
        <v>2677.5</v>
      </c>
      <c r="N203">
        <v>400</v>
      </c>
      <c r="O203" s="119" t="s">
        <v>88</v>
      </c>
      <c r="P203">
        <v>0.90056295724978497</v>
      </c>
      <c r="Q203">
        <v>0.91523541795072305</v>
      </c>
      <c r="R203">
        <v>0.124751690928146</v>
      </c>
      <c r="S203">
        <v>5.6483582058389097E-2</v>
      </c>
      <c r="T203">
        <v>8.2105034495520701E-3</v>
      </c>
      <c r="U203">
        <v>8.2105034495520701E-3</v>
      </c>
      <c r="V203">
        <v>0.04</v>
      </c>
      <c r="W203">
        <v>10.97</v>
      </c>
      <c r="X203">
        <v>-213117</v>
      </c>
      <c r="Y203">
        <v>-17760</v>
      </c>
      <c r="Z203">
        <v>-0.99</v>
      </c>
      <c r="AA203">
        <v>12</v>
      </c>
      <c r="AB203">
        <v>3</v>
      </c>
      <c r="AC203">
        <v>9</v>
      </c>
      <c r="AD203">
        <v>25</v>
      </c>
      <c r="AE203">
        <v>15</v>
      </c>
      <c r="AF203">
        <v>1</v>
      </c>
      <c r="AG203">
        <v>3</v>
      </c>
      <c r="AH203">
        <v>8</v>
      </c>
    </row>
    <row r="204" spans="1:34">
      <c r="A204" s="115">
        <v>172</v>
      </c>
      <c r="B204">
        <v>5301</v>
      </c>
      <c r="C204" s="119" t="s">
        <v>201</v>
      </c>
      <c r="D204" s="119" t="s">
        <v>146</v>
      </c>
      <c r="E204">
        <v>1119</v>
      </c>
      <c r="F204">
        <v>1130</v>
      </c>
      <c r="G204">
        <v>1000</v>
      </c>
      <c r="H204" s="119" t="s">
        <v>90</v>
      </c>
      <c r="I204">
        <v>6988</v>
      </c>
      <c r="J204" s="119" t="s">
        <v>222</v>
      </c>
      <c r="K204" s="119" t="s">
        <v>89</v>
      </c>
      <c r="L204">
        <v>5473</v>
      </c>
      <c r="M204">
        <v>5472</v>
      </c>
      <c r="N204">
        <v>200</v>
      </c>
      <c r="O204" s="119" t="s">
        <v>88</v>
      </c>
      <c r="P204">
        <v>0.91528114551093998</v>
      </c>
      <c r="Q204">
        <v>0.90865855681196295</v>
      </c>
      <c r="R204">
        <v>0.118944432180573</v>
      </c>
      <c r="S204">
        <v>6.1601840917851602E-3</v>
      </c>
      <c r="T204">
        <v>0.25591820885070499</v>
      </c>
      <c r="U204">
        <v>0.25591820885070499</v>
      </c>
      <c r="V204">
        <v>0.55000000000000004</v>
      </c>
      <c r="W204">
        <v>3.25</v>
      </c>
      <c r="X204">
        <v>-217585</v>
      </c>
      <c r="Y204">
        <v>-8369</v>
      </c>
      <c r="Z204">
        <v>-0.28000000000000003</v>
      </c>
      <c r="AA204">
        <v>26</v>
      </c>
      <c r="AB204">
        <v>14</v>
      </c>
      <c r="AC204">
        <v>12</v>
      </c>
      <c r="AD204">
        <v>53.85</v>
      </c>
      <c r="AE204">
        <v>9</v>
      </c>
      <c r="AF204">
        <v>11</v>
      </c>
      <c r="AG204">
        <v>11</v>
      </c>
      <c r="AH204">
        <v>4</v>
      </c>
    </row>
    <row r="205" spans="1:34">
      <c r="A205" s="115">
        <v>185</v>
      </c>
      <c r="B205">
        <v>4182</v>
      </c>
      <c r="C205" s="119" t="s">
        <v>120</v>
      </c>
      <c r="D205" s="119" t="s">
        <v>89</v>
      </c>
      <c r="E205">
        <v>1498</v>
      </c>
      <c r="F205">
        <v>1498</v>
      </c>
      <c r="G205">
        <v>500</v>
      </c>
      <c r="H205" s="119" t="s">
        <v>90</v>
      </c>
      <c r="I205">
        <v>8309</v>
      </c>
      <c r="J205" s="119" t="s">
        <v>52</v>
      </c>
      <c r="K205" s="119" t="s">
        <v>114</v>
      </c>
      <c r="L205">
        <v>3831</v>
      </c>
      <c r="M205">
        <v>3827</v>
      </c>
      <c r="N205">
        <v>200</v>
      </c>
      <c r="O205" s="119" t="s">
        <v>88</v>
      </c>
      <c r="P205">
        <v>0.91468813623427203</v>
      </c>
      <c r="Q205">
        <v>0.90463356384056304</v>
      </c>
      <c r="R205">
        <v>0.218652205338176</v>
      </c>
      <c r="S205">
        <v>6.6684269437443905E-2</v>
      </c>
      <c r="T205">
        <v>2.1246322757765999</v>
      </c>
      <c r="U205">
        <v>2.1246322757765999</v>
      </c>
      <c r="V205">
        <v>6.25</v>
      </c>
      <c r="W205">
        <v>2.14</v>
      </c>
      <c r="X205">
        <v>-223518</v>
      </c>
      <c r="Y205">
        <v>-13970</v>
      </c>
      <c r="Z205">
        <v>-0.75</v>
      </c>
      <c r="AA205">
        <v>16</v>
      </c>
      <c r="AB205">
        <v>7</v>
      </c>
      <c r="AC205">
        <v>9</v>
      </c>
      <c r="AD205">
        <v>43.75</v>
      </c>
      <c r="AE205">
        <v>12</v>
      </c>
      <c r="AF205">
        <v>3</v>
      </c>
      <c r="AG205">
        <v>6</v>
      </c>
      <c r="AH205">
        <v>7</v>
      </c>
    </row>
    <row r="206" spans="1:34">
      <c r="A206" s="115">
        <v>49</v>
      </c>
      <c r="B206">
        <v>5110</v>
      </c>
      <c r="C206" s="119" t="s">
        <v>195</v>
      </c>
      <c r="D206" s="119" t="s">
        <v>196</v>
      </c>
      <c r="E206">
        <v>1360</v>
      </c>
      <c r="F206">
        <v>1356</v>
      </c>
      <c r="G206">
        <v>700</v>
      </c>
      <c r="H206" s="119" t="s">
        <v>88</v>
      </c>
      <c r="I206">
        <v>7251</v>
      </c>
      <c r="J206" s="119" t="s">
        <v>189</v>
      </c>
      <c r="K206" s="119" t="s">
        <v>116</v>
      </c>
      <c r="L206">
        <v>1722</v>
      </c>
      <c r="M206">
        <v>1695</v>
      </c>
      <c r="N206">
        <v>600</v>
      </c>
      <c r="O206" s="119" t="s">
        <v>90</v>
      </c>
      <c r="P206">
        <v>0.93339871980553601</v>
      </c>
      <c r="Q206">
        <v>0.94144149381452202</v>
      </c>
      <c r="R206" s="20">
        <v>0.235441552315234</v>
      </c>
      <c r="S206">
        <v>0.106809790807919</v>
      </c>
      <c r="T206">
        <v>-0.32728459836303198</v>
      </c>
      <c r="U206">
        <v>0.32728459836303198</v>
      </c>
      <c r="V206">
        <v>-1.07</v>
      </c>
      <c r="W206">
        <v>6.67</v>
      </c>
      <c r="X206">
        <v>-300472</v>
      </c>
      <c r="Y206">
        <v>-17675</v>
      </c>
      <c r="Z206">
        <v>-0.9</v>
      </c>
      <c r="AA206">
        <v>17</v>
      </c>
      <c r="AB206">
        <v>5</v>
      </c>
      <c r="AC206">
        <v>12</v>
      </c>
      <c r="AD206">
        <v>29.41</v>
      </c>
      <c r="AE206">
        <v>13</v>
      </c>
      <c r="AF206">
        <v>2</v>
      </c>
      <c r="AG206">
        <v>6</v>
      </c>
      <c r="AH206">
        <v>9</v>
      </c>
    </row>
    <row r="207" spans="1:34">
      <c r="A207" s="115">
        <v>190</v>
      </c>
      <c r="B207">
        <v>3291</v>
      </c>
      <c r="C207" s="119" t="s">
        <v>157</v>
      </c>
      <c r="D207" s="119" t="s">
        <v>158</v>
      </c>
      <c r="E207">
        <v>1776</v>
      </c>
      <c r="F207">
        <v>1758</v>
      </c>
      <c r="G207">
        <v>600</v>
      </c>
      <c r="H207" s="119" t="s">
        <v>88</v>
      </c>
      <c r="I207">
        <v>7202</v>
      </c>
      <c r="J207" s="119" t="s">
        <v>208</v>
      </c>
      <c r="K207" s="119" t="s">
        <v>116</v>
      </c>
      <c r="L207">
        <v>1243</v>
      </c>
      <c r="M207">
        <v>1238</v>
      </c>
      <c r="N207">
        <v>900</v>
      </c>
      <c r="O207" s="119" t="s">
        <v>90</v>
      </c>
      <c r="P207">
        <v>0.941299357188494</v>
      </c>
      <c r="Q207">
        <v>0.90379573614615105</v>
      </c>
      <c r="R207">
        <v>2.4651159688803399E-2</v>
      </c>
      <c r="S207">
        <v>7.7874603062638006E-2</v>
      </c>
      <c r="T207">
        <v>-1.7999618679081999</v>
      </c>
      <c r="U207">
        <v>1.7999618679081999</v>
      </c>
      <c r="V207">
        <v>-3</v>
      </c>
      <c r="W207">
        <v>5.63</v>
      </c>
      <c r="X207">
        <v>-313047</v>
      </c>
      <c r="Y207">
        <v>-18415</v>
      </c>
      <c r="Z207">
        <v>-0.92</v>
      </c>
      <c r="AA207">
        <v>17</v>
      </c>
      <c r="AB207">
        <v>7</v>
      </c>
      <c r="AC207">
        <v>10</v>
      </c>
      <c r="AD207">
        <v>41.18</v>
      </c>
      <c r="AE207">
        <v>12</v>
      </c>
      <c r="AF207">
        <v>2</v>
      </c>
      <c r="AG207">
        <v>8</v>
      </c>
      <c r="AH207">
        <v>7</v>
      </c>
    </row>
    <row r="208" spans="1:34">
      <c r="A208" s="115">
        <v>67</v>
      </c>
      <c r="B208">
        <v>5019</v>
      </c>
      <c r="C208" s="119" t="s">
        <v>234</v>
      </c>
      <c r="D208" s="119" t="s">
        <v>192</v>
      </c>
      <c r="E208">
        <v>3040</v>
      </c>
      <c r="F208">
        <v>3055</v>
      </c>
      <c r="G208">
        <v>300</v>
      </c>
      <c r="H208" s="119" t="s">
        <v>88</v>
      </c>
      <c r="I208">
        <v>8002</v>
      </c>
      <c r="J208" s="119" t="s">
        <v>57</v>
      </c>
      <c r="K208" s="119" t="s">
        <v>139</v>
      </c>
      <c r="L208">
        <v>736.5</v>
      </c>
      <c r="M208">
        <v>731.6</v>
      </c>
      <c r="N208">
        <v>1300</v>
      </c>
      <c r="O208" s="119" t="s">
        <v>90</v>
      </c>
      <c r="P208">
        <v>0.96424176406430995</v>
      </c>
      <c r="Q208">
        <v>0.93523706724484501</v>
      </c>
      <c r="R208">
        <v>3.9963219015805799E-3</v>
      </c>
      <c r="S208">
        <v>1.05038170120458E-2</v>
      </c>
      <c r="T208">
        <v>-0.61691732886081796</v>
      </c>
      <c r="U208">
        <v>0.61691732886081796</v>
      </c>
      <c r="V208">
        <v>-1.68</v>
      </c>
      <c r="W208">
        <v>3.77</v>
      </c>
      <c r="X208">
        <v>-325169</v>
      </c>
      <c r="Y208">
        <v>-16258</v>
      </c>
      <c r="Z208">
        <v>-0.87</v>
      </c>
      <c r="AA208">
        <v>20</v>
      </c>
      <c r="AB208">
        <v>7</v>
      </c>
      <c r="AC208">
        <v>13</v>
      </c>
      <c r="AD208">
        <v>35</v>
      </c>
      <c r="AE208">
        <v>11</v>
      </c>
      <c r="AF208">
        <v>5</v>
      </c>
      <c r="AG208">
        <v>8</v>
      </c>
      <c r="AH208">
        <v>7</v>
      </c>
    </row>
    <row r="209" spans="1:34">
      <c r="A209" s="115">
        <v>74</v>
      </c>
      <c r="B209">
        <v>4996</v>
      </c>
      <c r="C209" s="119" t="s">
        <v>254</v>
      </c>
      <c r="D209" s="119" t="s">
        <v>89</v>
      </c>
      <c r="E209">
        <v>1000</v>
      </c>
      <c r="F209">
        <v>989</v>
      </c>
      <c r="G209">
        <v>800</v>
      </c>
      <c r="H209" s="119" t="s">
        <v>88</v>
      </c>
      <c r="I209">
        <v>6920</v>
      </c>
      <c r="J209" s="119" t="s">
        <v>118</v>
      </c>
      <c r="K209" s="119" t="s">
        <v>119</v>
      </c>
      <c r="L209">
        <v>7760</v>
      </c>
      <c r="M209">
        <v>7760</v>
      </c>
      <c r="N209">
        <v>100</v>
      </c>
      <c r="O209" s="119" t="s">
        <v>90</v>
      </c>
      <c r="P209">
        <v>0.90985494133206801</v>
      </c>
      <c r="Q209">
        <v>0.93449731586462303</v>
      </c>
      <c r="R209">
        <v>4.5953371341975798E-3</v>
      </c>
      <c r="S209">
        <v>4.56807097440373E-3</v>
      </c>
      <c r="T209">
        <v>-1.5104960741570499</v>
      </c>
      <c r="U209">
        <v>1.5104960741570499</v>
      </c>
      <c r="V209">
        <v>-22.01</v>
      </c>
      <c r="W209">
        <v>1.96</v>
      </c>
      <c r="X209">
        <v>-398974</v>
      </c>
      <c r="Y209">
        <v>-19949</v>
      </c>
      <c r="Z209">
        <v>-0.92</v>
      </c>
      <c r="AA209">
        <v>20</v>
      </c>
      <c r="AB209">
        <v>10</v>
      </c>
      <c r="AC209">
        <v>10</v>
      </c>
      <c r="AD209">
        <v>50</v>
      </c>
      <c r="AE209">
        <v>10</v>
      </c>
      <c r="AF209">
        <v>5</v>
      </c>
      <c r="AG209">
        <v>9</v>
      </c>
      <c r="AH209">
        <v>6</v>
      </c>
    </row>
    <row r="210" spans="1:34">
      <c r="A210" s="115">
        <v>103</v>
      </c>
      <c r="B210">
        <v>4118</v>
      </c>
      <c r="C210" s="119" t="s">
        <v>92</v>
      </c>
      <c r="D210" s="119" t="s">
        <v>89</v>
      </c>
      <c r="E210">
        <v>3520</v>
      </c>
      <c r="F210">
        <v>3500</v>
      </c>
      <c r="G210">
        <v>300</v>
      </c>
      <c r="H210" s="119" t="s">
        <v>90</v>
      </c>
      <c r="I210">
        <v>5411</v>
      </c>
      <c r="J210" s="119" t="s">
        <v>125</v>
      </c>
      <c r="K210" s="119" t="s">
        <v>126</v>
      </c>
      <c r="L210">
        <v>1311</v>
      </c>
      <c r="M210">
        <v>1301.5</v>
      </c>
      <c r="N210">
        <v>800</v>
      </c>
      <c r="O210" s="119" t="s">
        <v>88</v>
      </c>
      <c r="P210">
        <v>0.92087705551702104</v>
      </c>
      <c r="Q210">
        <v>0.92738676700992195</v>
      </c>
      <c r="R210">
        <v>0.31765340214501703</v>
      </c>
      <c r="S210">
        <v>7.3090490605329406E-2</v>
      </c>
      <c r="T210">
        <v>0.71649787609757598</v>
      </c>
      <c r="U210">
        <v>0.71649787609757598</v>
      </c>
      <c r="V210">
        <v>2.2999999999999998</v>
      </c>
      <c r="W210">
        <v>0.84</v>
      </c>
      <c r="X210">
        <v>-475340</v>
      </c>
      <c r="Y210">
        <v>-27961</v>
      </c>
      <c r="Z210">
        <v>-1.51</v>
      </c>
      <c r="AA210">
        <v>17</v>
      </c>
      <c r="AB210">
        <v>7</v>
      </c>
      <c r="AC210">
        <v>10</v>
      </c>
      <c r="AD210">
        <v>41.18</v>
      </c>
      <c r="AE210">
        <v>12</v>
      </c>
      <c r="AF210">
        <v>2</v>
      </c>
      <c r="AG210">
        <v>8</v>
      </c>
      <c r="AH210">
        <v>7</v>
      </c>
    </row>
    <row r="211" spans="1:34">
      <c r="C211" s="119"/>
      <c r="D211" s="119"/>
      <c r="H211" s="119"/>
      <c r="J211" s="119"/>
      <c r="K211" s="119"/>
      <c r="O211" s="119"/>
    </row>
    <row r="212" spans="1:34">
      <c r="C212" s="119"/>
      <c r="D212" s="119"/>
      <c r="H212" s="119"/>
      <c r="J212" s="119"/>
      <c r="K212" s="119"/>
      <c r="O212" s="119"/>
    </row>
    <row r="213" spans="1:34">
      <c r="C213" s="119"/>
      <c r="D213" s="119"/>
      <c r="H213" s="119"/>
      <c r="J213" s="119"/>
      <c r="K213" s="119"/>
      <c r="O213" s="119"/>
      <c r="S213" s="20"/>
    </row>
    <row r="214" spans="1:34">
      <c r="C214" s="119"/>
      <c r="D214" s="119"/>
      <c r="H214" s="119"/>
      <c r="J214" s="119"/>
      <c r="K214" s="119"/>
      <c r="O214" s="119"/>
    </row>
    <row r="215" spans="1:34">
      <c r="C215" s="119"/>
      <c r="D215" s="119"/>
      <c r="H215" s="119"/>
      <c r="J215" s="119"/>
      <c r="K215" s="119"/>
      <c r="O215" s="119"/>
    </row>
    <row r="216" spans="1:34">
      <c r="C216" s="119"/>
      <c r="D216" s="119"/>
      <c r="H216" s="119"/>
      <c r="J216" s="119"/>
      <c r="K216" s="119"/>
      <c r="O216" s="119"/>
    </row>
    <row r="217" spans="1:34">
      <c r="C217" s="119"/>
      <c r="D217" s="119"/>
      <c r="H217" s="119"/>
      <c r="J217" s="119"/>
      <c r="K217" s="119"/>
      <c r="O217" s="119"/>
    </row>
    <row r="218" spans="1:34">
      <c r="C218" s="119"/>
      <c r="D218" s="119"/>
      <c r="H218" s="119"/>
      <c r="J218" s="119"/>
      <c r="K218" s="119"/>
      <c r="O218" s="119"/>
    </row>
    <row r="219" spans="1:34">
      <c r="C219" s="119"/>
      <c r="D219" s="119"/>
      <c r="H219" s="119"/>
      <c r="J219" s="119"/>
      <c r="K219" s="119"/>
      <c r="O219" s="119"/>
    </row>
    <row r="220" spans="1:34">
      <c r="C220" s="119"/>
      <c r="D220" s="119"/>
      <c r="H220" s="119"/>
      <c r="J220" s="119"/>
      <c r="K220" s="119"/>
      <c r="O220" s="119"/>
    </row>
    <row r="221" spans="1:34">
      <c r="C221" s="119"/>
      <c r="D221" s="119"/>
      <c r="H221" s="119"/>
      <c r="J221" s="119"/>
      <c r="K221" s="119"/>
      <c r="O221" s="119"/>
    </row>
    <row r="222" spans="1:34">
      <c r="C222" s="119"/>
      <c r="D222" s="119"/>
      <c r="H222" s="119"/>
      <c r="J222" s="119"/>
      <c r="K222" s="119"/>
      <c r="O222" s="119"/>
    </row>
    <row r="223" spans="1:34">
      <c r="C223" s="119"/>
      <c r="D223" s="119"/>
      <c r="H223" s="119"/>
      <c r="J223" s="119"/>
      <c r="K223" s="119"/>
      <c r="O223" s="119"/>
    </row>
    <row r="224" spans="1:34">
      <c r="C224" s="119"/>
      <c r="D224" s="119"/>
      <c r="H224" s="119"/>
      <c r="J224" s="119"/>
      <c r="K224" s="119"/>
      <c r="O224" s="119"/>
    </row>
    <row r="225" spans="3:18">
      <c r="C225" s="119"/>
      <c r="D225" s="119"/>
      <c r="H225" s="119"/>
      <c r="J225" s="119"/>
      <c r="K225" s="119"/>
      <c r="O225" s="119"/>
    </row>
    <row r="226" spans="3:18">
      <c r="C226" s="119"/>
      <c r="D226" s="119"/>
      <c r="H226" s="119"/>
      <c r="J226" s="119"/>
      <c r="K226" s="119"/>
      <c r="O226" s="119"/>
    </row>
    <row r="227" spans="3:18">
      <c r="C227" s="119"/>
      <c r="D227" s="119"/>
      <c r="H227" s="119"/>
      <c r="J227" s="119"/>
      <c r="K227" s="119"/>
      <c r="O227" s="119"/>
    </row>
    <row r="228" spans="3:18">
      <c r="C228" s="119"/>
      <c r="D228" s="119"/>
      <c r="H228" s="119"/>
      <c r="J228" s="119"/>
      <c r="K228" s="119"/>
      <c r="O228" s="119"/>
    </row>
    <row r="229" spans="3:18">
      <c r="C229" s="119"/>
      <c r="D229" s="119"/>
      <c r="H229" s="119"/>
      <c r="J229" s="119"/>
      <c r="K229" s="119"/>
      <c r="O229" s="119"/>
    </row>
    <row r="230" spans="3:18">
      <c r="C230" s="119"/>
      <c r="D230" s="119"/>
      <c r="H230" s="119"/>
      <c r="J230" s="119"/>
      <c r="K230" s="119"/>
      <c r="O230" s="119"/>
    </row>
    <row r="231" spans="3:18">
      <c r="C231" s="119"/>
      <c r="D231" s="119"/>
      <c r="H231" s="119"/>
      <c r="J231" s="119"/>
      <c r="K231" s="119"/>
      <c r="O231" s="119"/>
    </row>
    <row r="232" spans="3:18">
      <c r="C232" s="119"/>
      <c r="D232" s="119"/>
      <c r="H232" s="119"/>
      <c r="J232" s="119"/>
      <c r="K232" s="119"/>
      <c r="O232" s="119"/>
    </row>
    <row r="237" spans="3:18">
      <c r="R237" s="20"/>
    </row>
    <row r="243" spans="18:18">
      <c r="R243" s="20"/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K42" sqref="K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6"/>
  <dimension ref="A3:H59"/>
  <sheetViews>
    <sheetView workbookViewId="0">
      <selection activeCell="G11" sqref="G11"/>
    </sheetView>
  </sheetViews>
  <sheetFormatPr defaultRowHeight="14.25"/>
  <cols>
    <col min="1" max="1" width="27.125" customWidth="1"/>
    <col min="2" max="2" width="34.625" customWidth="1"/>
  </cols>
  <sheetData>
    <row r="3" spans="1:2" ht="15">
      <c r="A3" s="87" t="s">
        <v>289</v>
      </c>
    </row>
    <row r="4" spans="1:2">
      <c r="B4" s="1"/>
    </row>
    <row r="5" spans="1:2" ht="15.75" thickBot="1">
      <c r="A5" s="78" t="s">
        <v>290</v>
      </c>
    </row>
    <row r="6" spans="1:2" ht="15.75" thickBot="1">
      <c r="A6" s="80" t="s">
        <v>291</v>
      </c>
      <c r="B6" s="81" t="s">
        <v>292</v>
      </c>
    </row>
    <row r="7" spans="1:2" ht="15.75" thickBot="1">
      <c r="A7" s="82" t="s">
        <v>293</v>
      </c>
      <c r="B7" s="79" t="s">
        <v>294</v>
      </c>
    </row>
    <row r="8" spans="1:2" ht="15.75" thickBot="1">
      <c r="A8" s="82" t="s">
        <v>295</v>
      </c>
      <c r="B8" s="79" t="s">
        <v>296</v>
      </c>
    </row>
    <row r="9" spans="1:2" ht="15.75" thickBot="1">
      <c r="A9" s="82" t="s">
        <v>297</v>
      </c>
      <c r="B9" s="79" t="s">
        <v>298</v>
      </c>
    </row>
    <row r="10" spans="1:2" ht="15.75" thickBot="1">
      <c r="A10" s="82" t="s">
        <v>299</v>
      </c>
      <c r="B10" s="79" t="s">
        <v>300</v>
      </c>
    </row>
    <row r="11" spans="1:2" ht="15.75" thickBot="1">
      <c r="A11" s="83" t="s">
        <v>301</v>
      </c>
      <c r="B11" s="84" t="s">
        <v>302</v>
      </c>
    </row>
    <row r="12" spans="1:2" ht="15.75" thickBot="1">
      <c r="A12" s="85" t="s">
        <v>303</v>
      </c>
      <c r="B12" s="86" t="s">
        <v>304</v>
      </c>
    </row>
    <row r="13" spans="1:2" ht="15.75" thickBot="1">
      <c r="A13" s="82" t="s">
        <v>305</v>
      </c>
      <c r="B13" s="79" t="s">
        <v>306</v>
      </c>
    </row>
    <row r="14" spans="1:2" ht="15.75" thickBot="1">
      <c r="A14" s="82" t="s">
        <v>307</v>
      </c>
      <c r="B14" s="79" t="s">
        <v>308</v>
      </c>
    </row>
    <row r="15" spans="1:2" ht="15.75" thickBot="1">
      <c r="A15" s="78" t="s">
        <v>309</v>
      </c>
    </row>
    <row r="16" spans="1:2" ht="15.75" thickBot="1">
      <c r="A16" s="80" t="s">
        <v>291</v>
      </c>
      <c r="B16" s="81" t="s">
        <v>292</v>
      </c>
    </row>
    <row r="17" spans="1:2" ht="15.75" thickBot="1">
      <c r="A17" s="82" t="s">
        <v>295</v>
      </c>
      <c r="B17" s="79" t="s">
        <v>296</v>
      </c>
    </row>
    <row r="18" spans="1:2" ht="15.75" thickBot="1">
      <c r="A18" s="82" t="s">
        <v>297</v>
      </c>
      <c r="B18" s="79" t="s">
        <v>310</v>
      </c>
    </row>
    <row r="19" spans="1:2" ht="15.75" thickBot="1">
      <c r="A19" s="82" t="s">
        <v>299</v>
      </c>
      <c r="B19" s="79" t="s">
        <v>311</v>
      </c>
    </row>
    <row r="20" spans="1:2" ht="15.75" thickBot="1">
      <c r="A20" s="83" t="s">
        <v>312</v>
      </c>
      <c r="B20" s="84" t="s">
        <v>313</v>
      </c>
    </row>
    <row r="23" spans="1:2" ht="15">
      <c r="A23" s="87" t="s">
        <v>314</v>
      </c>
    </row>
    <row r="24" spans="1:2" ht="15" thickBot="1"/>
    <row r="25" spans="1:2" ht="15.75" thickBot="1">
      <c r="A25" s="80" t="s">
        <v>315</v>
      </c>
      <c r="B25" s="81" t="s">
        <v>281</v>
      </c>
    </row>
    <row r="26" spans="1:2" ht="15.75" thickBot="1">
      <c r="A26" s="82" t="s">
        <v>295</v>
      </c>
      <c r="B26" s="79" t="s">
        <v>316</v>
      </c>
    </row>
    <row r="27" spans="1:2" ht="15.75" thickBot="1">
      <c r="A27" s="82" t="s">
        <v>297</v>
      </c>
      <c r="B27" s="79" t="s">
        <v>317</v>
      </c>
    </row>
    <row r="28" spans="1:2" ht="15.75" thickBot="1">
      <c r="A28" s="82" t="s">
        <v>318</v>
      </c>
      <c r="B28" s="79" t="s">
        <v>319</v>
      </c>
    </row>
    <row r="29" spans="1:2" ht="15.75" thickBot="1">
      <c r="A29" s="82" t="s">
        <v>299</v>
      </c>
      <c r="B29" s="79" t="s">
        <v>320</v>
      </c>
    </row>
    <row r="30" spans="1:2" ht="15.75" thickBot="1">
      <c r="A30" s="82" t="s">
        <v>301</v>
      </c>
      <c r="B30" s="79" t="s">
        <v>321</v>
      </c>
    </row>
    <row r="31" spans="1:2" ht="15.75" thickBot="1">
      <c r="A31" s="82" t="s">
        <v>322</v>
      </c>
      <c r="B31" s="79" t="s">
        <v>323</v>
      </c>
    </row>
    <row r="32" spans="1:2" ht="15">
      <c r="A32" s="89" t="s">
        <v>324</v>
      </c>
      <c r="B32" s="195" t="s">
        <v>326</v>
      </c>
    </row>
    <row r="33" spans="1:8" ht="30.75" thickBot="1">
      <c r="A33" s="82" t="s">
        <v>325</v>
      </c>
      <c r="B33" s="196"/>
    </row>
    <row r="35" spans="1:8" ht="15" thickBot="1"/>
    <row r="36" spans="1:8" ht="15" thickBot="1">
      <c r="A36" s="197" t="s">
        <v>273</v>
      </c>
      <c r="B36" s="198"/>
      <c r="C36" s="201" t="s">
        <v>327</v>
      </c>
      <c r="D36" s="202"/>
      <c r="E36" s="202"/>
      <c r="F36" s="202"/>
      <c r="G36" s="203"/>
      <c r="H36" s="95"/>
    </row>
    <row r="37" spans="1:8" ht="15" thickBot="1">
      <c r="A37" s="199"/>
      <c r="B37" s="200"/>
      <c r="C37" s="204" t="s">
        <v>328</v>
      </c>
      <c r="D37" s="205"/>
      <c r="E37" s="90" t="s">
        <v>329</v>
      </c>
      <c r="F37" s="206" t="s">
        <v>330</v>
      </c>
      <c r="G37" s="207"/>
    </row>
    <row r="38" spans="1:8" ht="15" thickBot="1">
      <c r="A38" s="96" t="s">
        <v>331</v>
      </c>
      <c r="B38" s="91" t="s">
        <v>332</v>
      </c>
      <c r="C38" s="91" t="s">
        <v>333</v>
      </c>
      <c r="D38" s="92" t="s">
        <v>332</v>
      </c>
      <c r="E38" s="92" t="s">
        <v>333</v>
      </c>
      <c r="F38" s="90" t="s">
        <v>333</v>
      </c>
      <c r="G38" s="93" t="s">
        <v>332</v>
      </c>
      <c r="H38" s="93" t="s">
        <v>333</v>
      </c>
    </row>
    <row r="39" spans="1:8" ht="28.5" customHeight="1" thickBot="1">
      <c r="A39" s="97" t="s">
        <v>334</v>
      </c>
      <c r="B39" s="192" t="s">
        <v>335</v>
      </c>
      <c r="C39" s="193"/>
      <c r="D39" s="192" t="s">
        <v>336</v>
      </c>
      <c r="E39" s="194"/>
      <c r="F39" s="194"/>
      <c r="G39" s="194"/>
      <c r="H39" s="193"/>
    </row>
    <row r="40" spans="1:8" ht="43.5" thickBot="1">
      <c r="A40" s="97" t="s">
        <v>337</v>
      </c>
      <c r="B40" s="192" t="s">
        <v>338</v>
      </c>
      <c r="C40" s="193"/>
      <c r="D40" s="94" t="s">
        <v>339</v>
      </c>
      <c r="E40" s="94" t="s">
        <v>340</v>
      </c>
      <c r="F40" s="94" t="s">
        <v>340</v>
      </c>
      <c r="G40" s="94" t="s">
        <v>339</v>
      </c>
      <c r="H40" s="94" t="s">
        <v>340</v>
      </c>
    </row>
    <row r="41" spans="1:8" ht="15" thickBot="1">
      <c r="A41" s="97" t="s">
        <v>341</v>
      </c>
      <c r="B41" s="192" t="s">
        <v>342</v>
      </c>
      <c r="C41" s="193"/>
      <c r="D41" s="192" t="s">
        <v>328</v>
      </c>
      <c r="E41" s="193"/>
      <c r="F41" s="94" t="s">
        <v>343</v>
      </c>
      <c r="G41" s="192" t="s">
        <v>344</v>
      </c>
      <c r="H41" s="193"/>
    </row>
    <row r="42" spans="1:8" ht="15" thickBot="1">
      <c r="A42" s="97" t="s">
        <v>281</v>
      </c>
      <c r="B42" s="192" t="s">
        <v>345</v>
      </c>
      <c r="C42" s="194"/>
      <c r="D42" s="194"/>
      <c r="E42" s="194"/>
      <c r="F42" s="193"/>
      <c r="G42" s="192" t="s">
        <v>346</v>
      </c>
      <c r="H42" s="193"/>
    </row>
    <row r="43" spans="1:8" ht="42.75">
      <c r="A43" s="98" t="s">
        <v>347</v>
      </c>
      <c r="B43" s="88" t="s">
        <v>349</v>
      </c>
      <c r="C43" s="195" t="s">
        <v>353</v>
      </c>
      <c r="D43" s="88" t="s">
        <v>349</v>
      </c>
      <c r="E43" s="195" t="s">
        <v>353</v>
      </c>
      <c r="F43" s="195" t="s">
        <v>353</v>
      </c>
      <c r="G43" s="88" t="s">
        <v>356</v>
      </c>
      <c r="H43" s="195" t="s">
        <v>353</v>
      </c>
    </row>
    <row r="44" spans="1:8" ht="42.75">
      <c r="A44" s="98" t="s">
        <v>348</v>
      </c>
      <c r="B44" s="99" t="s">
        <v>350</v>
      </c>
      <c r="C44" s="208"/>
      <c r="D44" s="88" t="s">
        <v>354</v>
      </c>
      <c r="E44" s="208"/>
      <c r="F44" s="208"/>
      <c r="G44" s="88" t="s">
        <v>357</v>
      </c>
      <c r="H44" s="208"/>
    </row>
    <row r="45" spans="1:8" ht="42.75">
      <c r="A45" s="98"/>
      <c r="B45" s="88" t="s">
        <v>351</v>
      </c>
      <c r="C45" s="208"/>
      <c r="D45" s="88" t="s">
        <v>351</v>
      </c>
      <c r="E45" s="208"/>
      <c r="F45" s="208"/>
      <c r="G45" s="88" t="s">
        <v>358</v>
      </c>
      <c r="H45" s="208"/>
    </row>
    <row r="46" spans="1:8" ht="15" thickBot="1">
      <c r="A46" s="97"/>
      <c r="B46" s="94" t="s">
        <v>352</v>
      </c>
      <c r="C46" s="196"/>
      <c r="D46" s="94" t="s">
        <v>355</v>
      </c>
      <c r="E46" s="196"/>
      <c r="F46" s="196"/>
      <c r="G46" s="94"/>
      <c r="H46" s="196"/>
    </row>
    <row r="47" spans="1:8" ht="42.75">
      <c r="A47" s="98" t="s">
        <v>359</v>
      </c>
      <c r="B47" s="195" t="s">
        <v>353</v>
      </c>
      <c r="C47" s="209">
        <v>1.0999999999999999E-2</v>
      </c>
      <c r="D47" s="195" t="s">
        <v>353</v>
      </c>
      <c r="E47" s="212">
        <v>1.0999999999999999E-2</v>
      </c>
      <c r="F47" s="212">
        <v>3.9E-2</v>
      </c>
      <c r="G47" s="195" t="s">
        <v>353</v>
      </c>
      <c r="H47" s="88" t="s">
        <v>356</v>
      </c>
    </row>
    <row r="48" spans="1:8" ht="42.75">
      <c r="A48" s="98" t="s">
        <v>348</v>
      </c>
      <c r="B48" s="208"/>
      <c r="C48" s="210"/>
      <c r="D48" s="208"/>
      <c r="E48" s="213"/>
      <c r="F48" s="213"/>
      <c r="G48" s="208"/>
      <c r="H48" s="88" t="s">
        <v>357</v>
      </c>
    </row>
    <row r="49" spans="1:8" ht="43.5" thickBot="1">
      <c r="A49" s="97"/>
      <c r="B49" s="196"/>
      <c r="C49" s="211"/>
      <c r="D49" s="196"/>
      <c r="E49" s="214"/>
      <c r="F49" s="214"/>
      <c r="G49" s="196"/>
      <c r="H49" s="94" t="s">
        <v>358</v>
      </c>
    </row>
    <row r="50" spans="1:8" ht="127.5" customHeight="1">
      <c r="A50" s="98" t="s">
        <v>360</v>
      </c>
      <c r="B50" s="195" t="s">
        <v>353</v>
      </c>
      <c r="C50" s="223" t="s">
        <v>362</v>
      </c>
      <c r="D50" s="195" t="s">
        <v>353</v>
      </c>
      <c r="E50" s="195" t="s">
        <v>353</v>
      </c>
      <c r="F50" s="195" t="s">
        <v>353</v>
      </c>
      <c r="G50" s="195" t="s">
        <v>353</v>
      </c>
      <c r="H50" s="195" t="s">
        <v>363</v>
      </c>
    </row>
    <row r="51" spans="1:8" ht="15" thickBot="1">
      <c r="A51" s="97" t="s">
        <v>361</v>
      </c>
      <c r="B51" s="196"/>
      <c r="C51" s="224"/>
      <c r="D51" s="196"/>
      <c r="E51" s="196"/>
      <c r="F51" s="196"/>
      <c r="G51" s="196"/>
      <c r="H51" s="196"/>
    </row>
    <row r="52" spans="1:8" ht="15" thickBot="1">
      <c r="A52" s="97" t="s">
        <v>364</v>
      </c>
      <c r="B52" s="192" t="s">
        <v>365</v>
      </c>
      <c r="C52" s="194"/>
      <c r="D52" s="194"/>
      <c r="E52" s="194"/>
      <c r="F52" s="194"/>
      <c r="G52" s="194"/>
      <c r="H52" s="193"/>
    </row>
    <row r="53" spans="1:8" ht="14.25" customHeight="1">
      <c r="A53" s="215" t="s">
        <v>366</v>
      </c>
      <c r="B53" s="217" t="s">
        <v>367</v>
      </c>
      <c r="C53" s="218"/>
      <c r="D53" s="218"/>
      <c r="E53" s="218"/>
      <c r="F53" s="218"/>
      <c r="G53" s="218"/>
      <c r="H53" s="219"/>
    </row>
    <row r="54" spans="1:8" ht="15" thickBot="1">
      <c r="A54" s="216"/>
      <c r="B54" s="220" t="s">
        <v>368</v>
      </c>
      <c r="C54" s="221"/>
      <c r="D54" s="221"/>
      <c r="E54" s="221"/>
      <c r="F54" s="221"/>
      <c r="G54" s="221"/>
      <c r="H54" s="222"/>
    </row>
    <row r="55" spans="1:8" ht="14.25" customHeight="1">
      <c r="A55" s="215" t="s">
        <v>369</v>
      </c>
      <c r="B55" s="217" t="s">
        <v>370</v>
      </c>
      <c r="C55" s="218"/>
      <c r="D55" s="218"/>
      <c r="E55" s="218"/>
      <c r="F55" s="218"/>
      <c r="G55" s="218"/>
      <c r="H55" s="219"/>
    </row>
    <row r="56" spans="1:8" ht="15" thickBot="1">
      <c r="A56" s="216"/>
      <c r="B56" s="220" t="s">
        <v>371</v>
      </c>
      <c r="C56" s="221"/>
      <c r="D56" s="221"/>
      <c r="E56" s="221"/>
      <c r="F56" s="221"/>
      <c r="G56" s="221"/>
      <c r="H56" s="222"/>
    </row>
    <row r="57" spans="1:8" ht="28.5" customHeight="1">
      <c r="A57" s="215" t="s">
        <v>372</v>
      </c>
      <c r="B57" s="217" t="s">
        <v>373</v>
      </c>
      <c r="C57" s="218"/>
      <c r="D57" s="219"/>
      <c r="E57" s="217" t="s">
        <v>374</v>
      </c>
      <c r="F57" s="218"/>
      <c r="G57" s="218"/>
      <c r="H57" s="219"/>
    </row>
    <row r="58" spans="1:8" ht="28.5" customHeight="1">
      <c r="A58" s="225"/>
      <c r="B58" s="226"/>
      <c r="C58" s="227"/>
      <c r="D58" s="228"/>
      <c r="E58" s="226" t="s">
        <v>375</v>
      </c>
      <c r="F58" s="227"/>
      <c r="G58" s="227"/>
      <c r="H58" s="228"/>
    </row>
    <row r="59" spans="1:8" ht="28.5" customHeight="1" thickBot="1">
      <c r="A59" s="216"/>
      <c r="B59" s="220"/>
      <c r="C59" s="221"/>
      <c r="D59" s="222"/>
      <c r="E59" s="220" t="s">
        <v>376</v>
      </c>
      <c r="F59" s="221"/>
      <c r="G59" s="221"/>
      <c r="H59" s="222"/>
    </row>
  </sheetData>
  <mergeCells count="42">
    <mergeCell ref="A57:A59"/>
    <mergeCell ref="B57:D59"/>
    <mergeCell ref="E57:H57"/>
    <mergeCell ref="E58:H58"/>
    <mergeCell ref="E59:H59"/>
    <mergeCell ref="A55:A56"/>
    <mergeCell ref="B55:H55"/>
    <mergeCell ref="B56:H56"/>
    <mergeCell ref="B50:B51"/>
    <mergeCell ref="C50:C51"/>
    <mergeCell ref="D50:D51"/>
    <mergeCell ref="E50:E51"/>
    <mergeCell ref="F50:F51"/>
    <mergeCell ref="G50:G51"/>
    <mergeCell ref="H50:H51"/>
    <mergeCell ref="B52:H52"/>
    <mergeCell ref="A53:A54"/>
    <mergeCell ref="B53:H53"/>
    <mergeCell ref="B54:H54"/>
    <mergeCell ref="C43:C46"/>
    <mergeCell ref="E43:E46"/>
    <mergeCell ref="F43:F46"/>
    <mergeCell ref="H43:H46"/>
    <mergeCell ref="B47:B49"/>
    <mergeCell ref="C47:C49"/>
    <mergeCell ref="D47:D49"/>
    <mergeCell ref="E47:E49"/>
    <mergeCell ref="F47:F49"/>
    <mergeCell ref="G47:G49"/>
    <mergeCell ref="B40:C40"/>
    <mergeCell ref="B41:C41"/>
    <mergeCell ref="D41:E41"/>
    <mergeCell ref="G41:H41"/>
    <mergeCell ref="B42:F42"/>
    <mergeCell ref="G42:H42"/>
    <mergeCell ref="B39:C39"/>
    <mergeCell ref="D39:H39"/>
    <mergeCell ref="B32:B33"/>
    <mergeCell ref="A36:B37"/>
    <mergeCell ref="C36:G36"/>
    <mergeCell ref="C37:D37"/>
    <mergeCell ref="F37:G37"/>
  </mergeCells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2"/>
  <dimension ref="A1"/>
  <sheetViews>
    <sheetView workbookViewId="0">
      <selection activeCell="T42" sqref="T42"/>
    </sheetView>
  </sheetViews>
  <sheetFormatPr defaultRowHeight="14.25"/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表紙-</vt:lpstr>
      <vt:lpstr>建玉管理</vt:lpstr>
      <vt:lpstr>取引履歴</vt:lpstr>
      <vt:lpstr>資産状況</vt:lpstr>
      <vt:lpstr>監視</vt:lpstr>
      <vt:lpstr>シミュレーション</vt:lpstr>
      <vt:lpstr>Search Result</vt:lpstr>
      <vt:lpstr>個別計算</vt:lpstr>
      <vt:lpstr>日経サヤ計算</vt:lpstr>
      <vt:lpstr>グラフ</vt:lpstr>
      <vt:lpstr>code</vt:lpstr>
      <vt:lpstr>元データ</vt:lpstr>
      <vt:lpstr>改訂欄</vt:lpstr>
      <vt:lpstr>Fee_Refer</vt:lpstr>
      <vt:lpstr>Faiue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2019-10-22T02:13:25Z</dcterms:modified>
</cp:coreProperties>
</file>