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10"/>
  </bookViews>
  <sheets>
    <sheet name="表紙-" sheetId="1" r:id="rId1"/>
    <sheet name="建玉管理" sheetId="2" r:id="rId2"/>
    <sheet name="取引履歴" sheetId="13" r:id="rId3"/>
    <sheet name="資産状況" sheetId="15" r:id="rId4"/>
    <sheet name="損益分析" sheetId="20" r:id="rId5"/>
    <sheet name="監視" sheetId="3" r:id="rId6"/>
    <sheet name="シミュレーション" sheetId="4" r:id="rId7"/>
    <sheet name="Search Result" sheetId="5" r:id="rId8"/>
    <sheet name="個別計算" sheetId="6" r:id="rId9"/>
    <sheet name="日経サヤ計算" sheetId="11" r:id="rId10"/>
    <sheet name="グラフ" sheetId="7" r:id="rId11"/>
    <sheet name="code" sheetId="8" r:id="rId12"/>
    <sheet name="元データ" sheetId="9" r:id="rId13"/>
    <sheet name="改訂欄" sheetId="10" r:id="rId14"/>
    <sheet name="Fee_Refer" sheetId="17" r:id="rId15"/>
    <sheet name="Faiue" sheetId="18" r:id="rId16"/>
    <sheet name="Fiscal_date" sheetId="19" r:id="rId17"/>
  </sheets>
  <functionGroups/>
  <definedNames>
    <definedName name="_xlnm._FilterDatabase" localSheetId="2" hidden="1">取引履歴!$B$3:$AC$23</definedName>
    <definedName name="_xlnm._FilterDatabase" localSheetId="12" hidden="1">元データ!$A$1:$AH$1</definedName>
  </definedNames>
  <calcPr calcId="125725"/>
</workbook>
</file>

<file path=xl/calcChain.xml><?xml version="1.0" encoding="utf-8"?>
<calcChain xmlns="http://schemas.openxmlformats.org/spreadsheetml/2006/main">
  <c r="R2" i="13"/>
  <c r="J9" i="2"/>
  <c r="J8"/>
  <c r="C8"/>
  <c r="AC32" i="13"/>
  <c r="AB32"/>
  <c r="AA32"/>
  <c r="AC30"/>
  <c r="AB30"/>
  <c r="AA30"/>
  <c r="P4" i="3"/>
  <c r="N4"/>
  <c r="J4"/>
  <c r="V3"/>
  <c r="U3"/>
  <c r="P3"/>
  <c r="N3"/>
  <c r="J3"/>
  <c r="C3"/>
  <c r="J7" i="2"/>
  <c r="J6"/>
  <c r="C6"/>
  <c r="M33" i="13"/>
  <c r="M31"/>
  <c r="M23"/>
  <c r="P23" s="1"/>
  <c r="Q23" s="1"/>
  <c r="M21"/>
  <c r="P21" s="1"/>
  <c r="Q21" s="1"/>
  <c r="M17"/>
  <c r="P17" s="1"/>
  <c r="Q17" s="1"/>
  <c r="M15"/>
  <c r="P15" s="1"/>
  <c r="Q15" s="1"/>
  <c r="P13"/>
  <c r="M13"/>
  <c r="Q13" s="1"/>
  <c r="M32"/>
  <c r="M30"/>
  <c r="M29"/>
  <c r="M28"/>
  <c r="M27"/>
  <c r="P27" s="1"/>
  <c r="Q27" s="1"/>
  <c r="M26"/>
  <c r="P26" s="1"/>
  <c r="Q26" s="1"/>
  <c r="M25"/>
  <c r="P25" s="1"/>
  <c r="Q25" s="1"/>
  <c r="M24"/>
  <c r="M22"/>
  <c r="P22" s="1"/>
  <c r="Q22" s="1"/>
  <c r="M20"/>
  <c r="P20" s="1"/>
  <c r="Q20" s="1"/>
  <c r="M19"/>
  <c r="P19" s="1"/>
  <c r="Q19" s="1"/>
  <c r="M18"/>
  <c r="M16"/>
  <c r="P16" s="1"/>
  <c r="Q16" s="1"/>
  <c r="M14"/>
  <c r="M12"/>
  <c r="P12" s="1"/>
  <c r="Q12" s="1"/>
  <c r="M11"/>
  <c r="M10"/>
  <c r="P10" s="1"/>
  <c r="Q10" s="1"/>
  <c r="M9"/>
  <c r="M8"/>
  <c r="P8" s="1"/>
  <c r="Q8" s="1"/>
  <c r="M7"/>
  <c r="P7" s="1"/>
  <c r="Q7" s="1"/>
  <c r="M6"/>
  <c r="P6" s="1"/>
  <c r="Q6" s="1"/>
  <c r="P9"/>
  <c r="Q9" s="1"/>
  <c r="P11"/>
  <c r="Q11" s="1"/>
  <c r="P14"/>
  <c r="Q14" s="1"/>
  <c r="P18"/>
  <c r="Q18" s="1"/>
  <c r="P24"/>
  <c r="Q24" s="1"/>
  <c r="P28"/>
  <c r="Q28" s="1"/>
  <c r="P29"/>
  <c r="Q29" s="1"/>
  <c r="P30"/>
  <c r="Q30" s="1"/>
  <c r="P31"/>
  <c r="Q31" s="1"/>
  <c r="P32"/>
  <c r="Q32" s="1"/>
  <c r="P33"/>
  <c r="Q33" s="1"/>
  <c r="M5"/>
  <c r="O5"/>
  <c r="P5" s="1"/>
  <c r="Q5" s="1"/>
  <c r="Q4"/>
  <c r="P4"/>
  <c r="M4"/>
  <c r="J33"/>
  <c r="V32"/>
  <c r="N32" s="1"/>
  <c r="J32"/>
  <c r="J31"/>
  <c r="V30"/>
  <c r="N30" s="1"/>
  <c r="J30"/>
  <c r="C4" i="20"/>
  <c r="C5" s="1"/>
  <c r="AC28" i="13"/>
  <c r="AB28"/>
  <c r="AA28"/>
  <c r="C19" i="4"/>
  <c r="C18"/>
  <c r="C4" i="17"/>
  <c r="C5"/>
  <c r="C6"/>
  <c r="C3"/>
  <c r="J5" i="2"/>
  <c r="J4"/>
  <c r="C4"/>
  <c r="C26" i="13"/>
  <c r="J26"/>
  <c r="J27"/>
  <c r="C24"/>
  <c r="J24"/>
  <c r="J25"/>
  <c r="AB22"/>
  <c r="AA22"/>
  <c r="C22"/>
  <c r="J22"/>
  <c r="J23"/>
  <c r="C20"/>
  <c r="J20"/>
  <c r="J21"/>
  <c r="AB18"/>
  <c r="AA18"/>
  <c r="J19"/>
  <c r="V18"/>
  <c r="J18"/>
  <c r="C18"/>
  <c r="AA14"/>
  <c r="AB14"/>
  <c r="AA16"/>
  <c r="AB16"/>
  <c r="J17"/>
  <c r="V16"/>
  <c r="J16"/>
  <c r="C16"/>
  <c r="J15"/>
  <c r="V14"/>
  <c r="J14"/>
  <c r="C14"/>
  <c r="C12"/>
  <c r="J12"/>
  <c r="J13"/>
  <c r="AA10"/>
  <c r="AB10"/>
  <c r="V10"/>
  <c r="J11"/>
  <c r="J10"/>
  <c r="C10"/>
  <c r="AB6"/>
  <c r="AB8"/>
  <c r="AB4"/>
  <c r="AA6"/>
  <c r="AA8"/>
  <c r="AA4"/>
  <c r="J9"/>
  <c r="V8"/>
  <c r="J8"/>
  <c r="C8"/>
  <c r="V6"/>
  <c r="V4"/>
  <c r="P1" i="2"/>
  <c r="V24" i="13" s="1"/>
  <c r="U8" i="2" l="1"/>
  <c r="V8" s="1"/>
  <c r="Q4" i="3"/>
  <c r="R3"/>
  <c r="S3" s="1"/>
  <c r="Q3"/>
  <c r="U6" i="2"/>
  <c r="V6" s="1"/>
  <c r="R32" i="13"/>
  <c r="S32" s="1"/>
  <c r="R30"/>
  <c r="S30" s="1"/>
  <c r="R26"/>
  <c r="U4" i="2"/>
  <c r="V4" s="1"/>
  <c r="AB24" i="13"/>
  <c r="AA24"/>
  <c r="R24"/>
  <c r="R22"/>
  <c r="V22"/>
  <c r="R16"/>
  <c r="R20"/>
  <c r="R18"/>
  <c r="R14"/>
  <c r="R12"/>
  <c r="R8"/>
  <c r="S8" s="1"/>
  <c r="R10"/>
  <c r="J2" i="2"/>
  <c r="R6" i="13"/>
  <c r="R4"/>
  <c r="N9" i="2" l="1"/>
  <c r="P9" s="1"/>
  <c r="Q9" s="1"/>
  <c r="N8"/>
  <c r="P8" s="1"/>
  <c r="N6"/>
  <c r="P6" s="1"/>
  <c r="N7"/>
  <c r="P7" s="1"/>
  <c r="Q7" s="1"/>
  <c r="S26" i="13"/>
  <c r="AC26"/>
  <c r="N4" i="2"/>
  <c r="P4" s="1"/>
  <c r="N5"/>
  <c r="P5" s="1"/>
  <c r="V26" i="13"/>
  <c r="AA26"/>
  <c r="AB26"/>
  <c r="S24"/>
  <c r="AC24"/>
  <c r="S22"/>
  <c r="AC22"/>
  <c r="S20"/>
  <c r="AC20"/>
  <c r="V20"/>
  <c r="AA20"/>
  <c r="AB20"/>
  <c r="S14"/>
  <c r="AC14"/>
  <c r="S18"/>
  <c r="AC18"/>
  <c r="S16"/>
  <c r="AC16"/>
  <c r="S12"/>
  <c r="AC12"/>
  <c r="V12"/>
  <c r="AA12"/>
  <c r="AB12"/>
  <c r="S4"/>
  <c r="AC4"/>
  <c r="S6"/>
  <c r="AC6"/>
  <c r="AC8"/>
  <c r="S10"/>
  <c r="AC10"/>
  <c r="R8" i="2" l="1"/>
  <c r="S8" s="1"/>
  <c r="Q8"/>
  <c r="Q6"/>
  <c r="R6"/>
  <c r="S6" s="1"/>
  <c r="Q4"/>
  <c r="R4"/>
  <c r="S4" s="1"/>
  <c r="Q5"/>
  <c r="L5" i="20"/>
  <c r="M4" l="1"/>
  <c r="V4"/>
  <c r="V3"/>
  <c r="V5"/>
  <c r="K4"/>
  <c r="K5"/>
  <c r="K3"/>
  <c r="M3"/>
  <c r="M5"/>
  <c r="L4"/>
  <c r="L3"/>
  <c r="S2" i="2"/>
  <c r="R2"/>
  <c r="P3" i="20" l="1"/>
  <c r="E3"/>
  <c r="P4" l="1"/>
  <c r="E4"/>
  <c r="P5" l="1"/>
  <c r="E5"/>
</calcChain>
</file>

<file path=xl/sharedStrings.xml><?xml version="1.0" encoding="utf-8"?>
<sst xmlns="http://schemas.openxmlformats.org/spreadsheetml/2006/main" count="6134" uniqueCount="1368">
  <si>
    <t>サヤ</t>
    <phoneticPr fontId="1" type="noConversion"/>
  </si>
  <si>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</si>
  <si>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</si>
  <si>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</si>
  <si>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</si>
  <si>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</si>
  <si>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</si>
  <si>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</si>
  <si>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</si>
  <si>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</si>
  <si>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</si>
  <si>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</si>
  <si>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</si>
  <si>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</si>
  <si>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</si>
  <si>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</si>
  <si>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</si>
  <si>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</si>
  <si>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</si>
  <si>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</si>
  <si>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サヤ移動平均（σ）</t>
    <phoneticPr fontId="1" type="noConversion"/>
  </si>
  <si>
    <t>同業/異業</t>
    <phoneticPr fontId="1" type="noConversion"/>
  </si>
  <si>
    <t>銘柄名</t>
    <phoneticPr fontId="1" type="noConversion"/>
  </si>
  <si>
    <t>業種分類</t>
    <phoneticPr fontId="1" type="noConversion"/>
  </si>
  <si>
    <t>勝率</t>
    <phoneticPr fontId="1" type="noConversion"/>
  </si>
  <si>
    <t>１年間で最大サヤ</t>
    <phoneticPr fontId="1" type="noConversion"/>
  </si>
  <si>
    <t>今日時点のサヤ</t>
    <phoneticPr fontId="1" type="noConversion"/>
  </si>
  <si>
    <t>標準偏差</t>
    <phoneticPr fontId="1" type="noConversion"/>
  </si>
  <si>
    <t>サヤ移動平均（+1σ）</t>
    <phoneticPr fontId="1" type="noConversion"/>
  </si>
  <si>
    <t>指数（σ）</t>
    <phoneticPr fontId="1" type="noConversion"/>
  </si>
  <si>
    <t>売買指示</t>
    <phoneticPr fontId="1" type="noConversion"/>
  </si>
  <si>
    <t>売買金額</t>
    <phoneticPr fontId="1" type="noConversion"/>
  </si>
  <si>
    <t>売り　６，０００</t>
    <phoneticPr fontId="1" type="noConversion"/>
  </si>
  <si>
    <t>株価１（今日）</t>
    <phoneticPr fontId="1" type="noConversion"/>
  </si>
  <si>
    <t>株価２（今日）</t>
    <phoneticPr fontId="1" type="noConversion"/>
  </si>
  <si>
    <t>銘柄コード２</t>
    <phoneticPr fontId="1" type="noConversion"/>
  </si>
  <si>
    <t>銘柄１の株価</t>
    <phoneticPr fontId="1" type="noConversion"/>
  </si>
  <si>
    <t>銘柄２の株価</t>
    <phoneticPr fontId="1" type="noConversion"/>
  </si>
  <si>
    <t>銘柄１の変動率</t>
    <phoneticPr fontId="1" type="noConversion"/>
  </si>
  <si>
    <t>銘柄２の変動率</t>
    <phoneticPr fontId="1" type="noConversion"/>
  </si>
  <si>
    <t>銘柄１－２</t>
    <phoneticPr fontId="1" type="noConversion"/>
  </si>
  <si>
    <t>バッグテスト収益率</t>
    <phoneticPr fontId="1" type="noConversion"/>
  </si>
  <si>
    <t>勝ち回数</t>
    <phoneticPr fontId="1" type="noConversion"/>
  </si>
  <si>
    <t>負け回数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</si>
  <si>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</si>
  <si>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</si>
  <si>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</si>
  <si>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</si>
  <si>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</si>
  <si>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</si>
  <si>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</si>
  <si>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</si>
  <si>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</si>
  <si>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</si>
  <si>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</si>
  <si>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</si>
  <si>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</si>
  <si>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</si>
  <si>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</si>
  <si>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</si>
  <si>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</si>
  <si>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</si>
  <si>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</si>
  <si>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</si>
  <si>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</si>
  <si>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</si>
  <si>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</si>
  <si>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</si>
  <si>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</si>
  <si>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</si>
  <si>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</si>
  <si>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</si>
  <si>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</si>
  <si>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</si>
  <si>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</si>
  <si>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</si>
  <si>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</si>
  <si>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</si>
  <si>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</si>
  <si>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</si>
  <si>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</si>
  <si>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</si>
  <si>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</si>
  <si>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</si>
  <si>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</si>
  <si>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</si>
  <si>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</si>
  <si>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</si>
  <si>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</si>
  <si>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王子ホールディングス</t>
  </si>
  <si>
    <t>マスタファイル</t>
    <phoneticPr fontId="1" type="noConversion"/>
  </si>
  <si>
    <t>G:\Stock\pairs_trade\pair_trade\stock_data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</si>
  <si>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</si>
  <si>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</si>
  <si>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</si>
  <si>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</si>
  <si>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</si>
  <si>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</si>
  <si>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</si>
  <si>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SIGMA</t>
  </si>
  <si>
    <t>stop_profit_times</t>
  </si>
  <si>
    <t>stop_loss_times</t>
  </si>
  <si>
    <t>max_day_over_times</t>
  </si>
  <si>
    <t>建設業</t>
  </si>
  <si>
    <t>情報・通信業</t>
  </si>
  <si>
    <t>パルプ・紙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</si>
  <si>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</si>
  <si>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</si>
  <si>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</si>
  <si>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</si>
  <si>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</si>
  <si>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</si>
  <si>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</si>
  <si>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</si>
  <si>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ダイセル</t>
  </si>
  <si>
    <t>日清紡ホールディングス</t>
  </si>
  <si>
    <t>東海理化電機製作所</t>
  </si>
  <si>
    <t>鉄鋼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</si>
  <si>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</si>
  <si>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</si>
  <si>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</si>
  <si>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</si>
  <si>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</si>
  <si>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</si>
  <si>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機械</t>
  </si>
  <si>
    <t>めぶきフィナンシャルグループ</t>
  </si>
  <si>
    <t>卸売業</t>
  </si>
  <si>
    <t>りそなホールディングス</t>
  </si>
  <si>
    <t>住友林業</t>
  </si>
  <si>
    <t>良品計画</t>
  </si>
  <si>
    <t>パナソニック</t>
  </si>
  <si>
    <t>ガラス・土石製品</t>
  </si>
  <si>
    <t>シチズン時計</t>
  </si>
  <si>
    <t>椿本チエイン</t>
  </si>
  <si>
    <t>小松製作所</t>
  </si>
  <si>
    <t>保険業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</si>
  <si>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</si>
  <si>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</si>
  <si>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</si>
  <si>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</si>
  <si>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</si>
  <si>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</si>
  <si>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日野自動車</t>
  </si>
  <si>
    <t>本田技研工業</t>
  </si>
  <si>
    <t>陸運業</t>
  </si>
  <si>
    <t>サービス業</t>
  </si>
  <si>
    <t>みずほフィナンシャルグループ</t>
  </si>
  <si>
    <t>西松建設</t>
  </si>
  <si>
    <t>デンカ</t>
  </si>
  <si>
    <t>電気・ガス業</t>
  </si>
  <si>
    <t>トヨタ紡織</t>
  </si>
  <si>
    <t>ニッコンホールディングス</t>
  </si>
  <si>
    <t>日鉄物産</t>
  </si>
  <si>
    <t>住友ゴム工業</t>
  </si>
  <si>
    <t>ゴム製品</t>
  </si>
  <si>
    <t>日揮</t>
  </si>
  <si>
    <t>住友電気工業</t>
  </si>
  <si>
    <t>非鉄金属</t>
  </si>
  <si>
    <t>ジェイテクト</t>
  </si>
  <si>
    <t>ＮＴＮ</t>
  </si>
  <si>
    <t>Ｔ＆Ｄホールディングス</t>
  </si>
  <si>
    <t>医薬品</t>
  </si>
  <si>
    <t>かんぽ生命保険</t>
  </si>
  <si>
    <t>日本精工</t>
  </si>
  <si>
    <t>日東電工</t>
  </si>
  <si>
    <t>東洋インキＳＣホールディングス</t>
  </si>
  <si>
    <t>第四北越フィナンシャルグループ</t>
  </si>
  <si>
    <t>丸一鋼管</t>
  </si>
  <si>
    <t>太平洋セメント</t>
  </si>
  <si>
    <t>三菱ＵＦＪフィナンシャル・グループ</t>
  </si>
  <si>
    <t>銘柄コード１</t>
    <phoneticPr fontId="1" type="noConversion"/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</si>
  <si>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</si>
  <si>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</si>
  <si>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</si>
  <si>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</si>
  <si>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</si>
  <si>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</si>
  <si>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</si>
  <si>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</si>
  <si>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</si>
  <si>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</si>
  <si>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</si>
  <si>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</si>
  <si>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</si>
  <si>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</si>
  <si>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</si>
  <si>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</si>
  <si>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</si>
  <si>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</si>
  <si>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</si>
  <si>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</si>
  <si>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</si>
  <si>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</si>
  <si>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</si>
  <si>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</si>
  <si>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</si>
  <si>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</si>
  <si>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</si>
  <si>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</si>
  <si>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</si>
  <si>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</si>
  <si>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</si>
  <si>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</si>
  <si>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</si>
  <si>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</si>
  <si>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</si>
  <si>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</si>
  <si>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</si>
  <si>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</si>
  <si>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</si>
  <si>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</si>
  <si>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</si>
  <si>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</si>
  <si>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</si>
  <si>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</si>
  <si>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</si>
  <si>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</si>
  <si>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</si>
  <si>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</si>
  <si>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</si>
  <si>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</si>
  <si>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</si>
  <si>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</si>
  <si>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</si>
  <si>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</si>
  <si>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</si>
  <si>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</si>
  <si>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</si>
  <si>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</si>
  <si>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</si>
  <si>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</si>
  <si>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</si>
  <si>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</si>
  <si>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</si>
  <si>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</si>
  <si>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</si>
  <si>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</si>
  <si>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</si>
  <si>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</si>
  <si>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</si>
  <si>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</si>
  <si>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</si>
  <si>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</si>
  <si>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</si>
  <si>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</si>
  <si>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</si>
  <si>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</si>
  <si>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</si>
  <si>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</si>
  <si>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</si>
  <si>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</si>
  <si>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</si>
  <si>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</si>
  <si>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</si>
  <si>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</si>
  <si>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</si>
  <si>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</si>
  <si>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</si>
  <si>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</si>
  <si>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</si>
  <si>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</si>
  <si>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</si>
  <si>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</si>
  <si>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</si>
  <si>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</si>
  <si>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</si>
  <si>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</si>
  <si>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</si>
  <si>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</si>
  <si>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</si>
  <si>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</si>
  <si>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</si>
  <si>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</si>
  <si>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</si>
  <si>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</si>
  <si>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</si>
  <si>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</si>
  <si>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</si>
  <si>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</si>
  <si>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</si>
  <si>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</si>
  <si>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</si>
  <si>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</si>
  <si>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</si>
  <si>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</si>
  <si>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</si>
  <si>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</si>
  <si>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</si>
  <si>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</si>
  <si>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</si>
  <si>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</si>
  <si>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</si>
  <si>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</si>
  <si>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</si>
  <si>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</si>
  <si>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</si>
  <si>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</si>
  <si>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</si>
  <si>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</si>
  <si>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</si>
  <si>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</si>
  <si>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</si>
  <si>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</si>
  <si>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</si>
  <si>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</si>
  <si>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</si>
  <si>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銘柄１（売り銘柄）</t>
  </si>
  <si>
    <t>銘柄２（買い銘柄）</t>
  </si>
  <si>
    <t>バックテスト</t>
  </si>
  <si>
    <t>相関</t>
  </si>
  <si>
    <t>Code</t>
  </si>
  <si>
    <t>Name</t>
  </si>
  <si>
    <t>業種</t>
  </si>
  <si>
    <t>Price</t>
  </si>
  <si>
    <t>Lot</t>
  </si>
  <si>
    <t>離率</t>
  </si>
  <si>
    <t>Mount1</t>
  </si>
  <si>
    <t>Mount2</t>
  </si>
  <si>
    <t>Ave Profit</t>
  </si>
  <si>
    <t>Total 
Times</t>
  </si>
  <si>
    <t>Profit
Times</t>
  </si>
  <si>
    <t>ST/SP/OM</t>
  </si>
  <si>
    <t>PL</t>
  </si>
  <si>
    <t>Open
Days</t>
  </si>
  <si>
    <t>CORR
1Y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</si>
  <si>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</si>
  <si>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</si>
  <si>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</si>
  <si>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</si>
  <si>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その他金融業</t>
  </si>
  <si>
    <t>ヤマハ発動機</t>
  </si>
  <si>
    <t>三井化学</t>
  </si>
  <si>
    <t>日本特殊陶業</t>
  </si>
  <si>
    <t>積水ハウス</t>
  </si>
  <si>
    <t>大同特殊鋼</t>
  </si>
  <si>
    <t>イオン</t>
  </si>
  <si>
    <t>日本軽金属ホールディングス</t>
  </si>
  <si>
    <t>SYM_A</t>
  </si>
  <si>
    <t>アズビル</t>
  </si>
  <si>
    <t>牧野フライス製作所</t>
  </si>
  <si>
    <t>田辺三菱製薬</t>
  </si>
  <si>
    <t>ＮＥＣネッツエスアイ</t>
  </si>
  <si>
    <t>三菱ＵＦＪリース</t>
  </si>
  <si>
    <t>前田建設工業</t>
  </si>
  <si>
    <t>ウシオ電機</t>
  </si>
  <si>
    <t>グローリー</t>
  </si>
  <si>
    <t>不二越</t>
  </si>
  <si>
    <t>三菱電機</t>
  </si>
  <si>
    <t>ＡＤＥＫＡ</t>
  </si>
  <si>
    <t>バローホールディングス</t>
  </si>
  <si>
    <t>興銀リース</t>
  </si>
  <si>
    <t>関西ペイント</t>
  </si>
  <si>
    <t>日立ハイテクノロジーズ</t>
  </si>
  <si>
    <t>東洋製罐グループホールディングス</t>
  </si>
  <si>
    <t>日本電子</t>
  </si>
  <si>
    <t>積水化学工業</t>
  </si>
  <si>
    <t>リンナイ</t>
  </si>
  <si>
    <t>イビデン</t>
  </si>
  <si>
    <t>エス・エム・エス</t>
  </si>
  <si>
    <t>クミアイ化学工業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</si>
  <si>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</si>
  <si>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</si>
  <si>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</si>
  <si>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</si>
  <si>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</si>
  <si>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</si>
  <si>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</si>
  <si>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ショーワ</t>
  </si>
  <si>
    <t>日本空港ビルデング</t>
  </si>
  <si>
    <t>神戸物産</t>
  </si>
  <si>
    <t>リクルートホールディングス</t>
  </si>
  <si>
    <t>Max</t>
    <phoneticPr fontId="1" type="noConversion"/>
  </si>
  <si>
    <t>Min</t>
    <phoneticPr fontId="1" type="noConversion"/>
  </si>
  <si>
    <t>決算日</t>
    <phoneticPr fontId="1" type="noConversion"/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</si>
  <si>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</si>
  <si>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</si>
  <si>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</si>
  <si>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</si>
  <si>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</si>
  <si>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</si>
  <si>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</si>
  <si>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</si>
  <si>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</si>
  <si>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</si>
  <si>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</si>
  <si>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</si>
  <si>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</si>
  <si>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</si>
  <si>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</si>
  <si>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</si>
  <si>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</si>
  <si>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</si>
  <si>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</si>
  <si>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</si>
  <si>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</si>
  <si>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</si>
  <si>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</si>
  <si>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</si>
  <si>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</si>
  <si>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</si>
  <si>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</si>
  <si>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</si>
  <si>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</si>
  <si>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</si>
  <si>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</si>
  <si>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</si>
  <si>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</si>
  <si>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</si>
  <si>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</si>
  <si>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</si>
  <si>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</si>
  <si>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</si>
  <si>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</si>
  <si>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</si>
  <si>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</si>
  <si>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12/5</t>
  </si>
  <si>
    <t xml:space="preserve"> ファーマフーズ</t>
  </si>
  <si>
    <t xml:space="preserve"> ラクーンHD</t>
  </si>
  <si>
    <t xml:space="preserve"> アルチザ</t>
  </si>
  <si>
    <t xml:space="preserve"> スバル興</t>
  </si>
  <si>
    <t xml:space="preserve"> 12/6</t>
  </si>
  <si>
    <t xml:space="preserve"> 積水ハウス</t>
  </si>
  <si>
    <t xml:space="preserve"> 建設業</t>
  </si>
  <si>
    <t>" 16</t>
  </si>
  <si>
    <t xml:space="preserve"> 日　駐</t>
  </si>
  <si>
    <t xml:space="preserve"> ケア２１</t>
  </si>
  <si>
    <t xml:space="preserve"> 鳥貴族</t>
  </si>
  <si>
    <t xml:space="preserve"> ポールHD</t>
  </si>
  <si>
    <t xml:space="preserve"> エイチーム</t>
  </si>
  <si>
    <t xml:space="preserve"> ソフトウェアサー</t>
  </si>
  <si>
    <t xml:space="preserve"> アイル</t>
  </si>
  <si>
    <t xml:space="preserve"> ｇｕｍｉ</t>
  </si>
  <si>
    <t xml:space="preserve"> ユークス</t>
  </si>
  <si>
    <t xml:space="preserve"> HEROZ</t>
  </si>
  <si>
    <t xml:space="preserve"> 日本スキー</t>
  </si>
  <si>
    <t xml:space="preserve"> 巴工業</t>
  </si>
  <si>
    <t xml:space="preserve"> インスペック</t>
  </si>
  <si>
    <t xml:space="preserve"> トミタ電機</t>
  </si>
  <si>
    <t xml:space="preserve"> エイケン工業</t>
  </si>
  <si>
    <t xml:space="preserve"> 輸送用機器</t>
  </si>
  <si>
    <t xml:space="preserve"> トップカルチャ</t>
  </si>
  <si>
    <t xml:space="preserve"> 光・彩</t>
  </si>
  <si>
    <t xml:space="preserve"> カナモト</t>
  </si>
  <si>
    <t>" 1</t>
  </si>
  <si>
    <t xml:space="preserve"> 精養軒</t>
  </si>
  <si>
    <t xml:space="preserve"> 丹青社</t>
  </si>
  <si>
    <t xml:space="preserve"> 12/9</t>
  </si>
  <si>
    <t xml:space="preserve"> 16:00</t>
  </si>
  <si>
    <t xml:space="preserve"> アルトナー</t>
  </si>
  <si>
    <t xml:space="preserve"> 学　情</t>
  </si>
  <si>
    <t xml:space="preserve"> ストリーム</t>
  </si>
  <si>
    <t xml:space="preserve"> Bガレージ</t>
  </si>
  <si>
    <t xml:space="preserve"> GA TECH</t>
  </si>
  <si>
    <t xml:space="preserve"> 日東網</t>
  </si>
  <si>
    <t xml:space="preserve"> 繊維製品</t>
  </si>
  <si>
    <t xml:space="preserve"> イムラ封筒</t>
  </si>
  <si>
    <t xml:space="preserve"> パルプ・紙</t>
  </si>
  <si>
    <t xml:space="preserve"> ミライアル</t>
  </si>
  <si>
    <t xml:space="preserve"> ライクキッズ</t>
  </si>
  <si>
    <t xml:space="preserve"> Ｃａｓａ</t>
  </si>
  <si>
    <t xml:space="preserve"> その他金融業</t>
  </si>
  <si>
    <t xml:space="preserve"> Ｂ＆Ｐ</t>
  </si>
  <si>
    <t xml:space="preserve"> 萩原工業</t>
  </si>
  <si>
    <t xml:space="preserve"> 泉州電</t>
  </si>
  <si>
    <t xml:space="preserve"> 12/10</t>
  </si>
  <si>
    <t xml:space="preserve"> ベステラ</t>
  </si>
  <si>
    <t xml:space="preserve"> 大盛工業</t>
  </si>
  <si>
    <t xml:space="preserve"> アスカネット</t>
  </si>
  <si>
    <t xml:space="preserve"> テンポスHD</t>
  </si>
  <si>
    <t xml:space="preserve"> サトウ食品</t>
  </si>
  <si>
    <t xml:space="preserve"> アマガサ</t>
  </si>
  <si>
    <t xml:space="preserve"> アールエイジ</t>
  </si>
  <si>
    <t xml:space="preserve"> 山岡家</t>
  </si>
  <si>
    <t xml:space="preserve"> グッドコムA</t>
  </si>
  <si>
    <t xml:space="preserve"> Ｒみらい</t>
  </si>
  <si>
    <t xml:space="preserve"> 東証</t>
  </si>
  <si>
    <t xml:space="preserve"> ETF・REIT等</t>
  </si>
  <si>
    <t xml:space="preserve"> SYSHD</t>
  </si>
  <si>
    <t xml:space="preserve"> トビラシステム</t>
  </si>
  <si>
    <t xml:space="preserve"> サムコ</t>
  </si>
  <si>
    <t xml:space="preserve"> トランザス</t>
  </si>
  <si>
    <t xml:space="preserve"> マツモト</t>
  </si>
  <si>
    <t xml:space="preserve"> トーホー</t>
  </si>
  <si>
    <t xml:space="preserve"> シルバーライフ</t>
  </si>
  <si>
    <t xml:space="preserve"> きんえい</t>
  </si>
  <si>
    <t xml:space="preserve"> シーイーシー</t>
  </si>
  <si>
    <t xml:space="preserve"> 12/11</t>
  </si>
  <si>
    <t xml:space="preserve"> 太洋基礎</t>
  </si>
  <si>
    <t xml:space="preserve"> Hamee</t>
  </si>
  <si>
    <t xml:space="preserve"> アゼアス</t>
  </si>
  <si>
    <t xml:space="preserve"> クロスプラス</t>
  </si>
  <si>
    <t xml:space="preserve"> 菊池製作</t>
  </si>
  <si>
    <t xml:space="preserve"> シーアールイー</t>
  </si>
  <si>
    <t xml:space="preserve"> JPNミート</t>
  </si>
  <si>
    <t xml:space="preserve"> アセンテック</t>
  </si>
  <si>
    <t xml:space="preserve"> 神島化</t>
  </si>
  <si>
    <t xml:space="preserve"> ｶﾞﾗｽ土石製品</t>
  </si>
  <si>
    <t xml:space="preserve"> ハウテレビ</t>
  </si>
  <si>
    <t xml:space="preserve"> 12/12</t>
  </si>
  <si>
    <t xml:space="preserve"> くら寿司</t>
  </si>
  <si>
    <t xml:space="preserve"> 銚子丸</t>
  </si>
  <si>
    <t xml:space="preserve"> ミサワ</t>
  </si>
  <si>
    <t xml:space="preserve"> トーエル</t>
  </si>
  <si>
    <t xml:space="preserve"> バルニバーヒ</t>
  </si>
  <si>
    <t xml:space="preserve"> クスリのアオキ</t>
  </si>
  <si>
    <t xml:space="preserve"> TBCSCAT</t>
  </si>
  <si>
    <t xml:space="preserve"> シャノン</t>
  </si>
  <si>
    <t xml:space="preserve"> ラクスル</t>
  </si>
  <si>
    <t xml:space="preserve"> VALUENEX</t>
  </si>
  <si>
    <t xml:space="preserve"> セルソース</t>
  </si>
  <si>
    <t xml:space="preserve"> 医薬品</t>
  </si>
  <si>
    <t xml:space="preserve"> オハラ</t>
  </si>
  <si>
    <t xml:space="preserve"> ファーストロジ</t>
  </si>
  <si>
    <t xml:space="preserve"> 鎌倉新書</t>
  </si>
  <si>
    <t xml:space="preserve"> 石井表記</t>
  </si>
  <si>
    <t xml:space="preserve"> アイモバイル</t>
  </si>
  <si>
    <t xml:space="preserve"> 三井ハイテ</t>
  </si>
  <si>
    <t xml:space="preserve"> フロンティアI</t>
  </si>
  <si>
    <t xml:space="preserve"> オーエムツー</t>
  </si>
  <si>
    <t xml:space="preserve"> サンオータス</t>
  </si>
  <si>
    <t xml:space="preserve"> 小林産</t>
  </si>
  <si>
    <t xml:space="preserve"> REVOLUTI</t>
  </si>
  <si>
    <t xml:space="preserve"> 日本テレホン</t>
  </si>
  <si>
    <t xml:space="preserve"> エイチ・アイエス</t>
  </si>
  <si>
    <t xml:space="preserve"> ドーム</t>
  </si>
  <si>
    <t xml:space="preserve"> 12/13</t>
  </si>
  <si>
    <t xml:space="preserve"> Ｍマート</t>
  </si>
  <si>
    <t xml:space="preserve"> ベルグアース</t>
  </si>
  <si>
    <t xml:space="preserve"> 水産・農林業</t>
  </si>
  <si>
    <t xml:space="preserve"> フィット</t>
  </si>
  <si>
    <t xml:space="preserve"> 土屋ＨＤ</t>
  </si>
  <si>
    <t xml:space="preserve"> 日ハウスHD</t>
  </si>
  <si>
    <t xml:space="preserve"> フルスピード</t>
  </si>
  <si>
    <t xml:space="preserve"> アイ・ケイ・ケイ</t>
  </si>
  <si>
    <t xml:space="preserve"> アイスタディ</t>
  </si>
  <si>
    <t xml:space="preserve"> ブラス</t>
  </si>
  <si>
    <t xml:space="preserve"> 新都ＨＤ</t>
  </si>
  <si>
    <t xml:space="preserve"> ツクルバ</t>
  </si>
  <si>
    <t xml:space="preserve"> 神戸物産</t>
  </si>
  <si>
    <t>" 4</t>
  </si>
  <si>
    <t xml:space="preserve"> 丸善CHI</t>
  </si>
  <si>
    <t xml:space="preserve"> ジェネパ</t>
  </si>
  <si>
    <t xml:space="preserve"> 積水ハウスR</t>
  </si>
  <si>
    <t xml:space="preserve"> 稲葉製作</t>
  </si>
  <si>
    <t xml:space="preserve"> J.S.B.</t>
  </si>
  <si>
    <t xml:space="preserve"> リーガル不</t>
  </si>
  <si>
    <t xml:space="preserve"> モルフォ</t>
  </si>
  <si>
    <t xml:space="preserve"> エニグモ</t>
  </si>
  <si>
    <t xml:space="preserve"> フリービット</t>
  </si>
  <si>
    <t xml:space="preserve"> ネオジャパン</t>
  </si>
  <si>
    <t xml:space="preserve"> バリュゴルフ</t>
  </si>
  <si>
    <t xml:space="preserve"> SKIYAKI</t>
  </si>
  <si>
    <t xml:space="preserve"> ジャストプラ</t>
  </si>
  <si>
    <t xml:space="preserve"> スマレジ</t>
  </si>
  <si>
    <t xml:space="preserve"> サンバイオ</t>
  </si>
  <si>
    <t xml:space="preserve"> ステムリム</t>
  </si>
  <si>
    <t xml:space="preserve"> ナトコ</t>
  </si>
  <si>
    <t xml:space="preserve"> クミアイ化</t>
  </si>
  <si>
    <t xml:space="preserve"> イトクロ</t>
  </si>
  <si>
    <t xml:space="preserve"> ウエスコHD</t>
  </si>
  <si>
    <t xml:space="preserve"> HyAS&amp;Co.</t>
  </si>
  <si>
    <t xml:space="preserve"> ベストワン</t>
  </si>
  <si>
    <t xml:space="preserve"> ヤーマン</t>
  </si>
  <si>
    <t xml:space="preserve"> ウインテスト</t>
  </si>
  <si>
    <t xml:space="preserve"> ＭＳＯＬ</t>
  </si>
  <si>
    <t xml:space="preserve"> ジェイック</t>
  </si>
  <si>
    <t xml:space="preserve"> ハイレックス</t>
  </si>
  <si>
    <t xml:space="preserve"> 梅の花</t>
  </si>
  <si>
    <t xml:space="preserve"> フジコーポ</t>
  </si>
  <si>
    <t xml:space="preserve"> 浜木綿</t>
  </si>
  <si>
    <t xml:space="preserve"> ダブルエー</t>
  </si>
  <si>
    <t xml:space="preserve"> ブシロード</t>
  </si>
  <si>
    <t xml:space="preserve"> プリントネット</t>
  </si>
  <si>
    <t xml:space="preserve"> クロスフォー</t>
  </si>
  <si>
    <t xml:space="preserve"> オービス</t>
  </si>
  <si>
    <t xml:space="preserve"> 総合商研</t>
  </si>
  <si>
    <t xml:space="preserve"> MICS化学</t>
  </si>
  <si>
    <t xml:space="preserve"> ミロク</t>
  </si>
  <si>
    <t xml:space="preserve"> ナイガイ</t>
  </si>
  <si>
    <t xml:space="preserve"> 正栄食</t>
  </si>
  <si>
    <t xml:space="preserve"> ファースト住</t>
  </si>
  <si>
    <t xml:space="preserve"> アルデプロ</t>
  </si>
  <si>
    <t xml:space="preserve"> 明豊エンター</t>
  </si>
  <si>
    <t xml:space="preserve"> いちごオフ</t>
  </si>
  <si>
    <t xml:space="preserve"> スターツPR</t>
  </si>
  <si>
    <t xml:space="preserve"> ギフト</t>
  </si>
  <si>
    <t xml:space="preserve"> ＯＳ映</t>
  </si>
  <si>
    <t xml:space="preserve"> 12/16</t>
  </si>
  <si>
    <t xml:space="preserve"> プロレド</t>
  </si>
  <si>
    <t xml:space="preserve"> 星野ＲＲ</t>
  </si>
  <si>
    <t xml:space="preserve"> インベスコ</t>
  </si>
  <si>
    <t xml:space="preserve"> トーセイ・リート</t>
  </si>
  <si>
    <t xml:space="preserve"> システムディ</t>
  </si>
  <si>
    <t xml:space="preserve"> パーク24</t>
  </si>
  <si>
    <t xml:space="preserve"> ウイルコHD</t>
  </si>
  <si>
    <t xml:space="preserve"> 12/17</t>
  </si>
  <si>
    <t xml:space="preserve"> アスクル</t>
  </si>
  <si>
    <t xml:space="preserve"> ツルハHD</t>
  </si>
  <si>
    <t>" 6</t>
  </si>
  <si>
    <t xml:space="preserve"> プレミア投</t>
  </si>
  <si>
    <t xml:space="preserve"> 12/18</t>
  </si>
  <si>
    <t xml:space="preserve"> カイカ</t>
  </si>
  <si>
    <t xml:space="preserve"> 12/19</t>
  </si>
  <si>
    <t xml:space="preserve"> 日ヘルスケア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</si>
  <si>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</si>
  <si>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</si>
  <si>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</si>
  <si>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</si>
  <si>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</si>
  <si>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</si>
  <si>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</si>
  <si>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</si>
  <si>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</si>
  <si>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タキヒヨー</t>
  </si>
  <si>
    <t xml:space="preserve"> 12/27</t>
  </si>
  <si>
    <t xml:space="preserve"> ソーバル</t>
  </si>
  <si>
    <t xml:space="preserve"> アダストリア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</si>
  <si>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</si>
  <si>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</si>
  <si>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</si>
  <si>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</si>
  <si>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</si>
  <si>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</si>
  <si>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</si>
  <si>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</si>
  <si>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</si>
  <si>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</si>
  <si>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</si>
  <si>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</si>
  <si>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</si>
  <si>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</si>
  <si>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</si>
  <si>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</si>
  <si>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 xml:space="preserve"> 1/10</t>
  </si>
  <si>
    <t xml:space="preserve"> SERIOHD</t>
  </si>
  <si>
    <t xml:space="preserve"> ビットワンG</t>
  </si>
  <si>
    <t xml:space="preserve"> ローソン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</si>
  <si>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</si>
  <si>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</si>
  <si>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</si>
  <si>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</si>
  <si>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</si>
  <si>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</si>
  <si>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</si>
  <si>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</si>
  <si>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</si>
  <si>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</si>
  <si>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</si>
  <si>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</si>
  <si>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</si>
  <si>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</si>
  <si>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</si>
  <si>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</si>
  <si>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</si>
  <si>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</si>
  <si>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</si>
  <si>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</si>
  <si>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</si>
  <si>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</si>
  <si>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</si>
  <si>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</si>
  <si>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</si>
  <si>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</si>
  <si>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</si>
  <si>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</si>
  <si>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</si>
  <si>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</si>
  <si>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</si>
  <si>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1/26</t>
  </si>
  <si>
    <t xml:space="preserve"> ＫＤＤＩ</t>
  </si>
  <si>
    <t>" 74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</si>
  <si>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</si>
  <si>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</si>
  <si>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</si>
  <si>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</si>
  <si>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</si>
  <si>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</si>
  <si>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</si>
  <si>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</si>
  <si>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</si>
  <si>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</si>
  <si>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</si>
  <si>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</si>
  <si>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</si>
  <si>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</si>
  <si>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</si>
  <si>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</si>
  <si>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</si>
  <si>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</si>
  <si>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</si>
  <si>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</si>
  <si>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</si>
  <si>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</si>
  <si>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</si>
  <si>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</si>
  <si>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</si>
  <si>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</si>
  <si>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</si>
  <si>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</si>
  <si>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</si>
  <si>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</si>
  <si>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</si>
  <si>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</si>
  <si>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</si>
  <si>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</si>
  <si>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</si>
  <si>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</si>
  <si>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</si>
  <si>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</si>
  <si>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</si>
  <si>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</si>
  <si>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</si>
  <si>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</si>
  <si>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</si>
  <si>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</si>
  <si>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</si>
  <si>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</si>
  <si>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</si>
  <si>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</si>
  <si>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</si>
  <si>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</si>
  <si>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</si>
  <si>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</si>
  <si>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</si>
  <si>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</si>
  <si>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</si>
  <si>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</si>
  <si>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</si>
  <si>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</si>
  <si>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</si>
  <si>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</si>
  <si>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</si>
  <si>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</si>
  <si>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</si>
  <si>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</si>
  <si>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</si>
  <si>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</si>
  <si>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</si>
  <si>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</si>
  <si>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</si>
  <si>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</si>
  <si>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</si>
  <si>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</si>
  <si>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</si>
  <si>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</si>
  <si>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</si>
  <si>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</si>
  <si>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</si>
  <si>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</si>
  <si>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</si>
  <si>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</si>
  <si>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</si>
  <si>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</si>
  <si>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</si>
  <si>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</si>
  <si>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</si>
  <si>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</si>
  <si>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</si>
  <si>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</si>
  <si>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</si>
  <si>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</si>
  <si>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</si>
  <si>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</si>
  <si>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</si>
  <si>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</si>
  <si>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</si>
  <si>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</si>
  <si>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</si>
  <si>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</si>
  <si>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</si>
  <si>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</si>
  <si>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</si>
  <si>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</si>
  <si>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</si>
  <si>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</si>
  <si>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</si>
  <si>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</si>
  <si>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</si>
  <si>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</si>
  <si>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</si>
  <si>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</si>
  <si>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</si>
  <si>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</si>
  <si>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</si>
  <si>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</si>
  <si>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</si>
  <si>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</si>
  <si>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</si>
  <si>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</si>
  <si>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</si>
  <si>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</si>
  <si>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</si>
  <si>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</si>
  <si>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</si>
  <si>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</si>
  <si>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>" 18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</si>
  <si>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</si>
  <si>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</si>
  <si>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</si>
  <si>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</si>
  <si>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</si>
  <si>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>351"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</si>
  <si>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</si>
  <si>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</si>
  <si>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</si>
  <si>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</si>
  <si>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</si>
  <si>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</si>
  <si>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</si>
  <si>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>323"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</si>
  <si>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</si>
  <si>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</si>
  <si>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</si>
  <si>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</si>
  <si>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</si>
  <si>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</si>
  <si>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</si>
  <si>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</si>
  <si>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</si>
  <si>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</si>
  <si>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>542"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</si>
  <si>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</si>
  <si>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</si>
  <si>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</si>
  <si>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</si>
  <si>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</si>
  <si>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</si>
  <si>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</si>
  <si>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>" 36</t>
  </si>
  <si>
    <t xml:space="preserve"> Fブラザース</t>
  </si>
  <si>
    <t xml:space="preserve"> リックソフト</t>
  </si>
  <si>
    <t xml:space="preserve"> 東海ソフト</t>
  </si>
  <si>
    <t xml:space="preserve"> Sansan</t>
  </si>
  <si>
    <t>424"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</si>
  <si>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</si>
  <si>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</si>
  <si>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</si>
  <si>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</si>
  <si>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</si>
  <si>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</si>
  <si>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</si>
  <si>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</si>
  <si>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</si>
  <si>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</si>
  <si>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</si>
  <si>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</si>
  <si>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</si>
  <si>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</si>
  <si>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</si>
  <si>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</si>
  <si>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</si>
  <si>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</si>
  <si>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</si>
  <si>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</si>
  <si>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</si>
  <si>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</si>
  <si>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</si>
  <si>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</si>
  <si>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</si>
  <si>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</si>
  <si>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</si>
  <si>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</si>
  <si>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</si>
  <si>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</si>
  <si>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</si>
  <si>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</si>
  <si>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</si>
  <si>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</si>
  <si>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</si>
  <si>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</si>
  <si>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</si>
  <si>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</si>
  <si>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</si>
  <si>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</si>
  <si>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</si>
  <si>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</si>
  <si>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</si>
  <si>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</si>
  <si>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</si>
  <si>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</si>
  <si>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</si>
  <si>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</si>
  <si>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</si>
  <si>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</si>
  <si>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</si>
  <si>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</si>
  <si>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</si>
  <si>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</si>
  <si>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</si>
  <si>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</si>
  <si>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</si>
  <si>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</si>
  <si>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>457"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</si>
  <si>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</si>
  <si>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</si>
  <si>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</si>
  <si>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</si>
  <si>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</si>
  <si>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</si>
  <si>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</si>
  <si>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</si>
  <si>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</si>
  <si>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</si>
  <si>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</si>
  <si>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</si>
  <si>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</si>
  <si>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</si>
  <si>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</si>
  <si>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</si>
  <si>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</si>
  <si>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</si>
  <si>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</si>
  <si>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</si>
  <si>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</si>
  <si>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</si>
  <si>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>" 15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</si>
  <si>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</si>
  <si>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</si>
  <si>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</si>
  <si>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</si>
  <si>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</si>
  <si>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</si>
  <si>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</si>
  <si>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</si>
  <si>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</si>
  <si>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</si>
  <si>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</si>
  <si>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</si>
  <si>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</si>
  <si>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</si>
  <si>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</si>
  <si>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</si>
  <si>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</si>
  <si>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</si>
  <si>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</si>
  <si>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</si>
  <si>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</si>
  <si>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</si>
  <si>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</si>
  <si>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</si>
  <si>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</si>
  <si>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</si>
  <si>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</si>
  <si>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</si>
  <si>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</si>
  <si>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</si>
  <si>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</si>
  <si>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</si>
  <si>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</si>
  <si>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</si>
  <si>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</si>
  <si>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</si>
  <si>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</si>
  <si>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</si>
  <si>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</si>
  <si>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</si>
  <si>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</si>
  <si>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</si>
  <si>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</si>
  <si>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</si>
  <si>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</si>
  <si>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</si>
  <si>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</si>
  <si>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</si>
  <si>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</si>
  <si>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</si>
  <si>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</si>
  <si>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</si>
  <si>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</si>
  <si>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</si>
  <si>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</si>
  <si>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12月下旬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</si>
  <si>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</si>
  <si>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</si>
  <si>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</si>
  <si>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</si>
  <si>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オークワ</t>
  </si>
  <si>
    <t xml:space="preserve"> しまむら</t>
  </si>
  <si>
    <t xml:space="preserve"> 12月上旬</t>
  </si>
  <si>
    <t xml:space="preserve"> OSGコーポ</t>
  </si>
  <si>
    <t xml:space="preserve"> 12月中旬</t>
  </si>
  <si>
    <t xml:space="preserve"> コーセル</t>
  </si>
  <si>
    <t>太陽ホールディングス</t>
  </si>
  <si>
    <t>ＦＵＪＩ</t>
  </si>
  <si>
    <t>因幡電機産業</t>
  </si>
  <si>
    <t>サトーホールディングス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</si>
  <si>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</si>
  <si>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</si>
  <si>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</si>
  <si>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</si>
  <si>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</si>
  <si>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</si>
  <si>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</si>
  <si>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証券、商品先物取引業</t>
  </si>
  <si>
    <t>ケーヒン</t>
  </si>
  <si>
    <t>小糸製作所</t>
  </si>
  <si>
    <t>ブラザー工業</t>
  </si>
  <si>
    <t>浜松ホトニクス</t>
  </si>
  <si>
    <t>野村不動産ホールディングス</t>
  </si>
  <si>
    <t>728"</t>
  </si>
  <si>
    <t>433"</t>
  </si>
  <si>
    <t xml:space="preserve"> 象　印</t>
  </si>
  <si>
    <t>294"</t>
  </si>
  <si>
    <t xml:space="preserve"> ヒマラヤ</t>
  </si>
  <si>
    <t>710"</t>
  </si>
  <si>
    <t>058"</t>
  </si>
  <si>
    <t>505"</t>
  </si>
  <si>
    <t>123"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</si>
  <si>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</si>
  <si>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</si>
  <si>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</si>
  <si>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</si>
  <si>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</si>
  <si>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</si>
  <si>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>198"</t>
  </si>
  <si>
    <t xml:space="preserve"> レーザーテク</t>
  </si>
  <si>
    <t xml:space="preserve"> 日新製糖</t>
  </si>
  <si>
    <t>150"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</si>
  <si>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</si>
  <si>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</si>
  <si>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</si>
  <si>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</si>
  <si>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</si>
  <si>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</si>
  <si>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</si>
  <si>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>070"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</si>
  <si>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</si>
  <si>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</si>
  <si>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</si>
  <si>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</si>
  <si>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</si>
  <si>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</si>
  <si>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</si>
  <si>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</si>
  <si>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</si>
  <si>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>429"</t>
  </si>
  <si>
    <t xml:space="preserve"> 博　展</t>
  </si>
  <si>
    <t xml:space="preserve"> エヌアイデイ</t>
  </si>
  <si>
    <t xml:space="preserve"> ユビテック</t>
  </si>
  <si>
    <t>229"</t>
  </si>
  <si>
    <t>641"</t>
  </si>
  <si>
    <t xml:space="preserve"> カナディアン</t>
  </si>
  <si>
    <t>354"</t>
  </si>
  <si>
    <t xml:space="preserve"> アイリック</t>
  </si>
  <si>
    <t xml:space="preserve"> 保険業</t>
  </si>
  <si>
    <t xml:space="preserve"> 穴吹興産</t>
  </si>
  <si>
    <t>217"</t>
  </si>
  <si>
    <t>`</t>
    <phoneticPr fontId="1" type="noConversion"/>
  </si>
  <si>
    <t>単に運がよかった</t>
    <phoneticPr fontId="1" type="noConversion"/>
  </si>
  <si>
    <t>売</t>
    <phoneticPr fontId="1" type="noConversion"/>
  </si>
  <si>
    <t>Total</t>
    <phoneticPr fontId="1" type="noConversion"/>
  </si>
  <si>
    <t>Current</t>
    <phoneticPr fontId="1" type="noConversion"/>
  </si>
  <si>
    <t>買</t>
    <phoneticPr fontId="1" type="noConversion"/>
  </si>
  <si>
    <t>1/1/12</t>
  </si>
  <si>
    <t>Setup</t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</si>
  <si>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</si>
  <si>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</si>
  <si>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</si>
  <si>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</si>
  <si>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</si>
  <si>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</si>
  <si>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</si>
  <si>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</si>
  <si>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</si>
  <si>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</si>
  <si>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</si>
  <si>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</si>
  <si>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</si>
  <si>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</si>
  <si>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</si>
  <si>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>塩野義製薬</t>
  </si>
  <si>
    <t>4/6/6</t>
  </si>
  <si>
    <t>3/5/6</t>
  </si>
  <si>
    <t>556"</t>
  </si>
  <si>
    <t>012"</t>
  </si>
  <si>
    <t>605"</t>
  </si>
  <si>
    <t>107"</t>
  </si>
  <si>
    <t>562"</t>
  </si>
  <si>
    <t>091"</t>
  </si>
  <si>
    <t>258"</t>
  </si>
  <si>
    <t>346"</t>
  </si>
  <si>
    <t>895"</t>
  </si>
  <si>
    <t>967"</t>
  </si>
  <si>
    <t>105"</t>
  </si>
  <si>
    <t xml:space="preserve"> 12/24</t>
  </si>
  <si>
    <t>282"</t>
  </si>
  <si>
    <t>301"</t>
  </si>
  <si>
    <t xml:space="preserve"> TAKARA&amp;C</t>
  </si>
  <si>
    <t>245"</t>
  </si>
  <si>
    <t>389"</t>
  </si>
  <si>
    <t>670"</t>
  </si>
  <si>
    <t>" 67</t>
  </si>
  <si>
    <t>569"</t>
  </si>
  <si>
    <t xml:space="preserve"> トレファク</t>
  </si>
  <si>
    <t xml:space="preserve"> いちご</t>
  </si>
  <si>
    <t>177"</t>
  </si>
  <si>
    <t xml:space="preserve"> コスモス薬品</t>
  </si>
  <si>
    <t>420"</t>
  </si>
  <si>
    <t xml:space="preserve"> 久光薬</t>
  </si>
  <si>
    <t>488"</t>
  </si>
  <si>
    <t xml:space="preserve"> 佐鳥電機</t>
  </si>
  <si>
    <t xml:space="preserve"> 良品計画</t>
  </si>
  <si>
    <t>952"</t>
  </si>
  <si>
    <t xml:space="preserve"> シグマ光機</t>
  </si>
  <si>
    <t xml:space="preserve"> ＡＩＴ</t>
  </si>
  <si>
    <t xml:space="preserve"> 12:00</t>
  </si>
  <si>
    <t xml:space="preserve"> トウキョベース</t>
  </si>
  <si>
    <t>004"</t>
  </si>
  <si>
    <t>741"</t>
  </si>
  <si>
    <t xml:space="preserve"> プレナス</t>
  </si>
  <si>
    <t>226"</t>
  </si>
  <si>
    <t>412"</t>
  </si>
  <si>
    <t xml:space="preserve"> 阪急神RE</t>
  </si>
  <si>
    <t>183"</t>
  </si>
  <si>
    <t>288"</t>
  </si>
  <si>
    <t>452"</t>
  </si>
  <si>
    <t xml:space="preserve"> 14:00</t>
  </si>
  <si>
    <t xml:space="preserve"> 大豊工業</t>
  </si>
  <si>
    <t xml:space="preserve"> 味の素</t>
  </si>
  <si>
    <t>033"</t>
  </si>
  <si>
    <t>102"</t>
  </si>
  <si>
    <t>850"</t>
  </si>
  <si>
    <t xml:space="preserve"> ヒューリック</t>
  </si>
  <si>
    <t xml:space="preserve"> TOKAI HD</t>
  </si>
  <si>
    <t>528"</t>
  </si>
  <si>
    <t xml:space="preserve"> 明治電機</t>
  </si>
  <si>
    <t xml:space="preserve"> 電　算</t>
  </si>
  <si>
    <t xml:space="preserve"> JR東日本</t>
  </si>
  <si>
    <t>" 37</t>
  </si>
  <si>
    <t>744"</t>
  </si>
  <si>
    <t xml:space="preserve"> トーカロ</t>
  </si>
  <si>
    <t>642"</t>
  </si>
  <si>
    <t>116"</t>
  </si>
  <si>
    <t>929"</t>
  </si>
  <si>
    <t xml:space="preserve"> UNITED</t>
  </si>
  <si>
    <t xml:space="preserve"> ＺＯＺＯ</t>
  </si>
  <si>
    <t>688"</t>
  </si>
  <si>
    <t xml:space="preserve"> ココカラファイン</t>
  </si>
  <si>
    <t>630"</t>
  </si>
  <si>
    <t xml:space="preserve"> ファンデリー</t>
  </si>
  <si>
    <t xml:space="preserve"> イチカワ</t>
  </si>
  <si>
    <t xml:space="preserve"> ワコールHD</t>
  </si>
  <si>
    <t>042"</t>
  </si>
  <si>
    <t xml:space="preserve"> テクノスJPN</t>
  </si>
  <si>
    <t>081"</t>
  </si>
  <si>
    <t xml:space="preserve"> 東映アニメ</t>
  </si>
  <si>
    <t xml:space="preserve"> ＴＯＴＯ</t>
  </si>
  <si>
    <t>726"</t>
  </si>
  <si>
    <t>196"</t>
  </si>
  <si>
    <t>410"</t>
  </si>
  <si>
    <t xml:space="preserve"> 高千穂交</t>
  </si>
  <si>
    <t xml:space="preserve"> クリエイト</t>
  </si>
  <si>
    <t xml:space="preserve"> テンポイノベ</t>
  </si>
  <si>
    <t xml:space="preserve"> 科研薬</t>
  </si>
  <si>
    <t>729"</t>
  </si>
  <si>
    <t>554"</t>
  </si>
  <si>
    <t xml:space="preserve"> 京　王</t>
  </si>
  <si>
    <t>831"</t>
  </si>
  <si>
    <t xml:space="preserve"> 不二製油</t>
  </si>
  <si>
    <t>" 69</t>
  </si>
  <si>
    <t>833"</t>
  </si>
  <si>
    <t xml:space="preserve"> ウェルネット</t>
  </si>
  <si>
    <t xml:space="preserve"> ニチレイ</t>
  </si>
  <si>
    <t>172"</t>
  </si>
  <si>
    <t>336"</t>
  </si>
  <si>
    <t>" 50</t>
  </si>
  <si>
    <t>300"</t>
  </si>
  <si>
    <t xml:space="preserve"> メルカリ</t>
  </si>
  <si>
    <t xml:space="preserve"> ＣＤＧ</t>
  </si>
  <si>
    <t xml:space="preserve"> ソケッツ</t>
  </si>
  <si>
    <t xml:space="preserve"> アドソル</t>
  </si>
  <si>
    <t>214"</t>
  </si>
  <si>
    <t xml:space="preserve"> 極東貿</t>
  </si>
  <si>
    <t>711"</t>
  </si>
  <si>
    <t>189"</t>
  </si>
  <si>
    <t>531"</t>
  </si>
  <si>
    <t xml:space="preserve"> クロスキャット</t>
  </si>
  <si>
    <t xml:space="preserve"> ＷＤＢ</t>
  </si>
  <si>
    <t xml:space="preserve"> シスロケ</t>
  </si>
  <si>
    <t>536"</t>
  </si>
  <si>
    <t xml:space="preserve"> 旭松食</t>
  </si>
  <si>
    <t xml:space="preserve"> ロードスター</t>
  </si>
  <si>
    <t xml:space="preserve"> イルグルム</t>
  </si>
  <si>
    <t>445"</t>
  </si>
  <si>
    <t xml:space="preserve"> 東洋合成</t>
  </si>
  <si>
    <t xml:space="preserve"> 栗本鉄</t>
  </si>
  <si>
    <t xml:space="preserve"> 鉄鋼</t>
  </si>
  <si>
    <t>449"</t>
  </si>
  <si>
    <t>326"</t>
  </si>
  <si>
    <t>008"</t>
  </si>
  <si>
    <t xml:space="preserve"> ハーモニック</t>
  </si>
  <si>
    <t>647"</t>
  </si>
  <si>
    <t>075"</t>
  </si>
  <si>
    <t xml:space="preserve"> ヴィンクス</t>
  </si>
  <si>
    <t>411"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</si>
  <si>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</si>
  <si>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</si>
  <si>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</si>
  <si>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</si>
  <si>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>399"</t>
  </si>
  <si>
    <t xml:space="preserve"> ササクラ</t>
  </si>
  <si>
    <t>629"</t>
  </si>
  <si>
    <t>798"</t>
  </si>
  <si>
    <t xml:space="preserve"> インフォマート</t>
  </si>
  <si>
    <t>545"</t>
  </si>
  <si>
    <t xml:space="preserve"> ＩＣＤＡ</t>
  </si>
  <si>
    <t xml:space="preserve"> フェイスNW</t>
  </si>
  <si>
    <t>151"</t>
  </si>
  <si>
    <t>891"</t>
  </si>
  <si>
    <t xml:space="preserve"> 3/2</t>
  </si>
  <si>
    <t>853"</t>
  </si>
  <si>
    <t xml:space="preserve"> 3/3</t>
  </si>
  <si>
    <t>491"</t>
  </si>
  <si>
    <t xml:space="preserve"> トヨタ紡織</t>
  </si>
  <si>
    <t>211"</t>
  </si>
  <si>
    <t xml:space="preserve"> マクニカ富士</t>
  </si>
  <si>
    <t>191"</t>
  </si>
  <si>
    <t>121"</t>
  </si>
  <si>
    <t xml:space="preserve"> LIXILビ</t>
  </si>
  <si>
    <t xml:space="preserve"> イーブック</t>
  </si>
  <si>
    <t xml:space="preserve"> さくら</t>
  </si>
  <si>
    <t>811"</t>
  </si>
  <si>
    <t>084"</t>
  </si>
  <si>
    <t>" 20</t>
  </si>
  <si>
    <t>984"</t>
  </si>
  <si>
    <t>" 24</t>
  </si>
  <si>
    <t>883"</t>
  </si>
  <si>
    <t>358"</t>
  </si>
  <si>
    <t>206"</t>
  </si>
  <si>
    <t xml:space="preserve"> 西川計測</t>
  </si>
  <si>
    <t>530"</t>
  </si>
  <si>
    <t>331"</t>
  </si>
  <si>
    <t>912"</t>
  </si>
  <si>
    <t>654"</t>
  </si>
  <si>
    <t>736"</t>
  </si>
  <si>
    <t>136"</t>
  </si>
  <si>
    <t>544"</t>
  </si>
  <si>
    <t>789"</t>
  </si>
  <si>
    <t xml:space="preserve"> 技研製</t>
  </si>
  <si>
    <t>659"</t>
  </si>
  <si>
    <t>738"</t>
  </si>
  <si>
    <t>807"</t>
  </si>
  <si>
    <t>639"</t>
  </si>
  <si>
    <t>989"</t>
  </si>
  <si>
    <t xml:space="preserve"> オールアバウト</t>
  </si>
  <si>
    <t xml:space="preserve"> あらた</t>
  </si>
  <si>
    <t xml:space="preserve"> 双  日</t>
  </si>
  <si>
    <t>368"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</si>
  <si>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</si>
  <si>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</si>
  <si>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</si>
  <si>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</si>
  <si>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</si>
  <si>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>320"</t>
  </si>
  <si>
    <t xml:space="preserve"> 帝　人</t>
  </si>
  <si>
    <t>088"</t>
  </si>
  <si>
    <t xml:space="preserve"> ソトー</t>
  </si>
  <si>
    <t xml:space="preserve"> フジックス</t>
  </si>
  <si>
    <t xml:space="preserve"> ネットイヤー</t>
  </si>
  <si>
    <t xml:space="preserve"> ＴＩＳ</t>
  </si>
  <si>
    <t>917"</t>
  </si>
  <si>
    <t xml:space="preserve"> セック</t>
  </si>
  <si>
    <t>061"</t>
  </si>
  <si>
    <t>454"</t>
  </si>
  <si>
    <t>200"</t>
  </si>
  <si>
    <t>577"</t>
  </si>
  <si>
    <t>271"</t>
  </si>
  <si>
    <t xml:space="preserve"> はごろも</t>
  </si>
  <si>
    <t xml:space="preserve"> 飯田GHD</t>
  </si>
  <si>
    <t>712"</t>
  </si>
  <si>
    <t xml:space="preserve"> 関門海</t>
  </si>
  <si>
    <t xml:space="preserve"> ＤＭＰ</t>
  </si>
  <si>
    <t xml:space="preserve"> ジェクシード</t>
  </si>
  <si>
    <t>820"</t>
  </si>
  <si>
    <t xml:space="preserve"> コプロHD</t>
  </si>
  <si>
    <t xml:space="preserve"> ＶＴＨＤ</t>
  </si>
  <si>
    <t xml:space="preserve"> 03月上旬</t>
  </si>
  <si>
    <t>256"</t>
  </si>
  <si>
    <t>702"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</si>
  <si>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</si>
  <si>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</si>
  <si>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</si>
  <si>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</si>
  <si>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</si>
  <si>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</si>
  <si>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</si>
  <si>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</si>
  <si>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</si>
  <si>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</si>
  <si>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</si>
  <si>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</si>
  <si>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</si>
  <si>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</si>
  <si>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</si>
  <si>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</si>
  <si>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</si>
  <si>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</si>
  <si>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</si>
  <si>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</si>
  <si>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</si>
  <si>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</si>
  <si>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</si>
  <si>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</si>
  <si>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</si>
  <si>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</si>
  <si>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</si>
  <si>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</si>
  <si>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</si>
  <si>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</si>
  <si>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</si>
  <si>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</si>
  <si>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</si>
  <si>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</si>
  <si>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</si>
  <si>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エムスリー</t>
  </si>
  <si>
    <t>ジャストシステム</t>
  </si>
  <si>
    <t>東京精密</t>
  </si>
  <si>
    <t>クレディセゾン</t>
  </si>
  <si>
    <t>七十七銀行</t>
  </si>
  <si>
    <t>富士通ゼネラル</t>
  </si>
  <si>
    <t>ＴＫＣ</t>
  </si>
  <si>
    <t>三井住友フィナンシャルグループ</t>
  </si>
  <si>
    <t>ＪＣＲファーマ</t>
  </si>
  <si>
    <t>東京電力ホールディングス</t>
  </si>
  <si>
    <t>九州電力</t>
  </si>
  <si>
    <t>プリマハム</t>
  </si>
  <si>
    <t>2/5/6</t>
  </si>
  <si>
    <t>現物</t>
    <phoneticPr fontId="1" type="noConversion"/>
  </si>
  <si>
    <t>制度</t>
    <phoneticPr fontId="1" type="noConversion"/>
  </si>
  <si>
    <t>Spsn</t>
    <phoneticPr fontId="1" type="noConversion"/>
  </si>
  <si>
    <t>シグマ</t>
    <phoneticPr fontId="1" type="noConversion"/>
  </si>
  <si>
    <t>σ</t>
    <phoneticPr fontId="1" type="noConversion"/>
  </si>
  <si>
    <t>σ</t>
    <phoneticPr fontId="1" type="noConversion"/>
  </si>
  <si>
    <t>離率</t>
    <phoneticPr fontId="1" type="noConversion"/>
  </si>
  <si>
    <t>差分</t>
    <phoneticPr fontId="1" type="noConversion"/>
  </si>
  <si>
    <t>差分</t>
    <phoneticPr fontId="1" type="noConversion"/>
  </si>
  <si>
    <t>Total Profit</t>
    <phoneticPr fontId="1" type="noConversion"/>
  </si>
  <si>
    <t>CORR
3M</t>
    <phoneticPr fontId="1" type="noConversion"/>
  </si>
  <si>
    <t>Corr-3M</t>
    <phoneticPr fontId="1" type="noConversion"/>
  </si>
  <si>
    <t>Coint 
3M</t>
    <phoneticPr fontId="1" type="noConversion"/>
  </si>
  <si>
    <t>Corr-1Y</t>
    <phoneticPr fontId="1" type="noConversion"/>
  </si>
  <si>
    <t>Coint-3M</t>
    <phoneticPr fontId="1" type="noConversion"/>
  </si>
  <si>
    <t>Coint-1Y</t>
    <phoneticPr fontId="1" type="noConversion"/>
  </si>
  <si>
    <t>BT Profit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</si>
  <si>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</si>
  <si>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</si>
  <si>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</si>
  <si>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t>日本発條</t>
    <phoneticPr fontId="1" type="noConversion"/>
  </si>
  <si>
    <t>本田技研工業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</si>
  <si>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</si>
  <si>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1/1/10</t>
  </si>
  <si>
    <t>2/2/4</t>
  </si>
  <si>
    <t>2/2/12</t>
  </si>
  <si>
    <t>3/10/5</t>
  </si>
  <si>
    <t>6/8/7</t>
  </si>
  <si>
    <t>2Y</t>
    <phoneticPr fontId="1" type="noConversion"/>
  </si>
  <si>
    <t>日本精工</t>
    <phoneticPr fontId="1" type="noConversion"/>
  </si>
  <si>
    <t>ジェイテクト</t>
    <phoneticPr fontId="1" type="noConversion"/>
  </si>
  <si>
    <t>制度</t>
    <phoneticPr fontId="1" type="noConversion"/>
  </si>
  <si>
    <t>4/5/6</t>
  </si>
  <si>
    <t>8/10/1</t>
  </si>
  <si>
    <t>5/3/6</t>
  </si>
  <si>
    <t>OPEN_3105</t>
  </si>
  <si>
    <t>CLOSE_3105</t>
  </si>
  <si>
    <t>OPEN_7762</t>
  </si>
  <si>
    <t>CLOSE_7762</t>
  </si>
  <si>
    <t>日清紡ホールディングス</t>
    <phoneticPr fontId="1" type="noConversion"/>
  </si>
  <si>
    <t>シチズン時計</t>
    <phoneticPr fontId="1" type="noConversion"/>
  </si>
</sst>
</file>

<file path=xl/styles.xml><?xml version="1.0" encoding="utf-8"?>
<styleSheet xmlns="http://schemas.openxmlformats.org/spreadsheetml/2006/main">
  <numFmts count="10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  <numFmt numFmtId="181" formatCode="0_ "/>
    <numFmt numFmtId="182" formatCode="0_);[Red]\(0\)"/>
    <numFmt numFmtId="183" formatCode="0_ ;[Red]\-0\ "/>
    <numFmt numFmtId="184" formatCode="&quot;¥&quot;#,##0"/>
  </numFmts>
  <fonts count="44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b/>
      <sz val="8"/>
      <color theme="3" tint="0.59999389629810485"/>
      <name val="Tahoma"/>
      <family val="2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宋体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9"/>
      <name val="Microsoft YaHei"/>
      <family val="2"/>
    </font>
  </fonts>
  <fills count="26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</borders>
  <cellStyleXfs count="3">
    <xf numFmtId="0" fontId="0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40" fillId="25" borderId="0" applyNumberFormat="0" applyBorder="0" applyAlignment="0" applyProtection="0">
      <alignment vertical="center"/>
    </xf>
  </cellStyleXfs>
  <cellXfs count="292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3" borderId="1" xfId="0" applyFont="1" applyFill="1" applyBorder="1"/>
    <xf numFmtId="14" fontId="2" fillId="0" borderId="1" xfId="0" applyNumberFormat="1" applyFont="1" applyBorder="1"/>
    <xf numFmtId="0" fontId="0" fillId="5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6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2" fillId="2" borderId="0" xfId="0" applyFont="1" applyFill="1"/>
    <xf numFmtId="0" fontId="2" fillId="8" borderId="0" xfId="0" applyFont="1" applyFill="1"/>
    <xf numFmtId="0" fontId="2" fillId="8" borderId="1" xfId="0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14" borderId="1" xfId="0" applyFill="1" applyBorder="1"/>
    <xf numFmtId="0" fontId="0" fillId="15" borderId="1" xfId="0" applyFill="1" applyBorder="1"/>
    <xf numFmtId="181" fontId="0" fillId="15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9" fontId="0" fillId="15" borderId="1" xfId="0" applyNumberFormat="1" applyFill="1" applyBorder="1"/>
    <xf numFmtId="0" fontId="10" fillId="0" borderId="0" xfId="0" applyFont="1"/>
    <xf numFmtId="0" fontId="16" fillId="4" borderId="6" xfId="0" applyFont="1" applyFill="1" applyBorder="1" applyAlignment="1">
      <alignment horizontal="center"/>
    </xf>
    <xf numFmtId="178" fontId="16" fillId="4" borderId="6" xfId="0" applyNumberFormat="1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/>
    </xf>
    <xf numFmtId="178" fontId="16" fillId="10" borderId="1" xfId="0" applyNumberFormat="1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178" fontId="16" fillId="4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179" fontId="16" fillId="4" borderId="6" xfId="0" applyNumberFormat="1" applyFont="1" applyFill="1" applyBorder="1" applyAlignment="1">
      <alignment horizontal="center"/>
    </xf>
    <xf numFmtId="179" fontId="16" fillId="10" borderId="1" xfId="0" applyNumberFormat="1" applyFont="1" applyFill="1" applyBorder="1" applyAlignment="1">
      <alignment horizontal="center"/>
    </xf>
    <xf numFmtId="179" fontId="16" fillId="4" borderId="1" xfId="0" applyNumberFormat="1" applyFont="1" applyFill="1" applyBorder="1" applyAlignment="1">
      <alignment horizontal="center"/>
    </xf>
    <xf numFmtId="180" fontId="16" fillId="4" borderId="6" xfId="0" applyNumberFormat="1" applyFont="1" applyFill="1" applyBorder="1" applyAlignment="1">
      <alignment horizontal="center"/>
    </xf>
    <xf numFmtId="6" fontId="16" fillId="4" borderId="6" xfId="0" applyNumberFormat="1" applyFont="1" applyFill="1" applyBorder="1" applyAlignment="1">
      <alignment horizontal="center"/>
    </xf>
    <xf numFmtId="10" fontId="16" fillId="4" borderId="6" xfId="0" applyNumberFormat="1" applyFont="1" applyFill="1" applyBorder="1" applyAlignment="1">
      <alignment horizontal="center"/>
    </xf>
    <xf numFmtId="180" fontId="16" fillId="10" borderId="1" xfId="0" applyNumberFormat="1" applyFont="1" applyFill="1" applyBorder="1" applyAlignment="1">
      <alignment horizontal="center"/>
    </xf>
    <xf numFmtId="6" fontId="16" fillId="10" borderId="1" xfId="0" applyNumberFormat="1" applyFont="1" applyFill="1" applyBorder="1" applyAlignment="1">
      <alignment horizontal="center"/>
    </xf>
    <xf numFmtId="10" fontId="16" fillId="10" borderId="1" xfId="0" applyNumberFormat="1" applyFont="1" applyFill="1" applyBorder="1" applyAlignment="1">
      <alignment horizontal="center"/>
    </xf>
    <xf numFmtId="180" fontId="16" fillId="4" borderId="1" xfId="0" applyNumberFormat="1" applyFont="1" applyFill="1" applyBorder="1" applyAlignment="1">
      <alignment horizontal="center"/>
    </xf>
    <xf numFmtId="6" fontId="16" fillId="4" borderId="1" xfId="0" applyNumberFormat="1" applyFont="1" applyFill="1" applyBorder="1" applyAlignment="1">
      <alignment horizontal="center"/>
    </xf>
    <xf numFmtId="10" fontId="16" fillId="4" borderId="1" xfId="0" applyNumberFormat="1" applyFont="1" applyFill="1" applyBorder="1" applyAlignment="1">
      <alignment horizontal="center"/>
    </xf>
    <xf numFmtId="0" fontId="17" fillId="4" borderId="6" xfId="0" applyFont="1" applyFill="1" applyBorder="1" applyAlignment="1">
      <alignment horizontal="center" shrinkToFit="1"/>
    </xf>
    <xf numFmtId="0" fontId="10" fillId="4" borderId="6" xfId="0" applyFont="1" applyFill="1" applyBorder="1" applyAlignment="1">
      <alignment horizontal="left" shrinkToFit="1"/>
    </xf>
    <xf numFmtId="0" fontId="17" fillId="10" borderId="6" xfId="0" applyFont="1" applyFill="1" applyBorder="1" applyAlignment="1">
      <alignment horizontal="left" shrinkToFit="1"/>
    </xf>
    <xf numFmtId="0" fontId="17" fillId="4" borderId="6" xfId="0" applyFont="1" applyFill="1" applyBorder="1" applyAlignment="1">
      <alignment horizontal="left" shrinkToFit="1"/>
    </xf>
    <xf numFmtId="0" fontId="18" fillId="0" borderId="0" xfId="0" applyFont="1"/>
    <xf numFmtId="0" fontId="21" fillId="0" borderId="0" xfId="0" applyFont="1"/>
    <xf numFmtId="0" fontId="13" fillId="9" borderId="13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5" xfId="0" applyFont="1" applyFill="1" applyBorder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9" borderId="17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4" fillId="9" borderId="1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 wrapText="1" indent="1"/>
    </xf>
    <xf numFmtId="0" fontId="24" fillId="0" borderId="21" xfId="0" applyFont="1" applyBorder="1" applyAlignment="1">
      <alignment horizontal="left" wrapText="1"/>
    </xf>
    <xf numFmtId="0" fontId="23" fillId="16" borderId="22" xfId="0" applyFont="1" applyFill="1" applyBorder="1" applyAlignment="1">
      <alignment horizontal="center" vertical="center" wrapText="1"/>
    </xf>
    <xf numFmtId="0" fontId="23" fillId="16" borderId="23" xfId="0" applyFont="1" applyFill="1" applyBorder="1" applyAlignment="1">
      <alignment horizontal="center" vertical="center" wrapText="1"/>
    </xf>
    <xf numFmtId="0" fontId="22" fillId="17" borderId="24" xfId="0" applyFont="1" applyFill="1" applyBorder="1" applyAlignment="1">
      <alignment horizontal="left" wrapText="1"/>
    </xf>
    <xf numFmtId="0" fontId="22" fillId="15" borderId="24" xfId="0" applyFont="1" applyFill="1" applyBorder="1" applyAlignment="1">
      <alignment horizontal="left" wrapText="1"/>
    </xf>
    <xf numFmtId="0" fontId="24" fillId="15" borderId="21" xfId="0" applyFont="1" applyFill="1" applyBorder="1" applyAlignment="1">
      <alignment horizontal="left" wrapText="1"/>
    </xf>
    <xf numFmtId="0" fontId="22" fillId="18" borderId="24" xfId="0" applyFont="1" applyFill="1" applyBorder="1" applyAlignment="1">
      <alignment horizontal="left" wrapText="1"/>
    </xf>
    <xf numFmtId="0" fontId="24" fillId="18" borderId="21" xfId="0" applyFont="1" applyFill="1" applyBorder="1" applyAlignment="1">
      <alignment horizontal="left" wrapText="1"/>
    </xf>
    <xf numFmtId="0" fontId="25" fillId="0" borderId="0" xfId="0" applyFont="1"/>
    <xf numFmtId="0" fontId="24" fillId="0" borderId="25" xfId="0" applyFont="1" applyBorder="1" applyAlignment="1">
      <alignment horizontal="left" vertical="center" wrapText="1"/>
    </xf>
    <xf numFmtId="0" fontId="22" fillId="17" borderId="26" xfId="0" applyFont="1" applyFill="1" applyBorder="1" applyAlignment="1">
      <alignment horizontal="left" wrapText="1"/>
    </xf>
    <xf numFmtId="0" fontId="26" fillId="21" borderId="21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20" borderId="21" xfId="0" applyFont="1" applyFill="1" applyBorder="1" applyAlignment="1">
      <alignment horizontal="left" vertical="center" wrapText="1"/>
    </xf>
    <xf numFmtId="0" fontId="26" fillId="22" borderId="21" xfId="0" applyFont="1" applyFill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0" fillId="0" borderId="32" xfId="0" applyBorder="1"/>
    <xf numFmtId="0" fontId="26" fillId="16" borderId="24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15" borderId="25" xfId="0" applyFont="1" applyFill="1" applyBorder="1" applyAlignment="1">
      <alignment horizontal="left" vertical="center" wrapText="1"/>
    </xf>
    <xf numFmtId="10" fontId="20" fillId="0" borderId="20" xfId="0" applyNumberFormat="1" applyFont="1" applyBorder="1"/>
    <xf numFmtId="0" fontId="15" fillId="9" borderId="15" xfId="0" applyFont="1" applyFill="1" applyBorder="1" applyAlignment="1">
      <alignment horizontal="center" vertical="center" wrapText="1"/>
    </xf>
    <xf numFmtId="6" fontId="29" fillId="0" borderId="13" xfId="0" applyNumberFormat="1" applyFont="1" applyBorder="1"/>
    <xf numFmtId="184" fontId="20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20" fillId="0" borderId="38" xfId="0" applyFont="1" applyBorder="1"/>
    <xf numFmtId="0" fontId="0" fillId="0" borderId="38" xfId="0" applyBorder="1"/>
    <xf numFmtId="0" fontId="16" fillId="10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9" fillId="12" borderId="11" xfId="0" applyFont="1" applyFill="1" applyBorder="1" applyAlignment="1">
      <alignment horizontal="center" vertical="center" wrapText="1"/>
    </xf>
    <xf numFmtId="0" fontId="3" fillId="11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/>
    </xf>
    <xf numFmtId="0" fontId="8" fillId="5" borderId="8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7" fillId="7" borderId="11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 wrapText="1"/>
    </xf>
    <xf numFmtId="0" fontId="7" fillId="13" borderId="10" xfId="0" applyFont="1" applyFill="1" applyBorder="1" applyAlignment="1">
      <alignment horizontal="center" vertical="center"/>
    </xf>
    <xf numFmtId="0" fontId="7" fillId="13" borderId="11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0" fontId="30" fillId="0" borderId="0" xfId="1" applyAlignment="1" applyProtection="1"/>
    <xf numFmtId="0" fontId="7" fillId="11" borderId="11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 wrapText="1"/>
    </xf>
    <xf numFmtId="183" fontId="20" fillId="0" borderId="19" xfId="0" applyNumberFormat="1" applyFont="1" applyBorder="1"/>
    <xf numFmtId="0" fontId="16" fillId="4" borderId="39" xfId="0" applyFont="1" applyFill="1" applyBorder="1" applyAlignment="1">
      <alignment horizontal="center"/>
    </xf>
    <xf numFmtId="0" fontId="16" fillId="10" borderId="39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49" fontId="0" fillId="0" borderId="0" xfId="0" applyNumberFormat="1"/>
    <xf numFmtId="0" fontId="0" fillId="24" borderId="0" xfId="0" applyFill="1"/>
    <xf numFmtId="0" fontId="16" fillId="10" borderId="1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16" fillId="10" borderId="1" xfId="0" applyFont="1" applyFill="1" applyBorder="1" applyAlignment="1">
      <alignment horizontal="center" vertical="center"/>
    </xf>
    <xf numFmtId="9" fontId="0" fillId="15" borderId="0" xfId="0" applyNumberFormat="1" applyFill="1"/>
    <xf numFmtId="0" fontId="0" fillId="0" borderId="0" xfId="0" applyAlignment="1">
      <alignment horizontal="right"/>
    </xf>
    <xf numFmtId="0" fontId="36" fillId="23" borderId="26" xfId="0" applyFont="1" applyFill="1" applyBorder="1" applyAlignment="1">
      <alignment horizontal="left" vertical="center" wrapText="1"/>
    </xf>
    <xf numFmtId="0" fontId="0" fillId="15" borderId="0" xfId="0" applyFill="1"/>
    <xf numFmtId="10" fontId="0" fillId="15" borderId="0" xfId="0" applyNumberFormat="1" applyFill="1"/>
    <xf numFmtId="181" fontId="16" fillId="4" borderId="1" xfId="0" applyNumberFormat="1" applyFont="1" applyFill="1" applyBorder="1" applyAlignment="1">
      <alignment horizontal="center"/>
    </xf>
    <xf numFmtId="0" fontId="17" fillId="10" borderId="6" xfId="0" applyFont="1" applyFill="1" applyBorder="1" applyAlignment="1">
      <alignment horizontal="center" shrinkToFit="1"/>
    </xf>
    <xf numFmtId="181" fontId="10" fillId="10" borderId="1" xfId="0" applyNumberFormat="1" applyFont="1" applyFill="1" applyBorder="1" applyAlignment="1">
      <alignment horizontal="center" vertical="center"/>
    </xf>
    <xf numFmtId="183" fontId="16" fillId="4" borderId="1" xfId="0" applyNumberFormat="1" applyFont="1" applyFill="1" applyBorder="1" applyAlignment="1">
      <alignment horizontal="center"/>
    </xf>
    <xf numFmtId="183" fontId="16" fillId="10" borderId="1" xfId="0" applyNumberFormat="1" applyFont="1" applyFill="1" applyBorder="1" applyAlignment="1">
      <alignment horizontal="center"/>
    </xf>
    <xf numFmtId="0" fontId="8" fillId="5" borderId="12" xfId="0" applyFont="1" applyFill="1" applyBorder="1" applyAlignment="1">
      <alignment horizontal="center" vertical="center" wrapText="1"/>
    </xf>
    <xf numFmtId="179" fontId="38" fillId="15" borderId="1" xfId="0" applyNumberFormat="1" applyFont="1" applyFill="1" applyBorder="1"/>
    <xf numFmtId="0" fontId="20" fillId="0" borderId="0" xfId="0" applyFont="1" applyAlignment="1">
      <alignment horizontal="center" vertical="center" wrapText="1"/>
    </xf>
    <xf numFmtId="0" fontId="13" fillId="9" borderId="45" xfId="0" applyFont="1" applyFill="1" applyBorder="1" applyAlignment="1">
      <alignment horizontal="center" vertical="center"/>
    </xf>
    <xf numFmtId="0" fontId="15" fillId="9" borderId="46" xfId="0" applyFont="1" applyFill="1" applyBorder="1" applyAlignment="1">
      <alignment horizontal="center" vertical="center" wrapText="1"/>
    </xf>
    <xf numFmtId="0" fontId="15" fillId="9" borderId="18" xfId="0" applyFont="1" applyFill="1" applyBorder="1" applyAlignment="1">
      <alignment horizontal="center" vertical="center" wrapText="1"/>
    </xf>
    <xf numFmtId="0" fontId="15" fillId="9" borderId="47" xfId="0" applyFont="1" applyFill="1" applyBorder="1" applyAlignment="1">
      <alignment horizontal="center" vertical="center" wrapText="1"/>
    </xf>
    <xf numFmtId="0" fontId="15" fillId="9" borderId="5" xfId="0" applyFont="1" applyFill="1" applyBorder="1" applyAlignment="1">
      <alignment horizontal="center" vertical="center" wrapText="1"/>
    </xf>
    <xf numFmtId="0" fontId="13" fillId="9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83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9" fillId="0" borderId="0" xfId="0" applyFont="1"/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40" fillId="25" borderId="0" xfId="2" applyAlignment="1"/>
    <xf numFmtId="0" fontId="41" fillId="10" borderId="1" xfId="0" applyFont="1" applyFill="1" applyBorder="1" applyAlignment="1">
      <alignment horizontal="center"/>
    </xf>
    <xf numFmtId="0" fontId="42" fillId="10" borderId="1" xfId="0" applyFont="1" applyFill="1" applyBorder="1" applyAlignment="1">
      <alignment horizontal="center"/>
    </xf>
    <xf numFmtId="0" fontId="40" fillId="25" borderId="0" xfId="2" applyAlignment="1" applyProtection="1"/>
    <xf numFmtId="0" fontId="21" fillId="0" borderId="0" xfId="0" applyFont="1" applyAlignment="1">
      <alignment horizontal="right" vertical="center"/>
    </xf>
    <xf numFmtId="0" fontId="34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8" fillId="4" borderId="1" xfId="0" applyFont="1" applyFill="1" applyBorder="1"/>
    <xf numFmtId="0" fontId="3" fillId="4" borderId="1" xfId="0" applyFont="1" applyFill="1" applyBorder="1"/>
    <xf numFmtId="0" fontId="18" fillId="4" borderId="1" xfId="0" applyFont="1" applyFill="1" applyBorder="1" applyAlignment="1">
      <alignment wrapText="1"/>
    </xf>
    <xf numFmtId="0" fontId="38" fillId="24" borderId="0" xfId="0" applyFont="1" applyFill="1"/>
    <xf numFmtId="49" fontId="0" fillId="24" borderId="0" xfId="0" applyNumberFormat="1" applyFill="1"/>
    <xf numFmtId="0" fontId="30" fillId="24" borderId="0" xfId="1" applyFill="1" applyAlignment="1" applyProtection="1"/>
    <xf numFmtId="0" fontId="11" fillId="10" borderId="1" xfId="0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left" vertical="center"/>
    </xf>
    <xf numFmtId="177" fontId="16" fillId="10" borderId="6" xfId="0" applyNumberFormat="1" applyFont="1" applyFill="1" applyBorder="1" applyAlignment="1">
      <alignment horizontal="left" vertical="center"/>
    </xf>
    <xf numFmtId="183" fontId="16" fillId="10" borderId="1" xfId="0" applyNumberFormat="1" applyFont="1" applyFill="1" applyBorder="1" applyAlignment="1">
      <alignment horizontal="center" vertical="center"/>
    </xf>
    <xf numFmtId="10" fontId="16" fillId="10" borderId="1" xfId="0" applyNumberFormat="1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14" fontId="11" fillId="10" borderId="1" xfId="0" applyNumberFormat="1" applyFont="1" applyFill="1" applyBorder="1" applyAlignment="1">
      <alignment horizontal="center" vertical="center"/>
    </xf>
    <xf numFmtId="14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6" fillId="10" borderId="6" xfId="0" applyFont="1" applyFill="1" applyBorder="1" applyAlignment="1">
      <alignment horizontal="center" vertical="center"/>
    </xf>
    <xf numFmtId="0" fontId="37" fillId="10" borderId="1" xfId="0" applyFont="1" applyFill="1" applyBorder="1" applyAlignment="1">
      <alignment horizontal="center" vertical="center"/>
    </xf>
    <xf numFmtId="182" fontId="27" fillId="10" borderId="5" xfId="0" applyNumberFormat="1" applyFont="1" applyFill="1" applyBorder="1" applyAlignment="1">
      <alignment horizontal="center" vertical="center"/>
    </xf>
    <xf numFmtId="182" fontId="27" fillId="10" borderId="6" xfId="0" applyNumberFormat="1" applyFont="1" applyFill="1" applyBorder="1" applyAlignment="1">
      <alignment horizontal="center" vertical="center"/>
    </xf>
    <xf numFmtId="182" fontId="33" fillId="10" borderId="5" xfId="0" applyNumberFormat="1" applyFont="1" applyFill="1" applyBorder="1" applyAlignment="1">
      <alignment horizontal="center" vertical="center"/>
    </xf>
    <xf numFmtId="182" fontId="33" fillId="10" borderId="6" xfId="0" applyNumberFormat="1" applyFont="1" applyFill="1" applyBorder="1" applyAlignment="1">
      <alignment horizontal="center" vertical="center"/>
    </xf>
    <xf numFmtId="182" fontId="27" fillId="10" borderId="1" xfId="0" applyNumberFormat="1" applyFont="1" applyFill="1" applyBorder="1" applyAlignment="1">
      <alignment horizontal="center" vertical="center"/>
    </xf>
    <xf numFmtId="0" fontId="32" fillId="10" borderId="6" xfId="0" applyFont="1" applyFill="1" applyBorder="1" applyAlignment="1">
      <alignment horizontal="center" vertical="center"/>
    </xf>
    <xf numFmtId="0" fontId="32" fillId="10" borderId="1" xfId="0" applyFont="1" applyFill="1" applyBorder="1" applyAlignment="1">
      <alignment horizontal="center" vertical="center"/>
    </xf>
    <xf numFmtId="182" fontId="27" fillId="10" borderId="18" xfId="0" applyNumberFormat="1" applyFont="1" applyFill="1" applyBorder="1" applyAlignment="1">
      <alignment horizontal="center" vertical="center"/>
    </xf>
    <xf numFmtId="182" fontId="27" fillId="10" borderId="14" xfId="0" applyNumberFormat="1" applyFont="1" applyFill="1" applyBorder="1" applyAlignment="1">
      <alignment horizontal="center" vertical="center"/>
    </xf>
    <xf numFmtId="177" fontId="16" fillId="10" borderId="5" xfId="0" applyNumberFormat="1" applyFont="1" applyFill="1" applyBorder="1" applyAlignment="1">
      <alignment horizontal="center" vertical="center"/>
    </xf>
    <xf numFmtId="177" fontId="16" fillId="10" borderId="6" xfId="0" applyNumberFormat="1" applyFont="1" applyFill="1" applyBorder="1" applyAlignment="1">
      <alignment horizontal="center" vertical="center"/>
    </xf>
    <xf numFmtId="10" fontId="16" fillId="10" borderId="6" xfId="0" applyNumberFormat="1" applyFont="1" applyFill="1" applyBorder="1" applyAlignment="1">
      <alignment horizontal="center" vertical="center"/>
    </xf>
    <xf numFmtId="14" fontId="11" fillId="10" borderId="6" xfId="0" applyNumberFormat="1" applyFont="1" applyFill="1" applyBorder="1" applyAlignment="1">
      <alignment horizontal="center" vertical="center"/>
    </xf>
    <xf numFmtId="182" fontId="16" fillId="10" borderId="18" xfId="0" applyNumberFormat="1" applyFont="1" applyFill="1" applyBorder="1" applyAlignment="1">
      <alignment horizontal="center" vertical="center"/>
    </xf>
    <xf numFmtId="182" fontId="16" fillId="10" borderId="14" xfId="0" applyNumberFormat="1" applyFont="1" applyFill="1" applyBorder="1" applyAlignment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14" fontId="16" fillId="10" borderId="1" xfId="0" applyNumberFormat="1" applyFont="1" applyFill="1" applyBorder="1" applyAlignment="1">
      <alignment horizontal="center" vertical="center"/>
    </xf>
    <xf numFmtId="182" fontId="16" fillId="10" borderId="1" xfId="0" applyNumberFormat="1" applyFont="1" applyFill="1" applyBorder="1" applyAlignment="1">
      <alignment horizontal="center" vertical="center"/>
    </xf>
    <xf numFmtId="177" fontId="16" fillId="10" borderId="18" xfId="0" applyNumberFormat="1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center" vertical="center"/>
    </xf>
    <xf numFmtId="0" fontId="16" fillId="10" borderId="5" xfId="0" applyFont="1" applyFill="1" applyBorder="1" applyAlignment="1">
      <alignment horizontal="center" vertical="center"/>
    </xf>
    <xf numFmtId="14" fontId="16" fillId="10" borderId="18" xfId="0" applyNumberFormat="1" applyFont="1" applyFill="1" applyBorder="1" applyAlignment="1">
      <alignment horizontal="center" vertical="center"/>
    </xf>
    <xf numFmtId="14" fontId="16" fillId="10" borderId="14" xfId="0" applyNumberFormat="1" applyFont="1" applyFill="1" applyBorder="1" applyAlignment="1">
      <alignment horizontal="center" vertical="center"/>
    </xf>
    <xf numFmtId="183" fontId="16" fillId="10" borderId="6" xfId="0" applyNumberFormat="1" applyFont="1" applyFill="1" applyBorder="1" applyAlignment="1">
      <alignment horizontal="center" vertical="center"/>
    </xf>
    <xf numFmtId="14" fontId="11" fillId="10" borderId="5" xfId="0" applyNumberFormat="1" applyFont="1" applyFill="1" applyBorder="1" applyAlignment="1">
      <alignment horizontal="center" vertical="center"/>
    </xf>
    <xf numFmtId="182" fontId="33" fillId="10" borderId="1" xfId="0" applyNumberFormat="1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14" fontId="2" fillId="14" borderId="40" xfId="0" applyNumberFormat="1" applyFont="1" applyFill="1" applyBorder="1" applyAlignment="1"/>
    <xf numFmtId="0" fontId="0" fillId="14" borderId="41" xfId="0" applyFill="1" applyBorder="1" applyAlignment="1"/>
    <xf numFmtId="0" fontId="0" fillId="14" borderId="39" xfId="0" applyFill="1" applyBorder="1" applyAlignment="1"/>
    <xf numFmtId="14" fontId="2" fillId="14" borderId="44" xfId="0" applyNumberFormat="1" applyFont="1" applyFill="1" applyBorder="1" applyAlignment="1"/>
    <xf numFmtId="0" fontId="0" fillId="14" borderId="38" xfId="0" applyFill="1" applyBorder="1" applyAlignment="1"/>
    <xf numFmtId="14" fontId="2" fillId="15" borderId="42" xfId="0" applyNumberFormat="1" applyFont="1" applyFill="1" applyBorder="1" applyAlignment="1"/>
    <xf numFmtId="0" fontId="0" fillId="15" borderId="2" xfId="0" applyFill="1" applyBorder="1" applyAlignment="1"/>
    <xf numFmtId="0" fontId="0" fillId="0" borderId="43" xfId="0" applyBorder="1" applyAlignment="1"/>
    <xf numFmtId="0" fontId="0" fillId="15" borderId="38" xfId="0" applyFill="1" applyBorder="1" applyAlignment="1"/>
    <xf numFmtId="0" fontId="0" fillId="0" borderId="3" xfId="0" applyBorder="1" applyAlignment="1"/>
    <xf numFmtId="0" fontId="0" fillId="15" borderId="40" xfId="0" applyFill="1" applyBorder="1" applyAlignment="1"/>
    <xf numFmtId="0" fontId="0" fillId="0" borderId="39" xfId="0" applyBorder="1" applyAlignment="1"/>
    <xf numFmtId="0" fontId="3" fillId="13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6" fillId="12" borderId="7" xfId="0" applyFont="1" applyFill="1" applyBorder="1" applyAlignment="1">
      <alignment horizontal="left"/>
    </xf>
    <xf numFmtId="0" fontId="3" fillId="11" borderId="7" xfId="0" applyFont="1" applyFill="1" applyBorder="1" applyAlignment="1">
      <alignment horizontal="left" vertical="center"/>
    </xf>
    <xf numFmtId="0" fontId="3" fillId="7" borderId="7" xfId="0" applyFont="1" applyFill="1" applyBorder="1" applyAlignment="1">
      <alignment horizontal="left"/>
    </xf>
    <xf numFmtId="0" fontId="2" fillId="2" borderId="0" xfId="0" applyFont="1" applyFill="1" applyAlignment="1"/>
    <xf numFmtId="0" fontId="0" fillId="0" borderId="0" xfId="0" applyAlignment="1"/>
    <xf numFmtId="0" fontId="24" fillId="0" borderId="34" xfId="0" applyFont="1" applyBorder="1" applyAlignment="1">
      <alignment horizontal="left" vertical="center" wrapText="1"/>
    </xf>
    <xf numFmtId="0" fontId="24" fillId="0" borderId="23" xfId="0" applyFont="1" applyBorder="1" applyAlignment="1">
      <alignment horizontal="left" vertical="center" wrapText="1"/>
    </xf>
    <xf numFmtId="0" fontId="24" fillId="0" borderId="31" xfId="0" applyFont="1" applyBorder="1" applyAlignment="1">
      <alignment horizontal="left" vertical="center" wrapText="1"/>
    </xf>
    <xf numFmtId="0" fontId="24" fillId="0" borderId="27" xfId="0" applyFont="1" applyBorder="1" applyAlignment="1">
      <alignment horizontal="left" vertical="center" wrapText="1"/>
    </xf>
    <xf numFmtId="0" fontId="24" fillId="0" borderId="24" xfId="0" applyFont="1" applyBorder="1" applyAlignment="1">
      <alignment horizontal="left" vertical="center" wrapText="1"/>
    </xf>
    <xf numFmtId="0" fontId="26" fillId="19" borderId="29" xfId="0" applyFont="1" applyFill="1" applyBorder="1" applyAlignment="1">
      <alignment horizontal="left" vertical="center" wrapText="1"/>
    </xf>
    <xf numFmtId="0" fontId="26" fillId="19" borderId="30" xfId="0" applyFont="1" applyFill="1" applyBorder="1" applyAlignment="1">
      <alignment horizontal="left" vertical="center" wrapText="1"/>
    </xf>
    <xf numFmtId="0" fontId="26" fillId="19" borderId="33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16" borderId="34" xfId="0" applyFont="1" applyFill="1" applyBorder="1" applyAlignment="1">
      <alignment horizontal="left" vertical="center" wrapText="1"/>
    </xf>
    <xf numFmtId="0" fontId="26" fillId="16" borderId="31" xfId="0" applyFont="1" applyFill="1" applyBorder="1" applyAlignment="1">
      <alignment horizontal="left" vertical="center" wrapText="1"/>
    </xf>
    <xf numFmtId="0" fontId="26" fillId="16" borderId="23" xfId="0" applyFont="1" applyFill="1" applyBorder="1" applyAlignment="1">
      <alignment horizontal="left" vertical="center" wrapText="1"/>
    </xf>
    <xf numFmtId="0" fontId="26" fillId="20" borderId="34" xfId="0" applyFont="1" applyFill="1" applyBorder="1" applyAlignment="1">
      <alignment horizontal="left" vertical="center" wrapText="1"/>
    </xf>
    <xf numFmtId="0" fontId="26" fillId="20" borderId="23" xfId="0" applyFont="1" applyFill="1" applyBorder="1" applyAlignment="1">
      <alignment horizontal="left" vertical="center" wrapText="1"/>
    </xf>
    <xf numFmtId="0" fontId="26" fillId="22" borderId="34" xfId="0" applyFont="1" applyFill="1" applyBorder="1" applyAlignment="1">
      <alignment horizontal="left" vertical="center" wrapText="1"/>
    </xf>
    <xf numFmtId="0" fontId="26" fillId="22" borderId="23" xfId="0" applyFont="1" applyFill="1" applyBorder="1" applyAlignment="1">
      <alignment horizontal="left" vertical="center" wrapText="1"/>
    </xf>
    <xf numFmtId="0" fontId="24" fillId="0" borderId="26" xfId="0" applyFont="1" applyBorder="1" applyAlignment="1">
      <alignment horizontal="left" vertical="center" wrapText="1"/>
    </xf>
    <xf numFmtId="10" fontId="24" fillId="15" borderId="27" xfId="0" applyNumberFormat="1" applyFont="1" applyFill="1" applyBorder="1" applyAlignment="1">
      <alignment horizontal="left" vertical="center" wrapText="1"/>
    </xf>
    <xf numFmtId="10" fontId="24" fillId="15" borderId="26" xfId="0" applyNumberFormat="1" applyFont="1" applyFill="1" applyBorder="1" applyAlignment="1">
      <alignment horizontal="left" vertical="center" wrapText="1"/>
    </xf>
    <xf numFmtId="10" fontId="24" fillId="15" borderId="24" xfId="0" applyNumberFormat="1" applyFont="1" applyFill="1" applyBorder="1" applyAlignment="1">
      <alignment horizontal="left" vertical="center" wrapText="1"/>
    </xf>
    <xf numFmtId="10" fontId="24" fillId="0" borderId="27" xfId="0" applyNumberFormat="1" applyFont="1" applyBorder="1" applyAlignment="1">
      <alignment horizontal="left" vertical="center" wrapText="1"/>
    </xf>
    <xf numFmtId="10" fontId="24" fillId="0" borderId="26" xfId="0" applyNumberFormat="1" applyFont="1" applyBorder="1" applyAlignment="1">
      <alignment horizontal="left" vertical="center" wrapText="1"/>
    </xf>
    <xf numFmtId="10" fontId="24" fillId="0" borderId="24" xfId="0" applyNumberFormat="1" applyFont="1" applyBorder="1" applyAlignment="1">
      <alignment horizontal="left" vertical="center" wrapText="1"/>
    </xf>
    <xf numFmtId="0" fontId="24" fillId="23" borderId="27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0" borderId="29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4" fillId="0" borderId="30" xfId="0" applyFont="1" applyBorder="1" applyAlignment="1">
      <alignment horizontal="left" vertical="center" wrapText="1"/>
    </xf>
    <xf numFmtId="0" fontId="24" fillId="0" borderId="33" xfId="0" applyFont="1" applyBorder="1" applyAlignment="1">
      <alignment horizontal="left" vertical="center" wrapText="1"/>
    </xf>
    <xf numFmtId="0" fontId="24" fillId="0" borderId="28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24" fillId="15" borderId="27" xfId="0" applyFont="1" applyFill="1" applyBorder="1" applyAlignment="1">
      <alignment horizontal="left" vertical="center" wrapText="1"/>
    </xf>
    <xf numFmtId="0" fontId="24" fillId="15" borderId="24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0" borderId="35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25" xfId="0" applyFont="1" applyBorder="1" applyAlignment="1">
      <alignment horizontal="left" vertical="center" wrapText="1"/>
    </xf>
  </cellXfs>
  <cellStyles count="3">
    <cellStyle name="好" xfId="2" builtinId="26"/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/>
    </c:title>
    <c:plotArea>
      <c:layout>
        <c:manualLayout>
          <c:layoutTarget val="inner"/>
          <c:xMode val="edge"/>
          <c:yMode val="edge"/>
          <c:x val="0.10761277057364771"/>
          <c:y val="0.32811630502905487"/>
          <c:w val="0.65364151343755705"/>
          <c:h val="0.61719517455522965"/>
        </c:manualLayout>
      </c:layout>
      <c:lineChart>
        <c:grouping val="standard"/>
        <c:ser>
          <c:idx val="0"/>
          <c:order val="0"/>
          <c:tx>
            <c:strRef>
              <c:f>個別計算!$G$5</c:f>
              <c:strCache>
                <c:ptCount val="1"/>
              </c:strCache>
            </c:strRef>
          </c:tx>
          <c:cat>
            <c:numRef>
              <c:f>個別計算!$F$6:$F$11</c:f>
              <c:numCache>
                <c:formatCode>General</c:formatCode>
                <c:ptCount val="6"/>
              </c:numCache>
            </c:numRef>
          </c:cat>
          <c:val>
            <c:numRef>
              <c:f>個別計算!$G$6:$G$11</c:f>
              <c:numCache>
                <c:formatCode>General</c:formatCode>
                <c:ptCount val="6"/>
              </c:numCache>
            </c:numRef>
          </c:val>
        </c:ser>
        <c:marker val="1"/>
        <c:axId val="207645312"/>
        <c:axId val="207655296"/>
      </c:lineChart>
      <c:catAx>
        <c:axId val="207645312"/>
        <c:scaling>
          <c:orientation val="minMax"/>
        </c:scaling>
        <c:axPos val="b"/>
        <c:numFmt formatCode="General" sourceLinked="1"/>
        <c:tickLblPos val="nextTo"/>
        <c:crossAx val="207655296"/>
        <c:crosses val="autoZero"/>
        <c:auto val="1"/>
        <c:lblAlgn val="ctr"/>
        <c:lblOffset val="100"/>
      </c:catAx>
      <c:valAx>
        <c:axId val="207655296"/>
        <c:scaling>
          <c:orientation val="minMax"/>
        </c:scaling>
        <c:axPos val="l"/>
        <c:majorGridlines/>
        <c:numFmt formatCode="General" sourceLinked="1"/>
        <c:tickLblPos val="nextTo"/>
        <c:crossAx val="2076453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533" l="0.70000000000000062" r="0.70000000000000062" t="0.750000000000005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>
        <c:manualLayout>
          <c:layoutTarget val="inner"/>
          <c:xMode val="edge"/>
          <c:yMode val="edge"/>
          <c:x val="0.14562102722941622"/>
          <c:y val="0.22277006741063843"/>
          <c:w val="0.80864350486994818"/>
          <c:h val="0.54771507728200663"/>
        </c:manualLayout>
      </c:layout>
      <c:lineChart>
        <c:grouping val="standard"/>
        <c:ser>
          <c:idx val="0"/>
          <c:order val="0"/>
          <c:tx>
            <c:strRef>
              <c:f>グラフ!$C$41</c:f>
              <c:strCache>
                <c:ptCount val="1"/>
                <c:pt idx="0">
                  <c:v>CLOSE_3105</c:v>
                </c:pt>
              </c:strCache>
            </c:strRef>
          </c:tx>
          <c:marker>
            <c:symbol val="none"/>
          </c:marker>
          <c:cat>
            <c:numRef>
              <c:f>グラフ!$A$42:$A$200</c:f>
              <c:numCache>
                <c:formatCode>yyyy/mm/dd</c:formatCode>
                <c:ptCount val="159"/>
                <c:pt idx="0">
                  <c:v>43809</c:v>
                </c:pt>
                <c:pt idx="1">
                  <c:v>43808</c:v>
                </c:pt>
                <c:pt idx="2">
                  <c:v>43805</c:v>
                </c:pt>
                <c:pt idx="3">
                  <c:v>43804</c:v>
                </c:pt>
                <c:pt idx="4">
                  <c:v>43803</c:v>
                </c:pt>
                <c:pt idx="5">
                  <c:v>43802</c:v>
                </c:pt>
                <c:pt idx="6">
                  <c:v>43801</c:v>
                </c:pt>
                <c:pt idx="7">
                  <c:v>43798</c:v>
                </c:pt>
                <c:pt idx="8">
                  <c:v>43797</c:v>
                </c:pt>
                <c:pt idx="9">
                  <c:v>43796</c:v>
                </c:pt>
                <c:pt idx="10">
                  <c:v>43795</c:v>
                </c:pt>
                <c:pt idx="11">
                  <c:v>43794</c:v>
                </c:pt>
                <c:pt idx="12">
                  <c:v>43791</c:v>
                </c:pt>
                <c:pt idx="13">
                  <c:v>43790</c:v>
                </c:pt>
                <c:pt idx="14">
                  <c:v>43789</c:v>
                </c:pt>
                <c:pt idx="15">
                  <c:v>43788</c:v>
                </c:pt>
                <c:pt idx="16">
                  <c:v>43787</c:v>
                </c:pt>
                <c:pt idx="17">
                  <c:v>43784</c:v>
                </c:pt>
                <c:pt idx="18">
                  <c:v>43783</c:v>
                </c:pt>
                <c:pt idx="19">
                  <c:v>43782</c:v>
                </c:pt>
                <c:pt idx="20">
                  <c:v>43781</c:v>
                </c:pt>
                <c:pt idx="21">
                  <c:v>43780</c:v>
                </c:pt>
                <c:pt idx="22">
                  <c:v>43777</c:v>
                </c:pt>
                <c:pt idx="23">
                  <c:v>43776</c:v>
                </c:pt>
                <c:pt idx="24">
                  <c:v>43775</c:v>
                </c:pt>
                <c:pt idx="25">
                  <c:v>43774</c:v>
                </c:pt>
                <c:pt idx="26">
                  <c:v>43770</c:v>
                </c:pt>
                <c:pt idx="27">
                  <c:v>43769</c:v>
                </c:pt>
                <c:pt idx="28">
                  <c:v>43768</c:v>
                </c:pt>
                <c:pt idx="29">
                  <c:v>43767</c:v>
                </c:pt>
                <c:pt idx="30">
                  <c:v>43766</c:v>
                </c:pt>
                <c:pt idx="31">
                  <c:v>43763</c:v>
                </c:pt>
                <c:pt idx="32">
                  <c:v>43762</c:v>
                </c:pt>
                <c:pt idx="33">
                  <c:v>43761</c:v>
                </c:pt>
                <c:pt idx="34">
                  <c:v>43759</c:v>
                </c:pt>
                <c:pt idx="35">
                  <c:v>43756</c:v>
                </c:pt>
                <c:pt idx="36">
                  <c:v>43755</c:v>
                </c:pt>
                <c:pt idx="37">
                  <c:v>43754</c:v>
                </c:pt>
                <c:pt idx="38">
                  <c:v>43753</c:v>
                </c:pt>
                <c:pt idx="39">
                  <c:v>43749</c:v>
                </c:pt>
                <c:pt idx="40">
                  <c:v>43748</c:v>
                </c:pt>
                <c:pt idx="41">
                  <c:v>43747</c:v>
                </c:pt>
                <c:pt idx="42">
                  <c:v>43746</c:v>
                </c:pt>
                <c:pt idx="43">
                  <c:v>43745</c:v>
                </c:pt>
                <c:pt idx="44">
                  <c:v>43742</c:v>
                </c:pt>
                <c:pt idx="45">
                  <c:v>43741</c:v>
                </c:pt>
                <c:pt idx="46">
                  <c:v>43740</c:v>
                </c:pt>
                <c:pt idx="47">
                  <c:v>43739</c:v>
                </c:pt>
                <c:pt idx="48">
                  <c:v>43738</c:v>
                </c:pt>
                <c:pt idx="49">
                  <c:v>43735</c:v>
                </c:pt>
                <c:pt idx="50">
                  <c:v>43734</c:v>
                </c:pt>
                <c:pt idx="51">
                  <c:v>43733</c:v>
                </c:pt>
                <c:pt idx="52">
                  <c:v>43732</c:v>
                </c:pt>
                <c:pt idx="53">
                  <c:v>43728</c:v>
                </c:pt>
                <c:pt idx="54">
                  <c:v>43727</c:v>
                </c:pt>
                <c:pt idx="55">
                  <c:v>43726</c:v>
                </c:pt>
                <c:pt idx="56">
                  <c:v>43725</c:v>
                </c:pt>
                <c:pt idx="57">
                  <c:v>43721</c:v>
                </c:pt>
                <c:pt idx="58">
                  <c:v>43720</c:v>
                </c:pt>
                <c:pt idx="59">
                  <c:v>43719</c:v>
                </c:pt>
                <c:pt idx="60">
                  <c:v>43718</c:v>
                </c:pt>
                <c:pt idx="61">
                  <c:v>43717</c:v>
                </c:pt>
                <c:pt idx="62">
                  <c:v>43714</c:v>
                </c:pt>
                <c:pt idx="63">
                  <c:v>43713</c:v>
                </c:pt>
                <c:pt idx="64">
                  <c:v>43712</c:v>
                </c:pt>
                <c:pt idx="65">
                  <c:v>43711</c:v>
                </c:pt>
                <c:pt idx="66">
                  <c:v>43710</c:v>
                </c:pt>
                <c:pt idx="67">
                  <c:v>43707</c:v>
                </c:pt>
                <c:pt idx="68">
                  <c:v>43706</c:v>
                </c:pt>
                <c:pt idx="69">
                  <c:v>43705</c:v>
                </c:pt>
                <c:pt idx="70">
                  <c:v>43704</c:v>
                </c:pt>
                <c:pt idx="71">
                  <c:v>43703</c:v>
                </c:pt>
                <c:pt idx="72">
                  <c:v>43700</c:v>
                </c:pt>
                <c:pt idx="73">
                  <c:v>43699</c:v>
                </c:pt>
                <c:pt idx="74">
                  <c:v>43698</c:v>
                </c:pt>
                <c:pt idx="75">
                  <c:v>43697</c:v>
                </c:pt>
                <c:pt idx="76">
                  <c:v>43696</c:v>
                </c:pt>
                <c:pt idx="77">
                  <c:v>43693</c:v>
                </c:pt>
                <c:pt idx="78">
                  <c:v>43692</c:v>
                </c:pt>
                <c:pt idx="79">
                  <c:v>43691</c:v>
                </c:pt>
                <c:pt idx="80">
                  <c:v>43690</c:v>
                </c:pt>
                <c:pt idx="81">
                  <c:v>43686</c:v>
                </c:pt>
                <c:pt idx="82">
                  <c:v>43685</c:v>
                </c:pt>
                <c:pt idx="83">
                  <c:v>43684</c:v>
                </c:pt>
                <c:pt idx="84">
                  <c:v>43683</c:v>
                </c:pt>
                <c:pt idx="85">
                  <c:v>43682</c:v>
                </c:pt>
                <c:pt idx="86">
                  <c:v>43679</c:v>
                </c:pt>
                <c:pt idx="87">
                  <c:v>43678</c:v>
                </c:pt>
                <c:pt idx="88">
                  <c:v>43677</c:v>
                </c:pt>
                <c:pt idx="89">
                  <c:v>43676</c:v>
                </c:pt>
                <c:pt idx="90">
                  <c:v>43675</c:v>
                </c:pt>
                <c:pt idx="91">
                  <c:v>43672</c:v>
                </c:pt>
                <c:pt idx="92">
                  <c:v>43671</c:v>
                </c:pt>
                <c:pt idx="93">
                  <c:v>43670</c:v>
                </c:pt>
                <c:pt idx="94">
                  <c:v>43669</c:v>
                </c:pt>
                <c:pt idx="95">
                  <c:v>43668</c:v>
                </c:pt>
                <c:pt idx="96">
                  <c:v>43665</c:v>
                </c:pt>
                <c:pt idx="97">
                  <c:v>43664</c:v>
                </c:pt>
                <c:pt idx="98">
                  <c:v>43663</c:v>
                </c:pt>
                <c:pt idx="99">
                  <c:v>43662</c:v>
                </c:pt>
                <c:pt idx="100">
                  <c:v>43658</c:v>
                </c:pt>
                <c:pt idx="101">
                  <c:v>43657</c:v>
                </c:pt>
                <c:pt idx="102">
                  <c:v>43656</c:v>
                </c:pt>
                <c:pt idx="103">
                  <c:v>43655</c:v>
                </c:pt>
                <c:pt idx="104">
                  <c:v>43654</c:v>
                </c:pt>
                <c:pt idx="105">
                  <c:v>43651</c:v>
                </c:pt>
                <c:pt idx="106">
                  <c:v>43650</c:v>
                </c:pt>
                <c:pt idx="107">
                  <c:v>43649</c:v>
                </c:pt>
                <c:pt idx="108">
                  <c:v>43648</c:v>
                </c:pt>
                <c:pt idx="109">
                  <c:v>43647</c:v>
                </c:pt>
                <c:pt idx="110">
                  <c:v>43644</c:v>
                </c:pt>
                <c:pt idx="111">
                  <c:v>43643</c:v>
                </c:pt>
                <c:pt idx="112">
                  <c:v>43642</c:v>
                </c:pt>
                <c:pt idx="113">
                  <c:v>43641</c:v>
                </c:pt>
                <c:pt idx="114">
                  <c:v>43640</c:v>
                </c:pt>
                <c:pt idx="115">
                  <c:v>43637</c:v>
                </c:pt>
                <c:pt idx="116">
                  <c:v>43636</c:v>
                </c:pt>
                <c:pt idx="117">
                  <c:v>43635</c:v>
                </c:pt>
                <c:pt idx="118">
                  <c:v>43634</c:v>
                </c:pt>
                <c:pt idx="119">
                  <c:v>43633</c:v>
                </c:pt>
                <c:pt idx="120">
                  <c:v>43630</c:v>
                </c:pt>
                <c:pt idx="121">
                  <c:v>43629</c:v>
                </c:pt>
                <c:pt idx="122">
                  <c:v>43628</c:v>
                </c:pt>
                <c:pt idx="123">
                  <c:v>43627</c:v>
                </c:pt>
                <c:pt idx="124">
                  <c:v>43626</c:v>
                </c:pt>
                <c:pt idx="125">
                  <c:v>43623</c:v>
                </c:pt>
                <c:pt idx="126">
                  <c:v>43622</c:v>
                </c:pt>
                <c:pt idx="127">
                  <c:v>43621</c:v>
                </c:pt>
                <c:pt idx="128">
                  <c:v>43620</c:v>
                </c:pt>
                <c:pt idx="129">
                  <c:v>43619</c:v>
                </c:pt>
                <c:pt idx="130">
                  <c:v>43616</c:v>
                </c:pt>
                <c:pt idx="131">
                  <c:v>43615</c:v>
                </c:pt>
                <c:pt idx="132">
                  <c:v>43614</c:v>
                </c:pt>
                <c:pt idx="133">
                  <c:v>43613</c:v>
                </c:pt>
                <c:pt idx="134">
                  <c:v>43612</c:v>
                </c:pt>
                <c:pt idx="135">
                  <c:v>43609</c:v>
                </c:pt>
                <c:pt idx="136">
                  <c:v>43608</c:v>
                </c:pt>
                <c:pt idx="137">
                  <c:v>43607</c:v>
                </c:pt>
                <c:pt idx="138">
                  <c:v>43606</c:v>
                </c:pt>
                <c:pt idx="139">
                  <c:v>43605</c:v>
                </c:pt>
                <c:pt idx="140">
                  <c:v>43602</c:v>
                </c:pt>
                <c:pt idx="141">
                  <c:v>43601</c:v>
                </c:pt>
                <c:pt idx="142">
                  <c:v>43600</c:v>
                </c:pt>
                <c:pt idx="143">
                  <c:v>43599</c:v>
                </c:pt>
                <c:pt idx="144">
                  <c:v>43598</c:v>
                </c:pt>
                <c:pt idx="145">
                  <c:v>43595</c:v>
                </c:pt>
                <c:pt idx="146">
                  <c:v>43594</c:v>
                </c:pt>
                <c:pt idx="147">
                  <c:v>43593</c:v>
                </c:pt>
                <c:pt idx="148">
                  <c:v>43592</c:v>
                </c:pt>
                <c:pt idx="149">
                  <c:v>43581</c:v>
                </c:pt>
                <c:pt idx="150">
                  <c:v>43580</c:v>
                </c:pt>
                <c:pt idx="151">
                  <c:v>43579</c:v>
                </c:pt>
                <c:pt idx="152">
                  <c:v>43578</c:v>
                </c:pt>
                <c:pt idx="153">
                  <c:v>43577</c:v>
                </c:pt>
                <c:pt idx="154">
                  <c:v>43574</c:v>
                </c:pt>
                <c:pt idx="155">
                  <c:v>43573</c:v>
                </c:pt>
                <c:pt idx="156">
                  <c:v>43572</c:v>
                </c:pt>
                <c:pt idx="157">
                  <c:v>43571</c:v>
                </c:pt>
                <c:pt idx="158">
                  <c:v>43570</c:v>
                </c:pt>
              </c:numCache>
            </c:numRef>
          </c:cat>
          <c:val>
            <c:numRef>
              <c:f>グラフ!$C$42:$C$200</c:f>
              <c:numCache>
                <c:formatCode>General</c:formatCode>
                <c:ptCount val="159"/>
                <c:pt idx="0">
                  <c:v>1045</c:v>
                </c:pt>
                <c:pt idx="1">
                  <c:v>1058</c:v>
                </c:pt>
                <c:pt idx="2">
                  <c:v>1040</c:v>
                </c:pt>
                <c:pt idx="3">
                  <c:v>1033</c:v>
                </c:pt>
                <c:pt idx="4">
                  <c:v>1016</c:v>
                </c:pt>
                <c:pt idx="5">
                  <c:v>1012</c:v>
                </c:pt>
                <c:pt idx="6">
                  <c:v>1019</c:v>
                </c:pt>
                <c:pt idx="7">
                  <c:v>1003</c:v>
                </c:pt>
                <c:pt idx="8">
                  <c:v>993</c:v>
                </c:pt>
                <c:pt idx="9">
                  <c:v>989</c:v>
                </c:pt>
                <c:pt idx="10">
                  <c:v>979</c:v>
                </c:pt>
                <c:pt idx="11">
                  <c:v>980</c:v>
                </c:pt>
                <c:pt idx="12">
                  <c:v>962</c:v>
                </c:pt>
                <c:pt idx="13">
                  <c:v>958</c:v>
                </c:pt>
                <c:pt idx="14">
                  <c:v>968</c:v>
                </c:pt>
                <c:pt idx="15">
                  <c:v>992</c:v>
                </c:pt>
                <c:pt idx="16">
                  <c:v>999</c:v>
                </c:pt>
                <c:pt idx="17">
                  <c:v>992</c:v>
                </c:pt>
                <c:pt idx="18">
                  <c:v>968</c:v>
                </c:pt>
                <c:pt idx="19">
                  <c:v>973</c:v>
                </c:pt>
                <c:pt idx="20">
                  <c:v>964</c:v>
                </c:pt>
                <c:pt idx="21">
                  <c:v>951</c:v>
                </c:pt>
                <c:pt idx="22">
                  <c:v>965</c:v>
                </c:pt>
                <c:pt idx="23">
                  <c:v>933</c:v>
                </c:pt>
                <c:pt idx="24">
                  <c:v>935</c:v>
                </c:pt>
                <c:pt idx="25">
                  <c:v>958</c:v>
                </c:pt>
                <c:pt idx="26">
                  <c:v>903</c:v>
                </c:pt>
                <c:pt idx="27">
                  <c:v>910</c:v>
                </c:pt>
                <c:pt idx="28">
                  <c:v>911</c:v>
                </c:pt>
                <c:pt idx="29">
                  <c:v>919</c:v>
                </c:pt>
                <c:pt idx="30">
                  <c:v>900</c:v>
                </c:pt>
                <c:pt idx="31">
                  <c:v>889</c:v>
                </c:pt>
                <c:pt idx="32">
                  <c:v>897</c:v>
                </c:pt>
                <c:pt idx="33">
                  <c:v>887</c:v>
                </c:pt>
                <c:pt idx="34">
                  <c:v>876</c:v>
                </c:pt>
                <c:pt idx="35">
                  <c:v>877</c:v>
                </c:pt>
                <c:pt idx="36">
                  <c:v>873</c:v>
                </c:pt>
                <c:pt idx="37">
                  <c:v>885</c:v>
                </c:pt>
                <c:pt idx="38">
                  <c:v>878</c:v>
                </c:pt>
                <c:pt idx="39">
                  <c:v>845</c:v>
                </c:pt>
                <c:pt idx="40">
                  <c:v>827</c:v>
                </c:pt>
                <c:pt idx="41">
                  <c:v>814</c:v>
                </c:pt>
                <c:pt idx="42">
                  <c:v>830</c:v>
                </c:pt>
                <c:pt idx="43">
                  <c:v>817</c:v>
                </c:pt>
                <c:pt idx="44">
                  <c:v>822</c:v>
                </c:pt>
                <c:pt idx="45">
                  <c:v>832</c:v>
                </c:pt>
                <c:pt idx="46">
                  <c:v>863</c:v>
                </c:pt>
                <c:pt idx="47">
                  <c:v>872</c:v>
                </c:pt>
                <c:pt idx="48">
                  <c:v>842</c:v>
                </c:pt>
                <c:pt idx="49">
                  <c:v>855</c:v>
                </c:pt>
                <c:pt idx="50">
                  <c:v>865</c:v>
                </c:pt>
                <c:pt idx="51">
                  <c:v>861</c:v>
                </c:pt>
                <c:pt idx="52">
                  <c:v>874</c:v>
                </c:pt>
                <c:pt idx="53">
                  <c:v>874</c:v>
                </c:pt>
                <c:pt idx="54">
                  <c:v>878</c:v>
                </c:pt>
                <c:pt idx="55">
                  <c:v>879</c:v>
                </c:pt>
                <c:pt idx="56">
                  <c:v>884</c:v>
                </c:pt>
                <c:pt idx="57">
                  <c:v>878</c:v>
                </c:pt>
                <c:pt idx="58">
                  <c:v>875</c:v>
                </c:pt>
                <c:pt idx="59">
                  <c:v>873</c:v>
                </c:pt>
                <c:pt idx="60">
                  <c:v>842</c:v>
                </c:pt>
                <c:pt idx="61">
                  <c:v>811</c:v>
                </c:pt>
                <c:pt idx="62">
                  <c:v>805</c:v>
                </c:pt>
                <c:pt idx="63">
                  <c:v>780</c:v>
                </c:pt>
                <c:pt idx="64">
                  <c:v>752</c:v>
                </c:pt>
                <c:pt idx="65">
                  <c:v>766</c:v>
                </c:pt>
                <c:pt idx="66">
                  <c:v>782</c:v>
                </c:pt>
                <c:pt idx="67">
                  <c:v>793</c:v>
                </c:pt>
                <c:pt idx="68">
                  <c:v>775</c:v>
                </c:pt>
                <c:pt idx="69">
                  <c:v>776</c:v>
                </c:pt>
                <c:pt idx="70">
                  <c:v>778</c:v>
                </c:pt>
                <c:pt idx="71">
                  <c:v>762</c:v>
                </c:pt>
                <c:pt idx="72">
                  <c:v>802</c:v>
                </c:pt>
                <c:pt idx="73">
                  <c:v>798</c:v>
                </c:pt>
                <c:pt idx="74">
                  <c:v>794</c:v>
                </c:pt>
                <c:pt idx="75">
                  <c:v>792</c:v>
                </c:pt>
                <c:pt idx="76">
                  <c:v>790</c:v>
                </c:pt>
                <c:pt idx="77">
                  <c:v>781</c:v>
                </c:pt>
                <c:pt idx="78">
                  <c:v>780</c:v>
                </c:pt>
                <c:pt idx="79">
                  <c:v>799</c:v>
                </c:pt>
                <c:pt idx="80">
                  <c:v>783</c:v>
                </c:pt>
                <c:pt idx="81">
                  <c:v>807</c:v>
                </c:pt>
                <c:pt idx="82">
                  <c:v>780</c:v>
                </c:pt>
                <c:pt idx="83">
                  <c:v>773</c:v>
                </c:pt>
                <c:pt idx="84">
                  <c:v>796</c:v>
                </c:pt>
                <c:pt idx="85">
                  <c:v>798</c:v>
                </c:pt>
                <c:pt idx="86">
                  <c:v>801</c:v>
                </c:pt>
                <c:pt idx="87">
                  <c:v>862</c:v>
                </c:pt>
                <c:pt idx="88">
                  <c:v>854</c:v>
                </c:pt>
                <c:pt idx="89">
                  <c:v>868</c:v>
                </c:pt>
                <c:pt idx="90">
                  <c:v>862</c:v>
                </c:pt>
                <c:pt idx="91">
                  <c:v>848</c:v>
                </c:pt>
                <c:pt idx="92">
                  <c:v>846</c:v>
                </c:pt>
                <c:pt idx="93">
                  <c:v>843</c:v>
                </c:pt>
                <c:pt idx="94">
                  <c:v>847</c:v>
                </c:pt>
                <c:pt idx="95">
                  <c:v>827</c:v>
                </c:pt>
                <c:pt idx="96">
                  <c:v>823</c:v>
                </c:pt>
                <c:pt idx="97">
                  <c:v>802</c:v>
                </c:pt>
                <c:pt idx="98">
                  <c:v>839</c:v>
                </c:pt>
                <c:pt idx="99">
                  <c:v>830</c:v>
                </c:pt>
                <c:pt idx="100">
                  <c:v>830</c:v>
                </c:pt>
                <c:pt idx="101">
                  <c:v>833</c:v>
                </c:pt>
                <c:pt idx="102">
                  <c:v>816</c:v>
                </c:pt>
                <c:pt idx="103">
                  <c:v>817</c:v>
                </c:pt>
                <c:pt idx="104">
                  <c:v>824</c:v>
                </c:pt>
                <c:pt idx="105">
                  <c:v>821</c:v>
                </c:pt>
                <c:pt idx="106">
                  <c:v>819</c:v>
                </c:pt>
                <c:pt idx="107">
                  <c:v>817</c:v>
                </c:pt>
                <c:pt idx="108">
                  <c:v>836</c:v>
                </c:pt>
                <c:pt idx="109">
                  <c:v>844</c:v>
                </c:pt>
                <c:pt idx="110">
                  <c:v>823</c:v>
                </c:pt>
                <c:pt idx="111">
                  <c:v>828</c:v>
                </c:pt>
                <c:pt idx="112">
                  <c:v>812</c:v>
                </c:pt>
                <c:pt idx="113">
                  <c:v>818</c:v>
                </c:pt>
                <c:pt idx="114">
                  <c:v>827</c:v>
                </c:pt>
                <c:pt idx="115">
                  <c:v>822</c:v>
                </c:pt>
                <c:pt idx="116">
                  <c:v>827</c:v>
                </c:pt>
                <c:pt idx="117">
                  <c:v>824</c:v>
                </c:pt>
                <c:pt idx="118">
                  <c:v>799</c:v>
                </c:pt>
                <c:pt idx="119">
                  <c:v>807</c:v>
                </c:pt>
                <c:pt idx="120">
                  <c:v>825</c:v>
                </c:pt>
                <c:pt idx="121">
                  <c:v>814</c:v>
                </c:pt>
                <c:pt idx="122">
                  <c:v>814</c:v>
                </c:pt>
                <c:pt idx="123">
                  <c:v>811</c:v>
                </c:pt>
                <c:pt idx="124">
                  <c:v>790</c:v>
                </c:pt>
                <c:pt idx="125">
                  <c:v>777</c:v>
                </c:pt>
                <c:pt idx="126">
                  <c:v>768</c:v>
                </c:pt>
                <c:pt idx="127">
                  <c:v>775</c:v>
                </c:pt>
                <c:pt idx="128">
                  <c:v>748</c:v>
                </c:pt>
                <c:pt idx="129">
                  <c:v>735</c:v>
                </c:pt>
                <c:pt idx="130">
                  <c:v>754</c:v>
                </c:pt>
                <c:pt idx="131">
                  <c:v>773</c:v>
                </c:pt>
                <c:pt idx="132">
                  <c:v>766</c:v>
                </c:pt>
                <c:pt idx="133">
                  <c:v>768</c:v>
                </c:pt>
                <c:pt idx="134">
                  <c:v>771</c:v>
                </c:pt>
                <c:pt idx="135">
                  <c:v>769</c:v>
                </c:pt>
                <c:pt idx="136">
                  <c:v>766</c:v>
                </c:pt>
                <c:pt idx="137">
                  <c:v>778</c:v>
                </c:pt>
                <c:pt idx="138">
                  <c:v>778</c:v>
                </c:pt>
                <c:pt idx="139">
                  <c:v>780</c:v>
                </c:pt>
                <c:pt idx="140">
                  <c:v>785</c:v>
                </c:pt>
                <c:pt idx="141">
                  <c:v>778</c:v>
                </c:pt>
                <c:pt idx="142">
                  <c:v>797</c:v>
                </c:pt>
                <c:pt idx="143">
                  <c:v>800</c:v>
                </c:pt>
                <c:pt idx="144">
                  <c:v>803</c:v>
                </c:pt>
                <c:pt idx="145">
                  <c:v>815</c:v>
                </c:pt>
                <c:pt idx="146">
                  <c:v>851</c:v>
                </c:pt>
                <c:pt idx="147">
                  <c:v>903</c:v>
                </c:pt>
                <c:pt idx="148">
                  <c:v>954</c:v>
                </c:pt>
                <c:pt idx="149">
                  <c:v>985</c:v>
                </c:pt>
                <c:pt idx="150">
                  <c:v>999</c:v>
                </c:pt>
                <c:pt idx="151">
                  <c:v>1005</c:v>
                </c:pt>
                <c:pt idx="152">
                  <c:v>1024</c:v>
                </c:pt>
                <c:pt idx="153">
                  <c:v>1031</c:v>
                </c:pt>
                <c:pt idx="154">
                  <c:v>1032</c:v>
                </c:pt>
                <c:pt idx="155">
                  <c:v>1016</c:v>
                </c:pt>
                <c:pt idx="156">
                  <c:v>1040</c:v>
                </c:pt>
                <c:pt idx="157">
                  <c:v>1034</c:v>
                </c:pt>
                <c:pt idx="158">
                  <c:v>1035</c:v>
                </c:pt>
              </c:numCache>
            </c:numRef>
          </c:val>
        </c:ser>
        <c:marker val="1"/>
        <c:axId val="151886848"/>
        <c:axId val="151941888"/>
      </c:lineChart>
      <c:dateAx>
        <c:axId val="151886848"/>
        <c:scaling>
          <c:orientation val="minMax"/>
        </c:scaling>
        <c:axPos val="b"/>
        <c:numFmt formatCode="yyyy/mm/dd" sourceLinked="1"/>
        <c:tickLblPos val="nextTo"/>
        <c:crossAx val="151941888"/>
        <c:crosses val="autoZero"/>
        <c:auto val="1"/>
        <c:lblOffset val="100"/>
      </c:dateAx>
      <c:valAx>
        <c:axId val="151941888"/>
        <c:scaling>
          <c:orientation val="minMax"/>
        </c:scaling>
        <c:axPos val="l"/>
        <c:majorGridlines/>
        <c:numFmt formatCode="General" sourceLinked="1"/>
        <c:tickLblPos val="nextTo"/>
        <c:crossAx val="1518868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8753542063166251"/>
          <c:y val="0.11317621755613889"/>
          <c:w val="0.25559254145364535"/>
          <c:h val="8.4896306975712599E-2"/>
        </c:manualLayout>
      </c:layout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0896647511387533E-2"/>
          <c:y val="8.1284574217614369E-2"/>
          <c:w val="0.90558616623760768"/>
          <c:h val="0.81342996711994453"/>
        </c:manualLayout>
      </c:layout>
      <c:lineChart>
        <c:grouping val="standard"/>
        <c:ser>
          <c:idx val="0"/>
          <c:order val="0"/>
          <c:tx>
            <c:strRef>
              <c:f>グラフ!$F$41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43809</c:v>
                </c:pt>
                <c:pt idx="1">
                  <c:v>43808</c:v>
                </c:pt>
                <c:pt idx="2">
                  <c:v>43805</c:v>
                </c:pt>
                <c:pt idx="3">
                  <c:v>43804</c:v>
                </c:pt>
                <c:pt idx="4">
                  <c:v>43803</c:v>
                </c:pt>
                <c:pt idx="5">
                  <c:v>43802</c:v>
                </c:pt>
                <c:pt idx="6">
                  <c:v>43801</c:v>
                </c:pt>
                <c:pt idx="7">
                  <c:v>43798</c:v>
                </c:pt>
                <c:pt idx="8">
                  <c:v>43797</c:v>
                </c:pt>
                <c:pt idx="9">
                  <c:v>43796</c:v>
                </c:pt>
                <c:pt idx="10">
                  <c:v>43795</c:v>
                </c:pt>
                <c:pt idx="11">
                  <c:v>43794</c:v>
                </c:pt>
                <c:pt idx="12">
                  <c:v>43791</c:v>
                </c:pt>
                <c:pt idx="13">
                  <c:v>43790</c:v>
                </c:pt>
                <c:pt idx="14">
                  <c:v>43789</c:v>
                </c:pt>
                <c:pt idx="15">
                  <c:v>43788</c:v>
                </c:pt>
                <c:pt idx="16">
                  <c:v>43787</c:v>
                </c:pt>
                <c:pt idx="17">
                  <c:v>43784</c:v>
                </c:pt>
                <c:pt idx="18">
                  <c:v>43783</c:v>
                </c:pt>
                <c:pt idx="19">
                  <c:v>43782</c:v>
                </c:pt>
                <c:pt idx="20">
                  <c:v>43781</c:v>
                </c:pt>
                <c:pt idx="21">
                  <c:v>43780</c:v>
                </c:pt>
                <c:pt idx="22">
                  <c:v>43777</c:v>
                </c:pt>
                <c:pt idx="23">
                  <c:v>43776</c:v>
                </c:pt>
                <c:pt idx="24">
                  <c:v>43775</c:v>
                </c:pt>
                <c:pt idx="25">
                  <c:v>43774</c:v>
                </c:pt>
                <c:pt idx="26">
                  <c:v>43770</c:v>
                </c:pt>
                <c:pt idx="27">
                  <c:v>43769</c:v>
                </c:pt>
                <c:pt idx="28">
                  <c:v>43768</c:v>
                </c:pt>
                <c:pt idx="29">
                  <c:v>43767</c:v>
                </c:pt>
                <c:pt idx="30">
                  <c:v>43766</c:v>
                </c:pt>
                <c:pt idx="31">
                  <c:v>43763</c:v>
                </c:pt>
                <c:pt idx="32">
                  <c:v>43762</c:v>
                </c:pt>
                <c:pt idx="33">
                  <c:v>43761</c:v>
                </c:pt>
                <c:pt idx="34">
                  <c:v>43759</c:v>
                </c:pt>
                <c:pt idx="35">
                  <c:v>43756</c:v>
                </c:pt>
                <c:pt idx="36">
                  <c:v>43755</c:v>
                </c:pt>
                <c:pt idx="37">
                  <c:v>43754</c:v>
                </c:pt>
                <c:pt idx="38">
                  <c:v>43753</c:v>
                </c:pt>
                <c:pt idx="39">
                  <c:v>43749</c:v>
                </c:pt>
                <c:pt idx="40">
                  <c:v>43748</c:v>
                </c:pt>
                <c:pt idx="41">
                  <c:v>43747</c:v>
                </c:pt>
                <c:pt idx="42">
                  <c:v>43746</c:v>
                </c:pt>
                <c:pt idx="43">
                  <c:v>43745</c:v>
                </c:pt>
                <c:pt idx="44">
                  <c:v>43742</c:v>
                </c:pt>
                <c:pt idx="45">
                  <c:v>43741</c:v>
                </c:pt>
                <c:pt idx="46">
                  <c:v>43740</c:v>
                </c:pt>
                <c:pt idx="47">
                  <c:v>43739</c:v>
                </c:pt>
                <c:pt idx="48">
                  <c:v>43738</c:v>
                </c:pt>
                <c:pt idx="49">
                  <c:v>43735</c:v>
                </c:pt>
                <c:pt idx="50">
                  <c:v>43734</c:v>
                </c:pt>
                <c:pt idx="51">
                  <c:v>43733</c:v>
                </c:pt>
                <c:pt idx="52">
                  <c:v>43732</c:v>
                </c:pt>
                <c:pt idx="53">
                  <c:v>43728</c:v>
                </c:pt>
                <c:pt idx="54">
                  <c:v>43727</c:v>
                </c:pt>
                <c:pt idx="55">
                  <c:v>43726</c:v>
                </c:pt>
                <c:pt idx="56">
                  <c:v>43725</c:v>
                </c:pt>
                <c:pt idx="57">
                  <c:v>43721</c:v>
                </c:pt>
                <c:pt idx="58">
                  <c:v>43720</c:v>
                </c:pt>
                <c:pt idx="59">
                  <c:v>43719</c:v>
                </c:pt>
                <c:pt idx="60">
                  <c:v>43718</c:v>
                </c:pt>
                <c:pt idx="61">
                  <c:v>43717</c:v>
                </c:pt>
                <c:pt idx="62">
                  <c:v>43714</c:v>
                </c:pt>
                <c:pt idx="63">
                  <c:v>43713</c:v>
                </c:pt>
                <c:pt idx="64">
                  <c:v>43712</c:v>
                </c:pt>
                <c:pt idx="65">
                  <c:v>43711</c:v>
                </c:pt>
                <c:pt idx="66">
                  <c:v>43710</c:v>
                </c:pt>
                <c:pt idx="67">
                  <c:v>43707</c:v>
                </c:pt>
                <c:pt idx="68">
                  <c:v>43706</c:v>
                </c:pt>
                <c:pt idx="69">
                  <c:v>43705</c:v>
                </c:pt>
                <c:pt idx="70">
                  <c:v>43704</c:v>
                </c:pt>
                <c:pt idx="71">
                  <c:v>43703</c:v>
                </c:pt>
                <c:pt idx="72">
                  <c:v>43700</c:v>
                </c:pt>
                <c:pt idx="73">
                  <c:v>43699</c:v>
                </c:pt>
                <c:pt idx="74">
                  <c:v>43698</c:v>
                </c:pt>
                <c:pt idx="75">
                  <c:v>43697</c:v>
                </c:pt>
                <c:pt idx="76">
                  <c:v>43696</c:v>
                </c:pt>
                <c:pt idx="77">
                  <c:v>43693</c:v>
                </c:pt>
                <c:pt idx="78">
                  <c:v>43692</c:v>
                </c:pt>
                <c:pt idx="79">
                  <c:v>43691</c:v>
                </c:pt>
                <c:pt idx="80">
                  <c:v>43690</c:v>
                </c:pt>
                <c:pt idx="81">
                  <c:v>43686</c:v>
                </c:pt>
                <c:pt idx="82">
                  <c:v>43685</c:v>
                </c:pt>
                <c:pt idx="83">
                  <c:v>43684</c:v>
                </c:pt>
                <c:pt idx="84">
                  <c:v>43683</c:v>
                </c:pt>
                <c:pt idx="85">
                  <c:v>43682</c:v>
                </c:pt>
                <c:pt idx="86">
                  <c:v>43679</c:v>
                </c:pt>
                <c:pt idx="87">
                  <c:v>43678</c:v>
                </c:pt>
                <c:pt idx="88">
                  <c:v>43677</c:v>
                </c:pt>
                <c:pt idx="89">
                  <c:v>43676</c:v>
                </c:pt>
                <c:pt idx="90">
                  <c:v>43675</c:v>
                </c:pt>
                <c:pt idx="91">
                  <c:v>43672</c:v>
                </c:pt>
                <c:pt idx="92">
                  <c:v>43671</c:v>
                </c:pt>
                <c:pt idx="93">
                  <c:v>43670</c:v>
                </c:pt>
                <c:pt idx="94">
                  <c:v>43669</c:v>
                </c:pt>
                <c:pt idx="95">
                  <c:v>43668</c:v>
                </c:pt>
                <c:pt idx="96">
                  <c:v>43665</c:v>
                </c:pt>
                <c:pt idx="97">
                  <c:v>43664</c:v>
                </c:pt>
                <c:pt idx="98">
                  <c:v>43663</c:v>
                </c:pt>
                <c:pt idx="99">
                  <c:v>43662</c:v>
                </c:pt>
                <c:pt idx="100">
                  <c:v>43658</c:v>
                </c:pt>
                <c:pt idx="101">
                  <c:v>43657</c:v>
                </c:pt>
                <c:pt idx="102">
                  <c:v>43656</c:v>
                </c:pt>
                <c:pt idx="103">
                  <c:v>43655</c:v>
                </c:pt>
                <c:pt idx="104">
                  <c:v>43654</c:v>
                </c:pt>
                <c:pt idx="105">
                  <c:v>43651</c:v>
                </c:pt>
                <c:pt idx="106">
                  <c:v>43650</c:v>
                </c:pt>
                <c:pt idx="107">
                  <c:v>43649</c:v>
                </c:pt>
                <c:pt idx="108">
                  <c:v>43648</c:v>
                </c:pt>
                <c:pt idx="109">
                  <c:v>43647</c:v>
                </c:pt>
                <c:pt idx="110">
                  <c:v>43644</c:v>
                </c:pt>
                <c:pt idx="111">
                  <c:v>43643</c:v>
                </c:pt>
                <c:pt idx="112">
                  <c:v>43642</c:v>
                </c:pt>
                <c:pt idx="113">
                  <c:v>43641</c:v>
                </c:pt>
                <c:pt idx="114">
                  <c:v>43640</c:v>
                </c:pt>
                <c:pt idx="115">
                  <c:v>43637</c:v>
                </c:pt>
                <c:pt idx="116">
                  <c:v>43636</c:v>
                </c:pt>
                <c:pt idx="117">
                  <c:v>43635</c:v>
                </c:pt>
                <c:pt idx="118">
                  <c:v>43634</c:v>
                </c:pt>
                <c:pt idx="119">
                  <c:v>43633</c:v>
                </c:pt>
                <c:pt idx="120">
                  <c:v>43630</c:v>
                </c:pt>
                <c:pt idx="121">
                  <c:v>43629</c:v>
                </c:pt>
                <c:pt idx="122">
                  <c:v>43628</c:v>
                </c:pt>
                <c:pt idx="123">
                  <c:v>43627</c:v>
                </c:pt>
                <c:pt idx="124">
                  <c:v>43626</c:v>
                </c:pt>
                <c:pt idx="125">
                  <c:v>43623</c:v>
                </c:pt>
                <c:pt idx="126">
                  <c:v>43622</c:v>
                </c:pt>
                <c:pt idx="127">
                  <c:v>43621</c:v>
                </c:pt>
                <c:pt idx="128">
                  <c:v>43620</c:v>
                </c:pt>
                <c:pt idx="129">
                  <c:v>43619</c:v>
                </c:pt>
                <c:pt idx="130">
                  <c:v>43616</c:v>
                </c:pt>
                <c:pt idx="131">
                  <c:v>43615</c:v>
                </c:pt>
                <c:pt idx="132">
                  <c:v>43614</c:v>
                </c:pt>
                <c:pt idx="133">
                  <c:v>43613</c:v>
                </c:pt>
                <c:pt idx="134">
                  <c:v>43612</c:v>
                </c:pt>
                <c:pt idx="135">
                  <c:v>43609</c:v>
                </c:pt>
                <c:pt idx="136">
                  <c:v>43608</c:v>
                </c:pt>
                <c:pt idx="137">
                  <c:v>43607</c:v>
                </c:pt>
                <c:pt idx="138">
                  <c:v>43606</c:v>
                </c:pt>
                <c:pt idx="139">
                  <c:v>43605</c:v>
                </c:pt>
                <c:pt idx="140">
                  <c:v>43602</c:v>
                </c:pt>
                <c:pt idx="141">
                  <c:v>43601</c:v>
                </c:pt>
                <c:pt idx="142">
                  <c:v>43600</c:v>
                </c:pt>
                <c:pt idx="143">
                  <c:v>43599</c:v>
                </c:pt>
                <c:pt idx="144">
                  <c:v>43598</c:v>
                </c:pt>
                <c:pt idx="145">
                  <c:v>43595</c:v>
                </c:pt>
                <c:pt idx="146">
                  <c:v>43594</c:v>
                </c:pt>
                <c:pt idx="147">
                  <c:v>43593</c:v>
                </c:pt>
                <c:pt idx="148">
                  <c:v>43592</c:v>
                </c:pt>
                <c:pt idx="149">
                  <c:v>43581</c:v>
                </c:pt>
                <c:pt idx="150">
                  <c:v>43580</c:v>
                </c:pt>
                <c:pt idx="151">
                  <c:v>43579</c:v>
                </c:pt>
                <c:pt idx="152">
                  <c:v>43578</c:v>
                </c:pt>
                <c:pt idx="153">
                  <c:v>43577</c:v>
                </c:pt>
                <c:pt idx="154">
                  <c:v>43574</c:v>
                </c:pt>
                <c:pt idx="155">
                  <c:v>43573</c:v>
                </c:pt>
                <c:pt idx="156">
                  <c:v>43572</c:v>
                </c:pt>
                <c:pt idx="157">
                  <c:v>43571</c:v>
                </c:pt>
                <c:pt idx="158">
                  <c:v>43570</c:v>
                </c:pt>
                <c:pt idx="159">
                  <c:v>43567</c:v>
                </c:pt>
                <c:pt idx="160">
                  <c:v>43566</c:v>
                </c:pt>
                <c:pt idx="161">
                  <c:v>43565</c:v>
                </c:pt>
                <c:pt idx="162">
                  <c:v>43564</c:v>
                </c:pt>
                <c:pt idx="163">
                  <c:v>43563</c:v>
                </c:pt>
                <c:pt idx="164">
                  <c:v>43560</c:v>
                </c:pt>
                <c:pt idx="165">
                  <c:v>43559</c:v>
                </c:pt>
                <c:pt idx="166">
                  <c:v>43558</c:v>
                </c:pt>
                <c:pt idx="167">
                  <c:v>43557</c:v>
                </c:pt>
                <c:pt idx="168">
                  <c:v>43556</c:v>
                </c:pt>
                <c:pt idx="169">
                  <c:v>43553</c:v>
                </c:pt>
                <c:pt idx="170">
                  <c:v>43552</c:v>
                </c:pt>
                <c:pt idx="171">
                  <c:v>43551</c:v>
                </c:pt>
                <c:pt idx="172">
                  <c:v>43550</c:v>
                </c:pt>
                <c:pt idx="173">
                  <c:v>43549</c:v>
                </c:pt>
                <c:pt idx="174">
                  <c:v>43546</c:v>
                </c:pt>
                <c:pt idx="175">
                  <c:v>43544</c:v>
                </c:pt>
                <c:pt idx="176">
                  <c:v>43543</c:v>
                </c:pt>
                <c:pt idx="177">
                  <c:v>43542</c:v>
                </c:pt>
                <c:pt idx="178">
                  <c:v>43539</c:v>
                </c:pt>
                <c:pt idx="179">
                  <c:v>43538</c:v>
                </c:pt>
                <c:pt idx="180">
                  <c:v>43537</c:v>
                </c:pt>
                <c:pt idx="181">
                  <c:v>43536</c:v>
                </c:pt>
                <c:pt idx="182">
                  <c:v>43535</c:v>
                </c:pt>
                <c:pt idx="183">
                  <c:v>43532</c:v>
                </c:pt>
                <c:pt idx="184">
                  <c:v>43531</c:v>
                </c:pt>
                <c:pt idx="185">
                  <c:v>43530</c:v>
                </c:pt>
                <c:pt idx="186">
                  <c:v>43529</c:v>
                </c:pt>
                <c:pt idx="187">
                  <c:v>43528</c:v>
                </c:pt>
                <c:pt idx="188">
                  <c:v>43525</c:v>
                </c:pt>
                <c:pt idx="189">
                  <c:v>43524</c:v>
                </c:pt>
                <c:pt idx="190">
                  <c:v>43523</c:v>
                </c:pt>
                <c:pt idx="191">
                  <c:v>43522</c:v>
                </c:pt>
                <c:pt idx="192">
                  <c:v>43521</c:v>
                </c:pt>
                <c:pt idx="193">
                  <c:v>43518</c:v>
                </c:pt>
                <c:pt idx="194">
                  <c:v>43517</c:v>
                </c:pt>
                <c:pt idx="195">
                  <c:v>43516</c:v>
                </c:pt>
                <c:pt idx="196">
                  <c:v>43515</c:v>
                </c:pt>
                <c:pt idx="197">
                  <c:v>43514</c:v>
                </c:pt>
                <c:pt idx="198">
                  <c:v>43511</c:v>
                </c:pt>
                <c:pt idx="199">
                  <c:v>43510</c:v>
                </c:pt>
                <c:pt idx="200">
                  <c:v>43509</c:v>
                </c:pt>
                <c:pt idx="201">
                  <c:v>43508</c:v>
                </c:pt>
                <c:pt idx="202">
                  <c:v>43504</c:v>
                </c:pt>
                <c:pt idx="203">
                  <c:v>43503</c:v>
                </c:pt>
                <c:pt idx="204">
                  <c:v>43502</c:v>
                </c:pt>
                <c:pt idx="205">
                  <c:v>43501</c:v>
                </c:pt>
                <c:pt idx="206">
                  <c:v>43500</c:v>
                </c:pt>
                <c:pt idx="207">
                  <c:v>43497</c:v>
                </c:pt>
                <c:pt idx="208">
                  <c:v>43496</c:v>
                </c:pt>
                <c:pt idx="209">
                  <c:v>43495</c:v>
                </c:pt>
                <c:pt idx="210">
                  <c:v>43494</c:v>
                </c:pt>
                <c:pt idx="211">
                  <c:v>43493</c:v>
                </c:pt>
                <c:pt idx="212">
                  <c:v>43490</c:v>
                </c:pt>
                <c:pt idx="213">
                  <c:v>43489</c:v>
                </c:pt>
                <c:pt idx="214">
                  <c:v>43488</c:v>
                </c:pt>
                <c:pt idx="215">
                  <c:v>43487</c:v>
                </c:pt>
                <c:pt idx="216">
                  <c:v>43486</c:v>
                </c:pt>
                <c:pt idx="217">
                  <c:v>43483</c:v>
                </c:pt>
                <c:pt idx="218">
                  <c:v>43482</c:v>
                </c:pt>
                <c:pt idx="219">
                  <c:v>43481</c:v>
                </c:pt>
                <c:pt idx="220">
                  <c:v>43480</c:v>
                </c:pt>
                <c:pt idx="221">
                  <c:v>43476</c:v>
                </c:pt>
                <c:pt idx="222">
                  <c:v>43475</c:v>
                </c:pt>
                <c:pt idx="223">
                  <c:v>43474</c:v>
                </c:pt>
                <c:pt idx="224">
                  <c:v>43473</c:v>
                </c:pt>
                <c:pt idx="225">
                  <c:v>43472</c:v>
                </c:pt>
                <c:pt idx="226">
                  <c:v>43469</c:v>
                </c:pt>
                <c:pt idx="227">
                  <c:v>43462</c:v>
                </c:pt>
                <c:pt idx="228">
                  <c:v>43461</c:v>
                </c:pt>
                <c:pt idx="229">
                  <c:v>43460</c:v>
                </c:pt>
                <c:pt idx="230">
                  <c:v>43459</c:v>
                </c:pt>
                <c:pt idx="231">
                  <c:v>43455</c:v>
                </c:pt>
                <c:pt idx="232">
                  <c:v>43454</c:v>
                </c:pt>
                <c:pt idx="233">
                  <c:v>43453</c:v>
                </c:pt>
                <c:pt idx="234">
                  <c:v>43452</c:v>
                </c:pt>
                <c:pt idx="235">
                  <c:v>43451</c:v>
                </c:pt>
                <c:pt idx="236">
                  <c:v>43448</c:v>
                </c:pt>
                <c:pt idx="237">
                  <c:v>43447</c:v>
                </c:pt>
                <c:pt idx="238">
                  <c:v>43446</c:v>
                </c:pt>
                <c:pt idx="239">
                  <c:v>43445</c:v>
                </c:pt>
                <c:pt idx="240">
                  <c:v>43444</c:v>
                </c:pt>
                <c:pt idx="241">
                  <c:v>43441</c:v>
                </c:pt>
                <c:pt idx="242">
                  <c:v>43440</c:v>
                </c:pt>
                <c:pt idx="243">
                  <c:v>43439</c:v>
                </c:pt>
                <c:pt idx="244">
                  <c:v>43438</c:v>
                </c:pt>
                <c:pt idx="245">
                  <c:v>43437</c:v>
                </c:pt>
                <c:pt idx="246">
                  <c:v>43434</c:v>
                </c:pt>
                <c:pt idx="247">
                  <c:v>43433</c:v>
                </c:pt>
                <c:pt idx="248">
                  <c:v>43432</c:v>
                </c:pt>
                <c:pt idx="249">
                  <c:v>43431</c:v>
                </c:pt>
                <c:pt idx="250">
                  <c:v>43430</c:v>
                </c:pt>
                <c:pt idx="251">
                  <c:v>43426</c:v>
                </c:pt>
                <c:pt idx="252">
                  <c:v>43425</c:v>
                </c:pt>
                <c:pt idx="253">
                  <c:v>43424</c:v>
                </c:pt>
                <c:pt idx="254">
                  <c:v>43423</c:v>
                </c:pt>
                <c:pt idx="255">
                  <c:v>43420</c:v>
                </c:pt>
                <c:pt idx="256">
                  <c:v>43419</c:v>
                </c:pt>
                <c:pt idx="257">
                  <c:v>43418</c:v>
                </c:pt>
                <c:pt idx="258">
                  <c:v>43417</c:v>
                </c:pt>
                <c:pt idx="259">
                  <c:v>43416</c:v>
                </c:pt>
                <c:pt idx="260">
                  <c:v>43413</c:v>
                </c:pt>
                <c:pt idx="261">
                  <c:v>43412</c:v>
                </c:pt>
                <c:pt idx="262">
                  <c:v>43411</c:v>
                </c:pt>
                <c:pt idx="263">
                  <c:v>43410</c:v>
                </c:pt>
                <c:pt idx="264">
                  <c:v>43409</c:v>
                </c:pt>
                <c:pt idx="265">
                  <c:v>43406</c:v>
                </c:pt>
                <c:pt idx="266">
                  <c:v>43405</c:v>
                </c:pt>
                <c:pt idx="267">
                  <c:v>43404</c:v>
                </c:pt>
                <c:pt idx="268">
                  <c:v>43403</c:v>
                </c:pt>
                <c:pt idx="269">
                  <c:v>43402</c:v>
                </c:pt>
                <c:pt idx="270">
                  <c:v>43399</c:v>
                </c:pt>
                <c:pt idx="271">
                  <c:v>43398</c:v>
                </c:pt>
                <c:pt idx="272">
                  <c:v>43397</c:v>
                </c:pt>
                <c:pt idx="273">
                  <c:v>43396</c:v>
                </c:pt>
                <c:pt idx="274">
                  <c:v>43395</c:v>
                </c:pt>
                <c:pt idx="275">
                  <c:v>43392</c:v>
                </c:pt>
                <c:pt idx="276">
                  <c:v>43391</c:v>
                </c:pt>
                <c:pt idx="277">
                  <c:v>43390</c:v>
                </c:pt>
                <c:pt idx="278">
                  <c:v>43389</c:v>
                </c:pt>
                <c:pt idx="279">
                  <c:v>43388</c:v>
                </c:pt>
                <c:pt idx="280">
                  <c:v>43385</c:v>
                </c:pt>
                <c:pt idx="281">
                  <c:v>43384</c:v>
                </c:pt>
                <c:pt idx="282">
                  <c:v>43383</c:v>
                </c:pt>
                <c:pt idx="283">
                  <c:v>43382</c:v>
                </c:pt>
                <c:pt idx="284">
                  <c:v>43378</c:v>
                </c:pt>
                <c:pt idx="285">
                  <c:v>43377</c:v>
                </c:pt>
                <c:pt idx="286">
                  <c:v>43376</c:v>
                </c:pt>
                <c:pt idx="287">
                  <c:v>43375</c:v>
                </c:pt>
                <c:pt idx="288">
                  <c:v>43374</c:v>
                </c:pt>
                <c:pt idx="289">
                  <c:v>43371</c:v>
                </c:pt>
                <c:pt idx="290">
                  <c:v>43370</c:v>
                </c:pt>
                <c:pt idx="291">
                  <c:v>43369</c:v>
                </c:pt>
                <c:pt idx="292">
                  <c:v>43368</c:v>
                </c:pt>
                <c:pt idx="293">
                  <c:v>43364</c:v>
                </c:pt>
                <c:pt idx="294">
                  <c:v>43363</c:v>
                </c:pt>
                <c:pt idx="295">
                  <c:v>43362</c:v>
                </c:pt>
                <c:pt idx="296">
                  <c:v>43361</c:v>
                </c:pt>
                <c:pt idx="297">
                  <c:v>43357</c:v>
                </c:pt>
                <c:pt idx="298">
                  <c:v>43356</c:v>
                </c:pt>
                <c:pt idx="299">
                  <c:v>43355</c:v>
                </c:pt>
                <c:pt idx="300">
                  <c:v>43354</c:v>
                </c:pt>
                <c:pt idx="301">
                  <c:v>43353</c:v>
                </c:pt>
                <c:pt idx="302">
                  <c:v>43350</c:v>
                </c:pt>
                <c:pt idx="303">
                  <c:v>43349</c:v>
                </c:pt>
                <c:pt idx="304">
                  <c:v>43348</c:v>
                </c:pt>
                <c:pt idx="305">
                  <c:v>43347</c:v>
                </c:pt>
                <c:pt idx="306">
                  <c:v>43346</c:v>
                </c:pt>
                <c:pt idx="307">
                  <c:v>43343</c:v>
                </c:pt>
                <c:pt idx="308">
                  <c:v>43342</c:v>
                </c:pt>
                <c:pt idx="309">
                  <c:v>43341</c:v>
                </c:pt>
                <c:pt idx="310">
                  <c:v>43340</c:v>
                </c:pt>
                <c:pt idx="311">
                  <c:v>43339</c:v>
                </c:pt>
                <c:pt idx="312">
                  <c:v>43336</c:v>
                </c:pt>
                <c:pt idx="313">
                  <c:v>43335</c:v>
                </c:pt>
                <c:pt idx="314">
                  <c:v>43334</c:v>
                </c:pt>
                <c:pt idx="315">
                  <c:v>43333</c:v>
                </c:pt>
                <c:pt idx="316">
                  <c:v>43332</c:v>
                </c:pt>
                <c:pt idx="317">
                  <c:v>43329</c:v>
                </c:pt>
                <c:pt idx="318">
                  <c:v>43328</c:v>
                </c:pt>
                <c:pt idx="319">
                  <c:v>43327</c:v>
                </c:pt>
                <c:pt idx="320">
                  <c:v>43326</c:v>
                </c:pt>
                <c:pt idx="321">
                  <c:v>43325</c:v>
                </c:pt>
                <c:pt idx="322">
                  <c:v>43322</c:v>
                </c:pt>
                <c:pt idx="323">
                  <c:v>43321</c:v>
                </c:pt>
                <c:pt idx="324">
                  <c:v>43320</c:v>
                </c:pt>
                <c:pt idx="325">
                  <c:v>43319</c:v>
                </c:pt>
                <c:pt idx="326">
                  <c:v>43318</c:v>
                </c:pt>
                <c:pt idx="327">
                  <c:v>43315</c:v>
                </c:pt>
                <c:pt idx="328">
                  <c:v>43314</c:v>
                </c:pt>
                <c:pt idx="329">
                  <c:v>43313</c:v>
                </c:pt>
                <c:pt idx="330">
                  <c:v>43312</c:v>
                </c:pt>
                <c:pt idx="331">
                  <c:v>43311</c:v>
                </c:pt>
                <c:pt idx="332">
                  <c:v>43308</c:v>
                </c:pt>
                <c:pt idx="333">
                  <c:v>43307</c:v>
                </c:pt>
                <c:pt idx="334">
                  <c:v>43306</c:v>
                </c:pt>
                <c:pt idx="335">
                  <c:v>43305</c:v>
                </c:pt>
                <c:pt idx="336">
                  <c:v>43304</c:v>
                </c:pt>
                <c:pt idx="337">
                  <c:v>43301</c:v>
                </c:pt>
                <c:pt idx="338">
                  <c:v>43300</c:v>
                </c:pt>
                <c:pt idx="339">
                  <c:v>43299</c:v>
                </c:pt>
                <c:pt idx="340">
                  <c:v>43298</c:v>
                </c:pt>
                <c:pt idx="341">
                  <c:v>43294</c:v>
                </c:pt>
                <c:pt idx="342">
                  <c:v>43293</c:v>
                </c:pt>
                <c:pt idx="343">
                  <c:v>43292</c:v>
                </c:pt>
                <c:pt idx="344">
                  <c:v>43291</c:v>
                </c:pt>
                <c:pt idx="345">
                  <c:v>43290</c:v>
                </c:pt>
                <c:pt idx="346">
                  <c:v>43287</c:v>
                </c:pt>
                <c:pt idx="347">
                  <c:v>43286</c:v>
                </c:pt>
                <c:pt idx="348">
                  <c:v>43285</c:v>
                </c:pt>
                <c:pt idx="349">
                  <c:v>43284</c:v>
                </c:pt>
                <c:pt idx="350">
                  <c:v>43283</c:v>
                </c:pt>
                <c:pt idx="351">
                  <c:v>43280</c:v>
                </c:pt>
                <c:pt idx="352">
                  <c:v>43279</c:v>
                </c:pt>
                <c:pt idx="353">
                  <c:v>43278</c:v>
                </c:pt>
                <c:pt idx="354">
                  <c:v>43277</c:v>
                </c:pt>
                <c:pt idx="355">
                  <c:v>43276</c:v>
                </c:pt>
                <c:pt idx="356">
                  <c:v>43273</c:v>
                </c:pt>
                <c:pt idx="357">
                  <c:v>43272</c:v>
                </c:pt>
                <c:pt idx="358">
                  <c:v>43271</c:v>
                </c:pt>
                <c:pt idx="359">
                  <c:v>43270</c:v>
                </c:pt>
                <c:pt idx="360">
                  <c:v>43269</c:v>
                </c:pt>
                <c:pt idx="361">
                  <c:v>43266</c:v>
                </c:pt>
                <c:pt idx="362">
                  <c:v>43265</c:v>
                </c:pt>
                <c:pt idx="363">
                  <c:v>43264</c:v>
                </c:pt>
                <c:pt idx="364">
                  <c:v>43263</c:v>
                </c:pt>
                <c:pt idx="365">
                  <c:v>43262</c:v>
                </c:pt>
                <c:pt idx="366">
                  <c:v>43259</c:v>
                </c:pt>
                <c:pt idx="367">
                  <c:v>43258</c:v>
                </c:pt>
                <c:pt idx="368">
                  <c:v>43257</c:v>
                </c:pt>
                <c:pt idx="369">
                  <c:v>43256</c:v>
                </c:pt>
                <c:pt idx="370">
                  <c:v>43255</c:v>
                </c:pt>
                <c:pt idx="371">
                  <c:v>43252</c:v>
                </c:pt>
                <c:pt idx="372">
                  <c:v>43251</c:v>
                </c:pt>
                <c:pt idx="373">
                  <c:v>43250</c:v>
                </c:pt>
                <c:pt idx="374">
                  <c:v>43249</c:v>
                </c:pt>
                <c:pt idx="375">
                  <c:v>43248</c:v>
                </c:pt>
                <c:pt idx="376">
                  <c:v>43245</c:v>
                </c:pt>
                <c:pt idx="377">
                  <c:v>43244</c:v>
                </c:pt>
                <c:pt idx="378">
                  <c:v>43243</c:v>
                </c:pt>
                <c:pt idx="379">
                  <c:v>43242</c:v>
                </c:pt>
                <c:pt idx="380">
                  <c:v>43241</c:v>
                </c:pt>
                <c:pt idx="381">
                  <c:v>43238</c:v>
                </c:pt>
                <c:pt idx="382">
                  <c:v>43237</c:v>
                </c:pt>
                <c:pt idx="383">
                  <c:v>43236</c:v>
                </c:pt>
                <c:pt idx="384">
                  <c:v>43235</c:v>
                </c:pt>
                <c:pt idx="385">
                  <c:v>43234</c:v>
                </c:pt>
                <c:pt idx="386">
                  <c:v>43231</c:v>
                </c:pt>
                <c:pt idx="387">
                  <c:v>43230</c:v>
                </c:pt>
                <c:pt idx="388">
                  <c:v>43229</c:v>
                </c:pt>
                <c:pt idx="389">
                  <c:v>43228</c:v>
                </c:pt>
                <c:pt idx="390">
                  <c:v>43227</c:v>
                </c:pt>
                <c:pt idx="391">
                  <c:v>43222</c:v>
                </c:pt>
                <c:pt idx="392">
                  <c:v>43221</c:v>
                </c:pt>
                <c:pt idx="393">
                  <c:v>43217</c:v>
                </c:pt>
                <c:pt idx="394">
                  <c:v>43216</c:v>
                </c:pt>
                <c:pt idx="395">
                  <c:v>43215</c:v>
                </c:pt>
                <c:pt idx="396">
                  <c:v>43214</c:v>
                </c:pt>
                <c:pt idx="397">
                  <c:v>43213</c:v>
                </c:pt>
                <c:pt idx="398">
                  <c:v>43210</c:v>
                </c:pt>
                <c:pt idx="399">
                  <c:v>43209</c:v>
                </c:pt>
                <c:pt idx="400">
                  <c:v>43208</c:v>
                </c:pt>
                <c:pt idx="401">
                  <c:v>43207</c:v>
                </c:pt>
                <c:pt idx="402">
                  <c:v>43206</c:v>
                </c:pt>
                <c:pt idx="403">
                  <c:v>43203</c:v>
                </c:pt>
                <c:pt idx="404">
                  <c:v>43202</c:v>
                </c:pt>
                <c:pt idx="405">
                  <c:v>43201</c:v>
                </c:pt>
                <c:pt idx="406">
                  <c:v>43200</c:v>
                </c:pt>
                <c:pt idx="407">
                  <c:v>43199</c:v>
                </c:pt>
                <c:pt idx="408">
                  <c:v>43196</c:v>
                </c:pt>
                <c:pt idx="409">
                  <c:v>43195</c:v>
                </c:pt>
                <c:pt idx="410">
                  <c:v>43194</c:v>
                </c:pt>
                <c:pt idx="411">
                  <c:v>43193</c:v>
                </c:pt>
                <c:pt idx="412">
                  <c:v>43192</c:v>
                </c:pt>
                <c:pt idx="413">
                  <c:v>43189</c:v>
                </c:pt>
                <c:pt idx="414">
                  <c:v>43188</c:v>
                </c:pt>
                <c:pt idx="415">
                  <c:v>43187</c:v>
                </c:pt>
                <c:pt idx="416">
                  <c:v>43186</c:v>
                </c:pt>
                <c:pt idx="417">
                  <c:v>43185</c:v>
                </c:pt>
                <c:pt idx="418">
                  <c:v>43182</c:v>
                </c:pt>
                <c:pt idx="419">
                  <c:v>43181</c:v>
                </c:pt>
                <c:pt idx="420">
                  <c:v>43179</c:v>
                </c:pt>
                <c:pt idx="421">
                  <c:v>43178</c:v>
                </c:pt>
                <c:pt idx="422">
                  <c:v>43175</c:v>
                </c:pt>
                <c:pt idx="423">
                  <c:v>43174</c:v>
                </c:pt>
                <c:pt idx="424">
                  <c:v>43173</c:v>
                </c:pt>
                <c:pt idx="425">
                  <c:v>43172</c:v>
                </c:pt>
                <c:pt idx="426">
                  <c:v>43171</c:v>
                </c:pt>
                <c:pt idx="427">
                  <c:v>43168</c:v>
                </c:pt>
                <c:pt idx="428">
                  <c:v>43167</c:v>
                </c:pt>
                <c:pt idx="429">
                  <c:v>43166</c:v>
                </c:pt>
                <c:pt idx="430">
                  <c:v>43165</c:v>
                </c:pt>
                <c:pt idx="431">
                  <c:v>43164</c:v>
                </c:pt>
                <c:pt idx="432">
                  <c:v>43161</c:v>
                </c:pt>
                <c:pt idx="433">
                  <c:v>43160</c:v>
                </c:pt>
                <c:pt idx="434">
                  <c:v>43159</c:v>
                </c:pt>
                <c:pt idx="435">
                  <c:v>43158</c:v>
                </c:pt>
                <c:pt idx="436">
                  <c:v>43157</c:v>
                </c:pt>
                <c:pt idx="437">
                  <c:v>43154</c:v>
                </c:pt>
                <c:pt idx="438">
                  <c:v>43153</c:v>
                </c:pt>
                <c:pt idx="439">
                  <c:v>43152</c:v>
                </c:pt>
                <c:pt idx="440">
                  <c:v>43151</c:v>
                </c:pt>
                <c:pt idx="441">
                  <c:v>43150</c:v>
                </c:pt>
                <c:pt idx="442">
                  <c:v>43147</c:v>
                </c:pt>
                <c:pt idx="443">
                  <c:v>43146</c:v>
                </c:pt>
                <c:pt idx="444">
                  <c:v>43145</c:v>
                </c:pt>
                <c:pt idx="445">
                  <c:v>43144</c:v>
                </c:pt>
                <c:pt idx="446">
                  <c:v>43140</c:v>
                </c:pt>
                <c:pt idx="447">
                  <c:v>43139</c:v>
                </c:pt>
                <c:pt idx="448">
                  <c:v>43138</c:v>
                </c:pt>
                <c:pt idx="449">
                  <c:v>43137</c:v>
                </c:pt>
                <c:pt idx="450">
                  <c:v>43136</c:v>
                </c:pt>
                <c:pt idx="451">
                  <c:v>43133</c:v>
                </c:pt>
                <c:pt idx="452">
                  <c:v>43132</c:v>
                </c:pt>
                <c:pt idx="453">
                  <c:v>43131</c:v>
                </c:pt>
                <c:pt idx="454">
                  <c:v>43130</c:v>
                </c:pt>
                <c:pt idx="455">
                  <c:v>43129</c:v>
                </c:pt>
                <c:pt idx="456">
                  <c:v>43126</c:v>
                </c:pt>
                <c:pt idx="457">
                  <c:v>43125</c:v>
                </c:pt>
                <c:pt idx="458">
                  <c:v>43124</c:v>
                </c:pt>
                <c:pt idx="459">
                  <c:v>43123</c:v>
                </c:pt>
                <c:pt idx="460">
                  <c:v>43122</c:v>
                </c:pt>
                <c:pt idx="461">
                  <c:v>43119</c:v>
                </c:pt>
                <c:pt idx="462">
                  <c:v>43118</c:v>
                </c:pt>
                <c:pt idx="463">
                  <c:v>43117</c:v>
                </c:pt>
                <c:pt idx="464">
                  <c:v>43116</c:v>
                </c:pt>
                <c:pt idx="465">
                  <c:v>43115</c:v>
                </c:pt>
                <c:pt idx="466">
                  <c:v>43112</c:v>
                </c:pt>
                <c:pt idx="467">
                  <c:v>43111</c:v>
                </c:pt>
                <c:pt idx="468">
                  <c:v>43110</c:v>
                </c:pt>
                <c:pt idx="469">
                  <c:v>43109</c:v>
                </c:pt>
                <c:pt idx="470">
                  <c:v>43105</c:v>
                </c:pt>
                <c:pt idx="471">
                  <c:v>43104</c:v>
                </c:pt>
                <c:pt idx="472">
                  <c:v>43098</c:v>
                </c:pt>
                <c:pt idx="473">
                  <c:v>43097</c:v>
                </c:pt>
                <c:pt idx="474">
                  <c:v>43096</c:v>
                </c:pt>
                <c:pt idx="475">
                  <c:v>43095</c:v>
                </c:pt>
                <c:pt idx="476">
                  <c:v>43094</c:v>
                </c:pt>
                <c:pt idx="477">
                  <c:v>43091</c:v>
                </c:pt>
                <c:pt idx="478">
                  <c:v>43090</c:v>
                </c:pt>
                <c:pt idx="479">
                  <c:v>43089</c:v>
                </c:pt>
                <c:pt idx="480">
                  <c:v>43088</c:v>
                </c:pt>
                <c:pt idx="481">
                  <c:v>43087</c:v>
                </c:pt>
                <c:pt idx="482">
                  <c:v>43084</c:v>
                </c:pt>
                <c:pt idx="483">
                  <c:v>43083</c:v>
                </c:pt>
                <c:pt idx="484">
                  <c:v>43082</c:v>
                </c:pt>
                <c:pt idx="485">
                  <c:v>43081</c:v>
                </c:pt>
                <c:pt idx="486">
                  <c:v>43080</c:v>
                </c:pt>
              </c:numCache>
            </c:numRef>
          </c:cat>
          <c:val>
            <c:numRef>
              <c:f>グラフ!$F$42:$F$703</c:f>
              <c:numCache>
                <c:formatCode>General</c:formatCode>
                <c:ptCount val="662"/>
                <c:pt idx="0">
                  <c:v>1.71311475409836</c:v>
                </c:pt>
                <c:pt idx="1">
                  <c:v>1.72593800978792</c:v>
                </c:pt>
                <c:pt idx="2">
                  <c:v>1.7161716171617101</c:v>
                </c:pt>
                <c:pt idx="3">
                  <c:v>1.72166666666666</c:v>
                </c:pt>
                <c:pt idx="4">
                  <c:v>1.71621621621621</c:v>
                </c:pt>
                <c:pt idx="5">
                  <c:v>1.6979865771811999</c:v>
                </c:pt>
                <c:pt idx="6">
                  <c:v>1.67049180327868</c:v>
                </c:pt>
                <c:pt idx="7">
                  <c:v>1.65511551155115</c:v>
                </c:pt>
                <c:pt idx="8">
                  <c:v>1.6094003241490999</c:v>
                </c:pt>
                <c:pt idx="9">
                  <c:v>1.5977382875605799</c:v>
                </c:pt>
                <c:pt idx="10">
                  <c:v>1.6049180327868799</c:v>
                </c:pt>
                <c:pt idx="11">
                  <c:v>1.6252072968490801</c:v>
                </c:pt>
                <c:pt idx="12">
                  <c:v>1.62225969645868</c:v>
                </c:pt>
                <c:pt idx="13">
                  <c:v>1.62372881355932</c:v>
                </c:pt>
                <c:pt idx="14">
                  <c:v>1.6462585034013599</c:v>
                </c:pt>
                <c:pt idx="15">
                  <c:v>1.6728499156829599</c:v>
                </c:pt>
                <c:pt idx="16">
                  <c:v>1.6705685618729</c:v>
                </c:pt>
                <c:pt idx="17">
                  <c:v>1.6315789473684199</c:v>
                </c:pt>
                <c:pt idx="18">
                  <c:v>1.6241610738254999</c:v>
                </c:pt>
                <c:pt idx="19">
                  <c:v>1.62437395659432</c:v>
                </c:pt>
                <c:pt idx="20">
                  <c:v>1.57516339869281</c:v>
                </c:pt>
                <c:pt idx="21">
                  <c:v>1.5719008264462799</c:v>
                </c:pt>
                <c:pt idx="22">
                  <c:v>1.5415335463258699</c:v>
                </c:pt>
                <c:pt idx="23">
                  <c:v>1.53706754530477</c:v>
                </c:pt>
                <c:pt idx="24">
                  <c:v>1.5454545454545401</c:v>
                </c:pt>
                <c:pt idx="25">
                  <c:v>1.6155143338954401</c:v>
                </c:pt>
                <c:pt idx="26">
                  <c:v>1.57043478260869</c:v>
                </c:pt>
                <c:pt idx="27">
                  <c:v>1.5716753022452501</c:v>
                </c:pt>
                <c:pt idx="28">
                  <c:v>1.5843478260869499</c:v>
                </c:pt>
                <c:pt idx="29">
                  <c:v>1.58721934369602</c:v>
                </c:pt>
                <c:pt idx="30">
                  <c:v>1.59857904085257</c:v>
                </c:pt>
                <c:pt idx="31">
                  <c:v>1.58467023172905</c:v>
                </c:pt>
                <c:pt idx="32">
                  <c:v>1.5904255319148899</c:v>
                </c:pt>
                <c:pt idx="33">
                  <c:v>1.58392857142857</c:v>
                </c:pt>
                <c:pt idx="34">
                  <c:v>1.5840867992766701</c:v>
                </c:pt>
                <c:pt idx="35">
                  <c:v>1.5887681159420199</c:v>
                </c:pt>
                <c:pt idx="36">
                  <c:v>1.5872727272727201</c:v>
                </c:pt>
                <c:pt idx="37">
                  <c:v>1.61202185792349</c:v>
                </c:pt>
                <c:pt idx="38">
                  <c:v>1.5877034358047</c:v>
                </c:pt>
                <c:pt idx="39">
                  <c:v>1.5476190476190399</c:v>
                </c:pt>
                <c:pt idx="40">
                  <c:v>1.54868913857677</c:v>
                </c:pt>
                <c:pt idx="41">
                  <c:v>1.5387523629489599</c:v>
                </c:pt>
                <c:pt idx="42">
                  <c:v>1.52293577981651</c:v>
                </c:pt>
                <c:pt idx="43">
                  <c:v>1.5271028037383101</c:v>
                </c:pt>
                <c:pt idx="44">
                  <c:v>1.5393258426966201</c:v>
                </c:pt>
                <c:pt idx="45">
                  <c:v>1.5757575757575699</c:v>
                </c:pt>
                <c:pt idx="46">
                  <c:v>1.60408921933085</c:v>
                </c:pt>
                <c:pt idx="47">
                  <c:v>1.6178107606679</c:v>
                </c:pt>
                <c:pt idx="48">
                  <c:v>1.59469696969696</c:v>
                </c:pt>
                <c:pt idx="49">
                  <c:v>1.6071428571428501</c:v>
                </c:pt>
                <c:pt idx="50">
                  <c:v>1.59300184162062</c:v>
                </c:pt>
                <c:pt idx="51">
                  <c:v>1.6033519553072599</c:v>
                </c:pt>
                <c:pt idx="52">
                  <c:v>1.61552680221811</c:v>
                </c:pt>
                <c:pt idx="53">
                  <c:v>1.60366972477064</c:v>
                </c:pt>
                <c:pt idx="54">
                  <c:v>1.6169429097605801</c:v>
                </c:pt>
                <c:pt idx="55">
                  <c:v>1.6247689463955599</c:v>
                </c:pt>
                <c:pt idx="56">
                  <c:v>1.6043557168784</c:v>
                </c:pt>
                <c:pt idx="57">
                  <c:v>1.5877034358047</c:v>
                </c:pt>
                <c:pt idx="58">
                  <c:v>1.5909090909090899</c:v>
                </c:pt>
                <c:pt idx="59">
                  <c:v>1.6317757009345699</c:v>
                </c:pt>
                <c:pt idx="60">
                  <c:v>1.5797373358348901</c:v>
                </c:pt>
                <c:pt idx="61">
                  <c:v>1.56866537717601</c:v>
                </c:pt>
                <c:pt idx="62">
                  <c:v>1.5692007797270899</c:v>
                </c:pt>
                <c:pt idx="63">
                  <c:v>1.5476190476190399</c:v>
                </c:pt>
                <c:pt idx="64">
                  <c:v>1.5222672064777301</c:v>
                </c:pt>
                <c:pt idx="65">
                  <c:v>1.53815261044176</c:v>
                </c:pt>
                <c:pt idx="66">
                  <c:v>1.5959183673469299</c:v>
                </c:pt>
                <c:pt idx="67">
                  <c:v>1.63842975206611</c:v>
                </c:pt>
                <c:pt idx="68">
                  <c:v>1.6350210970464101</c:v>
                </c:pt>
                <c:pt idx="69">
                  <c:v>1.6371308016877599</c:v>
                </c:pt>
                <c:pt idx="70">
                  <c:v>1.6276150627615</c:v>
                </c:pt>
                <c:pt idx="71">
                  <c:v>1.61440677966101</c:v>
                </c:pt>
                <c:pt idx="72">
                  <c:v>1.6468172484599499</c:v>
                </c:pt>
                <c:pt idx="73">
                  <c:v>1.6285714285714199</c:v>
                </c:pt>
                <c:pt idx="74">
                  <c:v>1.61710794297352</c:v>
                </c:pt>
                <c:pt idx="75">
                  <c:v>1.6032388663967601</c:v>
                </c:pt>
                <c:pt idx="76">
                  <c:v>1.61554192229038</c:v>
                </c:pt>
                <c:pt idx="77">
                  <c:v>1.6304801670146101</c:v>
                </c:pt>
                <c:pt idx="78">
                  <c:v>1.61825726141078</c:v>
                </c:pt>
                <c:pt idx="79">
                  <c:v>1.63394683026584</c:v>
                </c:pt>
                <c:pt idx="80">
                  <c:v>1.64150943396226</c:v>
                </c:pt>
                <c:pt idx="81">
                  <c:v>1.66391752577319</c:v>
                </c:pt>
                <c:pt idx="82">
                  <c:v>1.4913957934990401</c:v>
                </c:pt>
                <c:pt idx="83">
                  <c:v>1.50389105058365</c:v>
                </c:pt>
                <c:pt idx="84">
                  <c:v>1.5337186897880499</c:v>
                </c:pt>
                <c:pt idx="85">
                  <c:v>1.5375722543352599</c:v>
                </c:pt>
                <c:pt idx="86">
                  <c:v>1.4971962616822401</c:v>
                </c:pt>
                <c:pt idx="87">
                  <c:v>1.57875457875457</c:v>
                </c:pt>
                <c:pt idx="88">
                  <c:v>1.5669724770642199</c:v>
                </c:pt>
                <c:pt idx="89">
                  <c:v>1.56396396396396</c:v>
                </c:pt>
                <c:pt idx="90">
                  <c:v>1.55595667870036</c:v>
                </c:pt>
                <c:pt idx="91">
                  <c:v>1.5035460992907801</c:v>
                </c:pt>
                <c:pt idx="92">
                  <c:v>1.50533807829181</c:v>
                </c:pt>
                <c:pt idx="93">
                  <c:v>1.5026737967914401</c:v>
                </c:pt>
                <c:pt idx="94">
                  <c:v>1.52064631956912</c:v>
                </c:pt>
                <c:pt idx="95">
                  <c:v>1.5091240875912399</c:v>
                </c:pt>
                <c:pt idx="96">
                  <c:v>1.4963636363636299</c:v>
                </c:pt>
                <c:pt idx="97">
                  <c:v>1.5046904315196901</c:v>
                </c:pt>
                <c:pt idx="98">
                  <c:v>1.51171171171171</c:v>
                </c:pt>
                <c:pt idx="99">
                  <c:v>1.4928057553956799</c:v>
                </c:pt>
                <c:pt idx="100">
                  <c:v>1.48745519713261</c:v>
                </c:pt>
                <c:pt idx="101">
                  <c:v>1.4769503546099201</c:v>
                </c:pt>
                <c:pt idx="102">
                  <c:v>1.4442477876106099</c:v>
                </c:pt>
                <c:pt idx="103">
                  <c:v>1.45632798573975</c:v>
                </c:pt>
                <c:pt idx="104">
                  <c:v>1.4688057040998199</c:v>
                </c:pt>
                <c:pt idx="105">
                  <c:v>1.44542253521126</c:v>
                </c:pt>
                <c:pt idx="106">
                  <c:v>1.43432574430823</c:v>
                </c:pt>
                <c:pt idx="107">
                  <c:v>1.4434628975265</c:v>
                </c:pt>
                <c:pt idx="108">
                  <c:v>1.4666666666666599</c:v>
                </c:pt>
                <c:pt idx="109">
                  <c:v>1.4938053097345101</c:v>
                </c:pt>
                <c:pt idx="110">
                  <c:v>1.4882459312839</c:v>
                </c:pt>
                <c:pt idx="111">
                  <c:v>1.5</c:v>
                </c:pt>
                <c:pt idx="112">
                  <c:v>1.5009242144177399</c:v>
                </c:pt>
                <c:pt idx="113">
                  <c:v>1.52611940298507</c:v>
                </c:pt>
                <c:pt idx="114">
                  <c:v>1.5230202578268801</c:v>
                </c:pt>
                <c:pt idx="115">
                  <c:v>1.5054945054944999</c:v>
                </c:pt>
                <c:pt idx="116">
                  <c:v>1.52865064695009</c:v>
                </c:pt>
                <c:pt idx="117">
                  <c:v>1.5401869158878501</c:v>
                </c:pt>
                <c:pt idx="118">
                  <c:v>1.5132575757575699</c:v>
                </c:pt>
                <c:pt idx="119">
                  <c:v>1.53714285714285</c:v>
                </c:pt>
                <c:pt idx="120">
                  <c:v>1.5566037735849001</c:v>
                </c:pt>
                <c:pt idx="121">
                  <c:v>1.5534351145038101</c:v>
                </c:pt>
                <c:pt idx="122">
                  <c:v>1.5243445692883799</c:v>
                </c:pt>
                <c:pt idx="123">
                  <c:v>1.52730696798493</c:v>
                </c:pt>
                <c:pt idx="124">
                  <c:v>1.5076335877862499</c:v>
                </c:pt>
                <c:pt idx="125">
                  <c:v>1.5029013539651801</c:v>
                </c:pt>
                <c:pt idx="126">
                  <c:v>1.47976878612716</c:v>
                </c:pt>
                <c:pt idx="127">
                  <c:v>1.4961389961389899</c:v>
                </c:pt>
                <c:pt idx="128">
                  <c:v>1.4753451676528599</c:v>
                </c:pt>
                <c:pt idx="129">
                  <c:v>1.4729458917835601</c:v>
                </c:pt>
                <c:pt idx="130">
                  <c:v>1.5049900199600701</c:v>
                </c:pt>
                <c:pt idx="131">
                  <c:v>1.5246548323471401</c:v>
                </c:pt>
                <c:pt idx="132">
                  <c:v>1.51683168316831</c:v>
                </c:pt>
                <c:pt idx="133">
                  <c:v>1.52988047808764</c:v>
                </c:pt>
                <c:pt idx="134">
                  <c:v>1.54819277108433</c:v>
                </c:pt>
                <c:pt idx="135">
                  <c:v>1.5410821643286501</c:v>
                </c:pt>
                <c:pt idx="136">
                  <c:v>1.5228628230616299</c:v>
                </c:pt>
                <c:pt idx="137">
                  <c:v>1.5436507936507899</c:v>
                </c:pt>
                <c:pt idx="138">
                  <c:v>1.5498007968127401</c:v>
                </c:pt>
                <c:pt idx="139">
                  <c:v>1.5506958250497</c:v>
                </c:pt>
                <c:pt idx="140">
                  <c:v>1.533203125</c:v>
                </c:pt>
                <c:pt idx="141">
                  <c:v>1.5345167652859899</c:v>
                </c:pt>
                <c:pt idx="142">
                  <c:v>1.55058365758754</c:v>
                </c:pt>
                <c:pt idx="143">
                  <c:v>1.5625</c:v>
                </c:pt>
                <c:pt idx="144">
                  <c:v>1.3965217391304301</c:v>
                </c:pt>
                <c:pt idx="145">
                  <c:v>1.39554794520547</c:v>
                </c:pt>
                <c:pt idx="146">
                  <c:v>1.4621993127147701</c:v>
                </c:pt>
                <c:pt idx="147">
                  <c:v>1.5331069609507599</c:v>
                </c:pt>
                <c:pt idx="148">
                  <c:v>1.5742574257425701</c:v>
                </c:pt>
                <c:pt idx="149">
                  <c:v>1.5785256410256401</c:v>
                </c:pt>
                <c:pt idx="150">
                  <c:v>1.6061093247588401</c:v>
                </c:pt>
                <c:pt idx="151">
                  <c:v>1.6341463414634101</c:v>
                </c:pt>
                <c:pt idx="152">
                  <c:v>1.6436597110754401</c:v>
                </c:pt>
                <c:pt idx="153">
                  <c:v>1.6791530944625399</c:v>
                </c:pt>
                <c:pt idx="154">
                  <c:v>1.65384615384615</c:v>
                </c:pt>
                <c:pt idx="155">
                  <c:v>1.6387096774193499</c:v>
                </c:pt>
                <c:pt idx="156">
                  <c:v>1.64817749603803</c:v>
                </c:pt>
                <c:pt idx="157">
                  <c:v>1.6544000000000001</c:v>
                </c:pt>
                <c:pt idx="158">
                  <c:v>1.6666666666666601</c:v>
                </c:pt>
                <c:pt idx="159">
                  <c:v>1.6390243902438999</c:v>
                </c:pt>
                <c:pt idx="160">
                  <c:v>1.6365105008077501</c:v>
                </c:pt>
                <c:pt idx="161">
                  <c:v>1.64469453376205</c:v>
                </c:pt>
                <c:pt idx="162">
                  <c:v>1.6343402225755099</c:v>
                </c:pt>
                <c:pt idx="163">
                  <c:v>1.6341853035143701</c:v>
                </c:pt>
                <c:pt idx="164">
                  <c:v>1.65189873417721</c:v>
                </c:pt>
                <c:pt idx="165">
                  <c:v>1.6216216216216199</c:v>
                </c:pt>
                <c:pt idx="166">
                  <c:v>1.60284810126582</c:v>
                </c:pt>
                <c:pt idx="167">
                  <c:v>1.60759493670886</c:v>
                </c:pt>
                <c:pt idx="168">
                  <c:v>1.58851674641148</c:v>
                </c:pt>
                <c:pt idx="169">
                  <c:v>1.56726094003241</c:v>
                </c:pt>
                <c:pt idx="170">
                  <c:v>1.54634146341463</c:v>
                </c:pt>
                <c:pt idx="171">
                  <c:v>1.56038647342995</c:v>
                </c:pt>
                <c:pt idx="172">
                  <c:v>1.51107594936708</c:v>
                </c:pt>
                <c:pt idx="173">
                  <c:v>1.5163934426229499</c:v>
                </c:pt>
                <c:pt idx="174">
                  <c:v>1.53259141494435</c:v>
                </c:pt>
                <c:pt idx="175">
                  <c:v>1.5521669341894</c:v>
                </c:pt>
                <c:pt idx="176">
                  <c:v>1.53772070626003</c:v>
                </c:pt>
                <c:pt idx="177">
                  <c:v>1.51751592356687</c:v>
                </c:pt>
                <c:pt idx="178">
                  <c:v>1.5235008103727701</c:v>
                </c:pt>
                <c:pt idx="179">
                  <c:v>1.5184590690208599</c:v>
                </c:pt>
                <c:pt idx="180">
                  <c:v>1.5087440381557999</c:v>
                </c:pt>
                <c:pt idx="181">
                  <c:v>1.50626959247648</c:v>
                </c:pt>
                <c:pt idx="182">
                  <c:v>1.4904153354632499</c:v>
                </c:pt>
                <c:pt idx="183">
                  <c:v>1.4895330112721401</c:v>
                </c:pt>
                <c:pt idx="184">
                  <c:v>1.5007874015748</c:v>
                </c:pt>
                <c:pt idx="185">
                  <c:v>1.49686520376175</c:v>
                </c:pt>
                <c:pt idx="186">
                  <c:v>1.4811320754716899</c:v>
                </c:pt>
                <c:pt idx="187">
                  <c:v>1.4914463452566</c:v>
                </c:pt>
                <c:pt idx="188">
                  <c:v>1.49050632911392</c:v>
                </c:pt>
                <c:pt idx="189">
                  <c:v>1.50236966824644</c:v>
                </c:pt>
                <c:pt idx="190">
                  <c:v>1.51713395638629</c:v>
                </c:pt>
                <c:pt idx="191">
                  <c:v>1.5157232704402499</c:v>
                </c:pt>
                <c:pt idx="192">
                  <c:v>1.52180685358255</c:v>
                </c:pt>
                <c:pt idx="193">
                  <c:v>1.52425665101721</c:v>
                </c:pt>
                <c:pt idx="194">
                  <c:v>1.4984375000000001</c:v>
                </c:pt>
                <c:pt idx="195">
                  <c:v>1.51419558359621</c:v>
                </c:pt>
                <c:pt idx="196">
                  <c:v>1.5166402535657599</c:v>
                </c:pt>
                <c:pt idx="197">
                  <c:v>1.5150554675118799</c:v>
                </c:pt>
                <c:pt idx="198">
                  <c:v>1.5023923444976</c:v>
                </c:pt>
                <c:pt idx="199">
                  <c:v>1.5616000000000001</c:v>
                </c:pt>
                <c:pt idx="200">
                  <c:v>1.54200988467874</c:v>
                </c:pt>
                <c:pt idx="201">
                  <c:v>1.5704584040747001</c:v>
                </c:pt>
                <c:pt idx="202">
                  <c:v>1.5691768826619901</c:v>
                </c:pt>
                <c:pt idx="203">
                  <c:v>1.6038062283737</c:v>
                </c:pt>
                <c:pt idx="204">
                  <c:v>1.57956448911222</c:v>
                </c:pt>
                <c:pt idx="205">
                  <c:v>1.59729272419627</c:v>
                </c:pt>
                <c:pt idx="206">
                  <c:v>1.61945392491467</c:v>
                </c:pt>
                <c:pt idx="207">
                  <c:v>1.5951557093425599</c:v>
                </c:pt>
                <c:pt idx="208">
                  <c:v>1.6310344827586201</c:v>
                </c:pt>
                <c:pt idx="209">
                  <c:v>1.6381118881118799</c:v>
                </c:pt>
                <c:pt idx="210">
                  <c:v>1.6385542168674601</c:v>
                </c:pt>
                <c:pt idx="211">
                  <c:v>1.6245674740484399</c:v>
                </c:pt>
                <c:pt idx="212">
                  <c:v>1.63903281519861</c:v>
                </c:pt>
                <c:pt idx="213">
                  <c:v>1.63304347826086</c:v>
                </c:pt>
                <c:pt idx="214">
                  <c:v>1.65602836879432</c:v>
                </c:pt>
                <c:pt idx="215">
                  <c:v>1.64120781527531</c:v>
                </c:pt>
                <c:pt idx="216">
                  <c:v>1.6379613356766201</c:v>
                </c:pt>
                <c:pt idx="217">
                  <c:v>1.6541218637992801</c:v>
                </c:pt>
                <c:pt idx="218">
                  <c:v>1.6320582877959899</c:v>
                </c:pt>
                <c:pt idx="219">
                  <c:v>1.61608775137111</c:v>
                </c:pt>
                <c:pt idx="220">
                  <c:v>1.56993006993007</c:v>
                </c:pt>
                <c:pt idx="221">
                  <c:v>1.59346642468239</c:v>
                </c:pt>
                <c:pt idx="222">
                  <c:v>1.5678119349005399</c:v>
                </c:pt>
                <c:pt idx="223">
                  <c:v>1.5474060822897999</c:v>
                </c:pt>
                <c:pt idx="224">
                  <c:v>1.55696202531645</c:v>
                </c:pt>
                <c:pt idx="225">
                  <c:v>1.5437956204379499</c:v>
                </c:pt>
                <c:pt idx="226">
                  <c:v>1.5159474671669699</c:v>
                </c:pt>
                <c:pt idx="227">
                  <c:v>1.5332103321033199</c:v>
                </c:pt>
                <c:pt idx="228">
                  <c:v>1.53159851301115</c:v>
                </c:pt>
                <c:pt idx="229">
                  <c:v>1.55</c:v>
                </c:pt>
                <c:pt idx="230">
                  <c:v>1.58464566929133</c:v>
                </c:pt>
                <c:pt idx="231">
                  <c:v>1.5854126679462499</c:v>
                </c:pt>
                <c:pt idx="232">
                  <c:v>1.5584415584415501</c:v>
                </c:pt>
                <c:pt idx="233">
                  <c:v>1.5833333333333299</c:v>
                </c:pt>
                <c:pt idx="234">
                  <c:v>1.5963963963963901</c:v>
                </c:pt>
                <c:pt idx="235">
                  <c:v>1.58741258741258</c:v>
                </c:pt>
                <c:pt idx="236">
                  <c:v>1.5768566493955001</c:v>
                </c:pt>
                <c:pt idx="237">
                  <c:v>1.5774410774410701</c:v>
                </c:pt>
                <c:pt idx="238">
                  <c:v>1.5893470790377999</c:v>
                </c:pt>
                <c:pt idx="239">
                  <c:v>1.61363636363636</c:v>
                </c:pt>
                <c:pt idx="240">
                  <c:v>1.6374570446735299</c:v>
                </c:pt>
                <c:pt idx="241">
                  <c:v>1.6474576271186401</c:v>
                </c:pt>
                <c:pt idx="242">
                  <c:v>1.6672354948805399</c:v>
                </c:pt>
                <c:pt idx="243">
                  <c:v>1.6593959731543599</c:v>
                </c:pt>
                <c:pt idx="244">
                  <c:v>1.6710963455149499</c:v>
                </c:pt>
                <c:pt idx="245">
                  <c:v>1.7026143790849599</c:v>
                </c:pt>
                <c:pt idx="246">
                  <c:v>1.72166666666666</c:v>
                </c:pt>
                <c:pt idx="247">
                  <c:v>1.74621848739495</c:v>
                </c:pt>
                <c:pt idx="248">
                  <c:v>1.69782971619365</c:v>
                </c:pt>
                <c:pt idx="249">
                  <c:v>1.6996644295301999</c:v>
                </c:pt>
                <c:pt idx="250">
                  <c:v>1.71768707482993</c:v>
                </c:pt>
                <c:pt idx="251">
                  <c:v>1.6807432432432401</c:v>
                </c:pt>
                <c:pt idx="252">
                  <c:v>1.67</c:v>
                </c:pt>
                <c:pt idx="253">
                  <c:v>1.66777408637873</c:v>
                </c:pt>
                <c:pt idx="254">
                  <c:v>1.7185430463576099</c:v>
                </c:pt>
                <c:pt idx="255">
                  <c:v>1.73102310231023</c:v>
                </c:pt>
                <c:pt idx="256">
                  <c:v>1.7504078303425701</c:v>
                </c:pt>
                <c:pt idx="257">
                  <c:v>1.72435897435897</c:v>
                </c:pt>
                <c:pt idx="258">
                  <c:v>1.73828756058158</c:v>
                </c:pt>
                <c:pt idx="259">
                  <c:v>1.74801901743264</c:v>
                </c:pt>
                <c:pt idx="260">
                  <c:v>1.6568483063328401</c:v>
                </c:pt>
                <c:pt idx="261">
                  <c:v>1.7437037037037</c:v>
                </c:pt>
                <c:pt idx="262">
                  <c:v>1.6816143497757801</c:v>
                </c:pt>
                <c:pt idx="263">
                  <c:v>1.6988130563798201</c:v>
                </c:pt>
                <c:pt idx="264">
                  <c:v>1.6870342771982101</c:v>
                </c:pt>
                <c:pt idx="265">
                  <c:v>1.67713004484304</c:v>
                </c:pt>
                <c:pt idx="266">
                  <c:v>1.59083969465648</c:v>
                </c:pt>
                <c:pt idx="267">
                  <c:v>1.92141756548536</c:v>
                </c:pt>
                <c:pt idx="268">
                  <c:v>1.9375975039001501</c:v>
                </c:pt>
                <c:pt idx="269">
                  <c:v>1.9386792452830099</c:v>
                </c:pt>
                <c:pt idx="270">
                  <c:v>1.92610062893081</c:v>
                </c:pt>
                <c:pt idx="271">
                  <c:v>1.9125000000000001</c:v>
                </c:pt>
                <c:pt idx="272">
                  <c:v>1.9384384384384299</c:v>
                </c:pt>
                <c:pt idx="273">
                  <c:v>1.91578947368421</c:v>
                </c:pt>
                <c:pt idx="274">
                  <c:v>1.9552906110283099</c:v>
                </c:pt>
                <c:pt idx="275">
                  <c:v>1.9094890510948901</c:v>
                </c:pt>
                <c:pt idx="276">
                  <c:v>1.89111747851002</c:v>
                </c:pt>
                <c:pt idx="277">
                  <c:v>1.92661870503597</c:v>
                </c:pt>
                <c:pt idx="278">
                  <c:v>1.9397944199706301</c:v>
                </c:pt>
                <c:pt idx="279">
                  <c:v>1.92433234421365</c:v>
                </c:pt>
                <c:pt idx="280">
                  <c:v>1.90218978102189</c:v>
                </c:pt>
                <c:pt idx="281">
                  <c:v>1.9089574155653399</c:v>
                </c:pt>
                <c:pt idx="282">
                  <c:v>1.9005681818181801</c:v>
                </c:pt>
                <c:pt idx="283">
                  <c:v>1.88888888888888</c:v>
                </c:pt>
                <c:pt idx="284">
                  <c:v>1.8172043010752601</c:v>
                </c:pt>
                <c:pt idx="285">
                  <c:v>1.7828947368421</c:v>
                </c:pt>
                <c:pt idx="286">
                  <c:v>1.8074369189907</c:v>
                </c:pt>
                <c:pt idx="287">
                  <c:v>1.78851174934725</c:v>
                </c:pt>
                <c:pt idx="288">
                  <c:v>1.7920529801324501</c:v>
                </c:pt>
                <c:pt idx="289">
                  <c:v>1.8064085447263001</c:v>
                </c:pt>
                <c:pt idx="290">
                  <c:v>1.78897849462365</c:v>
                </c:pt>
                <c:pt idx="291">
                  <c:v>1.7825503355704599</c:v>
                </c:pt>
                <c:pt idx="292">
                  <c:v>1.7771883289124599</c:v>
                </c:pt>
                <c:pt idx="293">
                  <c:v>1.79094540612516</c:v>
                </c:pt>
                <c:pt idx="294">
                  <c:v>1.7845528455284501</c:v>
                </c:pt>
                <c:pt idx="295">
                  <c:v>1.7738896366083401</c:v>
                </c:pt>
                <c:pt idx="296">
                  <c:v>1.76319350473613</c:v>
                </c:pt>
                <c:pt idx="297">
                  <c:v>1.76495132127955</c:v>
                </c:pt>
                <c:pt idx="298">
                  <c:v>1.7744680851063801</c:v>
                </c:pt>
                <c:pt idx="299">
                  <c:v>1.74964639321074</c:v>
                </c:pt>
                <c:pt idx="300">
                  <c:v>1.7677053824362601</c:v>
                </c:pt>
                <c:pt idx="301">
                  <c:v>1.76285714285714</c:v>
                </c:pt>
                <c:pt idx="302">
                  <c:v>1.7329545454545401</c:v>
                </c:pt>
                <c:pt idx="303">
                  <c:v>1.7317415730337</c:v>
                </c:pt>
                <c:pt idx="304">
                  <c:v>1.71468144044321</c:v>
                </c:pt>
                <c:pt idx="305">
                  <c:v>1.70677731673582</c:v>
                </c:pt>
                <c:pt idx="306">
                  <c:v>1.6621621621621601</c:v>
                </c:pt>
                <c:pt idx="307">
                  <c:v>1.63648293963254</c:v>
                </c:pt>
                <c:pt idx="308">
                  <c:v>1.6281208935611</c:v>
                </c:pt>
                <c:pt idx="309">
                  <c:v>1.59683794466403</c:v>
                </c:pt>
                <c:pt idx="310">
                  <c:v>1.57579787234042</c:v>
                </c:pt>
                <c:pt idx="311">
                  <c:v>1.5914552736982599</c:v>
                </c:pt>
                <c:pt idx="312">
                  <c:v>1.61005434782608</c:v>
                </c:pt>
                <c:pt idx="313">
                  <c:v>1.60026917900403</c:v>
                </c:pt>
                <c:pt idx="314">
                  <c:v>1.59342105263157</c:v>
                </c:pt>
                <c:pt idx="315">
                  <c:v>1.6005361930294899</c:v>
                </c:pt>
                <c:pt idx="316">
                  <c:v>1.61788617886178</c:v>
                </c:pt>
                <c:pt idx="317">
                  <c:v>1.6214382632293001</c:v>
                </c:pt>
                <c:pt idx="318">
                  <c:v>1.6227709190672099</c:v>
                </c:pt>
                <c:pt idx="319">
                  <c:v>1.6241426611796901</c:v>
                </c:pt>
                <c:pt idx="320">
                  <c:v>1.61673414304993</c:v>
                </c:pt>
                <c:pt idx="321">
                  <c:v>1.6132596685082801</c:v>
                </c:pt>
                <c:pt idx="322">
                  <c:v>1.63391655450874</c:v>
                </c:pt>
                <c:pt idx="323">
                  <c:v>1.60340314136125</c:v>
                </c:pt>
                <c:pt idx="324">
                  <c:v>1.6422872340425501</c:v>
                </c:pt>
                <c:pt idx="325">
                  <c:v>1.6702412868632699</c:v>
                </c:pt>
                <c:pt idx="326">
                  <c:v>1.7008196721311399</c:v>
                </c:pt>
                <c:pt idx="327">
                  <c:v>1.6865671641791</c:v>
                </c:pt>
                <c:pt idx="328">
                  <c:v>1.6875</c:v>
                </c:pt>
                <c:pt idx="329">
                  <c:v>1.7042062415196699</c:v>
                </c:pt>
                <c:pt idx="330">
                  <c:v>1.6702997275204301</c:v>
                </c:pt>
                <c:pt idx="331">
                  <c:v>1.68622100954979</c:v>
                </c:pt>
                <c:pt idx="332">
                  <c:v>1.6689466484268101</c:v>
                </c:pt>
                <c:pt idx="333">
                  <c:v>1.67400275103163</c:v>
                </c:pt>
                <c:pt idx="334">
                  <c:v>1.6804979253112</c:v>
                </c:pt>
                <c:pt idx="335">
                  <c:v>1.66759002770083</c:v>
                </c:pt>
                <c:pt idx="336">
                  <c:v>1.6555555555555499</c:v>
                </c:pt>
                <c:pt idx="337">
                  <c:v>1.6769662921348301</c:v>
                </c:pt>
                <c:pt idx="338">
                  <c:v>1.69479606188466</c:v>
                </c:pt>
                <c:pt idx="339">
                  <c:v>1.69688385269121</c:v>
                </c:pt>
                <c:pt idx="340">
                  <c:v>1.6964539007092101</c:v>
                </c:pt>
                <c:pt idx="341">
                  <c:v>1.69740634005763</c:v>
                </c:pt>
                <c:pt idx="342">
                  <c:v>1.69533527696793</c:v>
                </c:pt>
                <c:pt idx="343">
                  <c:v>1.6914119359534201</c:v>
                </c:pt>
                <c:pt idx="344">
                  <c:v>1.72883787661406</c:v>
                </c:pt>
                <c:pt idx="345">
                  <c:v>1.7161383285302501</c:v>
                </c:pt>
                <c:pt idx="346">
                  <c:v>1.70262390670553</c:v>
                </c:pt>
                <c:pt idx="347">
                  <c:v>1.67307692307692</c:v>
                </c:pt>
                <c:pt idx="348">
                  <c:v>1.6661807580174901</c:v>
                </c:pt>
                <c:pt idx="349">
                  <c:v>1.6671511627906901</c:v>
                </c:pt>
                <c:pt idx="350">
                  <c:v>1.6417489421720699</c:v>
                </c:pt>
                <c:pt idx="351">
                  <c:v>1.6346153846153799</c:v>
                </c:pt>
                <c:pt idx="352">
                  <c:v>1.63070539419087</c:v>
                </c:pt>
                <c:pt idx="353">
                  <c:v>1.60191518467852</c:v>
                </c:pt>
                <c:pt idx="354">
                  <c:v>1.64681440443213</c:v>
                </c:pt>
                <c:pt idx="355">
                  <c:v>1.6168741355463301</c:v>
                </c:pt>
                <c:pt idx="356">
                  <c:v>1.6356050069540999</c:v>
                </c:pt>
                <c:pt idx="357">
                  <c:v>1.6615811373092899</c:v>
                </c:pt>
                <c:pt idx="358">
                  <c:v>1.6510344827586201</c:v>
                </c:pt>
                <c:pt idx="359">
                  <c:v>1.6573816155988801</c:v>
                </c:pt>
                <c:pt idx="360">
                  <c:v>1.6984785615491</c:v>
                </c:pt>
                <c:pt idx="361">
                  <c:v>1.7150684931506801</c:v>
                </c:pt>
                <c:pt idx="362">
                  <c:v>1.7148648648648599</c:v>
                </c:pt>
                <c:pt idx="363">
                  <c:v>1.72556894243641</c:v>
                </c:pt>
                <c:pt idx="364">
                  <c:v>1.7182910547396499</c:v>
                </c:pt>
                <c:pt idx="365">
                  <c:v>1.7516688918558001</c:v>
                </c:pt>
                <c:pt idx="366">
                  <c:v>1.7728494623655899</c:v>
                </c:pt>
                <c:pt idx="367">
                  <c:v>1.76439089692101</c:v>
                </c:pt>
                <c:pt idx="368">
                  <c:v>1.78</c:v>
                </c:pt>
                <c:pt idx="369">
                  <c:v>1.7712765957446801</c:v>
                </c:pt>
                <c:pt idx="370">
                  <c:v>1.76994680851063</c:v>
                </c:pt>
                <c:pt idx="371">
                  <c:v>1.7918367346938699</c:v>
                </c:pt>
                <c:pt idx="372">
                  <c:v>1.8206896551724101</c:v>
                </c:pt>
                <c:pt idx="373">
                  <c:v>1.82167352537722</c:v>
                </c:pt>
                <c:pt idx="374">
                  <c:v>1.8335552596537901</c:v>
                </c:pt>
                <c:pt idx="375">
                  <c:v>1.83989501312335</c:v>
                </c:pt>
                <c:pt idx="376">
                  <c:v>1.85543766578249</c:v>
                </c:pt>
                <c:pt idx="377">
                  <c:v>1.8588390501319201</c:v>
                </c:pt>
                <c:pt idx="378">
                  <c:v>1.87906371911573</c:v>
                </c:pt>
                <c:pt idx="379">
                  <c:v>1.8831003811944</c:v>
                </c:pt>
                <c:pt idx="380">
                  <c:v>1.86934673366834</c:v>
                </c:pt>
                <c:pt idx="381">
                  <c:v>1.845</c:v>
                </c:pt>
                <c:pt idx="382">
                  <c:v>1.8614993646759801</c:v>
                </c:pt>
                <c:pt idx="383">
                  <c:v>1.85443037974683</c:v>
                </c:pt>
                <c:pt idx="384">
                  <c:v>1.8861892583120199</c:v>
                </c:pt>
                <c:pt idx="385">
                  <c:v>1.8473091364205201</c:v>
                </c:pt>
                <c:pt idx="386">
                  <c:v>1.7485380116959</c:v>
                </c:pt>
                <c:pt idx="387">
                  <c:v>1.7764423076922999</c:v>
                </c:pt>
                <c:pt idx="388">
                  <c:v>1.9216867469879499</c:v>
                </c:pt>
                <c:pt idx="389">
                  <c:v>1.93772893772893</c:v>
                </c:pt>
                <c:pt idx="390">
                  <c:v>1.9375</c:v>
                </c:pt>
                <c:pt idx="391">
                  <c:v>1.9340659340659301</c:v>
                </c:pt>
                <c:pt idx="392">
                  <c:v>1.90864799025578</c:v>
                </c:pt>
                <c:pt idx="393">
                  <c:v>1.88658536585365</c:v>
                </c:pt>
                <c:pt idx="394">
                  <c:v>1.86363636363636</c:v>
                </c:pt>
                <c:pt idx="395">
                  <c:v>1.8694581280788101</c:v>
                </c:pt>
                <c:pt idx="396">
                  <c:v>1.86151960784313</c:v>
                </c:pt>
                <c:pt idx="397">
                  <c:v>1.8585485854858499</c:v>
                </c:pt>
                <c:pt idx="398">
                  <c:v>1.85731857318573</c:v>
                </c:pt>
                <c:pt idx="399">
                  <c:v>1.83658536585365</c:v>
                </c:pt>
                <c:pt idx="400">
                  <c:v>1.8391089108910801</c:v>
                </c:pt>
                <c:pt idx="401">
                  <c:v>1.81852315394242</c:v>
                </c:pt>
                <c:pt idx="402">
                  <c:v>1.82272159800249</c:v>
                </c:pt>
                <c:pt idx="403">
                  <c:v>1.8225</c:v>
                </c:pt>
                <c:pt idx="404">
                  <c:v>1.8193384223918501</c:v>
                </c:pt>
                <c:pt idx="405">
                  <c:v>1.8307888040712399</c:v>
                </c:pt>
                <c:pt idx="406">
                  <c:v>1.8441890166028001</c:v>
                </c:pt>
                <c:pt idx="407">
                  <c:v>1.8258064516129</c:v>
                </c:pt>
                <c:pt idx="408">
                  <c:v>1.8292367399741201</c:v>
                </c:pt>
                <c:pt idx="409">
                  <c:v>1.8033419023136199</c:v>
                </c:pt>
                <c:pt idx="410">
                  <c:v>1.8335517693315799</c:v>
                </c:pt>
                <c:pt idx="411">
                  <c:v>1.8353096179183099</c:v>
                </c:pt>
                <c:pt idx="412">
                  <c:v>1.84534731323722</c:v>
                </c:pt>
                <c:pt idx="413">
                  <c:v>1.87303664921465</c:v>
                </c:pt>
                <c:pt idx="414">
                  <c:v>1.9122807017543799</c:v>
                </c:pt>
                <c:pt idx="415">
                  <c:v>1.9201623815967499</c:v>
                </c:pt>
                <c:pt idx="416">
                  <c:v>1.91005291005291</c:v>
                </c:pt>
                <c:pt idx="417">
                  <c:v>1.9163237311385399</c:v>
                </c:pt>
                <c:pt idx="418">
                  <c:v>1.8822733423545299</c:v>
                </c:pt>
                <c:pt idx="419">
                  <c:v>1.89230769230769</c:v>
                </c:pt>
                <c:pt idx="420">
                  <c:v>1.8853092783505101</c:v>
                </c:pt>
                <c:pt idx="421">
                  <c:v>1.9151436031331499</c:v>
                </c:pt>
                <c:pt idx="422">
                  <c:v>1.9430051813471501</c:v>
                </c:pt>
                <c:pt idx="423">
                  <c:v>1.9474358974358901</c:v>
                </c:pt>
                <c:pt idx="424">
                  <c:v>1.9539052496798901</c:v>
                </c:pt>
                <c:pt idx="425">
                  <c:v>1.95685279187817</c:v>
                </c:pt>
                <c:pt idx="426">
                  <c:v>1.9554707379134799</c:v>
                </c:pt>
                <c:pt idx="427">
                  <c:v>1.9481193255512299</c:v>
                </c:pt>
                <c:pt idx="428">
                  <c:v>1.95703125</c:v>
                </c:pt>
                <c:pt idx="429">
                  <c:v>1.93798449612403</c:v>
                </c:pt>
                <c:pt idx="430">
                  <c:v>1.9345314505776601</c:v>
                </c:pt>
                <c:pt idx="431">
                  <c:v>1.9272727272727199</c:v>
                </c:pt>
                <c:pt idx="432">
                  <c:v>1.9501915708812201</c:v>
                </c:pt>
                <c:pt idx="433">
                  <c:v>1.9541511771994999</c:v>
                </c:pt>
                <c:pt idx="434">
                  <c:v>1.9878345498783401</c:v>
                </c:pt>
                <c:pt idx="435">
                  <c:v>1.97954271961492</c:v>
                </c:pt>
                <c:pt idx="436">
                  <c:v>2.01105651105651</c:v>
                </c:pt>
                <c:pt idx="437">
                  <c:v>1.9938800489596</c:v>
                </c:pt>
                <c:pt idx="438">
                  <c:v>1.99509202453987</c:v>
                </c:pt>
                <c:pt idx="439">
                  <c:v>1.9413875598086101</c:v>
                </c:pt>
                <c:pt idx="440">
                  <c:v>1.9115890083631999</c:v>
                </c:pt>
                <c:pt idx="441">
                  <c:v>1.90414201183431</c:v>
                </c:pt>
                <c:pt idx="442">
                  <c:v>1.90481927710843</c:v>
                </c:pt>
                <c:pt idx="443">
                  <c:v>1.9218559218559199</c:v>
                </c:pt>
                <c:pt idx="444">
                  <c:v>1.85731707317073</c:v>
                </c:pt>
                <c:pt idx="445">
                  <c:v>1.8968944099378799</c:v>
                </c:pt>
                <c:pt idx="446">
                  <c:v>1.9456953642384101</c:v>
                </c:pt>
                <c:pt idx="447">
                  <c:v>1.9378238341968901</c:v>
                </c:pt>
                <c:pt idx="448">
                  <c:v>1.87859007832898</c:v>
                </c:pt>
                <c:pt idx="449">
                  <c:v>1.8691709844559501</c:v>
                </c:pt>
                <c:pt idx="450">
                  <c:v>1.8723926380367999</c:v>
                </c:pt>
                <c:pt idx="451">
                  <c:v>1.8602150537634401</c:v>
                </c:pt>
                <c:pt idx="452">
                  <c:v>1.87161366313309</c:v>
                </c:pt>
                <c:pt idx="453">
                  <c:v>1.85611510791366</c:v>
                </c:pt>
                <c:pt idx="454">
                  <c:v>1.8520710059171499</c:v>
                </c:pt>
                <c:pt idx="455">
                  <c:v>1.83042973286875</c:v>
                </c:pt>
                <c:pt idx="456">
                  <c:v>1.8136574074073999</c:v>
                </c:pt>
                <c:pt idx="457">
                  <c:v>1.8192352259559601</c:v>
                </c:pt>
                <c:pt idx="458">
                  <c:v>1.80273660205245</c:v>
                </c:pt>
                <c:pt idx="459">
                  <c:v>1.82474226804123</c:v>
                </c:pt>
                <c:pt idx="460">
                  <c:v>1.8218053927315301</c:v>
                </c:pt>
                <c:pt idx="461">
                  <c:v>1.8111239860950099</c:v>
                </c:pt>
                <c:pt idx="462">
                  <c:v>1.8485915492957701</c:v>
                </c:pt>
                <c:pt idx="463">
                  <c:v>1.8633686690223701</c:v>
                </c:pt>
                <c:pt idx="464">
                  <c:v>1.83583815028901</c:v>
                </c:pt>
                <c:pt idx="465">
                  <c:v>1.84447004608294</c:v>
                </c:pt>
                <c:pt idx="466">
                  <c:v>1.8448275862068899</c:v>
                </c:pt>
                <c:pt idx="467">
                  <c:v>1.82860385925085</c:v>
                </c:pt>
                <c:pt idx="468">
                  <c:v>1.86574074074074</c:v>
                </c:pt>
                <c:pt idx="469">
                  <c:v>1.875</c:v>
                </c:pt>
                <c:pt idx="470">
                  <c:v>1.8882421420256099</c:v>
                </c:pt>
                <c:pt idx="471">
                  <c:v>1.8801897983392599</c:v>
                </c:pt>
                <c:pt idx="472">
                  <c:v>1.8464328899637199</c:v>
                </c:pt>
                <c:pt idx="473">
                  <c:v>1.83777239709443</c:v>
                </c:pt>
                <c:pt idx="474">
                  <c:v>1.8122009569377899</c:v>
                </c:pt>
                <c:pt idx="475">
                  <c:v>1.79808841099163</c:v>
                </c:pt>
                <c:pt idx="476">
                  <c:v>1.7909738717339601</c:v>
                </c:pt>
                <c:pt idx="477">
                  <c:v>1.8002378121284099</c:v>
                </c:pt>
                <c:pt idx="478">
                  <c:v>1.81698564593301</c:v>
                </c:pt>
                <c:pt idx="479">
                  <c:v>1.8389423076922999</c:v>
                </c:pt>
                <c:pt idx="480">
                  <c:v>1.86407766990291</c:v>
                </c:pt>
                <c:pt idx="481">
                  <c:v>1.8654545454545399</c:v>
                </c:pt>
                <c:pt idx="482">
                  <c:v>1.85261875761266</c:v>
                </c:pt>
                <c:pt idx="483">
                  <c:v>1.8659420289855</c:v>
                </c:pt>
                <c:pt idx="484">
                  <c:v>1.8600723763570499</c:v>
                </c:pt>
                <c:pt idx="485">
                  <c:v>1.8694610778443099</c:v>
                </c:pt>
                <c:pt idx="486">
                  <c:v>1.8390941597139401</c:v>
                </c:pt>
              </c:numCache>
            </c:numRef>
          </c:val>
        </c:ser>
        <c:ser>
          <c:idx val="1"/>
          <c:order val="1"/>
          <c:tx>
            <c:strRef>
              <c:f>グラフ!$N$41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43809</c:v>
                </c:pt>
                <c:pt idx="1">
                  <c:v>43808</c:v>
                </c:pt>
                <c:pt idx="2">
                  <c:v>43805</c:v>
                </c:pt>
                <c:pt idx="3">
                  <c:v>43804</c:v>
                </c:pt>
                <c:pt idx="4">
                  <c:v>43803</c:v>
                </c:pt>
                <c:pt idx="5">
                  <c:v>43802</c:v>
                </c:pt>
                <c:pt idx="6">
                  <c:v>43801</c:v>
                </c:pt>
                <c:pt idx="7">
                  <c:v>43798</c:v>
                </c:pt>
                <c:pt idx="8">
                  <c:v>43797</c:v>
                </c:pt>
                <c:pt idx="9">
                  <c:v>43796</c:v>
                </c:pt>
                <c:pt idx="10">
                  <c:v>43795</c:v>
                </c:pt>
                <c:pt idx="11">
                  <c:v>43794</c:v>
                </c:pt>
                <c:pt idx="12">
                  <c:v>43791</c:v>
                </c:pt>
                <c:pt idx="13">
                  <c:v>43790</c:v>
                </c:pt>
                <c:pt idx="14">
                  <c:v>43789</c:v>
                </c:pt>
                <c:pt idx="15">
                  <c:v>43788</c:v>
                </c:pt>
                <c:pt idx="16">
                  <c:v>43787</c:v>
                </c:pt>
                <c:pt idx="17">
                  <c:v>43784</c:v>
                </c:pt>
                <c:pt idx="18">
                  <c:v>43783</c:v>
                </c:pt>
                <c:pt idx="19">
                  <c:v>43782</c:v>
                </c:pt>
                <c:pt idx="20">
                  <c:v>43781</c:v>
                </c:pt>
                <c:pt idx="21">
                  <c:v>43780</c:v>
                </c:pt>
                <c:pt idx="22">
                  <c:v>43777</c:v>
                </c:pt>
                <c:pt idx="23">
                  <c:v>43776</c:v>
                </c:pt>
                <c:pt idx="24">
                  <c:v>43775</c:v>
                </c:pt>
                <c:pt idx="25">
                  <c:v>43774</c:v>
                </c:pt>
                <c:pt idx="26">
                  <c:v>43770</c:v>
                </c:pt>
                <c:pt idx="27">
                  <c:v>43769</c:v>
                </c:pt>
                <c:pt idx="28">
                  <c:v>43768</c:v>
                </c:pt>
                <c:pt idx="29">
                  <c:v>43767</c:v>
                </c:pt>
                <c:pt idx="30">
                  <c:v>43766</c:v>
                </c:pt>
                <c:pt idx="31">
                  <c:v>43763</c:v>
                </c:pt>
                <c:pt idx="32">
                  <c:v>43762</c:v>
                </c:pt>
                <c:pt idx="33">
                  <c:v>43761</c:v>
                </c:pt>
                <c:pt idx="34">
                  <c:v>43759</c:v>
                </c:pt>
                <c:pt idx="35">
                  <c:v>43756</c:v>
                </c:pt>
                <c:pt idx="36">
                  <c:v>43755</c:v>
                </c:pt>
                <c:pt idx="37">
                  <c:v>43754</c:v>
                </c:pt>
                <c:pt idx="38">
                  <c:v>43753</c:v>
                </c:pt>
                <c:pt idx="39">
                  <c:v>43749</c:v>
                </c:pt>
                <c:pt idx="40">
                  <c:v>43748</c:v>
                </c:pt>
                <c:pt idx="41">
                  <c:v>43747</c:v>
                </c:pt>
                <c:pt idx="42">
                  <c:v>43746</c:v>
                </c:pt>
                <c:pt idx="43">
                  <c:v>43745</c:v>
                </c:pt>
                <c:pt idx="44">
                  <c:v>43742</c:v>
                </c:pt>
                <c:pt idx="45">
                  <c:v>43741</c:v>
                </c:pt>
                <c:pt idx="46">
                  <c:v>43740</c:v>
                </c:pt>
                <c:pt idx="47">
                  <c:v>43739</c:v>
                </c:pt>
                <c:pt idx="48">
                  <c:v>43738</c:v>
                </c:pt>
                <c:pt idx="49">
                  <c:v>43735</c:v>
                </c:pt>
                <c:pt idx="50">
                  <c:v>43734</c:v>
                </c:pt>
                <c:pt idx="51">
                  <c:v>43733</c:v>
                </c:pt>
                <c:pt idx="52">
                  <c:v>43732</c:v>
                </c:pt>
                <c:pt idx="53">
                  <c:v>43728</c:v>
                </c:pt>
                <c:pt idx="54">
                  <c:v>43727</c:v>
                </c:pt>
                <c:pt idx="55">
                  <c:v>43726</c:v>
                </c:pt>
                <c:pt idx="56">
                  <c:v>43725</c:v>
                </c:pt>
                <c:pt idx="57">
                  <c:v>43721</c:v>
                </c:pt>
                <c:pt idx="58">
                  <c:v>43720</c:v>
                </c:pt>
                <c:pt idx="59">
                  <c:v>43719</c:v>
                </c:pt>
                <c:pt idx="60">
                  <c:v>43718</c:v>
                </c:pt>
                <c:pt idx="61">
                  <c:v>43717</c:v>
                </c:pt>
                <c:pt idx="62">
                  <c:v>43714</c:v>
                </c:pt>
                <c:pt idx="63">
                  <c:v>43713</c:v>
                </c:pt>
                <c:pt idx="64">
                  <c:v>43712</c:v>
                </c:pt>
                <c:pt idx="65">
                  <c:v>43711</c:v>
                </c:pt>
                <c:pt idx="66">
                  <c:v>43710</c:v>
                </c:pt>
                <c:pt idx="67">
                  <c:v>43707</c:v>
                </c:pt>
                <c:pt idx="68">
                  <c:v>43706</c:v>
                </c:pt>
                <c:pt idx="69">
                  <c:v>43705</c:v>
                </c:pt>
                <c:pt idx="70">
                  <c:v>43704</c:v>
                </c:pt>
                <c:pt idx="71">
                  <c:v>43703</c:v>
                </c:pt>
                <c:pt idx="72">
                  <c:v>43700</c:v>
                </c:pt>
                <c:pt idx="73">
                  <c:v>43699</c:v>
                </c:pt>
                <c:pt idx="74">
                  <c:v>43698</c:v>
                </c:pt>
                <c:pt idx="75">
                  <c:v>43697</c:v>
                </c:pt>
                <c:pt idx="76">
                  <c:v>43696</c:v>
                </c:pt>
                <c:pt idx="77">
                  <c:v>43693</c:v>
                </c:pt>
                <c:pt idx="78">
                  <c:v>43692</c:v>
                </c:pt>
                <c:pt idx="79">
                  <c:v>43691</c:v>
                </c:pt>
                <c:pt idx="80">
                  <c:v>43690</c:v>
                </c:pt>
                <c:pt idx="81">
                  <c:v>43686</c:v>
                </c:pt>
                <c:pt idx="82">
                  <c:v>43685</c:v>
                </c:pt>
                <c:pt idx="83">
                  <c:v>43684</c:v>
                </c:pt>
                <c:pt idx="84">
                  <c:v>43683</c:v>
                </c:pt>
                <c:pt idx="85">
                  <c:v>43682</c:v>
                </c:pt>
                <c:pt idx="86">
                  <c:v>43679</c:v>
                </c:pt>
                <c:pt idx="87">
                  <c:v>43678</c:v>
                </c:pt>
                <c:pt idx="88">
                  <c:v>43677</c:v>
                </c:pt>
                <c:pt idx="89">
                  <c:v>43676</c:v>
                </c:pt>
                <c:pt idx="90">
                  <c:v>43675</c:v>
                </c:pt>
                <c:pt idx="91">
                  <c:v>43672</c:v>
                </c:pt>
                <c:pt idx="92">
                  <c:v>43671</c:v>
                </c:pt>
                <c:pt idx="93">
                  <c:v>43670</c:v>
                </c:pt>
                <c:pt idx="94">
                  <c:v>43669</c:v>
                </c:pt>
                <c:pt idx="95">
                  <c:v>43668</c:v>
                </c:pt>
                <c:pt idx="96">
                  <c:v>43665</c:v>
                </c:pt>
                <c:pt idx="97">
                  <c:v>43664</c:v>
                </c:pt>
                <c:pt idx="98">
                  <c:v>43663</c:v>
                </c:pt>
                <c:pt idx="99">
                  <c:v>43662</c:v>
                </c:pt>
                <c:pt idx="100">
                  <c:v>43658</c:v>
                </c:pt>
                <c:pt idx="101">
                  <c:v>43657</c:v>
                </c:pt>
                <c:pt idx="102">
                  <c:v>43656</c:v>
                </c:pt>
                <c:pt idx="103">
                  <c:v>43655</c:v>
                </c:pt>
                <c:pt idx="104">
                  <c:v>43654</c:v>
                </c:pt>
                <c:pt idx="105">
                  <c:v>43651</c:v>
                </c:pt>
                <c:pt idx="106">
                  <c:v>43650</c:v>
                </c:pt>
                <c:pt idx="107">
                  <c:v>43649</c:v>
                </c:pt>
                <c:pt idx="108">
                  <c:v>43648</c:v>
                </c:pt>
                <c:pt idx="109">
                  <c:v>43647</c:v>
                </c:pt>
                <c:pt idx="110">
                  <c:v>43644</c:v>
                </c:pt>
                <c:pt idx="111">
                  <c:v>43643</c:v>
                </c:pt>
                <c:pt idx="112">
                  <c:v>43642</c:v>
                </c:pt>
                <c:pt idx="113">
                  <c:v>43641</c:v>
                </c:pt>
                <c:pt idx="114">
                  <c:v>43640</c:v>
                </c:pt>
                <c:pt idx="115">
                  <c:v>43637</c:v>
                </c:pt>
                <c:pt idx="116">
                  <c:v>43636</c:v>
                </c:pt>
                <c:pt idx="117">
                  <c:v>43635</c:v>
                </c:pt>
                <c:pt idx="118">
                  <c:v>43634</c:v>
                </c:pt>
                <c:pt idx="119">
                  <c:v>43633</c:v>
                </c:pt>
                <c:pt idx="120">
                  <c:v>43630</c:v>
                </c:pt>
                <c:pt idx="121">
                  <c:v>43629</c:v>
                </c:pt>
                <c:pt idx="122">
                  <c:v>43628</c:v>
                </c:pt>
                <c:pt idx="123">
                  <c:v>43627</c:v>
                </c:pt>
                <c:pt idx="124">
                  <c:v>43626</c:v>
                </c:pt>
                <c:pt idx="125">
                  <c:v>43623</c:v>
                </c:pt>
                <c:pt idx="126">
                  <c:v>43622</c:v>
                </c:pt>
                <c:pt idx="127">
                  <c:v>43621</c:v>
                </c:pt>
                <c:pt idx="128">
                  <c:v>43620</c:v>
                </c:pt>
                <c:pt idx="129">
                  <c:v>43619</c:v>
                </c:pt>
                <c:pt idx="130">
                  <c:v>43616</c:v>
                </c:pt>
                <c:pt idx="131">
                  <c:v>43615</c:v>
                </c:pt>
                <c:pt idx="132">
                  <c:v>43614</c:v>
                </c:pt>
                <c:pt idx="133">
                  <c:v>43613</c:v>
                </c:pt>
                <c:pt idx="134">
                  <c:v>43612</c:v>
                </c:pt>
                <c:pt idx="135">
                  <c:v>43609</c:v>
                </c:pt>
                <c:pt idx="136">
                  <c:v>43608</c:v>
                </c:pt>
                <c:pt idx="137">
                  <c:v>43607</c:v>
                </c:pt>
                <c:pt idx="138">
                  <c:v>43606</c:v>
                </c:pt>
                <c:pt idx="139">
                  <c:v>43605</c:v>
                </c:pt>
                <c:pt idx="140">
                  <c:v>43602</c:v>
                </c:pt>
                <c:pt idx="141">
                  <c:v>43601</c:v>
                </c:pt>
                <c:pt idx="142">
                  <c:v>43600</c:v>
                </c:pt>
                <c:pt idx="143">
                  <c:v>43599</c:v>
                </c:pt>
                <c:pt idx="144">
                  <c:v>43598</c:v>
                </c:pt>
                <c:pt idx="145">
                  <c:v>43595</c:v>
                </c:pt>
                <c:pt idx="146">
                  <c:v>43594</c:v>
                </c:pt>
                <c:pt idx="147">
                  <c:v>43593</c:v>
                </c:pt>
                <c:pt idx="148">
                  <c:v>43592</c:v>
                </c:pt>
                <c:pt idx="149">
                  <c:v>43581</c:v>
                </c:pt>
                <c:pt idx="150">
                  <c:v>43580</c:v>
                </c:pt>
                <c:pt idx="151">
                  <c:v>43579</c:v>
                </c:pt>
                <c:pt idx="152">
                  <c:v>43578</c:v>
                </c:pt>
                <c:pt idx="153">
                  <c:v>43577</c:v>
                </c:pt>
                <c:pt idx="154">
                  <c:v>43574</c:v>
                </c:pt>
                <c:pt idx="155">
                  <c:v>43573</c:v>
                </c:pt>
                <c:pt idx="156">
                  <c:v>43572</c:v>
                </c:pt>
                <c:pt idx="157">
                  <c:v>43571</c:v>
                </c:pt>
                <c:pt idx="158">
                  <c:v>43570</c:v>
                </c:pt>
                <c:pt idx="159">
                  <c:v>43567</c:v>
                </c:pt>
                <c:pt idx="160">
                  <c:v>43566</c:v>
                </c:pt>
                <c:pt idx="161">
                  <c:v>43565</c:v>
                </c:pt>
                <c:pt idx="162">
                  <c:v>43564</c:v>
                </c:pt>
                <c:pt idx="163">
                  <c:v>43563</c:v>
                </c:pt>
                <c:pt idx="164">
                  <c:v>43560</c:v>
                </c:pt>
                <c:pt idx="165">
                  <c:v>43559</c:v>
                </c:pt>
                <c:pt idx="166">
                  <c:v>43558</c:v>
                </c:pt>
                <c:pt idx="167">
                  <c:v>43557</c:v>
                </c:pt>
                <c:pt idx="168">
                  <c:v>43556</c:v>
                </c:pt>
                <c:pt idx="169">
                  <c:v>43553</c:v>
                </c:pt>
                <c:pt idx="170">
                  <c:v>43552</c:v>
                </c:pt>
                <c:pt idx="171">
                  <c:v>43551</c:v>
                </c:pt>
                <c:pt idx="172">
                  <c:v>43550</c:v>
                </c:pt>
                <c:pt idx="173">
                  <c:v>43549</c:v>
                </c:pt>
                <c:pt idx="174">
                  <c:v>43546</c:v>
                </c:pt>
                <c:pt idx="175">
                  <c:v>43544</c:v>
                </c:pt>
                <c:pt idx="176">
                  <c:v>43543</c:v>
                </c:pt>
                <c:pt idx="177">
                  <c:v>43542</c:v>
                </c:pt>
                <c:pt idx="178">
                  <c:v>43539</c:v>
                </c:pt>
                <c:pt idx="179">
                  <c:v>43538</c:v>
                </c:pt>
                <c:pt idx="180">
                  <c:v>43537</c:v>
                </c:pt>
                <c:pt idx="181">
                  <c:v>43536</c:v>
                </c:pt>
                <c:pt idx="182">
                  <c:v>43535</c:v>
                </c:pt>
                <c:pt idx="183">
                  <c:v>43532</c:v>
                </c:pt>
                <c:pt idx="184">
                  <c:v>43531</c:v>
                </c:pt>
                <c:pt idx="185">
                  <c:v>43530</c:v>
                </c:pt>
                <c:pt idx="186">
                  <c:v>43529</c:v>
                </c:pt>
                <c:pt idx="187">
                  <c:v>43528</c:v>
                </c:pt>
                <c:pt idx="188">
                  <c:v>43525</c:v>
                </c:pt>
                <c:pt idx="189">
                  <c:v>43524</c:v>
                </c:pt>
                <c:pt idx="190">
                  <c:v>43523</c:v>
                </c:pt>
                <c:pt idx="191">
                  <c:v>43522</c:v>
                </c:pt>
                <c:pt idx="192">
                  <c:v>43521</c:v>
                </c:pt>
                <c:pt idx="193">
                  <c:v>43518</c:v>
                </c:pt>
                <c:pt idx="194">
                  <c:v>43517</c:v>
                </c:pt>
                <c:pt idx="195">
                  <c:v>43516</c:v>
                </c:pt>
                <c:pt idx="196">
                  <c:v>43515</c:v>
                </c:pt>
                <c:pt idx="197">
                  <c:v>43514</c:v>
                </c:pt>
                <c:pt idx="198">
                  <c:v>43511</c:v>
                </c:pt>
                <c:pt idx="199">
                  <c:v>43510</c:v>
                </c:pt>
                <c:pt idx="200">
                  <c:v>43509</c:v>
                </c:pt>
                <c:pt idx="201">
                  <c:v>43508</c:v>
                </c:pt>
                <c:pt idx="202">
                  <c:v>43504</c:v>
                </c:pt>
                <c:pt idx="203">
                  <c:v>43503</c:v>
                </c:pt>
                <c:pt idx="204">
                  <c:v>43502</c:v>
                </c:pt>
                <c:pt idx="205">
                  <c:v>43501</c:v>
                </c:pt>
                <c:pt idx="206">
                  <c:v>43500</c:v>
                </c:pt>
                <c:pt idx="207">
                  <c:v>43497</c:v>
                </c:pt>
                <c:pt idx="208">
                  <c:v>43496</c:v>
                </c:pt>
                <c:pt idx="209">
                  <c:v>43495</c:v>
                </c:pt>
                <c:pt idx="210">
                  <c:v>43494</c:v>
                </c:pt>
                <c:pt idx="211">
                  <c:v>43493</c:v>
                </c:pt>
                <c:pt idx="212">
                  <c:v>43490</c:v>
                </c:pt>
                <c:pt idx="213">
                  <c:v>43489</c:v>
                </c:pt>
                <c:pt idx="214">
                  <c:v>43488</c:v>
                </c:pt>
                <c:pt idx="215">
                  <c:v>43487</c:v>
                </c:pt>
                <c:pt idx="216">
                  <c:v>43486</c:v>
                </c:pt>
                <c:pt idx="217">
                  <c:v>43483</c:v>
                </c:pt>
                <c:pt idx="218">
                  <c:v>43482</c:v>
                </c:pt>
                <c:pt idx="219">
                  <c:v>43481</c:v>
                </c:pt>
                <c:pt idx="220">
                  <c:v>43480</c:v>
                </c:pt>
                <c:pt idx="221">
                  <c:v>43476</c:v>
                </c:pt>
                <c:pt idx="222">
                  <c:v>43475</c:v>
                </c:pt>
                <c:pt idx="223">
                  <c:v>43474</c:v>
                </c:pt>
                <c:pt idx="224">
                  <c:v>43473</c:v>
                </c:pt>
                <c:pt idx="225">
                  <c:v>43472</c:v>
                </c:pt>
                <c:pt idx="226">
                  <c:v>43469</c:v>
                </c:pt>
                <c:pt idx="227">
                  <c:v>43462</c:v>
                </c:pt>
                <c:pt idx="228">
                  <c:v>43461</c:v>
                </c:pt>
                <c:pt idx="229">
                  <c:v>43460</c:v>
                </c:pt>
                <c:pt idx="230">
                  <c:v>43459</c:v>
                </c:pt>
                <c:pt idx="231">
                  <c:v>43455</c:v>
                </c:pt>
                <c:pt idx="232">
                  <c:v>43454</c:v>
                </c:pt>
                <c:pt idx="233">
                  <c:v>43453</c:v>
                </c:pt>
                <c:pt idx="234">
                  <c:v>43452</c:v>
                </c:pt>
                <c:pt idx="235">
                  <c:v>43451</c:v>
                </c:pt>
                <c:pt idx="236">
                  <c:v>43448</c:v>
                </c:pt>
                <c:pt idx="237">
                  <c:v>43447</c:v>
                </c:pt>
                <c:pt idx="238">
                  <c:v>43446</c:v>
                </c:pt>
                <c:pt idx="239">
                  <c:v>43445</c:v>
                </c:pt>
                <c:pt idx="240">
                  <c:v>43444</c:v>
                </c:pt>
                <c:pt idx="241">
                  <c:v>43441</c:v>
                </c:pt>
                <c:pt idx="242">
                  <c:v>43440</c:v>
                </c:pt>
                <c:pt idx="243">
                  <c:v>43439</c:v>
                </c:pt>
                <c:pt idx="244">
                  <c:v>43438</c:v>
                </c:pt>
                <c:pt idx="245">
                  <c:v>43437</c:v>
                </c:pt>
                <c:pt idx="246">
                  <c:v>43434</c:v>
                </c:pt>
                <c:pt idx="247">
                  <c:v>43433</c:v>
                </c:pt>
                <c:pt idx="248">
                  <c:v>43432</c:v>
                </c:pt>
                <c:pt idx="249">
                  <c:v>43431</c:v>
                </c:pt>
                <c:pt idx="250">
                  <c:v>43430</c:v>
                </c:pt>
                <c:pt idx="251">
                  <c:v>43426</c:v>
                </c:pt>
                <c:pt idx="252">
                  <c:v>43425</c:v>
                </c:pt>
                <c:pt idx="253">
                  <c:v>43424</c:v>
                </c:pt>
                <c:pt idx="254">
                  <c:v>43423</c:v>
                </c:pt>
                <c:pt idx="255">
                  <c:v>43420</c:v>
                </c:pt>
                <c:pt idx="256">
                  <c:v>43419</c:v>
                </c:pt>
                <c:pt idx="257">
                  <c:v>43418</c:v>
                </c:pt>
                <c:pt idx="258">
                  <c:v>43417</c:v>
                </c:pt>
                <c:pt idx="259">
                  <c:v>43416</c:v>
                </c:pt>
                <c:pt idx="260">
                  <c:v>43413</c:v>
                </c:pt>
                <c:pt idx="261">
                  <c:v>43412</c:v>
                </c:pt>
                <c:pt idx="262">
                  <c:v>43411</c:v>
                </c:pt>
                <c:pt idx="263">
                  <c:v>43410</c:v>
                </c:pt>
                <c:pt idx="264">
                  <c:v>43409</c:v>
                </c:pt>
                <c:pt idx="265">
                  <c:v>43406</c:v>
                </c:pt>
                <c:pt idx="266">
                  <c:v>43405</c:v>
                </c:pt>
                <c:pt idx="267">
                  <c:v>43404</c:v>
                </c:pt>
                <c:pt idx="268">
                  <c:v>43403</c:v>
                </c:pt>
                <c:pt idx="269">
                  <c:v>43402</c:v>
                </c:pt>
                <c:pt idx="270">
                  <c:v>43399</c:v>
                </c:pt>
                <c:pt idx="271">
                  <c:v>43398</c:v>
                </c:pt>
                <c:pt idx="272">
                  <c:v>43397</c:v>
                </c:pt>
                <c:pt idx="273">
                  <c:v>43396</c:v>
                </c:pt>
                <c:pt idx="274">
                  <c:v>43395</c:v>
                </c:pt>
                <c:pt idx="275">
                  <c:v>43392</c:v>
                </c:pt>
                <c:pt idx="276">
                  <c:v>43391</c:v>
                </c:pt>
                <c:pt idx="277">
                  <c:v>43390</c:v>
                </c:pt>
                <c:pt idx="278">
                  <c:v>43389</c:v>
                </c:pt>
                <c:pt idx="279">
                  <c:v>43388</c:v>
                </c:pt>
                <c:pt idx="280">
                  <c:v>43385</c:v>
                </c:pt>
                <c:pt idx="281">
                  <c:v>43384</c:v>
                </c:pt>
                <c:pt idx="282">
                  <c:v>43383</c:v>
                </c:pt>
                <c:pt idx="283">
                  <c:v>43382</c:v>
                </c:pt>
                <c:pt idx="284">
                  <c:v>43378</c:v>
                </c:pt>
                <c:pt idx="285">
                  <c:v>43377</c:v>
                </c:pt>
                <c:pt idx="286">
                  <c:v>43376</c:v>
                </c:pt>
                <c:pt idx="287">
                  <c:v>43375</c:v>
                </c:pt>
                <c:pt idx="288">
                  <c:v>43374</c:v>
                </c:pt>
                <c:pt idx="289">
                  <c:v>43371</c:v>
                </c:pt>
                <c:pt idx="290">
                  <c:v>43370</c:v>
                </c:pt>
                <c:pt idx="291">
                  <c:v>43369</c:v>
                </c:pt>
                <c:pt idx="292">
                  <c:v>43368</c:v>
                </c:pt>
                <c:pt idx="293">
                  <c:v>43364</c:v>
                </c:pt>
                <c:pt idx="294">
                  <c:v>43363</c:v>
                </c:pt>
                <c:pt idx="295">
                  <c:v>43362</c:v>
                </c:pt>
                <c:pt idx="296">
                  <c:v>43361</c:v>
                </c:pt>
                <c:pt idx="297">
                  <c:v>43357</c:v>
                </c:pt>
                <c:pt idx="298">
                  <c:v>43356</c:v>
                </c:pt>
                <c:pt idx="299">
                  <c:v>43355</c:v>
                </c:pt>
                <c:pt idx="300">
                  <c:v>43354</c:v>
                </c:pt>
                <c:pt idx="301">
                  <c:v>43353</c:v>
                </c:pt>
                <c:pt idx="302">
                  <c:v>43350</c:v>
                </c:pt>
                <c:pt idx="303">
                  <c:v>43349</c:v>
                </c:pt>
                <c:pt idx="304">
                  <c:v>43348</c:v>
                </c:pt>
                <c:pt idx="305">
                  <c:v>43347</c:v>
                </c:pt>
                <c:pt idx="306">
                  <c:v>43346</c:v>
                </c:pt>
                <c:pt idx="307">
                  <c:v>43343</c:v>
                </c:pt>
                <c:pt idx="308">
                  <c:v>43342</c:v>
                </c:pt>
                <c:pt idx="309">
                  <c:v>43341</c:v>
                </c:pt>
                <c:pt idx="310">
                  <c:v>43340</c:v>
                </c:pt>
                <c:pt idx="311">
                  <c:v>43339</c:v>
                </c:pt>
                <c:pt idx="312">
                  <c:v>43336</c:v>
                </c:pt>
                <c:pt idx="313">
                  <c:v>43335</c:v>
                </c:pt>
                <c:pt idx="314">
                  <c:v>43334</c:v>
                </c:pt>
                <c:pt idx="315">
                  <c:v>43333</c:v>
                </c:pt>
                <c:pt idx="316">
                  <c:v>43332</c:v>
                </c:pt>
                <c:pt idx="317">
                  <c:v>43329</c:v>
                </c:pt>
                <c:pt idx="318">
                  <c:v>43328</c:v>
                </c:pt>
                <c:pt idx="319">
                  <c:v>43327</c:v>
                </c:pt>
                <c:pt idx="320">
                  <c:v>43326</c:v>
                </c:pt>
                <c:pt idx="321">
                  <c:v>43325</c:v>
                </c:pt>
                <c:pt idx="322">
                  <c:v>43322</c:v>
                </c:pt>
                <c:pt idx="323">
                  <c:v>43321</c:v>
                </c:pt>
                <c:pt idx="324">
                  <c:v>43320</c:v>
                </c:pt>
                <c:pt idx="325">
                  <c:v>43319</c:v>
                </c:pt>
                <c:pt idx="326">
                  <c:v>43318</c:v>
                </c:pt>
                <c:pt idx="327">
                  <c:v>43315</c:v>
                </c:pt>
                <c:pt idx="328">
                  <c:v>43314</c:v>
                </c:pt>
                <c:pt idx="329">
                  <c:v>43313</c:v>
                </c:pt>
                <c:pt idx="330">
                  <c:v>43312</c:v>
                </c:pt>
                <c:pt idx="331">
                  <c:v>43311</c:v>
                </c:pt>
                <c:pt idx="332">
                  <c:v>43308</c:v>
                </c:pt>
                <c:pt idx="333">
                  <c:v>43307</c:v>
                </c:pt>
                <c:pt idx="334">
                  <c:v>43306</c:v>
                </c:pt>
                <c:pt idx="335">
                  <c:v>43305</c:v>
                </c:pt>
                <c:pt idx="336">
                  <c:v>43304</c:v>
                </c:pt>
                <c:pt idx="337">
                  <c:v>43301</c:v>
                </c:pt>
                <c:pt idx="338">
                  <c:v>43300</c:v>
                </c:pt>
                <c:pt idx="339">
                  <c:v>43299</c:v>
                </c:pt>
                <c:pt idx="340">
                  <c:v>43298</c:v>
                </c:pt>
                <c:pt idx="341">
                  <c:v>43294</c:v>
                </c:pt>
                <c:pt idx="342">
                  <c:v>43293</c:v>
                </c:pt>
                <c:pt idx="343">
                  <c:v>43292</c:v>
                </c:pt>
                <c:pt idx="344">
                  <c:v>43291</c:v>
                </c:pt>
                <c:pt idx="345">
                  <c:v>43290</c:v>
                </c:pt>
                <c:pt idx="346">
                  <c:v>43287</c:v>
                </c:pt>
                <c:pt idx="347">
                  <c:v>43286</c:v>
                </c:pt>
                <c:pt idx="348">
                  <c:v>43285</c:v>
                </c:pt>
                <c:pt idx="349">
                  <c:v>43284</c:v>
                </c:pt>
                <c:pt idx="350">
                  <c:v>43283</c:v>
                </c:pt>
                <c:pt idx="351">
                  <c:v>43280</c:v>
                </c:pt>
                <c:pt idx="352">
                  <c:v>43279</c:v>
                </c:pt>
                <c:pt idx="353">
                  <c:v>43278</c:v>
                </c:pt>
                <c:pt idx="354">
                  <c:v>43277</c:v>
                </c:pt>
                <c:pt idx="355">
                  <c:v>43276</c:v>
                </c:pt>
                <c:pt idx="356">
                  <c:v>43273</c:v>
                </c:pt>
                <c:pt idx="357">
                  <c:v>43272</c:v>
                </c:pt>
                <c:pt idx="358">
                  <c:v>43271</c:v>
                </c:pt>
                <c:pt idx="359">
                  <c:v>43270</c:v>
                </c:pt>
                <c:pt idx="360">
                  <c:v>43269</c:v>
                </c:pt>
                <c:pt idx="361">
                  <c:v>43266</c:v>
                </c:pt>
                <c:pt idx="362">
                  <c:v>43265</c:v>
                </c:pt>
                <c:pt idx="363">
                  <c:v>43264</c:v>
                </c:pt>
                <c:pt idx="364">
                  <c:v>43263</c:v>
                </c:pt>
                <c:pt idx="365">
                  <c:v>43262</c:v>
                </c:pt>
                <c:pt idx="366">
                  <c:v>43259</c:v>
                </c:pt>
                <c:pt idx="367">
                  <c:v>43258</c:v>
                </c:pt>
                <c:pt idx="368">
                  <c:v>43257</c:v>
                </c:pt>
                <c:pt idx="369">
                  <c:v>43256</c:v>
                </c:pt>
                <c:pt idx="370">
                  <c:v>43255</c:v>
                </c:pt>
                <c:pt idx="371">
                  <c:v>43252</c:v>
                </c:pt>
                <c:pt idx="372">
                  <c:v>43251</c:v>
                </c:pt>
                <c:pt idx="373">
                  <c:v>43250</c:v>
                </c:pt>
                <c:pt idx="374">
                  <c:v>43249</c:v>
                </c:pt>
                <c:pt idx="375">
                  <c:v>43248</c:v>
                </c:pt>
                <c:pt idx="376">
                  <c:v>43245</c:v>
                </c:pt>
                <c:pt idx="377">
                  <c:v>43244</c:v>
                </c:pt>
                <c:pt idx="378">
                  <c:v>43243</c:v>
                </c:pt>
                <c:pt idx="379">
                  <c:v>43242</c:v>
                </c:pt>
                <c:pt idx="380">
                  <c:v>43241</c:v>
                </c:pt>
                <c:pt idx="381">
                  <c:v>43238</c:v>
                </c:pt>
                <c:pt idx="382">
                  <c:v>43237</c:v>
                </c:pt>
                <c:pt idx="383">
                  <c:v>43236</c:v>
                </c:pt>
                <c:pt idx="384">
                  <c:v>43235</c:v>
                </c:pt>
                <c:pt idx="385">
                  <c:v>43234</c:v>
                </c:pt>
                <c:pt idx="386">
                  <c:v>43231</c:v>
                </c:pt>
                <c:pt idx="387">
                  <c:v>43230</c:v>
                </c:pt>
                <c:pt idx="388">
                  <c:v>43229</c:v>
                </c:pt>
                <c:pt idx="389">
                  <c:v>43228</c:v>
                </c:pt>
                <c:pt idx="390">
                  <c:v>43227</c:v>
                </c:pt>
                <c:pt idx="391">
                  <c:v>43222</c:v>
                </c:pt>
                <c:pt idx="392">
                  <c:v>43221</c:v>
                </c:pt>
                <c:pt idx="393">
                  <c:v>43217</c:v>
                </c:pt>
                <c:pt idx="394">
                  <c:v>43216</c:v>
                </c:pt>
                <c:pt idx="395">
                  <c:v>43215</c:v>
                </c:pt>
                <c:pt idx="396">
                  <c:v>43214</c:v>
                </c:pt>
                <c:pt idx="397">
                  <c:v>43213</c:v>
                </c:pt>
                <c:pt idx="398">
                  <c:v>43210</c:v>
                </c:pt>
                <c:pt idx="399">
                  <c:v>43209</c:v>
                </c:pt>
                <c:pt idx="400">
                  <c:v>43208</c:v>
                </c:pt>
                <c:pt idx="401">
                  <c:v>43207</c:v>
                </c:pt>
                <c:pt idx="402">
                  <c:v>43206</c:v>
                </c:pt>
                <c:pt idx="403">
                  <c:v>43203</c:v>
                </c:pt>
                <c:pt idx="404">
                  <c:v>43202</c:v>
                </c:pt>
                <c:pt idx="405">
                  <c:v>43201</c:v>
                </c:pt>
                <c:pt idx="406">
                  <c:v>43200</c:v>
                </c:pt>
                <c:pt idx="407">
                  <c:v>43199</c:v>
                </c:pt>
                <c:pt idx="408">
                  <c:v>43196</c:v>
                </c:pt>
                <c:pt idx="409">
                  <c:v>43195</c:v>
                </c:pt>
                <c:pt idx="410">
                  <c:v>43194</c:v>
                </c:pt>
                <c:pt idx="411">
                  <c:v>43193</c:v>
                </c:pt>
                <c:pt idx="412">
                  <c:v>43192</c:v>
                </c:pt>
                <c:pt idx="413">
                  <c:v>43189</c:v>
                </c:pt>
                <c:pt idx="414">
                  <c:v>43188</c:v>
                </c:pt>
                <c:pt idx="415">
                  <c:v>43187</c:v>
                </c:pt>
                <c:pt idx="416">
                  <c:v>43186</c:v>
                </c:pt>
                <c:pt idx="417">
                  <c:v>43185</c:v>
                </c:pt>
                <c:pt idx="418">
                  <c:v>43182</c:v>
                </c:pt>
                <c:pt idx="419">
                  <c:v>43181</c:v>
                </c:pt>
                <c:pt idx="420">
                  <c:v>43179</c:v>
                </c:pt>
                <c:pt idx="421">
                  <c:v>43178</c:v>
                </c:pt>
                <c:pt idx="422">
                  <c:v>43175</c:v>
                </c:pt>
                <c:pt idx="423">
                  <c:v>43174</c:v>
                </c:pt>
                <c:pt idx="424">
                  <c:v>43173</c:v>
                </c:pt>
                <c:pt idx="425">
                  <c:v>43172</c:v>
                </c:pt>
                <c:pt idx="426">
                  <c:v>43171</c:v>
                </c:pt>
                <c:pt idx="427">
                  <c:v>43168</c:v>
                </c:pt>
                <c:pt idx="428">
                  <c:v>43167</c:v>
                </c:pt>
                <c:pt idx="429">
                  <c:v>43166</c:v>
                </c:pt>
                <c:pt idx="430">
                  <c:v>43165</c:v>
                </c:pt>
                <c:pt idx="431">
                  <c:v>43164</c:v>
                </c:pt>
                <c:pt idx="432">
                  <c:v>43161</c:v>
                </c:pt>
                <c:pt idx="433">
                  <c:v>43160</c:v>
                </c:pt>
                <c:pt idx="434">
                  <c:v>43159</c:v>
                </c:pt>
                <c:pt idx="435">
                  <c:v>43158</c:v>
                </c:pt>
                <c:pt idx="436">
                  <c:v>43157</c:v>
                </c:pt>
                <c:pt idx="437">
                  <c:v>43154</c:v>
                </c:pt>
                <c:pt idx="438">
                  <c:v>43153</c:v>
                </c:pt>
                <c:pt idx="439">
                  <c:v>43152</c:v>
                </c:pt>
                <c:pt idx="440">
                  <c:v>43151</c:v>
                </c:pt>
                <c:pt idx="441">
                  <c:v>43150</c:v>
                </c:pt>
                <c:pt idx="442">
                  <c:v>43147</c:v>
                </c:pt>
                <c:pt idx="443">
                  <c:v>43146</c:v>
                </c:pt>
                <c:pt idx="444">
                  <c:v>43145</c:v>
                </c:pt>
                <c:pt idx="445">
                  <c:v>43144</c:v>
                </c:pt>
                <c:pt idx="446">
                  <c:v>43140</c:v>
                </c:pt>
                <c:pt idx="447">
                  <c:v>43139</c:v>
                </c:pt>
                <c:pt idx="448">
                  <c:v>43138</c:v>
                </c:pt>
                <c:pt idx="449">
                  <c:v>43137</c:v>
                </c:pt>
                <c:pt idx="450">
                  <c:v>43136</c:v>
                </c:pt>
                <c:pt idx="451">
                  <c:v>43133</c:v>
                </c:pt>
                <c:pt idx="452">
                  <c:v>43132</c:v>
                </c:pt>
                <c:pt idx="453">
                  <c:v>43131</c:v>
                </c:pt>
                <c:pt idx="454">
                  <c:v>43130</c:v>
                </c:pt>
                <c:pt idx="455">
                  <c:v>43129</c:v>
                </c:pt>
                <c:pt idx="456">
                  <c:v>43126</c:v>
                </c:pt>
                <c:pt idx="457">
                  <c:v>43125</c:v>
                </c:pt>
                <c:pt idx="458">
                  <c:v>43124</c:v>
                </c:pt>
                <c:pt idx="459">
                  <c:v>43123</c:v>
                </c:pt>
                <c:pt idx="460">
                  <c:v>43122</c:v>
                </c:pt>
                <c:pt idx="461">
                  <c:v>43119</c:v>
                </c:pt>
                <c:pt idx="462">
                  <c:v>43118</c:v>
                </c:pt>
                <c:pt idx="463">
                  <c:v>43117</c:v>
                </c:pt>
                <c:pt idx="464">
                  <c:v>43116</c:v>
                </c:pt>
                <c:pt idx="465">
                  <c:v>43115</c:v>
                </c:pt>
                <c:pt idx="466">
                  <c:v>43112</c:v>
                </c:pt>
                <c:pt idx="467">
                  <c:v>43111</c:v>
                </c:pt>
                <c:pt idx="468">
                  <c:v>43110</c:v>
                </c:pt>
                <c:pt idx="469">
                  <c:v>43109</c:v>
                </c:pt>
                <c:pt idx="470">
                  <c:v>43105</c:v>
                </c:pt>
                <c:pt idx="471">
                  <c:v>43104</c:v>
                </c:pt>
                <c:pt idx="472">
                  <c:v>43098</c:v>
                </c:pt>
                <c:pt idx="473">
                  <c:v>43097</c:v>
                </c:pt>
                <c:pt idx="474">
                  <c:v>43096</c:v>
                </c:pt>
                <c:pt idx="475">
                  <c:v>43095</c:v>
                </c:pt>
                <c:pt idx="476">
                  <c:v>43094</c:v>
                </c:pt>
                <c:pt idx="477">
                  <c:v>43091</c:v>
                </c:pt>
                <c:pt idx="478">
                  <c:v>43090</c:v>
                </c:pt>
                <c:pt idx="479">
                  <c:v>43089</c:v>
                </c:pt>
                <c:pt idx="480">
                  <c:v>43088</c:v>
                </c:pt>
                <c:pt idx="481">
                  <c:v>43087</c:v>
                </c:pt>
                <c:pt idx="482">
                  <c:v>43084</c:v>
                </c:pt>
                <c:pt idx="483">
                  <c:v>43083</c:v>
                </c:pt>
                <c:pt idx="484">
                  <c:v>43082</c:v>
                </c:pt>
                <c:pt idx="485">
                  <c:v>43081</c:v>
                </c:pt>
                <c:pt idx="486">
                  <c:v>43080</c:v>
                </c:pt>
              </c:numCache>
            </c:numRef>
          </c:cat>
          <c:val>
            <c:numRef>
              <c:f>グラフ!$N$42:$N$703</c:f>
              <c:numCache>
                <c:formatCode>General</c:formatCode>
                <c:ptCount val="662"/>
                <c:pt idx="0">
                  <c:v>1.7007018198561117</c:v>
                </c:pt>
                <c:pt idx="1">
                  <c:v>1.6959042353963685</c:v>
                </c:pt>
                <c:pt idx="2">
                  <c:v>1.6900117298284436</c:v>
                </c:pt>
                <c:pt idx="3">
                  <c:v>1.6850626724954356</c:v>
                </c:pt>
                <c:pt idx="4">
                  <c:v>1.6789923200418453</c:v>
                </c:pt>
                <c:pt idx="5">
                  <c:v>1.6735768876045505</c:v>
                </c:pt>
                <c:pt idx="6">
                  <c:v>1.6698941298153669</c:v>
                </c:pt>
                <c:pt idx="7">
                  <c:v>1.6694680688541133</c:v>
                </c:pt>
                <c:pt idx="8">
                  <c:v>1.6702137419645322</c:v>
                </c:pt>
                <c:pt idx="9">
                  <c:v>1.6717287621194283</c:v>
                </c:pt>
                <c:pt idx="10">
                  <c:v>1.6721491225311029</c:v>
                </c:pt>
                <c:pt idx="11">
                  <c:v>1.672279191591217</c:v>
                </c:pt>
                <c:pt idx="12">
                  <c:v>1.6732244686604949</c:v>
                </c:pt>
                <c:pt idx="13">
                  <c:v>1.6723814618049975</c:v>
                </c:pt>
                <c:pt idx="14">
                  <c:v>1.6714478262627717</c:v>
                </c:pt>
                <c:pt idx="15">
                  <c:v>1.6695119876982265</c:v>
                </c:pt>
                <c:pt idx="16">
                  <c:v>1.665906397559652</c:v>
                </c:pt>
                <c:pt idx="17">
                  <c:v>1.663610484049497</c:v>
                </c:pt>
                <c:pt idx="18">
                  <c:v>1.6632948462920865</c:v>
                </c:pt>
                <c:pt idx="19">
                  <c:v>1.6632401792841101</c:v>
                </c:pt>
                <c:pt idx="20">
                  <c:v>1.6624566842273263</c:v>
                </c:pt>
                <c:pt idx="21">
                  <c:v>1.6631990567778678</c:v>
                </c:pt>
                <c:pt idx="22">
                  <c:v>1.6643436843838624</c:v>
                </c:pt>
                <c:pt idx="23">
                  <c:v>1.6651152919501193</c:v>
                </c:pt>
                <c:pt idx="24">
                  <c:v>1.6656096592594107</c:v>
                </c:pt>
                <c:pt idx="25">
                  <c:v>1.6667601743045823</c:v>
                </c:pt>
                <c:pt idx="26">
                  <c:v>1.6669321057336142</c:v>
                </c:pt>
                <c:pt idx="27">
                  <c:v>1.668437469463274</c:v>
                </c:pt>
                <c:pt idx="28">
                  <c:v>1.6713507606026925</c:v>
                </c:pt>
                <c:pt idx="29">
                  <c:v>1.6731344614313139</c:v>
                </c:pt>
                <c:pt idx="30">
                  <c:v>1.6741215976935648</c:v>
                </c:pt>
                <c:pt idx="31">
                  <c:v>1.6756251495716252</c:v>
                </c:pt>
                <c:pt idx="32">
                  <c:v>1.6777411802708517</c:v>
                </c:pt>
                <c:pt idx="33">
                  <c:v>1.6790319718329461</c:v>
                </c:pt>
                <c:pt idx="34">
                  <c:v>1.679461785191644</c:v>
                </c:pt>
                <c:pt idx="35">
                  <c:v>1.6791614931921199</c:v>
                </c:pt>
                <c:pt idx="36">
                  <c:v>1.6787817784356964</c:v>
                </c:pt>
                <c:pt idx="37">
                  <c:v>1.6781990109768661</c:v>
                </c:pt>
                <c:pt idx="38">
                  <c:v>1.6767572871892054</c:v>
                </c:pt>
                <c:pt idx="39">
                  <c:v>1.6759146723624267</c:v>
                </c:pt>
                <c:pt idx="40">
                  <c:v>1.6758072933145292</c:v>
                </c:pt>
                <c:pt idx="41">
                  <c:v>1.6757659541705494</c:v>
                </c:pt>
                <c:pt idx="42">
                  <c:v>1.6757249505137652</c:v>
                </c:pt>
                <c:pt idx="43">
                  <c:v>1.6757782782174966</c:v>
                </c:pt>
                <c:pt idx="44">
                  <c:v>1.6758050641378086</c:v>
                </c:pt>
                <c:pt idx="45">
                  <c:v>1.6757917950126495</c:v>
                </c:pt>
                <c:pt idx="46">
                  <c:v>1.6754383805950419</c:v>
                </c:pt>
                <c:pt idx="47">
                  <c:v>1.6742110863859541</c:v>
                </c:pt>
                <c:pt idx="48">
                  <c:v>1.6722201287318799</c:v>
                </c:pt>
                <c:pt idx="49">
                  <c:v>1.6710529813172368</c:v>
                </c:pt>
                <c:pt idx="50">
                  <c:v>1.6694398972096083</c:v>
                </c:pt>
                <c:pt idx="51">
                  <c:v>1.6683086022415263</c:v>
                </c:pt>
                <c:pt idx="52">
                  <c:v>1.667030881162564</c:v>
                </c:pt>
                <c:pt idx="53">
                  <c:v>1.664948822834345</c:v>
                </c:pt>
                <c:pt idx="54">
                  <c:v>1.6635526410488612</c:v>
                </c:pt>
                <c:pt idx="55">
                  <c:v>1.6615190021236377</c:v>
                </c:pt>
                <c:pt idx="56">
                  <c:v>1.65865903752875</c:v>
                </c:pt>
                <c:pt idx="57">
                  <c:v>1.6567138081770643</c:v>
                </c:pt>
                <c:pt idx="58">
                  <c:v>1.6553427791793329</c:v>
                </c:pt>
                <c:pt idx="59">
                  <c:v>1.6539087135346744</c:v>
                </c:pt>
                <c:pt idx="60">
                  <c:v>1.650751386845128</c:v>
                </c:pt>
                <c:pt idx="61">
                  <c:v>1.6498017019728637</c:v>
                </c:pt>
                <c:pt idx="62">
                  <c:v>1.6489779761090653</c:v>
                </c:pt>
                <c:pt idx="63">
                  <c:v>1.6483842752401574</c:v>
                </c:pt>
                <c:pt idx="64">
                  <c:v>1.648427222065634</c:v>
                </c:pt>
                <c:pt idx="65">
                  <c:v>1.6488202666644265</c:v>
                </c:pt>
                <c:pt idx="66">
                  <c:v>1.6487540760429598</c:v>
                </c:pt>
                <c:pt idx="67">
                  <c:v>1.6470621755831312</c:v>
                </c:pt>
                <c:pt idx="68">
                  <c:v>1.6433446768472311</c:v>
                </c:pt>
                <c:pt idx="69">
                  <c:v>1.6400388628816001</c:v>
                </c:pt>
                <c:pt idx="70">
                  <c:v>1.6385104765773297</c:v>
                </c:pt>
                <c:pt idx="71">
                  <c:v>1.6372460136551763</c:v>
                </c:pt>
                <c:pt idx="72">
                  <c:v>1.634260029118648</c:v>
                </c:pt>
                <c:pt idx="73">
                  <c:v>1.629016898975115</c:v>
                </c:pt>
                <c:pt idx="74">
                  <c:v>1.6261162637941233</c:v>
                </c:pt>
                <c:pt idx="75">
                  <c:v>1.6240874787492443</c:v>
                </c:pt>
                <c:pt idx="76">
                  <c:v>1.6242497638261633</c:v>
                </c:pt>
                <c:pt idx="77">
                  <c:v>1.6254898117420653</c:v>
                </c:pt>
                <c:pt idx="78">
                  <c:v>1.6264434378530681</c:v>
                </c:pt>
                <c:pt idx="79">
                  <c:v>1.6311114800542286</c:v>
                </c:pt>
                <c:pt idx="80">
                  <c:v>1.6325556512663537</c:v>
                </c:pt>
                <c:pt idx="81">
                  <c:v>1.6323585578605511</c:v>
                </c:pt>
                <c:pt idx="82">
                  <c:v>1.6311217195252432</c:v>
                </c:pt>
                <c:pt idx="83">
                  <c:v>1.6371592740639618</c:v>
                </c:pt>
                <c:pt idx="84">
                  <c:v>1.643822026425936</c:v>
                </c:pt>
                <c:pt idx="85">
                  <c:v>1.648009815379972</c:v>
                </c:pt>
                <c:pt idx="86">
                  <c:v>1.6518566085849138</c:v>
                </c:pt>
                <c:pt idx="87">
                  <c:v>1.6563815960774384</c:v>
                </c:pt>
                <c:pt idx="88">
                  <c:v>1.6588798206813287</c:v>
                </c:pt>
                <c:pt idx="89">
                  <c:v>1.6616788584586428</c:v>
                </c:pt>
                <c:pt idx="90">
                  <c:v>1.6655256135805085</c:v>
                </c:pt>
                <c:pt idx="91">
                  <c:v>1.6678303144486877</c:v>
                </c:pt>
                <c:pt idx="92">
                  <c:v>1.669833404838867</c:v>
                </c:pt>
                <c:pt idx="93">
                  <c:v>1.6719710346511021</c:v>
                </c:pt>
                <c:pt idx="94">
                  <c:v>1.6733484247107084</c:v>
                </c:pt>
                <c:pt idx="95">
                  <c:v>1.6740493997791641</c:v>
                </c:pt>
                <c:pt idx="96">
                  <c:v>1.6743604854543224</c:v>
                </c:pt>
                <c:pt idx="97">
                  <c:v>1.6748941923060909</c:v>
                </c:pt>
                <c:pt idx="98">
                  <c:v>1.6748939103612623</c:v>
                </c:pt>
                <c:pt idx="99">
                  <c:v>1.674905076622544</c:v>
                </c:pt>
                <c:pt idx="100">
                  <c:v>1.6749728349830826</c:v>
                </c:pt>
                <c:pt idx="101">
                  <c:v>1.675246965468097</c:v>
                </c:pt>
                <c:pt idx="102">
                  <c:v>1.6751742906919662</c:v>
                </c:pt>
                <c:pt idx="103">
                  <c:v>1.6742567518921359</c:v>
                </c:pt>
                <c:pt idx="104">
                  <c:v>1.6736175725453291</c:v>
                </c:pt>
                <c:pt idx="105">
                  <c:v>1.6731944806487338</c:v>
                </c:pt>
                <c:pt idx="106">
                  <c:v>1.6721751566568857</c:v>
                </c:pt>
                <c:pt idx="107">
                  <c:v>1.6707426453813785</c:v>
                </c:pt>
                <c:pt idx="108">
                  <c:v>1.6696964427160803</c:v>
                </c:pt>
                <c:pt idx="109">
                  <c:v>1.6692869488285276</c:v>
                </c:pt>
                <c:pt idx="110">
                  <c:v>1.6692199463516337</c:v>
                </c:pt>
                <c:pt idx="111">
                  <c:v>1.6691183739959234</c:v>
                </c:pt>
                <c:pt idx="112">
                  <c:v>1.6693562651882339</c:v>
                </c:pt>
                <c:pt idx="113">
                  <c:v>1.6694506870797534</c:v>
                </c:pt>
                <c:pt idx="114">
                  <c:v>1.6696074423150551</c:v>
                </c:pt>
                <c:pt idx="115">
                  <c:v>1.6696537649656487</c:v>
                </c:pt>
                <c:pt idx="116">
                  <c:v>1.6696210095603659</c:v>
                </c:pt>
                <c:pt idx="117">
                  <c:v>1.6695956818737405</c:v>
                </c:pt>
                <c:pt idx="118">
                  <c:v>1.6694867543057843</c:v>
                </c:pt>
                <c:pt idx="119">
                  <c:v>1.6694931516402354</c:v>
                </c:pt>
                <c:pt idx="120">
                  <c:v>1.6694831526292817</c:v>
                </c:pt>
                <c:pt idx="121">
                  <c:v>1.6691345958958803</c:v>
                </c:pt>
                <c:pt idx="122">
                  <c:v>1.6688292045328199</c:v>
                </c:pt>
                <c:pt idx="123">
                  <c:v>1.6688128177711941</c:v>
                </c:pt>
                <c:pt idx="124">
                  <c:v>1.668818375931137</c:v>
                </c:pt>
                <c:pt idx="125">
                  <c:v>1.6692653174573115</c:v>
                </c:pt>
                <c:pt idx="126">
                  <c:v>1.6693709330488617</c:v>
                </c:pt>
                <c:pt idx="127">
                  <c:v>1.669681836908455</c:v>
                </c:pt>
                <c:pt idx="128">
                  <c:v>1.6701355812454859</c:v>
                </c:pt>
                <c:pt idx="129">
                  <c:v>1.6712462652218072</c:v>
                </c:pt>
                <c:pt idx="130">
                  <c:v>1.6714565766823728</c:v>
                </c:pt>
                <c:pt idx="131">
                  <c:v>1.6726078349408402</c:v>
                </c:pt>
                <c:pt idx="132">
                  <c:v>1.6746238432972698</c:v>
                </c:pt>
                <c:pt idx="133">
                  <c:v>1.675686691051111</c:v>
                </c:pt>
                <c:pt idx="134">
                  <c:v>1.6781032152624114</c:v>
                </c:pt>
                <c:pt idx="135">
                  <c:v>1.6806926638579878</c:v>
                </c:pt>
                <c:pt idx="136">
                  <c:v>1.6832891094348863</c:v>
                </c:pt>
                <c:pt idx="137">
                  <c:v>1.6852239884777576</c:v>
                </c:pt>
                <c:pt idx="138">
                  <c:v>1.6877004955059749</c:v>
                </c:pt>
                <c:pt idx="139">
                  <c:v>1.6898133767614258</c:v>
                </c:pt>
                <c:pt idx="140">
                  <c:v>1.6929454601320821</c:v>
                </c:pt>
                <c:pt idx="141">
                  <c:v>1.6953501442512131</c:v>
                </c:pt>
                <c:pt idx="142">
                  <c:v>1.6975455892628097</c:v>
                </c:pt>
                <c:pt idx="143">
                  <c:v>1.7003595824535314</c:v>
                </c:pt>
                <c:pt idx="144">
                  <c:v>1.7020663729805008</c:v>
                </c:pt>
                <c:pt idx="145">
                  <c:v>1.6990698930954422</c:v>
                </c:pt>
                <c:pt idx="146">
                  <c:v>1.6944557836782286</c:v>
                </c:pt>
                <c:pt idx="147">
                  <c:v>1.6933263969405594</c:v>
                </c:pt>
                <c:pt idx="148">
                  <c:v>1.6933603079286854</c:v>
                </c:pt>
                <c:pt idx="149">
                  <c:v>1.6932068724147464</c:v>
                </c:pt>
                <c:pt idx="150">
                  <c:v>1.6930117407138747</c:v>
                </c:pt>
                <c:pt idx="151">
                  <c:v>1.6922253664810916</c:v>
                </c:pt>
                <c:pt idx="152">
                  <c:v>1.6906632775372943</c:v>
                </c:pt>
                <c:pt idx="153">
                  <c:v>1.6884449033006588</c:v>
                </c:pt>
                <c:pt idx="154">
                  <c:v>1.6841827121217785</c:v>
                </c:pt>
                <c:pt idx="155">
                  <c:v>1.6812429871289079</c:v>
                </c:pt>
                <c:pt idx="156">
                  <c:v>1.6794221033866699</c:v>
                </c:pt>
                <c:pt idx="157">
                  <c:v>1.6771133112845615</c:v>
                </c:pt>
                <c:pt idx="158">
                  <c:v>1.6739901966943176</c:v>
                </c:pt>
                <c:pt idx="159">
                  <c:v>1.6704155665722813</c:v>
                </c:pt>
                <c:pt idx="160">
                  <c:v>1.6687060552598973</c:v>
                </c:pt>
                <c:pt idx="161">
                  <c:v>1.6668528336987845</c:v>
                </c:pt>
                <c:pt idx="162">
                  <c:v>1.6642833892753035</c:v>
                </c:pt>
                <c:pt idx="163">
                  <c:v>1.6622305836275586</c:v>
                </c:pt>
                <c:pt idx="164">
                  <c:v>1.6604414184796403</c:v>
                </c:pt>
                <c:pt idx="165">
                  <c:v>1.6584492857096544</c:v>
                </c:pt>
                <c:pt idx="166">
                  <c:v>1.6592497735672764</c:v>
                </c:pt>
                <c:pt idx="167">
                  <c:v>1.6613706853920187</c:v>
                </c:pt>
                <c:pt idx="168">
                  <c:v>1.664534433082552</c:v>
                </c:pt>
                <c:pt idx="169">
                  <c:v>1.6677016889641836</c:v>
                </c:pt>
                <c:pt idx="170">
                  <c:v>1.67194875542963</c:v>
                </c:pt>
                <c:pt idx="171">
                  <c:v>1.6784695698820482</c:v>
                </c:pt>
                <c:pt idx="172">
                  <c:v>1.6860935325827622</c:v>
                </c:pt>
                <c:pt idx="173">
                  <c:v>1.6952438467057405</c:v>
                </c:pt>
                <c:pt idx="174">
                  <c:v>1.7002375744272396</c:v>
                </c:pt>
                <c:pt idx="175">
                  <c:v>1.7052582369021125</c:v>
                </c:pt>
                <c:pt idx="176">
                  <c:v>1.711292042834462</c:v>
                </c:pt>
                <c:pt idx="177">
                  <c:v>1.7148362348880162</c:v>
                </c:pt>
                <c:pt idx="178">
                  <c:v>1.7175360578053291</c:v>
                </c:pt>
                <c:pt idx="179">
                  <c:v>1.7200817915970257</c:v>
                </c:pt>
                <c:pt idx="180">
                  <c:v>1.7252216428875258</c:v>
                </c:pt>
                <c:pt idx="181">
                  <c:v>1.730758423270562</c:v>
                </c:pt>
                <c:pt idx="182">
                  <c:v>1.7372749009895938</c:v>
                </c:pt>
                <c:pt idx="183">
                  <c:v>1.7413684925709847</c:v>
                </c:pt>
                <c:pt idx="184">
                  <c:v>1.7460169195325621</c:v>
                </c:pt>
                <c:pt idx="185">
                  <c:v>1.7512713959265072</c:v>
                </c:pt>
                <c:pt idx="186">
                  <c:v>1.751734021440883</c:v>
                </c:pt>
                <c:pt idx="187">
                  <c:v>1.7556346293379672</c:v>
                </c:pt>
                <c:pt idx="188">
                  <c:v>1.756435610406164</c:v>
                </c:pt>
                <c:pt idx="189">
                  <c:v>1.7577163342896693</c:v>
                </c:pt>
                <c:pt idx="190">
                  <c:v>1.7586583234581346</c:v>
                </c:pt>
                <c:pt idx="191">
                  <c:v>1.7594691755594998</c:v>
                </c:pt>
                <c:pt idx="192">
                  <c:v>1.7585294849797173</c:v>
                </c:pt>
                <c:pt idx="193">
                  <c:v>1.7782833965665001</c:v>
                </c:pt>
                <c:pt idx="194">
                  <c:v>1.7979169714397989</c:v>
                </c:pt>
                <c:pt idx="195">
                  <c:v>1.8152421249400477</c:v>
                </c:pt>
                <c:pt idx="196">
                  <c:v>1.8303406221383751</c:v>
                </c:pt>
                <c:pt idx="197">
                  <c:v>1.8432233067125146</c:v>
                </c:pt>
                <c:pt idx="198">
                  <c:v>1.8574330308612019</c:v>
                </c:pt>
                <c:pt idx="199">
                  <c:v>1.868535886550682</c:v>
                </c:pt>
                <c:pt idx="200">
                  <c:v>1.8832426033042</c:v>
                </c:pt>
                <c:pt idx="201">
                  <c:v>1.8933284755656761</c:v>
                </c:pt>
                <c:pt idx="202">
                  <c:v>1.902066790156304</c:v>
                </c:pt>
                <c:pt idx="203">
                  <c:v>1.912734690216124</c:v>
                </c:pt>
                <c:pt idx="204">
                  <c:v>1.9240684846707461</c:v>
                </c:pt>
                <c:pt idx="205">
                  <c:v>1.9336838793092039</c:v>
                </c:pt>
                <c:pt idx="206">
                  <c:v>1.9416781519492921</c:v>
                </c:pt>
                <c:pt idx="207">
                  <c:v>1.9498513956098282</c:v>
                </c:pt>
                <c:pt idx="208">
                  <c:v>1.9571131830595121</c:v>
                </c:pt>
                <c:pt idx="209">
                  <c:v>1.9636548055959779</c:v>
                </c:pt>
                <c:pt idx="210">
                  <c:v>1.9668922249887359</c:v>
                </c:pt>
                <c:pt idx="211">
                  <c:v>1.968937757996458</c:v>
                </c:pt>
                <c:pt idx="212">
                  <c:v>1.9716446778563139</c:v>
                </c:pt>
                <c:pt idx="213">
                  <c:v>1.973721745196678</c:v>
                </c:pt>
                <c:pt idx="214">
                  <c:v>1.9758249221175119</c:v>
                </c:pt>
                <c:pt idx="215">
                  <c:v>1.978322481020812</c:v>
                </c:pt>
                <c:pt idx="216">
                  <c:v>1.980231777527198</c:v>
                </c:pt>
                <c:pt idx="217">
                  <c:v>1.981900181781248</c:v>
                </c:pt>
                <c:pt idx="218">
                  <c:v>1.9834107025062102</c:v>
                </c:pt>
                <c:pt idx="219">
                  <c:v>1.9851652685007801</c:v>
                </c:pt>
                <c:pt idx="220">
                  <c:v>1.9865645695068379</c:v>
                </c:pt>
                <c:pt idx="221">
                  <c:v>1.9869567255418361</c:v>
                </c:pt>
                <c:pt idx="222">
                  <c:v>1.9874057031287919</c:v>
                </c:pt>
                <c:pt idx="223">
                  <c:v>1.987315027060748</c:v>
                </c:pt>
                <c:pt idx="224">
                  <c:v>1.9867737633203599</c:v>
                </c:pt>
                <c:pt idx="225">
                  <c:v>1.9858396839959318</c:v>
                </c:pt>
                <c:pt idx="226">
                  <c:v>1.9846743520232042</c:v>
                </c:pt>
                <c:pt idx="227">
                  <c:v>1.982223656401068</c:v>
                </c:pt>
                <c:pt idx="228">
                  <c:v>1.9797096681725199</c:v>
                </c:pt>
                <c:pt idx="229">
                  <c:v>1.9768793240367619</c:v>
                </c:pt>
                <c:pt idx="230">
                  <c:v>1.974378171957188</c:v>
                </c:pt>
                <c:pt idx="231">
                  <c:v>1.97280030647877</c:v>
                </c:pt>
                <c:pt idx="232">
                  <c:v>1.971343523527918</c:v>
                </c:pt>
                <c:pt idx="233">
                  <c:v>1.969297588243506</c:v>
                </c:pt>
                <c:pt idx="234">
                  <c:v>1.968187396562326</c:v>
                </c:pt>
                <c:pt idx="235">
                  <c:v>1.9681753314055761</c:v>
                </c:pt>
                <c:pt idx="236">
                  <c:v>1.9685359785927841</c:v>
                </c:pt>
                <c:pt idx="237">
                  <c:v>1.968091826911174</c:v>
                </c:pt>
                <c:pt idx="238">
                  <c:v>1.967169642901496</c:v>
                </c:pt>
                <c:pt idx="239">
                  <c:v>1.9668609830296202</c:v>
                </c:pt>
                <c:pt idx="240">
                  <c:v>1.967386343039474</c:v>
                </c:pt>
                <c:pt idx="241">
                  <c:v>1.9681902607450958</c:v>
                </c:pt>
                <c:pt idx="242">
                  <c:v>1.9687233854777682</c:v>
                </c:pt>
                <c:pt idx="243">
                  <c:v>1.9694017276785161</c:v>
                </c:pt>
                <c:pt idx="244">
                  <c:v>1.969963285297454</c:v>
                </c:pt>
                <c:pt idx="245">
                  <c:v>1.9705933205132862</c:v>
                </c:pt>
                <c:pt idx="246">
                  <c:v>1.9714546175246821</c:v>
                </c:pt>
                <c:pt idx="247">
                  <c:v>1.9722768684252101</c:v>
                </c:pt>
                <c:pt idx="248">
                  <c:v>1.9724540517360518</c:v>
                </c:pt>
                <c:pt idx="249">
                  <c:v>1.9734520215467799</c:v>
                </c:pt>
                <c:pt idx="250">
                  <c:v>1.9737566142721241</c:v>
                </c:pt>
                <c:pt idx="251">
                  <c:v>1.973738884671248</c:v>
                </c:pt>
                <c:pt idx="252">
                  <c:v>1.973732322172534</c:v>
                </c:pt>
                <c:pt idx="253">
                  <c:v>1.9736765871231159</c:v>
                </c:pt>
                <c:pt idx="254">
                  <c:v>1.9736056175329</c:v>
                </c:pt>
                <c:pt idx="255">
                  <c:v>1.973542562663076</c:v>
                </c:pt>
                <c:pt idx="256">
                  <c:v>1.9734215207200199</c:v>
                </c:pt>
                <c:pt idx="257">
                  <c:v>1.9730111774511461</c:v>
                </c:pt>
                <c:pt idx="258">
                  <c:v>1.972928704592922</c:v>
                </c:pt>
                <c:pt idx="259">
                  <c:v>1.972675305180156</c:v>
                </c:pt>
                <c:pt idx="260">
                  <c:v>1.9722651483928801</c:v>
                </c:pt>
                <c:pt idx="261">
                  <c:v>1.9722003087945719</c:v>
                </c:pt>
                <c:pt idx="262">
                  <c:v>1.9719469252230422</c:v>
                </c:pt>
                <c:pt idx="263">
                  <c:v>1.97195487468832</c:v>
                </c:pt>
                <c:pt idx="264">
                  <c:v>1.9719452421081982</c:v>
                </c:pt>
                <c:pt idx="265">
                  <c:v>1.971957604067168</c:v>
                </c:pt>
                <c:pt idx="266">
                  <c:v>1.971957439754946</c:v>
                </c:pt>
                <c:pt idx="267">
                  <c:v>1.9708570991815459</c:v>
                </c:pt>
                <c:pt idx="268">
                  <c:v>1.9643673678881339</c:v>
                </c:pt>
                <c:pt idx="269">
                  <c:v>1.9566784939595441</c:v>
                </c:pt>
                <c:pt idx="270">
                  <c:v>1.9488825112838701</c:v>
                </c:pt>
                <c:pt idx="271">
                  <c:v>1.9414920418710122</c:v>
                </c:pt>
                <c:pt idx="272">
                  <c:v>1.93459253908624</c:v>
                </c:pt>
                <c:pt idx="273">
                  <c:v>1.9256505502475723</c:v>
                </c:pt>
                <c:pt idx="274">
                  <c:v>1.9178810691745238</c:v>
                </c:pt>
                <c:pt idx="275">
                  <c:v>1.9068331957213227</c:v>
                </c:pt>
                <c:pt idx="276">
                  <c:v>1.8988234126134111</c:v>
                </c:pt>
                <c:pt idx="277">
                  <c:v>1.8917559506243256</c:v>
                </c:pt>
                <c:pt idx="278">
                  <c:v>1.8817366131604805</c:v>
                </c:pt>
                <c:pt idx="279">
                  <c:v>1.8704135910675161</c:v>
                </c:pt>
                <c:pt idx="280">
                  <c:v>1.8591460021984576</c:v>
                </c:pt>
                <c:pt idx="281">
                  <c:v>1.8494073996354305</c:v>
                </c:pt>
                <c:pt idx="282">
                  <c:v>1.8382023881910707</c:v>
                </c:pt>
                <c:pt idx="283">
                  <c:v>1.8269330897162253</c:v>
                </c:pt>
                <c:pt idx="284">
                  <c:v>1.8159949916180438</c:v>
                </c:pt>
                <c:pt idx="285">
                  <c:v>1.8104266978685628</c:v>
                </c:pt>
                <c:pt idx="286">
                  <c:v>1.8072640504064339</c:v>
                </c:pt>
                <c:pt idx="287">
                  <c:v>1.8028771423470751</c:v>
                </c:pt>
                <c:pt idx="288">
                  <c:v>1.7996006384194951</c:v>
                </c:pt>
                <c:pt idx="289">
                  <c:v>1.7963570567903318</c:v>
                </c:pt>
                <c:pt idx="290">
                  <c:v>1.7917908037878725</c:v>
                </c:pt>
                <c:pt idx="291">
                  <c:v>1.789667809429955</c:v>
                </c:pt>
                <c:pt idx="292">
                  <c:v>1.7890757790528651</c:v>
                </c:pt>
                <c:pt idx="293">
                  <c:v>1.7883338860566922</c:v>
                </c:pt>
                <c:pt idx="294">
                  <c:v>1.787617557886503</c:v>
                </c:pt>
                <c:pt idx="295">
                  <c:v>1.7867929855763953</c:v>
                </c:pt>
                <c:pt idx="296">
                  <c:v>1.7865587854972742</c:v>
                </c:pt>
                <c:pt idx="297">
                  <c:v>1.7883290560627012</c:v>
                </c:pt>
                <c:pt idx="298">
                  <c:v>1.7921144686515023</c:v>
                </c:pt>
                <c:pt idx="299">
                  <c:v>1.7953572787914049</c:v>
                </c:pt>
                <c:pt idx="300">
                  <c:v>1.8007059988098382</c:v>
                </c:pt>
                <c:pt idx="301">
                  <c:v>1.8055401128726554</c:v>
                </c:pt>
                <c:pt idx="302">
                  <c:v>1.8117322088637979</c:v>
                </c:pt>
                <c:pt idx="303">
                  <c:v>1.8191247768669163</c:v>
                </c:pt>
                <c:pt idx="304">
                  <c:v>1.8279106175458641</c:v>
                </c:pt>
                <c:pt idx="305">
                  <c:v>1.8370476431309055</c:v>
                </c:pt>
                <c:pt idx="306">
                  <c:v>1.8448400762345116</c:v>
                </c:pt>
                <c:pt idx="307">
                  <c:v>1.8511015217127462</c:v>
                </c:pt>
                <c:pt idx="308">
                  <c:v>1.858140271822621</c:v>
                </c:pt>
                <c:pt idx="309">
                  <c:v>1.8643344407754348</c:v>
                </c:pt>
                <c:pt idx="310">
                  <c:v>1.8718732828638815</c:v>
                </c:pt>
                <c:pt idx="311">
                  <c:v>1.8760054711596696</c:v>
                </c:pt>
                <c:pt idx="312">
                  <c:v>1.8761777235748558</c:v>
                </c:pt>
                <c:pt idx="313">
                  <c:v>1.8774690195399373</c:v>
                </c:pt>
                <c:pt idx="314">
                  <c:v>1.8865574959995635</c:v>
                </c:pt>
                <c:pt idx="315">
                  <c:v>1.8961641251568233</c:v>
                </c:pt>
                <c:pt idx="316">
                  <c:v>1.9053212936475017</c:v>
                </c:pt>
                <c:pt idx="317">
                  <c:v>1.914044261880306</c:v>
                </c:pt>
                <c:pt idx="318">
                  <c:v>1.9206569933440201</c:v>
                </c:pt>
                <c:pt idx="319">
                  <c:v>1.9256529190011675</c:v>
                </c:pt>
                <c:pt idx="320">
                  <c:v>1.9292267474944944</c:v>
                </c:pt>
                <c:pt idx="321">
                  <c:v>1.9327075491482875</c:v>
                </c:pt>
                <c:pt idx="322">
                  <c:v>1.9354939943848921</c:v>
                </c:pt>
                <c:pt idx="323">
                  <c:v>1.9383753174342879</c:v>
                </c:pt>
                <c:pt idx="324">
                  <c:v>1.9402593455847752</c:v>
                </c:pt>
                <c:pt idx="325">
                  <c:v>1.9420313259178419</c:v>
                </c:pt>
                <c:pt idx="326">
                  <c:v>1.9441886735475589</c:v>
                </c:pt>
                <c:pt idx="327">
                  <c:v>1.9457962628232217</c:v>
                </c:pt>
                <c:pt idx="328">
                  <c:v>1.947394060500842</c:v>
                </c:pt>
                <c:pt idx="329">
                  <c:v>1.9489218540051576</c:v>
                </c:pt>
                <c:pt idx="330">
                  <c:v>1.9503931594252713</c:v>
                </c:pt>
                <c:pt idx="331">
                  <c:v>1.9518412819714328</c:v>
                </c:pt>
                <c:pt idx="332">
                  <c:v>1.9538356140784678</c:v>
                </c:pt>
                <c:pt idx="333">
                  <c:v>1.9549125853730014</c:v>
                </c:pt>
                <c:pt idx="334">
                  <c:v>1.9560706212652006</c:v>
                </c:pt>
                <c:pt idx="335">
                  <c:v>1.9565684797943255</c:v>
                </c:pt>
                <c:pt idx="336">
                  <c:v>1.9575591572341942</c:v>
                </c:pt>
                <c:pt idx="337">
                  <c:v>1.9582248024966953</c:v>
                </c:pt>
                <c:pt idx="338">
                  <c:v>1.9595099905903155</c:v>
                </c:pt>
                <c:pt idx="339">
                  <c:v>1.9619589057775435</c:v>
                </c:pt>
                <c:pt idx="340">
                  <c:v>1.9660769538143743</c:v>
                </c:pt>
                <c:pt idx="341">
                  <c:v>1.9703975152854409</c:v>
                </c:pt>
                <c:pt idx="342">
                  <c:v>1.9740282894918728</c:v>
                </c:pt>
                <c:pt idx="343">
                  <c:v>1.9777467025577791</c:v>
                </c:pt>
                <c:pt idx="344">
                  <c:v>1.9797428642167891</c:v>
                </c:pt>
                <c:pt idx="345">
                  <c:v>1.9824756390218987</c:v>
                </c:pt>
                <c:pt idx="346">
                  <c:v>1.9847058660229688</c:v>
                </c:pt>
                <c:pt idx="347">
                  <c:v>1.9878563455626974</c:v>
                </c:pt>
                <c:pt idx="348">
                  <c:v>1.9915375942867442</c:v>
                </c:pt>
                <c:pt idx="349">
                  <c:v>1.9949702074696714</c:v>
                </c:pt>
                <c:pt idx="350">
                  <c:v>1.998463749021447</c:v>
                </c:pt>
                <c:pt idx="351">
                  <c:v>2.0008871799342809</c:v>
                </c:pt>
                <c:pt idx="352">
                  <c:v>2.0025200832493493</c:v>
                </c:pt>
                <c:pt idx="353">
                  <c:v>2.0031372743366851</c:v>
                </c:pt>
                <c:pt idx="354">
                  <c:v>2.0021213905636195</c:v>
                </c:pt>
                <c:pt idx="355">
                  <c:v>2.0019543009770158</c:v>
                </c:pt>
                <c:pt idx="356">
                  <c:v>1.9994380062395163</c:v>
                </c:pt>
                <c:pt idx="357">
                  <c:v>1.9970343325058675</c:v>
                </c:pt>
                <c:pt idx="358">
                  <c:v>1.9965593436509774</c:v>
                </c:pt>
                <c:pt idx="359">
                  <c:v>1.9950937823622454</c:v>
                </c:pt>
                <c:pt idx="360">
                  <c:v>1.9952848181345109</c:v>
                </c:pt>
                <c:pt idx="361">
                  <c:v>1.9967197458122314</c:v>
                </c:pt>
                <c:pt idx="362">
                  <c:v>2.0005751587098706</c:v>
                </c:pt>
                <c:pt idx="363">
                  <c:v>2.0028184939134874</c:v>
                </c:pt>
                <c:pt idx="364">
                  <c:v>2.0052204505545248</c:v>
                </c:pt>
                <c:pt idx="365">
                  <c:v>2.0040983169362523</c:v>
                </c:pt>
                <c:pt idx="366">
                  <c:v>2.0031592061098729</c:v>
                </c:pt>
                <c:pt idx="367">
                  <c:v>2.0026121569771691</c:v>
                </c:pt>
                <c:pt idx="368">
                  <c:v>2.0016223574116894</c:v>
                </c:pt>
                <c:pt idx="369">
                  <c:v>2.0014829780123682</c:v>
                </c:pt>
                <c:pt idx="370">
                  <c:v>1.9998684687105543</c:v>
                </c:pt>
                <c:pt idx="371">
                  <c:v>1.9984375372637202</c:v>
                </c:pt>
                <c:pt idx="372">
                  <c:v>1.9990975276592811</c:v>
                </c:pt>
                <c:pt idx="373">
                  <c:v>2.0000829554861546</c:v>
                </c:pt>
                <c:pt idx="374">
                  <c:v>1.9997186548107893</c:v>
                </c:pt>
                <c:pt idx="375">
                  <c:v>1.9994955549176145</c:v>
                </c:pt>
                <c:pt idx="376">
                  <c:v>1.9993578173171838</c:v>
                </c:pt>
                <c:pt idx="377">
                  <c:v>1.9993407147945408</c:v>
                </c:pt>
                <c:pt idx="378">
                  <c:v>1.9993409646856939</c:v>
                </c:pt>
                <c:pt idx="379">
                  <c:v>1.9993126544877506</c:v>
                </c:pt>
                <c:pt idx="380">
                  <c:v>1.9992677764119537</c:v>
                </c:pt>
                <c:pt idx="381">
                  <c:v>1.9995393113080209</c:v>
                </c:pt>
                <c:pt idx="382">
                  <c:v>2.0000606590984664</c:v>
                </c:pt>
                <c:pt idx="383">
                  <c:v>2.0005164223075109</c:v>
                </c:pt>
                <c:pt idx="384">
                  <c:v>2.0013358858547505</c:v>
                </c:pt>
                <c:pt idx="385">
                  <c:v>2.0014860730329334</c:v>
                </c:pt>
                <c:pt idx="386">
                  <c:v>2.0017893147157406</c:v>
                </c:pt>
                <c:pt idx="387">
                  <c:v>1.9993905883120067</c:v>
                </c:pt>
                <c:pt idx="388">
                  <c:v>1.997644361873899</c:v>
                </c:pt>
                <c:pt idx="389">
                  <c:v>1.9967777313789756</c:v>
                </c:pt>
                <c:pt idx="390">
                  <c:v>1.9954993850440763</c:v>
                </c:pt>
                <c:pt idx="391">
                  <c:v>1.9940788557422537</c:v>
                </c:pt>
                <c:pt idx="392">
                  <c:v>1.9927302509675031</c:v>
                </c:pt>
                <c:pt idx="393">
                  <c:v>1.9923008596432881</c:v>
                </c:pt>
                <c:pt idx="394">
                  <c:v>1.9921040926768498</c:v>
                </c:pt>
                <c:pt idx="395">
                  <c:v>1.9921733558491361</c:v>
                </c:pt>
                <c:pt idx="396">
                  <c:v>1.9923742567602822</c:v>
                </c:pt>
                <c:pt idx="397">
                  <c:v>1.9924978748478441</c:v>
                </c:pt>
                <c:pt idx="398">
                  <c:v>1.9925277404005717</c:v>
                </c:pt>
                <c:pt idx="399">
                  <c:v>1.9926207167133787</c:v>
                </c:pt>
                <c:pt idx="400">
                  <c:v>1.9930077174331511</c:v>
                </c:pt>
                <c:pt idx="401">
                  <c:v>1.9937545435815975</c:v>
                </c:pt>
                <c:pt idx="402">
                  <c:v>1.9944242740395501</c:v>
                </c:pt>
                <c:pt idx="403">
                  <c:v>1.9948883417045868</c:v>
                </c:pt>
                <c:pt idx="404">
                  <c:v>1.9949792679847624</c:v>
                </c:pt>
                <c:pt idx="405">
                  <c:v>1.9947418483329511</c:v>
                </c:pt>
                <c:pt idx="406">
                  <c:v>1.994619900392008</c:v>
                </c:pt>
                <c:pt idx="407">
                  <c:v>1.9946122322007929</c:v>
                </c:pt>
                <c:pt idx="408">
                  <c:v>1.9943955426934818</c:v>
                </c:pt>
                <c:pt idx="409">
                  <c:v>1.9942358357587737</c:v>
                </c:pt>
                <c:pt idx="410">
                  <c:v>1.9935216481965798</c:v>
                </c:pt>
                <c:pt idx="411">
                  <c:v>1.9934005178006886</c:v>
                </c:pt>
                <c:pt idx="412">
                  <c:v>1.9933602571622961</c:v>
                </c:pt>
                <c:pt idx="413">
                  <c:v>1.9935460518150654</c:v>
                </c:pt>
                <c:pt idx="414">
                  <c:v>1.9935649994748506</c:v>
                </c:pt>
                <c:pt idx="415">
                  <c:v>1.9929524440768238</c:v>
                </c:pt>
                <c:pt idx="416">
                  <c:v>1.9922583894663646</c:v>
                </c:pt>
                <c:pt idx="417">
                  <c:v>1.9919944203936915</c:v>
                </c:pt>
                <c:pt idx="418">
                  <c:v>1.9914027623262507</c:v>
                </c:pt>
                <c:pt idx="419">
                  <c:v>1.9925681478435349</c:v>
                </c:pt>
                <c:pt idx="420">
                  <c:v>1.9976832588225668</c:v>
                </c:pt>
                <c:pt idx="421">
                  <c:v>2.0024382270558112</c:v>
                </c:pt>
                <c:pt idx="422">
                  <c:v>2.0057003682943875</c:v>
                </c:pt>
                <c:pt idx="423">
                  <c:v>2.0073804531036337</c:v>
                </c:pt>
                <c:pt idx="424">
                  <c:v>2.007349931304339</c:v>
                </c:pt>
                <c:pt idx="425">
                  <c:v>2.0096585795121338</c:v>
                </c:pt>
                <c:pt idx="426">
                  <c:v>2.011727807154903</c:v>
                </c:pt>
                <c:pt idx="427">
                  <c:v>2.0150279207398847</c:v>
                </c:pt>
                <c:pt idx="428">
                  <c:v>2.0177727308917266</c:v>
                </c:pt>
                <c:pt idx="429">
                  <c:v>2.0210433903331655</c:v>
                </c:pt>
                <c:pt idx="430">
                  <c:v>2.0251805395376135</c:v>
                </c:pt>
                <c:pt idx="431">
                  <c:v>2.0294149863689355</c:v>
                </c:pt>
                <c:pt idx="432">
                  <c:v>2.0297184735942682</c:v>
                </c:pt>
                <c:pt idx="433">
                  <c:v>2.0283894674840099</c:v>
                </c:pt>
                <c:pt idx="434">
                  <c:v>2.0263708453359919</c:v>
                </c:pt>
                <c:pt idx="435">
                  <c:v>2.0226368020607199</c:v>
                </c:pt>
                <c:pt idx="436">
                  <c:v>2.01878544535789</c:v>
                </c:pt>
                <c:pt idx="437">
                  <c:v>2.0124018722073922</c:v>
                </c:pt>
                <c:pt idx="438">
                  <c:v>2.0076501125594719</c:v>
                </c:pt>
                <c:pt idx="439">
                  <c:v>2.0016422346540819</c:v>
                </c:pt>
                <c:pt idx="440">
                  <c:v>1.998168282702212</c:v>
                </c:pt>
                <c:pt idx="441">
                  <c:v>1.9964934652826201</c:v>
                </c:pt>
                <c:pt idx="442">
                  <c:v>1.994134242506578</c:v>
                </c:pt>
                <c:pt idx="443">
                  <c:v>1.9914619426789399</c:v>
                </c:pt>
                <c:pt idx="444">
                  <c:v>1.9878105094148339</c:v>
                </c:pt>
                <c:pt idx="445">
                  <c:v>1.98704759100835</c:v>
                </c:pt>
                <c:pt idx="446">
                  <c:v>1.984755787287918</c:v>
                </c:pt>
                <c:pt idx="447">
                  <c:v>1.979314965205146</c:v>
                </c:pt>
                <c:pt idx="448">
                  <c:v>1.973972455182226</c:v>
                </c:pt>
                <c:pt idx="449">
                  <c:v>1.9713943028258281</c:v>
                </c:pt>
                <c:pt idx="450">
                  <c:v>1.9683360929140841</c:v>
                </c:pt>
                <c:pt idx="451">
                  <c:v>1.96517697589247</c:v>
                </c:pt>
                <c:pt idx="452">
                  <c:v>1.962200674961746</c:v>
                </c:pt>
                <c:pt idx="453">
                  <c:v>1.958543918636966</c:v>
                </c:pt>
                <c:pt idx="454">
                  <c:v>1.9554737031787541</c:v>
                </c:pt>
                <c:pt idx="455">
                  <c:v>1.9525728923921382</c:v>
                </c:pt>
                <c:pt idx="456">
                  <c:v>1.95045766857767</c:v>
                </c:pt>
                <c:pt idx="457">
                  <c:v>1.94886786408594</c:v>
                </c:pt>
                <c:pt idx="458">
                  <c:v>1.947013431599028</c:v>
                </c:pt>
                <c:pt idx="459">
                  <c:v>1.9455582016094621</c:v>
                </c:pt>
                <c:pt idx="460">
                  <c:v>1.9433584640580954</c:v>
                </c:pt>
                <c:pt idx="461">
                  <c:v>1.9411370222350426</c:v>
                </c:pt>
                <c:pt idx="462">
                  <c:v>1.9392137771498092</c:v>
                </c:pt>
                <c:pt idx="463">
                  <c:v>1.9360630351528174</c:v>
                </c:pt>
                <c:pt idx="464">
                  <c:v>1.9319272639256486</c:v>
                </c:pt>
                <c:pt idx="465">
                  <c:v>1.9290309083539168</c:v>
                </c:pt>
                <c:pt idx="466">
                  <c:v>1.9258151910919921</c:v>
                </c:pt>
                <c:pt idx="467">
                  <c:v>1.9226908329059826</c:v>
                </c:pt>
                <c:pt idx="468">
                  <c:v>1.9197986513439389</c:v>
                </c:pt>
                <c:pt idx="469">
                  <c:v>1.9152109049733641</c:v>
                </c:pt>
                <c:pt idx="470">
                  <c:v>1.9098912522390548</c:v>
                </c:pt>
                <c:pt idx="471">
                  <c:v>1.9085477005655487</c:v>
                </c:pt>
                <c:pt idx="472">
                  <c:v>1.906812888876928</c:v>
                </c:pt>
                <c:pt idx="473">
                  <c:v>1.9055439954498214</c:v>
                </c:pt>
                <c:pt idx="474">
                  <c:v>1.9040836280210005</c:v>
                </c:pt>
                <c:pt idx="475">
                  <c:v>1.9034097664398943</c:v>
                </c:pt>
                <c:pt idx="476">
                  <c:v>1.9033902577087409</c:v>
                </c:pt>
                <c:pt idx="477">
                  <c:v>1.9029621040871079</c:v>
                </c:pt>
                <c:pt idx="478">
                  <c:v>1.902233794246404</c:v>
                </c:pt>
                <c:pt idx="479">
                  <c:v>1.900644147838948</c:v>
                </c:pt>
                <c:pt idx="480">
                  <c:v>1.8981384118948621</c:v>
                </c:pt>
                <c:pt idx="481">
                  <c:v>1.8925437780438441</c:v>
                </c:pt>
                <c:pt idx="482">
                  <c:v>1.8865337833904539</c:v>
                </c:pt>
                <c:pt idx="483">
                  <c:v>1.8809416224700759</c:v>
                </c:pt>
                <c:pt idx="484">
                  <c:v>1.874168341193204</c:v>
                </c:pt>
                <c:pt idx="485">
                  <c:v>1.8672182136819329</c:v>
                </c:pt>
                <c:pt idx="486">
                  <c:v>1.8591659065936508</c:v>
                </c:pt>
              </c:numCache>
            </c:numRef>
          </c:val>
        </c:ser>
        <c:ser>
          <c:idx val="2"/>
          <c:order val="2"/>
          <c:tx>
            <c:strRef>
              <c:f>グラフ!$O$41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43809</c:v>
                </c:pt>
                <c:pt idx="1">
                  <c:v>43808</c:v>
                </c:pt>
                <c:pt idx="2">
                  <c:v>43805</c:v>
                </c:pt>
                <c:pt idx="3">
                  <c:v>43804</c:v>
                </c:pt>
                <c:pt idx="4">
                  <c:v>43803</c:v>
                </c:pt>
                <c:pt idx="5">
                  <c:v>43802</c:v>
                </c:pt>
                <c:pt idx="6">
                  <c:v>43801</c:v>
                </c:pt>
                <c:pt idx="7">
                  <c:v>43798</c:v>
                </c:pt>
                <c:pt idx="8">
                  <c:v>43797</c:v>
                </c:pt>
                <c:pt idx="9">
                  <c:v>43796</c:v>
                </c:pt>
                <c:pt idx="10">
                  <c:v>43795</c:v>
                </c:pt>
                <c:pt idx="11">
                  <c:v>43794</c:v>
                </c:pt>
                <c:pt idx="12">
                  <c:v>43791</c:v>
                </c:pt>
                <c:pt idx="13">
                  <c:v>43790</c:v>
                </c:pt>
                <c:pt idx="14">
                  <c:v>43789</c:v>
                </c:pt>
                <c:pt idx="15">
                  <c:v>43788</c:v>
                </c:pt>
                <c:pt idx="16">
                  <c:v>43787</c:v>
                </c:pt>
                <c:pt idx="17">
                  <c:v>43784</c:v>
                </c:pt>
                <c:pt idx="18">
                  <c:v>43783</c:v>
                </c:pt>
                <c:pt idx="19">
                  <c:v>43782</c:v>
                </c:pt>
                <c:pt idx="20">
                  <c:v>43781</c:v>
                </c:pt>
                <c:pt idx="21">
                  <c:v>43780</c:v>
                </c:pt>
                <c:pt idx="22">
                  <c:v>43777</c:v>
                </c:pt>
                <c:pt idx="23">
                  <c:v>43776</c:v>
                </c:pt>
                <c:pt idx="24">
                  <c:v>43775</c:v>
                </c:pt>
                <c:pt idx="25">
                  <c:v>43774</c:v>
                </c:pt>
                <c:pt idx="26">
                  <c:v>43770</c:v>
                </c:pt>
                <c:pt idx="27">
                  <c:v>43769</c:v>
                </c:pt>
                <c:pt idx="28">
                  <c:v>43768</c:v>
                </c:pt>
                <c:pt idx="29">
                  <c:v>43767</c:v>
                </c:pt>
                <c:pt idx="30">
                  <c:v>43766</c:v>
                </c:pt>
                <c:pt idx="31">
                  <c:v>43763</c:v>
                </c:pt>
                <c:pt idx="32">
                  <c:v>43762</c:v>
                </c:pt>
                <c:pt idx="33">
                  <c:v>43761</c:v>
                </c:pt>
                <c:pt idx="34">
                  <c:v>43759</c:v>
                </c:pt>
                <c:pt idx="35">
                  <c:v>43756</c:v>
                </c:pt>
                <c:pt idx="36">
                  <c:v>43755</c:v>
                </c:pt>
                <c:pt idx="37">
                  <c:v>43754</c:v>
                </c:pt>
                <c:pt idx="38">
                  <c:v>43753</c:v>
                </c:pt>
                <c:pt idx="39">
                  <c:v>43749</c:v>
                </c:pt>
                <c:pt idx="40">
                  <c:v>43748</c:v>
                </c:pt>
                <c:pt idx="41">
                  <c:v>43747</c:v>
                </c:pt>
                <c:pt idx="42">
                  <c:v>43746</c:v>
                </c:pt>
                <c:pt idx="43">
                  <c:v>43745</c:v>
                </c:pt>
                <c:pt idx="44">
                  <c:v>43742</c:v>
                </c:pt>
                <c:pt idx="45">
                  <c:v>43741</c:v>
                </c:pt>
                <c:pt idx="46">
                  <c:v>43740</c:v>
                </c:pt>
                <c:pt idx="47">
                  <c:v>43739</c:v>
                </c:pt>
                <c:pt idx="48">
                  <c:v>43738</c:v>
                </c:pt>
                <c:pt idx="49">
                  <c:v>43735</c:v>
                </c:pt>
                <c:pt idx="50">
                  <c:v>43734</c:v>
                </c:pt>
                <c:pt idx="51">
                  <c:v>43733</c:v>
                </c:pt>
                <c:pt idx="52">
                  <c:v>43732</c:v>
                </c:pt>
                <c:pt idx="53">
                  <c:v>43728</c:v>
                </c:pt>
                <c:pt idx="54">
                  <c:v>43727</c:v>
                </c:pt>
                <c:pt idx="55">
                  <c:v>43726</c:v>
                </c:pt>
                <c:pt idx="56">
                  <c:v>43725</c:v>
                </c:pt>
                <c:pt idx="57">
                  <c:v>43721</c:v>
                </c:pt>
                <c:pt idx="58">
                  <c:v>43720</c:v>
                </c:pt>
                <c:pt idx="59">
                  <c:v>43719</c:v>
                </c:pt>
                <c:pt idx="60">
                  <c:v>43718</c:v>
                </c:pt>
                <c:pt idx="61">
                  <c:v>43717</c:v>
                </c:pt>
                <c:pt idx="62">
                  <c:v>43714</c:v>
                </c:pt>
                <c:pt idx="63">
                  <c:v>43713</c:v>
                </c:pt>
                <c:pt idx="64">
                  <c:v>43712</c:v>
                </c:pt>
                <c:pt idx="65">
                  <c:v>43711</c:v>
                </c:pt>
                <c:pt idx="66">
                  <c:v>43710</c:v>
                </c:pt>
                <c:pt idx="67">
                  <c:v>43707</c:v>
                </c:pt>
                <c:pt idx="68">
                  <c:v>43706</c:v>
                </c:pt>
                <c:pt idx="69">
                  <c:v>43705</c:v>
                </c:pt>
                <c:pt idx="70">
                  <c:v>43704</c:v>
                </c:pt>
                <c:pt idx="71">
                  <c:v>43703</c:v>
                </c:pt>
                <c:pt idx="72">
                  <c:v>43700</c:v>
                </c:pt>
                <c:pt idx="73">
                  <c:v>43699</c:v>
                </c:pt>
                <c:pt idx="74">
                  <c:v>43698</c:v>
                </c:pt>
                <c:pt idx="75">
                  <c:v>43697</c:v>
                </c:pt>
                <c:pt idx="76">
                  <c:v>43696</c:v>
                </c:pt>
                <c:pt idx="77">
                  <c:v>43693</c:v>
                </c:pt>
                <c:pt idx="78">
                  <c:v>43692</c:v>
                </c:pt>
                <c:pt idx="79">
                  <c:v>43691</c:v>
                </c:pt>
                <c:pt idx="80">
                  <c:v>43690</c:v>
                </c:pt>
                <c:pt idx="81">
                  <c:v>43686</c:v>
                </c:pt>
                <c:pt idx="82">
                  <c:v>43685</c:v>
                </c:pt>
                <c:pt idx="83">
                  <c:v>43684</c:v>
                </c:pt>
                <c:pt idx="84">
                  <c:v>43683</c:v>
                </c:pt>
                <c:pt idx="85">
                  <c:v>43682</c:v>
                </c:pt>
                <c:pt idx="86">
                  <c:v>43679</c:v>
                </c:pt>
                <c:pt idx="87">
                  <c:v>43678</c:v>
                </c:pt>
                <c:pt idx="88">
                  <c:v>43677</c:v>
                </c:pt>
                <c:pt idx="89">
                  <c:v>43676</c:v>
                </c:pt>
                <c:pt idx="90">
                  <c:v>43675</c:v>
                </c:pt>
                <c:pt idx="91">
                  <c:v>43672</c:v>
                </c:pt>
                <c:pt idx="92">
                  <c:v>43671</c:v>
                </c:pt>
                <c:pt idx="93">
                  <c:v>43670</c:v>
                </c:pt>
                <c:pt idx="94">
                  <c:v>43669</c:v>
                </c:pt>
                <c:pt idx="95">
                  <c:v>43668</c:v>
                </c:pt>
                <c:pt idx="96">
                  <c:v>43665</c:v>
                </c:pt>
                <c:pt idx="97">
                  <c:v>43664</c:v>
                </c:pt>
                <c:pt idx="98">
                  <c:v>43663</c:v>
                </c:pt>
                <c:pt idx="99">
                  <c:v>43662</c:v>
                </c:pt>
                <c:pt idx="100">
                  <c:v>43658</c:v>
                </c:pt>
                <c:pt idx="101">
                  <c:v>43657</c:v>
                </c:pt>
                <c:pt idx="102">
                  <c:v>43656</c:v>
                </c:pt>
                <c:pt idx="103">
                  <c:v>43655</c:v>
                </c:pt>
                <c:pt idx="104">
                  <c:v>43654</c:v>
                </c:pt>
                <c:pt idx="105">
                  <c:v>43651</c:v>
                </c:pt>
                <c:pt idx="106">
                  <c:v>43650</c:v>
                </c:pt>
                <c:pt idx="107">
                  <c:v>43649</c:v>
                </c:pt>
                <c:pt idx="108">
                  <c:v>43648</c:v>
                </c:pt>
                <c:pt idx="109">
                  <c:v>43647</c:v>
                </c:pt>
                <c:pt idx="110">
                  <c:v>43644</c:v>
                </c:pt>
                <c:pt idx="111">
                  <c:v>43643</c:v>
                </c:pt>
                <c:pt idx="112">
                  <c:v>43642</c:v>
                </c:pt>
                <c:pt idx="113">
                  <c:v>43641</c:v>
                </c:pt>
                <c:pt idx="114">
                  <c:v>43640</c:v>
                </c:pt>
                <c:pt idx="115">
                  <c:v>43637</c:v>
                </c:pt>
                <c:pt idx="116">
                  <c:v>43636</c:v>
                </c:pt>
                <c:pt idx="117">
                  <c:v>43635</c:v>
                </c:pt>
                <c:pt idx="118">
                  <c:v>43634</c:v>
                </c:pt>
                <c:pt idx="119">
                  <c:v>43633</c:v>
                </c:pt>
                <c:pt idx="120">
                  <c:v>43630</c:v>
                </c:pt>
                <c:pt idx="121">
                  <c:v>43629</c:v>
                </c:pt>
                <c:pt idx="122">
                  <c:v>43628</c:v>
                </c:pt>
                <c:pt idx="123">
                  <c:v>43627</c:v>
                </c:pt>
                <c:pt idx="124">
                  <c:v>43626</c:v>
                </c:pt>
                <c:pt idx="125">
                  <c:v>43623</c:v>
                </c:pt>
                <c:pt idx="126">
                  <c:v>43622</c:v>
                </c:pt>
                <c:pt idx="127">
                  <c:v>43621</c:v>
                </c:pt>
                <c:pt idx="128">
                  <c:v>43620</c:v>
                </c:pt>
                <c:pt idx="129">
                  <c:v>43619</c:v>
                </c:pt>
                <c:pt idx="130">
                  <c:v>43616</c:v>
                </c:pt>
                <c:pt idx="131">
                  <c:v>43615</c:v>
                </c:pt>
                <c:pt idx="132">
                  <c:v>43614</c:v>
                </c:pt>
                <c:pt idx="133">
                  <c:v>43613</c:v>
                </c:pt>
                <c:pt idx="134">
                  <c:v>43612</c:v>
                </c:pt>
                <c:pt idx="135">
                  <c:v>43609</c:v>
                </c:pt>
                <c:pt idx="136">
                  <c:v>43608</c:v>
                </c:pt>
                <c:pt idx="137">
                  <c:v>43607</c:v>
                </c:pt>
                <c:pt idx="138">
                  <c:v>43606</c:v>
                </c:pt>
                <c:pt idx="139">
                  <c:v>43605</c:v>
                </c:pt>
                <c:pt idx="140">
                  <c:v>43602</c:v>
                </c:pt>
                <c:pt idx="141">
                  <c:v>43601</c:v>
                </c:pt>
                <c:pt idx="142">
                  <c:v>43600</c:v>
                </c:pt>
                <c:pt idx="143">
                  <c:v>43599</c:v>
                </c:pt>
                <c:pt idx="144">
                  <c:v>43598</c:v>
                </c:pt>
                <c:pt idx="145">
                  <c:v>43595</c:v>
                </c:pt>
                <c:pt idx="146">
                  <c:v>43594</c:v>
                </c:pt>
                <c:pt idx="147">
                  <c:v>43593</c:v>
                </c:pt>
                <c:pt idx="148">
                  <c:v>43592</c:v>
                </c:pt>
                <c:pt idx="149">
                  <c:v>43581</c:v>
                </c:pt>
                <c:pt idx="150">
                  <c:v>43580</c:v>
                </c:pt>
                <c:pt idx="151">
                  <c:v>43579</c:v>
                </c:pt>
                <c:pt idx="152">
                  <c:v>43578</c:v>
                </c:pt>
                <c:pt idx="153">
                  <c:v>43577</c:v>
                </c:pt>
                <c:pt idx="154">
                  <c:v>43574</c:v>
                </c:pt>
                <c:pt idx="155">
                  <c:v>43573</c:v>
                </c:pt>
                <c:pt idx="156">
                  <c:v>43572</c:v>
                </c:pt>
                <c:pt idx="157">
                  <c:v>43571</c:v>
                </c:pt>
                <c:pt idx="158">
                  <c:v>43570</c:v>
                </c:pt>
                <c:pt idx="159">
                  <c:v>43567</c:v>
                </c:pt>
                <c:pt idx="160">
                  <c:v>43566</c:v>
                </c:pt>
                <c:pt idx="161">
                  <c:v>43565</c:v>
                </c:pt>
                <c:pt idx="162">
                  <c:v>43564</c:v>
                </c:pt>
                <c:pt idx="163">
                  <c:v>43563</c:v>
                </c:pt>
                <c:pt idx="164">
                  <c:v>43560</c:v>
                </c:pt>
                <c:pt idx="165">
                  <c:v>43559</c:v>
                </c:pt>
                <c:pt idx="166">
                  <c:v>43558</c:v>
                </c:pt>
                <c:pt idx="167">
                  <c:v>43557</c:v>
                </c:pt>
                <c:pt idx="168">
                  <c:v>43556</c:v>
                </c:pt>
                <c:pt idx="169">
                  <c:v>43553</c:v>
                </c:pt>
                <c:pt idx="170">
                  <c:v>43552</c:v>
                </c:pt>
                <c:pt idx="171">
                  <c:v>43551</c:v>
                </c:pt>
                <c:pt idx="172">
                  <c:v>43550</c:v>
                </c:pt>
                <c:pt idx="173">
                  <c:v>43549</c:v>
                </c:pt>
                <c:pt idx="174">
                  <c:v>43546</c:v>
                </c:pt>
                <c:pt idx="175">
                  <c:v>43544</c:v>
                </c:pt>
                <c:pt idx="176">
                  <c:v>43543</c:v>
                </c:pt>
                <c:pt idx="177">
                  <c:v>43542</c:v>
                </c:pt>
                <c:pt idx="178">
                  <c:v>43539</c:v>
                </c:pt>
                <c:pt idx="179">
                  <c:v>43538</c:v>
                </c:pt>
                <c:pt idx="180">
                  <c:v>43537</c:v>
                </c:pt>
                <c:pt idx="181">
                  <c:v>43536</c:v>
                </c:pt>
                <c:pt idx="182">
                  <c:v>43535</c:v>
                </c:pt>
                <c:pt idx="183">
                  <c:v>43532</c:v>
                </c:pt>
                <c:pt idx="184">
                  <c:v>43531</c:v>
                </c:pt>
                <c:pt idx="185">
                  <c:v>43530</c:v>
                </c:pt>
                <c:pt idx="186">
                  <c:v>43529</c:v>
                </c:pt>
                <c:pt idx="187">
                  <c:v>43528</c:v>
                </c:pt>
                <c:pt idx="188">
                  <c:v>43525</c:v>
                </c:pt>
                <c:pt idx="189">
                  <c:v>43524</c:v>
                </c:pt>
                <c:pt idx="190">
                  <c:v>43523</c:v>
                </c:pt>
                <c:pt idx="191">
                  <c:v>43522</c:v>
                </c:pt>
                <c:pt idx="192">
                  <c:v>43521</c:v>
                </c:pt>
                <c:pt idx="193">
                  <c:v>43518</c:v>
                </c:pt>
                <c:pt idx="194">
                  <c:v>43517</c:v>
                </c:pt>
                <c:pt idx="195">
                  <c:v>43516</c:v>
                </c:pt>
                <c:pt idx="196">
                  <c:v>43515</c:v>
                </c:pt>
                <c:pt idx="197">
                  <c:v>43514</c:v>
                </c:pt>
                <c:pt idx="198">
                  <c:v>43511</c:v>
                </c:pt>
                <c:pt idx="199">
                  <c:v>43510</c:v>
                </c:pt>
                <c:pt idx="200">
                  <c:v>43509</c:v>
                </c:pt>
                <c:pt idx="201">
                  <c:v>43508</c:v>
                </c:pt>
                <c:pt idx="202">
                  <c:v>43504</c:v>
                </c:pt>
                <c:pt idx="203">
                  <c:v>43503</c:v>
                </c:pt>
                <c:pt idx="204">
                  <c:v>43502</c:v>
                </c:pt>
                <c:pt idx="205">
                  <c:v>43501</c:v>
                </c:pt>
                <c:pt idx="206">
                  <c:v>43500</c:v>
                </c:pt>
                <c:pt idx="207">
                  <c:v>43497</c:v>
                </c:pt>
                <c:pt idx="208">
                  <c:v>43496</c:v>
                </c:pt>
                <c:pt idx="209">
                  <c:v>43495</c:v>
                </c:pt>
                <c:pt idx="210">
                  <c:v>43494</c:v>
                </c:pt>
                <c:pt idx="211">
                  <c:v>43493</c:v>
                </c:pt>
                <c:pt idx="212">
                  <c:v>43490</c:v>
                </c:pt>
                <c:pt idx="213">
                  <c:v>43489</c:v>
                </c:pt>
                <c:pt idx="214">
                  <c:v>43488</c:v>
                </c:pt>
                <c:pt idx="215">
                  <c:v>43487</c:v>
                </c:pt>
                <c:pt idx="216">
                  <c:v>43486</c:v>
                </c:pt>
                <c:pt idx="217">
                  <c:v>43483</c:v>
                </c:pt>
                <c:pt idx="218">
                  <c:v>43482</c:v>
                </c:pt>
                <c:pt idx="219">
                  <c:v>43481</c:v>
                </c:pt>
                <c:pt idx="220">
                  <c:v>43480</c:v>
                </c:pt>
                <c:pt idx="221">
                  <c:v>43476</c:v>
                </c:pt>
                <c:pt idx="222">
                  <c:v>43475</c:v>
                </c:pt>
                <c:pt idx="223">
                  <c:v>43474</c:v>
                </c:pt>
                <c:pt idx="224">
                  <c:v>43473</c:v>
                </c:pt>
                <c:pt idx="225">
                  <c:v>43472</c:v>
                </c:pt>
                <c:pt idx="226">
                  <c:v>43469</c:v>
                </c:pt>
                <c:pt idx="227">
                  <c:v>43462</c:v>
                </c:pt>
                <c:pt idx="228">
                  <c:v>43461</c:v>
                </c:pt>
                <c:pt idx="229">
                  <c:v>43460</c:v>
                </c:pt>
                <c:pt idx="230">
                  <c:v>43459</c:v>
                </c:pt>
                <c:pt idx="231">
                  <c:v>43455</c:v>
                </c:pt>
                <c:pt idx="232">
                  <c:v>43454</c:v>
                </c:pt>
                <c:pt idx="233">
                  <c:v>43453</c:v>
                </c:pt>
                <c:pt idx="234">
                  <c:v>43452</c:v>
                </c:pt>
                <c:pt idx="235">
                  <c:v>43451</c:v>
                </c:pt>
                <c:pt idx="236">
                  <c:v>43448</c:v>
                </c:pt>
                <c:pt idx="237">
                  <c:v>43447</c:v>
                </c:pt>
                <c:pt idx="238">
                  <c:v>43446</c:v>
                </c:pt>
                <c:pt idx="239">
                  <c:v>43445</c:v>
                </c:pt>
                <c:pt idx="240">
                  <c:v>43444</c:v>
                </c:pt>
                <c:pt idx="241">
                  <c:v>43441</c:v>
                </c:pt>
                <c:pt idx="242">
                  <c:v>43440</c:v>
                </c:pt>
                <c:pt idx="243">
                  <c:v>43439</c:v>
                </c:pt>
                <c:pt idx="244">
                  <c:v>43438</c:v>
                </c:pt>
                <c:pt idx="245">
                  <c:v>43437</c:v>
                </c:pt>
                <c:pt idx="246">
                  <c:v>43434</c:v>
                </c:pt>
                <c:pt idx="247">
                  <c:v>43433</c:v>
                </c:pt>
                <c:pt idx="248">
                  <c:v>43432</c:v>
                </c:pt>
                <c:pt idx="249">
                  <c:v>43431</c:v>
                </c:pt>
                <c:pt idx="250">
                  <c:v>43430</c:v>
                </c:pt>
                <c:pt idx="251">
                  <c:v>43426</c:v>
                </c:pt>
                <c:pt idx="252">
                  <c:v>43425</c:v>
                </c:pt>
                <c:pt idx="253">
                  <c:v>43424</c:v>
                </c:pt>
                <c:pt idx="254">
                  <c:v>43423</c:v>
                </c:pt>
                <c:pt idx="255">
                  <c:v>43420</c:v>
                </c:pt>
                <c:pt idx="256">
                  <c:v>43419</c:v>
                </c:pt>
                <c:pt idx="257">
                  <c:v>43418</c:v>
                </c:pt>
                <c:pt idx="258">
                  <c:v>43417</c:v>
                </c:pt>
                <c:pt idx="259">
                  <c:v>43416</c:v>
                </c:pt>
                <c:pt idx="260">
                  <c:v>43413</c:v>
                </c:pt>
                <c:pt idx="261">
                  <c:v>43412</c:v>
                </c:pt>
                <c:pt idx="262">
                  <c:v>43411</c:v>
                </c:pt>
                <c:pt idx="263">
                  <c:v>43410</c:v>
                </c:pt>
                <c:pt idx="264">
                  <c:v>43409</c:v>
                </c:pt>
                <c:pt idx="265">
                  <c:v>43406</c:v>
                </c:pt>
                <c:pt idx="266">
                  <c:v>43405</c:v>
                </c:pt>
                <c:pt idx="267">
                  <c:v>43404</c:v>
                </c:pt>
                <c:pt idx="268">
                  <c:v>43403</c:v>
                </c:pt>
                <c:pt idx="269">
                  <c:v>43402</c:v>
                </c:pt>
                <c:pt idx="270">
                  <c:v>43399</c:v>
                </c:pt>
                <c:pt idx="271">
                  <c:v>43398</c:v>
                </c:pt>
                <c:pt idx="272">
                  <c:v>43397</c:v>
                </c:pt>
                <c:pt idx="273">
                  <c:v>43396</c:v>
                </c:pt>
                <c:pt idx="274">
                  <c:v>43395</c:v>
                </c:pt>
                <c:pt idx="275">
                  <c:v>43392</c:v>
                </c:pt>
                <c:pt idx="276">
                  <c:v>43391</c:v>
                </c:pt>
                <c:pt idx="277">
                  <c:v>43390</c:v>
                </c:pt>
                <c:pt idx="278">
                  <c:v>43389</c:v>
                </c:pt>
                <c:pt idx="279">
                  <c:v>43388</c:v>
                </c:pt>
                <c:pt idx="280">
                  <c:v>43385</c:v>
                </c:pt>
                <c:pt idx="281">
                  <c:v>43384</c:v>
                </c:pt>
                <c:pt idx="282">
                  <c:v>43383</c:v>
                </c:pt>
                <c:pt idx="283">
                  <c:v>43382</c:v>
                </c:pt>
                <c:pt idx="284">
                  <c:v>43378</c:v>
                </c:pt>
                <c:pt idx="285">
                  <c:v>43377</c:v>
                </c:pt>
                <c:pt idx="286">
                  <c:v>43376</c:v>
                </c:pt>
                <c:pt idx="287">
                  <c:v>43375</c:v>
                </c:pt>
                <c:pt idx="288">
                  <c:v>43374</c:v>
                </c:pt>
                <c:pt idx="289">
                  <c:v>43371</c:v>
                </c:pt>
                <c:pt idx="290">
                  <c:v>43370</c:v>
                </c:pt>
                <c:pt idx="291">
                  <c:v>43369</c:v>
                </c:pt>
                <c:pt idx="292">
                  <c:v>43368</c:v>
                </c:pt>
                <c:pt idx="293">
                  <c:v>43364</c:v>
                </c:pt>
                <c:pt idx="294">
                  <c:v>43363</c:v>
                </c:pt>
                <c:pt idx="295">
                  <c:v>43362</c:v>
                </c:pt>
                <c:pt idx="296">
                  <c:v>43361</c:v>
                </c:pt>
                <c:pt idx="297">
                  <c:v>43357</c:v>
                </c:pt>
                <c:pt idx="298">
                  <c:v>43356</c:v>
                </c:pt>
                <c:pt idx="299">
                  <c:v>43355</c:v>
                </c:pt>
                <c:pt idx="300">
                  <c:v>43354</c:v>
                </c:pt>
                <c:pt idx="301">
                  <c:v>43353</c:v>
                </c:pt>
                <c:pt idx="302">
                  <c:v>43350</c:v>
                </c:pt>
                <c:pt idx="303">
                  <c:v>43349</c:v>
                </c:pt>
                <c:pt idx="304">
                  <c:v>43348</c:v>
                </c:pt>
                <c:pt idx="305">
                  <c:v>43347</c:v>
                </c:pt>
                <c:pt idx="306">
                  <c:v>43346</c:v>
                </c:pt>
                <c:pt idx="307">
                  <c:v>43343</c:v>
                </c:pt>
                <c:pt idx="308">
                  <c:v>43342</c:v>
                </c:pt>
                <c:pt idx="309">
                  <c:v>43341</c:v>
                </c:pt>
                <c:pt idx="310">
                  <c:v>43340</c:v>
                </c:pt>
                <c:pt idx="311">
                  <c:v>43339</c:v>
                </c:pt>
                <c:pt idx="312">
                  <c:v>43336</c:v>
                </c:pt>
                <c:pt idx="313">
                  <c:v>43335</c:v>
                </c:pt>
                <c:pt idx="314">
                  <c:v>43334</c:v>
                </c:pt>
                <c:pt idx="315">
                  <c:v>43333</c:v>
                </c:pt>
                <c:pt idx="316">
                  <c:v>43332</c:v>
                </c:pt>
                <c:pt idx="317">
                  <c:v>43329</c:v>
                </c:pt>
                <c:pt idx="318">
                  <c:v>43328</c:v>
                </c:pt>
                <c:pt idx="319">
                  <c:v>43327</c:v>
                </c:pt>
                <c:pt idx="320">
                  <c:v>43326</c:v>
                </c:pt>
                <c:pt idx="321">
                  <c:v>43325</c:v>
                </c:pt>
                <c:pt idx="322">
                  <c:v>43322</c:v>
                </c:pt>
                <c:pt idx="323">
                  <c:v>43321</c:v>
                </c:pt>
                <c:pt idx="324">
                  <c:v>43320</c:v>
                </c:pt>
                <c:pt idx="325">
                  <c:v>43319</c:v>
                </c:pt>
                <c:pt idx="326">
                  <c:v>43318</c:v>
                </c:pt>
                <c:pt idx="327">
                  <c:v>43315</c:v>
                </c:pt>
                <c:pt idx="328">
                  <c:v>43314</c:v>
                </c:pt>
                <c:pt idx="329">
                  <c:v>43313</c:v>
                </c:pt>
                <c:pt idx="330">
                  <c:v>43312</c:v>
                </c:pt>
                <c:pt idx="331">
                  <c:v>43311</c:v>
                </c:pt>
                <c:pt idx="332">
                  <c:v>43308</c:v>
                </c:pt>
                <c:pt idx="333">
                  <c:v>43307</c:v>
                </c:pt>
                <c:pt idx="334">
                  <c:v>43306</c:v>
                </c:pt>
                <c:pt idx="335">
                  <c:v>43305</c:v>
                </c:pt>
                <c:pt idx="336">
                  <c:v>43304</c:v>
                </c:pt>
                <c:pt idx="337">
                  <c:v>43301</c:v>
                </c:pt>
                <c:pt idx="338">
                  <c:v>43300</c:v>
                </c:pt>
                <c:pt idx="339">
                  <c:v>43299</c:v>
                </c:pt>
                <c:pt idx="340">
                  <c:v>43298</c:v>
                </c:pt>
                <c:pt idx="341">
                  <c:v>43294</c:v>
                </c:pt>
                <c:pt idx="342">
                  <c:v>43293</c:v>
                </c:pt>
                <c:pt idx="343">
                  <c:v>43292</c:v>
                </c:pt>
                <c:pt idx="344">
                  <c:v>43291</c:v>
                </c:pt>
                <c:pt idx="345">
                  <c:v>43290</c:v>
                </c:pt>
                <c:pt idx="346">
                  <c:v>43287</c:v>
                </c:pt>
                <c:pt idx="347">
                  <c:v>43286</c:v>
                </c:pt>
                <c:pt idx="348">
                  <c:v>43285</c:v>
                </c:pt>
                <c:pt idx="349">
                  <c:v>43284</c:v>
                </c:pt>
                <c:pt idx="350">
                  <c:v>43283</c:v>
                </c:pt>
                <c:pt idx="351">
                  <c:v>43280</c:v>
                </c:pt>
                <c:pt idx="352">
                  <c:v>43279</c:v>
                </c:pt>
                <c:pt idx="353">
                  <c:v>43278</c:v>
                </c:pt>
                <c:pt idx="354">
                  <c:v>43277</c:v>
                </c:pt>
                <c:pt idx="355">
                  <c:v>43276</c:v>
                </c:pt>
                <c:pt idx="356">
                  <c:v>43273</c:v>
                </c:pt>
                <c:pt idx="357">
                  <c:v>43272</c:v>
                </c:pt>
                <c:pt idx="358">
                  <c:v>43271</c:v>
                </c:pt>
                <c:pt idx="359">
                  <c:v>43270</c:v>
                </c:pt>
                <c:pt idx="360">
                  <c:v>43269</c:v>
                </c:pt>
                <c:pt idx="361">
                  <c:v>43266</c:v>
                </c:pt>
                <c:pt idx="362">
                  <c:v>43265</c:v>
                </c:pt>
                <c:pt idx="363">
                  <c:v>43264</c:v>
                </c:pt>
                <c:pt idx="364">
                  <c:v>43263</c:v>
                </c:pt>
                <c:pt idx="365">
                  <c:v>43262</c:v>
                </c:pt>
                <c:pt idx="366">
                  <c:v>43259</c:v>
                </c:pt>
                <c:pt idx="367">
                  <c:v>43258</c:v>
                </c:pt>
                <c:pt idx="368">
                  <c:v>43257</c:v>
                </c:pt>
                <c:pt idx="369">
                  <c:v>43256</c:v>
                </c:pt>
                <c:pt idx="370">
                  <c:v>43255</c:v>
                </c:pt>
                <c:pt idx="371">
                  <c:v>43252</c:v>
                </c:pt>
                <c:pt idx="372">
                  <c:v>43251</c:v>
                </c:pt>
                <c:pt idx="373">
                  <c:v>43250</c:v>
                </c:pt>
                <c:pt idx="374">
                  <c:v>43249</c:v>
                </c:pt>
                <c:pt idx="375">
                  <c:v>43248</c:v>
                </c:pt>
                <c:pt idx="376">
                  <c:v>43245</c:v>
                </c:pt>
                <c:pt idx="377">
                  <c:v>43244</c:v>
                </c:pt>
                <c:pt idx="378">
                  <c:v>43243</c:v>
                </c:pt>
                <c:pt idx="379">
                  <c:v>43242</c:v>
                </c:pt>
                <c:pt idx="380">
                  <c:v>43241</c:v>
                </c:pt>
                <c:pt idx="381">
                  <c:v>43238</c:v>
                </c:pt>
                <c:pt idx="382">
                  <c:v>43237</c:v>
                </c:pt>
                <c:pt idx="383">
                  <c:v>43236</c:v>
                </c:pt>
                <c:pt idx="384">
                  <c:v>43235</c:v>
                </c:pt>
                <c:pt idx="385">
                  <c:v>43234</c:v>
                </c:pt>
                <c:pt idx="386">
                  <c:v>43231</c:v>
                </c:pt>
                <c:pt idx="387">
                  <c:v>43230</c:v>
                </c:pt>
                <c:pt idx="388">
                  <c:v>43229</c:v>
                </c:pt>
                <c:pt idx="389">
                  <c:v>43228</c:v>
                </c:pt>
                <c:pt idx="390">
                  <c:v>43227</c:v>
                </c:pt>
                <c:pt idx="391">
                  <c:v>43222</c:v>
                </c:pt>
                <c:pt idx="392">
                  <c:v>43221</c:v>
                </c:pt>
                <c:pt idx="393">
                  <c:v>43217</c:v>
                </c:pt>
                <c:pt idx="394">
                  <c:v>43216</c:v>
                </c:pt>
                <c:pt idx="395">
                  <c:v>43215</c:v>
                </c:pt>
                <c:pt idx="396">
                  <c:v>43214</c:v>
                </c:pt>
                <c:pt idx="397">
                  <c:v>43213</c:v>
                </c:pt>
                <c:pt idx="398">
                  <c:v>43210</c:v>
                </c:pt>
                <c:pt idx="399">
                  <c:v>43209</c:v>
                </c:pt>
                <c:pt idx="400">
                  <c:v>43208</c:v>
                </c:pt>
                <c:pt idx="401">
                  <c:v>43207</c:v>
                </c:pt>
                <c:pt idx="402">
                  <c:v>43206</c:v>
                </c:pt>
                <c:pt idx="403">
                  <c:v>43203</c:v>
                </c:pt>
                <c:pt idx="404">
                  <c:v>43202</c:v>
                </c:pt>
                <c:pt idx="405">
                  <c:v>43201</c:v>
                </c:pt>
                <c:pt idx="406">
                  <c:v>43200</c:v>
                </c:pt>
                <c:pt idx="407">
                  <c:v>43199</c:v>
                </c:pt>
                <c:pt idx="408">
                  <c:v>43196</c:v>
                </c:pt>
                <c:pt idx="409">
                  <c:v>43195</c:v>
                </c:pt>
                <c:pt idx="410">
                  <c:v>43194</c:v>
                </c:pt>
                <c:pt idx="411">
                  <c:v>43193</c:v>
                </c:pt>
                <c:pt idx="412">
                  <c:v>43192</c:v>
                </c:pt>
                <c:pt idx="413">
                  <c:v>43189</c:v>
                </c:pt>
                <c:pt idx="414">
                  <c:v>43188</c:v>
                </c:pt>
                <c:pt idx="415">
                  <c:v>43187</c:v>
                </c:pt>
                <c:pt idx="416">
                  <c:v>43186</c:v>
                </c:pt>
                <c:pt idx="417">
                  <c:v>43185</c:v>
                </c:pt>
                <c:pt idx="418">
                  <c:v>43182</c:v>
                </c:pt>
                <c:pt idx="419">
                  <c:v>43181</c:v>
                </c:pt>
                <c:pt idx="420">
                  <c:v>43179</c:v>
                </c:pt>
                <c:pt idx="421">
                  <c:v>43178</c:v>
                </c:pt>
                <c:pt idx="422">
                  <c:v>43175</c:v>
                </c:pt>
                <c:pt idx="423">
                  <c:v>43174</c:v>
                </c:pt>
                <c:pt idx="424">
                  <c:v>43173</c:v>
                </c:pt>
                <c:pt idx="425">
                  <c:v>43172</c:v>
                </c:pt>
                <c:pt idx="426">
                  <c:v>43171</c:v>
                </c:pt>
                <c:pt idx="427">
                  <c:v>43168</c:v>
                </c:pt>
                <c:pt idx="428">
                  <c:v>43167</c:v>
                </c:pt>
                <c:pt idx="429">
                  <c:v>43166</c:v>
                </c:pt>
                <c:pt idx="430">
                  <c:v>43165</c:v>
                </c:pt>
                <c:pt idx="431">
                  <c:v>43164</c:v>
                </c:pt>
                <c:pt idx="432">
                  <c:v>43161</c:v>
                </c:pt>
                <c:pt idx="433">
                  <c:v>43160</c:v>
                </c:pt>
                <c:pt idx="434">
                  <c:v>43159</c:v>
                </c:pt>
                <c:pt idx="435">
                  <c:v>43158</c:v>
                </c:pt>
                <c:pt idx="436">
                  <c:v>43157</c:v>
                </c:pt>
                <c:pt idx="437">
                  <c:v>43154</c:v>
                </c:pt>
                <c:pt idx="438">
                  <c:v>43153</c:v>
                </c:pt>
                <c:pt idx="439">
                  <c:v>43152</c:v>
                </c:pt>
                <c:pt idx="440">
                  <c:v>43151</c:v>
                </c:pt>
                <c:pt idx="441">
                  <c:v>43150</c:v>
                </c:pt>
                <c:pt idx="442">
                  <c:v>43147</c:v>
                </c:pt>
                <c:pt idx="443">
                  <c:v>43146</c:v>
                </c:pt>
                <c:pt idx="444">
                  <c:v>43145</c:v>
                </c:pt>
                <c:pt idx="445">
                  <c:v>43144</c:v>
                </c:pt>
                <c:pt idx="446">
                  <c:v>43140</c:v>
                </c:pt>
                <c:pt idx="447">
                  <c:v>43139</c:v>
                </c:pt>
                <c:pt idx="448">
                  <c:v>43138</c:v>
                </c:pt>
                <c:pt idx="449">
                  <c:v>43137</c:v>
                </c:pt>
                <c:pt idx="450">
                  <c:v>43136</c:v>
                </c:pt>
                <c:pt idx="451">
                  <c:v>43133</c:v>
                </c:pt>
                <c:pt idx="452">
                  <c:v>43132</c:v>
                </c:pt>
                <c:pt idx="453">
                  <c:v>43131</c:v>
                </c:pt>
                <c:pt idx="454">
                  <c:v>43130</c:v>
                </c:pt>
                <c:pt idx="455">
                  <c:v>43129</c:v>
                </c:pt>
                <c:pt idx="456">
                  <c:v>43126</c:v>
                </c:pt>
                <c:pt idx="457">
                  <c:v>43125</c:v>
                </c:pt>
                <c:pt idx="458">
                  <c:v>43124</c:v>
                </c:pt>
                <c:pt idx="459">
                  <c:v>43123</c:v>
                </c:pt>
                <c:pt idx="460">
                  <c:v>43122</c:v>
                </c:pt>
                <c:pt idx="461">
                  <c:v>43119</c:v>
                </c:pt>
                <c:pt idx="462">
                  <c:v>43118</c:v>
                </c:pt>
                <c:pt idx="463">
                  <c:v>43117</c:v>
                </c:pt>
                <c:pt idx="464">
                  <c:v>43116</c:v>
                </c:pt>
                <c:pt idx="465">
                  <c:v>43115</c:v>
                </c:pt>
                <c:pt idx="466">
                  <c:v>43112</c:v>
                </c:pt>
                <c:pt idx="467">
                  <c:v>43111</c:v>
                </c:pt>
                <c:pt idx="468">
                  <c:v>43110</c:v>
                </c:pt>
                <c:pt idx="469">
                  <c:v>43109</c:v>
                </c:pt>
                <c:pt idx="470">
                  <c:v>43105</c:v>
                </c:pt>
                <c:pt idx="471">
                  <c:v>43104</c:v>
                </c:pt>
                <c:pt idx="472">
                  <c:v>43098</c:v>
                </c:pt>
                <c:pt idx="473">
                  <c:v>43097</c:v>
                </c:pt>
                <c:pt idx="474">
                  <c:v>43096</c:v>
                </c:pt>
                <c:pt idx="475">
                  <c:v>43095</c:v>
                </c:pt>
                <c:pt idx="476">
                  <c:v>43094</c:v>
                </c:pt>
                <c:pt idx="477">
                  <c:v>43091</c:v>
                </c:pt>
                <c:pt idx="478">
                  <c:v>43090</c:v>
                </c:pt>
                <c:pt idx="479">
                  <c:v>43089</c:v>
                </c:pt>
                <c:pt idx="480">
                  <c:v>43088</c:v>
                </c:pt>
                <c:pt idx="481">
                  <c:v>43087</c:v>
                </c:pt>
                <c:pt idx="482">
                  <c:v>43084</c:v>
                </c:pt>
                <c:pt idx="483">
                  <c:v>43083</c:v>
                </c:pt>
                <c:pt idx="484">
                  <c:v>43082</c:v>
                </c:pt>
                <c:pt idx="485">
                  <c:v>43081</c:v>
                </c:pt>
                <c:pt idx="486">
                  <c:v>43080</c:v>
                </c:pt>
              </c:numCache>
            </c:numRef>
          </c:cat>
          <c:val>
            <c:numRef>
              <c:f>グラフ!$O$42:$O$703</c:f>
              <c:numCache>
                <c:formatCode>General</c:formatCode>
                <c:ptCount val="662"/>
                <c:pt idx="0">
                  <c:v>1.5113008907944285</c:v>
                </c:pt>
                <c:pt idx="1">
                  <c:v>1.5131684515821313</c:v>
                </c:pt>
                <c:pt idx="2">
                  <c:v>1.5161170614834565</c:v>
                </c:pt>
                <c:pt idx="3">
                  <c:v>1.5187810134792046</c:v>
                </c:pt>
                <c:pt idx="4">
                  <c:v>1.5220937817926348</c:v>
                </c:pt>
                <c:pt idx="5">
                  <c:v>1.5253153639379295</c:v>
                </c:pt>
                <c:pt idx="6">
                  <c:v>1.5274920645746131</c:v>
                </c:pt>
                <c:pt idx="7">
                  <c:v>1.5277428114690466</c:v>
                </c:pt>
                <c:pt idx="8">
                  <c:v>1.5226312792105678</c:v>
                </c:pt>
                <c:pt idx="9">
                  <c:v>1.5183026784272715</c:v>
                </c:pt>
                <c:pt idx="10">
                  <c:v>1.5161751287416572</c:v>
                </c:pt>
                <c:pt idx="11">
                  <c:v>1.5142491722561628</c:v>
                </c:pt>
                <c:pt idx="12">
                  <c:v>1.5098902675824453</c:v>
                </c:pt>
                <c:pt idx="13">
                  <c:v>1.5095731379658224</c:v>
                </c:pt>
                <c:pt idx="14">
                  <c:v>1.5089932712015082</c:v>
                </c:pt>
                <c:pt idx="15">
                  <c:v>1.5087345887143935</c:v>
                </c:pt>
                <c:pt idx="16">
                  <c:v>1.5092230258667678</c:v>
                </c:pt>
                <c:pt idx="17">
                  <c:v>1.5070650070414031</c:v>
                </c:pt>
                <c:pt idx="18">
                  <c:v>1.5040142216234333</c:v>
                </c:pt>
                <c:pt idx="19">
                  <c:v>1.5008292279105098</c:v>
                </c:pt>
                <c:pt idx="20">
                  <c:v>1.4988466526466138</c:v>
                </c:pt>
                <c:pt idx="21">
                  <c:v>1.496343231800032</c:v>
                </c:pt>
                <c:pt idx="22">
                  <c:v>1.4931842791251577</c:v>
                </c:pt>
                <c:pt idx="23">
                  <c:v>1.4914301884974006</c:v>
                </c:pt>
                <c:pt idx="24">
                  <c:v>1.4902596656256291</c:v>
                </c:pt>
                <c:pt idx="25">
                  <c:v>1.4877051828455579</c:v>
                </c:pt>
                <c:pt idx="26">
                  <c:v>1.4841183411028458</c:v>
                </c:pt>
                <c:pt idx="27">
                  <c:v>1.4801200592932262</c:v>
                </c:pt>
                <c:pt idx="28">
                  <c:v>1.4738087010968874</c:v>
                </c:pt>
                <c:pt idx="29">
                  <c:v>1.4686111378590059</c:v>
                </c:pt>
                <c:pt idx="30">
                  <c:v>1.464466304540855</c:v>
                </c:pt>
                <c:pt idx="31">
                  <c:v>1.4588785791790346</c:v>
                </c:pt>
                <c:pt idx="32">
                  <c:v>1.4527533621485684</c:v>
                </c:pt>
                <c:pt idx="33">
                  <c:v>1.4475435670027939</c:v>
                </c:pt>
                <c:pt idx="34">
                  <c:v>1.443986769517116</c:v>
                </c:pt>
                <c:pt idx="35">
                  <c:v>1.4418795551288401</c:v>
                </c:pt>
                <c:pt idx="36">
                  <c:v>1.4395786782943836</c:v>
                </c:pt>
                <c:pt idx="37">
                  <c:v>1.4378341730259339</c:v>
                </c:pt>
                <c:pt idx="38">
                  <c:v>1.4363132929867748</c:v>
                </c:pt>
                <c:pt idx="39">
                  <c:v>1.4355136669383732</c:v>
                </c:pt>
                <c:pt idx="40">
                  <c:v>1.4349650782584706</c:v>
                </c:pt>
                <c:pt idx="41">
                  <c:v>1.4338545605202704</c:v>
                </c:pt>
                <c:pt idx="42">
                  <c:v>1.4336261850837548</c:v>
                </c:pt>
                <c:pt idx="43">
                  <c:v>1.4340328876752435</c:v>
                </c:pt>
                <c:pt idx="44">
                  <c:v>1.4336368956754513</c:v>
                </c:pt>
                <c:pt idx="45">
                  <c:v>1.4335919518525106</c:v>
                </c:pt>
                <c:pt idx="46">
                  <c:v>1.4334345982121781</c:v>
                </c:pt>
                <c:pt idx="47">
                  <c:v>1.433311116292546</c:v>
                </c:pt>
                <c:pt idx="48">
                  <c:v>1.4328096421765</c:v>
                </c:pt>
                <c:pt idx="49">
                  <c:v>1.4321797228788231</c:v>
                </c:pt>
                <c:pt idx="50">
                  <c:v>1.4311392264702716</c:v>
                </c:pt>
                <c:pt idx="51">
                  <c:v>1.4298678417675539</c:v>
                </c:pt>
                <c:pt idx="52">
                  <c:v>1.4278500116683761</c:v>
                </c:pt>
                <c:pt idx="53">
                  <c:v>1.4267483951678148</c:v>
                </c:pt>
                <c:pt idx="54">
                  <c:v>1.4247225887634989</c:v>
                </c:pt>
                <c:pt idx="55">
                  <c:v>1.4229163072093225</c:v>
                </c:pt>
                <c:pt idx="56">
                  <c:v>1.4225821670992702</c:v>
                </c:pt>
                <c:pt idx="57">
                  <c:v>1.4224020395301156</c:v>
                </c:pt>
                <c:pt idx="58">
                  <c:v>1.4218831551242073</c:v>
                </c:pt>
                <c:pt idx="59">
                  <c:v>1.4216897910936255</c:v>
                </c:pt>
                <c:pt idx="60">
                  <c:v>1.4226182396538318</c:v>
                </c:pt>
                <c:pt idx="61">
                  <c:v>1.4225371199525962</c:v>
                </c:pt>
                <c:pt idx="62">
                  <c:v>1.4221394443733548</c:v>
                </c:pt>
                <c:pt idx="63">
                  <c:v>1.4220518122802228</c:v>
                </c:pt>
                <c:pt idx="64">
                  <c:v>1.422067045433246</c:v>
                </c:pt>
                <c:pt idx="65">
                  <c:v>1.4224320973297135</c:v>
                </c:pt>
                <c:pt idx="66">
                  <c:v>1.4223663016727204</c:v>
                </c:pt>
                <c:pt idx="67">
                  <c:v>1.4224208260775888</c:v>
                </c:pt>
                <c:pt idx="68">
                  <c:v>1.4237957622940689</c:v>
                </c:pt>
                <c:pt idx="69">
                  <c:v>1.4251676803384599</c:v>
                </c:pt>
                <c:pt idx="70">
                  <c:v>1.4202798249745303</c:v>
                </c:pt>
                <c:pt idx="71">
                  <c:v>1.4153558314285237</c:v>
                </c:pt>
                <c:pt idx="72">
                  <c:v>1.414282950179832</c:v>
                </c:pt>
                <c:pt idx="73">
                  <c:v>1.4164938059897849</c:v>
                </c:pt>
                <c:pt idx="74">
                  <c:v>1.4179460677619968</c:v>
                </c:pt>
                <c:pt idx="75">
                  <c:v>1.4189459914215956</c:v>
                </c:pt>
                <c:pt idx="76">
                  <c:v>1.4188602519010167</c:v>
                </c:pt>
                <c:pt idx="77">
                  <c:v>1.4181163218297146</c:v>
                </c:pt>
                <c:pt idx="78">
                  <c:v>1.4175141502270119</c:v>
                </c:pt>
                <c:pt idx="79">
                  <c:v>1.4144699969072314</c:v>
                </c:pt>
                <c:pt idx="80">
                  <c:v>1.4135564743239062</c:v>
                </c:pt>
                <c:pt idx="81">
                  <c:v>1.4136789075552287</c:v>
                </c:pt>
                <c:pt idx="82">
                  <c:v>1.4144960117642769</c:v>
                </c:pt>
                <c:pt idx="83">
                  <c:v>1.4128052360655783</c:v>
                </c:pt>
                <c:pt idx="84">
                  <c:v>1.4104831667991442</c:v>
                </c:pt>
                <c:pt idx="85">
                  <c:v>1.4091035298572678</c:v>
                </c:pt>
                <c:pt idx="86">
                  <c:v>1.4078950898915863</c:v>
                </c:pt>
                <c:pt idx="87">
                  <c:v>1.4073033896545415</c:v>
                </c:pt>
                <c:pt idx="88">
                  <c:v>1.4062874488858712</c:v>
                </c:pt>
                <c:pt idx="89">
                  <c:v>1.4052807531472171</c:v>
                </c:pt>
                <c:pt idx="90">
                  <c:v>1.4037789252310515</c:v>
                </c:pt>
                <c:pt idx="91">
                  <c:v>1.4032252895074324</c:v>
                </c:pt>
                <c:pt idx="92">
                  <c:v>1.4038702525032529</c:v>
                </c:pt>
                <c:pt idx="93">
                  <c:v>1.404459472248798</c:v>
                </c:pt>
                <c:pt idx="94">
                  <c:v>1.4053712275123915</c:v>
                </c:pt>
                <c:pt idx="95">
                  <c:v>1.4059133089896361</c:v>
                </c:pt>
                <c:pt idx="96">
                  <c:v>1.4065946866697578</c:v>
                </c:pt>
                <c:pt idx="97">
                  <c:v>1.407768255473089</c:v>
                </c:pt>
                <c:pt idx="98">
                  <c:v>1.4079388178938577</c:v>
                </c:pt>
                <c:pt idx="99">
                  <c:v>1.408052497790216</c:v>
                </c:pt>
                <c:pt idx="100">
                  <c:v>1.4090456903509776</c:v>
                </c:pt>
                <c:pt idx="101">
                  <c:v>1.410497206187463</c:v>
                </c:pt>
                <c:pt idx="102">
                  <c:v>1.4121904236742737</c:v>
                </c:pt>
                <c:pt idx="103">
                  <c:v>1.4150617794329241</c:v>
                </c:pt>
                <c:pt idx="104">
                  <c:v>1.4174922341032907</c:v>
                </c:pt>
                <c:pt idx="105">
                  <c:v>1.4192394157311061</c:v>
                </c:pt>
                <c:pt idx="106">
                  <c:v>1.4219473131348142</c:v>
                </c:pt>
                <c:pt idx="107">
                  <c:v>1.4252983270281414</c:v>
                </c:pt>
                <c:pt idx="108">
                  <c:v>1.4275965947050797</c:v>
                </c:pt>
                <c:pt idx="109">
                  <c:v>1.4286158577821124</c:v>
                </c:pt>
                <c:pt idx="110">
                  <c:v>1.4288690493747465</c:v>
                </c:pt>
                <c:pt idx="111">
                  <c:v>1.4292004689965367</c:v>
                </c:pt>
                <c:pt idx="112">
                  <c:v>1.4284594331501463</c:v>
                </c:pt>
                <c:pt idx="113">
                  <c:v>1.4281122680809868</c:v>
                </c:pt>
                <c:pt idx="114">
                  <c:v>1.4270058308757847</c:v>
                </c:pt>
                <c:pt idx="115">
                  <c:v>1.4264088258363914</c:v>
                </c:pt>
                <c:pt idx="116">
                  <c:v>1.426751966598774</c:v>
                </c:pt>
                <c:pt idx="117">
                  <c:v>1.4264325642451394</c:v>
                </c:pt>
                <c:pt idx="118">
                  <c:v>1.4260513568182958</c:v>
                </c:pt>
                <c:pt idx="119">
                  <c:v>1.4263382681574248</c:v>
                </c:pt>
                <c:pt idx="120">
                  <c:v>1.4253161243112382</c:v>
                </c:pt>
                <c:pt idx="121">
                  <c:v>1.4245337959782796</c:v>
                </c:pt>
                <c:pt idx="122">
                  <c:v>1.4238579910496603</c:v>
                </c:pt>
                <c:pt idx="123">
                  <c:v>1.4236266684305858</c:v>
                </c:pt>
                <c:pt idx="124">
                  <c:v>1.4229567203109628</c:v>
                </c:pt>
                <c:pt idx="125">
                  <c:v>1.4239488831104883</c:v>
                </c:pt>
                <c:pt idx="126">
                  <c:v>1.4248861616713182</c:v>
                </c:pt>
                <c:pt idx="127">
                  <c:v>1.4269936476236451</c:v>
                </c:pt>
                <c:pt idx="128">
                  <c:v>1.4284875802605741</c:v>
                </c:pt>
                <c:pt idx="129">
                  <c:v>1.430802524570133</c:v>
                </c:pt>
                <c:pt idx="130">
                  <c:v>1.4334353757050071</c:v>
                </c:pt>
                <c:pt idx="131">
                  <c:v>1.4347455228928396</c:v>
                </c:pt>
                <c:pt idx="132">
                  <c:v>1.43525749033821</c:v>
                </c:pt>
                <c:pt idx="133">
                  <c:v>1.4362832832823489</c:v>
                </c:pt>
                <c:pt idx="134">
                  <c:v>1.4365641991956088</c:v>
                </c:pt>
                <c:pt idx="135">
                  <c:v>1.4363725937207521</c:v>
                </c:pt>
                <c:pt idx="136">
                  <c:v>1.4363754028782338</c:v>
                </c:pt>
                <c:pt idx="137">
                  <c:v>1.4371526478616623</c:v>
                </c:pt>
                <c:pt idx="138">
                  <c:v>1.437219661408065</c:v>
                </c:pt>
                <c:pt idx="139">
                  <c:v>1.437326584991234</c:v>
                </c:pt>
                <c:pt idx="140">
                  <c:v>1.4370033694537581</c:v>
                </c:pt>
                <c:pt idx="141">
                  <c:v>1.4374788104086469</c:v>
                </c:pt>
                <c:pt idx="142">
                  <c:v>1.4380418872741301</c:v>
                </c:pt>
                <c:pt idx="143">
                  <c:v>1.4379889129157086</c:v>
                </c:pt>
                <c:pt idx="144">
                  <c:v>1.4381370100632991</c:v>
                </c:pt>
                <c:pt idx="145">
                  <c:v>1.446988583608118</c:v>
                </c:pt>
                <c:pt idx="146">
                  <c:v>1.4562528830179913</c:v>
                </c:pt>
                <c:pt idx="147">
                  <c:v>1.4608827260748005</c:v>
                </c:pt>
                <c:pt idx="148">
                  <c:v>1.4617742810586547</c:v>
                </c:pt>
                <c:pt idx="149">
                  <c:v>1.4612116807471935</c:v>
                </c:pt>
                <c:pt idx="150">
                  <c:v>1.4608317826958255</c:v>
                </c:pt>
                <c:pt idx="151">
                  <c:v>1.4599564581467084</c:v>
                </c:pt>
                <c:pt idx="152">
                  <c:v>1.4583665771092655</c:v>
                </c:pt>
                <c:pt idx="153">
                  <c:v>1.4576396345733214</c:v>
                </c:pt>
                <c:pt idx="154">
                  <c:v>1.4579670369135014</c:v>
                </c:pt>
                <c:pt idx="155">
                  <c:v>1.4581375311371321</c:v>
                </c:pt>
                <c:pt idx="156">
                  <c:v>1.45851670799595</c:v>
                </c:pt>
                <c:pt idx="157">
                  <c:v>1.4591517713489583</c:v>
                </c:pt>
                <c:pt idx="158">
                  <c:v>1.4597159941643025</c:v>
                </c:pt>
                <c:pt idx="159">
                  <c:v>1.4610684020641189</c:v>
                </c:pt>
                <c:pt idx="160">
                  <c:v>1.4616411668739024</c:v>
                </c:pt>
                <c:pt idx="161">
                  <c:v>1.4621851107444754</c:v>
                </c:pt>
                <c:pt idx="162">
                  <c:v>1.4629455449181765</c:v>
                </c:pt>
                <c:pt idx="163">
                  <c:v>1.4634810400290015</c:v>
                </c:pt>
                <c:pt idx="164">
                  <c:v>1.4640745191908797</c:v>
                </c:pt>
                <c:pt idx="165">
                  <c:v>1.4650463220797854</c:v>
                </c:pt>
                <c:pt idx="166">
                  <c:v>1.4646681121702034</c:v>
                </c:pt>
                <c:pt idx="167">
                  <c:v>1.4637367877015415</c:v>
                </c:pt>
                <c:pt idx="168">
                  <c:v>1.462163454895588</c:v>
                </c:pt>
                <c:pt idx="169">
                  <c:v>1.4608863117270965</c:v>
                </c:pt>
                <c:pt idx="170">
                  <c:v>1.4594081894078501</c:v>
                </c:pt>
                <c:pt idx="171">
                  <c:v>1.4570546527066519</c:v>
                </c:pt>
                <c:pt idx="172">
                  <c:v>1.453731495158918</c:v>
                </c:pt>
                <c:pt idx="173">
                  <c:v>1.4508516487166794</c:v>
                </c:pt>
                <c:pt idx="174">
                  <c:v>1.4506962216237205</c:v>
                </c:pt>
                <c:pt idx="175">
                  <c:v>1.4501308395378076</c:v>
                </c:pt>
                <c:pt idx="176">
                  <c:v>1.4485109040225379</c:v>
                </c:pt>
                <c:pt idx="177">
                  <c:v>1.4487806462885437</c:v>
                </c:pt>
                <c:pt idx="178">
                  <c:v>1.4501470654094508</c:v>
                </c:pt>
                <c:pt idx="179">
                  <c:v>1.4514486189779143</c:v>
                </c:pt>
                <c:pt idx="180">
                  <c:v>1.4516443404163941</c:v>
                </c:pt>
                <c:pt idx="181">
                  <c:v>1.4520350017441381</c:v>
                </c:pt>
                <c:pt idx="182">
                  <c:v>1.4520288770348664</c:v>
                </c:pt>
                <c:pt idx="183">
                  <c:v>1.4541737824906955</c:v>
                </c:pt>
                <c:pt idx="184">
                  <c:v>1.4561588101773779</c:v>
                </c:pt>
                <c:pt idx="185">
                  <c:v>1.4574971768729728</c:v>
                </c:pt>
                <c:pt idx="186">
                  <c:v>1.4613007674271572</c:v>
                </c:pt>
                <c:pt idx="187">
                  <c:v>1.464402069616253</c:v>
                </c:pt>
                <c:pt idx="188">
                  <c:v>1.4686722353352359</c:v>
                </c:pt>
                <c:pt idx="189">
                  <c:v>1.4729463575121506</c:v>
                </c:pt>
                <c:pt idx="190">
                  <c:v>1.4769287579157453</c:v>
                </c:pt>
                <c:pt idx="191">
                  <c:v>1.4803844681732203</c:v>
                </c:pt>
                <c:pt idx="192">
                  <c:v>1.4833272633987626</c:v>
                </c:pt>
                <c:pt idx="193">
                  <c:v>1.4742296374627197</c:v>
                </c:pt>
                <c:pt idx="194">
                  <c:v>1.4656184853329812</c:v>
                </c:pt>
                <c:pt idx="195">
                  <c:v>1.4600331117069323</c:v>
                </c:pt>
                <c:pt idx="196">
                  <c:v>1.4559187490508649</c:v>
                </c:pt>
                <c:pt idx="197">
                  <c:v>1.4535923243816455</c:v>
                </c:pt>
                <c:pt idx="198">
                  <c:v>1.450672812790998</c:v>
                </c:pt>
                <c:pt idx="199">
                  <c:v>1.4505938805464982</c:v>
                </c:pt>
                <c:pt idx="200">
                  <c:v>1.44638558008706</c:v>
                </c:pt>
                <c:pt idx="201">
                  <c:v>1.446099152263344</c:v>
                </c:pt>
                <c:pt idx="202">
                  <c:v>1.4459117463243358</c:v>
                </c:pt>
                <c:pt idx="203">
                  <c:v>1.4447756281944761</c:v>
                </c:pt>
                <c:pt idx="204">
                  <c:v>1.4424015188491139</c:v>
                </c:pt>
                <c:pt idx="205">
                  <c:v>1.4419799336800159</c:v>
                </c:pt>
                <c:pt idx="206">
                  <c:v>1.4421162492219481</c:v>
                </c:pt>
                <c:pt idx="207">
                  <c:v>1.441663098645432</c:v>
                </c:pt>
                <c:pt idx="208">
                  <c:v>1.4425456437951079</c:v>
                </c:pt>
                <c:pt idx="209">
                  <c:v>1.442880138755442</c:v>
                </c:pt>
                <c:pt idx="210">
                  <c:v>1.4444185170417041</c:v>
                </c:pt>
                <c:pt idx="211">
                  <c:v>1.4462220645666419</c:v>
                </c:pt>
                <c:pt idx="212">
                  <c:v>1.448391663238586</c:v>
                </c:pt>
                <c:pt idx="213">
                  <c:v>1.450300700808842</c:v>
                </c:pt>
                <c:pt idx="214">
                  <c:v>1.452437777271248</c:v>
                </c:pt>
                <c:pt idx="215">
                  <c:v>1.453950356392808</c:v>
                </c:pt>
                <c:pt idx="216">
                  <c:v>1.455981611335702</c:v>
                </c:pt>
                <c:pt idx="217">
                  <c:v>1.4581689137454921</c:v>
                </c:pt>
                <c:pt idx="218">
                  <c:v>1.45994016542355</c:v>
                </c:pt>
                <c:pt idx="219">
                  <c:v>1.4624225892511</c:v>
                </c:pt>
                <c:pt idx="220">
                  <c:v>1.4655156907559019</c:v>
                </c:pt>
                <c:pt idx="221">
                  <c:v>1.4705624564989841</c:v>
                </c:pt>
                <c:pt idx="222">
                  <c:v>1.474639534380128</c:v>
                </c:pt>
                <c:pt idx="223">
                  <c:v>1.4799872607516118</c:v>
                </c:pt>
                <c:pt idx="224">
                  <c:v>1.48658351123378</c:v>
                </c:pt>
                <c:pt idx="225">
                  <c:v>1.492655840368728</c:v>
                </c:pt>
                <c:pt idx="226">
                  <c:v>1.499792099328076</c:v>
                </c:pt>
                <c:pt idx="227">
                  <c:v>1.5088270529686119</c:v>
                </c:pt>
                <c:pt idx="228">
                  <c:v>1.5166675535531999</c:v>
                </c:pt>
                <c:pt idx="229">
                  <c:v>1.5248350459562181</c:v>
                </c:pt>
                <c:pt idx="230">
                  <c:v>1.531727703114272</c:v>
                </c:pt>
                <c:pt idx="231">
                  <c:v>1.5365624125245498</c:v>
                </c:pt>
                <c:pt idx="232">
                  <c:v>1.540065848654482</c:v>
                </c:pt>
                <c:pt idx="233">
                  <c:v>1.5441928874373341</c:v>
                </c:pt>
                <c:pt idx="234">
                  <c:v>1.5464974140579142</c:v>
                </c:pt>
                <c:pt idx="235">
                  <c:v>1.546521253835144</c:v>
                </c:pt>
                <c:pt idx="236">
                  <c:v>1.5458508809126761</c:v>
                </c:pt>
                <c:pt idx="237">
                  <c:v>1.5466843292423458</c:v>
                </c:pt>
                <c:pt idx="238">
                  <c:v>1.5484762004623038</c:v>
                </c:pt>
                <c:pt idx="239">
                  <c:v>1.54907611633328</c:v>
                </c:pt>
                <c:pt idx="240">
                  <c:v>1.548011681363286</c:v>
                </c:pt>
                <c:pt idx="241">
                  <c:v>1.546223207613824</c:v>
                </c:pt>
                <c:pt idx="242">
                  <c:v>1.544901510927652</c:v>
                </c:pt>
                <c:pt idx="243">
                  <c:v>1.5430019092162039</c:v>
                </c:pt>
                <c:pt idx="244">
                  <c:v>1.5414636834882658</c:v>
                </c:pt>
                <c:pt idx="245">
                  <c:v>1.5395815500234939</c:v>
                </c:pt>
                <c:pt idx="246">
                  <c:v>1.536430113384498</c:v>
                </c:pt>
                <c:pt idx="247">
                  <c:v>1.53271700919975</c:v>
                </c:pt>
                <c:pt idx="248">
                  <c:v>1.529545107678608</c:v>
                </c:pt>
                <c:pt idx="249">
                  <c:v>1.5260290958723401</c:v>
                </c:pt>
                <c:pt idx="250">
                  <c:v>1.5241944446006559</c:v>
                </c:pt>
                <c:pt idx="251">
                  <c:v>1.522946953189092</c:v>
                </c:pt>
                <c:pt idx="252">
                  <c:v>1.523488887124826</c:v>
                </c:pt>
                <c:pt idx="253">
                  <c:v>1.5239864132190239</c:v>
                </c:pt>
                <c:pt idx="254">
                  <c:v>1.52458340717246</c:v>
                </c:pt>
                <c:pt idx="255">
                  <c:v>1.5242641472466041</c:v>
                </c:pt>
                <c:pt idx="256">
                  <c:v>1.5227658991952799</c:v>
                </c:pt>
                <c:pt idx="257">
                  <c:v>1.521464593909674</c:v>
                </c:pt>
                <c:pt idx="258">
                  <c:v>1.5200694047430379</c:v>
                </c:pt>
                <c:pt idx="259">
                  <c:v>1.518608542567804</c:v>
                </c:pt>
                <c:pt idx="260">
                  <c:v>1.51721813689852</c:v>
                </c:pt>
                <c:pt idx="261">
                  <c:v>1.5175694223999681</c:v>
                </c:pt>
                <c:pt idx="262">
                  <c:v>1.515472188687538</c:v>
                </c:pt>
                <c:pt idx="263">
                  <c:v>1.5153402910184999</c:v>
                </c:pt>
                <c:pt idx="264">
                  <c:v>1.515242803745422</c:v>
                </c:pt>
                <c:pt idx="265">
                  <c:v>1.5154930971329321</c:v>
                </c:pt>
                <c:pt idx="266">
                  <c:v>1.5160085642682541</c:v>
                </c:pt>
                <c:pt idx="267">
                  <c:v>1.5199506820523541</c:v>
                </c:pt>
                <c:pt idx="268">
                  <c:v>1.5204115523186261</c:v>
                </c:pt>
                <c:pt idx="269">
                  <c:v>1.5215354777686358</c:v>
                </c:pt>
                <c:pt idx="270">
                  <c:v>1.5237356906131501</c:v>
                </c:pt>
                <c:pt idx="271">
                  <c:v>1.525527165348648</c:v>
                </c:pt>
                <c:pt idx="272">
                  <c:v>1.5268299723122398</c:v>
                </c:pt>
                <c:pt idx="273">
                  <c:v>1.5286956540746079</c:v>
                </c:pt>
                <c:pt idx="274">
                  <c:v>1.5298089027298762</c:v>
                </c:pt>
                <c:pt idx="275">
                  <c:v>1.5331730575633975</c:v>
                </c:pt>
                <c:pt idx="276">
                  <c:v>1.5340431044333687</c:v>
                </c:pt>
                <c:pt idx="277">
                  <c:v>1.5342705105852745</c:v>
                </c:pt>
                <c:pt idx="278">
                  <c:v>1.5363988264265795</c:v>
                </c:pt>
                <c:pt idx="279">
                  <c:v>1.5387117355784239</c:v>
                </c:pt>
                <c:pt idx="280">
                  <c:v>1.5425788460533025</c:v>
                </c:pt>
                <c:pt idx="281">
                  <c:v>1.5447090314036493</c:v>
                </c:pt>
                <c:pt idx="282">
                  <c:v>1.5486246452850492</c:v>
                </c:pt>
                <c:pt idx="283">
                  <c:v>1.5535209559063146</c:v>
                </c:pt>
                <c:pt idx="284">
                  <c:v>1.558116269841036</c:v>
                </c:pt>
                <c:pt idx="285">
                  <c:v>1.5594226253111374</c:v>
                </c:pt>
                <c:pt idx="286">
                  <c:v>1.560334174765446</c:v>
                </c:pt>
                <c:pt idx="287">
                  <c:v>1.5622579248024051</c:v>
                </c:pt>
                <c:pt idx="288">
                  <c:v>1.5635705118104648</c:v>
                </c:pt>
                <c:pt idx="289">
                  <c:v>1.5650411857677284</c:v>
                </c:pt>
                <c:pt idx="290">
                  <c:v>1.5672576390372077</c:v>
                </c:pt>
                <c:pt idx="291">
                  <c:v>1.5683857106546448</c:v>
                </c:pt>
                <c:pt idx="292">
                  <c:v>1.5687190510796147</c:v>
                </c:pt>
                <c:pt idx="293">
                  <c:v>1.569119679222688</c:v>
                </c:pt>
                <c:pt idx="294">
                  <c:v>1.5695441298961972</c:v>
                </c:pt>
                <c:pt idx="295">
                  <c:v>1.5700146688787449</c:v>
                </c:pt>
                <c:pt idx="296">
                  <c:v>1.5701437268752456</c:v>
                </c:pt>
                <c:pt idx="297">
                  <c:v>1.569137275775359</c:v>
                </c:pt>
                <c:pt idx="298">
                  <c:v>1.5668382187570375</c:v>
                </c:pt>
                <c:pt idx="299">
                  <c:v>1.5648542203576949</c:v>
                </c:pt>
                <c:pt idx="300">
                  <c:v>1.5617430701110817</c:v>
                </c:pt>
                <c:pt idx="301">
                  <c:v>1.5588340128665847</c:v>
                </c:pt>
                <c:pt idx="302">
                  <c:v>1.5551107308201222</c:v>
                </c:pt>
                <c:pt idx="303">
                  <c:v>1.5510750829417235</c:v>
                </c:pt>
                <c:pt idx="304">
                  <c:v>1.5462178328249758</c:v>
                </c:pt>
                <c:pt idx="305">
                  <c:v>1.5415719789932947</c:v>
                </c:pt>
                <c:pt idx="306">
                  <c:v>1.5381147303412286</c:v>
                </c:pt>
                <c:pt idx="307">
                  <c:v>1.5367289605386536</c:v>
                </c:pt>
                <c:pt idx="308">
                  <c:v>1.5356906484299389</c:v>
                </c:pt>
                <c:pt idx="309">
                  <c:v>1.5355313991087454</c:v>
                </c:pt>
                <c:pt idx="310">
                  <c:v>1.5357085920509186</c:v>
                </c:pt>
                <c:pt idx="311">
                  <c:v>1.5388167041305905</c:v>
                </c:pt>
                <c:pt idx="312">
                  <c:v>1.5428333247286843</c:v>
                </c:pt>
                <c:pt idx="313">
                  <c:v>1.5459790410267029</c:v>
                </c:pt>
                <c:pt idx="314">
                  <c:v>1.5454616997133166</c:v>
                </c:pt>
                <c:pt idx="315">
                  <c:v>1.5450366141586365</c:v>
                </c:pt>
                <c:pt idx="316">
                  <c:v>1.5448651471871782</c:v>
                </c:pt>
                <c:pt idx="317">
                  <c:v>1.5445736390931541</c:v>
                </c:pt>
                <c:pt idx="318">
                  <c:v>1.5456198336834799</c:v>
                </c:pt>
                <c:pt idx="319">
                  <c:v>1.5476589599406325</c:v>
                </c:pt>
                <c:pt idx="320">
                  <c:v>1.5504716301794856</c:v>
                </c:pt>
                <c:pt idx="321">
                  <c:v>1.5537301347931325</c:v>
                </c:pt>
                <c:pt idx="322">
                  <c:v>1.5575639546054478</c:v>
                </c:pt>
                <c:pt idx="323">
                  <c:v>1.5606728190487922</c:v>
                </c:pt>
                <c:pt idx="324">
                  <c:v>1.565559869080285</c:v>
                </c:pt>
                <c:pt idx="325">
                  <c:v>1.5689691722621781</c:v>
                </c:pt>
                <c:pt idx="326">
                  <c:v>1.5713149612732009</c:v>
                </c:pt>
                <c:pt idx="327">
                  <c:v>1.5728461315124982</c:v>
                </c:pt>
                <c:pt idx="328">
                  <c:v>1.5748791187368381</c:v>
                </c:pt>
                <c:pt idx="329">
                  <c:v>1.5769513252325225</c:v>
                </c:pt>
                <c:pt idx="330">
                  <c:v>1.5785502113023488</c:v>
                </c:pt>
                <c:pt idx="331">
                  <c:v>1.581381797464207</c:v>
                </c:pt>
                <c:pt idx="332">
                  <c:v>1.5835999455452523</c:v>
                </c:pt>
                <c:pt idx="333">
                  <c:v>1.5867059023356784</c:v>
                </c:pt>
                <c:pt idx="334">
                  <c:v>1.5896874394819394</c:v>
                </c:pt>
                <c:pt idx="335">
                  <c:v>1.5924654203395545</c:v>
                </c:pt>
                <c:pt idx="336">
                  <c:v>1.5959003893431658</c:v>
                </c:pt>
                <c:pt idx="337">
                  <c:v>1.6000281857436649</c:v>
                </c:pt>
                <c:pt idx="338">
                  <c:v>1.6032331582127843</c:v>
                </c:pt>
                <c:pt idx="339">
                  <c:v>1.6055373253543566</c:v>
                </c:pt>
                <c:pt idx="340">
                  <c:v>1.6071631932925459</c:v>
                </c:pt>
                <c:pt idx="341">
                  <c:v>1.6088081913117989</c:v>
                </c:pt>
                <c:pt idx="342">
                  <c:v>1.610847992305247</c:v>
                </c:pt>
                <c:pt idx="343">
                  <c:v>1.6130226046838809</c:v>
                </c:pt>
                <c:pt idx="344">
                  <c:v>1.616116080528911</c:v>
                </c:pt>
                <c:pt idx="345">
                  <c:v>1.6177425008089614</c:v>
                </c:pt>
                <c:pt idx="346">
                  <c:v>1.6200234991364311</c:v>
                </c:pt>
                <c:pt idx="347">
                  <c:v>1.6225402115014425</c:v>
                </c:pt>
                <c:pt idx="348">
                  <c:v>1.6260570496645956</c:v>
                </c:pt>
                <c:pt idx="349">
                  <c:v>1.6301245735328285</c:v>
                </c:pt>
                <c:pt idx="350">
                  <c:v>1.634277807631433</c:v>
                </c:pt>
                <c:pt idx="351">
                  <c:v>1.6402571460440991</c:v>
                </c:pt>
                <c:pt idx="352">
                  <c:v>1.6471803854836506</c:v>
                </c:pt>
                <c:pt idx="353">
                  <c:v>1.655027565899255</c:v>
                </c:pt>
                <c:pt idx="354">
                  <c:v>1.6655132114142204</c:v>
                </c:pt>
                <c:pt idx="355">
                  <c:v>1.673444836779284</c:v>
                </c:pt>
                <c:pt idx="356">
                  <c:v>1.6844319932509435</c:v>
                </c:pt>
                <c:pt idx="357">
                  <c:v>1.6946134728597526</c:v>
                </c:pt>
                <c:pt idx="358">
                  <c:v>1.7027847399432225</c:v>
                </c:pt>
                <c:pt idx="359">
                  <c:v>1.7123334130837145</c:v>
                </c:pt>
                <c:pt idx="360">
                  <c:v>1.7209544555589094</c:v>
                </c:pt>
                <c:pt idx="361">
                  <c:v>1.7270145720962684</c:v>
                </c:pt>
                <c:pt idx="362">
                  <c:v>1.7310521730094497</c:v>
                </c:pt>
                <c:pt idx="363">
                  <c:v>1.7362492427150324</c:v>
                </c:pt>
                <c:pt idx="364">
                  <c:v>1.7410345682634154</c:v>
                </c:pt>
                <c:pt idx="365">
                  <c:v>1.7481059420168676</c:v>
                </c:pt>
                <c:pt idx="366">
                  <c:v>1.7533095892834472</c:v>
                </c:pt>
                <c:pt idx="367">
                  <c:v>1.7573577730686505</c:v>
                </c:pt>
                <c:pt idx="368">
                  <c:v>1.7620923294391306</c:v>
                </c:pt>
                <c:pt idx="369">
                  <c:v>1.766014533421272</c:v>
                </c:pt>
                <c:pt idx="370">
                  <c:v>1.7699234554544458</c:v>
                </c:pt>
                <c:pt idx="371">
                  <c:v>1.7747396562726796</c:v>
                </c:pt>
                <c:pt idx="372">
                  <c:v>1.7781825626649588</c:v>
                </c:pt>
                <c:pt idx="373">
                  <c:v>1.7803207129454057</c:v>
                </c:pt>
                <c:pt idx="374">
                  <c:v>1.7822027883661509</c:v>
                </c:pt>
                <c:pt idx="375">
                  <c:v>1.7833756409207253</c:v>
                </c:pt>
                <c:pt idx="376">
                  <c:v>1.7843799818521762</c:v>
                </c:pt>
                <c:pt idx="377">
                  <c:v>1.7845244813876391</c:v>
                </c:pt>
                <c:pt idx="378">
                  <c:v>1.7848648878431861</c:v>
                </c:pt>
                <c:pt idx="379">
                  <c:v>1.7842812350757493</c:v>
                </c:pt>
                <c:pt idx="380">
                  <c:v>1.7834986631441463</c:v>
                </c:pt>
                <c:pt idx="381">
                  <c:v>1.7821893415600993</c:v>
                </c:pt>
                <c:pt idx="382">
                  <c:v>1.7808321913005134</c:v>
                </c:pt>
                <c:pt idx="383">
                  <c:v>1.779249384392269</c:v>
                </c:pt>
                <c:pt idx="384">
                  <c:v>1.7770514201065093</c:v>
                </c:pt>
                <c:pt idx="385">
                  <c:v>1.7752626465211068</c:v>
                </c:pt>
                <c:pt idx="386">
                  <c:v>1.7742793050065997</c:v>
                </c:pt>
                <c:pt idx="387">
                  <c:v>1.7783469907276332</c:v>
                </c:pt>
                <c:pt idx="388">
                  <c:v>1.7820171969418408</c:v>
                </c:pt>
                <c:pt idx="389">
                  <c:v>1.7813286786910043</c:v>
                </c:pt>
                <c:pt idx="390">
                  <c:v>1.7798899373608439</c:v>
                </c:pt>
                <c:pt idx="391">
                  <c:v>1.7788296678915463</c:v>
                </c:pt>
                <c:pt idx="392">
                  <c:v>1.7777985833900569</c:v>
                </c:pt>
                <c:pt idx="393">
                  <c:v>1.7760934645541517</c:v>
                </c:pt>
                <c:pt idx="394">
                  <c:v>1.77573437485091</c:v>
                </c:pt>
                <c:pt idx="395">
                  <c:v>1.775968141981644</c:v>
                </c:pt>
                <c:pt idx="396">
                  <c:v>1.7762681481090778</c:v>
                </c:pt>
                <c:pt idx="397">
                  <c:v>1.776642401768076</c:v>
                </c:pt>
                <c:pt idx="398">
                  <c:v>1.7762894510014282</c:v>
                </c:pt>
                <c:pt idx="399">
                  <c:v>1.7756752433261813</c:v>
                </c:pt>
                <c:pt idx="400">
                  <c:v>1.7746379917019888</c:v>
                </c:pt>
                <c:pt idx="401">
                  <c:v>1.7727972855562224</c:v>
                </c:pt>
                <c:pt idx="402">
                  <c:v>1.77139290757271</c:v>
                </c:pt>
                <c:pt idx="403">
                  <c:v>1.7703292722843731</c:v>
                </c:pt>
                <c:pt idx="404">
                  <c:v>1.7700912965624174</c:v>
                </c:pt>
                <c:pt idx="405">
                  <c:v>1.7708514864889089</c:v>
                </c:pt>
                <c:pt idx="406">
                  <c:v>1.7718611375186921</c:v>
                </c:pt>
                <c:pt idx="407">
                  <c:v>1.7724358864792871</c:v>
                </c:pt>
                <c:pt idx="408">
                  <c:v>1.7733675708132581</c:v>
                </c:pt>
                <c:pt idx="409">
                  <c:v>1.7745060854549262</c:v>
                </c:pt>
                <c:pt idx="410">
                  <c:v>1.7767330856582801</c:v>
                </c:pt>
                <c:pt idx="411">
                  <c:v>1.7778117976145114</c:v>
                </c:pt>
                <c:pt idx="412">
                  <c:v>1.7779529793674638</c:v>
                </c:pt>
                <c:pt idx="413">
                  <c:v>1.7773079230283546</c:v>
                </c:pt>
                <c:pt idx="414">
                  <c:v>1.7764300312680095</c:v>
                </c:pt>
                <c:pt idx="415">
                  <c:v>1.7749643907702961</c:v>
                </c:pt>
                <c:pt idx="416">
                  <c:v>1.7729937977445154</c:v>
                </c:pt>
                <c:pt idx="417">
                  <c:v>1.7705799751538884</c:v>
                </c:pt>
                <c:pt idx="418">
                  <c:v>1.7705271833975094</c:v>
                </c:pt>
                <c:pt idx="419">
                  <c:v>1.7706034249061851</c:v>
                </c:pt>
                <c:pt idx="420">
                  <c:v>1.7602980932950731</c:v>
                </c:pt>
                <c:pt idx="421">
                  <c:v>1.7504570451268486</c:v>
                </c:pt>
                <c:pt idx="422">
                  <c:v>1.7413964755193527</c:v>
                </c:pt>
                <c:pt idx="423">
                  <c:v>1.7332041240267861</c:v>
                </c:pt>
                <c:pt idx="424">
                  <c:v>1.7272110122092208</c:v>
                </c:pt>
                <c:pt idx="425">
                  <c:v>1.7171351849128262</c:v>
                </c:pt>
                <c:pt idx="426">
                  <c:v>1.7069655206800571</c:v>
                </c:pt>
                <c:pt idx="427">
                  <c:v>1.6947881291649554</c:v>
                </c:pt>
                <c:pt idx="428">
                  <c:v>1.6833902628611737</c:v>
                </c:pt>
                <c:pt idx="429">
                  <c:v>1.6704811230275947</c:v>
                </c:pt>
                <c:pt idx="430">
                  <c:v>1.6568200758825868</c:v>
                </c:pt>
                <c:pt idx="431">
                  <c:v>1.6427769509359049</c:v>
                </c:pt>
                <c:pt idx="432">
                  <c:v>1.634698106223712</c:v>
                </c:pt>
                <c:pt idx="433">
                  <c:v>1.6278338252487901</c:v>
                </c:pt>
                <c:pt idx="434">
                  <c:v>1.6216596008389481</c:v>
                </c:pt>
                <c:pt idx="435">
                  <c:v>1.6159696284445</c:v>
                </c:pt>
                <c:pt idx="436">
                  <c:v>1.6107422120647299</c:v>
                </c:pt>
                <c:pt idx="437">
                  <c:v>1.607359351753908</c:v>
                </c:pt>
                <c:pt idx="438">
                  <c:v>1.6020008261485681</c:v>
                </c:pt>
                <c:pt idx="439">
                  <c:v>1.5984133354124379</c:v>
                </c:pt>
                <c:pt idx="440">
                  <c:v>1.593887509997248</c:v>
                </c:pt>
                <c:pt idx="441">
                  <c:v>1.58774617818908</c:v>
                </c:pt>
                <c:pt idx="442">
                  <c:v>1.583163017913882</c:v>
                </c:pt>
                <c:pt idx="443">
                  <c:v>1.5789256670468399</c:v>
                </c:pt>
                <c:pt idx="444">
                  <c:v>1.5751394305331061</c:v>
                </c:pt>
                <c:pt idx="445">
                  <c:v>1.56968702496817</c:v>
                </c:pt>
                <c:pt idx="446">
                  <c:v>1.5644693715095019</c:v>
                </c:pt>
                <c:pt idx="447">
                  <c:v>1.5614903304138941</c:v>
                </c:pt>
                <c:pt idx="448">
                  <c:v>1.5586386547761339</c:v>
                </c:pt>
                <c:pt idx="449">
                  <c:v>1.5544913964124318</c:v>
                </c:pt>
                <c:pt idx="450">
                  <c:v>1.5522276598040159</c:v>
                </c:pt>
                <c:pt idx="451">
                  <c:v>1.5495678337355701</c:v>
                </c:pt>
                <c:pt idx="452">
                  <c:v>1.5474720678206542</c:v>
                </c:pt>
                <c:pt idx="453">
                  <c:v>1.547129779382834</c:v>
                </c:pt>
                <c:pt idx="454">
                  <c:v>1.5466794123433261</c:v>
                </c:pt>
                <c:pt idx="455">
                  <c:v>1.546416196999022</c:v>
                </c:pt>
                <c:pt idx="456">
                  <c:v>1.5460066624793101</c:v>
                </c:pt>
                <c:pt idx="457">
                  <c:v>1.5455299957378998</c:v>
                </c:pt>
                <c:pt idx="458">
                  <c:v>1.5449976149921121</c:v>
                </c:pt>
                <c:pt idx="459">
                  <c:v>1.544236888737458</c:v>
                </c:pt>
                <c:pt idx="460">
                  <c:v>1.5435746819367444</c:v>
                </c:pt>
                <c:pt idx="461">
                  <c:v>1.5424996207135573</c:v>
                </c:pt>
                <c:pt idx="462">
                  <c:v>1.5412970000563109</c:v>
                </c:pt>
                <c:pt idx="463">
                  <c:v>1.5413350416714025</c:v>
                </c:pt>
                <c:pt idx="464">
                  <c:v>1.5410973299199713</c:v>
                </c:pt>
                <c:pt idx="465">
                  <c:v>1.5408639038194434</c:v>
                </c:pt>
                <c:pt idx="466">
                  <c:v>1.5409977600059479</c:v>
                </c:pt>
                <c:pt idx="467">
                  <c:v>1.5413540663204572</c:v>
                </c:pt>
                <c:pt idx="468">
                  <c:v>1.5409092378232212</c:v>
                </c:pt>
                <c:pt idx="469">
                  <c:v>1.5415567481405958</c:v>
                </c:pt>
                <c:pt idx="470">
                  <c:v>1.5424048561594452</c:v>
                </c:pt>
                <c:pt idx="471">
                  <c:v>1.5431213691699313</c:v>
                </c:pt>
                <c:pt idx="472">
                  <c:v>1.5348887264071118</c:v>
                </c:pt>
                <c:pt idx="473">
                  <c:v>1.5275860761018385</c:v>
                </c:pt>
                <c:pt idx="474">
                  <c:v>1.5208381143617995</c:v>
                </c:pt>
                <c:pt idx="475">
                  <c:v>1.5139771309252257</c:v>
                </c:pt>
                <c:pt idx="476">
                  <c:v>1.5065219236636791</c:v>
                </c:pt>
                <c:pt idx="477">
                  <c:v>1.499927616144332</c:v>
                </c:pt>
                <c:pt idx="478">
                  <c:v>1.4931009732171558</c:v>
                </c:pt>
                <c:pt idx="479">
                  <c:v>1.486545361374092</c:v>
                </c:pt>
                <c:pt idx="480">
                  <c:v>1.479927055976558</c:v>
                </c:pt>
                <c:pt idx="481">
                  <c:v>1.476897816355456</c:v>
                </c:pt>
                <c:pt idx="482">
                  <c:v>1.474204299068246</c:v>
                </c:pt>
                <c:pt idx="483">
                  <c:v>1.4714135217908839</c:v>
                </c:pt>
                <c:pt idx="484">
                  <c:v>1.469437645110216</c:v>
                </c:pt>
                <c:pt idx="485">
                  <c:v>1.467991516344167</c:v>
                </c:pt>
                <c:pt idx="486">
                  <c:v>1.4674931990874693</c:v>
                </c:pt>
              </c:numCache>
            </c:numRef>
          </c:val>
        </c:ser>
        <c:ser>
          <c:idx val="3"/>
          <c:order val="3"/>
          <c:tx>
            <c:strRef>
              <c:f>グラフ!$G$41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43809</c:v>
                </c:pt>
                <c:pt idx="1">
                  <c:v>43808</c:v>
                </c:pt>
                <c:pt idx="2">
                  <c:v>43805</c:v>
                </c:pt>
                <c:pt idx="3">
                  <c:v>43804</c:v>
                </c:pt>
                <c:pt idx="4">
                  <c:v>43803</c:v>
                </c:pt>
                <c:pt idx="5">
                  <c:v>43802</c:v>
                </c:pt>
                <c:pt idx="6">
                  <c:v>43801</c:v>
                </c:pt>
                <c:pt idx="7">
                  <c:v>43798</c:v>
                </c:pt>
                <c:pt idx="8">
                  <c:v>43797</c:v>
                </c:pt>
                <c:pt idx="9">
                  <c:v>43796</c:v>
                </c:pt>
                <c:pt idx="10">
                  <c:v>43795</c:v>
                </c:pt>
                <c:pt idx="11">
                  <c:v>43794</c:v>
                </c:pt>
                <c:pt idx="12">
                  <c:v>43791</c:v>
                </c:pt>
                <c:pt idx="13">
                  <c:v>43790</c:v>
                </c:pt>
                <c:pt idx="14">
                  <c:v>43789</c:v>
                </c:pt>
                <c:pt idx="15">
                  <c:v>43788</c:v>
                </c:pt>
                <c:pt idx="16">
                  <c:v>43787</c:v>
                </c:pt>
                <c:pt idx="17">
                  <c:v>43784</c:v>
                </c:pt>
                <c:pt idx="18">
                  <c:v>43783</c:v>
                </c:pt>
                <c:pt idx="19">
                  <c:v>43782</c:v>
                </c:pt>
                <c:pt idx="20">
                  <c:v>43781</c:v>
                </c:pt>
                <c:pt idx="21">
                  <c:v>43780</c:v>
                </c:pt>
                <c:pt idx="22">
                  <c:v>43777</c:v>
                </c:pt>
                <c:pt idx="23">
                  <c:v>43776</c:v>
                </c:pt>
                <c:pt idx="24">
                  <c:v>43775</c:v>
                </c:pt>
                <c:pt idx="25">
                  <c:v>43774</c:v>
                </c:pt>
                <c:pt idx="26">
                  <c:v>43770</c:v>
                </c:pt>
                <c:pt idx="27">
                  <c:v>43769</c:v>
                </c:pt>
                <c:pt idx="28">
                  <c:v>43768</c:v>
                </c:pt>
                <c:pt idx="29">
                  <c:v>43767</c:v>
                </c:pt>
                <c:pt idx="30">
                  <c:v>43766</c:v>
                </c:pt>
                <c:pt idx="31">
                  <c:v>43763</c:v>
                </c:pt>
                <c:pt idx="32">
                  <c:v>43762</c:v>
                </c:pt>
                <c:pt idx="33">
                  <c:v>43761</c:v>
                </c:pt>
                <c:pt idx="34">
                  <c:v>43759</c:v>
                </c:pt>
                <c:pt idx="35">
                  <c:v>43756</c:v>
                </c:pt>
                <c:pt idx="36">
                  <c:v>43755</c:v>
                </c:pt>
                <c:pt idx="37">
                  <c:v>43754</c:v>
                </c:pt>
                <c:pt idx="38">
                  <c:v>43753</c:v>
                </c:pt>
                <c:pt idx="39">
                  <c:v>43749</c:v>
                </c:pt>
                <c:pt idx="40">
                  <c:v>43748</c:v>
                </c:pt>
                <c:pt idx="41">
                  <c:v>43747</c:v>
                </c:pt>
                <c:pt idx="42">
                  <c:v>43746</c:v>
                </c:pt>
                <c:pt idx="43">
                  <c:v>43745</c:v>
                </c:pt>
                <c:pt idx="44">
                  <c:v>43742</c:v>
                </c:pt>
                <c:pt idx="45">
                  <c:v>43741</c:v>
                </c:pt>
                <c:pt idx="46">
                  <c:v>43740</c:v>
                </c:pt>
                <c:pt idx="47">
                  <c:v>43739</c:v>
                </c:pt>
                <c:pt idx="48">
                  <c:v>43738</c:v>
                </c:pt>
                <c:pt idx="49">
                  <c:v>43735</c:v>
                </c:pt>
                <c:pt idx="50">
                  <c:v>43734</c:v>
                </c:pt>
                <c:pt idx="51">
                  <c:v>43733</c:v>
                </c:pt>
                <c:pt idx="52">
                  <c:v>43732</c:v>
                </c:pt>
                <c:pt idx="53">
                  <c:v>43728</c:v>
                </c:pt>
                <c:pt idx="54">
                  <c:v>43727</c:v>
                </c:pt>
                <c:pt idx="55">
                  <c:v>43726</c:v>
                </c:pt>
                <c:pt idx="56">
                  <c:v>43725</c:v>
                </c:pt>
                <c:pt idx="57">
                  <c:v>43721</c:v>
                </c:pt>
                <c:pt idx="58">
                  <c:v>43720</c:v>
                </c:pt>
                <c:pt idx="59">
                  <c:v>43719</c:v>
                </c:pt>
                <c:pt idx="60">
                  <c:v>43718</c:v>
                </c:pt>
                <c:pt idx="61">
                  <c:v>43717</c:v>
                </c:pt>
                <c:pt idx="62">
                  <c:v>43714</c:v>
                </c:pt>
                <c:pt idx="63">
                  <c:v>43713</c:v>
                </c:pt>
                <c:pt idx="64">
                  <c:v>43712</c:v>
                </c:pt>
                <c:pt idx="65">
                  <c:v>43711</c:v>
                </c:pt>
                <c:pt idx="66">
                  <c:v>43710</c:v>
                </c:pt>
                <c:pt idx="67">
                  <c:v>43707</c:v>
                </c:pt>
                <c:pt idx="68">
                  <c:v>43706</c:v>
                </c:pt>
                <c:pt idx="69">
                  <c:v>43705</c:v>
                </c:pt>
                <c:pt idx="70">
                  <c:v>43704</c:v>
                </c:pt>
                <c:pt idx="71">
                  <c:v>43703</c:v>
                </c:pt>
                <c:pt idx="72">
                  <c:v>43700</c:v>
                </c:pt>
                <c:pt idx="73">
                  <c:v>43699</c:v>
                </c:pt>
                <c:pt idx="74">
                  <c:v>43698</c:v>
                </c:pt>
                <c:pt idx="75">
                  <c:v>43697</c:v>
                </c:pt>
                <c:pt idx="76">
                  <c:v>43696</c:v>
                </c:pt>
                <c:pt idx="77">
                  <c:v>43693</c:v>
                </c:pt>
                <c:pt idx="78">
                  <c:v>43692</c:v>
                </c:pt>
                <c:pt idx="79">
                  <c:v>43691</c:v>
                </c:pt>
                <c:pt idx="80">
                  <c:v>43690</c:v>
                </c:pt>
                <c:pt idx="81">
                  <c:v>43686</c:v>
                </c:pt>
                <c:pt idx="82">
                  <c:v>43685</c:v>
                </c:pt>
                <c:pt idx="83">
                  <c:v>43684</c:v>
                </c:pt>
                <c:pt idx="84">
                  <c:v>43683</c:v>
                </c:pt>
                <c:pt idx="85">
                  <c:v>43682</c:v>
                </c:pt>
                <c:pt idx="86">
                  <c:v>43679</c:v>
                </c:pt>
                <c:pt idx="87">
                  <c:v>43678</c:v>
                </c:pt>
                <c:pt idx="88">
                  <c:v>43677</c:v>
                </c:pt>
                <c:pt idx="89">
                  <c:v>43676</c:v>
                </c:pt>
                <c:pt idx="90">
                  <c:v>43675</c:v>
                </c:pt>
                <c:pt idx="91">
                  <c:v>43672</c:v>
                </c:pt>
                <c:pt idx="92">
                  <c:v>43671</c:v>
                </c:pt>
                <c:pt idx="93">
                  <c:v>43670</c:v>
                </c:pt>
                <c:pt idx="94">
                  <c:v>43669</c:v>
                </c:pt>
                <c:pt idx="95">
                  <c:v>43668</c:v>
                </c:pt>
                <c:pt idx="96">
                  <c:v>43665</c:v>
                </c:pt>
                <c:pt idx="97">
                  <c:v>43664</c:v>
                </c:pt>
                <c:pt idx="98">
                  <c:v>43663</c:v>
                </c:pt>
                <c:pt idx="99">
                  <c:v>43662</c:v>
                </c:pt>
                <c:pt idx="100">
                  <c:v>43658</c:v>
                </c:pt>
                <c:pt idx="101">
                  <c:v>43657</c:v>
                </c:pt>
                <c:pt idx="102">
                  <c:v>43656</c:v>
                </c:pt>
                <c:pt idx="103">
                  <c:v>43655</c:v>
                </c:pt>
                <c:pt idx="104">
                  <c:v>43654</c:v>
                </c:pt>
                <c:pt idx="105">
                  <c:v>43651</c:v>
                </c:pt>
                <c:pt idx="106">
                  <c:v>43650</c:v>
                </c:pt>
                <c:pt idx="107">
                  <c:v>43649</c:v>
                </c:pt>
                <c:pt idx="108">
                  <c:v>43648</c:v>
                </c:pt>
                <c:pt idx="109">
                  <c:v>43647</c:v>
                </c:pt>
                <c:pt idx="110">
                  <c:v>43644</c:v>
                </c:pt>
                <c:pt idx="111">
                  <c:v>43643</c:v>
                </c:pt>
                <c:pt idx="112">
                  <c:v>43642</c:v>
                </c:pt>
                <c:pt idx="113">
                  <c:v>43641</c:v>
                </c:pt>
                <c:pt idx="114">
                  <c:v>43640</c:v>
                </c:pt>
                <c:pt idx="115">
                  <c:v>43637</c:v>
                </c:pt>
                <c:pt idx="116">
                  <c:v>43636</c:v>
                </c:pt>
                <c:pt idx="117">
                  <c:v>43635</c:v>
                </c:pt>
                <c:pt idx="118">
                  <c:v>43634</c:v>
                </c:pt>
                <c:pt idx="119">
                  <c:v>43633</c:v>
                </c:pt>
                <c:pt idx="120">
                  <c:v>43630</c:v>
                </c:pt>
                <c:pt idx="121">
                  <c:v>43629</c:v>
                </c:pt>
                <c:pt idx="122">
                  <c:v>43628</c:v>
                </c:pt>
                <c:pt idx="123">
                  <c:v>43627</c:v>
                </c:pt>
                <c:pt idx="124">
                  <c:v>43626</c:v>
                </c:pt>
                <c:pt idx="125">
                  <c:v>43623</c:v>
                </c:pt>
                <c:pt idx="126">
                  <c:v>43622</c:v>
                </c:pt>
                <c:pt idx="127">
                  <c:v>43621</c:v>
                </c:pt>
                <c:pt idx="128">
                  <c:v>43620</c:v>
                </c:pt>
                <c:pt idx="129">
                  <c:v>43619</c:v>
                </c:pt>
                <c:pt idx="130">
                  <c:v>43616</c:v>
                </c:pt>
                <c:pt idx="131">
                  <c:v>43615</c:v>
                </c:pt>
                <c:pt idx="132">
                  <c:v>43614</c:v>
                </c:pt>
                <c:pt idx="133">
                  <c:v>43613</c:v>
                </c:pt>
                <c:pt idx="134">
                  <c:v>43612</c:v>
                </c:pt>
                <c:pt idx="135">
                  <c:v>43609</c:v>
                </c:pt>
                <c:pt idx="136">
                  <c:v>43608</c:v>
                </c:pt>
                <c:pt idx="137">
                  <c:v>43607</c:v>
                </c:pt>
                <c:pt idx="138">
                  <c:v>43606</c:v>
                </c:pt>
                <c:pt idx="139">
                  <c:v>43605</c:v>
                </c:pt>
                <c:pt idx="140">
                  <c:v>43602</c:v>
                </c:pt>
                <c:pt idx="141">
                  <c:v>43601</c:v>
                </c:pt>
                <c:pt idx="142">
                  <c:v>43600</c:v>
                </c:pt>
                <c:pt idx="143">
                  <c:v>43599</c:v>
                </c:pt>
                <c:pt idx="144">
                  <c:v>43598</c:v>
                </c:pt>
                <c:pt idx="145">
                  <c:v>43595</c:v>
                </c:pt>
                <c:pt idx="146">
                  <c:v>43594</c:v>
                </c:pt>
                <c:pt idx="147">
                  <c:v>43593</c:v>
                </c:pt>
                <c:pt idx="148">
                  <c:v>43592</c:v>
                </c:pt>
                <c:pt idx="149">
                  <c:v>43581</c:v>
                </c:pt>
                <c:pt idx="150">
                  <c:v>43580</c:v>
                </c:pt>
                <c:pt idx="151">
                  <c:v>43579</c:v>
                </c:pt>
                <c:pt idx="152">
                  <c:v>43578</c:v>
                </c:pt>
                <c:pt idx="153">
                  <c:v>43577</c:v>
                </c:pt>
                <c:pt idx="154">
                  <c:v>43574</c:v>
                </c:pt>
                <c:pt idx="155">
                  <c:v>43573</c:v>
                </c:pt>
                <c:pt idx="156">
                  <c:v>43572</c:v>
                </c:pt>
                <c:pt idx="157">
                  <c:v>43571</c:v>
                </c:pt>
                <c:pt idx="158">
                  <c:v>43570</c:v>
                </c:pt>
                <c:pt idx="159">
                  <c:v>43567</c:v>
                </c:pt>
                <c:pt idx="160">
                  <c:v>43566</c:v>
                </c:pt>
                <c:pt idx="161">
                  <c:v>43565</c:v>
                </c:pt>
                <c:pt idx="162">
                  <c:v>43564</c:v>
                </c:pt>
                <c:pt idx="163">
                  <c:v>43563</c:v>
                </c:pt>
                <c:pt idx="164">
                  <c:v>43560</c:v>
                </c:pt>
                <c:pt idx="165">
                  <c:v>43559</c:v>
                </c:pt>
                <c:pt idx="166">
                  <c:v>43558</c:v>
                </c:pt>
                <c:pt idx="167">
                  <c:v>43557</c:v>
                </c:pt>
                <c:pt idx="168">
                  <c:v>43556</c:v>
                </c:pt>
                <c:pt idx="169">
                  <c:v>43553</c:v>
                </c:pt>
                <c:pt idx="170">
                  <c:v>43552</c:v>
                </c:pt>
                <c:pt idx="171">
                  <c:v>43551</c:v>
                </c:pt>
                <c:pt idx="172">
                  <c:v>43550</c:v>
                </c:pt>
                <c:pt idx="173">
                  <c:v>43549</c:v>
                </c:pt>
                <c:pt idx="174">
                  <c:v>43546</c:v>
                </c:pt>
                <c:pt idx="175">
                  <c:v>43544</c:v>
                </c:pt>
                <c:pt idx="176">
                  <c:v>43543</c:v>
                </c:pt>
                <c:pt idx="177">
                  <c:v>43542</c:v>
                </c:pt>
                <c:pt idx="178">
                  <c:v>43539</c:v>
                </c:pt>
                <c:pt idx="179">
                  <c:v>43538</c:v>
                </c:pt>
                <c:pt idx="180">
                  <c:v>43537</c:v>
                </c:pt>
                <c:pt idx="181">
                  <c:v>43536</c:v>
                </c:pt>
                <c:pt idx="182">
                  <c:v>43535</c:v>
                </c:pt>
                <c:pt idx="183">
                  <c:v>43532</c:v>
                </c:pt>
                <c:pt idx="184">
                  <c:v>43531</c:v>
                </c:pt>
                <c:pt idx="185">
                  <c:v>43530</c:v>
                </c:pt>
                <c:pt idx="186">
                  <c:v>43529</c:v>
                </c:pt>
                <c:pt idx="187">
                  <c:v>43528</c:v>
                </c:pt>
                <c:pt idx="188">
                  <c:v>43525</c:v>
                </c:pt>
                <c:pt idx="189">
                  <c:v>43524</c:v>
                </c:pt>
                <c:pt idx="190">
                  <c:v>43523</c:v>
                </c:pt>
                <c:pt idx="191">
                  <c:v>43522</c:v>
                </c:pt>
                <c:pt idx="192">
                  <c:v>43521</c:v>
                </c:pt>
                <c:pt idx="193">
                  <c:v>43518</c:v>
                </c:pt>
                <c:pt idx="194">
                  <c:v>43517</c:v>
                </c:pt>
                <c:pt idx="195">
                  <c:v>43516</c:v>
                </c:pt>
                <c:pt idx="196">
                  <c:v>43515</c:v>
                </c:pt>
                <c:pt idx="197">
                  <c:v>43514</c:v>
                </c:pt>
                <c:pt idx="198">
                  <c:v>43511</c:v>
                </c:pt>
                <c:pt idx="199">
                  <c:v>43510</c:v>
                </c:pt>
                <c:pt idx="200">
                  <c:v>43509</c:v>
                </c:pt>
                <c:pt idx="201">
                  <c:v>43508</c:v>
                </c:pt>
                <c:pt idx="202">
                  <c:v>43504</c:v>
                </c:pt>
                <c:pt idx="203">
                  <c:v>43503</c:v>
                </c:pt>
                <c:pt idx="204">
                  <c:v>43502</c:v>
                </c:pt>
                <c:pt idx="205">
                  <c:v>43501</c:v>
                </c:pt>
                <c:pt idx="206">
                  <c:v>43500</c:v>
                </c:pt>
                <c:pt idx="207">
                  <c:v>43497</c:v>
                </c:pt>
                <c:pt idx="208">
                  <c:v>43496</c:v>
                </c:pt>
                <c:pt idx="209">
                  <c:v>43495</c:v>
                </c:pt>
                <c:pt idx="210">
                  <c:v>43494</c:v>
                </c:pt>
                <c:pt idx="211">
                  <c:v>43493</c:v>
                </c:pt>
                <c:pt idx="212">
                  <c:v>43490</c:v>
                </c:pt>
                <c:pt idx="213">
                  <c:v>43489</c:v>
                </c:pt>
                <c:pt idx="214">
                  <c:v>43488</c:v>
                </c:pt>
                <c:pt idx="215">
                  <c:v>43487</c:v>
                </c:pt>
                <c:pt idx="216">
                  <c:v>43486</c:v>
                </c:pt>
                <c:pt idx="217">
                  <c:v>43483</c:v>
                </c:pt>
                <c:pt idx="218">
                  <c:v>43482</c:v>
                </c:pt>
                <c:pt idx="219">
                  <c:v>43481</c:v>
                </c:pt>
                <c:pt idx="220">
                  <c:v>43480</c:v>
                </c:pt>
                <c:pt idx="221">
                  <c:v>43476</c:v>
                </c:pt>
                <c:pt idx="222">
                  <c:v>43475</c:v>
                </c:pt>
                <c:pt idx="223">
                  <c:v>43474</c:v>
                </c:pt>
                <c:pt idx="224">
                  <c:v>43473</c:v>
                </c:pt>
                <c:pt idx="225">
                  <c:v>43472</c:v>
                </c:pt>
                <c:pt idx="226">
                  <c:v>43469</c:v>
                </c:pt>
                <c:pt idx="227">
                  <c:v>43462</c:v>
                </c:pt>
                <c:pt idx="228">
                  <c:v>43461</c:v>
                </c:pt>
                <c:pt idx="229">
                  <c:v>43460</c:v>
                </c:pt>
                <c:pt idx="230">
                  <c:v>43459</c:v>
                </c:pt>
                <c:pt idx="231">
                  <c:v>43455</c:v>
                </c:pt>
                <c:pt idx="232">
                  <c:v>43454</c:v>
                </c:pt>
                <c:pt idx="233">
                  <c:v>43453</c:v>
                </c:pt>
                <c:pt idx="234">
                  <c:v>43452</c:v>
                </c:pt>
                <c:pt idx="235">
                  <c:v>43451</c:v>
                </c:pt>
                <c:pt idx="236">
                  <c:v>43448</c:v>
                </c:pt>
                <c:pt idx="237">
                  <c:v>43447</c:v>
                </c:pt>
                <c:pt idx="238">
                  <c:v>43446</c:v>
                </c:pt>
                <c:pt idx="239">
                  <c:v>43445</c:v>
                </c:pt>
                <c:pt idx="240">
                  <c:v>43444</c:v>
                </c:pt>
                <c:pt idx="241">
                  <c:v>43441</c:v>
                </c:pt>
                <c:pt idx="242">
                  <c:v>43440</c:v>
                </c:pt>
                <c:pt idx="243">
                  <c:v>43439</c:v>
                </c:pt>
                <c:pt idx="244">
                  <c:v>43438</c:v>
                </c:pt>
                <c:pt idx="245">
                  <c:v>43437</c:v>
                </c:pt>
                <c:pt idx="246">
                  <c:v>43434</c:v>
                </c:pt>
                <c:pt idx="247">
                  <c:v>43433</c:v>
                </c:pt>
                <c:pt idx="248">
                  <c:v>43432</c:v>
                </c:pt>
                <c:pt idx="249">
                  <c:v>43431</c:v>
                </c:pt>
                <c:pt idx="250">
                  <c:v>43430</c:v>
                </c:pt>
                <c:pt idx="251">
                  <c:v>43426</c:v>
                </c:pt>
                <c:pt idx="252">
                  <c:v>43425</c:v>
                </c:pt>
                <c:pt idx="253">
                  <c:v>43424</c:v>
                </c:pt>
                <c:pt idx="254">
                  <c:v>43423</c:v>
                </c:pt>
                <c:pt idx="255">
                  <c:v>43420</c:v>
                </c:pt>
                <c:pt idx="256">
                  <c:v>43419</c:v>
                </c:pt>
                <c:pt idx="257">
                  <c:v>43418</c:v>
                </c:pt>
                <c:pt idx="258">
                  <c:v>43417</c:v>
                </c:pt>
                <c:pt idx="259">
                  <c:v>43416</c:v>
                </c:pt>
                <c:pt idx="260">
                  <c:v>43413</c:v>
                </c:pt>
                <c:pt idx="261">
                  <c:v>43412</c:v>
                </c:pt>
                <c:pt idx="262">
                  <c:v>43411</c:v>
                </c:pt>
                <c:pt idx="263">
                  <c:v>43410</c:v>
                </c:pt>
                <c:pt idx="264">
                  <c:v>43409</c:v>
                </c:pt>
                <c:pt idx="265">
                  <c:v>43406</c:v>
                </c:pt>
                <c:pt idx="266">
                  <c:v>43405</c:v>
                </c:pt>
                <c:pt idx="267">
                  <c:v>43404</c:v>
                </c:pt>
                <c:pt idx="268">
                  <c:v>43403</c:v>
                </c:pt>
                <c:pt idx="269">
                  <c:v>43402</c:v>
                </c:pt>
                <c:pt idx="270">
                  <c:v>43399</c:v>
                </c:pt>
                <c:pt idx="271">
                  <c:v>43398</c:v>
                </c:pt>
                <c:pt idx="272">
                  <c:v>43397</c:v>
                </c:pt>
                <c:pt idx="273">
                  <c:v>43396</c:v>
                </c:pt>
                <c:pt idx="274">
                  <c:v>43395</c:v>
                </c:pt>
                <c:pt idx="275">
                  <c:v>43392</c:v>
                </c:pt>
                <c:pt idx="276">
                  <c:v>43391</c:v>
                </c:pt>
                <c:pt idx="277">
                  <c:v>43390</c:v>
                </c:pt>
                <c:pt idx="278">
                  <c:v>43389</c:v>
                </c:pt>
                <c:pt idx="279">
                  <c:v>43388</c:v>
                </c:pt>
                <c:pt idx="280">
                  <c:v>43385</c:v>
                </c:pt>
                <c:pt idx="281">
                  <c:v>43384</c:v>
                </c:pt>
                <c:pt idx="282">
                  <c:v>43383</c:v>
                </c:pt>
                <c:pt idx="283">
                  <c:v>43382</c:v>
                </c:pt>
                <c:pt idx="284">
                  <c:v>43378</c:v>
                </c:pt>
                <c:pt idx="285">
                  <c:v>43377</c:v>
                </c:pt>
                <c:pt idx="286">
                  <c:v>43376</c:v>
                </c:pt>
                <c:pt idx="287">
                  <c:v>43375</c:v>
                </c:pt>
                <c:pt idx="288">
                  <c:v>43374</c:v>
                </c:pt>
                <c:pt idx="289">
                  <c:v>43371</c:v>
                </c:pt>
                <c:pt idx="290">
                  <c:v>43370</c:v>
                </c:pt>
                <c:pt idx="291">
                  <c:v>43369</c:v>
                </c:pt>
                <c:pt idx="292">
                  <c:v>43368</c:v>
                </c:pt>
                <c:pt idx="293">
                  <c:v>43364</c:v>
                </c:pt>
                <c:pt idx="294">
                  <c:v>43363</c:v>
                </c:pt>
                <c:pt idx="295">
                  <c:v>43362</c:v>
                </c:pt>
                <c:pt idx="296">
                  <c:v>43361</c:v>
                </c:pt>
                <c:pt idx="297">
                  <c:v>43357</c:v>
                </c:pt>
                <c:pt idx="298">
                  <c:v>43356</c:v>
                </c:pt>
                <c:pt idx="299">
                  <c:v>43355</c:v>
                </c:pt>
                <c:pt idx="300">
                  <c:v>43354</c:v>
                </c:pt>
                <c:pt idx="301">
                  <c:v>43353</c:v>
                </c:pt>
                <c:pt idx="302">
                  <c:v>43350</c:v>
                </c:pt>
                <c:pt idx="303">
                  <c:v>43349</c:v>
                </c:pt>
                <c:pt idx="304">
                  <c:v>43348</c:v>
                </c:pt>
                <c:pt idx="305">
                  <c:v>43347</c:v>
                </c:pt>
                <c:pt idx="306">
                  <c:v>43346</c:v>
                </c:pt>
                <c:pt idx="307">
                  <c:v>43343</c:v>
                </c:pt>
                <c:pt idx="308">
                  <c:v>43342</c:v>
                </c:pt>
                <c:pt idx="309">
                  <c:v>43341</c:v>
                </c:pt>
                <c:pt idx="310">
                  <c:v>43340</c:v>
                </c:pt>
                <c:pt idx="311">
                  <c:v>43339</c:v>
                </c:pt>
                <c:pt idx="312">
                  <c:v>43336</c:v>
                </c:pt>
                <c:pt idx="313">
                  <c:v>43335</c:v>
                </c:pt>
                <c:pt idx="314">
                  <c:v>43334</c:v>
                </c:pt>
                <c:pt idx="315">
                  <c:v>43333</c:v>
                </c:pt>
                <c:pt idx="316">
                  <c:v>43332</c:v>
                </c:pt>
                <c:pt idx="317">
                  <c:v>43329</c:v>
                </c:pt>
                <c:pt idx="318">
                  <c:v>43328</c:v>
                </c:pt>
                <c:pt idx="319">
                  <c:v>43327</c:v>
                </c:pt>
                <c:pt idx="320">
                  <c:v>43326</c:v>
                </c:pt>
                <c:pt idx="321">
                  <c:v>43325</c:v>
                </c:pt>
                <c:pt idx="322">
                  <c:v>43322</c:v>
                </c:pt>
                <c:pt idx="323">
                  <c:v>43321</c:v>
                </c:pt>
                <c:pt idx="324">
                  <c:v>43320</c:v>
                </c:pt>
                <c:pt idx="325">
                  <c:v>43319</c:v>
                </c:pt>
                <c:pt idx="326">
                  <c:v>43318</c:v>
                </c:pt>
                <c:pt idx="327">
                  <c:v>43315</c:v>
                </c:pt>
                <c:pt idx="328">
                  <c:v>43314</c:v>
                </c:pt>
                <c:pt idx="329">
                  <c:v>43313</c:v>
                </c:pt>
                <c:pt idx="330">
                  <c:v>43312</c:v>
                </c:pt>
                <c:pt idx="331">
                  <c:v>43311</c:v>
                </c:pt>
                <c:pt idx="332">
                  <c:v>43308</c:v>
                </c:pt>
                <c:pt idx="333">
                  <c:v>43307</c:v>
                </c:pt>
                <c:pt idx="334">
                  <c:v>43306</c:v>
                </c:pt>
                <c:pt idx="335">
                  <c:v>43305</c:v>
                </c:pt>
                <c:pt idx="336">
                  <c:v>43304</c:v>
                </c:pt>
                <c:pt idx="337">
                  <c:v>43301</c:v>
                </c:pt>
                <c:pt idx="338">
                  <c:v>43300</c:v>
                </c:pt>
                <c:pt idx="339">
                  <c:v>43299</c:v>
                </c:pt>
                <c:pt idx="340">
                  <c:v>43298</c:v>
                </c:pt>
                <c:pt idx="341">
                  <c:v>43294</c:v>
                </c:pt>
                <c:pt idx="342">
                  <c:v>43293</c:v>
                </c:pt>
                <c:pt idx="343">
                  <c:v>43292</c:v>
                </c:pt>
                <c:pt idx="344">
                  <c:v>43291</c:v>
                </c:pt>
                <c:pt idx="345">
                  <c:v>43290</c:v>
                </c:pt>
                <c:pt idx="346">
                  <c:v>43287</c:v>
                </c:pt>
                <c:pt idx="347">
                  <c:v>43286</c:v>
                </c:pt>
                <c:pt idx="348">
                  <c:v>43285</c:v>
                </c:pt>
                <c:pt idx="349">
                  <c:v>43284</c:v>
                </c:pt>
                <c:pt idx="350">
                  <c:v>43283</c:v>
                </c:pt>
                <c:pt idx="351">
                  <c:v>43280</c:v>
                </c:pt>
                <c:pt idx="352">
                  <c:v>43279</c:v>
                </c:pt>
                <c:pt idx="353">
                  <c:v>43278</c:v>
                </c:pt>
                <c:pt idx="354">
                  <c:v>43277</c:v>
                </c:pt>
                <c:pt idx="355">
                  <c:v>43276</c:v>
                </c:pt>
                <c:pt idx="356">
                  <c:v>43273</c:v>
                </c:pt>
                <c:pt idx="357">
                  <c:v>43272</c:v>
                </c:pt>
                <c:pt idx="358">
                  <c:v>43271</c:v>
                </c:pt>
                <c:pt idx="359">
                  <c:v>43270</c:v>
                </c:pt>
                <c:pt idx="360">
                  <c:v>43269</c:v>
                </c:pt>
                <c:pt idx="361">
                  <c:v>43266</c:v>
                </c:pt>
                <c:pt idx="362">
                  <c:v>43265</c:v>
                </c:pt>
                <c:pt idx="363">
                  <c:v>43264</c:v>
                </c:pt>
                <c:pt idx="364">
                  <c:v>43263</c:v>
                </c:pt>
                <c:pt idx="365">
                  <c:v>43262</c:v>
                </c:pt>
                <c:pt idx="366">
                  <c:v>43259</c:v>
                </c:pt>
                <c:pt idx="367">
                  <c:v>43258</c:v>
                </c:pt>
                <c:pt idx="368">
                  <c:v>43257</c:v>
                </c:pt>
                <c:pt idx="369">
                  <c:v>43256</c:v>
                </c:pt>
                <c:pt idx="370">
                  <c:v>43255</c:v>
                </c:pt>
                <c:pt idx="371">
                  <c:v>43252</c:v>
                </c:pt>
                <c:pt idx="372">
                  <c:v>43251</c:v>
                </c:pt>
                <c:pt idx="373">
                  <c:v>43250</c:v>
                </c:pt>
                <c:pt idx="374">
                  <c:v>43249</c:v>
                </c:pt>
                <c:pt idx="375">
                  <c:v>43248</c:v>
                </c:pt>
                <c:pt idx="376">
                  <c:v>43245</c:v>
                </c:pt>
                <c:pt idx="377">
                  <c:v>43244</c:v>
                </c:pt>
                <c:pt idx="378">
                  <c:v>43243</c:v>
                </c:pt>
                <c:pt idx="379">
                  <c:v>43242</c:v>
                </c:pt>
                <c:pt idx="380">
                  <c:v>43241</c:v>
                </c:pt>
                <c:pt idx="381">
                  <c:v>43238</c:v>
                </c:pt>
                <c:pt idx="382">
                  <c:v>43237</c:v>
                </c:pt>
                <c:pt idx="383">
                  <c:v>43236</c:v>
                </c:pt>
                <c:pt idx="384">
                  <c:v>43235</c:v>
                </c:pt>
                <c:pt idx="385">
                  <c:v>43234</c:v>
                </c:pt>
                <c:pt idx="386">
                  <c:v>43231</c:v>
                </c:pt>
                <c:pt idx="387">
                  <c:v>43230</c:v>
                </c:pt>
                <c:pt idx="388">
                  <c:v>43229</c:v>
                </c:pt>
                <c:pt idx="389">
                  <c:v>43228</c:v>
                </c:pt>
                <c:pt idx="390">
                  <c:v>43227</c:v>
                </c:pt>
                <c:pt idx="391">
                  <c:v>43222</c:v>
                </c:pt>
                <c:pt idx="392">
                  <c:v>43221</c:v>
                </c:pt>
                <c:pt idx="393">
                  <c:v>43217</c:v>
                </c:pt>
                <c:pt idx="394">
                  <c:v>43216</c:v>
                </c:pt>
                <c:pt idx="395">
                  <c:v>43215</c:v>
                </c:pt>
                <c:pt idx="396">
                  <c:v>43214</c:v>
                </c:pt>
                <c:pt idx="397">
                  <c:v>43213</c:v>
                </c:pt>
                <c:pt idx="398">
                  <c:v>43210</c:v>
                </c:pt>
                <c:pt idx="399">
                  <c:v>43209</c:v>
                </c:pt>
                <c:pt idx="400">
                  <c:v>43208</c:v>
                </c:pt>
                <c:pt idx="401">
                  <c:v>43207</c:v>
                </c:pt>
                <c:pt idx="402">
                  <c:v>43206</c:v>
                </c:pt>
                <c:pt idx="403">
                  <c:v>43203</c:v>
                </c:pt>
                <c:pt idx="404">
                  <c:v>43202</c:v>
                </c:pt>
                <c:pt idx="405">
                  <c:v>43201</c:v>
                </c:pt>
                <c:pt idx="406">
                  <c:v>43200</c:v>
                </c:pt>
                <c:pt idx="407">
                  <c:v>43199</c:v>
                </c:pt>
                <c:pt idx="408">
                  <c:v>43196</c:v>
                </c:pt>
                <c:pt idx="409">
                  <c:v>43195</c:v>
                </c:pt>
                <c:pt idx="410">
                  <c:v>43194</c:v>
                </c:pt>
                <c:pt idx="411">
                  <c:v>43193</c:v>
                </c:pt>
                <c:pt idx="412">
                  <c:v>43192</c:v>
                </c:pt>
                <c:pt idx="413">
                  <c:v>43189</c:v>
                </c:pt>
                <c:pt idx="414">
                  <c:v>43188</c:v>
                </c:pt>
                <c:pt idx="415">
                  <c:v>43187</c:v>
                </c:pt>
                <c:pt idx="416">
                  <c:v>43186</c:v>
                </c:pt>
                <c:pt idx="417">
                  <c:v>43185</c:v>
                </c:pt>
                <c:pt idx="418">
                  <c:v>43182</c:v>
                </c:pt>
                <c:pt idx="419">
                  <c:v>43181</c:v>
                </c:pt>
                <c:pt idx="420">
                  <c:v>43179</c:v>
                </c:pt>
                <c:pt idx="421">
                  <c:v>43178</c:v>
                </c:pt>
                <c:pt idx="422">
                  <c:v>43175</c:v>
                </c:pt>
                <c:pt idx="423">
                  <c:v>43174</c:v>
                </c:pt>
                <c:pt idx="424">
                  <c:v>43173</c:v>
                </c:pt>
                <c:pt idx="425">
                  <c:v>43172</c:v>
                </c:pt>
                <c:pt idx="426">
                  <c:v>43171</c:v>
                </c:pt>
                <c:pt idx="427">
                  <c:v>43168</c:v>
                </c:pt>
                <c:pt idx="428">
                  <c:v>43167</c:v>
                </c:pt>
                <c:pt idx="429">
                  <c:v>43166</c:v>
                </c:pt>
                <c:pt idx="430">
                  <c:v>43165</c:v>
                </c:pt>
                <c:pt idx="431">
                  <c:v>43164</c:v>
                </c:pt>
                <c:pt idx="432">
                  <c:v>43161</c:v>
                </c:pt>
                <c:pt idx="433">
                  <c:v>43160</c:v>
                </c:pt>
                <c:pt idx="434">
                  <c:v>43159</c:v>
                </c:pt>
                <c:pt idx="435">
                  <c:v>43158</c:v>
                </c:pt>
                <c:pt idx="436">
                  <c:v>43157</c:v>
                </c:pt>
                <c:pt idx="437">
                  <c:v>43154</c:v>
                </c:pt>
                <c:pt idx="438">
                  <c:v>43153</c:v>
                </c:pt>
                <c:pt idx="439">
                  <c:v>43152</c:v>
                </c:pt>
                <c:pt idx="440">
                  <c:v>43151</c:v>
                </c:pt>
                <c:pt idx="441">
                  <c:v>43150</c:v>
                </c:pt>
                <c:pt idx="442">
                  <c:v>43147</c:v>
                </c:pt>
                <c:pt idx="443">
                  <c:v>43146</c:v>
                </c:pt>
                <c:pt idx="444">
                  <c:v>43145</c:v>
                </c:pt>
                <c:pt idx="445">
                  <c:v>43144</c:v>
                </c:pt>
                <c:pt idx="446">
                  <c:v>43140</c:v>
                </c:pt>
                <c:pt idx="447">
                  <c:v>43139</c:v>
                </c:pt>
                <c:pt idx="448">
                  <c:v>43138</c:v>
                </c:pt>
                <c:pt idx="449">
                  <c:v>43137</c:v>
                </c:pt>
                <c:pt idx="450">
                  <c:v>43136</c:v>
                </c:pt>
                <c:pt idx="451">
                  <c:v>43133</c:v>
                </c:pt>
                <c:pt idx="452">
                  <c:v>43132</c:v>
                </c:pt>
                <c:pt idx="453">
                  <c:v>43131</c:v>
                </c:pt>
                <c:pt idx="454">
                  <c:v>43130</c:v>
                </c:pt>
                <c:pt idx="455">
                  <c:v>43129</c:v>
                </c:pt>
                <c:pt idx="456">
                  <c:v>43126</c:v>
                </c:pt>
                <c:pt idx="457">
                  <c:v>43125</c:v>
                </c:pt>
                <c:pt idx="458">
                  <c:v>43124</c:v>
                </c:pt>
                <c:pt idx="459">
                  <c:v>43123</c:v>
                </c:pt>
                <c:pt idx="460">
                  <c:v>43122</c:v>
                </c:pt>
                <c:pt idx="461">
                  <c:v>43119</c:v>
                </c:pt>
                <c:pt idx="462">
                  <c:v>43118</c:v>
                </c:pt>
                <c:pt idx="463">
                  <c:v>43117</c:v>
                </c:pt>
                <c:pt idx="464">
                  <c:v>43116</c:v>
                </c:pt>
                <c:pt idx="465">
                  <c:v>43115</c:v>
                </c:pt>
                <c:pt idx="466">
                  <c:v>43112</c:v>
                </c:pt>
                <c:pt idx="467">
                  <c:v>43111</c:v>
                </c:pt>
                <c:pt idx="468">
                  <c:v>43110</c:v>
                </c:pt>
                <c:pt idx="469">
                  <c:v>43109</c:v>
                </c:pt>
                <c:pt idx="470">
                  <c:v>43105</c:v>
                </c:pt>
                <c:pt idx="471">
                  <c:v>43104</c:v>
                </c:pt>
                <c:pt idx="472">
                  <c:v>43098</c:v>
                </c:pt>
                <c:pt idx="473">
                  <c:v>43097</c:v>
                </c:pt>
                <c:pt idx="474">
                  <c:v>43096</c:v>
                </c:pt>
                <c:pt idx="475">
                  <c:v>43095</c:v>
                </c:pt>
                <c:pt idx="476">
                  <c:v>43094</c:v>
                </c:pt>
                <c:pt idx="477">
                  <c:v>43091</c:v>
                </c:pt>
                <c:pt idx="478">
                  <c:v>43090</c:v>
                </c:pt>
                <c:pt idx="479">
                  <c:v>43089</c:v>
                </c:pt>
                <c:pt idx="480">
                  <c:v>43088</c:v>
                </c:pt>
                <c:pt idx="481">
                  <c:v>43087</c:v>
                </c:pt>
                <c:pt idx="482">
                  <c:v>43084</c:v>
                </c:pt>
                <c:pt idx="483">
                  <c:v>43083</c:v>
                </c:pt>
                <c:pt idx="484">
                  <c:v>43082</c:v>
                </c:pt>
                <c:pt idx="485">
                  <c:v>43081</c:v>
                </c:pt>
                <c:pt idx="486">
                  <c:v>43080</c:v>
                </c:pt>
              </c:numCache>
            </c:numRef>
          </c:cat>
          <c:val>
            <c:numRef>
              <c:f>グラフ!$G$42:$G$703</c:f>
              <c:numCache>
                <c:formatCode>General</c:formatCode>
                <c:ptCount val="662"/>
                <c:pt idx="0">
                  <c:v>1.6060013553252701</c:v>
                </c:pt>
                <c:pt idx="1">
                  <c:v>1.6045363434892499</c:v>
                </c:pt>
                <c:pt idx="2">
                  <c:v>1.60306439565595</c:v>
                </c:pt>
                <c:pt idx="3">
                  <c:v>1.6019218429873201</c:v>
                </c:pt>
                <c:pt idx="4">
                  <c:v>1.60054305091724</c:v>
                </c:pt>
                <c:pt idx="5">
                  <c:v>1.59944612577124</c:v>
                </c:pt>
                <c:pt idx="6">
                  <c:v>1.59869309719499</c:v>
                </c:pt>
                <c:pt idx="7">
                  <c:v>1.5986054401615799</c:v>
                </c:pt>
                <c:pt idx="8">
                  <c:v>1.59642251058755</c:v>
                </c:pt>
                <c:pt idx="9">
                  <c:v>1.5950157202733499</c:v>
                </c:pt>
                <c:pt idx="10">
                  <c:v>1.59416212563638</c:v>
                </c:pt>
                <c:pt idx="11">
                  <c:v>1.5932641819236899</c:v>
                </c:pt>
                <c:pt idx="12">
                  <c:v>1.5915573681214701</c:v>
                </c:pt>
                <c:pt idx="13">
                  <c:v>1.5909772998854099</c:v>
                </c:pt>
                <c:pt idx="14">
                  <c:v>1.5902205487321399</c:v>
                </c:pt>
                <c:pt idx="15">
                  <c:v>1.58912328820631</c:v>
                </c:pt>
                <c:pt idx="16">
                  <c:v>1.5875647117132099</c:v>
                </c:pt>
                <c:pt idx="17">
                  <c:v>1.58533774554545</c:v>
                </c:pt>
                <c:pt idx="18">
                  <c:v>1.5836545339577599</c:v>
                </c:pt>
                <c:pt idx="19">
                  <c:v>1.5820347035973099</c:v>
                </c:pt>
                <c:pt idx="20">
                  <c:v>1.58065166843697</c:v>
                </c:pt>
                <c:pt idx="21">
                  <c:v>1.5797711442889499</c:v>
                </c:pt>
                <c:pt idx="22">
                  <c:v>1.57876398175451</c:v>
                </c:pt>
                <c:pt idx="23">
                  <c:v>1.57827274022376</c:v>
                </c:pt>
                <c:pt idx="24">
                  <c:v>1.5779346624425199</c:v>
                </c:pt>
                <c:pt idx="25">
                  <c:v>1.5772326785750701</c:v>
                </c:pt>
                <c:pt idx="26">
                  <c:v>1.57552522341823</c:v>
                </c:pt>
                <c:pt idx="27">
                  <c:v>1.5742787643782501</c:v>
                </c:pt>
                <c:pt idx="28">
                  <c:v>1.57257973084979</c:v>
                </c:pt>
                <c:pt idx="29">
                  <c:v>1.5708727996451599</c:v>
                </c:pt>
                <c:pt idx="30">
                  <c:v>1.5692939511172099</c:v>
                </c:pt>
                <c:pt idx="31">
                  <c:v>1.5672518643753299</c:v>
                </c:pt>
                <c:pt idx="32">
                  <c:v>1.5652472712097101</c:v>
                </c:pt>
                <c:pt idx="33">
                  <c:v>1.56328776941787</c:v>
                </c:pt>
                <c:pt idx="34">
                  <c:v>1.56172427735438</c:v>
                </c:pt>
                <c:pt idx="35">
                  <c:v>1.56052052416048</c:v>
                </c:pt>
                <c:pt idx="36">
                  <c:v>1.55918022836504</c:v>
                </c:pt>
                <c:pt idx="37">
                  <c:v>1.5580165920014</c:v>
                </c:pt>
                <c:pt idx="38">
                  <c:v>1.5565352900879901</c:v>
                </c:pt>
                <c:pt idx="39">
                  <c:v>1.5557141696504</c:v>
                </c:pt>
                <c:pt idx="40">
                  <c:v>1.5553861857864999</c:v>
                </c:pt>
                <c:pt idx="41">
                  <c:v>1.5548102573454099</c:v>
                </c:pt>
                <c:pt idx="42">
                  <c:v>1.55467556779876</c:v>
                </c:pt>
                <c:pt idx="43">
                  <c:v>1.55490558294637</c:v>
                </c:pt>
                <c:pt idx="44">
                  <c:v>1.5547209799066299</c:v>
                </c:pt>
                <c:pt idx="45">
                  <c:v>1.5546918734325801</c:v>
                </c:pt>
                <c:pt idx="46">
                  <c:v>1.55443648940361</c:v>
                </c:pt>
                <c:pt idx="47">
                  <c:v>1.5537611013392501</c:v>
                </c:pt>
                <c:pt idx="48">
                  <c:v>1.5525148854541899</c:v>
                </c:pt>
                <c:pt idx="49">
                  <c:v>1.5516163520980299</c:v>
                </c:pt>
                <c:pt idx="50">
                  <c:v>1.5502895618399399</c:v>
                </c:pt>
                <c:pt idx="51">
                  <c:v>1.5490882220045401</c:v>
                </c:pt>
                <c:pt idx="52">
                  <c:v>1.5474404464154701</c:v>
                </c:pt>
                <c:pt idx="53">
                  <c:v>1.5458486090010799</c:v>
                </c:pt>
                <c:pt idx="54">
                  <c:v>1.5441376149061801</c:v>
                </c:pt>
                <c:pt idx="55">
                  <c:v>1.5422176546664801</c:v>
                </c:pt>
                <c:pt idx="56">
                  <c:v>1.5406206023140101</c:v>
                </c:pt>
                <c:pt idx="57">
                  <c:v>1.5395579238535899</c:v>
                </c:pt>
                <c:pt idx="58">
                  <c:v>1.5386129671517701</c:v>
                </c:pt>
                <c:pt idx="59">
                  <c:v>1.5377992523141499</c:v>
                </c:pt>
                <c:pt idx="60">
                  <c:v>1.5366848132494799</c:v>
                </c:pt>
                <c:pt idx="61">
                  <c:v>1.53616941096273</c:v>
                </c:pt>
                <c:pt idx="62">
                  <c:v>1.53555871024121</c:v>
                </c:pt>
                <c:pt idx="63">
                  <c:v>1.5352180437601901</c:v>
                </c:pt>
                <c:pt idx="64">
                  <c:v>1.53524713374944</c:v>
                </c:pt>
                <c:pt idx="65">
                  <c:v>1.53562618199707</c:v>
                </c:pt>
                <c:pt idx="66">
                  <c:v>1.5355601888578401</c:v>
                </c:pt>
                <c:pt idx="67">
                  <c:v>1.53474150083036</c:v>
                </c:pt>
                <c:pt idx="68">
                  <c:v>1.53357021957065</c:v>
                </c:pt>
                <c:pt idx="69">
                  <c:v>1.53260327161003</c:v>
                </c:pt>
                <c:pt idx="70">
                  <c:v>1.52939515077593</c:v>
                </c:pt>
                <c:pt idx="71">
                  <c:v>1.52630092254185</c:v>
                </c:pt>
                <c:pt idx="72">
                  <c:v>1.52427148964924</c:v>
                </c:pt>
                <c:pt idx="73">
                  <c:v>1.52275535248245</c:v>
                </c:pt>
                <c:pt idx="74">
                  <c:v>1.5220311657780601</c:v>
                </c:pt>
                <c:pt idx="75">
                  <c:v>1.52151673508542</c:v>
                </c:pt>
                <c:pt idx="76">
                  <c:v>1.52155500786359</c:v>
                </c:pt>
                <c:pt idx="77">
                  <c:v>1.5218030667858899</c:v>
                </c:pt>
                <c:pt idx="78">
                  <c:v>1.52197879404004</c:v>
                </c:pt>
                <c:pt idx="79">
                  <c:v>1.52279073848073</c:v>
                </c:pt>
                <c:pt idx="80">
                  <c:v>1.52305606279513</c:v>
                </c:pt>
                <c:pt idx="81">
                  <c:v>1.5230187327078899</c:v>
                </c:pt>
                <c:pt idx="82">
                  <c:v>1.52280886564476</c:v>
                </c:pt>
                <c:pt idx="83">
                  <c:v>1.52498225506477</c:v>
                </c:pt>
                <c:pt idx="84">
                  <c:v>1.5271525966125401</c:v>
                </c:pt>
                <c:pt idx="85">
                  <c:v>1.5285566726186199</c:v>
                </c:pt>
                <c:pt idx="86">
                  <c:v>1.52987584923825</c:v>
                </c:pt>
                <c:pt idx="87">
                  <c:v>1.5318424928659899</c:v>
                </c:pt>
                <c:pt idx="88">
                  <c:v>1.5325836347835999</c:v>
                </c:pt>
                <c:pt idx="89">
                  <c:v>1.53347980580293</c:v>
                </c:pt>
                <c:pt idx="90">
                  <c:v>1.53465226940578</c:v>
                </c:pt>
                <c:pt idx="91">
                  <c:v>1.53552780197806</c:v>
                </c:pt>
                <c:pt idx="92">
                  <c:v>1.53685182867106</c:v>
                </c:pt>
                <c:pt idx="93">
                  <c:v>1.53821525344995</c:v>
                </c:pt>
                <c:pt idx="94">
                  <c:v>1.53935982611155</c:v>
                </c:pt>
                <c:pt idx="95">
                  <c:v>1.5399813543844001</c:v>
                </c:pt>
                <c:pt idx="96">
                  <c:v>1.5404775860620401</c:v>
                </c:pt>
                <c:pt idx="97">
                  <c:v>1.54133122388959</c:v>
                </c:pt>
                <c:pt idx="98">
                  <c:v>1.54141636412756</c:v>
                </c:pt>
                <c:pt idx="99">
                  <c:v>1.54147878720638</c:v>
                </c:pt>
                <c:pt idx="100">
                  <c:v>1.5420092626670301</c:v>
                </c:pt>
                <c:pt idx="101">
                  <c:v>1.54287208582778</c:v>
                </c:pt>
                <c:pt idx="102">
                  <c:v>1.54368235718312</c:v>
                </c:pt>
                <c:pt idx="103">
                  <c:v>1.54465926566253</c:v>
                </c:pt>
                <c:pt idx="104">
                  <c:v>1.5455549033243099</c:v>
                </c:pt>
                <c:pt idx="105">
                  <c:v>1.5462169481899199</c:v>
                </c:pt>
                <c:pt idx="106">
                  <c:v>1.5470612348958499</c:v>
                </c:pt>
                <c:pt idx="107">
                  <c:v>1.54802048620476</c:v>
                </c:pt>
                <c:pt idx="108">
                  <c:v>1.54864651871058</c:v>
                </c:pt>
                <c:pt idx="109">
                  <c:v>1.54895140330532</c:v>
                </c:pt>
                <c:pt idx="110">
                  <c:v>1.5490444978631901</c:v>
                </c:pt>
                <c:pt idx="111">
                  <c:v>1.5491594214962301</c:v>
                </c:pt>
                <c:pt idx="112">
                  <c:v>1.5489078491691901</c:v>
                </c:pt>
                <c:pt idx="113">
                  <c:v>1.5487814775803701</c:v>
                </c:pt>
                <c:pt idx="114">
                  <c:v>1.5483066365954199</c:v>
                </c:pt>
                <c:pt idx="115">
                  <c:v>1.54803129540102</c:v>
                </c:pt>
                <c:pt idx="116">
                  <c:v>1.5481864880795699</c:v>
                </c:pt>
                <c:pt idx="117">
                  <c:v>1.54801412305944</c:v>
                </c:pt>
                <c:pt idx="118">
                  <c:v>1.54776905556204</c:v>
                </c:pt>
                <c:pt idx="119">
                  <c:v>1.5479157098988301</c:v>
                </c:pt>
                <c:pt idx="120">
                  <c:v>1.54739963847026</c:v>
                </c:pt>
                <c:pt idx="121">
                  <c:v>1.5468341959370799</c:v>
                </c:pt>
                <c:pt idx="122">
                  <c:v>1.5463435977912401</c:v>
                </c:pt>
                <c:pt idx="123">
                  <c:v>1.5462197431008899</c:v>
                </c:pt>
                <c:pt idx="124">
                  <c:v>1.5458875481210499</c:v>
                </c:pt>
                <c:pt idx="125">
                  <c:v>1.5466071002838999</c:v>
                </c:pt>
                <c:pt idx="126">
                  <c:v>1.54712854736009</c:v>
                </c:pt>
                <c:pt idx="127">
                  <c:v>1.54833774226605</c:v>
                </c:pt>
                <c:pt idx="128">
                  <c:v>1.54931158075303</c:v>
                </c:pt>
                <c:pt idx="129">
                  <c:v>1.5510243948959701</c:v>
                </c:pt>
                <c:pt idx="130">
                  <c:v>1.55244597619369</c:v>
                </c:pt>
                <c:pt idx="131">
                  <c:v>1.5536766789168399</c:v>
                </c:pt>
                <c:pt idx="132">
                  <c:v>1.5549406668177399</c:v>
                </c:pt>
                <c:pt idx="133">
                  <c:v>1.5559849871667299</c:v>
                </c:pt>
                <c:pt idx="134">
                  <c:v>1.5573337072290101</c:v>
                </c:pt>
                <c:pt idx="135">
                  <c:v>1.5585326287893699</c:v>
                </c:pt>
                <c:pt idx="136">
                  <c:v>1.5598322561565601</c:v>
                </c:pt>
                <c:pt idx="137">
                  <c:v>1.5611883181697099</c:v>
                </c:pt>
                <c:pt idx="138">
                  <c:v>1.56246007845702</c:v>
                </c:pt>
                <c:pt idx="139">
                  <c:v>1.5635699808763299</c:v>
                </c:pt>
                <c:pt idx="140">
                  <c:v>1.5649744147929201</c:v>
                </c:pt>
                <c:pt idx="141">
                  <c:v>1.56641447732993</c:v>
                </c:pt>
                <c:pt idx="142">
                  <c:v>1.5677937382684699</c:v>
                </c:pt>
                <c:pt idx="143">
                  <c:v>1.56917424768462</c:v>
                </c:pt>
                <c:pt idx="144">
                  <c:v>1.5701016915218999</c:v>
                </c:pt>
                <c:pt idx="145">
                  <c:v>1.5730292383517801</c:v>
                </c:pt>
                <c:pt idx="146">
                  <c:v>1.5753543333481099</c:v>
                </c:pt>
                <c:pt idx="147">
                  <c:v>1.57710456150768</c:v>
                </c:pt>
                <c:pt idx="148">
                  <c:v>1.5775672944936701</c:v>
                </c:pt>
                <c:pt idx="149">
                  <c:v>1.57720927658097</c:v>
                </c:pt>
                <c:pt idx="150">
                  <c:v>1.5769217617048501</c:v>
                </c:pt>
                <c:pt idx="151">
                  <c:v>1.5760909123139</c:v>
                </c:pt>
                <c:pt idx="152">
                  <c:v>1.5745149273232799</c:v>
                </c:pt>
                <c:pt idx="153">
                  <c:v>1.5730422689369901</c:v>
                </c:pt>
                <c:pt idx="154">
                  <c:v>1.5710748745176399</c:v>
                </c:pt>
                <c:pt idx="155">
                  <c:v>1.56969025913302</c:v>
                </c:pt>
                <c:pt idx="156">
                  <c:v>1.5689694056913099</c:v>
                </c:pt>
                <c:pt idx="157">
                  <c:v>1.5681325413167599</c:v>
                </c:pt>
                <c:pt idx="158">
                  <c:v>1.5668530954293101</c:v>
                </c:pt>
                <c:pt idx="159">
                  <c:v>1.5657419843182001</c:v>
                </c:pt>
                <c:pt idx="160">
                  <c:v>1.5651736110668999</c:v>
                </c:pt>
                <c:pt idx="161">
                  <c:v>1.5645189722216299</c:v>
                </c:pt>
                <c:pt idx="162">
                  <c:v>1.56361446709674</c:v>
                </c:pt>
                <c:pt idx="163">
                  <c:v>1.56285581182828</c:v>
                </c:pt>
                <c:pt idx="164">
                  <c:v>1.56225796883526</c:v>
                </c:pt>
                <c:pt idx="165">
                  <c:v>1.5617478038947199</c:v>
                </c:pt>
                <c:pt idx="166">
                  <c:v>1.5619589428687399</c:v>
                </c:pt>
                <c:pt idx="167">
                  <c:v>1.5625537365467801</c:v>
                </c:pt>
                <c:pt idx="168">
                  <c:v>1.56334894398907</c:v>
                </c:pt>
                <c:pt idx="169">
                  <c:v>1.56429400034564</c:v>
                </c:pt>
                <c:pt idx="170">
                  <c:v>1.56567847241874</c:v>
                </c:pt>
                <c:pt idx="171">
                  <c:v>1.5677621112943501</c:v>
                </c:pt>
                <c:pt idx="172">
                  <c:v>1.5699125138708401</c:v>
                </c:pt>
                <c:pt idx="173">
                  <c:v>1.5730477477112099</c:v>
                </c:pt>
                <c:pt idx="174">
                  <c:v>1.57546689802548</c:v>
                </c:pt>
                <c:pt idx="175">
                  <c:v>1.5776945382199601</c:v>
                </c:pt>
                <c:pt idx="176">
                  <c:v>1.5799014734285</c:v>
                </c:pt>
                <c:pt idx="177">
                  <c:v>1.58180844058828</c:v>
                </c:pt>
                <c:pt idx="178">
                  <c:v>1.58384156160739</c:v>
                </c:pt>
                <c:pt idx="179">
                  <c:v>1.58576520528747</c:v>
                </c:pt>
                <c:pt idx="180">
                  <c:v>1.5884329916519599</c:v>
                </c:pt>
                <c:pt idx="181">
                  <c:v>1.59139671250735</c:v>
                </c:pt>
                <c:pt idx="182">
                  <c:v>1.5946518890122301</c:v>
                </c:pt>
                <c:pt idx="183">
                  <c:v>1.5977711375308401</c:v>
                </c:pt>
                <c:pt idx="184">
                  <c:v>1.60108786485497</c:v>
                </c:pt>
                <c:pt idx="185">
                  <c:v>1.60438428639974</c:v>
                </c:pt>
                <c:pt idx="186">
                  <c:v>1.6065173944340201</c:v>
                </c:pt>
                <c:pt idx="187">
                  <c:v>1.6100183494771101</c:v>
                </c:pt>
                <c:pt idx="188">
                  <c:v>1.6125539228707</c:v>
                </c:pt>
                <c:pt idx="189">
                  <c:v>1.61533134590091</c:v>
                </c:pt>
                <c:pt idx="190">
                  <c:v>1.6177935406869399</c:v>
                </c:pt>
                <c:pt idx="191">
                  <c:v>1.6199268218663601</c:v>
                </c:pt>
                <c:pt idx="192">
                  <c:v>1.62092837418924</c:v>
                </c:pt>
                <c:pt idx="193">
                  <c:v>1.6262565170146099</c:v>
                </c:pt>
                <c:pt idx="194">
                  <c:v>1.6317677283863901</c:v>
                </c:pt>
                <c:pt idx="195">
                  <c:v>1.63763761832349</c:v>
                </c:pt>
                <c:pt idx="196">
                  <c:v>1.64312968559462</c:v>
                </c:pt>
                <c:pt idx="197">
                  <c:v>1.64840781554708</c:v>
                </c:pt>
                <c:pt idx="198">
                  <c:v>1.6540529218261</c:v>
                </c:pt>
                <c:pt idx="199">
                  <c:v>1.6595648835485901</c:v>
                </c:pt>
                <c:pt idx="200">
                  <c:v>1.66481409169563</c:v>
                </c:pt>
                <c:pt idx="201">
                  <c:v>1.66971381391451</c:v>
                </c:pt>
                <c:pt idx="202">
                  <c:v>1.6739892682403199</c:v>
                </c:pt>
                <c:pt idx="203">
                  <c:v>1.6787551592053001</c:v>
                </c:pt>
                <c:pt idx="204">
                  <c:v>1.68323500175993</c:v>
                </c:pt>
                <c:pt idx="205">
                  <c:v>1.6878319064946099</c:v>
                </c:pt>
                <c:pt idx="206">
                  <c:v>1.6918972005856201</c:v>
                </c:pt>
                <c:pt idx="207">
                  <c:v>1.6957572471276301</c:v>
                </c:pt>
                <c:pt idx="208">
                  <c:v>1.69982941342731</c:v>
                </c:pt>
                <c:pt idx="209">
                  <c:v>1.70326747217571</c:v>
                </c:pt>
                <c:pt idx="210">
                  <c:v>1.70565537101522</c:v>
                </c:pt>
                <c:pt idx="211">
                  <c:v>1.70757991128155</c:v>
                </c:pt>
                <c:pt idx="212">
                  <c:v>1.71001817054745</c:v>
                </c:pt>
                <c:pt idx="213">
                  <c:v>1.71201122300276</c:v>
                </c:pt>
                <c:pt idx="214">
                  <c:v>1.71413134969438</c:v>
                </c:pt>
                <c:pt idx="215">
                  <c:v>1.71613641870681</c:v>
                </c:pt>
                <c:pt idx="216">
                  <c:v>1.71810669443145</c:v>
                </c:pt>
                <c:pt idx="217">
                  <c:v>1.7200345477633701</c:v>
                </c:pt>
                <c:pt idx="218">
                  <c:v>1.7216754339648801</c:v>
                </c:pt>
                <c:pt idx="219">
                  <c:v>1.7237939288759401</c:v>
                </c:pt>
                <c:pt idx="220">
                  <c:v>1.7260401301313699</c:v>
                </c:pt>
                <c:pt idx="221">
                  <c:v>1.7287595910204101</c:v>
                </c:pt>
                <c:pt idx="222">
                  <c:v>1.73102261875446</c:v>
                </c:pt>
                <c:pt idx="223">
                  <c:v>1.7336511439061799</c:v>
                </c:pt>
                <c:pt idx="224">
                  <c:v>1.7366786372770699</c:v>
                </c:pt>
                <c:pt idx="225">
                  <c:v>1.7392477621823299</c:v>
                </c:pt>
                <c:pt idx="226">
                  <c:v>1.7422332256756401</c:v>
                </c:pt>
                <c:pt idx="227">
                  <c:v>1.7455253546848399</c:v>
                </c:pt>
                <c:pt idx="228">
                  <c:v>1.7481886108628599</c:v>
                </c:pt>
                <c:pt idx="229">
                  <c:v>1.75085718499649</c:v>
                </c:pt>
                <c:pt idx="230">
                  <c:v>1.75305293753573</c:v>
                </c:pt>
                <c:pt idx="231">
                  <c:v>1.7546813595016599</c:v>
                </c:pt>
                <c:pt idx="232">
                  <c:v>1.7557046860912</c:v>
                </c:pt>
                <c:pt idx="233">
                  <c:v>1.75674523784042</c:v>
                </c:pt>
                <c:pt idx="234">
                  <c:v>1.7573424053101201</c:v>
                </c:pt>
                <c:pt idx="235">
                  <c:v>1.7573482926203601</c:v>
                </c:pt>
                <c:pt idx="236">
                  <c:v>1.7571934297527301</c:v>
                </c:pt>
                <c:pt idx="237">
                  <c:v>1.7573880780767599</c:v>
                </c:pt>
                <c:pt idx="238">
                  <c:v>1.7578229216818999</c:v>
                </c:pt>
                <c:pt idx="239">
                  <c:v>1.7579685496814501</c:v>
                </c:pt>
                <c:pt idx="240">
                  <c:v>1.75769901220138</c:v>
                </c:pt>
                <c:pt idx="241">
                  <c:v>1.7572067341794599</c:v>
                </c:pt>
                <c:pt idx="242">
                  <c:v>1.7568124482027101</c:v>
                </c:pt>
                <c:pt idx="243">
                  <c:v>1.75620181844736</c:v>
                </c:pt>
                <c:pt idx="244">
                  <c:v>1.7557134843928599</c:v>
                </c:pt>
                <c:pt idx="245">
                  <c:v>1.7550874352683901</c:v>
                </c:pt>
                <c:pt idx="246">
                  <c:v>1.75394236545459</c:v>
                </c:pt>
                <c:pt idx="247">
                  <c:v>1.75249693881248</c:v>
                </c:pt>
                <c:pt idx="248">
                  <c:v>1.7509995797073299</c:v>
                </c:pt>
                <c:pt idx="249">
                  <c:v>1.74974055870956</c:v>
                </c:pt>
                <c:pt idx="250">
                  <c:v>1.74897552943639</c:v>
                </c:pt>
                <c:pt idx="251">
                  <c:v>1.74834291893017</c:v>
                </c:pt>
                <c:pt idx="252">
                  <c:v>1.74861060464868</c:v>
                </c:pt>
                <c:pt idx="253">
                  <c:v>1.7488315001710699</c:v>
                </c:pt>
                <c:pt idx="254">
                  <c:v>1.74909451235268</c:v>
                </c:pt>
                <c:pt idx="255">
                  <c:v>1.7489033549548401</c:v>
                </c:pt>
                <c:pt idx="256">
                  <c:v>1.7480937099576499</c:v>
                </c:pt>
                <c:pt idx="257">
                  <c:v>1.7472378856804101</c:v>
                </c:pt>
                <c:pt idx="258">
                  <c:v>1.7464990546679799</c:v>
                </c:pt>
                <c:pt idx="259">
                  <c:v>1.74564192387398</c:v>
                </c:pt>
                <c:pt idx="260">
                  <c:v>1.7447416426457001</c:v>
                </c:pt>
                <c:pt idx="261">
                  <c:v>1.74488486559727</c:v>
                </c:pt>
                <c:pt idx="262">
                  <c:v>1.7437095569552901</c:v>
                </c:pt>
                <c:pt idx="263">
                  <c:v>1.7436475828534099</c:v>
                </c:pt>
                <c:pt idx="264">
                  <c:v>1.7435940229268101</c:v>
                </c:pt>
                <c:pt idx="265">
                  <c:v>1.7437253506000501</c:v>
                </c:pt>
                <c:pt idx="266">
                  <c:v>1.7439830020116001</c:v>
                </c:pt>
                <c:pt idx="267">
                  <c:v>1.74540389061695</c:v>
                </c:pt>
                <c:pt idx="268">
                  <c:v>1.74238946010338</c:v>
                </c:pt>
                <c:pt idx="269">
                  <c:v>1.73910698586409</c:v>
                </c:pt>
                <c:pt idx="270">
                  <c:v>1.7363091009485101</c:v>
                </c:pt>
                <c:pt idx="271">
                  <c:v>1.7335096036098301</c:v>
                </c:pt>
                <c:pt idx="272">
                  <c:v>1.7307112556992399</c:v>
                </c:pt>
                <c:pt idx="273">
                  <c:v>1.7271731021610901</c:v>
                </c:pt>
                <c:pt idx="274">
                  <c:v>1.7238449859522</c:v>
                </c:pt>
                <c:pt idx="275">
                  <c:v>1.7200031266423601</c:v>
                </c:pt>
                <c:pt idx="276">
                  <c:v>1.7164332585233899</c:v>
                </c:pt>
                <c:pt idx="277">
                  <c:v>1.7130132306048</c:v>
                </c:pt>
                <c:pt idx="278">
                  <c:v>1.70906771979353</c:v>
                </c:pt>
                <c:pt idx="279">
                  <c:v>1.70456266332297</c:v>
                </c:pt>
                <c:pt idx="280">
                  <c:v>1.7008624241258801</c:v>
                </c:pt>
                <c:pt idx="281">
                  <c:v>1.6970582155195399</c:v>
                </c:pt>
                <c:pt idx="282">
                  <c:v>1.69341351673806</c:v>
                </c:pt>
                <c:pt idx="283">
                  <c:v>1.6902270228112699</c:v>
                </c:pt>
                <c:pt idx="284">
                  <c:v>1.6870556307295399</c:v>
                </c:pt>
                <c:pt idx="285">
                  <c:v>1.6849246615898501</c:v>
                </c:pt>
                <c:pt idx="286">
                  <c:v>1.6837991125859399</c:v>
                </c:pt>
                <c:pt idx="287">
                  <c:v>1.6825675335747401</c:v>
                </c:pt>
                <c:pt idx="288">
                  <c:v>1.68158557511498</c:v>
                </c:pt>
                <c:pt idx="289">
                  <c:v>1.6806991212790301</c:v>
                </c:pt>
                <c:pt idx="290">
                  <c:v>1.6795242214125401</c:v>
                </c:pt>
                <c:pt idx="291">
                  <c:v>1.6790267600422999</c:v>
                </c:pt>
                <c:pt idx="292">
                  <c:v>1.6788974150662399</c:v>
                </c:pt>
                <c:pt idx="293">
                  <c:v>1.6787267826396901</c:v>
                </c:pt>
                <c:pt idx="294">
                  <c:v>1.6785808438913501</c:v>
                </c:pt>
                <c:pt idx="295">
                  <c:v>1.6784038272275701</c:v>
                </c:pt>
                <c:pt idx="296">
                  <c:v>1.6783512561862599</c:v>
                </c:pt>
                <c:pt idx="297">
                  <c:v>1.6787331659190301</c:v>
                </c:pt>
                <c:pt idx="298">
                  <c:v>1.6794763437042699</c:v>
                </c:pt>
                <c:pt idx="299">
                  <c:v>1.6801057495745499</c:v>
                </c:pt>
                <c:pt idx="300">
                  <c:v>1.6812245344604599</c:v>
                </c:pt>
                <c:pt idx="301">
                  <c:v>1.6821870628696201</c:v>
                </c:pt>
                <c:pt idx="302">
                  <c:v>1.6834214698419601</c:v>
                </c:pt>
                <c:pt idx="303">
                  <c:v>1.6850999299043199</c:v>
                </c:pt>
                <c:pt idx="304">
                  <c:v>1.68706422518542</c:v>
                </c:pt>
                <c:pt idx="305">
                  <c:v>1.6893098110621001</c:v>
                </c:pt>
                <c:pt idx="306">
                  <c:v>1.6914774032878701</c:v>
                </c:pt>
                <c:pt idx="307">
                  <c:v>1.6939152411256999</c:v>
                </c:pt>
                <c:pt idx="308">
                  <c:v>1.6969154601262799</c:v>
                </c:pt>
                <c:pt idx="309">
                  <c:v>1.6999329199420901</c:v>
                </c:pt>
                <c:pt idx="310">
                  <c:v>1.7037909374574001</c:v>
                </c:pt>
                <c:pt idx="311">
                  <c:v>1.7074110876451301</c:v>
                </c:pt>
                <c:pt idx="312">
                  <c:v>1.70950552415177</c:v>
                </c:pt>
                <c:pt idx="313">
                  <c:v>1.7117240302833201</c:v>
                </c:pt>
                <c:pt idx="314">
                  <c:v>1.71600959785644</c:v>
                </c:pt>
                <c:pt idx="315">
                  <c:v>1.7206003696577299</c:v>
                </c:pt>
                <c:pt idx="316">
                  <c:v>1.7250932204173399</c:v>
                </c:pt>
                <c:pt idx="317">
                  <c:v>1.7293089504867301</c:v>
                </c:pt>
                <c:pt idx="318">
                  <c:v>1.73313841351375</c:v>
                </c:pt>
                <c:pt idx="319">
                  <c:v>1.7366559394709</c:v>
                </c:pt>
                <c:pt idx="320">
                  <c:v>1.73984918883699</c:v>
                </c:pt>
                <c:pt idx="321">
                  <c:v>1.74321884197071</c:v>
                </c:pt>
                <c:pt idx="322">
                  <c:v>1.74652897449517</c:v>
                </c:pt>
                <c:pt idx="323">
                  <c:v>1.7495240682415401</c:v>
                </c:pt>
                <c:pt idx="324">
                  <c:v>1.7529096073325301</c:v>
                </c:pt>
                <c:pt idx="325">
                  <c:v>1.75550024909001</c:v>
                </c:pt>
                <c:pt idx="326">
                  <c:v>1.7577518174103799</c:v>
                </c:pt>
                <c:pt idx="327">
                  <c:v>1.75932119716786</c:v>
                </c:pt>
                <c:pt idx="328">
                  <c:v>1.76113658961884</c:v>
                </c:pt>
                <c:pt idx="329">
                  <c:v>1.76293658961884</c:v>
                </c:pt>
                <c:pt idx="330">
                  <c:v>1.76447168536381</c:v>
                </c:pt>
                <c:pt idx="331">
                  <c:v>1.7666115397178199</c:v>
                </c:pt>
                <c:pt idx="332">
                  <c:v>1.7687177798118601</c:v>
                </c:pt>
                <c:pt idx="333">
                  <c:v>1.7708092438543399</c:v>
                </c:pt>
                <c:pt idx="334">
                  <c:v>1.77287903037357</c:v>
                </c:pt>
                <c:pt idx="335">
                  <c:v>1.77451695006694</c:v>
                </c:pt>
                <c:pt idx="336">
                  <c:v>1.77672977328868</c:v>
                </c:pt>
                <c:pt idx="337">
                  <c:v>1.7791264941201801</c:v>
                </c:pt>
                <c:pt idx="338">
                  <c:v>1.7813715744015499</c:v>
                </c:pt>
                <c:pt idx="339">
                  <c:v>1.78374811556595</c:v>
                </c:pt>
                <c:pt idx="340">
                  <c:v>1.7866200735534601</c:v>
                </c:pt>
                <c:pt idx="341">
                  <c:v>1.7896028532986199</c:v>
                </c:pt>
                <c:pt idx="342">
                  <c:v>1.7924381408985599</c:v>
                </c:pt>
                <c:pt idx="343">
                  <c:v>1.79538465362083</c:v>
                </c:pt>
                <c:pt idx="344">
                  <c:v>1.7979294723728501</c:v>
                </c:pt>
                <c:pt idx="345">
                  <c:v>1.8001090699154301</c:v>
                </c:pt>
                <c:pt idx="346">
                  <c:v>1.8023646825797</c:v>
                </c:pt>
                <c:pt idx="347">
                  <c:v>1.8051982785320699</c:v>
                </c:pt>
                <c:pt idx="348">
                  <c:v>1.8087973219756699</c:v>
                </c:pt>
                <c:pt idx="349">
                  <c:v>1.8125473905012499</c:v>
                </c:pt>
                <c:pt idx="350">
                  <c:v>1.81637077832644</c:v>
                </c:pt>
                <c:pt idx="351">
                  <c:v>1.82057216298919</c:v>
                </c:pt>
                <c:pt idx="352">
                  <c:v>1.8248502343665001</c:v>
                </c:pt>
                <c:pt idx="353">
                  <c:v>1.8290824201179701</c:v>
                </c:pt>
                <c:pt idx="354">
                  <c:v>1.83381730098892</c:v>
                </c:pt>
                <c:pt idx="355">
                  <c:v>1.8376995688781499</c:v>
                </c:pt>
                <c:pt idx="356">
                  <c:v>1.8419349997452299</c:v>
                </c:pt>
                <c:pt idx="357">
                  <c:v>1.84582390268281</c:v>
                </c:pt>
                <c:pt idx="358">
                  <c:v>1.8496720417971</c:v>
                </c:pt>
                <c:pt idx="359">
                  <c:v>1.8537135977229799</c:v>
                </c:pt>
                <c:pt idx="360">
                  <c:v>1.8581196368467101</c:v>
                </c:pt>
                <c:pt idx="361">
                  <c:v>1.8618671589542499</c:v>
                </c:pt>
                <c:pt idx="362">
                  <c:v>1.86581366585966</c:v>
                </c:pt>
                <c:pt idx="363">
                  <c:v>1.8695338683142599</c:v>
                </c:pt>
                <c:pt idx="364">
                  <c:v>1.8731275094089701</c:v>
                </c:pt>
                <c:pt idx="365">
                  <c:v>1.8761021294765601</c:v>
                </c:pt>
                <c:pt idx="366">
                  <c:v>1.87823439769666</c:v>
                </c:pt>
                <c:pt idx="367">
                  <c:v>1.8799849650229099</c:v>
                </c:pt>
                <c:pt idx="368">
                  <c:v>1.88185734342541</c:v>
                </c:pt>
                <c:pt idx="369">
                  <c:v>1.88374875571682</c:v>
                </c:pt>
                <c:pt idx="370">
                  <c:v>1.8848959620825001</c:v>
                </c:pt>
                <c:pt idx="371">
                  <c:v>1.8865885967681999</c:v>
                </c:pt>
                <c:pt idx="372">
                  <c:v>1.8886400451621199</c:v>
                </c:pt>
                <c:pt idx="373">
                  <c:v>1.89020183421578</c:v>
                </c:pt>
                <c:pt idx="374">
                  <c:v>1.8909607215884701</c:v>
                </c:pt>
                <c:pt idx="375">
                  <c:v>1.8914355979191699</c:v>
                </c:pt>
                <c:pt idx="376">
                  <c:v>1.89186889958468</c:v>
                </c:pt>
                <c:pt idx="377">
                  <c:v>1.8919325980910899</c:v>
                </c:pt>
                <c:pt idx="378">
                  <c:v>1.89210292626444</c:v>
                </c:pt>
                <c:pt idx="379">
                  <c:v>1.89179694478175</c:v>
                </c:pt>
                <c:pt idx="380">
                  <c:v>1.89138321977805</c:v>
                </c:pt>
                <c:pt idx="381">
                  <c:v>1.8908643264340601</c:v>
                </c:pt>
                <c:pt idx="382">
                  <c:v>1.8904464251994899</c:v>
                </c:pt>
                <c:pt idx="383">
                  <c:v>1.8898829033498901</c:v>
                </c:pt>
                <c:pt idx="384">
                  <c:v>1.8891936529806299</c:v>
                </c:pt>
                <c:pt idx="385">
                  <c:v>1.88837435977702</c:v>
                </c:pt>
                <c:pt idx="386">
                  <c:v>1.88803430986117</c:v>
                </c:pt>
                <c:pt idx="387">
                  <c:v>1.88886878951982</c:v>
                </c:pt>
                <c:pt idx="388">
                  <c:v>1.8898307794078699</c:v>
                </c:pt>
                <c:pt idx="389">
                  <c:v>1.88905320503499</c:v>
                </c:pt>
                <c:pt idx="390">
                  <c:v>1.8876946612024601</c:v>
                </c:pt>
                <c:pt idx="391">
                  <c:v>1.8864542618169</c:v>
                </c:pt>
                <c:pt idx="392">
                  <c:v>1.88526441717878</c:v>
                </c:pt>
                <c:pt idx="393">
                  <c:v>1.8841971620987199</c:v>
                </c:pt>
                <c:pt idx="394">
                  <c:v>1.8839192337638799</c:v>
                </c:pt>
                <c:pt idx="395">
                  <c:v>1.8840707489153901</c:v>
                </c:pt>
                <c:pt idx="396">
                  <c:v>1.88432120243468</c:v>
                </c:pt>
                <c:pt idx="397">
                  <c:v>1.8845701383079601</c:v>
                </c:pt>
                <c:pt idx="398">
                  <c:v>1.8844085957009999</c:v>
                </c:pt>
                <c:pt idx="399">
                  <c:v>1.88414798001978</c:v>
                </c:pt>
                <c:pt idx="400">
                  <c:v>1.8838228545675699</c:v>
                </c:pt>
                <c:pt idx="401">
                  <c:v>1.88327591456891</c:v>
                </c:pt>
                <c:pt idx="402">
                  <c:v>1.88290859080613</c:v>
                </c:pt>
                <c:pt idx="403">
                  <c:v>1.88260880699448</c:v>
                </c:pt>
                <c:pt idx="404">
                  <c:v>1.8825352822735899</c:v>
                </c:pt>
                <c:pt idx="405">
                  <c:v>1.88279666741093</c:v>
                </c:pt>
                <c:pt idx="406">
                  <c:v>1.8832405189553501</c:v>
                </c:pt>
                <c:pt idx="407">
                  <c:v>1.88352405934004</c:v>
                </c:pt>
                <c:pt idx="408">
                  <c:v>1.88388155675337</c:v>
                </c:pt>
                <c:pt idx="409">
                  <c:v>1.8843709606068499</c:v>
                </c:pt>
                <c:pt idx="410">
                  <c:v>1.88512736692743</c:v>
                </c:pt>
                <c:pt idx="411">
                  <c:v>1.8856061577076</c:v>
                </c:pt>
                <c:pt idx="412">
                  <c:v>1.88565661826488</c:v>
                </c:pt>
                <c:pt idx="413">
                  <c:v>1.88542698742171</c:v>
                </c:pt>
                <c:pt idx="414">
                  <c:v>1.88499751537143</c:v>
                </c:pt>
                <c:pt idx="415">
                  <c:v>1.88395841742356</c:v>
                </c:pt>
                <c:pt idx="416">
                  <c:v>1.88262609360544</c:v>
                </c:pt>
                <c:pt idx="417">
                  <c:v>1.8812871977737899</c:v>
                </c:pt>
                <c:pt idx="418">
                  <c:v>1.88096497286188</c:v>
                </c:pt>
                <c:pt idx="419">
                  <c:v>1.88158578637486</c:v>
                </c:pt>
                <c:pt idx="420">
                  <c:v>1.87899067605882</c:v>
                </c:pt>
                <c:pt idx="421">
                  <c:v>1.87644763609133</c:v>
                </c:pt>
                <c:pt idx="422">
                  <c:v>1.8735484219068701</c:v>
                </c:pt>
                <c:pt idx="423">
                  <c:v>1.87029228856521</c:v>
                </c:pt>
                <c:pt idx="424">
                  <c:v>1.8672804717567799</c:v>
                </c:pt>
                <c:pt idx="425">
                  <c:v>1.86339688221248</c:v>
                </c:pt>
                <c:pt idx="426">
                  <c:v>1.85934666391748</c:v>
                </c:pt>
                <c:pt idx="427">
                  <c:v>1.8549080249524199</c:v>
                </c:pt>
                <c:pt idx="428">
                  <c:v>1.85058149687645</c:v>
                </c:pt>
                <c:pt idx="429">
                  <c:v>1.84576225668038</c:v>
                </c:pt>
                <c:pt idx="430">
                  <c:v>1.8410003077101</c:v>
                </c:pt>
                <c:pt idx="431">
                  <c:v>1.8360959686524201</c:v>
                </c:pt>
                <c:pt idx="432">
                  <c:v>1.83220828990899</c:v>
                </c:pt>
                <c:pt idx="433">
                  <c:v>1.8281116463664</c:v>
                </c:pt>
                <c:pt idx="434">
                  <c:v>1.82401522308747</c:v>
                </c:pt>
                <c:pt idx="435">
                  <c:v>1.8193032152526101</c:v>
                </c:pt>
                <c:pt idx="436">
                  <c:v>1.8147638287113099</c:v>
                </c:pt>
                <c:pt idx="437">
                  <c:v>1.8098806119806501</c:v>
                </c:pt>
                <c:pt idx="438">
                  <c:v>1.80482546935402</c:v>
                </c:pt>
                <c:pt idx="439">
                  <c:v>1.80002778503326</c:v>
                </c:pt>
                <c:pt idx="440">
                  <c:v>1.79602789634973</c:v>
                </c:pt>
                <c:pt idx="441">
                  <c:v>1.79211982173585</c:v>
                </c:pt>
                <c:pt idx="442">
                  <c:v>1.78864863021023</c:v>
                </c:pt>
                <c:pt idx="443">
                  <c:v>1.7851938048628899</c:v>
                </c:pt>
                <c:pt idx="444">
                  <c:v>1.78147496997397</c:v>
                </c:pt>
                <c:pt idx="445">
                  <c:v>1.77836730798826</c:v>
                </c:pt>
                <c:pt idx="446">
                  <c:v>1.77461257939871</c:v>
                </c:pt>
                <c:pt idx="447">
                  <c:v>1.7704026478095201</c:v>
                </c:pt>
                <c:pt idx="448">
                  <c:v>1.76630555497918</c:v>
                </c:pt>
                <c:pt idx="449">
                  <c:v>1.7629428496191299</c:v>
                </c:pt>
                <c:pt idx="450">
                  <c:v>1.76028187635905</c:v>
                </c:pt>
                <c:pt idx="451">
                  <c:v>1.75737240481402</c:v>
                </c:pt>
                <c:pt idx="452">
                  <c:v>1.7548363713912001</c:v>
                </c:pt>
                <c:pt idx="453">
                  <c:v>1.7528368490099</c:v>
                </c:pt>
                <c:pt idx="454">
                  <c:v>1.7510765577610401</c:v>
                </c:pt>
                <c:pt idx="455">
                  <c:v>1.7494945446955801</c:v>
                </c:pt>
                <c:pt idx="456">
                  <c:v>1.74823216552849</c:v>
                </c:pt>
                <c:pt idx="457">
                  <c:v>1.7471989299119199</c:v>
                </c:pt>
                <c:pt idx="458">
                  <c:v>1.74600552329557</c:v>
                </c:pt>
                <c:pt idx="459">
                  <c:v>1.7448975451734601</c:v>
                </c:pt>
                <c:pt idx="460">
                  <c:v>1.7434665729974199</c:v>
                </c:pt>
                <c:pt idx="461">
                  <c:v>1.7418183214742999</c:v>
                </c:pt>
                <c:pt idx="462">
                  <c:v>1.7402553886030601</c:v>
                </c:pt>
                <c:pt idx="463">
                  <c:v>1.7386990384121099</c:v>
                </c:pt>
                <c:pt idx="464">
                  <c:v>1.73651229692281</c:v>
                </c:pt>
                <c:pt idx="465">
                  <c:v>1.7349474060866801</c:v>
                </c:pt>
                <c:pt idx="466">
                  <c:v>1.73340647554897</c:v>
                </c:pt>
                <c:pt idx="467">
                  <c:v>1.7320224496132199</c:v>
                </c:pt>
                <c:pt idx="468">
                  <c:v>1.7303539445835801</c:v>
                </c:pt>
                <c:pt idx="469">
                  <c:v>1.72838382655698</c:v>
                </c:pt>
                <c:pt idx="470">
                  <c:v>1.72614805419925</c:v>
                </c:pt>
                <c:pt idx="471">
                  <c:v>1.72583453486774</c:v>
                </c:pt>
                <c:pt idx="472">
                  <c:v>1.7208508076420199</c:v>
                </c:pt>
                <c:pt idx="473">
                  <c:v>1.71656503577583</c:v>
                </c:pt>
                <c:pt idx="474">
                  <c:v>1.7124608711914</c:v>
                </c:pt>
                <c:pt idx="475">
                  <c:v>1.70869344868256</c:v>
                </c:pt>
                <c:pt idx="476">
                  <c:v>1.70495609068621</c:v>
                </c:pt>
                <c:pt idx="477">
                  <c:v>1.7014448601157199</c:v>
                </c:pt>
                <c:pt idx="478">
                  <c:v>1.6976673837317799</c:v>
                </c:pt>
                <c:pt idx="479">
                  <c:v>1.69359475460652</c:v>
                </c:pt>
                <c:pt idx="480">
                  <c:v>1.6890327339357101</c:v>
                </c:pt>
                <c:pt idx="481">
                  <c:v>1.6847207971996501</c:v>
                </c:pt>
                <c:pt idx="482">
                  <c:v>1.6803690412293499</c:v>
                </c:pt>
                <c:pt idx="483">
                  <c:v>1.6761775721304799</c:v>
                </c:pt>
                <c:pt idx="484">
                  <c:v>1.67180299315171</c:v>
                </c:pt>
                <c:pt idx="485">
                  <c:v>1.6676048650130499</c:v>
                </c:pt>
                <c:pt idx="486">
                  <c:v>1.6633295528405601</c:v>
                </c:pt>
              </c:numCache>
            </c:numRef>
          </c:val>
        </c:ser>
        <c:marker val="1"/>
        <c:axId val="216472576"/>
        <c:axId val="216486656"/>
      </c:lineChart>
      <c:dateAx>
        <c:axId val="216472576"/>
        <c:scaling>
          <c:orientation val="minMax"/>
        </c:scaling>
        <c:axPos val="b"/>
        <c:numFmt formatCode="yyyy/mm/dd" sourceLinked="1"/>
        <c:tickLblPos val="nextTo"/>
        <c:crossAx val="216486656"/>
        <c:crosses val="autoZero"/>
        <c:auto val="1"/>
        <c:lblOffset val="100"/>
      </c:dateAx>
      <c:valAx>
        <c:axId val="216486656"/>
        <c:scaling>
          <c:orientation val="minMax"/>
          <c:max val="2.0297184735942682"/>
          <c:min val="1.3032252895074323"/>
        </c:scaling>
        <c:axPos val="l"/>
        <c:majorGridlines/>
        <c:numFmt formatCode="General" sourceLinked="1"/>
        <c:majorTickMark val="none"/>
        <c:tickLblPos val="nextTo"/>
        <c:crossAx val="2164725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176E-2"/>
          <c:w val="0.11146820076747002"/>
          <c:h val="0.1504558576043829"/>
        </c:manualLayout>
      </c:layout>
    </c:legend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/>
            </a:pPr>
            <a:r>
              <a:rPr lang="en-US" altLang="zh-CN"/>
              <a:t>BUY</a:t>
            </a:r>
            <a:endParaRPr lang="en-US" altLang="en-US"/>
          </a:p>
        </c:rich>
      </c:tx>
      <c:layout>
        <c:manualLayout>
          <c:xMode val="edge"/>
          <c:yMode val="edge"/>
          <c:x val="3.1670384017651779E-2"/>
          <c:y val="9.768009768009768E-3"/>
        </c:manualLayout>
      </c:layout>
    </c:title>
    <c:plotArea>
      <c:layout>
        <c:manualLayout>
          <c:layoutTarget val="inner"/>
          <c:xMode val="edge"/>
          <c:yMode val="edge"/>
          <c:x val="0.14207645640026095"/>
          <c:y val="0.20550700393220078"/>
          <c:w val="0.80646873933921592"/>
          <c:h val="0.52286425735244635"/>
        </c:manualLayout>
      </c:layout>
      <c:lineChart>
        <c:grouping val="standard"/>
        <c:ser>
          <c:idx val="0"/>
          <c:order val="0"/>
          <c:tx>
            <c:strRef>
              <c:f>グラフ!$E$41</c:f>
              <c:strCache>
                <c:ptCount val="1"/>
                <c:pt idx="0">
                  <c:v>CLOSE_7762</c:v>
                </c:pt>
              </c:strCache>
            </c:strRef>
          </c:tx>
          <c:marker>
            <c:symbol val="none"/>
          </c:marker>
          <c:cat>
            <c:numRef>
              <c:f>グラフ!$A$42:$A$200</c:f>
              <c:numCache>
                <c:formatCode>yyyy/mm/dd</c:formatCode>
                <c:ptCount val="159"/>
                <c:pt idx="0">
                  <c:v>43809</c:v>
                </c:pt>
                <c:pt idx="1">
                  <c:v>43808</c:v>
                </c:pt>
                <c:pt idx="2">
                  <c:v>43805</c:v>
                </c:pt>
                <c:pt idx="3">
                  <c:v>43804</c:v>
                </c:pt>
                <c:pt idx="4">
                  <c:v>43803</c:v>
                </c:pt>
                <c:pt idx="5">
                  <c:v>43802</c:v>
                </c:pt>
                <c:pt idx="6">
                  <c:v>43801</c:v>
                </c:pt>
                <c:pt idx="7">
                  <c:v>43798</c:v>
                </c:pt>
                <c:pt idx="8">
                  <c:v>43797</c:v>
                </c:pt>
                <c:pt idx="9">
                  <c:v>43796</c:v>
                </c:pt>
                <c:pt idx="10">
                  <c:v>43795</c:v>
                </c:pt>
                <c:pt idx="11">
                  <c:v>43794</c:v>
                </c:pt>
                <c:pt idx="12">
                  <c:v>43791</c:v>
                </c:pt>
                <c:pt idx="13">
                  <c:v>43790</c:v>
                </c:pt>
                <c:pt idx="14">
                  <c:v>43789</c:v>
                </c:pt>
                <c:pt idx="15">
                  <c:v>43788</c:v>
                </c:pt>
                <c:pt idx="16">
                  <c:v>43787</c:v>
                </c:pt>
                <c:pt idx="17">
                  <c:v>43784</c:v>
                </c:pt>
                <c:pt idx="18">
                  <c:v>43783</c:v>
                </c:pt>
                <c:pt idx="19">
                  <c:v>43782</c:v>
                </c:pt>
                <c:pt idx="20">
                  <c:v>43781</c:v>
                </c:pt>
                <c:pt idx="21">
                  <c:v>43780</c:v>
                </c:pt>
                <c:pt idx="22">
                  <c:v>43777</c:v>
                </c:pt>
                <c:pt idx="23">
                  <c:v>43776</c:v>
                </c:pt>
                <c:pt idx="24">
                  <c:v>43775</c:v>
                </c:pt>
                <c:pt idx="25">
                  <c:v>43774</c:v>
                </c:pt>
                <c:pt idx="26">
                  <c:v>43770</c:v>
                </c:pt>
                <c:pt idx="27">
                  <c:v>43769</c:v>
                </c:pt>
                <c:pt idx="28">
                  <c:v>43768</c:v>
                </c:pt>
                <c:pt idx="29">
                  <c:v>43767</c:v>
                </c:pt>
                <c:pt idx="30">
                  <c:v>43766</c:v>
                </c:pt>
                <c:pt idx="31">
                  <c:v>43763</c:v>
                </c:pt>
                <c:pt idx="32">
                  <c:v>43762</c:v>
                </c:pt>
                <c:pt idx="33">
                  <c:v>43761</c:v>
                </c:pt>
                <c:pt idx="34">
                  <c:v>43759</c:v>
                </c:pt>
                <c:pt idx="35">
                  <c:v>43756</c:v>
                </c:pt>
                <c:pt idx="36">
                  <c:v>43755</c:v>
                </c:pt>
                <c:pt idx="37">
                  <c:v>43754</c:v>
                </c:pt>
                <c:pt idx="38">
                  <c:v>43753</c:v>
                </c:pt>
                <c:pt idx="39">
                  <c:v>43749</c:v>
                </c:pt>
                <c:pt idx="40">
                  <c:v>43748</c:v>
                </c:pt>
                <c:pt idx="41">
                  <c:v>43747</c:v>
                </c:pt>
                <c:pt idx="42">
                  <c:v>43746</c:v>
                </c:pt>
                <c:pt idx="43">
                  <c:v>43745</c:v>
                </c:pt>
                <c:pt idx="44">
                  <c:v>43742</c:v>
                </c:pt>
                <c:pt idx="45">
                  <c:v>43741</c:v>
                </c:pt>
                <c:pt idx="46">
                  <c:v>43740</c:v>
                </c:pt>
                <c:pt idx="47">
                  <c:v>43739</c:v>
                </c:pt>
                <c:pt idx="48">
                  <c:v>43738</c:v>
                </c:pt>
                <c:pt idx="49">
                  <c:v>43735</c:v>
                </c:pt>
                <c:pt idx="50">
                  <c:v>43734</c:v>
                </c:pt>
                <c:pt idx="51">
                  <c:v>43733</c:v>
                </c:pt>
                <c:pt idx="52">
                  <c:v>43732</c:v>
                </c:pt>
                <c:pt idx="53">
                  <c:v>43728</c:v>
                </c:pt>
                <c:pt idx="54">
                  <c:v>43727</c:v>
                </c:pt>
                <c:pt idx="55">
                  <c:v>43726</c:v>
                </c:pt>
                <c:pt idx="56">
                  <c:v>43725</c:v>
                </c:pt>
                <c:pt idx="57">
                  <c:v>43721</c:v>
                </c:pt>
                <c:pt idx="58">
                  <c:v>43720</c:v>
                </c:pt>
                <c:pt idx="59">
                  <c:v>43719</c:v>
                </c:pt>
                <c:pt idx="60">
                  <c:v>43718</c:v>
                </c:pt>
                <c:pt idx="61">
                  <c:v>43717</c:v>
                </c:pt>
                <c:pt idx="62">
                  <c:v>43714</c:v>
                </c:pt>
                <c:pt idx="63">
                  <c:v>43713</c:v>
                </c:pt>
                <c:pt idx="64">
                  <c:v>43712</c:v>
                </c:pt>
                <c:pt idx="65">
                  <c:v>43711</c:v>
                </c:pt>
                <c:pt idx="66">
                  <c:v>43710</c:v>
                </c:pt>
                <c:pt idx="67">
                  <c:v>43707</c:v>
                </c:pt>
                <c:pt idx="68">
                  <c:v>43706</c:v>
                </c:pt>
                <c:pt idx="69">
                  <c:v>43705</c:v>
                </c:pt>
                <c:pt idx="70">
                  <c:v>43704</c:v>
                </c:pt>
                <c:pt idx="71">
                  <c:v>43703</c:v>
                </c:pt>
                <c:pt idx="72">
                  <c:v>43700</c:v>
                </c:pt>
                <c:pt idx="73">
                  <c:v>43699</c:v>
                </c:pt>
                <c:pt idx="74">
                  <c:v>43698</c:v>
                </c:pt>
                <c:pt idx="75">
                  <c:v>43697</c:v>
                </c:pt>
                <c:pt idx="76">
                  <c:v>43696</c:v>
                </c:pt>
                <c:pt idx="77">
                  <c:v>43693</c:v>
                </c:pt>
                <c:pt idx="78">
                  <c:v>43692</c:v>
                </c:pt>
                <c:pt idx="79">
                  <c:v>43691</c:v>
                </c:pt>
                <c:pt idx="80">
                  <c:v>43690</c:v>
                </c:pt>
                <c:pt idx="81">
                  <c:v>43686</c:v>
                </c:pt>
                <c:pt idx="82">
                  <c:v>43685</c:v>
                </c:pt>
                <c:pt idx="83">
                  <c:v>43684</c:v>
                </c:pt>
                <c:pt idx="84">
                  <c:v>43683</c:v>
                </c:pt>
                <c:pt idx="85">
                  <c:v>43682</c:v>
                </c:pt>
                <c:pt idx="86">
                  <c:v>43679</c:v>
                </c:pt>
                <c:pt idx="87">
                  <c:v>43678</c:v>
                </c:pt>
                <c:pt idx="88">
                  <c:v>43677</c:v>
                </c:pt>
                <c:pt idx="89">
                  <c:v>43676</c:v>
                </c:pt>
                <c:pt idx="90">
                  <c:v>43675</c:v>
                </c:pt>
                <c:pt idx="91">
                  <c:v>43672</c:v>
                </c:pt>
                <c:pt idx="92">
                  <c:v>43671</c:v>
                </c:pt>
                <c:pt idx="93">
                  <c:v>43670</c:v>
                </c:pt>
                <c:pt idx="94">
                  <c:v>43669</c:v>
                </c:pt>
                <c:pt idx="95">
                  <c:v>43668</c:v>
                </c:pt>
                <c:pt idx="96">
                  <c:v>43665</c:v>
                </c:pt>
                <c:pt idx="97">
                  <c:v>43664</c:v>
                </c:pt>
                <c:pt idx="98">
                  <c:v>43663</c:v>
                </c:pt>
                <c:pt idx="99">
                  <c:v>43662</c:v>
                </c:pt>
                <c:pt idx="100">
                  <c:v>43658</c:v>
                </c:pt>
                <c:pt idx="101">
                  <c:v>43657</c:v>
                </c:pt>
                <c:pt idx="102">
                  <c:v>43656</c:v>
                </c:pt>
                <c:pt idx="103">
                  <c:v>43655</c:v>
                </c:pt>
                <c:pt idx="104">
                  <c:v>43654</c:v>
                </c:pt>
                <c:pt idx="105">
                  <c:v>43651</c:v>
                </c:pt>
                <c:pt idx="106">
                  <c:v>43650</c:v>
                </c:pt>
                <c:pt idx="107">
                  <c:v>43649</c:v>
                </c:pt>
                <c:pt idx="108">
                  <c:v>43648</c:v>
                </c:pt>
                <c:pt idx="109">
                  <c:v>43647</c:v>
                </c:pt>
                <c:pt idx="110">
                  <c:v>43644</c:v>
                </c:pt>
                <c:pt idx="111">
                  <c:v>43643</c:v>
                </c:pt>
                <c:pt idx="112">
                  <c:v>43642</c:v>
                </c:pt>
                <c:pt idx="113">
                  <c:v>43641</c:v>
                </c:pt>
                <c:pt idx="114">
                  <c:v>43640</c:v>
                </c:pt>
                <c:pt idx="115">
                  <c:v>43637</c:v>
                </c:pt>
                <c:pt idx="116">
                  <c:v>43636</c:v>
                </c:pt>
                <c:pt idx="117">
                  <c:v>43635</c:v>
                </c:pt>
                <c:pt idx="118">
                  <c:v>43634</c:v>
                </c:pt>
                <c:pt idx="119">
                  <c:v>43633</c:v>
                </c:pt>
                <c:pt idx="120">
                  <c:v>43630</c:v>
                </c:pt>
                <c:pt idx="121">
                  <c:v>43629</c:v>
                </c:pt>
                <c:pt idx="122">
                  <c:v>43628</c:v>
                </c:pt>
                <c:pt idx="123">
                  <c:v>43627</c:v>
                </c:pt>
                <c:pt idx="124">
                  <c:v>43626</c:v>
                </c:pt>
                <c:pt idx="125">
                  <c:v>43623</c:v>
                </c:pt>
                <c:pt idx="126">
                  <c:v>43622</c:v>
                </c:pt>
                <c:pt idx="127">
                  <c:v>43621</c:v>
                </c:pt>
                <c:pt idx="128">
                  <c:v>43620</c:v>
                </c:pt>
                <c:pt idx="129">
                  <c:v>43619</c:v>
                </c:pt>
                <c:pt idx="130">
                  <c:v>43616</c:v>
                </c:pt>
                <c:pt idx="131">
                  <c:v>43615</c:v>
                </c:pt>
                <c:pt idx="132">
                  <c:v>43614</c:v>
                </c:pt>
                <c:pt idx="133">
                  <c:v>43613</c:v>
                </c:pt>
                <c:pt idx="134">
                  <c:v>43612</c:v>
                </c:pt>
                <c:pt idx="135">
                  <c:v>43609</c:v>
                </c:pt>
                <c:pt idx="136">
                  <c:v>43608</c:v>
                </c:pt>
                <c:pt idx="137">
                  <c:v>43607</c:v>
                </c:pt>
                <c:pt idx="138">
                  <c:v>43606</c:v>
                </c:pt>
                <c:pt idx="139">
                  <c:v>43605</c:v>
                </c:pt>
                <c:pt idx="140">
                  <c:v>43602</c:v>
                </c:pt>
                <c:pt idx="141">
                  <c:v>43601</c:v>
                </c:pt>
                <c:pt idx="142">
                  <c:v>43600</c:v>
                </c:pt>
                <c:pt idx="143">
                  <c:v>43599</c:v>
                </c:pt>
                <c:pt idx="144">
                  <c:v>43598</c:v>
                </c:pt>
                <c:pt idx="145">
                  <c:v>43595</c:v>
                </c:pt>
                <c:pt idx="146">
                  <c:v>43594</c:v>
                </c:pt>
                <c:pt idx="147">
                  <c:v>43593</c:v>
                </c:pt>
                <c:pt idx="148">
                  <c:v>43592</c:v>
                </c:pt>
                <c:pt idx="149">
                  <c:v>43581</c:v>
                </c:pt>
                <c:pt idx="150">
                  <c:v>43580</c:v>
                </c:pt>
                <c:pt idx="151">
                  <c:v>43579</c:v>
                </c:pt>
                <c:pt idx="152">
                  <c:v>43578</c:v>
                </c:pt>
                <c:pt idx="153">
                  <c:v>43577</c:v>
                </c:pt>
                <c:pt idx="154">
                  <c:v>43574</c:v>
                </c:pt>
                <c:pt idx="155">
                  <c:v>43573</c:v>
                </c:pt>
                <c:pt idx="156">
                  <c:v>43572</c:v>
                </c:pt>
                <c:pt idx="157">
                  <c:v>43571</c:v>
                </c:pt>
                <c:pt idx="158">
                  <c:v>43570</c:v>
                </c:pt>
              </c:numCache>
            </c:numRef>
          </c:cat>
          <c:val>
            <c:numRef>
              <c:f>グラフ!$E$42:$E$200</c:f>
              <c:numCache>
                <c:formatCode>General</c:formatCode>
                <c:ptCount val="159"/>
                <c:pt idx="0">
                  <c:v>610</c:v>
                </c:pt>
                <c:pt idx="1">
                  <c:v>613</c:v>
                </c:pt>
                <c:pt idx="2">
                  <c:v>606</c:v>
                </c:pt>
                <c:pt idx="3">
                  <c:v>600</c:v>
                </c:pt>
                <c:pt idx="4">
                  <c:v>592</c:v>
                </c:pt>
                <c:pt idx="5">
                  <c:v>596</c:v>
                </c:pt>
                <c:pt idx="6">
                  <c:v>610</c:v>
                </c:pt>
                <c:pt idx="7">
                  <c:v>606</c:v>
                </c:pt>
                <c:pt idx="8">
                  <c:v>617</c:v>
                </c:pt>
                <c:pt idx="9">
                  <c:v>619</c:v>
                </c:pt>
                <c:pt idx="10">
                  <c:v>610</c:v>
                </c:pt>
                <c:pt idx="11">
                  <c:v>603</c:v>
                </c:pt>
                <c:pt idx="12">
                  <c:v>593</c:v>
                </c:pt>
                <c:pt idx="13">
                  <c:v>590</c:v>
                </c:pt>
                <c:pt idx="14">
                  <c:v>588</c:v>
                </c:pt>
                <c:pt idx="15">
                  <c:v>593</c:v>
                </c:pt>
                <c:pt idx="16">
                  <c:v>598</c:v>
                </c:pt>
                <c:pt idx="17">
                  <c:v>608</c:v>
                </c:pt>
                <c:pt idx="18">
                  <c:v>596</c:v>
                </c:pt>
                <c:pt idx="19">
                  <c:v>599</c:v>
                </c:pt>
                <c:pt idx="20">
                  <c:v>612</c:v>
                </c:pt>
                <c:pt idx="21">
                  <c:v>605</c:v>
                </c:pt>
                <c:pt idx="22">
                  <c:v>626</c:v>
                </c:pt>
                <c:pt idx="23">
                  <c:v>607</c:v>
                </c:pt>
                <c:pt idx="24">
                  <c:v>605</c:v>
                </c:pt>
                <c:pt idx="25">
                  <c:v>593</c:v>
                </c:pt>
                <c:pt idx="26">
                  <c:v>575</c:v>
                </c:pt>
                <c:pt idx="27">
                  <c:v>579</c:v>
                </c:pt>
                <c:pt idx="28">
                  <c:v>575</c:v>
                </c:pt>
                <c:pt idx="29">
                  <c:v>579</c:v>
                </c:pt>
                <c:pt idx="30">
                  <c:v>563</c:v>
                </c:pt>
                <c:pt idx="31">
                  <c:v>561</c:v>
                </c:pt>
                <c:pt idx="32">
                  <c:v>564</c:v>
                </c:pt>
                <c:pt idx="33">
                  <c:v>560</c:v>
                </c:pt>
                <c:pt idx="34">
                  <c:v>553</c:v>
                </c:pt>
                <c:pt idx="35">
                  <c:v>552</c:v>
                </c:pt>
                <c:pt idx="36">
                  <c:v>550</c:v>
                </c:pt>
                <c:pt idx="37">
                  <c:v>549</c:v>
                </c:pt>
                <c:pt idx="38">
                  <c:v>553</c:v>
                </c:pt>
                <c:pt idx="39">
                  <c:v>546</c:v>
                </c:pt>
                <c:pt idx="40">
                  <c:v>534</c:v>
                </c:pt>
                <c:pt idx="41">
                  <c:v>529</c:v>
                </c:pt>
                <c:pt idx="42">
                  <c:v>545</c:v>
                </c:pt>
                <c:pt idx="43">
                  <c:v>535</c:v>
                </c:pt>
                <c:pt idx="44">
                  <c:v>534</c:v>
                </c:pt>
                <c:pt idx="45">
                  <c:v>528</c:v>
                </c:pt>
                <c:pt idx="46">
                  <c:v>538</c:v>
                </c:pt>
                <c:pt idx="47">
                  <c:v>539</c:v>
                </c:pt>
                <c:pt idx="48">
                  <c:v>528</c:v>
                </c:pt>
                <c:pt idx="49">
                  <c:v>532</c:v>
                </c:pt>
                <c:pt idx="50">
                  <c:v>543</c:v>
                </c:pt>
                <c:pt idx="51">
                  <c:v>537</c:v>
                </c:pt>
                <c:pt idx="52">
                  <c:v>541</c:v>
                </c:pt>
                <c:pt idx="53">
                  <c:v>545</c:v>
                </c:pt>
                <c:pt idx="54">
                  <c:v>543</c:v>
                </c:pt>
                <c:pt idx="55">
                  <c:v>541</c:v>
                </c:pt>
                <c:pt idx="56">
                  <c:v>551</c:v>
                </c:pt>
                <c:pt idx="57">
                  <c:v>553</c:v>
                </c:pt>
                <c:pt idx="58">
                  <c:v>550</c:v>
                </c:pt>
                <c:pt idx="59">
                  <c:v>535</c:v>
                </c:pt>
                <c:pt idx="60">
                  <c:v>533</c:v>
                </c:pt>
                <c:pt idx="61">
                  <c:v>517</c:v>
                </c:pt>
                <c:pt idx="62">
                  <c:v>513</c:v>
                </c:pt>
                <c:pt idx="63">
                  <c:v>504</c:v>
                </c:pt>
                <c:pt idx="64">
                  <c:v>494</c:v>
                </c:pt>
                <c:pt idx="65">
                  <c:v>498</c:v>
                </c:pt>
                <c:pt idx="66">
                  <c:v>490</c:v>
                </c:pt>
                <c:pt idx="67">
                  <c:v>484</c:v>
                </c:pt>
                <c:pt idx="68">
                  <c:v>474</c:v>
                </c:pt>
                <c:pt idx="69">
                  <c:v>474</c:v>
                </c:pt>
                <c:pt idx="70">
                  <c:v>478</c:v>
                </c:pt>
                <c:pt idx="71">
                  <c:v>472</c:v>
                </c:pt>
                <c:pt idx="72">
                  <c:v>487</c:v>
                </c:pt>
                <c:pt idx="73">
                  <c:v>490</c:v>
                </c:pt>
                <c:pt idx="74">
                  <c:v>491</c:v>
                </c:pt>
                <c:pt idx="75">
                  <c:v>494</c:v>
                </c:pt>
                <c:pt idx="76">
                  <c:v>489</c:v>
                </c:pt>
                <c:pt idx="77">
                  <c:v>479</c:v>
                </c:pt>
                <c:pt idx="78">
                  <c:v>482</c:v>
                </c:pt>
                <c:pt idx="79">
                  <c:v>489</c:v>
                </c:pt>
                <c:pt idx="80">
                  <c:v>477</c:v>
                </c:pt>
                <c:pt idx="81">
                  <c:v>485</c:v>
                </c:pt>
                <c:pt idx="82">
                  <c:v>523</c:v>
                </c:pt>
                <c:pt idx="83">
                  <c:v>514</c:v>
                </c:pt>
                <c:pt idx="84">
                  <c:v>519</c:v>
                </c:pt>
                <c:pt idx="85">
                  <c:v>519</c:v>
                </c:pt>
                <c:pt idx="86">
                  <c:v>535</c:v>
                </c:pt>
                <c:pt idx="87">
                  <c:v>546</c:v>
                </c:pt>
                <c:pt idx="88">
                  <c:v>545</c:v>
                </c:pt>
                <c:pt idx="89">
                  <c:v>555</c:v>
                </c:pt>
                <c:pt idx="90">
                  <c:v>554</c:v>
                </c:pt>
                <c:pt idx="91">
                  <c:v>564</c:v>
                </c:pt>
                <c:pt idx="92">
                  <c:v>562</c:v>
                </c:pt>
                <c:pt idx="93">
                  <c:v>561</c:v>
                </c:pt>
                <c:pt idx="94">
                  <c:v>557</c:v>
                </c:pt>
                <c:pt idx="95">
                  <c:v>548</c:v>
                </c:pt>
                <c:pt idx="96">
                  <c:v>550</c:v>
                </c:pt>
                <c:pt idx="97">
                  <c:v>533</c:v>
                </c:pt>
                <c:pt idx="98">
                  <c:v>555</c:v>
                </c:pt>
                <c:pt idx="99">
                  <c:v>556</c:v>
                </c:pt>
                <c:pt idx="100">
                  <c:v>558</c:v>
                </c:pt>
                <c:pt idx="101">
                  <c:v>564</c:v>
                </c:pt>
                <c:pt idx="102">
                  <c:v>565</c:v>
                </c:pt>
                <c:pt idx="103">
                  <c:v>561</c:v>
                </c:pt>
                <c:pt idx="104">
                  <c:v>561</c:v>
                </c:pt>
                <c:pt idx="105">
                  <c:v>568</c:v>
                </c:pt>
                <c:pt idx="106">
                  <c:v>571</c:v>
                </c:pt>
                <c:pt idx="107">
                  <c:v>566</c:v>
                </c:pt>
                <c:pt idx="108">
                  <c:v>570</c:v>
                </c:pt>
                <c:pt idx="109">
                  <c:v>565</c:v>
                </c:pt>
                <c:pt idx="110">
                  <c:v>553</c:v>
                </c:pt>
                <c:pt idx="111">
                  <c:v>552</c:v>
                </c:pt>
                <c:pt idx="112">
                  <c:v>541</c:v>
                </c:pt>
                <c:pt idx="113">
                  <c:v>536</c:v>
                </c:pt>
                <c:pt idx="114">
                  <c:v>543</c:v>
                </c:pt>
                <c:pt idx="115">
                  <c:v>546</c:v>
                </c:pt>
                <c:pt idx="116">
                  <c:v>541</c:v>
                </c:pt>
                <c:pt idx="117">
                  <c:v>535</c:v>
                </c:pt>
                <c:pt idx="118">
                  <c:v>528</c:v>
                </c:pt>
                <c:pt idx="119">
                  <c:v>525</c:v>
                </c:pt>
                <c:pt idx="120">
                  <c:v>530</c:v>
                </c:pt>
                <c:pt idx="121">
                  <c:v>524</c:v>
                </c:pt>
                <c:pt idx="122">
                  <c:v>534</c:v>
                </c:pt>
                <c:pt idx="123">
                  <c:v>531</c:v>
                </c:pt>
                <c:pt idx="124">
                  <c:v>524</c:v>
                </c:pt>
                <c:pt idx="125">
                  <c:v>517</c:v>
                </c:pt>
                <c:pt idx="126">
                  <c:v>519</c:v>
                </c:pt>
                <c:pt idx="127">
                  <c:v>518</c:v>
                </c:pt>
                <c:pt idx="128">
                  <c:v>507</c:v>
                </c:pt>
                <c:pt idx="129">
                  <c:v>499</c:v>
                </c:pt>
                <c:pt idx="130">
                  <c:v>501</c:v>
                </c:pt>
                <c:pt idx="131">
                  <c:v>507</c:v>
                </c:pt>
                <c:pt idx="132">
                  <c:v>505</c:v>
                </c:pt>
                <c:pt idx="133">
                  <c:v>502</c:v>
                </c:pt>
                <c:pt idx="134">
                  <c:v>498</c:v>
                </c:pt>
                <c:pt idx="135">
                  <c:v>499</c:v>
                </c:pt>
                <c:pt idx="136">
                  <c:v>503</c:v>
                </c:pt>
                <c:pt idx="137">
                  <c:v>504</c:v>
                </c:pt>
                <c:pt idx="138">
                  <c:v>502</c:v>
                </c:pt>
                <c:pt idx="139">
                  <c:v>503</c:v>
                </c:pt>
                <c:pt idx="140">
                  <c:v>512</c:v>
                </c:pt>
                <c:pt idx="141">
                  <c:v>507</c:v>
                </c:pt>
                <c:pt idx="142">
                  <c:v>514</c:v>
                </c:pt>
                <c:pt idx="143">
                  <c:v>512</c:v>
                </c:pt>
                <c:pt idx="144">
                  <c:v>575</c:v>
                </c:pt>
                <c:pt idx="145">
                  <c:v>584</c:v>
                </c:pt>
                <c:pt idx="146">
                  <c:v>582</c:v>
                </c:pt>
                <c:pt idx="147">
                  <c:v>589</c:v>
                </c:pt>
                <c:pt idx="148">
                  <c:v>606</c:v>
                </c:pt>
                <c:pt idx="149">
                  <c:v>624</c:v>
                </c:pt>
                <c:pt idx="150">
                  <c:v>622</c:v>
                </c:pt>
                <c:pt idx="151">
                  <c:v>615</c:v>
                </c:pt>
                <c:pt idx="152">
                  <c:v>623</c:v>
                </c:pt>
                <c:pt idx="153">
                  <c:v>614</c:v>
                </c:pt>
                <c:pt idx="154">
                  <c:v>624</c:v>
                </c:pt>
                <c:pt idx="155">
                  <c:v>620</c:v>
                </c:pt>
                <c:pt idx="156">
                  <c:v>631</c:v>
                </c:pt>
                <c:pt idx="157">
                  <c:v>625</c:v>
                </c:pt>
                <c:pt idx="158">
                  <c:v>621</c:v>
                </c:pt>
              </c:numCache>
            </c:numRef>
          </c:val>
        </c:ser>
        <c:marker val="1"/>
        <c:axId val="151784064"/>
        <c:axId val="230144256"/>
      </c:lineChart>
      <c:dateAx>
        <c:axId val="151784064"/>
        <c:scaling>
          <c:orientation val="minMax"/>
        </c:scaling>
        <c:axPos val="b"/>
        <c:numFmt formatCode="yyyy/mm/dd" sourceLinked="1"/>
        <c:tickLblPos val="nextTo"/>
        <c:crossAx val="230144256"/>
        <c:crosses val="autoZero"/>
        <c:auto val="1"/>
        <c:lblOffset val="100"/>
      </c:dateAx>
      <c:valAx>
        <c:axId val="230144256"/>
        <c:scaling>
          <c:orientation val="minMax"/>
          <c:min val="100"/>
        </c:scaling>
        <c:axPos val="l"/>
        <c:majorGridlines/>
        <c:numFmt formatCode="General" sourceLinked="1"/>
        <c:tickLblPos val="nextTo"/>
        <c:crossAx val="151784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579552641081444"/>
          <c:y val="5.2849932220010984E-2"/>
          <c:w val="0.25619971351792403"/>
          <c:h val="8.8317037293415251E-2"/>
        </c:manualLayout>
      </c:layout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99390</xdr:colOff>
      <xdr:row>3</xdr:row>
      <xdr:rowOff>132523</xdr:rowOff>
    </xdr:from>
    <xdr:to>
      <xdr:col>8</xdr:col>
      <xdr:colOff>289890</xdr:colOff>
      <xdr:row>13</xdr:row>
      <xdr:rowOff>132523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180975</xdr:colOff>
      <xdr:row>9</xdr:row>
      <xdr:rowOff>76200</xdr:rowOff>
    </xdr:from>
    <xdr:to>
      <xdr:col>25</xdr:col>
      <xdr:colOff>161925</xdr:colOff>
      <xdr:row>24</xdr:row>
      <xdr:rowOff>9525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200026</xdr:colOff>
      <xdr:row>24</xdr:row>
      <xdr:rowOff>133349</xdr:rowOff>
    </xdr:from>
    <xdr:to>
      <xdr:col>25</xdr:col>
      <xdr:colOff>171450</xdr:colOff>
      <xdr:row>39</xdr:row>
      <xdr:rowOff>9524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activeCell="D17" sqref="D17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W9"/>
  <sheetViews>
    <sheetView showGridLines="0" zoomScale="115" zoomScaleNormal="115" workbookViewId="0">
      <selection activeCell="I13" sqref="I13"/>
    </sheetView>
  </sheetViews>
  <sheetFormatPr defaultRowHeight="14.25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2.2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>
      <c r="C1" s="63" t="s">
        <v>190</v>
      </c>
      <c r="D1" s="18"/>
      <c r="H1" s="1"/>
      <c r="I1" s="18" t="s">
        <v>48</v>
      </c>
      <c r="J1" s="62"/>
      <c r="K1" s="203">
        <v>43809</v>
      </c>
      <c r="L1" s="204"/>
      <c r="M1" s="28"/>
      <c r="N1" s="18" t="s">
        <v>292</v>
      </c>
      <c r="P1" s="203">
        <f ca="1">TODAY()</f>
        <v>43809</v>
      </c>
      <c r="Q1" s="205"/>
      <c r="U1" s="63" t="s">
        <v>47</v>
      </c>
      <c r="V1" s="63"/>
    </row>
    <row r="2" spans="2:23" ht="16.5" customHeight="1" thickBot="1">
      <c r="J2" s="99">
        <f>SUM(J4:J68)</f>
        <v>6108300</v>
      </c>
      <c r="R2" s="134">
        <f ca="1">SUM(R4:R68)</f>
        <v>15098.363013698628</v>
      </c>
      <c r="S2" s="97">
        <f ca="1">SUM(S4:S68)</f>
        <v>7.0349549163263424E-3</v>
      </c>
    </row>
    <row r="3" spans="2:23" ht="24.75" thickBot="1">
      <c r="C3" s="64" t="s">
        <v>173</v>
      </c>
      <c r="D3" s="74" t="s">
        <v>197</v>
      </c>
      <c r="E3" s="66"/>
      <c r="F3" s="65" t="s">
        <v>94</v>
      </c>
      <c r="G3" s="67" t="s">
        <v>95</v>
      </c>
      <c r="H3" s="68" t="s">
        <v>174</v>
      </c>
      <c r="I3" s="68" t="s">
        <v>175</v>
      </c>
      <c r="J3" s="66" t="s">
        <v>46</v>
      </c>
      <c r="K3" s="66" t="s">
        <v>176</v>
      </c>
      <c r="L3" s="68" t="s">
        <v>177</v>
      </c>
      <c r="M3" s="69" t="s">
        <v>198</v>
      </c>
      <c r="N3" s="66" t="s">
        <v>178</v>
      </c>
      <c r="O3" s="69" t="s">
        <v>192</v>
      </c>
      <c r="P3" s="66" t="s">
        <v>285</v>
      </c>
      <c r="Q3" s="66" t="s">
        <v>179</v>
      </c>
      <c r="R3" s="69" t="s">
        <v>194</v>
      </c>
      <c r="S3" s="72" t="s">
        <v>195</v>
      </c>
      <c r="T3" s="71"/>
      <c r="U3" s="73" t="s">
        <v>291</v>
      </c>
      <c r="V3" s="73" t="s">
        <v>196</v>
      </c>
      <c r="W3" s="70" t="s">
        <v>193</v>
      </c>
    </row>
    <row r="4" spans="2:23" s="113" customFormat="1">
      <c r="B4" s="131" t="s">
        <v>300</v>
      </c>
      <c r="C4" s="195">
        <f>ROW()/2-1</f>
        <v>1</v>
      </c>
      <c r="D4" s="197">
        <v>43802</v>
      </c>
      <c r="E4" s="39" t="s">
        <v>181</v>
      </c>
      <c r="F4" s="39">
        <v>3861</v>
      </c>
      <c r="G4" s="61" t="s">
        <v>89</v>
      </c>
      <c r="H4" s="55">
        <v>616</v>
      </c>
      <c r="I4" s="55">
        <v>1700</v>
      </c>
      <c r="J4" s="56">
        <f t="shared" ref="J4:J5" si="0">H4*I4</f>
        <v>1047200</v>
      </c>
      <c r="K4" s="58" t="s">
        <v>186</v>
      </c>
      <c r="L4" s="55">
        <v>626</v>
      </c>
      <c r="M4" s="39">
        <v>770</v>
      </c>
      <c r="N4" s="153">
        <f ca="1">IF(OR(K4="現物",J4=0),0,IF(E4="売",J4*Fee_Refer!$B$12/365*V4, J4*Fee_Refer!$B$11/365*#REF!))</f>
        <v>220.91616438356161</v>
      </c>
      <c r="O4" s="58">
        <v>92</v>
      </c>
      <c r="P4" s="156">
        <f ca="1">IF(L4 &gt;0,(H4-L4)*I4-M4-N4-O4,0)</f>
        <v>-18082.916164383561</v>
      </c>
      <c r="Q4" s="57">
        <f t="shared" ref="Q4:Q5" ca="1" si="1">P4/J4</f>
        <v>-1.7267872578670324E-2</v>
      </c>
      <c r="R4" s="199">
        <f ca="1">P4+P5</f>
        <v>27178.792328767122</v>
      </c>
      <c r="S4" s="200">
        <f t="shared" ref="S4" ca="1" si="2">R4/(J4+J5)</f>
        <v>1.3000474662186512E-2</v>
      </c>
      <c r="U4" s="202">
        <f ca="1">$P$1</f>
        <v>43809</v>
      </c>
      <c r="V4" s="193">
        <f t="shared" ref="V4" ca="1" si="3">IF(U4&gt;D4,DATEDIF(D4,U4,"d"),0)</f>
        <v>7</v>
      </c>
      <c r="W4" s="194"/>
    </row>
    <row r="5" spans="2:23" s="113" customFormat="1">
      <c r="B5" s="131" t="s">
        <v>1066</v>
      </c>
      <c r="C5" s="196"/>
      <c r="D5" s="198">
        <v>43748</v>
      </c>
      <c r="E5" s="35" t="s">
        <v>182</v>
      </c>
      <c r="F5" s="35">
        <v>5703</v>
      </c>
      <c r="G5" s="60" t="s">
        <v>336</v>
      </c>
      <c r="H5" s="52">
        <v>222</v>
      </c>
      <c r="I5" s="52">
        <v>4700</v>
      </c>
      <c r="J5" s="53">
        <f t="shared" si="0"/>
        <v>1043400</v>
      </c>
      <c r="K5" s="154" t="s">
        <v>187</v>
      </c>
      <c r="L5" s="47">
        <v>232</v>
      </c>
      <c r="M5" s="37">
        <v>770</v>
      </c>
      <c r="N5" s="155">
        <f ca="1">IF(OR(K5="現物",J5=0),0,IF(E5="売",J5*Fee_Refer!$B$12/365*V5, J5*Fee_Refer!$B$11/365*V4))</f>
        <v>560.29150684931506</v>
      </c>
      <c r="O5" s="142">
        <v>408</v>
      </c>
      <c r="P5" s="157">
        <f ca="1">IF(L5&gt;0,(L5-H5)*I5-M5-N5-O5,0)</f>
        <v>45261.708493150683</v>
      </c>
      <c r="Q5" s="54">
        <f t="shared" ca="1" si="1"/>
        <v>4.3379057401907881E-2</v>
      </c>
      <c r="R5" s="199"/>
      <c r="S5" s="201"/>
      <c r="U5" s="193"/>
      <c r="V5" s="193"/>
      <c r="W5" s="193"/>
    </row>
    <row r="6" spans="2:23" s="113" customFormat="1">
      <c r="B6" s="131" t="s">
        <v>300</v>
      </c>
      <c r="C6" s="195">
        <f>ROW()/2-1</f>
        <v>2</v>
      </c>
      <c r="D6" s="197">
        <v>43808</v>
      </c>
      <c r="E6" s="39" t="s">
        <v>288</v>
      </c>
      <c r="F6" s="39">
        <v>5991</v>
      </c>
      <c r="G6" s="61" t="s">
        <v>1347</v>
      </c>
      <c r="H6" s="55">
        <v>1013</v>
      </c>
      <c r="I6" s="55">
        <v>900</v>
      </c>
      <c r="J6" s="56">
        <f t="shared" ref="J6:J9" si="4">H6*I6</f>
        <v>911700</v>
      </c>
      <c r="K6" s="58" t="s">
        <v>1346</v>
      </c>
      <c r="L6" s="55">
        <v>1005</v>
      </c>
      <c r="M6" s="39">
        <v>770</v>
      </c>
      <c r="N6" s="153">
        <f ca="1">IF(OR(K6="現物",J6=0),0,IF(E6="売",J6*Fee_Refer!$B$12/365*V6, J6*Fee_Refer!$B$11/365*#REF!))</f>
        <v>27.4758904109589</v>
      </c>
      <c r="O6" s="58">
        <v>0</v>
      </c>
      <c r="P6" s="156">
        <f ca="1">IF(L6 &gt;0,(H6-L6)*I6-M6-N6-O6,0)</f>
        <v>6402.5241095890415</v>
      </c>
      <c r="Q6" s="57">
        <f t="shared" ref="Q6:Q9" ca="1" si="5">P6/J6</f>
        <v>7.0226215965658017E-3</v>
      </c>
      <c r="R6" s="199">
        <f ca="1">P6+P7</f>
        <v>-4940.4293150684935</v>
      </c>
      <c r="S6" s="200">
        <f t="shared" ref="S6" ca="1" si="6">R6/(J6+J7)</f>
        <v>-2.652294687855529E-3</v>
      </c>
      <c r="U6" s="202">
        <f ca="1">$P$1</f>
        <v>43809</v>
      </c>
      <c r="V6" s="193">
        <f t="shared" ref="V6" ca="1" si="7">IF(U6&gt;D6,DATEDIF(D6,U6,"d"),0)</f>
        <v>1</v>
      </c>
      <c r="W6" s="194"/>
    </row>
    <row r="7" spans="2:23" s="113" customFormat="1">
      <c r="B7" s="131" t="s">
        <v>1066</v>
      </c>
      <c r="C7" s="196"/>
      <c r="D7" s="198">
        <v>43748</v>
      </c>
      <c r="E7" s="35" t="s">
        <v>290</v>
      </c>
      <c r="F7" s="35">
        <v>7267</v>
      </c>
      <c r="G7" s="60" t="s">
        <v>1348</v>
      </c>
      <c r="H7" s="52">
        <v>3170</v>
      </c>
      <c r="I7" s="52">
        <v>300</v>
      </c>
      <c r="J7" s="53">
        <f t="shared" si="4"/>
        <v>951000</v>
      </c>
      <c r="K7" s="154" t="s">
        <v>1346</v>
      </c>
      <c r="L7" s="47">
        <v>3135</v>
      </c>
      <c r="M7" s="37">
        <v>770</v>
      </c>
      <c r="N7" s="155">
        <f ca="1">IF(OR(K7="現物",J7=0),0,IF(E7="売",J7*Fee_Refer!$B$12/365*V7, J7*Fee_Refer!$B$11/365*V6))</f>
        <v>72.953424657534242</v>
      </c>
      <c r="O7" s="178">
        <v>0</v>
      </c>
      <c r="P7" s="157">
        <f ca="1">IF(L7&gt;0,(L7-H7)*I7-M7-N7-O7,0)</f>
        <v>-11342.953424657535</v>
      </c>
      <c r="Q7" s="54">
        <f t="shared" ca="1" si="5"/>
        <v>-1.1927395819829163E-2</v>
      </c>
      <c r="R7" s="199"/>
      <c r="S7" s="201"/>
      <c r="U7" s="193"/>
      <c r="V7" s="193"/>
      <c r="W7" s="193"/>
    </row>
    <row r="8" spans="2:23" s="113" customFormat="1">
      <c r="B8" s="131" t="s">
        <v>300</v>
      </c>
      <c r="C8" s="195">
        <f>ROW()/2-1</f>
        <v>3</v>
      </c>
      <c r="D8" s="197">
        <v>43809</v>
      </c>
      <c r="E8" s="39" t="s">
        <v>288</v>
      </c>
      <c r="F8" s="39">
        <v>6471</v>
      </c>
      <c r="G8" s="61" t="s">
        <v>1356</v>
      </c>
      <c r="H8" s="55">
        <v>1067</v>
      </c>
      <c r="I8" s="55">
        <v>1000</v>
      </c>
      <c r="J8" s="56">
        <f t="shared" si="4"/>
        <v>1067000</v>
      </c>
      <c r="K8" s="58" t="s">
        <v>1358</v>
      </c>
      <c r="L8" s="55">
        <v>1067</v>
      </c>
      <c r="M8" s="39">
        <v>770</v>
      </c>
      <c r="N8" s="153">
        <f ca="1">IF(OR(K8="現物",J8=0),0,IF(E8="売",J8*Fee_Refer!$B$12/365*V8, J8*Fee_Refer!$B$11/365*#REF!))</f>
        <v>0</v>
      </c>
      <c r="O8" s="58">
        <v>0</v>
      </c>
      <c r="P8" s="156">
        <f ca="1">IF(L8 &gt;0,(H8-L8)*I8-M8-N8-O8,0)</f>
        <v>-770</v>
      </c>
      <c r="Q8" s="57">
        <f t="shared" ca="1" si="5"/>
        <v>-7.2164948453608247E-4</v>
      </c>
      <c r="R8" s="199">
        <f ca="1">P8+P9</f>
        <v>-7140</v>
      </c>
      <c r="S8" s="200">
        <f t="shared" ref="S8" ca="1" si="8">R8/(J8+J9)</f>
        <v>-3.3132250580046405E-3</v>
      </c>
      <c r="U8" s="202">
        <f ca="1">$P$1</f>
        <v>43809</v>
      </c>
      <c r="V8" s="193">
        <f t="shared" ref="V8" ca="1" si="9">IF(U8&gt;D8,DATEDIF(D8,U8,"d"),0)</f>
        <v>0</v>
      </c>
      <c r="W8" s="194"/>
    </row>
    <row r="9" spans="2:23" s="113" customFormat="1">
      <c r="B9" s="131" t="s">
        <v>1066</v>
      </c>
      <c r="C9" s="196"/>
      <c r="D9" s="198">
        <v>43748</v>
      </c>
      <c r="E9" s="35" t="s">
        <v>290</v>
      </c>
      <c r="F9" s="35">
        <v>6473</v>
      </c>
      <c r="G9" s="60" t="s">
        <v>1357</v>
      </c>
      <c r="H9" s="52">
        <v>1360</v>
      </c>
      <c r="I9" s="52">
        <v>800</v>
      </c>
      <c r="J9" s="53">
        <f t="shared" si="4"/>
        <v>1088000</v>
      </c>
      <c r="K9" s="154" t="s">
        <v>1358</v>
      </c>
      <c r="L9" s="47">
        <v>1353</v>
      </c>
      <c r="M9" s="37">
        <v>770</v>
      </c>
      <c r="N9" s="155">
        <f ca="1">IF(OR(K9="現物",J9=0),0,IF(E9="売",J9*Fee_Refer!$B$12/365*V9, J9*Fee_Refer!$B$11/365*V8))</f>
        <v>0</v>
      </c>
      <c r="O9" s="179">
        <v>0</v>
      </c>
      <c r="P9" s="157">
        <f ca="1">IF(L9&gt;0,(L9-H9)*I9-M9-N9-O9,0)</f>
        <v>-6370</v>
      </c>
      <c r="Q9" s="54">
        <f t="shared" ca="1" si="5"/>
        <v>-5.8547794117647057E-3</v>
      </c>
      <c r="R9" s="199"/>
      <c r="S9" s="201"/>
      <c r="U9" s="193"/>
      <c r="V9" s="193"/>
      <c r="W9" s="193"/>
    </row>
  </sheetData>
  <mergeCells count="23">
    <mergeCell ref="V6:V7"/>
    <mergeCell ref="W6:W7"/>
    <mergeCell ref="C6:C7"/>
    <mergeCell ref="D6:D7"/>
    <mergeCell ref="R6:R7"/>
    <mergeCell ref="S6:S7"/>
    <mergeCell ref="U6:U7"/>
    <mergeCell ref="K1:L1"/>
    <mergeCell ref="P1:Q1"/>
    <mergeCell ref="V4:V5"/>
    <mergeCell ref="W4:W5"/>
    <mergeCell ref="C4:C5"/>
    <mergeCell ref="D4:D5"/>
    <mergeCell ref="R4:R5"/>
    <mergeCell ref="S4:S5"/>
    <mergeCell ref="U4:U5"/>
    <mergeCell ref="V8:V9"/>
    <mergeCell ref="W8:W9"/>
    <mergeCell ref="C8:C9"/>
    <mergeCell ref="D8:D9"/>
    <mergeCell ref="R8:R9"/>
    <mergeCell ref="S8:S9"/>
    <mergeCell ref="U8:U9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</hyperlink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AC33"/>
  <sheetViews>
    <sheetView showGridLines="0" topLeftCell="A4" zoomScaleNormal="100" workbookViewId="0">
      <selection activeCell="P37" sqref="P37"/>
    </sheetView>
  </sheetViews>
  <sheetFormatPr defaultRowHeight="14.25"/>
  <cols>
    <col min="1" max="1" width="0.5" customWidth="1"/>
    <col min="2" max="2" width="6.875" customWidth="1"/>
    <col min="3" max="3" width="3.625" customWidth="1"/>
    <col min="4" max="4" width="10.375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/>
    <row r="2" spans="2:29" ht="15" thickBot="1">
      <c r="C2" s="63" t="s">
        <v>286</v>
      </c>
      <c r="R2" s="100">
        <f>SUM(R4:R1010)</f>
        <v>518323.01041095867</v>
      </c>
      <c r="U2" s="63" t="s">
        <v>171</v>
      </c>
    </row>
    <row r="3" spans="2:29" ht="30" customHeight="1" thickBot="1">
      <c r="C3" s="64" t="s">
        <v>173</v>
      </c>
      <c r="D3" s="98" t="s">
        <v>197</v>
      </c>
      <c r="E3" s="66"/>
      <c r="F3" s="67" t="s">
        <v>94</v>
      </c>
      <c r="G3" s="67" t="s">
        <v>95</v>
      </c>
      <c r="H3" s="69" t="s">
        <v>299</v>
      </c>
      <c r="I3" s="69" t="s">
        <v>296</v>
      </c>
      <c r="J3" s="66" t="s">
        <v>46</v>
      </c>
      <c r="K3" s="66" t="s">
        <v>176</v>
      </c>
      <c r="L3" s="69" t="s">
        <v>297</v>
      </c>
      <c r="M3" s="69" t="s">
        <v>198</v>
      </c>
      <c r="N3" s="66" t="s">
        <v>178</v>
      </c>
      <c r="O3" s="69" t="s">
        <v>192</v>
      </c>
      <c r="P3" s="68" t="s">
        <v>298</v>
      </c>
      <c r="Q3" s="68" t="s">
        <v>180</v>
      </c>
      <c r="R3" s="69" t="s">
        <v>194</v>
      </c>
      <c r="S3" s="72" t="s">
        <v>195</v>
      </c>
      <c r="T3" s="71"/>
      <c r="U3" s="73" t="s">
        <v>287</v>
      </c>
      <c r="V3" s="73" t="s">
        <v>196</v>
      </c>
      <c r="W3" s="73" t="s">
        <v>193</v>
      </c>
      <c r="AA3" s="73" t="s">
        <v>293</v>
      </c>
      <c r="AB3" s="73" t="s">
        <v>294</v>
      </c>
      <c r="AC3" s="73" t="s">
        <v>295</v>
      </c>
    </row>
    <row r="4" spans="2:29">
      <c r="B4" s="180"/>
      <c r="C4" s="223">
        <v>1</v>
      </c>
      <c r="D4" s="226">
        <v>43726</v>
      </c>
      <c r="E4" s="31" t="s">
        <v>288</v>
      </c>
      <c r="F4" s="31">
        <v>6472</v>
      </c>
      <c r="G4" s="59" t="s">
        <v>289</v>
      </c>
      <c r="H4" s="49">
        <v>320</v>
      </c>
      <c r="I4" s="32">
        <v>1200</v>
      </c>
      <c r="J4" s="50">
        <v>384000</v>
      </c>
      <c r="K4" s="43" t="s">
        <v>187</v>
      </c>
      <c r="L4" s="46">
        <v>313</v>
      </c>
      <c r="M4" s="33">
        <f>360+18+14</f>
        <v>392</v>
      </c>
      <c r="N4" s="34">
        <v>219</v>
      </c>
      <c r="O4" s="34">
        <v>60</v>
      </c>
      <c r="P4" s="31">
        <f>IF(L4 &gt;0,(H4-L4)*I4-M4-N4-O4,0)</f>
        <v>7729</v>
      </c>
      <c r="Q4" s="51">
        <f>P4/J4</f>
        <v>2.0127604166666667E-2</v>
      </c>
      <c r="R4" s="206">
        <f>P4+P5</f>
        <v>159</v>
      </c>
      <c r="S4" s="219">
        <f t="shared" ref="S4" si="0">R4/(J4+J5)</f>
        <v>2.1406645484409498E-4</v>
      </c>
      <c r="U4" s="229">
        <v>43742</v>
      </c>
      <c r="V4" s="221">
        <f>DATEDIF(D4,U4,"d")</f>
        <v>16</v>
      </c>
      <c r="W4" s="215" t="s">
        <v>1311</v>
      </c>
      <c r="AA4" s="206">
        <f>YEAR(U4)</f>
        <v>2019</v>
      </c>
      <c r="AB4" s="206">
        <f>MONTH(U4)</f>
        <v>10</v>
      </c>
      <c r="AC4" s="206" t="str">
        <f>IF(R4&gt;0,"○","☓")</f>
        <v>○</v>
      </c>
    </row>
    <row r="5" spans="2:29" ht="15" thickBot="1">
      <c r="B5" s="180"/>
      <c r="C5" s="196"/>
      <c r="D5" s="227"/>
      <c r="E5" s="35" t="s">
        <v>290</v>
      </c>
      <c r="F5" s="35">
        <v>6752</v>
      </c>
      <c r="G5" s="60" t="s">
        <v>130</v>
      </c>
      <c r="H5" s="52">
        <v>896.9</v>
      </c>
      <c r="I5" s="36">
        <v>400</v>
      </c>
      <c r="J5" s="53">
        <v>358760</v>
      </c>
      <c r="K5" s="44" t="s">
        <v>188</v>
      </c>
      <c r="L5" s="47">
        <v>880.4</v>
      </c>
      <c r="M5" s="37">
        <f>360+14+34</f>
        <v>408</v>
      </c>
      <c r="N5" s="38">
        <v>522</v>
      </c>
      <c r="O5" s="38">
        <f>200-160</f>
        <v>40</v>
      </c>
      <c r="P5" s="35">
        <f>IF(L5 &gt;0,(L5-H5)*I5-M5-N5-O5,0)</f>
        <v>-7570</v>
      </c>
      <c r="Q5" s="54">
        <f>P5/J5</f>
        <v>-2.1100457130114839E-2</v>
      </c>
      <c r="R5" s="201"/>
      <c r="S5" s="228"/>
      <c r="U5" s="230"/>
      <c r="V5" s="222"/>
      <c r="W5" s="216"/>
      <c r="AA5" s="201"/>
      <c r="AB5" s="201"/>
      <c r="AC5" s="201"/>
    </row>
    <row r="6" spans="2:29">
      <c r="B6" s="180"/>
      <c r="C6" s="223">
        <v>2</v>
      </c>
      <c r="D6" s="217">
        <v>43732</v>
      </c>
      <c r="E6" s="31" t="s">
        <v>181</v>
      </c>
      <c r="F6" s="31">
        <v>6305</v>
      </c>
      <c r="G6" s="59" t="s">
        <v>57</v>
      </c>
      <c r="H6" s="49">
        <v>2638</v>
      </c>
      <c r="I6" s="32">
        <v>300</v>
      </c>
      <c r="J6" s="50">
        <v>791400</v>
      </c>
      <c r="K6" s="43" t="s">
        <v>187</v>
      </c>
      <c r="L6" s="46">
        <v>2464</v>
      </c>
      <c r="M6" s="33">
        <f>700+35+28</f>
        <v>763</v>
      </c>
      <c r="N6" s="34">
        <v>477</v>
      </c>
      <c r="O6" s="34">
        <v>30</v>
      </c>
      <c r="P6" s="31">
        <f t="shared" ref="P6" si="1">IF(L6 &gt;0,(H6-L6)*I6-M6-N6-O6,0)</f>
        <v>50930</v>
      </c>
      <c r="Q6" s="51">
        <f t="shared" ref="Q6:Q33" si="2">P6/J6</f>
        <v>6.4354308819812994E-2</v>
      </c>
      <c r="R6" s="206">
        <f>P6+P7</f>
        <v>37649</v>
      </c>
      <c r="S6" s="200">
        <f t="shared" ref="S6" si="3">R6/(J6+J7)</f>
        <v>2.3845082019127242E-2</v>
      </c>
      <c r="T6" s="3"/>
      <c r="U6" s="224">
        <v>43748</v>
      </c>
      <c r="V6" s="225">
        <f>DATEDIF(D6,U6,"d")</f>
        <v>16</v>
      </c>
      <c r="W6" s="215" t="s">
        <v>1311</v>
      </c>
      <c r="AA6" s="206">
        <f t="shared" ref="AA6" si="4">YEAR(U6)</f>
        <v>2019</v>
      </c>
      <c r="AB6" s="206">
        <f t="shared" ref="AB6" si="5">MONTH(U6)</f>
        <v>10</v>
      </c>
      <c r="AC6" s="206" t="str">
        <f>IF(R6&gt;0,"○","☓")</f>
        <v>○</v>
      </c>
    </row>
    <row r="7" spans="2:29">
      <c r="B7" s="180"/>
      <c r="C7" s="196"/>
      <c r="D7" s="218"/>
      <c r="E7" s="35" t="s">
        <v>182</v>
      </c>
      <c r="F7" s="35">
        <v>3861</v>
      </c>
      <c r="G7" s="60" t="s">
        <v>89</v>
      </c>
      <c r="H7" s="52">
        <v>525</v>
      </c>
      <c r="I7" s="36">
        <v>1500</v>
      </c>
      <c r="J7" s="53">
        <v>787500</v>
      </c>
      <c r="K7" s="44" t="s">
        <v>188</v>
      </c>
      <c r="L7" s="47">
        <v>518</v>
      </c>
      <c r="M7" s="37">
        <f>700+28+95</f>
        <v>823</v>
      </c>
      <c r="N7" s="38">
        <v>1208</v>
      </c>
      <c r="O7" s="38">
        <v>750</v>
      </c>
      <c r="P7" s="35">
        <f t="shared" ref="P7" si="6">IF(L7 &gt;0,(L7-H7)*I7-M7-N7-O7,0)</f>
        <v>-13281</v>
      </c>
      <c r="Q7" s="54">
        <f t="shared" si="2"/>
        <v>-1.6864761904761903E-2</v>
      </c>
      <c r="R7" s="201"/>
      <c r="S7" s="201"/>
      <c r="T7" s="3"/>
      <c r="U7" s="224"/>
      <c r="V7" s="225"/>
      <c r="W7" s="216"/>
      <c r="AA7" s="201"/>
      <c r="AB7" s="201"/>
      <c r="AC7" s="201"/>
    </row>
    <row r="8" spans="2:29">
      <c r="B8" s="180"/>
      <c r="C8" s="195">
        <f>ROW()/2-1</f>
        <v>3</v>
      </c>
      <c r="D8" s="217">
        <v>43747</v>
      </c>
      <c r="E8" s="39" t="s">
        <v>189</v>
      </c>
      <c r="F8" s="39">
        <v>3099</v>
      </c>
      <c r="G8" s="61" t="s">
        <v>88</v>
      </c>
      <c r="H8" s="55">
        <v>872</v>
      </c>
      <c r="I8" s="39">
        <v>1200</v>
      </c>
      <c r="J8" s="39">
        <f t="shared" ref="J8:J11" si="7">H8*I8</f>
        <v>1046400</v>
      </c>
      <c r="K8" s="58" t="s">
        <v>186</v>
      </c>
      <c r="L8" s="55">
        <v>876</v>
      </c>
      <c r="M8" s="39">
        <f>700+35+35</f>
        <v>770</v>
      </c>
      <c r="N8" s="39">
        <v>220</v>
      </c>
      <c r="O8" s="58">
        <v>0</v>
      </c>
      <c r="P8" s="31">
        <f t="shared" ref="P8" si="8">IF(L8 &gt;0,(H8-L8)*I8-M8-N8-O8,0)</f>
        <v>-5790</v>
      </c>
      <c r="Q8" s="51">
        <f t="shared" si="2"/>
        <v>-5.5332568807339453E-3</v>
      </c>
      <c r="R8" s="199">
        <f>P8+P9</f>
        <v>63304</v>
      </c>
      <c r="S8" s="219">
        <f>R8/(J8+J9)</f>
        <v>3.0952474085663994E-2</v>
      </c>
      <c r="U8" s="220">
        <v>43753</v>
      </c>
      <c r="V8" s="196">
        <f t="shared" ref="V8" si="9">DATEDIF(D8,U8,"d")</f>
        <v>6</v>
      </c>
      <c r="W8" s="207" t="s">
        <v>1313</v>
      </c>
      <c r="AA8" s="206">
        <f t="shared" ref="AA8:AA10" si="10">YEAR(U8)</f>
        <v>2019</v>
      </c>
      <c r="AB8" s="206">
        <f t="shared" ref="AB8" si="11">MONTH(U8)</f>
        <v>10</v>
      </c>
      <c r="AC8" s="206" t="str">
        <f t="shared" ref="AC8:AC10" si="12">IF(R8&gt;0,"○","☓")</f>
        <v>○</v>
      </c>
    </row>
    <row r="9" spans="2:29">
      <c r="B9" s="180"/>
      <c r="C9" s="196"/>
      <c r="D9" s="218">
        <v>43747</v>
      </c>
      <c r="E9" s="35" t="s">
        <v>182</v>
      </c>
      <c r="F9" s="35">
        <v>7211</v>
      </c>
      <c r="G9" s="60" t="s">
        <v>54</v>
      </c>
      <c r="H9" s="52">
        <v>454</v>
      </c>
      <c r="I9" s="52">
        <v>2200</v>
      </c>
      <c r="J9" s="53">
        <f t="shared" si="7"/>
        <v>998800</v>
      </c>
      <c r="K9" s="44" t="s">
        <v>186</v>
      </c>
      <c r="L9" s="47">
        <v>486</v>
      </c>
      <c r="M9" s="37">
        <f>700+35+35</f>
        <v>770</v>
      </c>
      <c r="N9" s="38">
        <v>536</v>
      </c>
      <c r="O9" s="38">
        <v>0</v>
      </c>
      <c r="P9" s="35">
        <f t="shared" ref="P9" si="13">IF(L9 &gt;0,(L9-H9)*I9-M9-N9-O9,0)</f>
        <v>69094</v>
      </c>
      <c r="Q9" s="54">
        <f t="shared" si="2"/>
        <v>6.9177012414897876E-2</v>
      </c>
      <c r="R9" s="199"/>
      <c r="S9" s="201"/>
      <c r="U9" s="202"/>
      <c r="V9" s="193"/>
      <c r="W9" s="193"/>
      <c r="AA9" s="201"/>
      <c r="AB9" s="201"/>
      <c r="AC9" s="201"/>
    </row>
    <row r="10" spans="2:29">
      <c r="B10" s="180"/>
      <c r="C10" s="195">
        <f>ROW()/2-1</f>
        <v>4</v>
      </c>
      <c r="D10" s="217">
        <v>43753</v>
      </c>
      <c r="E10" s="135" t="s">
        <v>181</v>
      </c>
      <c r="F10" s="39">
        <v>7453</v>
      </c>
      <c r="G10" s="61" t="s">
        <v>129</v>
      </c>
      <c r="H10" s="55">
        <v>2127</v>
      </c>
      <c r="I10" s="39">
        <v>500</v>
      </c>
      <c r="J10" s="39">
        <f t="shared" si="7"/>
        <v>1063500</v>
      </c>
      <c r="K10" s="58" t="s">
        <v>186</v>
      </c>
      <c r="L10" s="55">
        <v>2298</v>
      </c>
      <c r="M10" s="39">
        <f>700+35+35</f>
        <v>770</v>
      </c>
      <c r="N10" s="39">
        <v>256</v>
      </c>
      <c r="O10" s="58">
        <v>0</v>
      </c>
      <c r="P10" s="31">
        <f t="shared" ref="P10" si="14">IF(L10 &gt;0,(H10-L10)*I10-M10-N10-O10,0)</f>
        <v>-86526</v>
      </c>
      <c r="Q10" s="51">
        <f t="shared" si="2"/>
        <v>-8.1359661495063476E-2</v>
      </c>
      <c r="R10" s="199">
        <f>P10+P11</f>
        <v>-93238.000000000029</v>
      </c>
      <c r="S10" s="200">
        <f t="shared" ref="S10" si="15">R10/(J10+J11)</f>
        <v>-4.3839777316989466E-2</v>
      </c>
      <c r="U10" s="232">
        <v>43759</v>
      </c>
      <c r="V10" s="193">
        <f>DATEDIF(D10,U10,"d")</f>
        <v>6</v>
      </c>
      <c r="W10" s="233" t="s">
        <v>305</v>
      </c>
      <c r="X10" s="1" t="s">
        <v>326</v>
      </c>
      <c r="AA10" s="206">
        <f t="shared" si="10"/>
        <v>2019</v>
      </c>
      <c r="AB10" s="206">
        <f t="shared" ref="AB10" si="16">MONTH(U10)</f>
        <v>10</v>
      </c>
      <c r="AC10" s="213" t="str">
        <f t="shared" si="12"/>
        <v>☓</v>
      </c>
    </row>
    <row r="11" spans="2:29">
      <c r="B11" s="180"/>
      <c r="C11" s="196"/>
      <c r="D11" s="218">
        <v>43748</v>
      </c>
      <c r="E11" s="136" t="s">
        <v>182</v>
      </c>
      <c r="F11" s="35">
        <v>8308</v>
      </c>
      <c r="G11" s="60" t="s">
        <v>127</v>
      </c>
      <c r="H11" s="52">
        <v>462.3</v>
      </c>
      <c r="I11" s="52">
        <v>2300</v>
      </c>
      <c r="J11" s="53">
        <f t="shared" si="7"/>
        <v>1063290</v>
      </c>
      <c r="K11" s="44" t="s">
        <v>186</v>
      </c>
      <c r="L11" s="47">
        <v>460</v>
      </c>
      <c r="M11" s="37">
        <f>700+35+35</f>
        <v>770</v>
      </c>
      <c r="N11" s="112">
        <v>652</v>
      </c>
      <c r="O11" s="112">
        <v>0</v>
      </c>
      <c r="P11" s="35">
        <f t="shared" ref="P11" si="17">IF(L11 &gt;0,(L11-H11)*I11-M11-N11-O11,0)</f>
        <v>-6712.0000000000264</v>
      </c>
      <c r="Q11" s="54">
        <f t="shared" si="2"/>
        <v>-6.3124829538508086E-3</v>
      </c>
      <c r="R11" s="199"/>
      <c r="S11" s="201"/>
      <c r="U11" s="220"/>
      <c r="V11" s="193"/>
      <c r="W11" s="233"/>
      <c r="X11" s="1" t="s">
        <v>327</v>
      </c>
      <c r="AA11" s="201"/>
      <c r="AB11" s="201"/>
      <c r="AC11" s="214"/>
    </row>
    <row r="12" spans="2:29">
      <c r="B12" s="180"/>
      <c r="C12" s="223">
        <f>ROW()/2-1</f>
        <v>5</v>
      </c>
      <c r="D12" s="227">
        <v>43742</v>
      </c>
      <c r="E12" s="31" t="s">
        <v>181</v>
      </c>
      <c r="F12" s="31">
        <v>8750</v>
      </c>
      <c r="G12" s="59" t="s">
        <v>56</v>
      </c>
      <c r="H12" s="49">
        <v>1635</v>
      </c>
      <c r="I12" s="32">
        <v>600</v>
      </c>
      <c r="J12" s="50">
        <f>H12*I12</f>
        <v>981000</v>
      </c>
      <c r="K12" s="43" t="s">
        <v>187</v>
      </c>
      <c r="L12" s="46">
        <v>1741.5</v>
      </c>
      <c r="M12" s="33">
        <f>700+35+35</f>
        <v>770</v>
      </c>
      <c r="N12" s="34">
        <v>502</v>
      </c>
      <c r="O12" s="34">
        <v>0</v>
      </c>
      <c r="P12" s="31">
        <f t="shared" ref="P12" si="18">IF(L12 &gt;0,(H12-L12)*I12-M12-N12-O12,0)</f>
        <v>-65172</v>
      </c>
      <c r="Q12" s="51">
        <f t="shared" si="2"/>
        <v>-6.6434250764525998E-2</v>
      </c>
      <c r="R12" s="231">
        <f>P12+P13</f>
        <v>-11052.999999999898</v>
      </c>
      <c r="S12" s="219">
        <f>R12/(J12+J13)</f>
        <v>-5.6554672757562954E-3</v>
      </c>
      <c r="U12" s="232">
        <v>43759</v>
      </c>
      <c r="V12" s="193">
        <f>DATEDIF(D12,U12,"d")</f>
        <v>17</v>
      </c>
      <c r="W12" s="212" t="s">
        <v>1311</v>
      </c>
      <c r="AA12" s="206">
        <f t="shared" ref="AA12" si="19">YEAR(U12)</f>
        <v>2019</v>
      </c>
      <c r="AB12" s="206">
        <f t="shared" ref="AB12" si="20">MONTH(U12)</f>
        <v>10</v>
      </c>
      <c r="AC12" s="213" t="str">
        <f t="shared" ref="AC12" si="21">IF(R12&gt;0,"○","☓")</f>
        <v>☓</v>
      </c>
    </row>
    <row r="13" spans="2:29">
      <c r="B13" s="30"/>
      <c r="C13" s="196"/>
      <c r="D13" s="218"/>
      <c r="E13" s="35" t="s">
        <v>182</v>
      </c>
      <c r="F13" s="35">
        <v>8002</v>
      </c>
      <c r="G13" s="60" t="s">
        <v>55</v>
      </c>
      <c r="H13" s="52">
        <v>695.28</v>
      </c>
      <c r="I13" s="36">
        <v>1400</v>
      </c>
      <c r="J13" s="53">
        <f>H13*I13</f>
        <v>973392</v>
      </c>
      <c r="K13" s="182" t="s">
        <v>1327</v>
      </c>
      <c r="L13" s="47">
        <v>734.7</v>
      </c>
      <c r="M13" s="37">
        <f>487+582</f>
        <v>1069</v>
      </c>
      <c r="N13" s="38">
        <v>0</v>
      </c>
      <c r="O13" s="38">
        <v>0</v>
      </c>
      <c r="P13" s="35">
        <f>IF(L13 &gt;0,(L13-H13)*I13-M13-N13-O13,0)</f>
        <v>54119.000000000102</v>
      </c>
      <c r="Q13" s="54">
        <f t="shared" si="2"/>
        <v>5.5598361194667822E-2</v>
      </c>
      <c r="R13" s="199"/>
      <c r="S13" s="201"/>
      <c r="U13" s="220"/>
      <c r="V13" s="193"/>
      <c r="W13" s="212"/>
      <c r="AA13" s="201"/>
      <c r="AB13" s="201"/>
      <c r="AC13" s="214"/>
    </row>
    <row r="14" spans="2:29" s="113" customFormat="1">
      <c r="B14" s="180"/>
      <c r="C14" s="195">
        <f>ROW()/2-1</f>
        <v>6</v>
      </c>
      <c r="D14" s="197">
        <v>43745</v>
      </c>
      <c r="E14" s="39" t="s">
        <v>181</v>
      </c>
      <c r="F14" s="39">
        <v>6770</v>
      </c>
      <c r="G14" s="61" t="s">
        <v>50</v>
      </c>
      <c r="H14" s="55">
        <v>2105</v>
      </c>
      <c r="I14" s="40">
        <v>400</v>
      </c>
      <c r="J14" s="56">
        <f t="shared" ref="J14:J19" si="22">H14*I14</f>
        <v>842000</v>
      </c>
      <c r="K14" s="45" t="s">
        <v>187</v>
      </c>
      <c r="L14" s="48">
        <v>2145</v>
      </c>
      <c r="M14" s="41">
        <f>700+35+35</f>
        <v>770</v>
      </c>
      <c r="N14" s="42">
        <v>431</v>
      </c>
      <c r="O14" s="42">
        <v>80</v>
      </c>
      <c r="P14" s="31">
        <f t="shared" ref="P14" si="23">IF(L14 &gt;0,(H14-L14)*I14-M14-N14-O14,0)</f>
        <v>-17281</v>
      </c>
      <c r="Q14" s="51">
        <f t="shared" si="2"/>
        <v>-2.052375296912114E-2</v>
      </c>
      <c r="R14" s="199">
        <f>P14+P15</f>
        <v>-1197.0000000000437</v>
      </c>
      <c r="S14" s="200">
        <f t="shared" ref="S14" si="24">R14/(J14+J15)</f>
        <v>-7.1541831052504275E-4</v>
      </c>
      <c r="U14" s="202">
        <v>43761</v>
      </c>
      <c r="V14" s="193">
        <f t="shared" ref="V14" si="25">DATEDIF(D14,U14,"d")</f>
        <v>16</v>
      </c>
      <c r="W14" s="212" t="s">
        <v>1311</v>
      </c>
      <c r="AA14" s="206">
        <f t="shared" ref="AA14" si="26">YEAR(U14)</f>
        <v>2019</v>
      </c>
      <c r="AB14" s="206">
        <f t="shared" ref="AB14" si="27">MONTH(U14)</f>
        <v>10</v>
      </c>
      <c r="AC14" s="213" t="str">
        <f t="shared" ref="AC14" si="28">IF(R14&gt;0,"○","☓")</f>
        <v>☓</v>
      </c>
    </row>
    <row r="15" spans="2:29" s="113" customFormat="1">
      <c r="B15" s="30"/>
      <c r="C15" s="196"/>
      <c r="D15" s="198">
        <v>43745</v>
      </c>
      <c r="E15" s="35" t="s">
        <v>182</v>
      </c>
      <c r="F15" s="35">
        <v>8601</v>
      </c>
      <c r="G15" s="60" t="s">
        <v>51</v>
      </c>
      <c r="H15" s="52">
        <v>488.91</v>
      </c>
      <c r="I15" s="36">
        <v>1700</v>
      </c>
      <c r="J15" s="53">
        <f t="shared" si="22"/>
        <v>831147</v>
      </c>
      <c r="K15" s="182" t="s">
        <v>172</v>
      </c>
      <c r="L15" s="47">
        <v>499</v>
      </c>
      <c r="M15" s="37">
        <f>487+582</f>
        <v>1069</v>
      </c>
      <c r="N15" s="178">
        <v>0</v>
      </c>
      <c r="O15" s="178">
        <v>0</v>
      </c>
      <c r="P15" s="35">
        <f t="shared" ref="P15" si="29">IF(L15 &gt;0,(L15-H15)*I15-M15-N15-O15,0)</f>
        <v>16083.999999999956</v>
      </c>
      <c r="Q15" s="54">
        <f t="shared" si="2"/>
        <v>1.9351570781101245E-2</v>
      </c>
      <c r="R15" s="199"/>
      <c r="S15" s="201"/>
      <c r="U15" s="193"/>
      <c r="V15" s="193"/>
      <c r="W15" s="212"/>
      <c r="AA15" s="201"/>
      <c r="AB15" s="201"/>
      <c r="AC15" s="214"/>
    </row>
    <row r="16" spans="2:29" s="113" customFormat="1">
      <c r="B16" s="180"/>
      <c r="C16" s="195">
        <f>ROW()/2-1</f>
        <v>7</v>
      </c>
      <c r="D16" s="197">
        <v>43745</v>
      </c>
      <c r="E16" s="39" t="s">
        <v>181</v>
      </c>
      <c r="F16" s="39">
        <v>5803</v>
      </c>
      <c r="G16" s="61" t="s">
        <v>52</v>
      </c>
      <c r="H16" s="55">
        <v>413</v>
      </c>
      <c r="I16" s="40">
        <v>1700</v>
      </c>
      <c r="J16" s="56">
        <f t="shared" si="22"/>
        <v>702100</v>
      </c>
      <c r="K16" s="45" t="s">
        <v>187</v>
      </c>
      <c r="L16" s="48">
        <v>459</v>
      </c>
      <c r="M16" s="41">
        <f>700+35+35</f>
        <v>770</v>
      </c>
      <c r="N16" s="42">
        <v>359</v>
      </c>
      <c r="O16" s="42">
        <v>85</v>
      </c>
      <c r="P16" s="31">
        <f t="shared" ref="P16" si="30">IF(L16 &gt;0,(H16-L16)*I16-M16-N16-O16,0)</f>
        <v>-79414</v>
      </c>
      <c r="Q16" s="51">
        <f t="shared" si="2"/>
        <v>-0.11310924369747899</v>
      </c>
      <c r="R16" s="199">
        <f>P16+P17</f>
        <v>-16483</v>
      </c>
      <c r="S16" s="200">
        <f>R16/(J16+J17)</f>
        <v>-1.1926054554663194E-2</v>
      </c>
      <c r="U16" s="202">
        <v>43761</v>
      </c>
      <c r="V16" s="193">
        <f t="shared" ref="V16" si="31">DATEDIF(D16,U16,"d")</f>
        <v>16</v>
      </c>
      <c r="W16" s="212" t="s">
        <v>1311</v>
      </c>
      <c r="AA16" s="206">
        <f t="shared" ref="AA16" si="32">YEAR(U16)</f>
        <v>2019</v>
      </c>
      <c r="AB16" s="206">
        <f t="shared" ref="AB16" si="33">MONTH(U16)</f>
        <v>10</v>
      </c>
      <c r="AC16" s="213" t="str">
        <f t="shared" ref="AC16" si="34">IF(R16&gt;0,"○","☓")</f>
        <v>☓</v>
      </c>
    </row>
    <row r="17" spans="2:29" s="113" customFormat="1">
      <c r="B17" s="30"/>
      <c r="C17" s="196"/>
      <c r="D17" s="198">
        <v>43745</v>
      </c>
      <c r="E17" s="35" t="s">
        <v>182</v>
      </c>
      <c r="F17" s="35">
        <v>7259</v>
      </c>
      <c r="G17" s="60" t="s">
        <v>53</v>
      </c>
      <c r="H17" s="52">
        <v>3400</v>
      </c>
      <c r="I17" s="52">
        <v>200</v>
      </c>
      <c r="J17" s="53">
        <f t="shared" si="22"/>
        <v>680000</v>
      </c>
      <c r="K17" s="182" t="s">
        <v>172</v>
      </c>
      <c r="L17" s="47">
        <v>3720</v>
      </c>
      <c r="M17" s="37">
        <f>487+582</f>
        <v>1069</v>
      </c>
      <c r="N17" s="178">
        <v>0</v>
      </c>
      <c r="O17" s="178">
        <v>0</v>
      </c>
      <c r="P17" s="35">
        <f t="shared" ref="P17" si="35">IF(L17 &gt;0,(L17-H17)*I17-M17-N17-O17,0)</f>
        <v>62931</v>
      </c>
      <c r="Q17" s="54">
        <f t="shared" si="2"/>
        <v>9.2545588235294116E-2</v>
      </c>
      <c r="R17" s="199"/>
      <c r="S17" s="201"/>
      <c r="U17" s="193"/>
      <c r="V17" s="193"/>
      <c r="W17" s="212"/>
      <c r="AA17" s="201"/>
      <c r="AB17" s="201"/>
      <c r="AC17" s="214"/>
    </row>
    <row r="18" spans="2:29" s="113" customFormat="1">
      <c r="B18" s="180"/>
      <c r="C18" s="195">
        <f>ROW()/2-1</f>
        <v>8</v>
      </c>
      <c r="D18" s="197">
        <v>43748</v>
      </c>
      <c r="E18" s="39" t="s">
        <v>181</v>
      </c>
      <c r="F18" s="39">
        <v>7186</v>
      </c>
      <c r="G18" s="61" t="s">
        <v>183</v>
      </c>
      <c r="H18" s="55">
        <v>410</v>
      </c>
      <c r="I18" s="39">
        <v>1800</v>
      </c>
      <c r="J18" s="39">
        <f t="shared" si="22"/>
        <v>738000</v>
      </c>
      <c r="K18" s="58" t="s">
        <v>186</v>
      </c>
      <c r="L18" s="55">
        <v>444</v>
      </c>
      <c r="M18" s="39">
        <f>700+35+35</f>
        <v>770</v>
      </c>
      <c r="N18" s="39">
        <v>355</v>
      </c>
      <c r="O18" s="58">
        <v>1350</v>
      </c>
      <c r="P18" s="31">
        <f t="shared" ref="P18" si="36">IF(L18 &gt;0,(H18-L18)*I18-M18-N18-O18,0)</f>
        <v>-63675</v>
      </c>
      <c r="Q18" s="51">
        <f t="shared" si="2"/>
        <v>-8.6280487804878042E-2</v>
      </c>
      <c r="R18" s="199">
        <f>P18+P19</f>
        <v>-4757</v>
      </c>
      <c r="S18" s="200">
        <f t="shared" ref="S18" si="37">R18/(J18+J19)</f>
        <v>-3.2102847887704143E-3</v>
      </c>
      <c r="U18" s="202">
        <v>43767</v>
      </c>
      <c r="V18" s="193">
        <f t="shared" ref="V18" si="38">DATEDIF(D18,U18,"d")</f>
        <v>19</v>
      </c>
      <c r="W18" s="212" t="s">
        <v>1311</v>
      </c>
      <c r="AA18" s="206">
        <f t="shared" ref="AA18" si="39">YEAR(U18)</f>
        <v>2019</v>
      </c>
      <c r="AB18" s="206">
        <f t="shared" ref="AB18" si="40">MONTH(U18)</f>
        <v>10</v>
      </c>
      <c r="AC18" s="213" t="str">
        <f t="shared" ref="AC18" si="41">IF(R18&gt;0,"○","☓")</f>
        <v>☓</v>
      </c>
    </row>
    <row r="19" spans="2:29" s="113" customFormat="1">
      <c r="B19" s="180"/>
      <c r="C19" s="196"/>
      <c r="D19" s="198">
        <v>43748</v>
      </c>
      <c r="E19" s="35" t="s">
        <v>182</v>
      </c>
      <c r="F19" s="35">
        <v>8309</v>
      </c>
      <c r="G19" s="60" t="s">
        <v>184</v>
      </c>
      <c r="H19" s="52">
        <v>3719</v>
      </c>
      <c r="I19" s="52">
        <v>200</v>
      </c>
      <c r="J19" s="53">
        <f t="shared" si="22"/>
        <v>743800</v>
      </c>
      <c r="K19" s="44" t="s">
        <v>186</v>
      </c>
      <c r="L19" s="47">
        <v>4022</v>
      </c>
      <c r="M19" s="37">
        <f>700+35+35</f>
        <v>770</v>
      </c>
      <c r="N19" s="137">
        <v>912</v>
      </c>
      <c r="O19" s="137">
        <v>0</v>
      </c>
      <c r="P19" s="35">
        <f t="shared" ref="P19" si="42">IF(L19 &gt;0,(L19-H19)*I19-M19-N19-O19,0)</f>
        <v>58918</v>
      </c>
      <c r="Q19" s="54">
        <f t="shared" si="2"/>
        <v>7.9212153804786231E-2</v>
      </c>
      <c r="R19" s="199"/>
      <c r="S19" s="201"/>
      <c r="U19" s="193"/>
      <c r="V19" s="193"/>
      <c r="W19" s="212"/>
      <c r="AA19" s="201"/>
      <c r="AB19" s="201"/>
      <c r="AC19" s="214"/>
    </row>
    <row r="20" spans="2:29">
      <c r="B20" s="180"/>
      <c r="C20" s="195">
        <f>ROW()/2-1</f>
        <v>9</v>
      </c>
      <c r="D20" s="197">
        <v>43782</v>
      </c>
      <c r="E20" s="39" t="s">
        <v>181</v>
      </c>
      <c r="F20" s="39">
        <v>1820</v>
      </c>
      <c r="G20" s="61" t="s">
        <v>147</v>
      </c>
      <c r="H20" s="55">
        <v>2431</v>
      </c>
      <c r="I20" s="39">
        <v>400</v>
      </c>
      <c r="J20" s="56">
        <f t="shared" ref="J20:J27" si="43">H20*I20</f>
        <v>972400</v>
      </c>
      <c r="K20" s="58" t="s">
        <v>186</v>
      </c>
      <c r="L20" s="55">
        <v>2375</v>
      </c>
      <c r="M20" s="39">
        <f>700+35+35</f>
        <v>770</v>
      </c>
      <c r="N20" s="39">
        <v>234</v>
      </c>
      <c r="O20" s="58">
        <v>0</v>
      </c>
      <c r="P20" s="31">
        <f t="shared" ref="P20" si="44">IF(L20 &gt;0,(H20-L20)*I20-M20-N20-O20,0)</f>
        <v>21396</v>
      </c>
      <c r="Q20" s="51">
        <f t="shared" si="2"/>
        <v>2.2003290826820239E-2</v>
      </c>
      <c r="R20" s="199">
        <f>P20+P21</f>
        <v>485995</v>
      </c>
      <c r="S20" s="200">
        <f>R20/(J20+J21)</f>
        <v>0.25451000559299347</v>
      </c>
      <c r="U20" s="202">
        <v>43789</v>
      </c>
      <c r="V20" s="193">
        <f>DATEDIF(D20,U20,"d")</f>
        <v>7</v>
      </c>
      <c r="W20" s="207" t="s">
        <v>328</v>
      </c>
      <c r="X20" s="1" t="s">
        <v>1048</v>
      </c>
      <c r="AA20" s="206">
        <f t="shared" ref="AA20" si="45">YEAR(U20)</f>
        <v>2019</v>
      </c>
      <c r="AB20" s="206">
        <f t="shared" ref="AB20" si="46">MONTH(U20)</f>
        <v>11</v>
      </c>
      <c r="AC20" s="206" t="str">
        <f t="shared" ref="AC20" si="47">IF(R20&gt;0,"○","☓")</f>
        <v>○</v>
      </c>
    </row>
    <row r="21" spans="2:29">
      <c r="B21" s="30"/>
      <c r="C21" s="196"/>
      <c r="D21" s="198">
        <v>43748</v>
      </c>
      <c r="E21" s="35" t="s">
        <v>182</v>
      </c>
      <c r="F21" s="35">
        <v>4508</v>
      </c>
      <c r="G21" s="60" t="s">
        <v>340</v>
      </c>
      <c r="H21" s="52">
        <v>1338.76</v>
      </c>
      <c r="I21" s="52">
        <v>700</v>
      </c>
      <c r="J21" s="53">
        <f t="shared" si="43"/>
        <v>937132</v>
      </c>
      <c r="K21" s="182" t="s">
        <v>172</v>
      </c>
      <c r="L21" s="47">
        <v>2004</v>
      </c>
      <c r="M21" s="37">
        <f>487+582</f>
        <v>1069</v>
      </c>
      <c r="N21" s="178">
        <v>0</v>
      </c>
      <c r="O21" s="178">
        <v>0</v>
      </c>
      <c r="P21" s="35">
        <f t="shared" ref="P21" si="48">IF(L21 &gt;0,(L21-H21)*I21-M21-N21-O21,0)</f>
        <v>464599</v>
      </c>
      <c r="Q21" s="54">
        <f t="shared" si="2"/>
        <v>0.49576687168936712</v>
      </c>
      <c r="R21" s="199"/>
      <c r="S21" s="201"/>
      <c r="U21" s="193"/>
      <c r="V21" s="193"/>
      <c r="W21" s="193"/>
      <c r="X21" s="113" t="s">
        <v>1047</v>
      </c>
      <c r="AA21" s="201"/>
      <c r="AB21" s="201"/>
      <c r="AC21" s="201"/>
    </row>
    <row r="22" spans="2:29" s="113" customFormat="1">
      <c r="B22" s="180"/>
      <c r="C22" s="195">
        <f>ROW()/2-1</f>
        <v>10</v>
      </c>
      <c r="D22" s="197">
        <v>43782</v>
      </c>
      <c r="E22" s="39" t="s">
        <v>181</v>
      </c>
      <c r="F22" s="39">
        <v>8002</v>
      </c>
      <c r="G22" s="61" t="s">
        <v>55</v>
      </c>
      <c r="H22" s="55">
        <v>814</v>
      </c>
      <c r="I22" s="39">
        <v>1300</v>
      </c>
      <c r="J22" s="56">
        <f t="shared" si="43"/>
        <v>1058200</v>
      </c>
      <c r="K22" s="58" t="s">
        <v>186</v>
      </c>
      <c r="L22" s="55">
        <v>794.1</v>
      </c>
      <c r="M22" s="39">
        <f>700+35+35</f>
        <v>770</v>
      </c>
      <c r="N22" s="39">
        <v>350</v>
      </c>
      <c r="O22" s="58">
        <v>0</v>
      </c>
      <c r="P22" s="31">
        <f t="shared" ref="P22" si="49">IF(L22 &gt;0,(H22-L22)*I22-M22-N22-O22,0)</f>
        <v>24749.999999999971</v>
      </c>
      <c r="Q22" s="51">
        <f t="shared" si="2"/>
        <v>2.3388773388773362E-2</v>
      </c>
      <c r="R22" s="199">
        <f>P22+P23</f>
        <v>60240.999999999913</v>
      </c>
      <c r="S22" s="200">
        <f>R22/(J22+J23)</f>
        <v>2.8847737807914758E-2</v>
      </c>
      <c r="U22" s="202">
        <v>43790</v>
      </c>
      <c r="V22" s="193">
        <f>DATEDIF(D22,U22,"d")</f>
        <v>8</v>
      </c>
      <c r="W22" s="207" t="s">
        <v>328</v>
      </c>
      <c r="AA22" s="206">
        <f t="shared" ref="AA22" si="50">YEAR(U22)</f>
        <v>2019</v>
      </c>
      <c r="AB22" s="206">
        <f t="shared" ref="AB22" si="51">MONTH(U22)</f>
        <v>11</v>
      </c>
      <c r="AC22" s="206" t="str">
        <f t="shared" ref="AC22" si="52">IF(R22&gt;0,"○","☓")</f>
        <v>○</v>
      </c>
    </row>
    <row r="23" spans="2:29" s="113" customFormat="1">
      <c r="B23" s="30"/>
      <c r="C23" s="196"/>
      <c r="D23" s="198">
        <v>43748</v>
      </c>
      <c r="E23" s="35" t="s">
        <v>182</v>
      </c>
      <c r="F23" s="35">
        <v>8601</v>
      </c>
      <c r="G23" s="60" t="s">
        <v>51</v>
      </c>
      <c r="H23" s="52">
        <v>515.02</v>
      </c>
      <c r="I23" s="52">
        <v>2000</v>
      </c>
      <c r="J23" s="53">
        <f t="shared" si="43"/>
        <v>1030040</v>
      </c>
      <c r="K23" s="182" t="s">
        <v>172</v>
      </c>
      <c r="L23" s="47">
        <v>533.29999999999995</v>
      </c>
      <c r="M23" s="37">
        <f>487+582</f>
        <v>1069</v>
      </c>
      <c r="N23" s="137">
        <v>0</v>
      </c>
      <c r="O23" s="178">
        <v>0</v>
      </c>
      <c r="P23" s="35">
        <f t="shared" ref="P23" si="53">IF(L23 &gt;0,(L23-H23)*I23-M23-N23-O23,0)</f>
        <v>35490.999999999942</v>
      </c>
      <c r="Q23" s="54">
        <f t="shared" si="2"/>
        <v>3.4455943458506409E-2</v>
      </c>
      <c r="R23" s="199"/>
      <c r="S23" s="201"/>
      <c r="U23" s="193"/>
      <c r="V23" s="193"/>
      <c r="W23" s="193"/>
      <c r="AA23" s="201"/>
      <c r="AB23" s="201"/>
      <c r="AC23" s="201"/>
    </row>
    <row r="24" spans="2:29" s="113" customFormat="1">
      <c r="B24" s="180"/>
      <c r="C24" s="195">
        <f>ROW()/2-1</f>
        <v>11</v>
      </c>
      <c r="D24" s="197">
        <v>43783</v>
      </c>
      <c r="E24" s="39" t="s">
        <v>181</v>
      </c>
      <c r="F24" s="39">
        <v>3105</v>
      </c>
      <c r="G24" s="61" t="s">
        <v>115</v>
      </c>
      <c r="H24" s="55">
        <v>970</v>
      </c>
      <c r="I24" s="39">
        <v>1100</v>
      </c>
      <c r="J24" s="56">
        <f t="shared" si="43"/>
        <v>1067000</v>
      </c>
      <c r="K24" s="58" t="s">
        <v>186</v>
      </c>
      <c r="L24" s="55">
        <v>999</v>
      </c>
      <c r="M24" s="39">
        <f t="shared" ref="M24:M30" si="54">700+35+35</f>
        <v>770</v>
      </c>
      <c r="N24" s="39">
        <v>514</v>
      </c>
      <c r="O24" s="58">
        <v>165</v>
      </c>
      <c r="P24" s="31">
        <f t="shared" ref="P24" si="55">IF(L24 &gt;0,(H24-L24)*I24-M24-N24-O24,0)</f>
        <v>-33349</v>
      </c>
      <c r="Q24" s="51">
        <f t="shared" si="2"/>
        <v>-3.1254920337394562E-2</v>
      </c>
      <c r="R24" s="199">
        <f>P24+P25</f>
        <v>-59214</v>
      </c>
      <c r="S24" s="200">
        <f>R24/(J24+J25)</f>
        <v>-2.7894290559638213E-2</v>
      </c>
      <c r="U24" s="202">
        <v>43798</v>
      </c>
      <c r="V24" s="193">
        <f>DATEDIF(D24,U24,"d")</f>
        <v>15</v>
      </c>
      <c r="W24" s="210" t="s">
        <v>305</v>
      </c>
      <c r="AA24" s="206">
        <f t="shared" ref="AA24" si="56">YEAR(U24)</f>
        <v>2019</v>
      </c>
      <c r="AB24" s="206">
        <f t="shared" ref="AB24" si="57">MONTH(U24)</f>
        <v>11</v>
      </c>
      <c r="AC24" s="206" t="str">
        <f t="shared" ref="AC24" si="58">IF(R24&gt;0,"○","☓")</f>
        <v>☓</v>
      </c>
    </row>
    <row r="25" spans="2:29" s="113" customFormat="1">
      <c r="B25" s="180"/>
      <c r="C25" s="196"/>
      <c r="D25" s="198">
        <v>43748</v>
      </c>
      <c r="E25" s="35" t="s">
        <v>182</v>
      </c>
      <c r="F25" s="35">
        <v>6301</v>
      </c>
      <c r="G25" s="60" t="s">
        <v>134</v>
      </c>
      <c r="H25" s="52">
        <v>2639.5</v>
      </c>
      <c r="I25" s="52">
        <v>400</v>
      </c>
      <c r="J25" s="53">
        <f t="shared" si="43"/>
        <v>1055800</v>
      </c>
      <c r="K25" s="44" t="s">
        <v>172</v>
      </c>
      <c r="L25" s="47">
        <v>2580</v>
      </c>
      <c r="M25" s="37">
        <f t="shared" si="54"/>
        <v>770</v>
      </c>
      <c r="N25" s="138">
        <v>1295</v>
      </c>
      <c r="O25" s="138">
        <v>0</v>
      </c>
      <c r="P25" s="35">
        <f t="shared" ref="P25" si="59">IF(L25 &gt;0,(L25-H25)*I25-M25-N25-O25,0)</f>
        <v>-25865</v>
      </c>
      <c r="Q25" s="54">
        <f t="shared" si="2"/>
        <v>-2.4498010986929341E-2</v>
      </c>
      <c r="R25" s="199"/>
      <c r="S25" s="201"/>
      <c r="U25" s="193"/>
      <c r="V25" s="193"/>
      <c r="W25" s="211"/>
      <c r="AA25" s="201"/>
      <c r="AB25" s="201"/>
      <c r="AC25" s="201"/>
    </row>
    <row r="26" spans="2:29" s="113" customFormat="1">
      <c r="B26" s="180"/>
      <c r="C26" s="195">
        <f>ROW()/2-1</f>
        <v>12</v>
      </c>
      <c r="D26" s="197">
        <v>43784</v>
      </c>
      <c r="E26" s="39" t="s">
        <v>181</v>
      </c>
      <c r="F26" s="39">
        <v>6770</v>
      </c>
      <c r="G26" s="61" t="s">
        <v>50</v>
      </c>
      <c r="H26" s="55">
        <v>2386</v>
      </c>
      <c r="I26" s="39">
        <v>400</v>
      </c>
      <c r="J26" s="56">
        <f t="shared" si="43"/>
        <v>954400</v>
      </c>
      <c r="K26" s="58" t="s">
        <v>1328</v>
      </c>
      <c r="L26" s="55">
        <v>2446</v>
      </c>
      <c r="M26" s="39">
        <f t="shared" si="54"/>
        <v>770</v>
      </c>
      <c r="N26" s="39">
        <v>320</v>
      </c>
      <c r="O26" s="58">
        <v>488</v>
      </c>
      <c r="P26" s="31">
        <f t="shared" ref="P26" si="60">IF(L26 &gt;0,(H26-L26)*I26-M26-N26-O26,0)</f>
        <v>-25578</v>
      </c>
      <c r="Q26" s="51">
        <f t="shared" si="2"/>
        <v>-2.680008382229673E-2</v>
      </c>
      <c r="R26" s="199">
        <f>P26+P27</f>
        <v>-23558</v>
      </c>
      <c r="S26" s="200">
        <f>R26/(J26+J27)</f>
        <v>-1.2410704878305763E-2</v>
      </c>
      <c r="U26" s="202">
        <v>43802</v>
      </c>
      <c r="V26" s="193">
        <f>DATEDIF(D26,U26,"d")</f>
        <v>18</v>
      </c>
      <c r="W26" s="208" t="s">
        <v>1311</v>
      </c>
      <c r="AA26" s="206">
        <f t="shared" ref="AA26" si="61">YEAR(U26)</f>
        <v>2019</v>
      </c>
      <c r="AB26" s="206">
        <f t="shared" ref="AB26" si="62">MONTH(U26)</f>
        <v>12</v>
      </c>
      <c r="AC26" s="206" t="str">
        <f t="shared" ref="AC26" si="63">IF(R26&gt;0,"○","☓")</f>
        <v>☓</v>
      </c>
    </row>
    <row r="27" spans="2:29" s="113" customFormat="1">
      <c r="B27" s="180"/>
      <c r="C27" s="196"/>
      <c r="D27" s="198">
        <v>43748</v>
      </c>
      <c r="E27" s="35" t="s">
        <v>182</v>
      </c>
      <c r="F27" s="35">
        <v>1911</v>
      </c>
      <c r="G27" s="60" t="s">
        <v>128</v>
      </c>
      <c r="H27" s="52">
        <v>1573</v>
      </c>
      <c r="I27" s="52">
        <v>600</v>
      </c>
      <c r="J27" s="53">
        <f t="shared" si="43"/>
        <v>943800</v>
      </c>
      <c r="K27" s="181" t="s">
        <v>187</v>
      </c>
      <c r="L27" s="47">
        <v>1579</v>
      </c>
      <c r="M27" s="37">
        <f t="shared" si="54"/>
        <v>770</v>
      </c>
      <c r="N27" s="139">
        <v>1230</v>
      </c>
      <c r="O27" s="139">
        <v>-420</v>
      </c>
      <c r="P27" s="35">
        <f t="shared" ref="P27" si="64">IF(L27 &gt;0,(L27-H27)*I27-M27-N27-O27,0)</f>
        <v>2020</v>
      </c>
      <c r="Q27" s="54">
        <f t="shared" si="2"/>
        <v>2.1402839584657766E-3</v>
      </c>
      <c r="R27" s="199"/>
      <c r="S27" s="201"/>
      <c r="U27" s="193"/>
      <c r="V27" s="193"/>
      <c r="W27" s="209"/>
      <c r="AA27" s="201"/>
      <c r="AB27" s="201"/>
      <c r="AC27" s="201"/>
    </row>
    <row r="28" spans="2:29" s="113" customFormat="1">
      <c r="B28" s="183"/>
      <c r="C28" s="195">
        <v>13</v>
      </c>
      <c r="D28" s="197">
        <v>43789</v>
      </c>
      <c r="E28" s="39" t="s">
        <v>181</v>
      </c>
      <c r="F28" s="39">
        <v>4182</v>
      </c>
      <c r="G28" s="61" t="s">
        <v>113</v>
      </c>
      <c r="H28" s="55">
        <v>1627</v>
      </c>
      <c r="I28" s="39">
        <v>600</v>
      </c>
      <c r="J28" s="56">
        <v>976200</v>
      </c>
      <c r="K28" s="58" t="s">
        <v>186</v>
      </c>
      <c r="L28" s="55">
        <v>1681</v>
      </c>
      <c r="M28" s="39">
        <f t="shared" si="54"/>
        <v>770</v>
      </c>
      <c r="N28" s="153">
        <v>558</v>
      </c>
      <c r="O28" s="58">
        <v>120</v>
      </c>
      <c r="P28" s="31">
        <f t="shared" ref="P28" si="65">IF(L28 &gt;0,(H28-L28)*I28-M28-N28-O28,0)</f>
        <v>-33848</v>
      </c>
      <c r="Q28" s="51">
        <f t="shared" si="2"/>
        <v>-3.4673222700266342E-2</v>
      </c>
      <c r="R28" s="199">
        <v>54150</v>
      </c>
      <c r="S28" s="200">
        <v>2.7799999999999998E-2</v>
      </c>
      <c r="U28" s="202">
        <v>43805</v>
      </c>
      <c r="V28" s="193">
        <v>15</v>
      </c>
      <c r="W28" s="207" t="s">
        <v>1287</v>
      </c>
      <c r="AA28" s="206">
        <f>YEAR(U28)</f>
        <v>2019</v>
      </c>
      <c r="AB28" s="206">
        <f>MONTH(U28)</f>
        <v>12</v>
      </c>
      <c r="AC28" s="206" t="str">
        <f>IF(R28&gt;0,"○","☓")</f>
        <v>○</v>
      </c>
    </row>
    <row r="29" spans="2:29" s="113" customFormat="1">
      <c r="B29" s="183"/>
      <c r="C29" s="196"/>
      <c r="D29" s="198">
        <v>43748</v>
      </c>
      <c r="E29" s="35" t="s">
        <v>182</v>
      </c>
      <c r="F29" s="35">
        <v>1824</v>
      </c>
      <c r="G29" s="60" t="s">
        <v>343</v>
      </c>
      <c r="H29" s="52">
        <v>973</v>
      </c>
      <c r="I29" s="52">
        <v>1000</v>
      </c>
      <c r="J29" s="53">
        <v>973000</v>
      </c>
      <c r="K29" s="154" t="s">
        <v>186</v>
      </c>
      <c r="L29" s="47">
        <v>1062</v>
      </c>
      <c r="M29" s="37">
        <f t="shared" si="54"/>
        <v>770</v>
      </c>
      <c r="N29" s="37">
        <v>1418</v>
      </c>
      <c r="O29" s="147">
        <v>0</v>
      </c>
      <c r="P29" s="35">
        <f t="shared" ref="P29" si="66">IF(L29 &gt;0,(L29-H29)*I29-M29-N29-O29,0)</f>
        <v>86812</v>
      </c>
      <c r="Q29" s="54">
        <f t="shared" si="2"/>
        <v>8.9220966084275433E-2</v>
      </c>
      <c r="R29" s="199"/>
      <c r="S29" s="201"/>
      <c r="U29" s="193"/>
      <c r="V29" s="193"/>
      <c r="W29" s="193"/>
      <c r="AA29" s="201"/>
      <c r="AB29" s="201"/>
      <c r="AC29" s="201"/>
    </row>
    <row r="30" spans="2:29" s="113" customFormat="1">
      <c r="B30" s="131"/>
      <c r="C30" s="195">
        <v>14</v>
      </c>
      <c r="D30" s="197">
        <v>43790</v>
      </c>
      <c r="E30" s="39" t="s">
        <v>181</v>
      </c>
      <c r="F30" s="39">
        <v>6995</v>
      </c>
      <c r="G30" s="61" t="s">
        <v>116</v>
      </c>
      <c r="H30" s="55">
        <v>2050</v>
      </c>
      <c r="I30" s="39">
        <v>500</v>
      </c>
      <c r="J30" s="56">
        <f t="shared" ref="J30:J33" si="67">H30*I30</f>
        <v>1025000</v>
      </c>
      <c r="K30" s="58" t="s">
        <v>186</v>
      </c>
      <c r="L30" s="55">
        <v>2176</v>
      </c>
      <c r="M30" s="39">
        <f t="shared" si="54"/>
        <v>770</v>
      </c>
      <c r="N30" s="153">
        <f>IF(OR(K30="現物",J30=0),0,IF(E30="売",J30*Fee_Refer!$B$12/365*V30, J30*Fee_Refer!$B$11/365*#REF!))</f>
        <v>556.02739726027391</v>
      </c>
      <c r="O30" s="58">
        <v>92</v>
      </c>
      <c r="P30" s="31">
        <f t="shared" ref="P30" si="68">IF(L30 &gt;0,(H30-L30)*I30-M30-N30-O30,0)</f>
        <v>-64418.027397260274</v>
      </c>
      <c r="Q30" s="51">
        <f t="shared" si="2"/>
        <v>-6.2846855997327103E-2</v>
      </c>
      <c r="R30" s="199">
        <f>P30+P31</f>
        <v>33712.972602739726</v>
      </c>
      <c r="S30" s="200">
        <f t="shared" ref="S30" si="69">R30/(J30+J31)</f>
        <v>1.6402146834066229E-2</v>
      </c>
      <c r="U30" s="202">
        <v>43808</v>
      </c>
      <c r="V30" s="193">
        <f t="shared" ref="V30" si="70">IF(U30&gt;D30,DATEDIF(D30,U30,"d"),0)</f>
        <v>18</v>
      </c>
      <c r="W30" s="234" t="s">
        <v>1312</v>
      </c>
      <c r="AA30" s="206">
        <f>YEAR(U30)</f>
        <v>2019</v>
      </c>
      <c r="AB30" s="206">
        <f>MONTH(U30)</f>
        <v>12</v>
      </c>
      <c r="AC30" s="206" t="str">
        <f>IF(R30&gt;0,"○","☓")</f>
        <v>○</v>
      </c>
    </row>
    <row r="31" spans="2:29" s="113" customFormat="1">
      <c r="B31" s="131"/>
      <c r="C31" s="196"/>
      <c r="D31" s="198">
        <v>43748</v>
      </c>
      <c r="E31" s="35" t="s">
        <v>182</v>
      </c>
      <c r="F31" s="35">
        <v>6472</v>
      </c>
      <c r="G31" s="60" t="s">
        <v>159</v>
      </c>
      <c r="H31" s="52">
        <v>322</v>
      </c>
      <c r="I31" s="52">
        <v>3200</v>
      </c>
      <c r="J31" s="53">
        <f t="shared" si="67"/>
        <v>1030400</v>
      </c>
      <c r="K31" s="182" t="s">
        <v>172</v>
      </c>
      <c r="L31" s="47">
        <v>353</v>
      </c>
      <c r="M31" s="37">
        <f>487+582</f>
        <v>1069</v>
      </c>
      <c r="N31" s="178">
        <v>0</v>
      </c>
      <c r="O31" s="178">
        <v>0</v>
      </c>
      <c r="P31" s="35">
        <f t="shared" ref="P31" si="71">IF(L31 &gt;0,(L31-H31)*I31-M31-N31-O31,0)</f>
        <v>98131</v>
      </c>
      <c r="Q31" s="54">
        <f t="shared" si="2"/>
        <v>9.5235830745341615E-2</v>
      </c>
      <c r="R31" s="199"/>
      <c r="S31" s="201"/>
      <c r="U31" s="193"/>
      <c r="V31" s="193"/>
      <c r="W31" s="193"/>
      <c r="AA31" s="201"/>
      <c r="AB31" s="201"/>
      <c r="AC31" s="201"/>
    </row>
    <row r="32" spans="2:29" s="113" customFormat="1">
      <c r="B32" s="131"/>
      <c r="C32" s="195">
        <v>15</v>
      </c>
      <c r="D32" s="197">
        <v>43791</v>
      </c>
      <c r="E32" s="39" t="s">
        <v>181</v>
      </c>
      <c r="F32" s="39">
        <v>8601</v>
      </c>
      <c r="G32" s="61" t="s">
        <v>51</v>
      </c>
      <c r="H32" s="55">
        <v>533.79999999999995</v>
      </c>
      <c r="I32" s="39">
        <v>2000</v>
      </c>
      <c r="J32" s="56">
        <f t="shared" si="67"/>
        <v>1067600</v>
      </c>
      <c r="K32" s="58" t="s">
        <v>186</v>
      </c>
      <c r="L32" s="55">
        <v>555</v>
      </c>
      <c r="M32" s="39">
        <f>700+35+35</f>
        <v>770</v>
      </c>
      <c r="N32" s="153">
        <f>IF(OR(K32="現物",J32=0),0,IF(E32="売",J32*Fee_Refer!$B$12/365*V32, J32*Fee_Refer!$B$11/365*#REF!))</f>
        <v>546.96219178082174</v>
      </c>
      <c r="O32" s="58">
        <v>92</v>
      </c>
      <c r="P32" s="31">
        <f t="shared" ref="P32" si="72">IF(L32 &gt;0,(H32-L32)*I32-M32-N32-O32,0)</f>
        <v>-43808.962191780913</v>
      </c>
      <c r="Q32" s="51">
        <f t="shared" si="2"/>
        <v>-4.1034996432915805E-2</v>
      </c>
      <c r="R32" s="199">
        <f>P32+P33</f>
        <v>-7387.9621917808836</v>
      </c>
      <c r="S32" s="200">
        <f t="shared" ref="S32" si="73">R32/(J32+J33)</f>
        <v>-3.4469872261972761E-3</v>
      </c>
      <c r="U32" s="202">
        <v>43808</v>
      </c>
      <c r="V32" s="193">
        <f t="shared" ref="V32" si="74">IF(U32&gt;D32,DATEDIF(D32,U32,"d"),0)</f>
        <v>17</v>
      </c>
      <c r="W32" s="234" t="s">
        <v>1312</v>
      </c>
      <c r="AA32" s="206">
        <f>YEAR(U32)</f>
        <v>2019</v>
      </c>
      <c r="AB32" s="206">
        <f>MONTH(U32)</f>
        <v>12</v>
      </c>
      <c r="AC32" s="206" t="str">
        <f>IF(R32&gt;0,"○","☓")</f>
        <v>☓</v>
      </c>
    </row>
    <row r="33" spans="2:29" s="113" customFormat="1">
      <c r="B33" s="131"/>
      <c r="C33" s="196"/>
      <c r="D33" s="198">
        <v>43748</v>
      </c>
      <c r="E33" s="35" t="s">
        <v>182</v>
      </c>
      <c r="F33" s="35">
        <v>8308</v>
      </c>
      <c r="G33" s="60" t="s">
        <v>127</v>
      </c>
      <c r="H33" s="52">
        <v>467.7</v>
      </c>
      <c r="I33" s="52">
        <v>2300</v>
      </c>
      <c r="J33" s="53">
        <f t="shared" si="67"/>
        <v>1075710</v>
      </c>
      <c r="K33" s="182" t="s">
        <v>172</v>
      </c>
      <c r="L33" s="47">
        <v>484</v>
      </c>
      <c r="M33" s="37">
        <f>487+582</f>
        <v>1069</v>
      </c>
      <c r="N33" s="178">
        <v>0</v>
      </c>
      <c r="O33" s="178">
        <v>0</v>
      </c>
      <c r="P33" s="35">
        <f t="shared" ref="P33" si="75">IF(L33 &gt;0,(L33-H33)*I33-M33-N33-O33,0)</f>
        <v>36421.000000000029</v>
      </c>
      <c r="Q33" s="54">
        <f t="shared" si="2"/>
        <v>3.3857638211042033E-2</v>
      </c>
      <c r="R33" s="199"/>
      <c r="S33" s="201"/>
      <c r="U33" s="193"/>
      <c r="V33" s="193"/>
      <c r="W33" s="193"/>
      <c r="AA33" s="201"/>
      <c r="AB33" s="201"/>
      <c r="AC33" s="201"/>
    </row>
  </sheetData>
  <autoFilter ref="B3:AC23"/>
  <mergeCells count="150">
    <mergeCell ref="S32:S33"/>
    <mergeCell ref="U32:U33"/>
    <mergeCell ref="V32:V33"/>
    <mergeCell ref="W32:W33"/>
    <mergeCell ref="C18:C19"/>
    <mergeCell ref="D18:D19"/>
    <mergeCell ref="R18:R19"/>
    <mergeCell ref="S18:S19"/>
    <mergeCell ref="U18:U19"/>
    <mergeCell ref="D20:D21"/>
    <mergeCell ref="AA18:AA19"/>
    <mergeCell ref="AB18:AB19"/>
    <mergeCell ref="AC18:AC19"/>
    <mergeCell ref="AA20:AA21"/>
    <mergeCell ref="AB20:AB21"/>
    <mergeCell ref="AC20:AC21"/>
    <mergeCell ref="W20:W21"/>
    <mergeCell ref="C20:C21"/>
    <mergeCell ref="R20:R21"/>
    <mergeCell ref="S20:S21"/>
    <mergeCell ref="V20:V21"/>
    <mergeCell ref="U20:U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C16:C17"/>
    <mergeCell ref="D16:D17"/>
    <mergeCell ref="R16:R17"/>
    <mergeCell ref="S16:S17"/>
    <mergeCell ref="U16:U17"/>
    <mergeCell ref="C14:C15"/>
    <mergeCell ref="D14:D15"/>
    <mergeCell ref="R14:R15"/>
    <mergeCell ref="S14:S15"/>
    <mergeCell ref="U14:U15"/>
    <mergeCell ref="V14:V15"/>
    <mergeCell ref="W14:W15"/>
    <mergeCell ref="V16:V17"/>
    <mergeCell ref="W16:W17"/>
    <mergeCell ref="V18:V19"/>
    <mergeCell ref="W18:W19"/>
    <mergeCell ref="AA14:AA15"/>
    <mergeCell ref="AB14:AB15"/>
    <mergeCell ref="AC14:AC15"/>
    <mergeCell ref="AA16:AA17"/>
    <mergeCell ref="AB16:AB17"/>
    <mergeCell ref="AC16:AC17"/>
    <mergeCell ref="C24:C25"/>
    <mergeCell ref="D24:D25"/>
    <mergeCell ref="R24:R25"/>
    <mergeCell ref="S24:S25"/>
    <mergeCell ref="U24:U25"/>
    <mergeCell ref="AA26:AA27"/>
    <mergeCell ref="AB26:AB27"/>
    <mergeCell ref="AC26:AC27"/>
    <mergeCell ref="R22:R23"/>
    <mergeCell ref="S22:S23"/>
    <mergeCell ref="U22:U23"/>
    <mergeCell ref="V22:V23"/>
    <mergeCell ref="C26:C27"/>
    <mergeCell ref="D26:D27"/>
    <mergeCell ref="R26:R27"/>
    <mergeCell ref="S26:S27"/>
    <mergeCell ref="U26:U27"/>
    <mergeCell ref="AA22:AA23"/>
    <mergeCell ref="AB22:AB23"/>
    <mergeCell ref="AC22:AC23"/>
    <mergeCell ref="C22:C23"/>
    <mergeCell ref="W22:W23"/>
    <mergeCell ref="D22:D23"/>
    <mergeCell ref="AA24:AA25"/>
    <mergeCell ref="AB24:AB25"/>
    <mergeCell ref="AA28:AA29"/>
    <mergeCell ref="AB28:AB29"/>
    <mergeCell ref="AC24:AC25"/>
    <mergeCell ref="V26:V27"/>
    <mergeCell ref="W26:W27"/>
    <mergeCell ref="V24:V25"/>
    <mergeCell ref="W24:W25"/>
    <mergeCell ref="AA30:AA31"/>
    <mergeCell ref="AB30:AB31"/>
    <mergeCell ref="AC30:AC31"/>
    <mergeCell ref="AA32:AA33"/>
    <mergeCell ref="AB32:AB33"/>
    <mergeCell ref="AC32:AC33"/>
    <mergeCell ref="AC28:AC29"/>
    <mergeCell ref="C28:C29"/>
    <mergeCell ref="D28:D29"/>
    <mergeCell ref="R28:R29"/>
    <mergeCell ref="S28:S29"/>
    <mergeCell ref="U28:U29"/>
    <mergeCell ref="V28:V29"/>
    <mergeCell ref="W28:W29"/>
    <mergeCell ref="C30:C31"/>
    <mergeCell ref="D30:D31"/>
    <mergeCell ref="R30:R31"/>
    <mergeCell ref="S30:S31"/>
    <mergeCell ref="U30:U31"/>
    <mergeCell ref="V30:V31"/>
    <mergeCell ref="W30:W31"/>
    <mergeCell ref="C32:C33"/>
    <mergeCell ref="D32:D33"/>
    <mergeCell ref="R32:R33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27"/>
  <sheetViews>
    <sheetView showGridLines="0" workbookViewId="0">
      <selection activeCell="C42" sqref="C42"/>
    </sheetView>
  </sheetViews>
  <sheetFormatPr defaultRowHeight="14.25"/>
  <sheetData>
    <row r="27" spans="1:1">
      <c r="A27" s="21" t="s">
        <v>93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W14"/>
  <sheetViews>
    <sheetView showGridLines="0" zoomScaleNormal="100" workbookViewId="0">
      <selection activeCell="D31" sqref="D31"/>
    </sheetView>
  </sheetViews>
  <sheetFormatPr defaultRowHeight="14.25"/>
  <cols>
    <col min="1" max="1" width="6" style="113" customWidth="1"/>
    <col min="2" max="2" width="6.5" style="113" customWidth="1"/>
    <col min="3" max="3" width="12.75" style="113" customWidth="1"/>
    <col min="4" max="4" width="9.875" style="113" customWidth="1"/>
    <col min="5" max="7" width="9" style="113"/>
    <col min="8" max="8" width="10.75" style="113" customWidth="1"/>
    <col min="9" max="10" width="9" style="113"/>
    <col min="11" max="11" width="10.625" style="113" customWidth="1"/>
    <col min="12" max="16384" width="9" style="113"/>
  </cols>
  <sheetData>
    <row r="1" spans="1:23" ht="21" customHeight="1" thickBot="1">
      <c r="A1" s="177" t="s">
        <v>1310</v>
      </c>
    </row>
    <row r="2" spans="1:23" ht="59.25" customHeight="1">
      <c r="A2" s="161" t="s">
        <v>1288</v>
      </c>
      <c r="B2" s="162" t="s">
        <v>1289</v>
      </c>
      <c r="C2" s="163" t="s">
        <v>1296</v>
      </c>
      <c r="D2" s="162" t="s">
        <v>1297</v>
      </c>
      <c r="E2" s="162" t="s">
        <v>1298</v>
      </c>
      <c r="F2" s="163" t="s">
        <v>1306</v>
      </c>
      <c r="G2" s="163" t="s">
        <v>1307</v>
      </c>
      <c r="H2" s="163" t="s">
        <v>1299</v>
      </c>
      <c r="I2" s="163" t="s">
        <v>1300</v>
      </c>
      <c r="J2" s="163" t="s">
        <v>1301</v>
      </c>
      <c r="K2" s="163" t="s">
        <v>1308</v>
      </c>
      <c r="L2" s="163" t="s">
        <v>1302</v>
      </c>
      <c r="M2" s="163" t="s">
        <v>1290</v>
      </c>
      <c r="N2" s="163" t="s">
        <v>1291</v>
      </c>
      <c r="O2" s="163" t="s">
        <v>1292</v>
      </c>
      <c r="P2" s="163" t="s">
        <v>1303</v>
      </c>
      <c r="Q2" s="164" t="s">
        <v>1304</v>
      </c>
      <c r="R2" s="164" t="s">
        <v>1293</v>
      </c>
      <c r="S2" s="165" t="s">
        <v>1294</v>
      </c>
      <c r="T2" s="165" t="s">
        <v>1295</v>
      </c>
      <c r="U2" s="165" t="s">
        <v>1309</v>
      </c>
      <c r="V2" s="166" t="s">
        <v>1305</v>
      </c>
      <c r="W2" s="160"/>
    </row>
    <row r="3" spans="1:23">
      <c r="A3" s="167">
        <v>2019</v>
      </c>
      <c r="B3" s="167">
        <v>10</v>
      </c>
      <c r="C3" s="168">
        <v>5000000</v>
      </c>
      <c r="D3" s="169">
        <v>-23232.999999999971</v>
      </c>
      <c r="E3" s="170">
        <f t="shared" ref="E3:E5" si="0">IF(D3 &lt;&gt; 0,D3/C3, 0)</f>
        <v>-4.6465999999999938E-3</v>
      </c>
      <c r="F3" s="169">
        <v>102356</v>
      </c>
      <c r="G3" s="169">
        <v>-125588.99999999997</v>
      </c>
      <c r="H3" s="167">
        <v>8</v>
      </c>
      <c r="I3" s="167">
        <v>3</v>
      </c>
      <c r="J3" s="167">
        <v>5</v>
      </c>
      <c r="K3" s="171">
        <f t="shared" ref="K3:K5" si="1">IF(H3&lt;&gt;0,I3/H3,0)</f>
        <v>0.375</v>
      </c>
      <c r="L3" s="172">
        <f t="shared" ref="L3:L5" si="2">IF(I3&lt;&gt;0,F3/I3,0)</f>
        <v>34118.666666666664</v>
      </c>
      <c r="M3" s="173">
        <f t="shared" ref="M3:M5" si="3">IF(J3&lt;&gt;0,G3/J3,0)</f>
        <v>-25117.799999999996</v>
      </c>
      <c r="N3" s="174">
        <v>14</v>
      </c>
      <c r="O3" s="174">
        <v>-93278.000000000029</v>
      </c>
      <c r="P3" s="175">
        <f t="shared" ref="P3:P5" si="4">IF(C3&lt;&gt;0,O3/C3,0)</f>
        <v>-1.8655600000000005E-2</v>
      </c>
      <c r="Q3" s="176">
        <v>3</v>
      </c>
      <c r="R3" s="176">
        <v>5</v>
      </c>
      <c r="S3" s="176">
        <v>1</v>
      </c>
      <c r="T3" s="176">
        <v>1</v>
      </c>
      <c r="U3" s="176">
        <v>6</v>
      </c>
      <c r="V3" s="176">
        <f t="shared" ref="V3:V5" si="5">IF(H3&lt;&gt;0,H3-S3-T3-U3,0)</f>
        <v>0</v>
      </c>
    </row>
    <row r="4" spans="1:23">
      <c r="A4" s="167">
        <v>2019</v>
      </c>
      <c r="B4" s="167">
        <v>11</v>
      </c>
      <c r="C4" s="168">
        <f>IF(D3 &lt;&gt; 0,C3+D3, 0)</f>
        <v>4976767</v>
      </c>
      <c r="D4" s="169">
        <v>488105.99999999988</v>
      </c>
      <c r="E4" s="170">
        <f t="shared" si="0"/>
        <v>9.8076924236155702E-2</v>
      </c>
      <c r="F4" s="169">
        <v>546293.99999999988</v>
      </c>
      <c r="G4" s="169">
        <v>-58188</v>
      </c>
      <c r="H4" s="167">
        <v>3</v>
      </c>
      <c r="I4" s="167">
        <v>2</v>
      </c>
      <c r="J4" s="167">
        <v>1</v>
      </c>
      <c r="K4" s="171">
        <f t="shared" si="1"/>
        <v>0.66666666666666663</v>
      </c>
      <c r="L4" s="172">
        <f t="shared" si="2"/>
        <v>273146.99999999994</v>
      </c>
      <c r="M4" s="173">
        <f t="shared" si="3"/>
        <v>-58188</v>
      </c>
      <c r="N4" s="174">
        <v>10</v>
      </c>
      <c r="O4" s="174">
        <v>-58188</v>
      </c>
      <c r="P4" s="175">
        <f t="shared" si="4"/>
        <v>-1.1691927711303342E-2</v>
      </c>
      <c r="Q4" s="176">
        <v>2</v>
      </c>
      <c r="R4" s="176">
        <v>1</v>
      </c>
      <c r="S4" s="176">
        <v>2</v>
      </c>
      <c r="T4" s="176">
        <v>1</v>
      </c>
      <c r="U4" s="176">
        <v>0</v>
      </c>
      <c r="V4" s="176">
        <f t="shared" si="5"/>
        <v>0</v>
      </c>
    </row>
    <row r="5" spans="1:23">
      <c r="A5" s="167">
        <v>2019</v>
      </c>
      <c r="B5" s="167">
        <v>12</v>
      </c>
      <c r="C5" s="168">
        <f>IF(D4 &lt;&gt; 0,C4+D4, 0)</f>
        <v>5464873</v>
      </c>
      <c r="D5" s="169">
        <v>31262</v>
      </c>
      <c r="E5" s="170">
        <f t="shared" si="0"/>
        <v>5.7205355000930491E-3</v>
      </c>
      <c r="F5" s="169">
        <v>54150</v>
      </c>
      <c r="G5" s="169">
        <v>-22888</v>
      </c>
      <c r="H5" s="167">
        <v>2</v>
      </c>
      <c r="I5" s="167">
        <v>1</v>
      </c>
      <c r="J5" s="167">
        <v>1</v>
      </c>
      <c r="K5" s="171">
        <f t="shared" si="1"/>
        <v>0.5</v>
      </c>
      <c r="L5" s="172">
        <f t="shared" si="2"/>
        <v>54150</v>
      </c>
      <c r="M5" s="173">
        <f t="shared" si="3"/>
        <v>-22888</v>
      </c>
      <c r="N5" s="174">
        <v>16.5</v>
      </c>
      <c r="O5" s="174">
        <v>-22888</v>
      </c>
      <c r="P5" s="175">
        <f t="shared" si="4"/>
        <v>-4.1882034587080062E-3</v>
      </c>
      <c r="Q5" s="176">
        <v>1</v>
      </c>
      <c r="R5" s="176">
        <v>1</v>
      </c>
      <c r="S5" s="176">
        <v>1</v>
      </c>
      <c r="T5" s="176">
        <v>0</v>
      </c>
      <c r="U5" s="176">
        <v>1</v>
      </c>
      <c r="V5" s="176">
        <f t="shared" si="5"/>
        <v>0</v>
      </c>
    </row>
    <row r="7" spans="1:23">
      <c r="C7" s="10"/>
      <c r="D7" s="10"/>
    </row>
    <row r="14" spans="1:23">
      <c r="A14" s="21"/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1:W6"/>
  <sheetViews>
    <sheetView workbookViewId="0">
      <selection activeCell="F31" sqref="F31"/>
    </sheetView>
  </sheetViews>
  <sheetFormatPr defaultRowHeight="14.25"/>
  <cols>
    <col min="1" max="1" width="1.25" customWidth="1"/>
    <col min="3" max="3" width="11.125" bestFit="1" customWidth="1"/>
  </cols>
  <sheetData>
    <row r="1" spans="2:23" ht="15" thickBot="1"/>
    <row r="2" spans="2:23" s="113" customFormat="1" ht="24.75" thickBot="1">
      <c r="C2" s="64" t="s">
        <v>173</v>
      </c>
      <c r="D2" s="74" t="s">
        <v>197</v>
      </c>
      <c r="E2" s="66"/>
      <c r="F2" s="65" t="s">
        <v>94</v>
      </c>
      <c r="G2" s="67" t="s">
        <v>95</v>
      </c>
      <c r="H2" s="68" t="s">
        <v>174</v>
      </c>
      <c r="I2" s="68" t="s">
        <v>175</v>
      </c>
      <c r="J2" s="66" t="s">
        <v>46</v>
      </c>
      <c r="K2" s="66" t="s">
        <v>176</v>
      </c>
      <c r="L2" s="68" t="s">
        <v>177</v>
      </c>
      <c r="M2" s="69" t="s">
        <v>198</v>
      </c>
      <c r="N2" s="66" t="s">
        <v>178</v>
      </c>
      <c r="O2" s="69" t="s">
        <v>192</v>
      </c>
      <c r="P2" s="66" t="s">
        <v>285</v>
      </c>
      <c r="Q2" s="66" t="s">
        <v>179</v>
      </c>
      <c r="R2" s="69" t="s">
        <v>194</v>
      </c>
      <c r="S2" s="72" t="s">
        <v>195</v>
      </c>
      <c r="T2" s="71"/>
      <c r="U2" s="73" t="s">
        <v>291</v>
      </c>
      <c r="V2" s="73" t="s">
        <v>196</v>
      </c>
      <c r="W2" s="70" t="s">
        <v>193</v>
      </c>
    </row>
    <row r="3" spans="2:23" s="113" customFormat="1">
      <c r="B3" s="131" t="s">
        <v>300</v>
      </c>
      <c r="C3" s="195">
        <f>ROW()/2-1</f>
        <v>0.5</v>
      </c>
      <c r="D3" s="197">
        <v>43807</v>
      </c>
      <c r="E3" s="39" t="s">
        <v>288</v>
      </c>
      <c r="F3" s="39">
        <v>3105</v>
      </c>
      <c r="G3" s="61" t="s">
        <v>1344</v>
      </c>
      <c r="H3" s="55"/>
      <c r="I3" s="55">
        <v>1000</v>
      </c>
      <c r="J3" s="56">
        <f t="shared" ref="J3:J4" si="0">H3*I3</f>
        <v>0</v>
      </c>
      <c r="K3" s="58" t="s">
        <v>1346</v>
      </c>
      <c r="L3" s="55"/>
      <c r="M3" s="39"/>
      <c r="N3" s="153">
        <f>IF(OR(K3="現物",J3=0),0,IF(E3="売",J3*Fee_Refer!$B$12/365*V3, J3*Fee_Refer!$B$11/365*#REF!))</f>
        <v>0</v>
      </c>
      <c r="O3" s="58">
        <v>0</v>
      </c>
      <c r="P3" s="156">
        <f>IF(L3 &gt;0,(H3-L3)*I3-M3-N3-O3,0)</f>
        <v>0</v>
      </c>
      <c r="Q3" s="57" t="e">
        <f t="shared" ref="Q3:Q4" si="1">P3/J3</f>
        <v>#DIV/0!</v>
      </c>
      <c r="R3" s="199">
        <f>P3+P4</f>
        <v>0</v>
      </c>
      <c r="S3" s="200" t="e">
        <f t="shared" ref="S3" si="2">R3/(J3+J4)</f>
        <v>#DIV/0!</v>
      </c>
      <c r="U3" s="202">
        <f>$P$1</f>
        <v>0</v>
      </c>
      <c r="V3" s="193">
        <f t="shared" ref="V3" si="3">IF(U3&gt;D3,DATEDIF(D3,U3,"d"),0)</f>
        <v>0</v>
      </c>
      <c r="W3" s="194"/>
    </row>
    <row r="4" spans="2:23" s="113" customFormat="1">
      <c r="B4" s="131" t="s">
        <v>1066</v>
      </c>
      <c r="C4" s="196"/>
      <c r="D4" s="198">
        <v>43748</v>
      </c>
      <c r="E4" s="35" t="s">
        <v>290</v>
      </c>
      <c r="F4" s="35">
        <v>7762</v>
      </c>
      <c r="G4" s="60" t="s">
        <v>1345</v>
      </c>
      <c r="H4" s="52"/>
      <c r="I4" s="52">
        <v>1700</v>
      </c>
      <c r="J4" s="53">
        <f t="shared" si="0"/>
        <v>0</v>
      </c>
      <c r="K4" s="154" t="s">
        <v>1346</v>
      </c>
      <c r="L4" s="47"/>
      <c r="M4" s="37"/>
      <c r="N4" s="155">
        <f>IF(OR(K4="現物",J4=0),0,IF(E4="売",J4*Fee_Refer!$B$12/365*V4, J4*Fee_Refer!$B$11/365*V3))</f>
        <v>0</v>
      </c>
      <c r="O4" s="178">
        <v>0</v>
      </c>
      <c r="P4" s="157">
        <f>IF(L4&gt;0,(L4-H4)*I4-M4-N4-O4,0)</f>
        <v>0</v>
      </c>
      <c r="Q4" s="54" t="e">
        <f t="shared" si="1"/>
        <v>#DIV/0!</v>
      </c>
      <c r="R4" s="199"/>
      <c r="S4" s="201"/>
      <c r="U4" s="193"/>
      <c r="V4" s="193"/>
      <c r="W4" s="193"/>
    </row>
    <row r="6" spans="2:23">
      <c r="C6" s="19">
        <v>43806</v>
      </c>
      <c r="D6" s="113" t="s">
        <v>1349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I19"/>
  <sheetViews>
    <sheetView showGridLines="0" zoomScale="115" zoomScaleNormal="115" workbookViewId="0">
      <selection activeCell="D37" sqref="D37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>
      <c r="B1" s="1" t="s">
        <v>1</v>
      </c>
    </row>
    <row r="3" spans="1:8">
      <c r="B3" s="4" t="s">
        <v>2</v>
      </c>
      <c r="C3" s="2" t="s">
        <v>3</v>
      </c>
      <c r="F3" s="4" t="s">
        <v>16</v>
      </c>
      <c r="G3" s="11">
        <v>1000000</v>
      </c>
    </row>
    <row r="4" spans="1:8">
      <c r="B4" s="4" t="s">
        <v>4</v>
      </c>
      <c r="C4" s="5">
        <v>43737</v>
      </c>
      <c r="F4" s="4" t="s">
        <v>17</v>
      </c>
      <c r="G4" s="29">
        <v>10</v>
      </c>
    </row>
    <row r="5" spans="1:8">
      <c r="B5" s="8"/>
    </row>
    <row r="6" spans="1:8">
      <c r="A6" s="10"/>
      <c r="B6" s="9"/>
      <c r="C6" s="2" t="s">
        <v>6</v>
      </c>
      <c r="D6" s="2" t="s">
        <v>7</v>
      </c>
      <c r="F6" s="1" t="s">
        <v>18</v>
      </c>
    </row>
    <row r="7" spans="1:8">
      <c r="B7" s="4" t="s">
        <v>5</v>
      </c>
      <c r="C7" s="7">
        <v>0.05</v>
      </c>
      <c r="D7" s="7">
        <v>0.2</v>
      </c>
      <c r="F7" s="4" t="s">
        <v>19</v>
      </c>
      <c r="G7" s="29">
        <v>2.5</v>
      </c>
    </row>
    <row r="8" spans="1:8">
      <c r="B8" s="4" t="s">
        <v>8</v>
      </c>
      <c r="C8" s="24">
        <v>1.8</v>
      </c>
      <c r="D8" s="24">
        <v>3</v>
      </c>
      <c r="F8" s="4" t="s">
        <v>96</v>
      </c>
      <c r="G8" s="159">
        <v>-2.5</v>
      </c>
    </row>
    <row r="9" spans="1:8">
      <c r="B9" s="4" t="s">
        <v>9</v>
      </c>
      <c r="C9" s="24">
        <v>0.9</v>
      </c>
      <c r="D9" s="23">
        <v>1</v>
      </c>
      <c r="E9" s="1"/>
      <c r="F9" s="4" t="s">
        <v>97</v>
      </c>
      <c r="G9" s="25">
        <v>15</v>
      </c>
      <c r="H9" s="1"/>
    </row>
    <row r="10" spans="1:8">
      <c r="B10" s="4" t="s">
        <v>10</v>
      </c>
      <c r="C10" s="3">
        <v>2</v>
      </c>
      <c r="D10" s="3">
        <v>3</v>
      </c>
      <c r="E10" s="12"/>
      <c r="F10" s="4" t="s">
        <v>98</v>
      </c>
      <c r="G10" s="24">
        <v>2</v>
      </c>
      <c r="H10" s="1"/>
    </row>
    <row r="11" spans="1:8">
      <c r="B11" s="4" t="s">
        <v>11</v>
      </c>
      <c r="C11" s="2" t="s">
        <v>15</v>
      </c>
      <c r="D11" s="6"/>
      <c r="E11" s="1" t="s">
        <v>21</v>
      </c>
    </row>
    <row r="12" spans="1:8">
      <c r="B12" s="4" t="s">
        <v>12</v>
      </c>
      <c r="C12" s="2" t="s">
        <v>14</v>
      </c>
      <c r="D12" s="6"/>
    </row>
    <row r="13" spans="1:8">
      <c r="B13" s="4" t="s">
        <v>13</v>
      </c>
      <c r="C13" s="3">
        <v>200</v>
      </c>
      <c r="D13" s="6"/>
    </row>
    <row r="16" spans="1:8">
      <c r="B16" s="1"/>
    </row>
    <row r="17" spans="2:9">
      <c r="B17" s="4" t="s">
        <v>92</v>
      </c>
      <c r="C17" s="240" t="s">
        <v>91</v>
      </c>
      <c r="D17" s="241"/>
      <c r="E17" s="241"/>
      <c r="F17" s="241"/>
      <c r="G17" s="242"/>
    </row>
    <row r="18" spans="2:9">
      <c r="B18" s="4" t="s">
        <v>90</v>
      </c>
      <c r="C18" s="235" t="str">
        <f>C17 &amp; "\master\" &amp; H18</f>
        <v>G:\Stock\pairs_trade\pair_trade\stock_data\master\master.csv</v>
      </c>
      <c r="D18" s="236"/>
      <c r="E18" s="236"/>
      <c r="F18" s="236"/>
      <c r="G18" s="237"/>
      <c r="H18" s="245" t="s">
        <v>1280</v>
      </c>
      <c r="I18" s="246"/>
    </row>
    <row r="19" spans="2:9">
      <c r="B19" s="4" t="s">
        <v>375</v>
      </c>
      <c r="C19" s="238" t="str">
        <f>C17 &amp; "\master\" &amp; H19</f>
        <v>G:\Stock\pairs_trade\pair_trade\stock_data\master\fiscal_data.csv</v>
      </c>
      <c r="D19" s="239"/>
      <c r="E19" s="239"/>
      <c r="F19" s="239"/>
      <c r="G19" s="239"/>
      <c r="H19" s="243" t="s">
        <v>1279</v>
      </c>
      <c r="I19" s="244"/>
    </row>
  </sheetData>
  <mergeCells count="5">
    <mergeCell ref="C18:G18"/>
    <mergeCell ref="C19:G19"/>
    <mergeCell ref="C17:G17"/>
    <mergeCell ref="H19:I19"/>
    <mergeCell ref="H18:I18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AZ300"/>
  <sheetViews>
    <sheetView showGridLines="0" zoomScaleNormal="100" workbookViewId="0">
      <selection activeCell="A9" sqref="A9"/>
    </sheetView>
  </sheetViews>
  <sheetFormatPr defaultRowHeight="14.25"/>
  <cols>
    <col min="1" max="1" width="7" customWidth="1"/>
    <col min="2" max="2" width="5.625" style="26" customWidth="1"/>
    <col min="3" max="3" width="13.875" style="28" customWidth="1"/>
    <col min="4" max="4" width="10" style="28" customWidth="1"/>
    <col min="5" max="5" width="9.125" customWidth="1"/>
    <col min="6" max="6" width="5.5" customWidth="1"/>
    <col min="7" max="7" width="10.75" customWidth="1"/>
    <col min="8" max="8" width="6.5" style="27" customWidth="1"/>
    <col min="9" max="9" width="15.5" style="28" customWidth="1"/>
    <col min="10" max="10" width="12.5" style="28" customWidth="1"/>
    <col min="11" max="11" width="7.5" style="27" customWidth="1"/>
    <col min="12" max="12" width="6.875" style="27" customWidth="1"/>
    <col min="13" max="13" width="14.625" style="27" customWidth="1"/>
    <col min="14" max="14" width="7.625" style="27" customWidth="1"/>
    <col min="15" max="15" width="6.75" style="27" customWidth="1"/>
    <col min="16" max="17" width="7.875" style="27" customWidth="1"/>
    <col min="18" max="18" width="7.375" style="27" customWidth="1"/>
    <col min="19" max="19" width="9.875" style="27" customWidth="1"/>
    <col min="20" max="20" width="10.25" style="27" customWidth="1"/>
    <col min="21" max="21" width="6.125" style="26" customWidth="1"/>
    <col min="22" max="22" width="7" style="27" customWidth="1"/>
    <col min="23" max="23" width="8.875" style="27" customWidth="1"/>
    <col min="24" max="24" width="6.5" style="27" customWidth="1"/>
    <col min="25" max="25" width="5.875" style="27" customWidth="1"/>
    <col min="26" max="26" width="7.5" style="27" customWidth="1"/>
    <col min="27" max="27" width="6.875" style="27" customWidth="1"/>
    <col min="28" max="28" width="6.375" style="27" customWidth="1"/>
    <col min="29" max="29" width="7" style="27" customWidth="1"/>
  </cols>
  <sheetData>
    <row r="1" spans="1:52" ht="15" thickBot="1"/>
    <row r="2" spans="1:52">
      <c r="A2" s="113"/>
      <c r="B2" s="251" t="s">
        <v>306</v>
      </c>
      <c r="C2" s="248"/>
      <c r="D2" s="248"/>
      <c r="E2" s="248"/>
      <c r="F2" s="248"/>
      <c r="G2" s="249"/>
      <c r="H2" s="252" t="s">
        <v>307</v>
      </c>
      <c r="I2" s="248"/>
      <c r="J2" s="248"/>
      <c r="K2" s="248"/>
      <c r="L2" s="248"/>
      <c r="M2" s="249"/>
      <c r="N2" s="247" t="s">
        <v>1330</v>
      </c>
      <c r="O2" s="248"/>
      <c r="P2" s="248"/>
      <c r="Q2" s="248"/>
      <c r="R2" s="249"/>
      <c r="S2" s="250" t="s">
        <v>308</v>
      </c>
      <c r="T2" s="248"/>
      <c r="U2" s="248"/>
      <c r="V2" s="248"/>
      <c r="W2" s="248"/>
      <c r="X2" s="248"/>
      <c r="Y2" s="249"/>
      <c r="Z2" s="118" t="s">
        <v>309</v>
      </c>
      <c r="AA2" s="119"/>
      <c r="AB2" s="119"/>
      <c r="AC2" s="120"/>
    </row>
    <row r="3" spans="1:52" s="22" customFormat="1" ht="28.5" customHeight="1" thickBot="1">
      <c r="A3" s="114"/>
      <c r="B3" s="116" t="s">
        <v>310</v>
      </c>
      <c r="C3" s="132" t="s">
        <v>311</v>
      </c>
      <c r="D3" s="132" t="s">
        <v>312</v>
      </c>
      <c r="E3" s="132" t="s">
        <v>313</v>
      </c>
      <c r="F3" s="132" t="s">
        <v>314</v>
      </c>
      <c r="G3" s="133" t="s">
        <v>374</v>
      </c>
      <c r="H3" s="117" t="s">
        <v>310</v>
      </c>
      <c r="I3" s="121" t="s">
        <v>311</v>
      </c>
      <c r="J3" s="121" t="s">
        <v>312</v>
      </c>
      <c r="K3" s="121" t="s">
        <v>313</v>
      </c>
      <c r="L3" s="121" t="s">
        <v>314</v>
      </c>
      <c r="M3" s="122" t="s">
        <v>373</v>
      </c>
      <c r="N3" s="123" t="s">
        <v>1331</v>
      </c>
      <c r="O3" s="124" t="s">
        <v>1333</v>
      </c>
      <c r="P3" s="124" t="s">
        <v>316</v>
      </c>
      <c r="Q3" s="124" t="s">
        <v>317</v>
      </c>
      <c r="R3" s="125" t="s">
        <v>1334</v>
      </c>
      <c r="S3" s="126" t="s">
        <v>1336</v>
      </c>
      <c r="T3" s="127" t="s">
        <v>318</v>
      </c>
      <c r="U3" s="115" t="s">
        <v>319</v>
      </c>
      <c r="V3" s="115" t="s">
        <v>320</v>
      </c>
      <c r="W3" s="115" t="s">
        <v>321</v>
      </c>
      <c r="X3" s="127" t="s">
        <v>322</v>
      </c>
      <c r="Y3" s="128" t="s">
        <v>323</v>
      </c>
      <c r="Z3" s="129" t="s">
        <v>1337</v>
      </c>
      <c r="AA3" s="130" t="s">
        <v>324</v>
      </c>
      <c r="AB3" s="130" t="s">
        <v>1339</v>
      </c>
      <c r="AC3" s="158" t="s">
        <v>325</v>
      </c>
    </row>
    <row r="4" spans="1:52">
      <c r="A4" s="131" t="s">
        <v>300</v>
      </c>
      <c r="B4">
        <v>1820</v>
      </c>
      <c r="C4" s="113" t="s">
        <v>147</v>
      </c>
      <c r="D4" s="113" t="s">
        <v>103</v>
      </c>
      <c r="E4">
        <v>2516</v>
      </c>
      <c r="F4">
        <v>400</v>
      </c>
      <c r="H4">
        <v>5463</v>
      </c>
      <c r="I4" s="113" t="s">
        <v>167</v>
      </c>
      <c r="J4" s="113" t="s">
        <v>117</v>
      </c>
      <c r="K4">
        <v>3140</v>
      </c>
      <c r="L4">
        <v>300</v>
      </c>
      <c r="M4"/>
      <c r="N4">
        <v>2.1996613163215599</v>
      </c>
      <c r="O4">
        <v>7.84</v>
      </c>
      <c r="P4">
        <v>1006400</v>
      </c>
      <c r="Q4">
        <v>942000</v>
      </c>
      <c r="R4">
        <v>6.84</v>
      </c>
      <c r="S4">
        <v>352998</v>
      </c>
      <c r="T4">
        <v>19611</v>
      </c>
      <c r="U4" s="140">
        <v>18</v>
      </c>
      <c r="V4" s="140">
        <v>12</v>
      </c>
      <c r="W4" s="140" t="s">
        <v>1353</v>
      </c>
      <c r="X4">
        <v>66.67</v>
      </c>
      <c r="Y4">
        <v>11</v>
      </c>
      <c r="Z4">
        <v>0.91275615398910603</v>
      </c>
      <c r="AA4">
        <v>0.92915835205428299</v>
      </c>
      <c r="AB4">
        <v>0.228082085198235</v>
      </c>
      <c r="AC4">
        <v>7.4515302165550495E-2</v>
      </c>
      <c r="AD4" s="131" t="s">
        <v>1054</v>
      </c>
    </row>
    <row r="5" spans="1:52" s="141" customFormat="1">
      <c r="A5" s="131" t="s">
        <v>300</v>
      </c>
      <c r="B5">
        <v>6588</v>
      </c>
      <c r="C5" s="113" t="s">
        <v>989</v>
      </c>
      <c r="D5" s="113" t="s">
        <v>112</v>
      </c>
      <c r="E5">
        <v>4685</v>
      </c>
      <c r="F5">
        <v>200</v>
      </c>
      <c r="G5"/>
      <c r="H5">
        <v>8593</v>
      </c>
      <c r="I5" s="113" t="s">
        <v>342</v>
      </c>
      <c r="J5" s="113" t="s">
        <v>329</v>
      </c>
      <c r="K5">
        <v>710</v>
      </c>
      <c r="L5">
        <v>1300</v>
      </c>
      <c r="M5"/>
      <c r="N5">
        <v>2.0430738243648801</v>
      </c>
      <c r="O5">
        <v>14.53</v>
      </c>
      <c r="P5">
        <v>937000</v>
      </c>
      <c r="Q5">
        <v>923000</v>
      </c>
      <c r="R5">
        <v>1.49</v>
      </c>
      <c r="S5">
        <v>224829</v>
      </c>
      <c r="T5">
        <v>14989</v>
      </c>
      <c r="U5" s="140">
        <v>15</v>
      </c>
      <c r="V5" s="140">
        <v>10</v>
      </c>
      <c r="W5" s="140" t="s">
        <v>1359</v>
      </c>
      <c r="X5">
        <v>66.67</v>
      </c>
      <c r="Y5">
        <v>13</v>
      </c>
      <c r="Z5">
        <v>0.91768846337124399</v>
      </c>
      <c r="AA5">
        <v>0.90840670573236204</v>
      </c>
      <c r="AB5">
        <v>0.147062535334918</v>
      </c>
      <c r="AC5">
        <v>8.0748263952105603E-2</v>
      </c>
      <c r="AD5" s="131" t="s">
        <v>1054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2" s="141" customFormat="1">
      <c r="A6" s="131" t="s">
        <v>300</v>
      </c>
      <c r="B6">
        <v>2379</v>
      </c>
      <c r="C6" s="113" t="s">
        <v>1068</v>
      </c>
      <c r="D6" s="113" t="s">
        <v>145</v>
      </c>
      <c r="E6">
        <v>3290</v>
      </c>
      <c r="F6">
        <v>300</v>
      </c>
      <c r="G6"/>
      <c r="H6">
        <v>9437</v>
      </c>
      <c r="I6" s="113" t="s">
        <v>1069</v>
      </c>
      <c r="J6" s="113" t="s">
        <v>104</v>
      </c>
      <c r="K6">
        <v>3012</v>
      </c>
      <c r="L6">
        <v>300</v>
      </c>
      <c r="M6"/>
      <c r="N6">
        <v>2.0242305250735502</v>
      </c>
      <c r="O6">
        <v>11.35</v>
      </c>
      <c r="P6">
        <v>987000</v>
      </c>
      <c r="Q6">
        <v>903600</v>
      </c>
      <c r="R6">
        <v>8.4499999999999993</v>
      </c>
      <c r="S6">
        <v>196308</v>
      </c>
      <c r="T6">
        <v>9348</v>
      </c>
      <c r="U6" s="140">
        <v>21</v>
      </c>
      <c r="V6" s="140">
        <v>11</v>
      </c>
      <c r="W6" s="140" t="s">
        <v>1354</v>
      </c>
      <c r="X6">
        <v>52.38</v>
      </c>
      <c r="Y6">
        <v>10</v>
      </c>
      <c r="Z6">
        <v>0.90427845611068103</v>
      </c>
      <c r="AA6">
        <v>0.94053525659774295</v>
      </c>
      <c r="AB6">
        <v>5.8386170208254698E-3</v>
      </c>
      <c r="AC6">
        <v>1.2025529609273E-2</v>
      </c>
      <c r="AD6" s="131" t="s">
        <v>1054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2" s="141" customFormat="1">
      <c r="A7" s="131" t="s">
        <v>300</v>
      </c>
      <c r="B7">
        <v>6674</v>
      </c>
      <c r="C7" s="113" t="s">
        <v>361</v>
      </c>
      <c r="D7" s="113" t="s">
        <v>112</v>
      </c>
      <c r="E7">
        <v>2382</v>
      </c>
      <c r="F7">
        <v>400</v>
      </c>
      <c r="G7"/>
      <c r="H7">
        <v>5463</v>
      </c>
      <c r="I7" s="113" t="s">
        <v>167</v>
      </c>
      <c r="J7" s="113" t="s">
        <v>117</v>
      </c>
      <c r="K7">
        <v>3140</v>
      </c>
      <c r="L7">
        <v>300</v>
      </c>
      <c r="M7"/>
      <c r="N7">
        <v>-2.4648174305156498</v>
      </c>
      <c r="O7">
        <v>-10.58</v>
      </c>
      <c r="P7">
        <v>952800</v>
      </c>
      <c r="Q7">
        <v>942000</v>
      </c>
      <c r="R7">
        <v>1.1499999999999999</v>
      </c>
      <c r="S7">
        <v>130185</v>
      </c>
      <c r="T7">
        <v>10014</v>
      </c>
      <c r="U7" s="140">
        <v>13</v>
      </c>
      <c r="V7" s="140">
        <v>8</v>
      </c>
      <c r="W7" s="140" t="s">
        <v>1326</v>
      </c>
      <c r="X7">
        <v>61.54</v>
      </c>
      <c r="Y7">
        <v>13</v>
      </c>
      <c r="Z7">
        <v>0.92357843313247501</v>
      </c>
      <c r="AA7">
        <v>0.90369122387664302</v>
      </c>
      <c r="AB7">
        <v>9.2809939282901904E-2</v>
      </c>
      <c r="AC7">
        <v>1.29138610816356E-2</v>
      </c>
      <c r="AD7" s="131" t="s">
        <v>1054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2" s="141" customFormat="1">
      <c r="A8" s="131" t="s">
        <v>300</v>
      </c>
      <c r="B8">
        <v>1860</v>
      </c>
      <c r="C8" s="113" t="s">
        <v>136</v>
      </c>
      <c r="D8" s="113" t="s">
        <v>103</v>
      </c>
      <c r="E8">
        <v>722</v>
      </c>
      <c r="F8">
        <v>1400</v>
      </c>
      <c r="G8" s="113" t="s">
        <v>863</v>
      </c>
      <c r="H8">
        <v>5110</v>
      </c>
      <c r="I8" s="113" t="s">
        <v>153</v>
      </c>
      <c r="J8" s="113" t="s">
        <v>154</v>
      </c>
      <c r="K8">
        <v>1420</v>
      </c>
      <c r="L8">
        <v>700</v>
      </c>
      <c r="M8"/>
      <c r="N8">
        <v>2.53763698319178</v>
      </c>
      <c r="O8">
        <v>4.5199999999999996</v>
      </c>
      <c r="P8">
        <v>1010800</v>
      </c>
      <c r="Q8">
        <v>994000</v>
      </c>
      <c r="R8">
        <v>1.69</v>
      </c>
      <c r="S8">
        <v>117025</v>
      </c>
      <c r="T8">
        <v>7314</v>
      </c>
      <c r="U8" s="140">
        <v>16</v>
      </c>
      <c r="V8" s="140">
        <v>9</v>
      </c>
      <c r="W8" s="140" t="s">
        <v>1071</v>
      </c>
      <c r="X8">
        <v>56.25</v>
      </c>
      <c r="Y8">
        <v>12</v>
      </c>
      <c r="Z8">
        <v>0.92033312036951698</v>
      </c>
      <c r="AA8">
        <v>0.900889699671097</v>
      </c>
      <c r="AB8">
        <v>3.2787474544801201E-2</v>
      </c>
      <c r="AC8">
        <v>1.23786247396202E-2</v>
      </c>
      <c r="AD8" s="131" t="s">
        <v>1054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2" s="141" customFormat="1">
      <c r="A9" s="131" t="s">
        <v>300</v>
      </c>
      <c r="B9">
        <v>3105</v>
      </c>
      <c r="C9" s="113" t="s">
        <v>115</v>
      </c>
      <c r="D9" s="113" t="s">
        <v>112</v>
      </c>
      <c r="E9">
        <v>1045</v>
      </c>
      <c r="F9">
        <v>1000</v>
      </c>
      <c r="G9"/>
      <c r="H9">
        <v>7762</v>
      </c>
      <c r="I9" s="113" t="s">
        <v>132</v>
      </c>
      <c r="J9" s="113" t="s">
        <v>118</v>
      </c>
      <c r="K9">
        <v>610</v>
      </c>
      <c r="L9">
        <v>1700</v>
      </c>
      <c r="M9"/>
      <c r="N9">
        <v>2.26215149637834</v>
      </c>
      <c r="O9">
        <v>6.25</v>
      </c>
      <c r="P9">
        <v>1045000</v>
      </c>
      <c r="Q9">
        <v>1037000</v>
      </c>
      <c r="R9">
        <v>0.77</v>
      </c>
      <c r="S9">
        <v>113398</v>
      </c>
      <c r="T9">
        <v>8100</v>
      </c>
      <c r="U9" s="140">
        <v>14</v>
      </c>
      <c r="V9" s="140">
        <v>5</v>
      </c>
      <c r="W9" s="140" t="s">
        <v>1072</v>
      </c>
      <c r="X9">
        <v>35.71</v>
      </c>
      <c r="Y9">
        <v>12</v>
      </c>
      <c r="Z9">
        <v>0.91678127491568295</v>
      </c>
      <c r="AA9">
        <v>0.90146457323269302</v>
      </c>
      <c r="AB9">
        <v>0.30109990122526797</v>
      </c>
      <c r="AC9">
        <v>1.38257035247209E-2</v>
      </c>
      <c r="AD9" s="131" t="s">
        <v>1054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2" s="141" customFormat="1">
      <c r="A10" s="192" t="s">
        <v>300</v>
      </c>
      <c r="B10" s="190">
        <v>6471</v>
      </c>
      <c r="C10" s="141" t="s">
        <v>163</v>
      </c>
      <c r="D10" s="141" t="s">
        <v>124</v>
      </c>
      <c r="E10" s="141">
        <v>1067</v>
      </c>
      <c r="F10" s="141">
        <v>1000</v>
      </c>
      <c r="H10" s="190">
        <v>6473</v>
      </c>
      <c r="I10" s="141" t="s">
        <v>158</v>
      </c>
      <c r="J10" s="141" t="s">
        <v>124</v>
      </c>
      <c r="K10" s="141">
        <v>1353</v>
      </c>
      <c r="L10" s="141">
        <v>800</v>
      </c>
      <c r="N10" s="141">
        <v>2.2659061788811998</v>
      </c>
      <c r="O10" s="141">
        <v>4.26</v>
      </c>
      <c r="P10" s="141">
        <v>1067000</v>
      </c>
      <c r="Q10" s="141">
        <v>1082400</v>
      </c>
      <c r="R10" s="141">
        <v>1.42</v>
      </c>
      <c r="S10" s="141">
        <v>46361</v>
      </c>
      <c r="T10" s="141">
        <v>3863</v>
      </c>
      <c r="U10" s="191">
        <v>12</v>
      </c>
      <c r="V10" s="191">
        <v>8</v>
      </c>
      <c r="W10" s="191" t="s">
        <v>1350</v>
      </c>
      <c r="X10" s="141">
        <v>66.67</v>
      </c>
      <c r="Y10" s="141">
        <v>16</v>
      </c>
      <c r="Z10" s="141">
        <v>0.95144915054700196</v>
      </c>
      <c r="AA10" s="141">
        <v>0.95410095589231503</v>
      </c>
      <c r="AB10" s="141">
        <v>0.104055684853957</v>
      </c>
      <c r="AC10" s="141">
        <v>1.2818658424978001E-2</v>
      </c>
      <c r="AD10" s="192" t="s">
        <v>1054</v>
      </c>
    </row>
    <row r="11" spans="1:52" s="141" customFormat="1">
      <c r="A11" s="131" t="s">
        <v>300</v>
      </c>
      <c r="B11">
        <v>4183</v>
      </c>
      <c r="C11" s="113" t="s">
        <v>331</v>
      </c>
      <c r="D11" s="113" t="s">
        <v>86</v>
      </c>
      <c r="E11">
        <v>2671</v>
      </c>
      <c r="F11">
        <v>200</v>
      </c>
      <c r="G11"/>
      <c r="H11">
        <v>7276</v>
      </c>
      <c r="I11" s="113" t="s">
        <v>995</v>
      </c>
      <c r="J11" s="113" t="s">
        <v>112</v>
      </c>
      <c r="K11">
        <v>5540</v>
      </c>
      <c r="L11">
        <v>100</v>
      </c>
      <c r="M11"/>
      <c r="N11">
        <v>2.6231617313348501</v>
      </c>
      <c r="O11">
        <v>3.84</v>
      </c>
      <c r="P11">
        <v>534200</v>
      </c>
      <c r="Q11">
        <v>554000</v>
      </c>
      <c r="R11">
        <v>3.57</v>
      </c>
      <c r="S11">
        <v>-2864</v>
      </c>
      <c r="T11">
        <v>-358</v>
      </c>
      <c r="U11" s="140">
        <v>8</v>
      </c>
      <c r="V11" s="140">
        <v>2</v>
      </c>
      <c r="W11" s="140" t="s">
        <v>1351</v>
      </c>
      <c r="X11">
        <v>25</v>
      </c>
      <c r="Y11">
        <v>11</v>
      </c>
      <c r="Z11">
        <v>0.91874523279164499</v>
      </c>
      <c r="AA11">
        <v>0.90116399709707595</v>
      </c>
      <c r="AB11">
        <v>2.1368238109182799E-2</v>
      </c>
      <c r="AC11">
        <v>6.1828340137306002E-2</v>
      </c>
      <c r="AD11" s="131" t="s">
        <v>1054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2" s="141" customFormat="1" ht="17.25" hidden="1" customHeight="1">
      <c r="A12" s="192" t="s">
        <v>300</v>
      </c>
      <c r="B12" s="190">
        <v>5991</v>
      </c>
      <c r="C12" s="141" t="s">
        <v>140</v>
      </c>
      <c r="D12" s="141" t="s">
        <v>141</v>
      </c>
      <c r="E12" s="141">
        <v>1005</v>
      </c>
      <c r="F12" s="141">
        <v>900</v>
      </c>
      <c r="H12" s="190">
        <v>7267</v>
      </c>
      <c r="I12" s="141" t="s">
        <v>143</v>
      </c>
      <c r="J12" s="141" t="s">
        <v>109</v>
      </c>
      <c r="K12" s="141">
        <v>3135</v>
      </c>
      <c r="L12" s="141">
        <v>300</v>
      </c>
      <c r="N12" s="141">
        <v>2.1389586156356999</v>
      </c>
      <c r="O12" s="141">
        <v>6.44</v>
      </c>
      <c r="P12" s="141">
        <v>904500</v>
      </c>
      <c r="Q12" s="141">
        <v>940500</v>
      </c>
      <c r="R12" s="141">
        <v>3.83</v>
      </c>
      <c r="S12" s="141">
        <v>-2961</v>
      </c>
      <c r="T12" s="141">
        <v>-212</v>
      </c>
      <c r="U12" s="191">
        <v>14</v>
      </c>
      <c r="V12" s="191">
        <v>9</v>
      </c>
      <c r="W12" s="191" t="s">
        <v>1053</v>
      </c>
      <c r="X12" s="141">
        <v>64.290000000000006</v>
      </c>
      <c r="Y12" s="141">
        <v>16</v>
      </c>
      <c r="Z12" s="141">
        <v>0.954827742895766</v>
      </c>
      <c r="AA12" s="141">
        <v>0.91582728921399503</v>
      </c>
      <c r="AB12" s="141">
        <v>0.33872097917404598</v>
      </c>
      <c r="AC12" s="141">
        <v>8.4879219478547305E-2</v>
      </c>
      <c r="AD12" s="192" t="s">
        <v>1054</v>
      </c>
    </row>
    <row r="13" spans="1:52" s="141" customFormat="1" ht="17.25" hidden="1" customHeight="1">
      <c r="A13" s="131" t="s">
        <v>300</v>
      </c>
      <c r="B13">
        <v>4686</v>
      </c>
      <c r="C13" s="113" t="s">
        <v>1315</v>
      </c>
      <c r="D13" s="113" t="s">
        <v>104</v>
      </c>
      <c r="E13">
        <v>6050</v>
      </c>
      <c r="F13">
        <v>100</v>
      </c>
      <c r="G13"/>
      <c r="H13">
        <v>6845</v>
      </c>
      <c r="I13" s="113" t="s">
        <v>338</v>
      </c>
      <c r="J13" s="113" t="s">
        <v>112</v>
      </c>
      <c r="K13">
        <v>3205</v>
      </c>
      <c r="L13">
        <v>200</v>
      </c>
      <c r="M13"/>
      <c r="N13">
        <v>2.03328421553914</v>
      </c>
      <c r="O13">
        <v>19.11</v>
      </c>
      <c r="P13">
        <v>605000</v>
      </c>
      <c r="Q13">
        <v>641000</v>
      </c>
      <c r="R13">
        <v>5.95</v>
      </c>
      <c r="S13">
        <v>-13536</v>
      </c>
      <c r="T13">
        <v>-712</v>
      </c>
      <c r="U13" s="140">
        <v>19</v>
      </c>
      <c r="V13" s="140">
        <v>11</v>
      </c>
      <c r="W13" s="140" t="s">
        <v>1360</v>
      </c>
      <c r="X13">
        <v>57.89</v>
      </c>
      <c r="Y13">
        <v>10</v>
      </c>
      <c r="Z13">
        <v>0.92865985992432998</v>
      </c>
      <c r="AA13">
        <v>0.91197881150864601</v>
      </c>
      <c r="AB13">
        <v>0.15978178954813699</v>
      </c>
      <c r="AC13">
        <v>0.11673092778882201</v>
      </c>
      <c r="AD13" s="131" t="s">
        <v>1054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 s="141" customFormat="1" ht="17.25" hidden="1" customHeight="1">
      <c r="A14" s="131" t="s">
        <v>300</v>
      </c>
      <c r="B14">
        <v>7205</v>
      </c>
      <c r="C14" s="113" t="s">
        <v>142</v>
      </c>
      <c r="D14" s="113" t="s">
        <v>109</v>
      </c>
      <c r="E14">
        <v>1151</v>
      </c>
      <c r="F14">
        <v>900</v>
      </c>
      <c r="G14"/>
      <c r="H14">
        <v>8002</v>
      </c>
      <c r="I14" s="113" t="s">
        <v>55</v>
      </c>
      <c r="J14" s="113" t="s">
        <v>126</v>
      </c>
      <c r="K14">
        <v>829.2</v>
      </c>
      <c r="L14">
        <v>1200</v>
      </c>
      <c r="M14"/>
      <c r="N14">
        <v>2.1020716549140102</v>
      </c>
      <c r="O14">
        <v>7.64</v>
      </c>
      <c r="P14">
        <v>1035900</v>
      </c>
      <c r="Q14">
        <v>995040</v>
      </c>
      <c r="R14">
        <v>3.94</v>
      </c>
      <c r="S14">
        <v>-42476</v>
      </c>
      <c r="T14">
        <v>-2655</v>
      </c>
      <c r="U14" s="140">
        <v>16</v>
      </c>
      <c r="V14" s="140">
        <v>7</v>
      </c>
      <c r="W14" s="140" t="s">
        <v>1352</v>
      </c>
      <c r="X14">
        <v>43.75</v>
      </c>
      <c r="Y14">
        <v>16</v>
      </c>
      <c r="Z14">
        <v>0.95428821095337601</v>
      </c>
      <c r="AA14">
        <v>0.90977708592634698</v>
      </c>
      <c r="AB14">
        <v>6.2113784417519302E-2</v>
      </c>
      <c r="AC14">
        <v>4.1090977667941897E-2</v>
      </c>
      <c r="AD14" s="131" t="s">
        <v>1054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 s="141" customFormat="1">
      <c r="A15" s="131" t="s">
        <v>300</v>
      </c>
      <c r="B15">
        <v>6770</v>
      </c>
      <c r="C15" s="113" t="s">
        <v>50</v>
      </c>
      <c r="D15" s="113" t="s">
        <v>112</v>
      </c>
      <c r="E15">
        <v>2584</v>
      </c>
      <c r="F15">
        <v>400</v>
      </c>
      <c r="G15"/>
      <c r="H15">
        <v>5471</v>
      </c>
      <c r="I15" s="113" t="s">
        <v>334</v>
      </c>
      <c r="J15" s="113" t="s">
        <v>117</v>
      </c>
      <c r="K15">
        <v>4945</v>
      </c>
      <c r="L15">
        <v>200</v>
      </c>
      <c r="M15"/>
      <c r="N15">
        <v>-2.6199484316663</v>
      </c>
      <c r="O15">
        <v>-10.24</v>
      </c>
      <c r="P15">
        <v>1033600</v>
      </c>
      <c r="Q15">
        <v>989000</v>
      </c>
      <c r="R15">
        <v>4.51</v>
      </c>
      <c r="S15">
        <v>-195697</v>
      </c>
      <c r="T15">
        <v>-13978</v>
      </c>
      <c r="U15" s="140">
        <v>14</v>
      </c>
      <c r="V15" s="140">
        <v>4</v>
      </c>
      <c r="W15" s="140" t="s">
        <v>1361</v>
      </c>
      <c r="X15">
        <v>28.57</v>
      </c>
      <c r="Y15">
        <v>13</v>
      </c>
      <c r="Z15">
        <v>0.90475850703573601</v>
      </c>
      <c r="AA15">
        <v>0.91064529851128095</v>
      </c>
      <c r="AB15">
        <v>0.22439875737765499</v>
      </c>
      <c r="AC15">
        <v>0.108923816793166</v>
      </c>
      <c r="AD15" s="131" t="s">
        <v>1054</v>
      </c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2" s="141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52" s="141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>
      <c r="B18"/>
      <c r="C18"/>
      <c r="D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52">
      <c r="B19"/>
      <c r="C19"/>
      <c r="D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52">
      <c r="B20"/>
      <c r="C20"/>
      <c r="D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52">
      <c r="B21"/>
      <c r="C21"/>
      <c r="D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52" s="141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s="141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>
      <c r="B24"/>
      <c r="C24"/>
      <c r="D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52">
      <c r="B25"/>
      <c r="C25"/>
      <c r="D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52">
      <c r="B26"/>
      <c r="C26"/>
      <c r="D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52">
      <c r="B27"/>
      <c r="C27"/>
      <c r="D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52">
      <c r="B28"/>
      <c r="C28"/>
      <c r="D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52">
      <c r="B29"/>
      <c r="C29"/>
      <c r="D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52">
      <c r="B30"/>
      <c r="C30"/>
      <c r="D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52">
      <c r="B31"/>
      <c r="C31"/>
      <c r="D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52">
      <c r="B32"/>
      <c r="C32"/>
      <c r="D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2:29">
      <c r="B33"/>
      <c r="C33"/>
      <c r="D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2:29">
      <c r="B34"/>
      <c r="C34"/>
      <c r="D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2:29">
      <c r="B35"/>
      <c r="C35"/>
      <c r="D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2:29">
      <c r="B36"/>
      <c r="C36"/>
      <c r="D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2:29">
      <c r="B37"/>
      <c r="C37"/>
      <c r="D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2:29">
      <c r="B38"/>
      <c r="C38"/>
      <c r="D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2:29">
      <c r="B39"/>
      <c r="C39"/>
      <c r="D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2:29">
      <c r="B40"/>
      <c r="C40"/>
      <c r="D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2:29">
      <c r="B41"/>
      <c r="C41"/>
      <c r="D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2:29">
      <c r="B42"/>
      <c r="C42"/>
      <c r="D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2:29">
      <c r="B43"/>
      <c r="C43"/>
      <c r="D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2:29">
      <c r="B44"/>
      <c r="C44"/>
      <c r="D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2:29">
      <c r="B45"/>
      <c r="C45"/>
      <c r="D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2:29">
      <c r="B46"/>
      <c r="C46"/>
      <c r="D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2:29">
      <c r="B47"/>
      <c r="C47"/>
      <c r="D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2:29">
      <c r="B48"/>
      <c r="C48"/>
      <c r="D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2:29">
      <c r="B49"/>
      <c r="C49"/>
      <c r="D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2:29">
      <c r="B50"/>
      <c r="C50"/>
      <c r="D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2:29">
      <c r="B51"/>
      <c r="C51"/>
      <c r="D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2:29">
      <c r="B52"/>
      <c r="C52"/>
      <c r="D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2:29">
      <c r="B53"/>
      <c r="C53"/>
      <c r="D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2:29">
      <c r="B54"/>
      <c r="C54"/>
      <c r="D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2:29">
      <c r="B55"/>
      <c r="C55"/>
      <c r="D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2:29">
      <c r="B56"/>
      <c r="C56"/>
      <c r="D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2:29">
      <c r="B57"/>
      <c r="C57"/>
      <c r="D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2:29">
      <c r="B58"/>
      <c r="C58"/>
      <c r="D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2:29">
      <c r="B59"/>
      <c r="C59"/>
      <c r="D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2:29">
      <c r="B60"/>
      <c r="C60"/>
      <c r="D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2:29">
      <c r="B61"/>
      <c r="C61"/>
      <c r="D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2:29">
      <c r="B62"/>
      <c r="C62"/>
      <c r="D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2:29">
      <c r="B63"/>
      <c r="C63"/>
      <c r="D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2:29">
      <c r="B64"/>
      <c r="C64"/>
      <c r="D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2:29">
      <c r="B65"/>
      <c r="C65"/>
      <c r="D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2:29">
      <c r="B66"/>
      <c r="C66"/>
      <c r="D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2:29">
      <c r="B67"/>
      <c r="C67"/>
      <c r="D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2:29">
      <c r="B68"/>
      <c r="C68"/>
      <c r="D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2:29">
      <c r="B69"/>
      <c r="C69"/>
      <c r="D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2:29">
      <c r="B70"/>
      <c r="C70"/>
      <c r="D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2:29">
      <c r="B71"/>
      <c r="C71"/>
      <c r="D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2:29">
      <c r="B72"/>
      <c r="C72"/>
      <c r="D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2:29">
      <c r="B73"/>
      <c r="C73"/>
      <c r="D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2:29">
      <c r="B74"/>
      <c r="C74"/>
      <c r="D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2:29">
      <c r="B75"/>
      <c r="C75"/>
      <c r="D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2:29">
      <c r="B76"/>
      <c r="C76"/>
      <c r="D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2:29">
      <c r="B77"/>
      <c r="C77"/>
      <c r="D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2:29">
      <c r="B78"/>
      <c r="C78"/>
      <c r="D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2:29">
      <c r="B79"/>
      <c r="C79"/>
      <c r="D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2:29">
      <c r="B80"/>
      <c r="C80"/>
      <c r="D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2:29">
      <c r="B81"/>
      <c r="C81"/>
      <c r="D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2:29">
      <c r="B82"/>
      <c r="C82"/>
      <c r="D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2:29">
      <c r="B83"/>
      <c r="C83"/>
      <c r="D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2:29">
      <c r="B84"/>
      <c r="C84"/>
      <c r="D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2:29">
      <c r="B85"/>
      <c r="C85"/>
      <c r="D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2:29">
      <c r="B86"/>
      <c r="C86"/>
      <c r="D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2:29">
      <c r="B87"/>
      <c r="C87"/>
      <c r="D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2:29">
      <c r="B88"/>
      <c r="C88"/>
      <c r="D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2:29">
      <c r="B89"/>
      <c r="C89"/>
      <c r="D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2:29">
      <c r="B90"/>
      <c r="C90"/>
      <c r="D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2:29">
      <c r="B91"/>
      <c r="C91"/>
      <c r="D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2:29">
      <c r="B92"/>
      <c r="C92"/>
      <c r="D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2:29">
      <c r="B93"/>
      <c r="C93"/>
      <c r="D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2:29">
      <c r="B94"/>
      <c r="C94"/>
      <c r="D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2:29">
      <c r="B95"/>
      <c r="C95"/>
      <c r="D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2:29">
      <c r="B96"/>
      <c r="C96"/>
      <c r="D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2:29">
      <c r="B97"/>
      <c r="C97"/>
      <c r="D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2:29">
      <c r="B98"/>
      <c r="C98"/>
      <c r="D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2:29">
      <c r="B99"/>
      <c r="C99"/>
      <c r="D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2:29">
      <c r="B100"/>
      <c r="C100"/>
      <c r="D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2:29">
      <c r="B101"/>
      <c r="C101"/>
      <c r="D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2:29">
      <c r="B102"/>
      <c r="C102"/>
      <c r="D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2:29">
      <c r="B103"/>
      <c r="C103"/>
      <c r="D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2:29">
      <c r="B104"/>
      <c r="C104"/>
      <c r="D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2:29">
      <c r="B105"/>
      <c r="C105"/>
      <c r="D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2:29">
      <c r="B106"/>
      <c r="C106"/>
      <c r="D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2:29">
      <c r="B107"/>
      <c r="C107"/>
      <c r="D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2:29">
      <c r="B108"/>
      <c r="C108"/>
      <c r="D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2:29">
      <c r="B109"/>
      <c r="C109"/>
      <c r="D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2:29">
      <c r="B110"/>
      <c r="C110"/>
      <c r="D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2:29">
      <c r="B111"/>
      <c r="C111"/>
      <c r="D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2:29">
      <c r="B112"/>
      <c r="C112"/>
      <c r="D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2:29">
      <c r="B113"/>
      <c r="C113"/>
      <c r="D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2:29">
      <c r="B114"/>
      <c r="C114"/>
      <c r="D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2:29">
      <c r="B115"/>
      <c r="C115"/>
      <c r="D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2:29">
      <c r="B116"/>
      <c r="C116"/>
      <c r="D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2:29">
      <c r="B117"/>
      <c r="C117"/>
      <c r="D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2:29">
      <c r="B118"/>
      <c r="C118"/>
      <c r="D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2:29">
      <c r="B119"/>
      <c r="C119"/>
      <c r="D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2:29">
      <c r="B120"/>
      <c r="C120"/>
      <c r="D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2:29">
      <c r="B121"/>
      <c r="C121"/>
      <c r="D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2:29">
      <c r="B122"/>
      <c r="C122"/>
      <c r="D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2:29">
      <c r="B123"/>
      <c r="C123"/>
      <c r="D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2:29">
      <c r="B124"/>
      <c r="C124"/>
      <c r="D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2:29">
      <c r="B125"/>
      <c r="C125"/>
      <c r="D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2:29">
      <c r="B126"/>
      <c r="C126"/>
      <c r="D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2:29">
      <c r="B127"/>
      <c r="C127"/>
      <c r="D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2:29">
      <c r="B128"/>
      <c r="C128"/>
      <c r="D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2:29">
      <c r="B129"/>
      <c r="C129"/>
      <c r="D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2:29">
      <c r="B130"/>
      <c r="C130"/>
      <c r="D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2:29">
      <c r="B131"/>
      <c r="C131"/>
      <c r="D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2:29">
      <c r="B132"/>
      <c r="C132"/>
      <c r="D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2:29">
      <c r="B133"/>
      <c r="C133"/>
      <c r="D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2:29">
      <c r="B134"/>
      <c r="C134"/>
      <c r="D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2:29">
      <c r="B135"/>
      <c r="C135"/>
      <c r="D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2:29">
      <c r="B136"/>
      <c r="C136"/>
      <c r="D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2:29">
      <c r="B137"/>
      <c r="C137"/>
      <c r="D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2:29">
      <c r="B138"/>
      <c r="C138"/>
      <c r="D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2:29">
      <c r="B139"/>
      <c r="C139"/>
      <c r="D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2:29">
      <c r="B140"/>
      <c r="C140"/>
      <c r="D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2:29">
      <c r="B141"/>
      <c r="C141"/>
      <c r="D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2:29">
      <c r="B142"/>
      <c r="C142"/>
      <c r="D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2:29">
      <c r="B143"/>
      <c r="C143"/>
      <c r="D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2:29">
      <c r="B144"/>
      <c r="C144"/>
      <c r="D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</row>
    <row r="145" spans="2:29">
      <c r="B145"/>
      <c r="C145"/>
      <c r="D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</row>
    <row r="146" spans="2:29">
      <c r="B146"/>
      <c r="C146"/>
      <c r="D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</row>
    <row r="147" spans="2:29">
      <c r="B147"/>
      <c r="C147"/>
      <c r="D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</row>
    <row r="148" spans="2:29">
      <c r="B148"/>
      <c r="C148"/>
      <c r="D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</row>
    <row r="149" spans="2:29">
      <c r="B149"/>
      <c r="C149"/>
      <c r="D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</row>
    <row r="150" spans="2:29">
      <c r="B150"/>
      <c r="C150"/>
      <c r="D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</row>
    <row r="151" spans="2:29">
      <c r="B151"/>
      <c r="C151"/>
      <c r="D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</row>
    <row r="152" spans="2:29">
      <c r="B152"/>
      <c r="C152"/>
      <c r="D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</row>
    <row r="153" spans="2:29">
      <c r="B153"/>
      <c r="C153"/>
      <c r="D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</row>
    <row r="154" spans="2:29">
      <c r="B154"/>
      <c r="C154"/>
      <c r="D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</row>
    <row r="155" spans="2:29">
      <c r="B155"/>
      <c r="C155"/>
      <c r="D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</row>
    <row r="156" spans="2:29">
      <c r="B156"/>
      <c r="C156"/>
      <c r="D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2:29">
      <c r="B157"/>
      <c r="C157"/>
      <c r="D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</row>
    <row r="158" spans="2:29">
      <c r="B158"/>
      <c r="C158"/>
      <c r="D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</row>
    <row r="159" spans="2:29">
      <c r="B159"/>
      <c r="C159"/>
      <c r="D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</row>
    <row r="160" spans="2:29">
      <c r="B160"/>
      <c r="C160"/>
      <c r="D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</row>
    <row r="161" spans="2:29">
      <c r="B161"/>
      <c r="C161"/>
      <c r="D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</row>
    <row r="162" spans="2:29">
      <c r="B162"/>
      <c r="C162"/>
      <c r="D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</row>
    <row r="163" spans="2:29">
      <c r="B163"/>
      <c r="C163"/>
      <c r="D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</row>
    <row r="164" spans="2:29">
      <c r="B164"/>
      <c r="C164"/>
      <c r="D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</row>
    <row r="165" spans="2:29">
      <c r="B165"/>
      <c r="C165"/>
      <c r="D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</row>
    <row r="166" spans="2:29">
      <c r="B166"/>
      <c r="C166"/>
      <c r="D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</row>
    <row r="167" spans="2:29">
      <c r="B167"/>
      <c r="C167"/>
      <c r="D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</row>
    <row r="168" spans="2:29">
      <c r="B168"/>
      <c r="C168"/>
      <c r="D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</row>
    <row r="169" spans="2:29">
      <c r="B169"/>
      <c r="C169"/>
      <c r="D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</row>
    <row r="170" spans="2:29">
      <c r="B170"/>
      <c r="C170"/>
      <c r="D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</row>
    <row r="171" spans="2:29">
      <c r="B171"/>
      <c r="C171"/>
      <c r="D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</row>
    <row r="172" spans="2:29">
      <c r="B172"/>
      <c r="C172"/>
      <c r="D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</row>
    <row r="173" spans="2:29">
      <c r="B173"/>
      <c r="C173"/>
      <c r="D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</row>
    <row r="174" spans="2:29">
      <c r="B174"/>
      <c r="C174"/>
      <c r="D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</row>
    <row r="175" spans="2:29">
      <c r="B175"/>
      <c r="C175"/>
      <c r="D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</row>
    <row r="176" spans="2:29">
      <c r="B176"/>
      <c r="C176"/>
      <c r="D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</row>
    <row r="177" spans="2:29">
      <c r="B177"/>
      <c r="C177"/>
      <c r="D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</row>
    <row r="178" spans="2:29">
      <c r="B178"/>
      <c r="C178"/>
      <c r="D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</row>
    <row r="179" spans="2:29">
      <c r="B179"/>
      <c r="C179"/>
      <c r="D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</row>
    <row r="180" spans="2:29">
      <c r="B180"/>
      <c r="C180"/>
      <c r="D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</row>
    <row r="181" spans="2:29">
      <c r="B181"/>
      <c r="C181"/>
      <c r="D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</row>
    <row r="182" spans="2:29">
      <c r="B182"/>
      <c r="C182"/>
      <c r="D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</row>
    <row r="183" spans="2:29">
      <c r="B183"/>
      <c r="C183"/>
      <c r="D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</row>
    <row r="184" spans="2:29">
      <c r="B184"/>
      <c r="C184"/>
      <c r="D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</row>
    <row r="185" spans="2:29">
      <c r="B185"/>
      <c r="C185"/>
      <c r="D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</row>
    <row r="186" spans="2:29">
      <c r="B186"/>
      <c r="C186"/>
      <c r="D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</row>
    <row r="187" spans="2:29">
      <c r="B187"/>
      <c r="C187"/>
      <c r="D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</row>
    <row r="188" spans="2:29">
      <c r="B188"/>
      <c r="C188"/>
      <c r="D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</row>
    <row r="189" spans="2:29">
      <c r="B189"/>
      <c r="C189"/>
      <c r="D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</row>
    <row r="190" spans="2:29">
      <c r="B190"/>
      <c r="C190"/>
      <c r="D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</row>
    <row r="191" spans="2:29">
      <c r="B191"/>
      <c r="C191"/>
      <c r="D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</row>
    <row r="192" spans="2:29">
      <c r="B192"/>
      <c r="C192"/>
      <c r="D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</row>
    <row r="193" spans="2:29">
      <c r="B193"/>
      <c r="C193"/>
      <c r="D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</row>
    <row r="194" spans="2:29">
      <c r="B194"/>
      <c r="C194"/>
      <c r="D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</row>
    <row r="195" spans="2:29">
      <c r="B195"/>
      <c r="C195"/>
      <c r="D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</row>
    <row r="196" spans="2:29">
      <c r="B196"/>
      <c r="C196"/>
      <c r="D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</row>
    <row r="197" spans="2:29">
      <c r="B197"/>
      <c r="C197"/>
      <c r="D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</row>
    <row r="198" spans="2:29">
      <c r="B198"/>
      <c r="C198"/>
      <c r="D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</row>
    <row r="199" spans="2:29">
      <c r="B199"/>
      <c r="C199"/>
      <c r="D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</row>
    <row r="200" spans="2:29">
      <c r="B200"/>
      <c r="C200"/>
      <c r="D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</row>
    <row r="201" spans="2:29">
      <c r="B201"/>
      <c r="C201"/>
      <c r="D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</row>
    <row r="202" spans="2:29">
      <c r="B202"/>
      <c r="C202"/>
      <c r="D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</row>
    <row r="203" spans="2:29">
      <c r="B203"/>
      <c r="C203"/>
      <c r="D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</row>
    <row r="204" spans="2:29">
      <c r="B204"/>
      <c r="C204"/>
      <c r="D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</row>
    <row r="205" spans="2:29">
      <c r="B205"/>
      <c r="C205"/>
      <c r="D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</row>
    <row r="206" spans="2:29">
      <c r="B206"/>
      <c r="C206"/>
      <c r="D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</row>
    <row r="207" spans="2:29">
      <c r="B207"/>
      <c r="C207"/>
      <c r="D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</row>
    <row r="208" spans="2:29">
      <c r="B208"/>
      <c r="C208"/>
      <c r="D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</row>
    <row r="209" spans="2:29">
      <c r="B209"/>
      <c r="C209"/>
      <c r="D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</row>
    <row r="210" spans="2:29">
      <c r="B210"/>
      <c r="C210"/>
      <c r="D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</row>
    <row r="211" spans="2:29">
      <c r="B211"/>
      <c r="C211"/>
      <c r="D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</row>
    <row r="212" spans="2:29">
      <c r="B212"/>
      <c r="C212"/>
      <c r="D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</row>
    <row r="213" spans="2:29">
      <c r="B213"/>
      <c r="C213"/>
      <c r="D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</row>
    <row r="214" spans="2:29">
      <c r="B214"/>
      <c r="C214"/>
      <c r="D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</row>
    <row r="215" spans="2:29">
      <c r="B215"/>
      <c r="C215"/>
      <c r="D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</row>
    <row r="216" spans="2:29">
      <c r="B216"/>
      <c r="C216"/>
      <c r="D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</row>
    <row r="217" spans="2:29">
      <c r="B217"/>
      <c r="C217"/>
      <c r="D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</row>
    <row r="218" spans="2:29">
      <c r="B218"/>
      <c r="C218"/>
      <c r="D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</row>
    <row r="219" spans="2:29">
      <c r="B219"/>
      <c r="C219"/>
      <c r="D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</row>
    <row r="220" spans="2:29">
      <c r="B220"/>
      <c r="C220"/>
      <c r="D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</row>
    <row r="221" spans="2:29">
      <c r="B221"/>
      <c r="C221"/>
      <c r="D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</row>
    <row r="222" spans="2:29">
      <c r="B222"/>
      <c r="C222"/>
      <c r="D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</row>
    <row r="223" spans="2:29">
      <c r="B223"/>
      <c r="C223"/>
      <c r="D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</row>
    <row r="224" spans="2:29">
      <c r="B224"/>
      <c r="C224"/>
      <c r="D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</row>
    <row r="225" spans="2:29">
      <c r="B225"/>
      <c r="C225"/>
      <c r="D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</row>
    <row r="226" spans="2:29">
      <c r="B226"/>
      <c r="C226"/>
      <c r="D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</row>
    <row r="227" spans="2:29">
      <c r="B227"/>
      <c r="C227"/>
      <c r="D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</row>
    <row r="228" spans="2:29">
      <c r="B228"/>
      <c r="C228"/>
      <c r="D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</row>
    <row r="229" spans="2:29">
      <c r="B229"/>
      <c r="C229"/>
      <c r="D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</row>
    <row r="230" spans="2:29">
      <c r="B230"/>
      <c r="C230"/>
      <c r="D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</row>
    <row r="231" spans="2:29">
      <c r="B231"/>
      <c r="C231"/>
      <c r="D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</row>
    <row r="232" spans="2:29">
      <c r="B232"/>
      <c r="C232"/>
      <c r="D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</row>
    <row r="233" spans="2:29">
      <c r="B233"/>
      <c r="C233"/>
      <c r="D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</row>
    <row r="234" spans="2:29">
      <c r="B234"/>
      <c r="C234"/>
      <c r="D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</row>
    <row r="235" spans="2:29">
      <c r="B235"/>
      <c r="C235"/>
      <c r="D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</row>
    <row r="236" spans="2:29">
      <c r="B236"/>
      <c r="C236"/>
      <c r="D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</row>
    <row r="237" spans="2:29">
      <c r="B237"/>
      <c r="C237"/>
      <c r="D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</row>
    <row r="238" spans="2:29">
      <c r="B238"/>
      <c r="C238"/>
      <c r="D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</row>
    <row r="239" spans="2:29">
      <c r="B239"/>
      <c r="C239"/>
      <c r="D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</row>
    <row r="240" spans="2:29">
      <c r="B240"/>
      <c r="C240"/>
      <c r="D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</row>
    <row r="241" spans="2:29">
      <c r="B241"/>
      <c r="C241"/>
      <c r="D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</row>
    <row r="242" spans="2:29">
      <c r="B242"/>
      <c r="C242"/>
      <c r="D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</row>
    <row r="243" spans="2:29">
      <c r="B243"/>
      <c r="C243"/>
      <c r="D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</row>
    <row r="244" spans="2:29">
      <c r="B244"/>
      <c r="C244"/>
      <c r="D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</row>
    <row r="245" spans="2:29">
      <c r="B245"/>
      <c r="C245"/>
      <c r="D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</row>
    <row r="246" spans="2:29">
      <c r="B246"/>
      <c r="C246"/>
      <c r="D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</row>
    <row r="247" spans="2:29">
      <c r="B247"/>
      <c r="C247"/>
      <c r="D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</row>
    <row r="248" spans="2:29">
      <c r="B248"/>
      <c r="C248"/>
      <c r="D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</row>
    <row r="249" spans="2:29">
      <c r="B249"/>
      <c r="C249"/>
      <c r="D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</row>
    <row r="250" spans="2:29">
      <c r="B250"/>
      <c r="C250"/>
      <c r="D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</row>
    <row r="251" spans="2:29">
      <c r="B251"/>
      <c r="C251"/>
      <c r="D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</row>
    <row r="252" spans="2:29">
      <c r="B252"/>
      <c r="C252"/>
      <c r="D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</row>
    <row r="253" spans="2:29">
      <c r="B253"/>
      <c r="C253"/>
      <c r="D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</row>
    <row r="254" spans="2:29">
      <c r="B254"/>
      <c r="C254"/>
      <c r="D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</row>
    <row r="255" spans="2:29">
      <c r="B255"/>
      <c r="C255"/>
      <c r="D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</row>
    <row r="256" spans="2:29">
      <c r="B256"/>
      <c r="C256"/>
      <c r="D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</row>
    <row r="257" spans="2:29">
      <c r="B257"/>
      <c r="C257"/>
      <c r="D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</row>
    <row r="258" spans="2:29">
      <c r="B258"/>
      <c r="C258"/>
      <c r="D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</row>
    <row r="259" spans="2:29">
      <c r="B259"/>
      <c r="C259"/>
      <c r="D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</row>
    <row r="260" spans="2:29">
      <c r="B260"/>
      <c r="C260"/>
      <c r="D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</row>
    <row r="261" spans="2:29">
      <c r="B261"/>
      <c r="C261"/>
      <c r="D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</row>
    <row r="262" spans="2:29">
      <c r="B262"/>
      <c r="C262"/>
      <c r="D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</row>
    <row r="263" spans="2:29">
      <c r="B263"/>
      <c r="C263"/>
      <c r="D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</row>
    <row r="264" spans="2:29">
      <c r="B264"/>
      <c r="C264"/>
      <c r="D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</row>
    <row r="265" spans="2:29">
      <c r="B265"/>
      <c r="C265"/>
      <c r="D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</row>
    <row r="266" spans="2:29">
      <c r="B266"/>
      <c r="C266"/>
      <c r="D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</row>
    <row r="267" spans="2:29">
      <c r="B267"/>
      <c r="C267"/>
      <c r="D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</row>
    <row r="268" spans="2:29">
      <c r="B268"/>
      <c r="C268"/>
      <c r="D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</row>
    <row r="269" spans="2:29">
      <c r="B269"/>
      <c r="C269"/>
      <c r="D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</row>
    <row r="270" spans="2:29">
      <c r="B270"/>
      <c r="C270"/>
      <c r="D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</row>
    <row r="271" spans="2:29">
      <c r="B271"/>
      <c r="C271"/>
      <c r="D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</row>
    <row r="272" spans="2:29">
      <c r="B272"/>
      <c r="C272"/>
      <c r="D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</row>
    <row r="273" spans="2:29">
      <c r="B273"/>
      <c r="C273"/>
      <c r="D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</row>
    <row r="274" spans="2:29">
      <c r="B274"/>
      <c r="C274"/>
      <c r="D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</row>
    <row r="275" spans="2:29">
      <c r="B275"/>
      <c r="C275"/>
      <c r="D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</row>
    <row r="276" spans="2:29">
      <c r="B276"/>
      <c r="C276"/>
      <c r="D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</row>
    <row r="277" spans="2:29">
      <c r="B277"/>
      <c r="C277"/>
      <c r="D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</row>
    <row r="278" spans="2:29">
      <c r="B278"/>
      <c r="C278"/>
      <c r="D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</row>
    <row r="279" spans="2:29">
      <c r="B279"/>
      <c r="C279"/>
      <c r="D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</row>
    <row r="280" spans="2:29">
      <c r="B280"/>
      <c r="C280"/>
      <c r="D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</row>
    <row r="281" spans="2:29">
      <c r="B281"/>
      <c r="C281"/>
      <c r="D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</row>
    <row r="282" spans="2:29">
      <c r="B282"/>
      <c r="C282"/>
      <c r="D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</row>
    <row r="283" spans="2:29">
      <c r="B283"/>
      <c r="C283"/>
      <c r="D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</row>
    <row r="284" spans="2:29">
      <c r="B284"/>
      <c r="C284"/>
      <c r="D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</row>
    <row r="285" spans="2:29">
      <c r="B285"/>
      <c r="C285"/>
      <c r="D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</row>
    <row r="286" spans="2:29">
      <c r="B286"/>
      <c r="C286"/>
      <c r="D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</row>
    <row r="287" spans="2:29">
      <c r="B287"/>
      <c r="C287"/>
      <c r="D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</row>
    <row r="288" spans="2:29">
      <c r="B288"/>
      <c r="C288"/>
      <c r="D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</row>
    <row r="289" spans="2:29">
      <c r="B289"/>
      <c r="C289"/>
      <c r="D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</row>
    <row r="290" spans="2:29">
      <c r="B290"/>
      <c r="C290"/>
      <c r="D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</row>
    <row r="291" spans="2:29">
      <c r="B291"/>
      <c r="C291"/>
      <c r="D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</row>
    <row r="292" spans="2:29">
      <c r="B292"/>
      <c r="C292"/>
      <c r="D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</row>
    <row r="293" spans="2:29">
      <c r="B293"/>
      <c r="C293"/>
      <c r="D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</row>
    <row r="294" spans="2:29">
      <c r="B294"/>
      <c r="C294"/>
      <c r="D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</row>
    <row r="295" spans="2:29">
      <c r="B295"/>
      <c r="C295"/>
      <c r="D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</row>
    <row r="296" spans="2:29">
      <c r="B296"/>
      <c r="C296"/>
      <c r="D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</row>
    <row r="297" spans="2:29">
      <c r="B297"/>
      <c r="C297"/>
      <c r="D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</row>
    <row r="298" spans="2:29">
      <c r="B298"/>
      <c r="C298"/>
      <c r="D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</row>
    <row r="299" spans="2:29">
      <c r="B299"/>
      <c r="C299"/>
      <c r="D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</row>
    <row r="300" spans="2:29">
      <c r="B300"/>
      <c r="C300"/>
      <c r="D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</row>
  </sheetData>
  <mergeCells count="4">
    <mergeCell ref="N2:R2"/>
    <mergeCell ref="S2:Y2"/>
    <mergeCell ref="B2:G2"/>
    <mergeCell ref="H2:M2"/>
  </mergeCells>
  <phoneticPr fontId="1" type="noConversion"/>
  <hyperlinks>
    <hyperlink ref="A4" display="Select"/>
    <hyperlink ref="AD4" display="Setup"/>
    <hyperlink ref="A5" display="Select"/>
    <hyperlink ref="AD5" display="Setup"/>
    <hyperlink ref="A6" display="Select"/>
    <hyperlink ref="AD6" display="Setup"/>
    <hyperlink ref="A7" display="Select"/>
    <hyperlink ref="AD7" display="Setup"/>
    <hyperlink ref="A8" display="Select"/>
    <hyperlink ref="AD8" display="Setup"/>
    <hyperlink ref="A9" display="Select"/>
    <hyperlink ref="AD9" display="Setup"/>
    <hyperlink ref="A10" display="Select"/>
    <hyperlink ref="AD10" display="Setup"/>
    <hyperlink ref="A11" display="Select"/>
    <hyperlink ref="AD11" display="Setup"/>
    <hyperlink ref="A12" display="Select"/>
    <hyperlink ref="AD12" display="Setup"/>
    <hyperlink ref="A13" display="Select"/>
    <hyperlink ref="AD13" display="Setup"/>
    <hyperlink ref="A14" display="Select"/>
    <hyperlink ref="AD14" display="Setup"/>
    <hyperlink ref="A15" display="Select"/>
    <hyperlink ref="AD15" display="Setup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B1:K26"/>
  <sheetViews>
    <sheetView showGridLines="0" zoomScale="130" zoomScaleNormal="130" workbookViewId="0">
      <selection activeCell="D32" sqref="D32"/>
    </sheetView>
  </sheetViews>
  <sheetFormatPr defaultRowHeight="14.25"/>
  <cols>
    <col min="1" max="1" width="1.25" customWidth="1"/>
    <col min="2" max="2" width="11.375" customWidth="1"/>
    <col min="3" max="3" width="15.375" customWidth="1"/>
    <col min="4" max="4" width="13.375" customWidth="1"/>
    <col min="5" max="5" width="10.875" customWidth="1"/>
    <col min="6" max="6" width="13" customWidth="1"/>
    <col min="7" max="7" width="15.75" customWidth="1"/>
  </cols>
  <sheetData>
    <row r="1" spans="3:11">
      <c r="F1" s="13" t="s">
        <v>22</v>
      </c>
      <c r="G1" s="13" t="s">
        <v>30</v>
      </c>
      <c r="H1" s="13" t="s">
        <v>31</v>
      </c>
      <c r="I1" s="13" t="s">
        <v>23</v>
      </c>
      <c r="J1" s="13" t="s">
        <v>12</v>
      </c>
    </row>
    <row r="2" spans="3:11">
      <c r="C2" s="253" t="s">
        <v>170</v>
      </c>
      <c r="D2" s="254"/>
      <c r="E2">
        <v>8804</v>
      </c>
      <c r="G2" s="1" t="s">
        <v>32</v>
      </c>
    </row>
    <row r="3" spans="3:11">
      <c r="C3" s="253" t="s">
        <v>35</v>
      </c>
      <c r="D3" s="254"/>
      <c r="E3">
        <v>5711</v>
      </c>
    </row>
    <row r="4" spans="3:11">
      <c r="C4" s="253" t="s">
        <v>25</v>
      </c>
      <c r="D4" s="254"/>
    </row>
    <row r="5" spans="3:11">
      <c r="C5" s="253" t="s">
        <v>26</v>
      </c>
      <c r="D5" s="254"/>
    </row>
    <row r="6" spans="3:11">
      <c r="C6" s="253" t="s">
        <v>28</v>
      </c>
      <c r="D6" s="254"/>
    </row>
    <row r="7" spans="3:11">
      <c r="C7" s="253" t="s">
        <v>27</v>
      </c>
      <c r="D7" s="254"/>
    </row>
    <row r="8" spans="3:11">
      <c r="C8" s="253" t="s">
        <v>29</v>
      </c>
      <c r="D8" s="254"/>
      <c r="K8" s="1" t="s">
        <v>41</v>
      </c>
    </row>
    <row r="9" spans="3:11">
      <c r="C9" s="253" t="s">
        <v>20</v>
      </c>
      <c r="D9" s="254"/>
      <c r="K9" s="1" t="s">
        <v>42</v>
      </c>
    </row>
    <row r="10" spans="3:11">
      <c r="C10" s="253" t="s">
        <v>9</v>
      </c>
      <c r="D10" s="254"/>
      <c r="K10" s="1" t="s">
        <v>43</v>
      </c>
    </row>
    <row r="11" spans="3:11">
      <c r="K11" s="1" t="s">
        <v>24</v>
      </c>
    </row>
    <row r="16" spans="3:11">
      <c r="C16" s="14" t="s">
        <v>33</v>
      </c>
      <c r="D16" s="14" t="s">
        <v>34</v>
      </c>
      <c r="E16" s="1"/>
    </row>
    <row r="17" spans="2:8">
      <c r="C17">
        <v>333</v>
      </c>
      <c r="D17">
        <v>222</v>
      </c>
    </row>
    <row r="18" spans="2:8">
      <c r="B18" s="3"/>
      <c r="C18" s="15" t="s">
        <v>36</v>
      </c>
      <c r="D18" s="15" t="s">
        <v>37</v>
      </c>
      <c r="E18" s="15" t="s">
        <v>38</v>
      </c>
      <c r="F18" s="15" t="s">
        <v>39</v>
      </c>
      <c r="G18" s="15" t="s">
        <v>40</v>
      </c>
      <c r="H18" s="15" t="s">
        <v>0</v>
      </c>
    </row>
    <row r="19" spans="2:8">
      <c r="B19" s="16">
        <v>43737</v>
      </c>
      <c r="C19" s="3"/>
      <c r="D19" s="3"/>
      <c r="E19" s="3"/>
      <c r="F19" s="3"/>
      <c r="G19" s="3"/>
      <c r="H19" s="3"/>
    </row>
    <row r="20" spans="2:8">
      <c r="B20" s="16">
        <v>43737</v>
      </c>
      <c r="C20" s="3"/>
      <c r="D20" s="3"/>
      <c r="E20" s="3"/>
      <c r="F20" s="3"/>
      <c r="G20" s="3"/>
      <c r="H20" s="3"/>
    </row>
    <row r="21" spans="2:8">
      <c r="B21" s="17"/>
      <c r="C21" s="3"/>
      <c r="D21" s="3"/>
      <c r="E21" s="3"/>
      <c r="F21" s="3"/>
      <c r="G21" s="3"/>
      <c r="H21" s="3"/>
    </row>
    <row r="22" spans="2:8">
      <c r="B22" s="17"/>
      <c r="C22" s="3"/>
      <c r="D22" s="3"/>
      <c r="E22" s="3"/>
      <c r="F22" s="3"/>
      <c r="G22" s="3"/>
      <c r="H22" s="3"/>
    </row>
    <row r="23" spans="2:8">
      <c r="B23" s="17"/>
      <c r="C23" s="3"/>
      <c r="D23" s="3"/>
      <c r="E23" s="3"/>
      <c r="F23" s="3"/>
      <c r="G23" s="3"/>
      <c r="H23" s="3"/>
    </row>
    <row r="24" spans="2:8">
      <c r="B24" s="17"/>
      <c r="C24" s="3"/>
      <c r="D24" s="3"/>
      <c r="E24" s="3"/>
      <c r="F24" s="3"/>
      <c r="G24" s="3"/>
      <c r="H24" s="3"/>
    </row>
    <row r="25" spans="2:8">
      <c r="B25" s="17"/>
      <c r="C25" s="3"/>
      <c r="D25" s="3"/>
      <c r="E25" s="3"/>
      <c r="F25" s="3"/>
      <c r="G25" s="3"/>
      <c r="H25" s="3"/>
    </row>
    <row r="26" spans="2:8">
      <c r="B26" s="17"/>
      <c r="C26" s="3"/>
      <c r="D26" s="3"/>
      <c r="E26" s="3"/>
      <c r="F26" s="3"/>
      <c r="G26" s="3"/>
      <c r="H26" s="3"/>
    </row>
  </sheetData>
  <mergeCells count="9">
    <mergeCell ref="C8:D8"/>
    <mergeCell ref="C9:D9"/>
    <mergeCell ref="C10:D10"/>
    <mergeCell ref="C2:D2"/>
    <mergeCell ref="C3:D3"/>
    <mergeCell ref="C4:D4"/>
    <mergeCell ref="C5:D5"/>
    <mergeCell ref="C6:D6"/>
    <mergeCell ref="C7:D7"/>
  </mergeCells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C42" sqref="C42"/>
    </sheetView>
  </sheetViews>
  <sheetFormatPr defaultRowHeight="14.25"/>
  <sheetData>
    <row r="1" spans="1:1">
      <c r="A1" s="1" t="s">
        <v>44</v>
      </c>
    </row>
    <row r="2" spans="1:1">
      <c r="A2" s="1" t="s">
        <v>45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X777"/>
  <sheetViews>
    <sheetView showGridLines="0" tabSelected="1" zoomScaleNormal="100" workbookViewId="0">
      <selection activeCell="V8" sqref="V8"/>
    </sheetView>
  </sheetViews>
  <sheetFormatPr defaultRowHeight="14.25"/>
  <cols>
    <col min="1" max="1" width="12" customWidth="1"/>
    <col min="3" max="3" width="7.75" customWidth="1"/>
    <col min="20" max="20" width="2.75" customWidth="1"/>
    <col min="23" max="23" width="10.25" customWidth="1"/>
    <col min="24" max="24" width="15.75" customWidth="1"/>
  </cols>
  <sheetData>
    <row r="1" spans="1:24" ht="22.5" customHeight="1" thickBot="1">
      <c r="A1" s="143"/>
      <c r="B1" s="184" t="s">
        <v>1049</v>
      </c>
      <c r="C1" s="145">
        <v>3105</v>
      </c>
      <c r="D1" s="146" t="s">
        <v>1366</v>
      </c>
      <c r="H1" s="184" t="s">
        <v>1052</v>
      </c>
      <c r="I1" s="145">
        <v>7762</v>
      </c>
      <c r="J1" s="146" t="s">
        <v>1367</v>
      </c>
      <c r="N1" s="185" t="s">
        <v>1050</v>
      </c>
      <c r="O1" s="144">
        <v>12</v>
      </c>
      <c r="P1" s="144"/>
      <c r="Q1" s="185" t="s">
        <v>1051</v>
      </c>
      <c r="R1" s="144">
        <v>6</v>
      </c>
      <c r="T1" s="185" t="s">
        <v>1329</v>
      </c>
      <c r="U1" s="144" t="s">
        <v>1355</v>
      </c>
    </row>
    <row r="2" spans="1:24">
      <c r="B2" s="101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3"/>
      <c r="W2" s="187" t="s">
        <v>1332</v>
      </c>
      <c r="X2" s="186">
        <v>2.26215149637834</v>
      </c>
    </row>
    <row r="3" spans="1:24">
      <c r="B3" s="104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5"/>
      <c r="W3" s="188" t="s">
        <v>315</v>
      </c>
      <c r="X3" s="186">
        <v>6.25</v>
      </c>
    </row>
    <row r="4" spans="1:24">
      <c r="B4" s="104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5"/>
      <c r="W4" s="188" t="s">
        <v>1335</v>
      </c>
      <c r="X4" s="186">
        <v>0.77</v>
      </c>
    </row>
    <row r="5" spans="1:24">
      <c r="B5" s="104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5"/>
      <c r="W5" s="187" t="s">
        <v>1343</v>
      </c>
      <c r="X5" s="186">
        <v>113398</v>
      </c>
    </row>
    <row r="6" spans="1:24" ht="15" customHeight="1">
      <c r="A6" s="113" t="s">
        <v>371</v>
      </c>
      <c r="B6" s="104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5"/>
      <c r="W6" s="189" t="s">
        <v>1338</v>
      </c>
      <c r="X6" s="186">
        <v>0.91678127491568295</v>
      </c>
    </row>
    <row r="7" spans="1:24">
      <c r="A7">
        <v>2.0297184735942682</v>
      </c>
      <c r="B7" s="104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5"/>
      <c r="W7" s="189" t="s">
        <v>1340</v>
      </c>
      <c r="X7" s="186">
        <v>0.90146457323269302</v>
      </c>
    </row>
    <row r="8" spans="1:24">
      <c r="A8" s="113" t="s">
        <v>372</v>
      </c>
      <c r="B8" s="104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5"/>
      <c r="W8" s="187" t="s">
        <v>1341</v>
      </c>
      <c r="X8" s="186">
        <v>0.30109990122526797</v>
      </c>
    </row>
    <row r="9" spans="1:24">
      <c r="A9">
        <v>1.3032252895074323</v>
      </c>
      <c r="B9" s="104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5"/>
      <c r="W9" s="187" t="s">
        <v>1342</v>
      </c>
      <c r="X9" s="186">
        <v>1.38257035247209E-2</v>
      </c>
    </row>
    <row r="10" spans="1:24">
      <c r="B10" s="104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5"/>
    </row>
    <row r="11" spans="1:24">
      <c r="B11" s="104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5"/>
    </row>
    <row r="12" spans="1:24">
      <c r="B12" s="10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5"/>
    </row>
    <row r="13" spans="1:24">
      <c r="B13" s="10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5"/>
    </row>
    <row r="14" spans="1:24">
      <c r="B14" s="104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5"/>
    </row>
    <row r="15" spans="1:24">
      <c r="B15" s="10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5"/>
    </row>
    <row r="16" spans="1:24">
      <c r="B16" s="10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5"/>
    </row>
    <row r="17" spans="2:20">
      <c r="B17" s="104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5"/>
    </row>
    <row r="18" spans="2:20">
      <c r="B18" s="104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5"/>
    </row>
    <row r="19" spans="2:20">
      <c r="B19" s="104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5"/>
    </row>
    <row r="20" spans="2:20">
      <c r="B20" s="104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5"/>
    </row>
    <row r="21" spans="2:20">
      <c r="B21" s="104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5"/>
    </row>
    <row r="22" spans="2:20">
      <c r="B22" s="104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5"/>
    </row>
    <row r="23" spans="2:20">
      <c r="B23" s="104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5"/>
    </row>
    <row r="24" spans="2:20">
      <c r="B24" s="104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5"/>
    </row>
    <row r="25" spans="2:20">
      <c r="B25" s="104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5"/>
    </row>
    <row r="26" spans="2:20">
      <c r="B26" s="104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5"/>
    </row>
    <row r="27" spans="2:20">
      <c r="B27" s="104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5"/>
    </row>
    <row r="28" spans="2:20">
      <c r="B28" s="104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5"/>
    </row>
    <row r="29" spans="2:20">
      <c r="B29" s="104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5"/>
    </row>
    <row r="30" spans="2:20">
      <c r="B30" s="104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5"/>
    </row>
    <row r="31" spans="2:20">
      <c r="B31" s="104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5"/>
    </row>
    <row r="32" spans="2:20">
      <c r="B32" s="104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5"/>
    </row>
    <row r="33" spans="1:20">
      <c r="B33" s="104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5"/>
    </row>
    <row r="34" spans="1:20">
      <c r="B34" s="104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5"/>
    </row>
    <row r="35" spans="1:20">
      <c r="B35" s="104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5"/>
    </row>
    <row r="36" spans="1:20">
      <c r="B36" s="104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5"/>
    </row>
    <row r="37" spans="1:20">
      <c r="B37" s="104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5"/>
    </row>
    <row r="38" spans="1:20" ht="15" thickBot="1">
      <c r="B38" s="106"/>
      <c r="C38" s="107"/>
      <c r="D38" s="107"/>
      <c r="E38" s="107"/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8"/>
    </row>
    <row r="40" spans="1:20">
      <c r="A40" s="110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</row>
    <row r="41" spans="1:20">
      <c r="A41" s="113" t="s">
        <v>1281</v>
      </c>
      <c r="B41" s="113" t="s">
        <v>1362</v>
      </c>
      <c r="C41" s="113" t="s">
        <v>1363</v>
      </c>
      <c r="D41" s="113" t="s">
        <v>1364</v>
      </c>
      <c r="E41" s="113" t="s">
        <v>1365</v>
      </c>
      <c r="F41" s="113" t="s">
        <v>1282</v>
      </c>
      <c r="G41" s="113" t="s">
        <v>1283</v>
      </c>
      <c r="H41" s="113" t="s">
        <v>1284</v>
      </c>
      <c r="I41" s="113" t="s">
        <v>1285</v>
      </c>
      <c r="J41" s="113" t="s">
        <v>1286</v>
      </c>
      <c r="L41" s="113" t="s">
        <v>301</v>
      </c>
      <c r="M41" s="113" t="s">
        <v>302</v>
      </c>
      <c r="N41" s="113" t="s">
        <v>303</v>
      </c>
      <c r="O41" s="113" t="s">
        <v>304</v>
      </c>
    </row>
    <row r="42" spans="1:20">
      <c r="A42" s="19">
        <v>43809</v>
      </c>
      <c r="B42">
        <v>1050</v>
      </c>
      <c r="C42">
        <v>1045</v>
      </c>
      <c r="D42">
        <v>606</v>
      </c>
      <c r="E42">
        <v>610</v>
      </c>
      <c r="F42">
        <v>1.71311475409836</v>
      </c>
      <c r="G42">
        <v>1.6060013553252701</v>
      </c>
      <c r="H42">
        <v>4.7350232265420802E-2</v>
      </c>
      <c r="I42">
        <v>2.26215149637834</v>
      </c>
      <c r="J42">
        <v>6.25</v>
      </c>
      <c r="L42">
        <v>1.653351587590691</v>
      </c>
      <c r="M42">
        <v>1.5586511230598492</v>
      </c>
      <c r="N42">
        <v>1.7007018198561117</v>
      </c>
      <c r="O42">
        <v>1.5113008907944285</v>
      </c>
    </row>
    <row r="43" spans="1:20">
      <c r="A43" s="19">
        <v>43808</v>
      </c>
      <c r="B43">
        <v>1063</v>
      </c>
      <c r="C43">
        <v>1058</v>
      </c>
      <c r="D43">
        <v>615</v>
      </c>
      <c r="E43">
        <v>613</v>
      </c>
      <c r="F43">
        <v>1.72593800978792</v>
      </c>
      <c r="G43">
        <v>1.6045363434892499</v>
      </c>
      <c r="H43">
        <v>4.5683945953559298E-2</v>
      </c>
      <c r="I43">
        <v>2.65742513621929</v>
      </c>
      <c r="J43">
        <v>7.03</v>
      </c>
      <c r="L43">
        <v>1.6502202894428093</v>
      </c>
      <c r="M43">
        <v>1.5588523975356905</v>
      </c>
      <c r="N43">
        <v>1.6959042353963685</v>
      </c>
      <c r="O43">
        <v>1.5131684515821313</v>
      </c>
    </row>
    <row r="44" spans="1:20">
      <c r="A44" s="19">
        <v>43805</v>
      </c>
      <c r="B44">
        <v>1039</v>
      </c>
      <c r="C44">
        <v>1040</v>
      </c>
      <c r="D44">
        <v>607</v>
      </c>
      <c r="E44">
        <v>606</v>
      </c>
      <c r="F44">
        <v>1.7161716171617101</v>
      </c>
      <c r="G44">
        <v>1.60306439565595</v>
      </c>
      <c r="H44">
        <v>4.3473667086246802E-2</v>
      </c>
      <c r="I44">
        <v>2.60174098682241</v>
      </c>
      <c r="J44">
        <v>6.59</v>
      </c>
      <c r="L44">
        <v>1.6465380627421968</v>
      </c>
      <c r="M44">
        <v>1.5595907285697033</v>
      </c>
      <c r="N44">
        <v>1.6900117298284436</v>
      </c>
      <c r="O44">
        <v>1.5161170614834565</v>
      </c>
    </row>
    <row r="45" spans="1:20">
      <c r="A45" s="19">
        <v>43804</v>
      </c>
      <c r="B45">
        <v>1027</v>
      </c>
      <c r="C45">
        <v>1033</v>
      </c>
      <c r="D45">
        <v>602</v>
      </c>
      <c r="E45">
        <v>600</v>
      </c>
      <c r="F45">
        <v>1.72166666666666</v>
      </c>
      <c r="G45">
        <v>1.6019218429873201</v>
      </c>
      <c r="H45">
        <v>4.1570414754057802E-2</v>
      </c>
      <c r="I45">
        <v>2.88052992465395</v>
      </c>
      <c r="J45">
        <v>6.96</v>
      </c>
      <c r="L45">
        <v>1.643492257741378</v>
      </c>
      <c r="M45">
        <v>1.5603514282332622</v>
      </c>
      <c r="N45">
        <v>1.6850626724954356</v>
      </c>
      <c r="O45">
        <v>1.5187810134792046</v>
      </c>
    </row>
    <row r="46" spans="1:20">
      <c r="A46" s="19">
        <v>43803</v>
      </c>
      <c r="B46">
        <v>1000</v>
      </c>
      <c r="C46">
        <v>1016</v>
      </c>
      <c r="D46">
        <v>592</v>
      </c>
      <c r="E46">
        <v>592</v>
      </c>
      <c r="F46">
        <v>1.71621621621621</v>
      </c>
      <c r="G46">
        <v>1.60054305091724</v>
      </c>
      <c r="H46">
        <v>3.9224634562302602E-2</v>
      </c>
      <c r="I46">
        <v>2.9489928099964202</v>
      </c>
      <c r="J46">
        <v>6.74</v>
      </c>
      <c r="L46">
        <v>1.6397676854795427</v>
      </c>
      <c r="M46">
        <v>1.5613184163549374</v>
      </c>
      <c r="N46">
        <v>1.6789923200418453</v>
      </c>
      <c r="O46">
        <v>1.5220937817926348</v>
      </c>
    </row>
    <row r="47" spans="1:20">
      <c r="A47" s="19">
        <v>43802</v>
      </c>
      <c r="B47">
        <v>997</v>
      </c>
      <c r="C47">
        <v>1012</v>
      </c>
      <c r="D47">
        <v>596</v>
      </c>
      <c r="E47">
        <v>596</v>
      </c>
      <c r="F47">
        <v>1.6979865771811999</v>
      </c>
      <c r="G47">
        <v>1.59944612577124</v>
      </c>
      <c r="H47">
        <v>3.7065380916655198E-2</v>
      </c>
      <c r="I47">
        <v>2.6585576344552102</v>
      </c>
      <c r="J47">
        <v>5.8</v>
      </c>
      <c r="L47">
        <v>1.6365115066878952</v>
      </c>
      <c r="M47">
        <v>1.5623807448545848</v>
      </c>
      <c r="N47">
        <v>1.6735768876045505</v>
      </c>
      <c r="O47">
        <v>1.5253153639379295</v>
      </c>
    </row>
    <row r="48" spans="1:20">
      <c r="A48" s="19">
        <v>43801</v>
      </c>
      <c r="B48">
        <v>1003</v>
      </c>
      <c r="C48">
        <v>1019</v>
      </c>
      <c r="D48">
        <v>610</v>
      </c>
      <c r="E48">
        <v>610</v>
      </c>
      <c r="F48">
        <v>1.67049180327868</v>
      </c>
      <c r="G48">
        <v>1.59869309719499</v>
      </c>
      <c r="H48">
        <v>3.5600516310188499E-2</v>
      </c>
      <c r="I48">
        <v>2.0167883369474899</v>
      </c>
      <c r="J48">
        <v>4.3</v>
      </c>
      <c r="L48">
        <v>1.6342936135051784</v>
      </c>
      <c r="M48">
        <v>1.5630925808848015</v>
      </c>
      <c r="N48">
        <v>1.6698941298153669</v>
      </c>
      <c r="O48">
        <v>1.5274920645746131</v>
      </c>
    </row>
    <row r="49" spans="1:15">
      <c r="A49" s="19">
        <v>43798</v>
      </c>
      <c r="B49">
        <v>999</v>
      </c>
      <c r="C49">
        <v>1003</v>
      </c>
      <c r="D49">
        <v>611</v>
      </c>
      <c r="E49">
        <v>606</v>
      </c>
      <c r="F49">
        <v>1.65511551155115</v>
      </c>
      <c r="G49">
        <v>1.5986054401615799</v>
      </c>
      <c r="H49">
        <v>3.5431314346266701E-2</v>
      </c>
      <c r="I49">
        <v>1.5949188572939501</v>
      </c>
      <c r="J49">
        <v>3.41</v>
      </c>
      <c r="L49">
        <v>1.6340367545078467</v>
      </c>
      <c r="M49">
        <v>1.5631741258153131</v>
      </c>
      <c r="N49">
        <v>1.6694680688541133</v>
      </c>
      <c r="O49">
        <v>1.5277428114690466</v>
      </c>
    </row>
    <row r="50" spans="1:15">
      <c r="A50" s="19">
        <v>43797</v>
      </c>
      <c r="B50">
        <v>993</v>
      </c>
      <c r="C50">
        <v>993</v>
      </c>
      <c r="D50">
        <v>617</v>
      </c>
      <c r="E50">
        <v>617</v>
      </c>
      <c r="F50">
        <v>1.6094003241490999</v>
      </c>
      <c r="G50">
        <v>1.59642251058755</v>
      </c>
      <c r="H50">
        <v>3.6895615688491097E-2</v>
      </c>
      <c r="I50">
        <v>0.35174405737319903</v>
      </c>
      <c r="J50">
        <v>0.81</v>
      </c>
      <c r="L50">
        <v>1.6333181262760412</v>
      </c>
      <c r="M50">
        <v>1.5595268948990588</v>
      </c>
      <c r="N50">
        <v>1.6702137419645322</v>
      </c>
      <c r="O50">
        <v>1.5226312792105678</v>
      </c>
    </row>
    <row r="51" spans="1:15">
      <c r="A51" s="19">
        <v>43796</v>
      </c>
      <c r="B51">
        <v>990</v>
      </c>
      <c r="C51">
        <v>989</v>
      </c>
      <c r="D51">
        <v>609</v>
      </c>
      <c r="E51">
        <v>619</v>
      </c>
      <c r="F51">
        <v>1.5977382875605799</v>
      </c>
      <c r="G51">
        <v>1.5950157202733499</v>
      </c>
      <c r="H51">
        <v>3.8356520923039199E-2</v>
      </c>
      <c r="I51">
        <v>7.0980558760634693E-2</v>
      </c>
      <c r="J51">
        <v>0.17</v>
      </c>
      <c r="L51">
        <v>1.6333722411963891</v>
      </c>
      <c r="M51">
        <v>1.5566591993503107</v>
      </c>
      <c r="N51">
        <v>1.6717287621194283</v>
      </c>
      <c r="O51">
        <v>1.5183026784272715</v>
      </c>
    </row>
    <row r="52" spans="1:15">
      <c r="A52" s="19">
        <v>43795</v>
      </c>
      <c r="B52">
        <v>988</v>
      </c>
      <c r="C52">
        <v>979</v>
      </c>
      <c r="D52">
        <v>611</v>
      </c>
      <c r="E52">
        <v>610</v>
      </c>
      <c r="F52">
        <v>1.6049180327868799</v>
      </c>
      <c r="G52">
        <v>1.59416212563638</v>
      </c>
      <c r="H52">
        <v>3.8993498447361399E-2</v>
      </c>
      <c r="I52">
        <v>0.27583847509916598</v>
      </c>
      <c r="J52">
        <v>0.67</v>
      </c>
      <c r="L52">
        <v>1.6331556240837415</v>
      </c>
      <c r="M52">
        <v>1.5551686271890186</v>
      </c>
      <c r="N52">
        <v>1.6721491225311029</v>
      </c>
      <c r="O52">
        <v>1.5161751287416572</v>
      </c>
    </row>
    <row r="53" spans="1:15">
      <c r="A53" s="19">
        <v>43794</v>
      </c>
      <c r="B53">
        <v>977</v>
      </c>
      <c r="C53">
        <v>980</v>
      </c>
      <c r="D53">
        <v>602</v>
      </c>
      <c r="E53">
        <v>603</v>
      </c>
      <c r="F53">
        <v>1.6252072968490801</v>
      </c>
      <c r="G53">
        <v>1.5932641819236899</v>
      </c>
      <c r="H53">
        <v>3.9507504833763502E-2</v>
      </c>
      <c r="I53">
        <v>0.80853283597130199</v>
      </c>
      <c r="J53">
        <v>1.97</v>
      </c>
      <c r="L53">
        <v>1.6327716867574533</v>
      </c>
      <c r="M53">
        <v>1.5537566770899265</v>
      </c>
      <c r="N53">
        <v>1.672279191591217</v>
      </c>
      <c r="O53">
        <v>1.5142491722561628</v>
      </c>
    </row>
    <row r="54" spans="1:15">
      <c r="A54" s="19">
        <v>43791</v>
      </c>
      <c r="B54">
        <v>957</v>
      </c>
      <c r="C54">
        <v>962</v>
      </c>
      <c r="D54">
        <v>592</v>
      </c>
      <c r="E54">
        <v>593</v>
      </c>
      <c r="F54">
        <v>1.62225969645868</v>
      </c>
      <c r="G54">
        <v>1.5915573681214701</v>
      </c>
      <c r="H54">
        <v>4.0833550269512402E-2</v>
      </c>
      <c r="I54">
        <v>0.75188976061523904</v>
      </c>
      <c r="J54">
        <v>1.89</v>
      </c>
      <c r="L54">
        <v>1.6323909183909824</v>
      </c>
      <c r="M54">
        <v>1.5507238178519578</v>
      </c>
      <c r="N54">
        <v>1.6732244686604949</v>
      </c>
      <c r="O54">
        <v>1.5098902675824453</v>
      </c>
    </row>
    <row r="55" spans="1:15">
      <c r="A55" s="19">
        <v>43790</v>
      </c>
      <c r="B55">
        <v>956</v>
      </c>
      <c r="C55">
        <v>958</v>
      </c>
      <c r="D55">
        <v>585</v>
      </c>
      <c r="E55">
        <v>590</v>
      </c>
      <c r="F55">
        <v>1.62372881355932</v>
      </c>
      <c r="G55">
        <v>1.5909772998854099</v>
      </c>
      <c r="H55">
        <v>4.0702080959793802E-2</v>
      </c>
      <c r="I55">
        <v>0.80466435380192203</v>
      </c>
      <c r="J55">
        <v>2.02</v>
      </c>
      <c r="L55">
        <v>1.6316793808452037</v>
      </c>
      <c r="M55">
        <v>1.5502752189256161</v>
      </c>
      <c r="N55">
        <v>1.6723814618049975</v>
      </c>
      <c r="O55">
        <v>1.5095731379658224</v>
      </c>
    </row>
    <row r="56" spans="1:15">
      <c r="A56" s="19">
        <v>43789</v>
      </c>
      <c r="B56">
        <v>978</v>
      </c>
      <c r="C56">
        <v>968</v>
      </c>
      <c r="D56">
        <v>592</v>
      </c>
      <c r="E56">
        <v>588</v>
      </c>
      <c r="F56">
        <v>1.6462585034013599</v>
      </c>
      <c r="G56">
        <v>1.5902205487321399</v>
      </c>
      <c r="H56">
        <v>4.0613638765315901E-2</v>
      </c>
      <c r="I56">
        <v>1.3797816785889401</v>
      </c>
      <c r="J56">
        <v>3.4</v>
      </c>
      <c r="L56">
        <v>1.6308341874974559</v>
      </c>
      <c r="M56">
        <v>1.5496069099668239</v>
      </c>
      <c r="N56">
        <v>1.6714478262627717</v>
      </c>
      <c r="O56">
        <v>1.5089932712015082</v>
      </c>
    </row>
    <row r="57" spans="1:15">
      <c r="A57" s="19">
        <v>43788</v>
      </c>
      <c r="B57">
        <v>990</v>
      </c>
      <c r="C57">
        <v>992</v>
      </c>
      <c r="D57">
        <v>599</v>
      </c>
      <c r="E57">
        <v>593</v>
      </c>
      <c r="F57">
        <v>1.6728499156829599</v>
      </c>
      <c r="G57">
        <v>1.58912328820631</v>
      </c>
      <c r="H57">
        <v>4.0194349745958299E-2</v>
      </c>
      <c r="I57">
        <v>2.0830447066772302</v>
      </c>
      <c r="J57">
        <v>5.01</v>
      </c>
      <c r="L57">
        <v>1.6293176379522682</v>
      </c>
      <c r="M57">
        <v>1.5489289384603517</v>
      </c>
      <c r="N57">
        <v>1.6695119876982265</v>
      </c>
      <c r="O57">
        <v>1.5087345887143935</v>
      </c>
    </row>
    <row r="58" spans="1:15">
      <c r="A58" s="19">
        <v>43787</v>
      </c>
      <c r="B58">
        <v>996</v>
      </c>
      <c r="C58">
        <v>999</v>
      </c>
      <c r="D58">
        <v>610</v>
      </c>
      <c r="E58">
        <v>598</v>
      </c>
      <c r="F58">
        <v>1.6705685618729</v>
      </c>
      <c r="G58">
        <v>1.5875647117132099</v>
      </c>
      <c r="H58">
        <v>3.9170842923220997E-2</v>
      </c>
      <c r="I58">
        <v>2.11902129148437</v>
      </c>
      <c r="J58">
        <v>4.97</v>
      </c>
      <c r="L58">
        <v>1.6267355546364308</v>
      </c>
      <c r="M58">
        <v>1.548393868789989</v>
      </c>
      <c r="N58">
        <v>1.665906397559652</v>
      </c>
      <c r="O58">
        <v>1.5092230258667678</v>
      </c>
    </row>
    <row r="59" spans="1:15">
      <c r="A59" s="19">
        <v>43784</v>
      </c>
      <c r="B59">
        <v>972</v>
      </c>
      <c r="C59">
        <v>992</v>
      </c>
      <c r="D59">
        <v>597</v>
      </c>
      <c r="E59">
        <v>608</v>
      </c>
      <c r="F59">
        <v>1.6315789473684199</v>
      </c>
      <c r="G59">
        <v>1.58533774554545</v>
      </c>
      <c r="H59">
        <v>3.9136369252023497E-2</v>
      </c>
      <c r="I59">
        <v>1.18154041130367</v>
      </c>
      <c r="J59">
        <v>2.83</v>
      </c>
      <c r="L59">
        <v>1.6244741147974735</v>
      </c>
      <c r="M59">
        <v>1.5462013762934266</v>
      </c>
      <c r="N59">
        <v>1.663610484049497</v>
      </c>
      <c r="O59">
        <v>1.5070650070414031</v>
      </c>
    </row>
    <row r="60" spans="1:15">
      <c r="A60" s="19">
        <v>43783</v>
      </c>
      <c r="B60">
        <v>970</v>
      </c>
      <c r="C60">
        <v>968</v>
      </c>
      <c r="D60">
        <v>603</v>
      </c>
      <c r="E60">
        <v>596</v>
      </c>
      <c r="F60">
        <v>1.6241610738254999</v>
      </c>
      <c r="G60">
        <v>1.5836545339577599</v>
      </c>
      <c r="H60">
        <v>3.9820156167163299E-2</v>
      </c>
      <c r="I60">
        <v>1.01723709213228</v>
      </c>
      <c r="J60">
        <v>2.4900000000000002</v>
      </c>
      <c r="L60">
        <v>1.6234746901249233</v>
      </c>
      <c r="M60">
        <v>1.5438343777905965</v>
      </c>
      <c r="N60">
        <v>1.6632948462920865</v>
      </c>
      <c r="O60">
        <v>1.5040142216234333</v>
      </c>
    </row>
    <row r="61" spans="1:15">
      <c r="A61" s="19">
        <v>43782</v>
      </c>
      <c r="B61">
        <v>993</v>
      </c>
      <c r="C61">
        <v>973</v>
      </c>
      <c r="D61">
        <v>607</v>
      </c>
      <c r="E61">
        <v>599</v>
      </c>
      <c r="F61">
        <v>1.62437395659432</v>
      </c>
      <c r="G61">
        <v>1.5820347035973099</v>
      </c>
      <c r="H61">
        <v>4.06027378434001E-2</v>
      </c>
      <c r="I61">
        <v>1.0427684251320899</v>
      </c>
      <c r="J61">
        <v>2.61</v>
      </c>
      <c r="L61">
        <v>1.6226374414407101</v>
      </c>
      <c r="M61">
        <v>1.5414319657539097</v>
      </c>
      <c r="N61">
        <v>1.6632401792841101</v>
      </c>
      <c r="O61">
        <v>1.5008292279105098</v>
      </c>
    </row>
    <row r="62" spans="1:15">
      <c r="A62" s="19">
        <v>43781</v>
      </c>
      <c r="B62">
        <v>952</v>
      </c>
      <c r="C62">
        <v>964</v>
      </c>
      <c r="D62">
        <v>600</v>
      </c>
      <c r="E62">
        <v>612</v>
      </c>
      <c r="F62">
        <v>1.57516339869281</v>
      </c>
      <c r="G62">
        <v>1.58065166843697</v>
      </c>
      <c r="H62">
        <v>4.0902507895178103E-2</v>
      </c>
      <c r="I62">
        <v>-0.134179296737231</v>
      </c>
      <c r="J62">
        <v>-0.35</v>
      </c>
      <c r="L62">
        <v>1.6215541763321482</v>
      </c>
      <c r="M62">
        <v>1.5397491605417919</v>
      </c>
      <c r="N62">
        <v>1.6624566842273263</v>
      </c>
      <c r="O62">
        <v>1.4988466526466138</v>
      </c>
    </row>
    <row r="63" spans="1:15">
      <c r="A63" s="19">
        <v>43780</v>
      </c>
      <c r="B63">
        <v>971</v>
      </c>
      <c r="C63">
        <v>951</v>
      </c>
      <c r="D63">
        <v>607</v>
      </c>
      <c r="E63">
        <v>605</v>
      </c>
      <c r="F63">
        <v>1.5719008264462799</v>
      </c>
      <c r="G63">
        <v>1.5797711442889499</v>
      </c>
      <c r="H63">
        <v>4.1713956244458998E-2</v>
      </c>
      <c r="I63">
        <v>-0.188673493268044</v>
      </c>
      <c r="J63">
        <v>-0.5</v>
      </c>
      <c r="L63">
        <v>1.621485100533409</v>
      </c>
      <c r="M63">
        <v>1.5380571880444909</v>
      </c>
      <c r="N63">
        <v>1.6631990567778678</v>
      </c>
      <c r="O63">
        <v>1.496343231800032</v>
      </c>
    </row>
    <row r="64" spans="1:15">
      <c r="A64" s="19">
        <v>43777</v>
      </c>
      <c r="B64">
        <v>955</v>
      </c>
      <c r="C64">
        <v>965</v>
      </c>
      <c r="D64">
        <v>617</v>
      </c>
      <c r="E64">
        <v>626</v>
      </c>
      <c r="F64">
        <v>1.5415335463258699</v>
      </c>
      <c r="G64">
        <v>1.57876398175451</v>
      </c>
      <c r="H64">
        <v>4.2789851314676199E-2</v>
      </c>
      <c r="I64">
        <v>-0.87007629811207698</v>
      </c>
      <c r="J64">
        <v>-2.42</v>
      </c>
      <c r="L64">
        <v>1.6215538330691863</v>
      </c>
      <c r="M64">
        <v>1.5359741304398338</v>
      </c>
      <c r="N64">
        <v>1.6643436843838624</v>
      </c>
      <c r="O64">
        <v>1.4931842791251577</v>
      </c>
    </row>
    <row r="65" spans="1:15">
      <c r="A65" s="19">
        <v>43776</v>
      </c>
      <c r="B65">
        <v>930</v>
      </c>
      <c r="C65">
        <v>933</v>
      </c>
      <c r="D65">
        <v>604</v>
      </c>
      <c r="E65">
        <v>607</v>
      </c>
      <c r="F65">
        <v>1.53706754530477</v>
      </c>
      <c r="G65">
        <v>1.57827274022376</v>
      </c>
      <c r="H65">
        <v>4.3421275863179697E-2</v>
      </c>
      <c r="I65">
        <v>-0.94896324670028598</v>
      </c>
      <c r="J65">
        <v>-2.68</v>
      </c>
      <c r="L65">
        <v>1.6216940160869397</v>
      </c>
      <c r="M65">
        <v>1.5348514643605802</v>
      </c>
      <c r="N65">
        <v>1.6651152919501193</v>
      </c>
      <c r="O65">
        <v>1.4914301884974006</v>
      </c>
    </row>
    <row r="66" spans="1:15">
      <c r="A66" s="19">
        <v>43775</v>
      </c>
      <c r="B66">
        <v>960</v>
      </c>
      <c r="C66">
        <v>935</v>
      </c>
      <c r="D66">
        <v>600</v>
      </c>
      <c r="E66">
        <v>605</v>
      </c>
      <c r="F66">
        <v>1.5454545454545401</v>
      </c>
      <c r="G66">
        <v>1.5779346624425199</v>
      </c>
      <c r="H66">
        <v>4.3837498408445398E-2</v>
      </c>
      <c r="I66">
        <v>-0.740920859246053</v>
      </c>
      <c r="J66">
        <v>-2.1</v>
      </c>
      <c r="L66">
        <v>1.6217721608509652</v>
      </c>
      <c r="M66">
        <v>1.5340971640340746</v>
      </c>
      <c r="N66">
        <v>1.6656096592594107</v>
      </c>
      <c r="O66">
        <v>1.4902596656256291</v>
      </c>
    </row>
    <row r="67" spans="1:15">
      <c r="A67" s="19">
        <v>43774</v>
      </c>
      <c r="B67">
        <v>921</v>
      </c>
      <c r="C67">
        <v>958</v>
      </c>
      <c r="D67">
        <v>583</v>
      </c>
      <c r="E67">
        <v>593</v>
      </c>
      <c r="F67">
        <v>1.6155143338954401</v>
      </c>
      <c r="G67">
        <v>1.5772326785750701</v>
      </c>
      <c r="H67">
        <v>4.47637478647561E-2</v>
      </c>
      <c r="I67">
        <v>0.85519325674047297</v>
      </c>
      <c r="J67">
        <v>2.37</v>
      </c>
      <c r="L67">
        <v>1.6219964264398261</v>
      </c>
      <c r="M67">
        <v>1.5324689307103141</v>
      </c>
      <c r="N67">
        <v>1.6667601743045823</v>
      </c>
      <c r="O67">
        <v>1.4877051828455579</v>
      </c>
    </row>
    <row r="68" spans="1:15">
      <c r="A68" s="19">
        <v>43770</v>
      </c>
      <c r="B68">
        <v>888</v>
      </c>
      <c r="C68">
        <v>903</v>
      </c>
      <c r="D68">
        <v>575</v>
      </c>
      <c r="E68">
        <v>575</v>
      </c>
      <c r="F68">
        <v>1.57043478260869</v>
      </c>
      <c r="G68">
        <v>1.57552522341823</v>
      </c>
      <c r="H68">
        <v>4.57034411576921E-2</v>
      </c>
      <c r="I68">
        <v>-0.11137981474917</v>
      </c>
      <c r="J68">
        <v>-0.32</v>
      </c>
      <c r="L68">
        <v>1.6212286645759222</v>
      </c>
      <c r="M68">
        <v>1.5298217822605378</v>
      </c>
      <c r="N68">
        <v>1.6669321057336142</v>
      </c>
      <c r="O68">
        <v>1.4841183411028458</v>
      </c>
    </row>
    <row r="69" spans="1:15">
      <c r="A69" s="19">
        <v>43769</v>
      </c>
      <c r="B69">
        <v>914</v>
      </c>
      <c r="C69">
        <v>910</v>
      </c>
      <c r="D69">
        <v>581</v>
      </c>
      <c r="E69">
        <v>579</v>
      </c>
      <c r="F69">
        <v>1.5716753022452501</v>
      </c>
      <c r="G69">
        <v>1.5742787643782501</v>
      </c>
      <c r="H69">
        <v>4.7079352542511999E-2</v>
      </c>
      <c r="I69">
        <v>-5.5299446411332699E-2</v>
      </c>
      <c r="J69">
        <v>-0.17</v>
      </c>
      <c r="L69">
        <v>1.621358116920762</v>
      </c>
      <c r="M69">
        <v>1.5271994118357382</v>
      </c>
      <c r="N69">
        <v>1.668437469463274</v>
      </c>
      <c r="O69">
        <v>1.4801200592932262</v>
      </c>
    </row>
    <row r="70" spans="1:15">
      <c r="A70" s="19">
        <v>43768</v>
      </c>
      <c r="B70">
        <v>919</v>
      </c>
      <c r="C70">
        <v>911</v>
      </c>
      <c r="D70">
        <v>575</v>
      </c>
      <c r="E70">
        <v>575</v>
      </c>
      <c r="F70">
        <v>1.5843478260869499</v>
      </c>
      <c r="G70">
        <v>1.57257973084979</v>
      </c>
      <c r="H70">
        <v>4.9385514876451299E-2</v>
      </c>
      <c r="I70">
        <v>0.238290423145395</v>
      </c>
      <c r="J70">
        <v>0.74</v>
      </c>
      <c r="L70">
        <v>1.6219652457262412</v>
      </c>
      <c r="M70">
        <v>1.5231942159733387</v>
      </c>
      <c r="N70">
        <v>1.6713507606026925</v>
      </c>
      <c r="O70">
        <v>1.4738087010968874</v>
      </c>
    </row>
    <row r="71" spans="1:15">
      <c r="A71" s="19">
        <v>43767</v>
      </c>
      <c r="B71">
        <v>906</v>
      </c>
      <c r="C71">
        <v>919</v>
      </c>
      <c r="D71">
        <v>568</v>
      </c>
      <c r="E71">
        <v>579</v>
      </c>
      <c r="F71">
        <v>1.58721934369602</v>
      </c>
      <c r="G71">
        <v>1.5708727996451599</v>
      </c>
      <c r="H71">
        <v>5.1130830893077003E-2</v>
      </c>
      <c r="I71">
        <v>0.31970034058406899</v>
      </c>
      <c r="J71">
        <v>1.03</v>
      </c>
      <c r="L71">
        <v>1.6220036305382368</v>
      </c>
      <c r="M71">
        <v>1.519741968752083</v>
      </c>
      <c r="N71">
        <v>1.6731344614313139</v>
      </c>
      <c r="O71">
        <v>1.4686111378590059</v>
      </c>
    </row>
    <row r="72" spans="1:15">
      <c r="A72" s="19">
        <v>43766</v>
      </c>
      <c r="B72">
        <v>902</v>
      </c>
      <c r="C72">
        <v>900</v>
      </c>
      <c r="D72">
        <v>561</v>
      </c>
      <c r="E72">
        <v>563</v>
      </c>
      <c r="F72">
        <v>1.59857904085257</v>
      </c>
      <c r="G72">
        <v>1.5692939511172099</v>
      </c>
      <c r="H72">
        <v>5.2413823288177501E-2</v>
      </c>
      <c r="I72">
        <v>0.55872836397275805</v>
      </c>
      <c r="J72">
        <v>1.83</v>
      </c>
      <c r="L72">
        <v>1.6217077744053874</v>
      </c>
      <c r="M72">
        <v>1.5168801278290325</v>
      </c>
      <c r="N72">
        <v>1.6741215976935648</v>
      </c>
      <c r="O72">
        <v>1.464466304540855</v>
      </c>
    </row>
    <row r="73" spans="1:15">
      <c r="A73" s="19">
        <v>43763</v>
      </c>
      <c r="B73">
        <v>894</v>
      </c>
      <c r="C73">
        <v>889</v>
      </c>
      <c r="D73">
        <v>560</v>
      </c>
      <c r="E73">
        <v>561</v>
      </c>
      <c r="F73">
        <v>1.58467023172905</v>
      </c>
      <c r="G73">
        <v>1.5672518643753299</v>
      </c>
      <c r="H73">
        <v>5.4186642598147698E-2</v>
      </c>
      <c r="I73">
        <v>0.32145131195709198</v>
      </c>
      <c r="J73">
        <v>1.1000000000000001</v>
      </c>
      <c r="L73">
        <v>1.6214385069734776</v>
      </c>
      <c r="M73">
        <v>1.5130652217771823</v>
      </c>
      <c r="N73">
        <v>1.6756251495716252</v>
      </c>
      <c r="O73">
        <v>1.4588785791790346</v>
      </c>
    </row>
    <row r="74" spans="1:15">
      <c r="A74" s="19">
        <v>43762</v>
      </c>
      <c r="B74">
        <v>890</v>
      </c>
      <c r="C74">
        <v>897</v>
      </c>
      <c r="D74">
        <v>560</v>
      </c>
      <c r="E74">
        <v>564</v>
      </c>
      <c r="F74">
        <v>1.5904255319148899</v>
      </c>
      <c r="G74">
        <v>1.5652472712097101</v>
      </c>
      <c r="H74">
        <v>5.6246954530570797E-2</v>
      </c>
      <c r="I74">
        <v>0.447637759507305</v>
      </c>
      <c r="J74">
        <v>1.58</v>
      </c>
      <c r="L74">
        <v>1.6214942257402809</v>
      </c>
      <c r="M74">
        <v>1.5090003166791393</v>
      </c>
      <c r="N74">
        <v>1.6777411802708517</v>
      </c>
      <c r="O74">
        <v>1.4527533621485684</v>
      </c>
    </row>
    <row r="75" spans="1:15">
      <c r="A75" s="19">
        <v>43761</v>
      </c>
      <c r="B75">
        <v>886</v>
      </c>
      <c r="C75">
        <v>887</v>
      </c>
      <c r="D75">
        <v>558</v>
      </c>
      <c r="E75">
        <v>560</v>
      </c>
      <c r="F75">
        <v>1.58392857142857</v>
      </c>
      <c r="G75">
        <v>1.56328776941787</v>
      </c>
      <c r="H75">
        <v>5.78721012075381E-2</v>
      </c>
      <c r="I75">
        <v>0.356662391377076</v>
      </c>
      <c r="J75">
        <v>1.3</v>
      </c>
      <c r="L75">
        <v>1.621159870625408</v>
      </c>
      <c r="M75">
        <v>1.5054156682103319</v>
      </c>
      <c r="N75">
        <v>1.6790319718329461</v>
      </c>
      <c r="O75">
        <v>1.4475435670027939</v>
      </c>
    </row>
    <row r="76" spans="1:15">
      <c r="A76" s="19">
        <v>43759</v>
      </c>
      <c r="B76">
        <v>873</v>
      </c>
      <c r="C76">
        <v>876</v>
      </c>
      <c r="D76">
        <v>548</v>
      </c>
      <c r="E76">
        <v>553</v>
      </c>
      <c r="F76">
        <v>1.5840867992766701</v>
      </c>
      <c r="G76">
        <v>1.56172427735438</v>
      </c>
      <c r="H76">
        <v>5.8868753918632E-2</v>
      </c>
      <c r="I76">
        <v>0.37987082167901098</v>
      </c>
      <c r="J76">
        <v>1.41</v>
      </c>
      <c r="L76">
        <v>1.6205930312730121</v>
      </c>
      <c r="M76">
        <v>1.5028555234357479</v>
      </c>
      <c r="N76">
        <v>1.679461785191644</v>
      </c>
      <c r="O76">
        <v>1.443986769517116</v>
      </c>
    </row>
    <row r="77" spans="1:15">
      <c r="A77" s="19">
        <v>43756</v>
      </c>
      <c r="B77">
        <v>881</v>
      </c>
      <c r="C77">
        <v>877</v>
      </c>
      <c r="D77">
        <v>553</v>
      </c>
      <c r="E77">
        <v>552</v>
      </c>
      <c r="F77">
        <v>1.5887681159420199</v>
      </c>
      <c r="G77">
        <v>1.56052052416048</v>
      </c>
      <c r="H77">
        <v>5.93204845158199E-2</v>
      </c>
      <c r="I77">
        <v>0.47618612713806902</v>
      </c>
      <c r="J77">
        <v>1.78</v>
      </c>
      <c r="L77">
        <v>1.6198410086763</v>
      </c>
      <c r="M77">
        <v>1.5012000396446601</v>
      </c>
      <c r="N77">
        <v>1.6791614931921199</v>
      </c>
      <c r="O77">
        <v>1.4418795551288401</v>
      </c>
    </row>
    <row r="78" spans="1:15">
      <c r="A78" s="19">
        <v>43755</v>
      </c>
      <c r="B78">
        <v>887</v>
      </c>
      <c r="C78">
        <v>873</v>
      </c>
      <c r="D78">
        <v>553</v>
      </c>
      <c r="E78">
        <v>550</v>
      </c>
      <c r="F78">
        <v>1.5872727272727201</v>
      </c>
      <c r="G78">
        <v>1.55918022836504</v>
      </c>
      <c r="H78">
        <v>5.9800775035328199E-2</v>
      </c>
      <c r="I78">
        <v>0.46976814081566598</v>
      </c>
      <c r="J78">
        <v>1.77</v>
      </c>
      <c r="L78">
        <v>1.6189810034003682</v>
      </c>
      <c r="M78">
        <v>1.4993794533297118</v>
      </c>
      <c r="N78">
        <v>1.6787817784356964</v>
      </c>
      <c r="O78">
        <v>1.4395786782943836</v>
      </c>
    </row>
    <row r="79" spans="1:15">
      <c r="A79" s="19">
        <v>43754</v>
      </c>
      <c r="B79">
        <v>888</v>
      </c>
      <c r="C79">
        <v>885</v>
      </c>
      <c r="D79">
        <v>558</v>
      </c>
      <c r="E79">
        <v>549</v>
      </c>
      <c r="F79">
        <v>1.61202185792349</v>
      </c>
      <c r="G79">
        <v>1.5580165920014</v>
      </c>
      <c r="H79">
        <v>6.0091209487733097E-2</v>
      </c>
      <c r="I79">
        <v>0.89872156647326096</v>
      </c>
      <c r="J79">
        <v>3.35</v>
      </c>
      <c r="L79">
        <v>1.618107801489133</v>
      </c>
      <c r="M79">
        <v>1.4979253825136669</v>
      </c>
      <c r="N79">
        <v>1.6781990109768661</v>
      </c>
      <c r="O79">
        <v>1.4378341730259339</v>
      </c>
    </row>
    <row r="80" spans="1:15">
      <c r="A80" s="19">
        <v>43753</v>
      </c>
      <c r="B80">
        <v>870</v>
      </c>
      <c r="C80">
        <v>878</v>
      </c>
      <c r="D80">
        <v>554</v>
      </c>
      <c r="E80">
        <v>553</v>
      </c>
      <c r="F80">
        <v>1.5877034358047</v>
      </c>
      <c r="G80">
        <v>1.5565352900879901</v>
      </c>
      <c r="H80">
        <v>6.01109985506076E-2</v>
      </c>
      <c r="I80">
        <v>0.51850986455435699</v>
      </c>
      <c r="J80">
        <v>1.96</v>
      </c>
      <c r="L80">
        <v>1.6166462886385977</v>
      </c>
      <c r="M80">
        <v>1.4964242915373824</v>
      </c>
      <c r="N80">
        <v>1.6767572871892054</v>
      </c>
      <c r="O80">
        <v>1.4363132929867748</v>
      </c>
    </row>
    <row r="81" spans="1:15">
      <c r="A81" s="19">
        <v>43749</v>
      </c>
      <c r="B81">
        <v>839</v>
      </c>
      <c r="C81">
        <v>845</v>
      </c>
      <c r="D81">
        <v>539</v>
      </c>
      <c r="E81">
        <v>546</v>
      </c>
      <c r="F81">
        <v>1.5476190476190399</v>
      </c>
      <c r="G81">
        <v>1.5557141696504</v>
      </c>
      <c r="H81">
        <v>6.01002513560134E-2</v>
      </c>
      <c r="I81">
        <v>-0.13469364684356</v>
      </c>
      <c r="J81">
        <v>-0.52</v>
      </c>
      <c r="L81">
        <v>1.6158144210064134</v>
      </c>
      <c r="M81">
        <v>1.4956139182943866</v>
      </c>
      <c r="N81">
        <v>1.6759146723624267</v>
      </c>
      <c r="O81">
        <v>1.4355136669383732</v>
      </c>
    </row>
    <row r="82" spans="1:15">
      <c r="A82" s="19">
        <v>43748</v>
      </c>
      <c r="B82">
        <v>818</v>
      </c>
      <c r="C82">
        <v>827</v>
      </c>
      <c r="D82">
        <v>533</v>
      </c>
      <c r="E82">
        <v>534</v>
      </c>
      <c r="F82">
        <v>1.54868913857677</v>
      </c>
      <c r="G82">
        <v>1.5553861857864999</v>
      </c>
      <c r="H82">
        <v>6.0210553764014602E-2</v>
      </c>
      <c r="I82">
        <v>-0.111227131973862</v>
      </c>
      <c r="J82">
        <v>-0.43</v>
      </c>
      <c r="L82">
        <v>1.6155967395505144</v>
      </c>
      <c r="M82">
        <v>1.4951756320224854</v>
      </c>
      <c r="N82">
        <v>1.6758072933145292</v>
      </c>
      <c r="O82">
        <v>1.4349650782584706</v>
      </c>
    </row>
    <row r="83" spans="1:15">
      <c r="A83" s="19">
        <v>43747</v>
      </c>
      <c r="B83">
        <v>815</v>
      </c>
      <c r="C83">
        <v>814</v>
      </c>
      <c r="D83">
        <v>530</v>
      </c>
      <c r="E83">
        <v>529</v>
      </c>
      <c r="F83">
        <v>1.5387523629489599</v>
      </c>
      <c r="G83">
        <v>1.5548102573454099</v>
      </c>
      <c r="H83">
        <v>6.0477848412569701E-2</v>
      </c>
      <c r="I83">
        <v>-0.26551695898483002</v>
      </c>
      <c r="J83">
        <v>-1.04</v>
      </c>
      <c r="L83">
        <v>1.6152881057579795</v>
      </c>
      <c r="M83">
        <v>1.4943324089328403</v>
      </c>
      <c r="N83">
        <v>1.6757659541705494</v>
      </c>
      <c r="O83">
        <v>1.4338545605202704</v>
      </c>
    </row>
    <row r="84" spans="1:15">
      <c r="A84" s="19">
        <v>43746</v>
      </c>
      <c r="B84">
        <v>830</v>
      </c>
      <c r="C84">
        <v>830</v>
      </c>
      <c r="D84">
        <v>543</v>
      </c>
      <c r="E84">
        <v>545</v>
      </c>
      <c r="F84">
        <v>1.52293577981651</v>
      </c>
      <c r="G84">
        <v>1.55467556779876</v>
      </c>
      <c r="H84">
        <v>6.0524691357502602E-2</v>
      </c>
      <c r="I84">
        <v>-0.52441057146030001</v>
      </c>
      <c r="J84">
        <v>-2.08</v>
      </c>
      <c r="L84">
        <v>1.6152002591562626</v>
      </c>
      <c r="M84">
        <v>1.4941508764412574</v>
      </c>
      <c r="N84">
        <v>1.6757249505137652</v>
      </c>
      <c r="O84">
        <v>1.4336261850837548</v>
      </c>
    </row>
    <row r="85" spans="1:15">
      <c r="A85" s="19">
        <v>43745</v>
      </c>
      <c r="B85">
        <v>824</v>
      </c>
      <c r="C85">
        <v>817</v>
      </c>
      <c r="D85">
        <v>536</v>
      </c>
      <c r="E85">
        <v>535</v>
      </c>
      <c r="F85">
        <v>1.5271028037383101</v>
      </c>
      <c r="G85">
        <v>1.55490558294637</v>
      </c>
      <c r="H85">
        <v>6.0436347635563298E-2</v>
      </c>
      <c r="I85">
        <v>-0.46003407379468397</v>
      </c>
      <c r="J85">
        <v>-1.82</v>
      </c>
      <c r="L85">
        <v>1.6153419305819334</v>
      </c>
      <c r="M85">
        <v>1.4944692353108067</v>
      </c>
      <c r="N85">
        <v>1.6757782782174966</v>
      </c>
      <c r="O85">
        <v>1.4340328876752435</v>
      </c>
    </row>
    <row r="86" spans="1:15">
      <c r="A86" s="19">
        <v>43742</v>
      </c>
      <c r="B86">
        <v>836</v>
      </c>
      <c r="C86">
        <v>822</v>
      </c>
      <c r="D86">
        <v>528</v>
      </c>
      <c r="E86">
        <v>534</v>
      </c>
      <c r="F86">
        <v>1.5393258426966201</v>
      </c>
      <c r="G86">
        <v>1.5547209799066299</v>
      </c>
      <c r="H86">
        <v>6.0542042115589299E-2</v>
      </c>
      <c r="I86">
        <v>-0.25428837006542299</v>
      </c>
      <c r="J86">
        <v>-1</v>
      </c>
      <c r="L86">
        <v>1.6152630220222193</v>
      </c>
      <c r="M86">
        <v>1.4941789377910406</v>
      </c>
      <c r="N86">
        <v>1.6758050641378086</v>
      </c>
      <c r="O86">
        <v>1.4336368956754513</v>
      </c>
    </row>
    <row r="87" spans="1:15">
      <c r="A87" s="19">
        <v>43741</v>
      </c>
      <c r="B87">
        <v>836</v>
      </c>
      <c r="C87">
        <v>832</v>
      </c>
      <c r="D87">
        <v>528</v>
      </c>
      <c r="E87">
        <v>528</v>
      </c>
      <c r="F87">
        <v>1.5757575757575699</v>
      </c>
      <c r="G87">
        <v>1.5546918734325801</v>
      </c>
      <c r="H87">
        <v>6.0549960790034697E-2</v>
      </c>
      <c r="I87">
        <v>0.34790612661236198</v>
      </c>
      <c r="J87">
        <v>1.34</v>
      </c>
      <c r="L87">
        <v>1.6152418342226147</v>
      </c>
      <c r="M87">
        <v>1.4941419126425455</v>
      </c>
      <c r="N87">
        <v>1.6757917950126495</v>
      </c>
      <c r="O87">
        <v>1.4335919518525106</v>
      </c>
    </row>
    <row r="88" spans="1:15">
      <c r="A88" s="19">
        <v>43740</v>
      </c>
      <c r="B88">
        <v>857</v>
      </c>
      <c r="C88">
        <v>863</v>
      </c>
      <c r="D88">
        <v>530</v>
      </c>
      <c r="E88">
        <v>538</v>
      </c>
      <c r="F88">
        <v>1.60408921933085</v>
      </c>
      <c r="G88">
        <v>1.55443648940361</v>
      </c>
      <c r="H88">
        <v>6.0500945595715998E-2</v>
      </c>
      <c r="I88">
        <v>0.82069345261200599</v>
      </c>
      <c r="J88">
        <v>3.1</v>
      </c>
      <c r="L88">
        <v>1.614937434999326</v>
      </c>
      <c r="M88">
        <v>1.4939355438078941</v>
      </c>
      <c r="N88">
        <v>1.6754383805950419</v>
      </c>
      <c r="O88">
        <v>1.4334345982121781</v>
      </c>
    </row>
    <row r="89" spans="1:15">
      <c r="A89" s="19">
        <v>43739</v>
      </c>
      <c r="B89">
        <v>840</v>
      </c>
      <c r="C89">
        <v>872</v>
      </c>
      <c r="D89">
        <v>533</v>
      </c>
      <c r="E89">
        <v>539</v>
      </c>
      <c r="F89">
        <v>1.6178107606679</v>
      </c>
      <c r="G89">
        <v>1.5537611013392501</v>
      </c>
      <c r="H89">
        <v>6.0224992523351999E-2</v>
      </c>
      <c r="I89">
        <v>1.06350630602093</v>
      </c>
      <c r="J89">
        <v>3.96</v>
      </c>
      <c r="L89">
        <v>1.6139860938626021</v>
      </c>
      <c r="M89">
        <v>1.493536108815898</v>
      </c>
      <c r="N89">
        <v>1.6742110863859541</v>
      </c>
      <c r="O89">
        <v>1.433311116292546</v>
      </c>
    </row>
    <row r="90" spans="1:15">
      <c r="A90" s="19">
        <v>43738</v>
      </c>
      <c r="B90">
        <v>854</v>
      </c>
      <c r="C90">
        <v>842</v>
      </c>
      <c r="D90">
        <v>523</v>
      </c>
      <c r="E90">
        <v>528</v>
      </c>
      <c r="F90">
        <v>1.59469696969696</v>
      </c>
      <c r="G90">
        <v>1.5525148854541899</v>
      </c>
      <c r="H90">
        <v>5.9852621638844999E-2</v>
      </c>
      <c r="I90">
        <v>0.70476585799874902</v>
      </c>
      <c r="J90">
        <v>2.65</v>
      </c>
      <c r="L90">
        <v>1.612367507093035</v>
      </c>
      <c r="M90">
        <v>1.4926622638153448</v>
      </c>
      <c r="N90">
        <v>1.6722201287318799</v>
      </c>
      <c r="O90">
        <v>1.4328096421765</v>
      </c>
    </row>
    <row r="91" spans="1:15">
      <c r="A91" s="19">
        <v>43735</v>
      </c>
      <c r="B91">
        <v>861</v>
      </c>
      <c r="C91">
        <v>855</v>
      </c>
      <c r="D91">
        <v>528</v>
      </c>
      <c r="E91">
        <v>532</v>
      </c>
      <c r="F91">
        <v>1.6071428571428501</v>
      </c>
      <c r="G91">
        <v>1.5516163520980299</v>
      </c>
      <c r="H91">
        <v>5.9718314609603397E-2</v>
      </c>
      <c r="I91">
        <v>0.92980696806024499</v>
      </c>
      <c r="J91">
        <v>3.45</v>
      </c>
      <c r="L91">
        <v>1.6113346667076334</v>
      </c>
      <c r="M91">
        <v>1.4918980374884265</v>
      </c>
      <c r="N91">
        <v>1.6710529813172368</v>
      </c>
      <c r="O91">
        <v>1.4321797228788231</v>
      </c>
    </row>
    <row r="92" spans="1:15">
      <c r="A92" s="19">
        <v>43734</v>
      </c>
      <c r="B92">
        <v>873</v>
      </c>
      <c r="C92">
        <v>865</v>
      </c>
      <c r="D92">
        <v>546</v>
      </c>
      <c r="E92">
        <v>543</v>
      </c>
      <c r="F92">
        <v>1.59300184162062</v>
      </c>
      <c r="G92">
        <v>1.5502895618399399</v>
      </c>
      <c r="H92">
        <v>5.9575167684834202E-2</v>
      </c>
      <c r="I92">
        <v>0.71694770557151599</v>
      </c>
      <c r="J92">
        <v>2.68</v>
      </c>
      <c r="L92">
        <v>1.6098647295247741</v>
      </c>
      <c r="M92">
        <v>1.4907143941551058</v>
      </c>
      <c r="N92">
        <v>1.6694398972096083</v>
      </c>
      <c r="O92">
        <v>1.4311392264702716</v>
      </c>
    </row>
    <row r="93" spans="1:15">
      <c r="A93" s="19">
        <v>43733</v>
      </c>
      <c r="B93">
        <v>871</v>
      </c>
      <c r="C93">
        <v>861</v>
      </c>
      <c r="D93">
        <v>542</v>
      </c>
      <c r="E93">
        <v>537</v>
      </c>
      <c r="F93">
        <v>1.6033519553072599</v>
      </c>
      <c r="G93">
        <v>1.5490882220045401</v>
      </c>
      <c r="H93">
        <v>5.9610190118493098E-2</v>
      </c>
      <c r="I93">
        <v>0.91030968354331798</v>
      </c>
      <c r="J93">
        <v>3.38</v>
      </c>
      <c r="L93">
        <v>1.6086984121230332</v>
      </c>
      <c r="M93">
        <v>1.489478031886047</v>
      </c>
      <c r="N93">
        <v>1.6683086022415263</v>
      </c>
      <c r="O93">
        <v>1.4298678417675539</v>
      </c>
    </row>
    <row r="94" spans="1:15">
      <c r="A94" s="19">
        <v>43732</v>
      </c>
      <c r="B94">
        <v>872</v>
      </c>
      <c r="C94">
        <v>874</v>
      </c>
      <c r="D94">
        <v>537</v>
      </c>
      <c r="E94">
        <v>541</v>
      </c>
      <c r="F94">
        <v>1.61552680221811</v>
      </c>
      <c r="G94">
        <v>1.5474404464154701</v>
      </c>
      <c r="H94">
        <v>5.9795217373546997E-2</v>
      </c>
      <c r="I94">
        <v>1.13865888934393</v>
      </c>
      <c r="J94">
        <v>4.21</v>
      </c>
      <c r="L94">
        <v>1.6072356637890171</v>
      </c>
      <c r="M94">
        <v>1.4876452290419231</v>
      </c>
      <c r="N94">
        <v>1.667030881162564</v>
      </c>
      <c r="O94">
        <v>1.4278500116683761</v>
      </c>
    </row>
    <row r="95" spans="1:15">
      <c r="A95" s="19">
        <v>43728</v>
      </c>
      <c r="B95">
        <v>881</v>
      </c>
      <c r="C95">
        <v>874</v>
      </c>
      <c r="D95">
        <v>535</v>
      </c>
      <c r="E95">
        <v>545</v>
      </c>
      <c r="F95">
        <v>1.60366972477064</v>
      </c>
      <c r="G95">
        <v>1.5458486090010799</v>
      </c>
      <c r="H95">
        <v>5.9550106916632498E-2</v>
      </c>
      <c r="I95">
        <v>0.97096577593899103</v>
      </c>
      <c r="J95">
        <v>3.61</v>
      </c>
      <c r="L95">
        <v>1.6053987159177123</v>
      </c>
      <c r="M95">
        <v>1.4862985020844475</v>
      </c>
      <c r="N95">
        <v>1.664948822834345</v>
      </c>
      <c r="O95">
        <v>1.4267483951678148</v>
      </c>
    </row>
    <row r="96" spans="1:15">
      <c r="A96" s="19">
        <v>43727</v>
      </c>
      <c r="B96">
        <v>886</v>
      </c>
      <c r="C96">
        <v>878</v>
      </c>
      <c r="D96">
        <v>538</v>
      </c>
      <c r="E96">
        <v>543</v>
      </c>
      <c r="F96">
        <v>1.6169429097605801</v>
      </c>
      <c r="G96">
        <v>1.5441376149061801</v>
      </c>
      <c r="H96">
        <v>5.9707513071340597E-2</v>
      </c>
      <c r="I96">
        <v>1.2193657231614801</v>
      </c>
      <c r="J96">
        <v>4.5</v>
      </c>
      <c r="L96">
        <v>1.6038451279775208</v>
      </c>
      <c r="M96">
        <v>1.4844301018348394</v>
      </c>
      <c r="N96">
        <v>1.6635526410488612</v>
      </c>
      <c r="O96">
        <v>1.4247225887634989</v>
      </c>
    </row>
    <row r="97" spans="1:15">
      <c r="A97" s="19">
        <v>43726</v>
      </c>
      <c r="B97">
        <v>881</v>
      </c>
      <c r="C97">
        <v>879</v>
      </c>
      <c r="D97">
        <v>542</v>
      </c>
      <c r="E97">
        <v>541</v>
      </c>
      <c r="F97">
        <v>1.6247689463955599</v>
      </c>
      <c r="G97">
        <v>1.5422176546664801</v>
      </c>
      <c r="H97">
        <v>5.9650673728578803E-2</v>
      </c>
      <c r="I97">
        <v>1.3839121433011801</v>
      </c>
      <c r="J97">
        <v>5.08</v>
      </c>
      <c r="L97">
        <v>1.601868328395059</v>
      </c>
      <c r="M97">
        <v>1.4825669809379012</v>
      </c>
      <c r="N97">
        <v>1.6615190021236377</v>
      </c>
      <c r="O97">
        <v>1.4229163072093225</v>
      </c>
    </row>
    <row r="98" spans="1:15">
      <c r="A98" s="19">
        <v>43725</v>
      </c>
      <c r="B98">
        <v>878</v>
      </c>
      <c r="C98">
        <v>884</v>
      </c>
      <c r="D98">
        <v>551</v>
      </c>
      <c r="E98">
        <v>551</v>
      </c>
      <c r="F98">
        <v>1.6043557168784</v>
      </c>
      <c r="G98">
        <v>1.5406206023140101</v>
      </c>
      <c r="H98">
        <v>5.9019217607369903E-2</v>
      </c>
      <c r="I98">
        <v>1.07990443025511</v>
      </c>
      <c r="J98">
        <v>3.97</v>
      </c>
      <c r="L98">
        <v>1.5996398199213799</v>
      </c>
      <c r="M98">
        <v>1.4816013847066403</v>
      </c>
      <c r="N98">
        <v>1.65865903752875</v>
      </c>
      <c r="O98">
        <v>1.4225821670992702</v>
      </c>
    </row>
    <row r="99" spans="1:15">
      <c r="A99" s="19">
        <v>43721</v>
      </c>
      <c r="B99">
        <v>881</v>
      </c>
      <c r="C99">
        <v>878</v>
      </c>
      <c r="D99">
        <v>554</v>
      </c>
      <c r="E99">
        <v>553</v>
      </c>
      <c r="F99">
        <v>1.5877034358047</v>
      </c>
      <c r="G99">
        <v>1.5395579238535899</v>
      </c>
      <c r="H99">
        <v>5.8577942161737201E-2</v>
      </c>
      <c r="I99">
        <v>0.82190514337584997</v>
      </c>
      <c r="J99">
        <v>3.03</v>
      </c>
      <c r="L99">
        <v>1.5981358660153271</v>
      </c>
      <c r="M99">
        <v>1.4809799816918527</v>
      </c>
      <c r="N99">
        <v>1.6567138081770643</v>
      </c>
      <c r="O99">
        <v>1.4224020395301156</v>
      </c>
    </row>
    <row r="100" spans="1:15">
      <c r="A100" s="19">
        <v>43720</v>
      </c>
      <c r="B100">
        <v>880</v>
      </c>
      <c r="C100">
        <v>875</v>
      </c>
      <c r="D100">
        <v>550</v>
      </c>
      <c r="E100">
        <v>550</v>
      </c>
      <c r="F100">
        <v>1.5909090909090899</v>
      </c>
      <c r="G100">
        <v>1.5386129671517701</v>
      </c>
      <c r="H100">
        <v>5.8364906013781401E-2</v>
      </c>
      <c r="I100">
        <v>0.89602001149396204</v>
      </c>
      <c r="J100">
        <v>3.29</v>
      </c>
      <c r="L100">
        <v>1.5969778731655515</v>
      </c>
      <c r="M100">
        <v>1.4802480611379887</v>
      </c>
      <c r="N100">
        <v>1.6553427791793329</v>
      </c>
      <c r="O100">
        <v>1.4218831551242073</v>
      </c>
    </row>
    <row r="101" spans="1:15">
      <c r="A101" s="19">
        <v>43719</v>
      </c>
      <c r="B101">
        <v>854</v>
      </c>
      <c r="C101">
        <v>873</v>
      </c>
      <c r="D101">
        <v>545</v>
      </c>
      <c r="E101">
        <v>535</v>
      </c>
      <c r="F101">
        <v>1.6317757009345699</v>
      </c>
      <c r="G101">
        <v>1.5377992523141499</v>
      </c>
      <c r="H101">
        <v>5.8054730610262201E-2</v>
      </c>
      <c r="I101">
        <v>1.61875608813536</v>
      </c>
      <c r="J101">
        <v>5.76</v>
      </c>
      <c r="L101">
        <v>1.5958539829244121</v>
      </c>
      <c r="M101">
        <v>1.4797445217038878</v>
      </c>
      <c r="N101">
        <v>1.6539087135346744</v>
      </c>
      <c r="O101">
        <v>1.4216897910936255</v>
      </c>
    </row>
    <row r="102" spans="1:15">
      <c r="A102" s="19">
        <v>43718</v>
      </c>
      <c r="B102">
        <v>819</v>
      </c>
      <c r="C102">
        <v>842</v>
      </c>
      <c r="D102">
        <v>524</v>
      </c>
      <c r="E102">
        <v>533</v>
      </c>
      <c r="F102">
        <v>1.5797373358348901</v>
      </c>
      <c r="G102">
        <v>1.5366848132494799</v>
      </c>
      <c r="H102">
        <v>5.7033286797823997E-2</v>
      </c>
      <c r="I102">
        <v>0.75486658761266201</v>
      </c>
      <c r="J102">
        <v>2.73</v>
      </c>
      <c r="L102">
        <v>1.593718100047304</v>
      </c>
      <c r="M102">
        <v>1.4796515264516559</v>
      </c>
      <c r="N102">
        <v>1.650751386845128</v>
      </c>
      <c r="O102">
        <v>1.4226182396538318</v>
      </c>
    </row>
    <row r="103" spans="1:15">
      <c r="A103" s="19">
        <v>43717</v>
      </c>
      <c r="B103">
        <v>805</v>
      </c>
      <c r="C103">
        <v>811</v>
      </c>
      <c r="D103">
        <v>514</v>
      </c>
      <c r="E103">
        <v>517</v>
      </c>
      <c r="F103">
        <v>1.56866537717601</v>
      </c>
      <c r="G103">
        <v>1.53616941096273</v>
      </c>
      <c r="H103">
        <v>5.6816145505066903E-2</v>
      </c>
      <c r="I103">
        <v>0.57194950351530505</v>
      </c>
      <c r="J103">
        <v>2.0699999999999998</v>
      </c>
      <c r="L103">
        <v>1.5929855564677968</v>
      </c>
      <c r="M103">
        <v>1.4793532654576631</v>
      </c>
      <c r="N103">
        <v>1.6498017019728637</v>
      </c>
      <c r="O103">
        <v>1.4225371199525962</v>
      </c>
    </row>
    <row r="104" spans="1:15">
      <c r="A104" s="19">
        <v>43714</v>
      </c>
      <c r="B104">
        <v>790</v>
      </c>
      <c r="C104">
        <v>805</v>
      </c>
      <c r="D104">
        <v>514</v>
      </c>
      <c r="E104">
        <v>513</v>
      </c>
      <c r="F104">
        <v>1.5692007797270899</v>
      </c>
      <c r="G104">
        <v>1.53555871024121</v>
      </c>
      <c r="H104">
        <v>5.6709632933927598E-2</v>
      </c>
      <c r="I104">
        <v>0.59323377255990695</v>
      </c>
      <c r="J104">
        <v>2.14</v>
      </c>
      <c r="L104">
        <v>1.5922683431751377</v>
      </c>
      <c r="M104">
        <v>1.4788490773072824</v>
      </c>
      <c r="N104">
        <v>1.6489779761090653</v>
      </c>
      <c r="O104">
        <v>1.4221394443733548</v>
      </c>
    </row>
    <row r="105" spans="1:15">
      <c r="A105" s="19">
        <v>43713</v>
      </c>
      <c r="B105">
        <v>758</v>
      </c>
      <c r="C105">
        <v>780</v>
      </c>
      <c r="D105">
        <v>496</v>
      </c>
      <c r="E105">
        <v>504</v>
      </c>
      <c r="F105">
        <v>1.5476190476190399</v>
      </c>
      <c r="G105">
        <v>1.5352180437601901</v>
      </c>
      <c r="H105">
        <v>5.6583115739983599E-2</v>
      </c>
      <c r="I105">
        <v>0.21916438670216401</v>
      </c>
      <c r="J105">
        <v>0.8</v>
      </c>
      <c r="L105">
        <v>1.5918011595001738</v>
      </c>
      <c r="M105">
        <v>1.4786349280202065</v>
      </c>
      <c r="N105">
        <v>1.6483842752401574</v>
      </c>
      <c r="O105">
        <v>1.4220518122802228</v>
      </c>
    </row>
    <row r="106" spans="1:15">
      <c r="A106" s="19">
        <v>43712</v>
      </c>
      <c r="B106">
        <v>765</v>
      </c>
      <c r="C106">
        <v>752</v>
      </c>
      <c r="D106">
        <v>497</v>
      </c>
      <c r="E106">
        <v>494</v>
      </c>
      <c r="F106">
        <v>1.5222672064777301</v>
      </c>
      <c r="G106">
        <v>1.53524713374944</v>
      </c>
      <c r="H106">
        <v>5.6590044158097E-2</v>
      </c>
      <c r="I106">
        <v>-0.22936768233385499</v>
      </c>
      <c r="J106">
        <v>-0.85</v>
      </c>
      <c r="L106">
        <v>1.5918371779075371</v>
      </c>
      <c r="M106">
        <v>1.4786570895913429</v>
      </c>
      <c r="N106">
        <v>1.648427222065634</v>
      </c>
      <c r="O106">
        <v>1.422067045433246</v>
      </c>
    </row>
    <row r="107" spans="1:15">
      <c r="A107" s="19">
        <v>43711</v>
      </c>
      <c r="B107">
        <v>775</v>
      </c>
      <c r="C107">
        <v>766</v>
      </c>
      <c r="D107">
        <v>486</v>
      </c>
      <c r="E107">
        <v>498</v>
      </c>
      <c r="F107">
        <v>1.53815261044176</v>
      </c>
      <c r="G107">
        <v>1.53562618199707</v>
      </c>
      <c r="H107">
        <v>5.6597042333678203E-2</v>
      </c>
      <c r="I107">
        <v>4.46388775901055E-2</v>
      </c>
      <c r="J107">
        <v>0.16</v>
      </c>
      <c r="L107">
        <v>1.5922232243307481</v>
      </c>
      <c r="M107">
        <v>1.4790291396633919</v>
      </c>
      <c r="N107">
        <v>1.6488202666644265</v>
      </c>
      <c r="O107">
        <v>1.4224320973297135</v>
      </c>
    </row>
    <row r="108" spans="1:15">
      <c r="A108" s="19">
        <v>43710</v>
      </c>
      <c r="B108">
        <v>788</v>
      </c>
      <c r="C108">
        <v>782</v>
      </c>
      <c r="D108">
        <v>491</v>
      </c>
      <c r="E108">
        <v>490</v>
      </c>
      <c r="F108">
        <v>1.5959183673469299</v>
      </c>
      <c r="G108">
        <v>1.5355601888578401</v>
      </c>
      <c r="H108">
        <v>5.6596943592559797E-2</v>
      </c>
      <c r="I108">
        <v>1.0664565020261001</v>
      </c>
      <c r="J108">
        <v>3.78</v>
      </c>
      <c r="L108">
        <v>1.5921571324503998</v>
      </c>
      <c r="M108">
        <v>1.4789632452652803</v>
      </c>
      <c r="N108">
        <v>1.6487540760429598</v>
      </c>
      <c r="O108">
        <v>1.4223663016727204</v>
      </c>
    </row>
    <row r="109" spans="1:15">
      <c r="A109" s="19">
        <v>43707</v>
      </c>
      <c r="B109">
        <v>782</v>
      </c>
      <c r="C109">
        <v>793</v>
      </c>
      <c r="D109">
        <v>484</v>
      </c>
      <c r="E109">
        <v>484</v>
      </c>
      <c r="F109">
        <v>1.63842975206611</v>
      </c>
      <c r="G109">
        <v>1.53474150083036</v>
      </c>
      <c r="H109">
        <v>5.6160337376385601E-2</v>
      </c>
      <c r="I109">
        <v>1.84628967844031</v>
      </c>
      <c r="J109">
        <v>6.33</v>
      </c>
      <c r="L109">
        <v>1.5909018382067457</v>
      </c>
      <c r="M109">
        <v>1.4785811634539743</v>
      </c>
      <c r="N109">
        <v>1.6470621755831312</v>
      </c>
      <c r="O109">
        <v>1.4224208260775888</v>
      </c>
    </row>
    <row r="110" spans="1:15">
      <c r="A110" s="19">
        <v>43706</v>
      </c>
      <c r="B110">
        <v>781</v>
      </c>
      <c r="C110">
        <v>775</v>
      </c>
      <c r="D110">
        <v>477</v>
      </c>
      <c r="E110">
        <v>474</v>
      </c>
      <c r="F110">
        <v>1.6350210970464101</v>
      </c>
      <c r="G110">
        <v>1.53357021957065</v>
      </c>
      <c r="H110">
        <v>5.4887228638290597E-2</v>
      </c>
      <c r="I110">
        <v>1.8483512465955201</v>
      </c>
      <c r="J110">
        <v>6.2</v>
      </c>
      <c r="L110">
        <v>1.5884574482089406</v>
      </c>
      <c r="M110">
        <v>1.4786829909323593</v>
      </c>
      <c r="N110">
        <v>1.6433446768472311</v>
      </c>
      <c r="O110">
        <v>1.4237957622940689</v>
      </c>
    </row>
    <row r="111" spans="1:15">
      <c r="A111" s="19">
        <v>43705</v>
      </c>
      <c r="B111">
        <v>778</v>
      </c>
      <c r="C111">
        <v>776</v>
      </c>
      <c r="D111">
        <v>478</v>
      </c>
      <c r="E111">
        <v>474</v>
      </c>
      <c r="F111">
        <v>1.6371308016877599</v>
      </c>
      <c r="G111">
        <v>1.53260327161003</v>
      </c>
      <c r="H111">
        <v>5.3717795635785E-2</v>
      </c>
      <c r="I111">
        <v>1.94586410035215</v>
      </c>
      <c r="J111">
        <v>6.38</v>
      </c>
      <c r="L111">
        <v>1.586321067245815</v>
      </c>
      <c r="M111">
        <v>1.4788854759742449</v>
      </c>
      <c r="N111">
        <v>1.6400388628816001</v>
      </c>
      <c r="O111">
        <v>1.4251676803384599</v>
      </c>
    </row>
    <row r="112" spans="1:15">
      <c r="A112" s="19">
        <v>43704</v>
      </c>
      <c r="B112">
        <v>764</v>
      </c>
      <c r="C112">
        <v>778</v>
      </c>
      <c r="D112">
        <v>477</v>
      </c>
      <c r="E112">
        <v>478</v>
      </c>
      <c r="F112">
        <v>1.6276150627615</v>
      </c>
      <c r="G112">
        <v>1.52939515077593</v>
      </c>
      <c r="H112">
        <v>5.4557662900699903E-2</v>
      </c>
      <c r="I112">
        <v>1.80029544455262</v>
      </c>
      <c r="J112">
        <v>6.03</v>
      </c>
      <c r="L112">
        <v>1.5839528136766299</v>
      </c>
      <c r="M112">
        <v>1.4748374878752302</v>
      </c>
      <c r="N112">
        <v>1.6385104765773297</v>
      </c>
      <c r="O112">
        <v>1.4202798249745303</v>
      </c>
    </row>
    <row r="113" spans="1:15">
      <c r="A113" s="19">
        <v>43703</v>
      </c>
      <c r="B113">
        <v>773</v>
      </c>
      <c r="C113">
        <v>762</v>
      </c>
      <c r="D113">
        <v>471</v>
      </c>
      <c r="E113">
        <v>472</v>
      </c>
      <c r="F113">
        <v>1.61440677966101</v>
      </c>
      <c r="G113">
        <v>1.52630092254185</v>
      </c>
      <c r="H113">
        <v>5.5472545556663103E-2</v>
      </c>
      <c r="I113">
        <v>1.5882786022350699</v>
      </c>
      <c r="J113">
        <v>5.46</v>
      </c>
      <c r="L113">
        <v>1.5817734680985132</v>
      </c>
      <c r="M113">
        <v>1.4708283769851869</v>
      </c>
      <c r="N113">
        <v>1.6372460136551763</v>
      </c>
      <c r="O113">
        <v>1.4153558314285237</v>
      </c>
    </row>
    <row r="114" spans="1:15">
      <c r="A114" s="19">
        <v>43700</v>
      </c>
      <c r="B114">
        <v>785</v>
      </c>
      <c r="C114">
        <v>802</v>
      </c>
      <c r="D114">
        <v>486</v>
      </c>
      <c r="E114">
        <v>487</v>
      </c>
      <c r="F114">
        <v>1.6468172484599499</v>
      </c>
      <c r="G114">
        <v>1.52427148964924</v>
      </c>
      <c r="H114">
        <v>5.4994269734703997E-2</v>
      </c>
      <c r="I114">
        <v>2.2283368685844098</v>
      </c>
      <c r="J114">
        <v>7.44</v>
      </c>
      <c r="L114">
        <v>1.5792657593839439</v>
      </c>
      <c r="M114">
        <v>1.4692772199145361</v>
      </c>
      <c r="N114">
        <v>1.634260029118648</v>
      </c>
      <c r="O114">
        <v>1.414282950179832</v>
      </c>
    </row>
    <row r="115" spans="1:15">
      <c r="A115" s="19">
        <v>43699</v>
      </c>
      <c r="B115">
        <v>792</v>
      </c>
      <c r="C115">
        <v>798</v>
      </c>
      <c r="D115">
        <v>491</v>
      </c>
      <c r="E115">
        <v>490</v>
      </c>
      <c r="F115">
        <v>1.6285714285714199</v>
      </c>
      <c r="G115">
        <v>1.52275535248245</v>
      </c>
      <c r="H115">
        <v>5.3130773246332502E-2</v>
      </c>
      <c r="I115">
        <v>1.99161558591244</v>
      </c>
      <c r="J115">
        <v>6.5</v>
      </c>
      <c r="L115">
        <v>1.5758861257287824</v>
      </c>
      <c r="M115">
        <v>1.4696245792361176</v>
      </c>
      <c r="N115">
        <v>1.629016898975115</v>
      </c>
      <c r="O115">
        <v>1.4164938059897849</v>
      </c>
    </row>
    <row r="116" spans="1:15">
      <c r="A116" s="19">
        <v>43698</v>
      </c>
      <c r="B116">
        <v>781</v>
      </c>
      <c r="C116">
        <v>794</v>
      </c>
      <c r="D116">
        <v>488</v>
      </c>
      <c r="E116">
        <v>491</v>
      </c>
      <c r="F116">
        <v>1.61710794297352</v>
      </c>
      <c r="G116">
        <v>1.5220311657780601</v>
      </c>
      <c r="H116">
        <v>5.2042549008031597E-2</v>
      </c>
      <c r="I116">
        <v>1.82690469640106</v>
      </c>
      <c r="J116">
        <v>5.88</v>
      </c>
      <c r="L116">
        <v>1.5740737147860917</v>
      </c>
      <c r="M116">
        <v>1.4699886167700285</v>
      </c>
      <c r="N116">
        <v>1.6261162637941233</v>
      </c>
      <c r="O116">
        <v>1.4179460677619968</v>
      </c>
    </row>
    <row r="117" spans="1:15">
      <c r="A117" s="19">
        <v>43697</v>
      </c>
      <c r="B117">
        <v>786</v>
      </c>
      <c r="C117">
        <v>792</v>
      </c>
      <c r="D117">
        <v>488</v>
      </c>
      <c r="E117">
        <v>494</v>
      </c>
      <c r="F117">
        <v>1.6032388663967601</v>
      </c>
      <c r="G117">
        <v>1.52151673508542</v>
      </c>
      <c r="H117">
        <v>5.1285371831912202E-2</v>
      </c>
      <c r="I117">
        <v>1.5934783816947999</v>
      </c>
      <c r="J117">
        <v>5.0999999999999996</v>
      </c>
      <c r="L117">
        <v>1.5728021069173321</v>
      </c>
      <c r="M117">
        <v>1.4702313632535078</v>
      </c>
      <c r="N117">
        <v>1.6240874787492443</v>
      </c>
      <c r="O117">
        <v>1.4189459914215956</v>
      </c>
    </row>
    <row r="118" spans="1:15">
      <c r="A118" s="19">
        <v>43696</v>
      </c>
      <c r="B118">
        <v>793</v>
      </c>
      <c r="C118">
        <v>790</v>
      </c>
      <c r="D118">
        <v>484</v>
      </c>
      <c r="E118">
        <v>489</v>
      </c>
      <c r="F118">
        <v>1.61554192229038</v>
      </c>
      <c r="G118">
        <v>1.52155500786359</v>
      </c>
      <c r="H118">
        <v>5.13473779812866E-2</v>
      </c>
      <c r="I118">
        <v>1.83041312179662</v>
      </c>
      <c r="J118">
        <v>5.82</v>
      </c>
      <c r="L118">
        <v>1.5729023858448765</v>
      </c>
      <c r="M118">
        <v>1.4702076298823035</v>
      </c>
      <c r="N118">
        <v>1.6242497638261633</v>
      </c>
      <c r="O118">
        <v>1.4188602519010167</v>
      </c>
    </row>
    <row r="119" spans="1:15">
      <c r="A119" s="19">
        <v>43693</v>
      </c>
      <c r="B119">
        <v>769</v>
      </c>
      <c r="C119">
        <v>781</v>
      </c>
      <c r="D119">
        <v>476</v>
      </c>
      <c r="E119">
        <v>479</v>
      </c>
      <c r="F119">
        <v>1.6304801670146101</v>
      </c>
      <c r="G119">
        <v>1.5218030667858899</v>
      </c>
      <c r="H119">
        <v>5.18433724780877E-2</v>
      </c>
      <c r="I119">
        <v>2.09625830716646</v>
      </c>
      <c r="J119">
        <v>6.67</v>
      </c>
      <c r="L119">
        <v>1.5736464392639777</v>
      </c>
      <c r="M119">
        <v>1.4699596943078022</v>
      </c>
      <c r="N119">
        <v>1.6254898117420653</v>
      </c>
      <c r="O119">
        <v>1.4181163218297146</v>
      </c>
    </row>
    <row r="120" spans="1:15">
      <c r="A120" s="19">
        <v>43692</v>
      </c>
      <c r="B120">
        <v>775</v>
      </c>
      <c r="C120">
        <v>780</v>
      </c>
      <c r="D120">
        <v>479</v>
      </c>
      <c r="E120">
        <v>482</v>
      </c>
      <c r="F120">
        <v>1.61825726141078</v>
      </c>
      <c r="G120">
        <v>1.52197879404004</v>
      </c>
      <c r="H120">
        <v>5.2232321906514001E-2</v>
      </c>
      <c r="I120">
        <v>1.8432737404066899</v>
      </c>
      <c r="J120">
        <v>5.95</v>
      </c>
      <c r="L120">
        <v>1.5742111159465539</v>
      </c>
      <c r="M120">
        <v>1.469746472133526</v>
      </c>
      <c r="N120">
        <v>1.6264434378530681</v>
      </c>
      <c r="O120">
        <v>1.4175141502270119</v>
      </c>
    </row>
    <row r="121" spans="1:15">
      <c r="A121" s="19">
        <v>43691</v>
      </c>
      <c r="B121">
        <v>797</v>
      </c>
      <c r="C121">
        <v>799</v>
      </c>
      <c r="D121">
        <v>486</v>
      </c>
      <c r="E121">
        <v>489</v>
      </c>
      <c r="F121">
        <v>1.63394683026584</v>
      </c>
      <c r="G121">
        <v>1.52279073848073</v>
      </c>
      <c r="H121">
        <v>5.4160370786749297E-2</v>
      </c>
      <c r="I121">
        <v>2.0523510118271102</v>
      </c>
      <c r="J121">
        <v>6.8</v>
      </c>
      <c r="L121">
        <v>1.5769511092674793</v>
      </c>
      <c r="M121">
        <v>1.4686303676939807</v>
      </c>
      <c r="N121">
        <v>1.6311114800542286</v>
      </c>
      <c r="O121">
        <v>1.4144699969072314</v>
      </c>
    </row>
    <row r="122" spans="1:15">
      <c r="A122" s="19">
        <v>43690</v>
      </c>
      <c r="B122">
        <v>789</v>
      </c>
      <c r="C122">
        <v>783</v>
      </c>
      <c r="D122">
        <v>485</v>
      </c>
      <c r="E122">
        <v>477</v>
      </c>
      <c r="F122">
        <v>1.64150943396226</v>
      </c>
      <c r="G122">
        <v>1.52305606279513</v>
      </c>
      <c r="H122">
        <v>5.4749794235611902E-2</v>
      </c>
      <c r="I122">
        <v>2.1635400245957501</v>
      </c>
      <c r="J122">
        <v>7.22</v>
      </c>
      <c r="L122">
        <v>1.5778058570307418</v>
      </c>
      <c r="M122">
        <v>1.4683062685595181</v>
      </c>
      <c r="N122">
        <v>1.6325556512663537</v>
      </c>
      <c r="O122">
        <v>1.4135564743239062</v>
      </c>
    </row>
    <row r="123" spans="1:15">
      <c r="A123" s="19">
        <v>43686</v>
      </c>
      <c r="B123">
        <v>794</v>
      </c>
      <c r="C123">
        <v>807</v>
      </c>
      <c r="D123">
        <v>481</v>
      </c>
      <c r="E123">
        <v>485</v>
      </c>
      <c r="F123">
        <v>1.66391752577319</v>
      </c>
      <c r="G123">
        <v>1.5230187327078899</v>
      </c>
      <c r="H123">
        <v>5.4669912576330602E-2</v>
      </c>
      <c r="I123">
        <v>2.5772639176727101</v>
      </c>
      <c r="J123">
        <v>8.4700000000000006</v>
      </c>
      <c r="L123">
        <v>1.5776886452842205</v>
      </c>
      <c r="M123">
        <v>1.4683488201315593</v>
      </c>
      <c r="N123">
        <v>1.6323585578605511</v>
      </c>
      <c r="O123">
        <v>1.4136789075552287</v>
      </c>
    </row>
    <row r="124" spans="1:15">
      <c r="A124" s="19">
        <v>43685</v>
      </c>
      <c r="B124">
        <v>767</v>
      </c>
      <c r="C124">
        <v>780</v>
      </c>
      <c r="D124">
        <v>517</v>
      </c>
      <c r="E124">
        <v>523</v>
      </c>
      <c r="F124">
        <v>1.4913957934990401</v>
      </c>
      <c r="G124">
        <v>1.52280886564476</v>
      </c>
      <c r="H124">
        <v>5.41564269402416E-2</v>
      </c>
      <c r="I124">
        <v>-0.58004329163701895</v>
      </c>
      <c r="J124">
        <v>-2.11</v>
      </c>
      <c r="L124">
        <v>1.5769652925850017</v>
      </c>
      <c r="M124">
        <v>1.4686524387045183</v>
      </c>
      <c r="N124">
        <v>1.6311217195252432</v>
      </c>
      <c r="O124">
        <v>1.4144960117642769</v>
      </c>
    </row>
    <row r="125" spans="1:15">
      <c r="A125" s="19">
        <v>43684</v>
      </c>
      <c r="B125">
        <v>793</v>
      </c>
      <c r="C125">
        <v>773</v>
      </c>
      <c r="D125">
        <v>515</v>
      </c>
      <c r="E125">
        <v>514</v>
      </c>
      <c r="F125">
        <v>1.50389105058365</v>
      </c>
      <c r="G125">
        <v>1.52498225506477</v>
      </c>
      <c r="H125">
        <v>5.6088509499595901E-2</v>
      </c>
      <c r="I125">
        <v>-0.37603431913747998</v>
      </c>
      <c r="J125">
        <v>-1.4</v>
      </c>
      <c r="L125">
        <v>1.581070764564366</v>
      </c>
      <c r="M125">
        <v>1.468893745565174</v>
      </c>
      <c r="N125">
        <v>1.6371592740639618</v>
      </c>
      <c r="O125">
        <v>1.4128052360655783</v>
      </c>
    </row>
    <row r="126" spans="1:15">
      <c r="A126" s="19">
        <v>43683</v>
      </c>
      <c r="B126">
        <v>761</v>
      </c>
      <c r="C126">
        <v>796</v>
      </c>
      <c r="D126">
        <v>506</v>
      </c>
      <c r="E126">
        <v>519</v>
      </c>
      <c r="F126">
        <v>1.5337186897880499</v>
      </c>
      <c r="G126">
        <v>1.5271525966125401</v>
      </c>
      <c r="H126">
        <v>5.8334714906697997E-2</v>
      </c>
      <c r="I126">
        <v>0.11255893143573199</v>
      </c>
      <c r="J126">
        <v>0.43</v>
      </c>
      <c r="L126">
        <v>1.5854873115192381</v>
      </c>
      <c r="M126">
        <v>1.4688178817058422</v>
      </c>
      <c r="N126">
        <v>1.643822026425936</v>
      </c>
      <c r="O126">
        <v>1.4104831667991442</v>
      </c>
    </row>
    <row r="127" spans="1:15">
      <c r="A127" s="19">
        <v>43682</v>
      </c>
      <c r="B127">
        <v>798</v>
      </c>
      <c r="C127">
        <v>798</v>
      </c>
      <c r="D127">
        <v>531</v>
      </c>
      <c r="E127">
        <v>519</v>
      </c>
      <c r="F127">
        <v>1.5375722543352599</v>
      </c>
      <c r="G127">
        <v>1.5285566726186199</v>
      </c>
      <c r="H127">
        <v>5.9726571380675997E-2</v>
      </c>
      <c r="I127">
        <v>0.15094758510700801</v>
      </c>
      <c r="J127">
        <v>0.59</v>
      </c>
      <c r="L127">
        <v>1.588283243999296</v>
      </c>
      <c r="M127">
        <v>1.4688301012379439</v>
      </c>
      <c r="N127">
        <v>1.648009815379972</v>
      </c>
      <c r="O127">
        <v>1.4091035298572678</v>
      </c>
    </row>
    <row r="128" spans="1:15">
      <c r="A128" s="19">
        <v>43679</v>
      </c>
      <c r="B128">
        <v>838</v>
      </c>
      <c r="C128">
        <v>801</v>
      </c>
      <c r="D128">
        <v>534</v>
      </c>
      <c r="E128">
        <v>535</v>
      </c>
      <c r="F128">
        <v>1.4971962616822401</v>
      </c>
      <c r="G128">
        <v>1.52987584923825</v>
      </c>
      <c r="H128">
        <v>6.0990379673331901E-2</v>
      </c>
      <c r="I128">
        <v>-0.53581544714182305</v>
      </c>
      <c r="J128">
        <v>-2.1800000000000002</v>
      </c>
      <c r="L128">
        <v>1.590866228911582</v>
      </c>
      <c r="M128">
        <v>1.4688854695649181</v>
      </c>
      <c r="N128">
        <v>1.6518566085849138</v>
      </c>
      <c r="O128">
        <v>1.4078950898915863</v>
      </c>
    </row>
    <row r="129" spans="1:15">
      <c r="A129" s="19">
        <v>43678</v>
      </c>
      <c r="B129">
        <v>852</v>
      </c>
      <c r="C129">
        <v>862</v>
      </c>
      <c r="D129">
        <v>544</v>
      </c>
      <c r="E129">
        <v>546</v>
      </c>
      <c r="F129">
        <v>1.57875457875457</v>
      </c>
      <c r="G129">
        <v>1.5318424928659899</v>
      </c>
      <c r="H129">
        <v>6.2269551605724199E-2</v>
      </c>
      <c r="I129">
        <v>0.75337118509580303</v>
      </c>
      <c r="J129">
        <v>2.97</v>
      </c>
      <c r="L129">
        <v>1.5941120444717141</v>
      </c>
      <c r="M129">
        <v>1.4695729412602658</v>
      </c>
      <c r="N129">
        <v>1.6563815960774384</v>
      </c>
      <c r="O129">
        <v>1.4073033896545415</v>
      </c>
    </row>
    <row r="130" spans="1:15">
      <c r="A130" s="19">
        <v>43677</v>
      </c>
      <c r="B130">
        <v>868</v>
      </c>
      <c r="C130">
        <v>854</v>
      </c>
      <c r="D130">
        <v>550</v>
      </c>
      <c r="E130">
        <v>545</v>
      </c>
      <c r="F130">
        <v>1.5669724770642199</v>
      </c>
      <c r="G130">
        <v>1.5325836347835999</v>
      </c>
      <c r="H130">
        <v>6.3148092948864407E-2</v>
      </c>
      <c r="I130">
        <v>0.54457451800586998</v>
      </c>
      <c r="J130">
        <v>2.19</v>
      </c>
      <c r="L130">
        <v>1.5957317277324643</v>
      </c>
      <c r="M130">
        <v>1.4694355418347356</v>
      </c>
      <c r="N130">
        <v>1.6588798206813287</v>
      </c>
      <c r="O130">
        <v>1.4062874488858712</v>
      </c>
    </row>
    <row r="131" spans="1:15">
      <c r="A131" s="19">
        <v>43676</v>
      </c>
      <c r="B131">
        <v>870</v>
      </c>
      <c r="C131">
        <v>868</v>
      </c>
      <c r="D131">
        <v>558</v>
      </c>
      <c r="E131">
        <v>555</v>
      </c>
      <c r="F131">
        <v>1.56396396396396</v>
      </c>
      <c r="G131">
        <v>1.53347980580293</v>
      </c>
      <c r="H131">
        <v>6.4099526327856399E-2</v>
      </c>
      <c r="I131">
        <v>0.47557540449060398</v>
      </c>
      <c r="J131">
        <v>1.95</v>
      </c>
      <c r="L131">
        <v>1.5975793321307863</v>
      </c>
      <c r="M131">
        <v>1.4693802794750737</v>
      </c>
      <c r="N131">
        <v>1.6616788584586428</v>
      </c>
      <c r="O131">
        <v>1.4052807531472171</v>
      </c>
    </row>
    <row r="132" spans="1:15">
      <c r="A132" s="19">
        <v>43675</v>
      </c>
      <c r="B132">
        <v>852</v>
      </c>
      <c r="C132">
        <v>862</v>
      </c>
      <c r="D132">
        <v>557</v>
      </c>
      <c r="E132">
        <v>554</v>
      </c>
      <c r="F132">
        <v>1.55595667870036</v>
      </c>
      <c r="G132">
        <v>1.53465226940578</v>
      </c>
      <c r="H132">
        <v>6.5436672087364298E-2</v>
      </c>
      <c r="I132" s="20">
        <v>0.32557293357058997</v>
      </c>
      <c r="J132">
        <v>1.37</v>
      </c>
      <c r="L132">
        <v>1.6000889414931443</v>
      </c>
      <c r="M132">
        <v>1.4692155973184158</v>
      </c>
      <c r="N132">
        <v>1.6655256135805085</v>
      </c>
      <c r="O132">
        <v>1.4037789252310515</v>
      </c>
    </row>
    <row r="133" spans="1:15">
      <c r="A133" s="19">
        <v>43672</v>
      </c>
      <c r="B133">
        <v>849</v>
      </c>
      <c r="C133">
        <v>848</v>
      </c>
      <c r="D133">
        <v>563</v>
      </c>
      <c r="E133">
        <v>564</v>
      </c>
      <c r="F133">
        <v>1.5035460992907801</v>
      </c>
      <c r="G133">
        <v>1.53552780197806</v>
      </c>
      <c r="H133">
        <v>6.6151256235313802E-2</v>
      </c>
      <c r="I133" s="20">
        <v>-0.48346327050115301</v>
      </c>
      <c r="J133">
        <v>-2.13</v>
      </c>
      <c r="L133">
        <v>1.6016790582133738</v>
      </c>
      <c r="M133">
        <v>1.4693765457427463</v>
      </c>
      <c r="N133">
        <v>1.6678303144486877</v>
      </c>
      <c r="O133">
        <v>1.4032252895074324</v>
      </c>
    </row>
    <row r="134" spans="1:15">
      <c r="A134" s="19">
        <v>43671</v>
      </c>
      <c r="B134">
        <v>845</v>
      </c>
      <c r="C134">
        <v>846</v>
      </c>
      <c r="D134">
        <v>562</v>
      </c>
      <c r="E134">
        <v>562</v>
      </c>
      <c r="F134">
        <v>1.50533807829181</v>
      </c>
      <c r="G134">
        <v>1.53685182867106</v>
      </c>
      <c r="H134">
        <v>6.6490788083903504E-2</v>
      </c>
      <c r="I134">
        <v>-0.473956638015536</v>
      </c>
      <c r="J134">
        <v>-2.09</v>
      </c>
      <c r="L134">
        <v>1.6033426167549634</v>
      </c>
      <c r="M134">
        <v>1.4703610405871566</v>
      </c>
      <c r="N134">
        <v>1.669833404838867</v>
      </c>
      <c r="O134">
        <v>1.4038702525032529</v>
      </c>
    </row>
    <row r="135" spans="1:15">
      <c r="A135" s="19">
        <v>43670</v>
      </c>
      <c r="B135">
        <v>849</v>
      </c>
      <c r="C135">
        <v>843</v>
      </c>
      <c r="D135">
        <v>560</v>
      </c>
      <c r="E135">
        <v>561</v>
      </c>
      <c r="F135">
        <v>1.5026737967914401</v>
      </c>
      <c r="G135">
        <v>1.53821525344995</v>
      </c>
      <c r="H135">
        <v>6.6877890600576001E-2</v>
      </c>
      <c r="I135">
        <v>-0.53143806330233001</v>
      </c>
      <c r="J135">
        <v>-2.37</v>
      </c>
      <c r="L135">
        <v>1.6050931440505261</v>
      </c>
      <c r="M135">
        <v>1.471337362849374</v>
      </c>
      <c r="N135">
        <v>1.6719710346511021</v>
      </c>
      <c r="O135">
        <v>1.404459472248798</v>
      </c>
    </row>
    <row r="136" spans="1:15">
      <c r="A136" s="19">
        <v>43669</v>
      </c>
      <c r="B136">
        <v>823</v>
      </c>
      <c r="C136">
        <v>847</v>
      </c>
      <c r="D136">
        <v>546</v>
      </c>
      <c r="E136">
        <v>557</v>
      </c>
      <c r="F136">
        <v>1.52064631956912</v>
      </c>
      <c r="G136">
        <v>1.53935982611155</v>
      </c>
      <c r="H136">
        <v>6.6994299299579202E-2</v>
      </c>
      <c r="I136">
        <v>-0.27932983459918098</v>
      </c>
      <c r="J136">
        <v>-1.23</v>
      </c>
      <c r="L136">
        <v>1.6063541254111291</v>
      </c>
      <c r="M136">
        <v>1.4723655268119709</v>
      </c>
      <c r="N136">
        <v>1.6733484247107084</v>
      </c>
      <c r="O136">
        <v>1.4053712275123915</v>
      </c>
    </row>
    <row r="137" spans="1:15">
      <c r="A137" s="19">
        <v>43668</v>
      </c>
      <c r="B137">
        <v>822</v>
      </c>
      <c r="C137">
        <v>827</v>
      </c>
      <c r="D137">
        <v>549</v>
      </c>
      <c r="E137">
        <v>548</v>
      </c>
      <c r="F137">
        <v>1.5091240875912399</v>
      </c>
      <c r="G137">
        <v>1.5399813543844001</v>
      </c>
      <c r="H137">
        <v>6.7034022697381998E-2</v>
      </c>
      <c r="I137">
        <v>-0.46032246837497198</v>
      </c>
      <c r="J137">
        <v>-2.04</v>
      </c>
      <c r="L137">
        <v>1.6070153770817821</v>
      </c>
      <c r="M137">
        <v>1.4729473316870181</v>
      </c>
      <c r="N137">
        <v>1.6740493997791641</v>
      </c>
      <c r="O137">
        <v>1.4059133089896361</v>
      </c>
    </row>
    <row r="138" spans="1:15">
      <c r="A138" s="19">
        <v>43665</v>
      </c>
      <c r="B138">
        <v>801</v>
      </c>
      <c r="C138">
        <v>823</v>
      </c>
      <c r="D138">
        <v>536</v>
      </c>
      <c r="E138">
        <v>550</v>
      </c>
      <c r="F138">
        <v>1.4963636363636299</v>
      </c>
      <c r="G138">
        <v>1.5404775860620401</v>
      </c>
      <c r="H138">
        <v>6.6941449696141103E-2</v>
      </c>
      <c r="I138">
        <v>-0.65899304390110003</v>
      </c>
      <c r="J138">
        <v>-2.95</v>
      </c>
      <c r="L138">
        <v>1.6074190357581812</v>
      </c>
      <c r="M138">
        <v>1.473536136365899</v>
      </c>
      <c r="N138">
        <v>1.6743604854543224</v>
      </c>
      <c r="O138">
        <v>1.4065946866697578</v>
      </c>
    </row>
    <row r="139" spans="1:15">
      <c r="A139" s="19">
        <v>43664</v>
      </c>
      <c r="B139">
        <v>828</v>
      </c>
      <c r="C139">
        <v>802</v>
      </c>
      <c r="D139">
        <v>551</v>
      </c>
      <c r="E139">
        <v>533</v>
      </c>
      <c r="F139">
        <v>1.5046904315196901</v>
      </c>
      <c r="G139">
        <v>1.54133122388959</v>
      </c>
      <c r="H139">
        <v>6.6781484208250502E-2</v>
      </c>
      <c r="I139">
        <v>-0.54866693671616695</v>
      </c>
      <c r="J139">
        <v>-2.44</v>
      </c>
      <c r="L139">
        <v>1.6081127080978406</v>
      </c>
      <c r="M139">
        <v>1.4745497396813394</v>
      </c>
      <c r="N139">
        <v>1.6748941923060909</v>
      </c>
      <c r="O139">
        <v>1.407768255473089</v>
      </c>
    </row>
    <row r="140" spans="1:15">
      <c r="A140" s="19">
        <v>43663</v>
      </c>
      <c r="B140">
        <v>830</v>
      </c>
      <c r="C140">
        <v>839</v>
      </c>
      <c r="D140">
        <v>554</v>
      </c>
      <c r="E140">
        <v>555</v>
      </c>
      <c r="F140">
        <v>1.51171171171171</v>
      </c>
      <c r="G140">
        <v>1.54141636412756</v>
      </c>
      <c r="H140">
        <v>6.6738773116851197E-2</v>
      </c>
      <c r="I140">
        <v>-0.445088380091194</v>
      </c>
      <c r="J140">
        <v>-1.96</v>
      </c>
      <c r="L140">
        <v>1.6081551372444112</v>
      </c>
      <c r="M140">
        <v>1.4746775910107088</v>
      </c>
      <c r="N140">
        <v>1.6748939103612623</v>
      </c>
      <c r="O140">
        <v>1.4079388178938577</v>
      </c>
    </row>
    <row r="141" spans="1:15">
      <c r="A141" s="19">
        <v>43662</v>
      </c>
      <c r="B141">
        <v>825</v>
      </c>
      <c r="C141">
        <v>830</v>
      </c>
      <c r="D141">
        <v>557</v>
      </c>
      <c r="E141">
        <v>556</v>
      </c>
      <c r="F141">
        <v>1.4928057553956799</v>
      </c>
      <c r="G141">
        <v>1.54147878720638</v>
      </c>
      <c r="H141">
        <v>6.6713144708081998E-2</v>
      </c>
      <c r="I141">
        <v>-0.72958683065649599</v>
      </c>
      <c r="J141">
        <v>-3.26</v>
      </c>
      <c r="L141">
        <v>1.608191931914462</v>
      </c>
      <c r="M141">
        <v>1.474765642498298</v>
      </c>
      <c r="N141">
        <v>1.674905076622544</v>
      </c>
      <c r="O141">
        <v>1.408052497790216</v>
      </c>
    </row>
    <row r="142" spans="1:15">
      <c r="A142" s="19">
        <v>43658</v>
      </c>
      <c r="B142">
        <v>840</v>
      </c>
      <c r="C142">
        <v>830</v>
      </c>
      <c r="D142">
        <v>567</v>
      </c>
      <c r="E142">
        <v>558</v>
      </c>
      <c r="F142">
        <v>1.48745519713261</v>
      </c>
      <c r="G142">
        <v>1.5420092626670301</v>
      </c>
      <c r="H142">
        <v>6.6481786158026204E-2</v>
      </c>
      <c r="I142">
        <v>-0.820586640147418</v>
      </c>
      <c r="J142">
        <v>-3.67</v>
      </c>
      <c r="L142">
        <v>1.6084910488250563</v>
      </c>
      <c r="M142">
        <v>1.4755274765090038</v>
      </c>
      <c r="N142">
        <v>1.6749728349830826</v>
      </c>
      <c r="O142">
        <v>1.4090456903509776</v>
      </c>
    </row>
    <row r="143" spans="1:15">
      <c r="A143" s="19">
        <v>43657</v>
      </c>
      <c r="B143">
        <v>818</v>
      </c>
      <c r="C143">
        <v>833</v>
      </c>
      <c r="D143">
        <v>564</v>
      </c>
      <c r="E143">
        <v>564</v>
      </c>
      <c r="F143">
        <v>1.4769503546099201</v>
      </c>
      <c r="G143">
        <v>1.54287208582778</v>
      </c>
      <c r="H143">
        <v>6.6187439820158497E-2</v>
      </c>
      <c r="I143">
        <v>-0.99598551321787998</v>
      </c>
      <c r="J143">
        <v>-4.46</v>
      </c>
      <c r="L143">
        <v>1.6090595256479385</v>
      </c>
      <c r="M143">
        <v>1.4766846460076215</v>
      </c>
      <c r="N143">
        <v>1.675246965468097</v>
      </c>
      <c r="O143">
        <v>1.410497206187463</v>
      </c>
    </row>
    <row r="144" spans="1:15">
      <c r="A144" s="19">
        <v>43656</v>
      </c>
      <c r="B144">
        <v>818</v>
      </c>
      <c r="C144">
        <v>816</v>
      </c>
      <c r="D144">
        <v>556</v>
      </c>
      <c r="E144">
        <v>565</v>
      </c>
      <c r="F144">
        <v>1.4442477876106099</v>
      </c>
      <c r="G144">
        <v>1.54368235718312</v>
      </c>
      <c r="H144">
        <v>6.5745966754423096E-2</v>
      </c>
      <c r="I144">
        <v>-1.5124056194034601</v>
      </c>
      <c r="J144">
        <v>-6.88</v>
      </c>
      <c r="L144">
        <v>1.6094283239375431</v>
      </c>
      <c r="M144">
        <v>1.4779363904286968</v>
      </c>
      <c r="N144">
        <v>1.6751742906919662</v>
      </c>
      <c r="O144">
        <v>1.4121904236742737</v>
      </c>
    </row>
    <row r="145" spans="1:15">
      <c r="A145" s="19">
        <v>43655</v>
      </c>
      <c r="B145">
        <v>821</v>
      </c>
      <c r="C145">
        <v>817</v>
      </c>
      <c r="D145">
        <v>558</v>
      </c>
      <c r="E145">
        <v>561</v>
      </c>
      <c r="F145">
        <v>1.45632798573975</v>
      </c>
      <c r="G145">
        <v>1.54465926566253</v>
      </c>
      <c r="H145">
        <v>6.4798743114802895E-2</v>
      </c>
      <c r="I145">
        <v>-1.36316347627751</v>
      </c>
      <c r="J145">
        <v>-6.07</v>
      </c>
      <c r="L145">
        <v>1.6094580087773329</v>
      </c>
      <c r="M145">
        <v>1.479860522547727</v>
      </c>
      <c r="N145">
        <v>1.6742567518921359</v>
      </c>
      <c r="O145">
        <v>1.4150617794329241</v>
      </c>
    </row>
    <row r="146" spans="1:15">
      <c r="A146" s="19">
        <v>43654</v>
      </c>
      <c r="B146">
        <v>818</v>
      </c>
      <c r="C146">
        <v>824</v>
      </c>
      <c r="D146">
        <v>565</v>
      </c>
      <c r="E146">
        <v>561</v>
      </c>
      <c r="F146">
        <v>1.4688057040998199</v>
      </c>
      <c r="G146">
        <v>1.5455549033243099</v>
      </c>
      <c r="H146">
        <v>6.4031334610509597E-2</v>
      </c>
      <c r="I146">
        <v>-1.19861938988686</v>
      </c>
      <c r="J146">
        <v>-5.23</v>
      </c>
      <c r="L146">
        <v>1.6095862379348196</v>
      </c>
      <c r="M146">
        <v>1.4815235687138002</v>
      </c>
      <c r="N146">
        <v>1.6736175725453291</v>
      </c>
      <c r="O146">
        <v>1.4174922341032907</v>
      </c>
    </row>
    <row r="147" spans="1:15">
      <c r="A147" s="19">
        <v>43651</v>
      </c>
      <c r="B147">
        <v>821</v>
      </c>
      <c r="C147">
        <v>821</v>
      </c>
      <c r="D147">
        <v>570</v>
      </c>
      <c r="E147">
        <v>568</v>
      </c>
      <c r="F147">
        <v>1.44542253521126</v>
      </c>
      <c r="G147">
        <v>1.5462169481899199</v>
      </c>
      <c r="H147">
        <v>6.3488766229406898E-2</v>
      </c>
      <c r="I147">
        <v>-1.5875944511892599</v>
      </c>
      <c r="J147">
        <v>-6.97</v>
      </c>
      <c r="L147">
        <v>1.6097057144193267</v>
      </c>
      <c r="M147">
        <v>1.4827281819605131</v>
      </c>
      <c r="N147">
        <v>1.6731944806487338</v>
      </c>
      <c r="O147">
        <v>1.4192394157311061</v>
      </c>
    </row>
    <row r="148" spans="1:15">
      <c r="A148" s="19">
        <v>43650</v>
      </c>
      <c r="B148">
        <v>825</v>
      </c>
      <c r="C148">
        <v>819</v>
      </c>
      <c r="D148">
        <v>569</v>
      </c>
      <c r="E148">
        <v>571</v>
      </c>
      <c r="F148">
        <v>1.43432574430823</v>
      </c>
      <c r="G148">
        <v>1.5470612348958499</v>
      </c>
      <c r="H148">
        <v>6.2556960880517903E-2</v>
      </c>
      <c r="I148">
        <v>-1.8021254389730299</v>
      </c>
      <c r="J148">
        <v>-7.86</v>
      </c>
      <c r="L148">
        <v>1.6096181957763678</v>
      </c>
      <c r="M148">
        <v>1.484504274015332</v>
      </c>
      <c r="N148">
        <v>1.6721751566568857</v>
      </c>
      <c r="O148">
        <v>1.4219473131348142</v>
      </c>
    </row>
    <row r="149" spans="1:15">
      <c r="A149" s="19">
        <v>43649</v>
      </c>
      <c r="B149">
        <v>831</v>
      </c>
      <c r="C149">
        <v>817</v>
      </c>
      <c r="D149">
        <v>561</v>
      </c>
      <c r="E149">
        <v>566</v>
      </c>
      <c r="F149">
        <v>1.4434628975265</v>
      </c>
      <c r="G149">
        <v>1.54802048620476</v>
      </c>
      <c r="H149">
        <v>6.1361079588309303E-2</v>
      </c>
      <c r="I149">
        <v>-1.70397244278899</v>
      </c>
      <c r="J149">
        <v>-7.24</v>
      </c>
      <c r="L149">
        <v>1.6093815657930692</v>
      </c>
      <c r="M149">
        <v>1.4866594066164507</v>
      </c>
      <c r="N149">
        <v>1.6707426453813785</v>
      </c>
      <c r="O149">
        <v>1.4252983270281414</v>
      </c>
    </row>
    <row r="150" spans="1:15">
      <c r="A150" s="19">
        <v>43648</v>
      </c>
      <c r="B150">
        <v>842</v>
      </c>
      <c r="C150">
        <v>836</v>
      </c>
      <c r="D150">
        <v>568</v>
      </c>
      <c r="E150">
        <v>570</v>
      </c>
      <c r="F150">
        <v>1.4666666666666599</v>
      </c>
      <c r="G150">
        <v>1.54864651871058</v>
      </c>
      <c r="H150">
        <v>6.05249620027501E-2</v>
      </c>
      <c r="I150">
        <v>-1.35448002495557</v>
      </c>
      <c r="J150">
        <v>-5.59</v>
      </c>
      <c r="L150">
        <v>1.6091714807133302</v>
      </c>
      <c r="M150">
        <v>1.4881215567078299</v>
      </c>
      <c r="N150">
        <v>1.6696964427160803</v>
      </c>
      <c r="O150">
        <v>1.4275965947050797</v>
      </c>
    </row>
    <row r="151" spans="1:15">
      <c r="A151" s="19">
        <v>43647</v>
      </c>
      <c r="B151">
        <v>840</v>
      </c>
      <c r="C151">
        <v>844</v>
      </c>
      <c r="D151">
        <v>566</v>
      </c>
      <c r="E151">
        <v>565</v>
      </c>
      <c r="F151">
        <v>1.4938053097345101</v>
      </c>
      <c r="G151">
        <v>1.54895140330532</v>
      </c>
      <c r="H151">
        <v>6.0167772761603802E-2</v>
      </c>
      <c r="I151">
        <v>-0.91653872230426003</v>
      </c>
      <c r="J151">
        <v>-3.69</v>
      </c>
      <c r="L151">
        <v>1.6091191760669239</v>
      </c>
      <c r="M151">
        <v>1.4887836305437161</v>
      </c>
      <c r="N151">
        <v>1.6692869488285276</v>
      </c>
      <c r="O151">
        <v>1.4286158577821124</v>
      </c>
    </row>
    <row r="152" spans="1:15">
      <c r="A152" s="19">
        <v>43644</v>
      </c>
      <c r="B152">
        <v>822</v>
      </c>
      <c r="C152">
        <v>823</v>
      </c>
      <c r="D152">
        <v>553</v>
      </c>
      <c r="E152">
        <v>553</v>
      </c>
      <c r="F152">
        <v>1.4882459312839</v>
      </c>
      <c r="G152">
        <v>1.5490444978631901</v>
      </c>
      <c r="H152">
        <v>6.0087724244221798E-2</v>
      </c>
      <c r="I152">
        <v>-1.01183007584344</v>
      </c>
      <c r="J152">
        <v>-4.09</v>
      </c>
      <c r="L152">
        <v>1.6091322221074118</v>
      </c>
      <c r="M152">
        <v>1.4889567736189684</v>
      </c>
      <c r="N152">
        <v>1.6692199463516337</v>
      </c>
      <c r="O152">
        <v>1.4288690493747465</v>
      </c>
    </row>
    <row r="153" spans="1:15">
      <c r="A153" s="19">
        <v>43643</v>
      </c>
      <c r="B153">
        <v>817</v>
      </c>
      <c r="C153">
        <v>828</v>
      </c>
      <c r="D153">
        <v>549</v>
      </c>
      <c r="E153">
        <v>552</v>
      </c>
      <c r="F153">
        <v>1.5</v>
      </c>
      <c r="G153">
        <v>1.5491594214962301</v>
      </c>
      <c r="H153">
        <v>5.9979476249846703E-2</v>
      </c>
      <c r="I153">
        <v>-0.81960404741548198</v>
      </c>
      <c r="J153">
        <v>-3.28</v>
      </c>
      <c r="L153">
        <v>1.6091388977460768</v>
      </c>
      <c r="M153">
        <v>1.4891799452463834</v>
      </c>
      <c r="N153">
        <v>1.6691183739959234</v>
      </c>
      <c r="O153">
        <v>1.4292004689965367</v>
      </c>
    </row>
    <row r="154" spans="1:15">
      <c r="A154" s="19">
        <v>43642</v>
      </c>
      <c r="B154">
        <v>802</v>
      </c>
      <c r="C154">
        <v>812</v>
      </c>
      <c r="D154">
        <v>534</v>
      </c>
      <c r="E154">
        <v>541</v>
      </c>
      <c r="F154">
        <v>1.5009242144177399</v>
      </c>
      <c r="G154">
        <v>1.5489078491691901</v>
      </c>
      <c r="H154">
        <v>6.0224208009521898E-2</v>
      </c>
      <c r="I154">
        <v>-0.79674995051590902</v>
      </c>
      <c r="J154">
        <v>-3.2</v>
      </c>
      <c r="L154">
        <v>1.609132057178712</v>
      </c>
      <c r="M154">
        <v>1.4886836411596682</v>
      </c>
      <c r="N154">
        <v>1.6693562651882339</v>
      </c>
      <c r="O154">
        <v>1.4284594331501463</v>
      </c>
    </row>
    <row r="155" spans="1:15">
      <c r="A155" s="19">
        <v>43641</v>
      </c>
      <c r="B155">
        <v>825</v>
      </c>
      <c r="C155">
        <v>818</v>
      </c>
      <c r="D155">
        <v>539</v>
      </c>
      <c r="E155">
        <v>536</v>
      </c>
      <c r="F155">
        <v>1.52611940298507</v>
      </c>
      <c r="G155">
        <v>1.5487814775803701</v>
      </c>
      <c r="H155">
        <v>6.03346047496916E-2</v>
      </c>
      <c r="I155">
        <v>-0.37560658082237702</v>
      </c>
      <c r="J155">
        <v>-1.48</v>
      </c>
      <c r="L155">
        <v>1.6091160823300616</v>
      </c>
      <c r="M155">
        <v>1.4884468728306786</v>
      </c>
      <c r="N155">
        <v>1.6694506870797534</v>
      </c>
      <c r="O155">
        <v>1.4281122680809868</v>
      </c>
    </row>
    <row r="156" spans="1:15">
      <c r="A156" s="19">
        <v>43640</v>
      </c>
      <c r="B156">
        <v>825</v>
      </c>
      <c r="C156">
        <v>827</v>
      </c>
      <c r="D156">
        <v>538</v>
      </c>
      <c r="E156">
        <v>543</v>
      </c>
      <c r="F156">
        <v>1.5230202578268801</v>
      </c>
      <c r="G156">
        <v>1.5483066365954199</v>
      </c>
      <c r="H156">
        <v>6.0650402859817598E-2</v>
      </c>
      <c r="I156">
        <v>-0.41692021118119199</v>
      </c>
      <c r="J156">
        <v>-1.66</v>
      </c>
      <c r="L156">
        <v>1.6089570394552375</v>
      </c>
      <c r="M156">
        <v>1.4876562337356023</v>
      </c>
      <c r="N156">
        <v>1.6696074423150551</v>
      </c>
      <c r="O156">
        <v>1.4270058308757847</v>
      </c>
    </row>
    <row r="157" spans="1:15">
      <c r="A157" s="19">
        <v>43637</v>
      </c>
      <c r="B157">
        <v>830</v>
      </c>
      <c r="C157">
        <v>822</v>
      </c>
      <c r="D157">
        <v>545</v>
      </c>
      <c r="E157">
        <v>546</v>
      </c>
      <c r="F157">
        <v>1.5054945054944999</v>
      </c>
      <c r="G157">
        <v>1.54803129540102</v>
      </c>
      <c r="H157">
        <v>6.0811234782314302E-2</v>
      </c>
      <c r="I157">
        <v>-0.699489001642288</v>
      </c>
      <c r="J157">
        <v>-2.83</v>
      </c>
      <c r="L157">
        <v>1.6088425301833342</v>
      </c>
      <c r="M157">
        <v>1.4872200606187058</v>
      </c>
      <c r="N157">
        <v>1.6696537649656487</v>
      </c>
      <c r="O157">
        <v>1.4264088258363914</v>
      </c>
    </row>
    <row r="158" spans="1:15">
      <c r="A158" s="19">
        <v>43636</v>
      </c>
      <c r="B158">
        <v>823</v>
      </c>
      <c r="C158">
        <v>827</v>
      </c>
      <c r="D158">
        <v>539</v>
      </c>
      <c r="E158">
        <v>541</v>
      </c>
      <c r="F158">
        <v>1.52865064695009</v>
      </c>
      <c r="G158">
        <v>1.5481864880795699</v>
      </c>
      <c r="H158">
        <v>6.0717260740398002E-2</v>
      </c>
      <c r="I158">
        <v>-0.32175102913507703</v>
      </c>
      <c r="J158">
        <v>-1.28</v>
      </c>
      <c r="L158">
        <v>1.608903748819968</v>
      </c>
      <c r="M158">
        <v>1.4874692273391719</v>
      </c>
      <c r="N158">
        <v>1.6696210095603659</v>
      </c>
      <c r="O158">
        <v>1.426751966598774</v>
      </c>
    </row>
    <row r="159" spans="1:15">
      <c r="A159" s="19">
        <v>43635</v>
      </c>
      <c r="B159">
        <v>823</v>
      </c>
      <c r="C159">
        <v>824</v>
      </c>
      <c r="D159">
        <v>534</v>
      </c>
      <c r="E159">
        <v>535</v>
      </c>
      <c r="F159">
        <v>1.5401869158878501</v>
      </c>
      <c r="G159">
        <v>1.54801412305944</v>
      </c>
      <c r="H159">
        <v>6.0790779407150303E-2</v>
      </c>
      <c r="I159">
        <v>-0.128756486558155</v>
      </c>
      <c r="J159">
        <v>-0.51</v>
      </c>
      <c r="L159">
        <v>1.6088049024665902</v>
      </c>
      <c r="M159">
        <v>1.4872233436522897</v>
      </c>
      <c r="N159">
        <v>1.6695956818737405</v>
      </c>
      <c r="O159">
        <v>1.4264325642451394</v>
      </c>
    </row>
    <row r="160" spans="1:15">
      <c r="A160" s="19">
        <v>43634</v>
      </c>
      <c r="B160">
        <v>800</v>
      </c>
      <c r="C160">
        <v>799</v>
      </c>
      <c r="D160">
        <v>525</v>
      </c>
      <c r="E160">
        <v>528</v>
      </c>
      <c r="F160">
        <v>1.5132575757575699</v>
      </c>
      <c r="G160">
        <v>1.54776905556204</v>
      </c>
      <c r="H160">
        <v>6.0858849371872102E-2</v>
      </c>
      <c r="I160">
        <v>-0.56707414222685304</v>
      </c>
      <c r="J160">
        <v>-2.2799999999999998</v>
      </c>
      <c r="L160">
        <v>1.6086279049339121</v>
      </c>
      <c r="M160">
        <v>1.486910206190168</v>
      </c>
      <c r="N160">
        <v>1.6694867543057843</v>
      </c>
      <c r="O160">
        <v>1.4260513568182958</v>
      </c>
    </row>
    <row r="161" spans="1:15">
      <c r="A161" s="19">
        <v>43633</v>
      </c>
      <c r="B161">
        <v>819</v>
      </c>
      <c r="C161">
        <v>807</v>
      </c>
      <c r="D161">
        <v>533</v>
      </c>
      <c r="E161">
        <v>525</v>
      </c>
      <c r="F161">
        <v>1.53714285714285</v>
      </c>
      <c r="G161">
        <v>1.5479157098988301</v>
      </c>
      <c r="H161">
        <v>6.0788720870702598E-2</v>
      </c>
      <c r="I161">
        <v>-0.177217954279626</v>
      </c>
      <c r="J161">
        <v>-0.7</v>
      </c>
      <c r="L161">
        <v>1.6087044307695326</v>
      </c>
      <c r="M161">
        <v>1.4871269890281276</v>
      </c>
      <c r="N161">
        <v>1.6694931516402354</v>
      </c>
      <c r="O161">
        <v>1.4263382681574248</v>
      </c>
    </row>
    <row r="162" spans="1:15">
      <c r="A162" s="19">
        <v>43630</v>
      </c>
      <c r="B162">
        <v>819</v>
      </c>
      <c r="C162">
        <v>825</v>
      </c>
      <c r="D162">
        <v>530</v>
      </c>
      <c r="E162">
        <v>530</v>
      </c>
      <c r="F162">
        <v>1.5566037735849001</v>
      </c>
      <c r="G162">
        <v>1.54739963847026</v>
      </c>
      <c r="H162">
        <v>6.10417570795109E-2</v>
      </c>
      <c r="I162">
        <v>0.150784242705363</v>
      </c>
      <c r="J162">
        <v>0.59</v>
      </c>
      <c r="L162">
        <v>1.6084413955497709</v>
      </c>
      <c r="M162">
        <v>1.486357881390749</v>
      </c>
      <c r="N162">
        <v>1.6694831526292817</v>
      </c>
      <c r="O162">
        <v>1.4253161243112382</v>
      </c>
    </row>
    <row r="163" spans="1:15">
      <c r="A163" s="19">
        <v>43629</v>
      </c>
      <c r="B163">
        <v>810</v>
      </c>
      <c r="C163">
        <v>814</v>
      </c>
      <c r="D163">
        <v>526</v>
      </c>
      <c r="E163">
        <v>524</v>
      </c>
      <c r="F163">
        <v>1.5534351145038101</v>
      </c>
      <c r="G163">
        <v>1.5468341959370799</v>
      </c>
      <c r="H163">
        <v>6.1150199979400202E-2</v>
      </c>
      <c r="I163">
        <v>0.10794598495108799</v>
      </c>
      <c r="J163">
        <v>0.42</v>
      </c>
      <c r="L163">
        <v>1.6079843959164801</v>
      </c>
      <c r="M163">
        <v>1.4856839959576797</v>
      </c>
      <c r="N163">
        <v>1.6691345958958803</v>
      </c>
      <c r="O163">
        <v>1.4245337959782796</v>
      </c>
    </row>
    <row r="164" spans="1:15">
      <c r="A164" s="19">
        <v>43628</v>
      </c>
      <c r="B164">
        <v>807</v>
      </c>
      <c r="C164">
        <v>814</v>
      </c>
      <c r="D164">
        <v>530</v>
      </c>
      <c r="E164">
        <v>534</v>
      </c>
      <c r="F164">
        <v>1.5243445692883799</v>
      </c>
      <c r="G164">
        <v>1.5463435977912401</v>
      </c>
      <c r="H164">
        <v>6.1242803370789897E-2</v>
      </c>
      <c r="I164">
        <v>-0.35921001802714497</v>
      </c>
      <c r="J164">
        <v>-1.44</v>
      </c>
      <c r="L164">
        <v>1.60758640116203</v>
      </c>
      <c r="M164">
        <v>1.4851007944204502</v>
      </c>
      <c r="N164">
        <v>1.6688292045328199</v>
      </c>
      <c r="O164">
        <v>1.4238579910496603</v>
      </c>
    </row>
    <row r="165" spans="1:15">
      <c r="A165" s="19">
        <v>43627</v>
      </c>
      <c r="B165">
        <v>792</v>
      </c>
      <c r="C165">
        <v>811</v>
      </c>
      <c r="D165">
        <v>529</v>
      </c>
      <c r="E165">
        <v>531</v>
      </c>
      <c r="F165">
        <v>1.52730696798493</v>
      </c>
      <c r="G165">
        <v>1.5462197431008899</v>
      </c>
      <c r="H165">
        <v>6.1296537335152099E-2</v>
      </c>
      <c r="I165">
        <v>-0.30854557105806202</v>
      </c>
      <c r="J165">
        <v>-1.24</v>
      </c>
      <c r="L165">
        <v>1.6075162804360421</v>
      </c>
      <c r="M165">
        <v>1.4849232057657378</v>
      </c>
      <c r="N165">
        <v>1.6688128177711941</v>
      </c>
      <c r="O165">
        <v>1.4236266684305858</v>
      </c>
    </row>
    <row r="166" spans="1:15">
      <c r="A166" s="19">
        <v>43626</v>
      </c>
      <c r="B166">
        <v>787</v>
      </c>
      <c r="C166">
        <v>790</v>
      </c>
      <c r="D166">
        <v>520</v>
      </c>
      <c r="E166">
        <v>524</v>
      </c>
      <c r="F166">
        <v>1.5076335877862499</v>
      </c>
      <c r="G166">
        <v>1.5458875481210499</v>
      </c>
      <c r="H166">
        <v>6.1465413905043599E-2</v>
      </c>
      <c r="I166">
        <v>-0.62236561839309401</v>
      </c>
      <c r="J166">
        <v>-2.54</v>
      </c>
      <c r="L166">
        <v>1.6073529620260936</v>
      </c>
      <c r="M166">
        <v>1.4844221342160062</v>
      </c>
      <c r="N166">
        <v>1.668818375931137</v>
      </c>
      <c r="O166">
        <v>1.4229567203109628</v>
      </c>
    </row>
    <row r="167" spans="1:15">
      <c r="A167" s="19">
        <v>43623</v>
      </c>
      <c r="B167">
        <v>769</v>
      </c>
      <c r="C167">
        <v>777</v>
      </c>
      <c r="D167">
        <v>518</v>
      </c>
      <c r="E167">
        <v>517</v>
      </c>
      <c r="F167">
        <v>1.5029013539651801</v>
      </c>
      <c r="G167">
        <v>1.5466071002838999</v>
      </c>
      <c r="H167">
        <v>6.1329108586705802E-2</v>
      </c>
      <c r="I167">
        <v>-0.71264277805269705</v>
      </c>
      <c r="J167">
        <v>-2.91</v>
      </c>
      <c r="L167">
        <v>1.6079362088706057</v>
      </c>
      <c r="M167">
        <v>1.4852779916971941</v>
      </c>
      <c r="N167">
        <v>1.6692653174573115</v>
      </c>
      <c r="O167">
        <v>1.4239488831104883</v>
      </c>
    </row>
    <row r="168" spans="1:15">
      <c r="A168" s="19">
        <v>43622</v>
      </c>
      <c r="B168">
        <v>775</v>
      </c>
      <c r="C168">
        <v>768</v>
      </c>
      <c r="D168">
        <v>520</v>
      </c>
      <c r="E168">
        <v>519</v>
      </c>
      <c r="F168">
        <v>1.47976878612716</v>
      </c>
      <c r="G168">
        <v>1.54712854736009</v>
      </c>
      <c r="H168">
        <v>6.1121192844385899E-2</v>
      </c>
      <c r="I168">
        <v>-1.10206882585587</v>
      </c>
      <c r="J168">
        <v>-4.55</v>
      </c>
      <c r="L168">
        <v>1.608249740204476</v>
      </c>
      <c r="M168">
        <v>1.486007354515704</v>
      </c>
      <c r="N168">
        <v>1.6693709330488617</v>
      </c>
      <c r="O168">
        <v>1.4248861616713182</v>
      </c>
    </row>
    <row r="169" spans="1:15">
      <c r="A169" s="19">
        <v>43621</v>
      </c>
      <c r="B169">
        <v>763</v>
      </c>
      <c r="C169">
        <v>775</v>
      </c>
      <c r="D169">
        <v>515</v>
      </c>
      <c r="E169">
        <v>518</v>
      </c>
      <c r="F169">
        <v>1.4961389961389899</v>
      </c>
      <c r="G169">
        <v>1.54833774226605</v>
      </c>
      <c r="H169">
        <v>6.0672047321202502E-2</v>
      </c>
      <c r="I169">
        <v>-0.86034258660692597</v>
      </c>
      <c r="J169">
        <v>-3.49</v>
      </c>
      <c r="L169">
        <v>1.6090097895872526</v>
      </c>
      <c r="M169">
        <v>1.4876656949448475</v>
      </c>
      <c r="N169">
        <v>1.669681836908455</v>
      </c>
      <c r="O169">
        <v>1.4269936476236451</v>
      </c>
    </row>
    <row r="170" spans="1:15">
      <c r="A170" s="19">
        <v>43620</v>
      </c>
      <c r="B170">
        <v>738</v>
      </c>
      <c r="C170">
        <v>748</v>
      </c>
      <c r="D170">
        <v>501</v>
      </c>
      <c r="E170">
        <v>507</v>
      </c>
      <c r="F170">
        <v>1.4753451676528599</v>
      </c>
      <c r="G170">
        <v>1.54931158075303</v>
      </c>
      <c r="H170">
        <v>6.0412000246227997E-2</v>
      </c>
      <c r="I170">
        <v>-1.2243662318529001</v>
      </c>
      <c r="J170">
        <v>-5.01</v>
      </c>
      <c r="L170">
        <v>1.6097235809992581</v>
      </c>
      <c r="M170">
        <v>1.4888995805068019</v>
      </c>
      <c r="N170">
        <v>1.6701355812454859</v>
      </c>
      <c r="O170">
        <v>1.4284875802605741</v>
      </c>
    </row>
    <row r="171" spans="1:15">
      <c r="A171" s="19">
        <v>43619</v>
      </c>
      <c r="B171">
        <v>750</v>
      </c>
      <c r="C171">
        <v>735</v>
      </c>
      <c r="D171">
        <v>497</v>
      </c>
      <c r="E171">
        <v>499</v>
      </c>
      <c r="F171">
        <v>1.4729458917835601</v>
      </c>
      <c r="G171">
        <v>1.5510243948959701</v>
      </c>
      <c r="H171">
        <v>6.0110935162918502E-2</v>
      </c>
      <c r="I171">
        <v>-1.2989068112281299</v>
      </c>
      <c r="J171">
        <v>-5.3</v>
      </c>
      <c r="L171">
        <v>1.6111353300588886</v>
      </c>
      <c r="M171">
        <v>1.4909134597330516</v>
      </c>
      <c r="N171">
        <v>1.6712462652218072</v>
      </c>
      <c r="O171">
        <v>1.430802524570133</v>
      </c>
    </row>
    <row r="172" spans="1:15">
      <c r="A172" s="19">
        <v>43616</v>
      </c>
      <c r="B172">
        <v>770</v>
      </c>
      <c r="C172">
        <v>754</v>
      </c>
      <c r="D172">
        <v>508</v>
      </c>
      <c r="E172">
        <v>501</v>
      </c>
      <c r="F172">
        <v>1.5049900199600701</v>
      </c>
      <c r="G172">
        <v>1.55244597619369</v>
      </c>
      <c r="H172">
        <v>5.9505300244341398E-2</v>
      </c>
      <c r="I172">
        <v>-0.79750805455558504</v>
      </c>
      <c r="J172">
        <v>-3.15</v>
      </c>
      <c r="L172">
        <v>1.6119512764380313</v>
      </c>
      <c r="M172">
        <v>1.4929406759493487</v>
      </c>
      <c r="N172">
        <v>1.6714565766823728</v>
      </c>
      <c r="O172">
        <v>1.4334353757050071</v>
      </c>
    </row>
    <row r="173" spans="1:15">
      <c r="A173" s="19">
        <v>43615</v>
      </c>
      <c r="B173">
        <v>764</v>
      </c>
      <c r="C173">
        <v>773</v>
      </c>
      <c r="D173">
        <v>500</v>
      </c>
      <c r="E173">
        <v>507</v>
      </c>
      <c r="F173">
        <v>1.5246548323471401</v>
      </c>
      <c r="G173">
        <v>1.5536766789168399</v>
      </c>
      <c r="H173">
        <v>5.94655780120001E-2</v>
      </c>
      <c r="I173">
        <v>-0.48804447110298399</v>
      </c>
      <c r="J173">
        <v>-1.9</v>
      </c>
      <c r="L173">
        <v>1.6131422569288401</v>
      </c>
      <c r="M173">
        <v>1.4942111009048398</v>
      </c>
      <c r="N173">
        <v>1.6726078349408402</v>
      </c>
      <c r="O173">
        <v>1.4347455228928396</v>
      </c>
    </row>
    <row r="174" spans="1:15">
      <c r="A174" s="19">
        <v>43614</v>
      </c>
      <c r="B174">
        <v>761</v>
      </c>
      <c r="C174">
        <v>766</v>
      </c>
      <c r="D174">
        <v>507</v>
      </c>
      <c r="E174">
        <v>505</v>
      </c>
      <c r="F174">
        <v>1.51683168316831</v>
      </c>
      <c r="G174">
        <v>1.5549406668177399</v>
      </c>
      <c r="H174">
        <v>5.9841588239764897E-2</v>
      </c>
      <c r="I174">
        <v>-0.636831086379825</v>
      </c>
      <c r="J174">
        <v>-2.5099999999999998</v>
      </c>
      <c r="L174">
        <v>1.6147822550575048</v>
      </c>
      <c r="M174">
        <v>1.495099078577975</v>
      </c>
      <c r="N174">
        <v>1.6746238432972698</v>
      </c>
      <c r="O174">
        <v>1.43525749033821</v>
      </c>
    </row>
    <row r="175" spans="1:15">
      <c r="A175" s="19">
        <v>43613</v>
      </c>
      <c r="B175">
        <v>766</v>
      </c>
      <c r="C175">
        <v>768</v>
      </c>
      <c r="D175">
        <v>493</v>
      </c>
      <c r="E175">
        <v>502</v>
      </c>
      <c r="F175">
        <v>1.52988047808764</v>
      </c>
      <c r="G175">
        <v>1.5559849871667299</v>
      </c>
      <c r="H175">
        <v>5.9850851942190503E-2</v>
      </c>
      <c r="I175">
        <v>-0.43615935666705502</v>
      </c>
      <c r="J175">
        <v>-1.71</v>
      </c>
      <c r="L175">
        <v>1.6158358391089205</v>
      </c>
      <c r="M175">
        <v>1.4961341352245394</v>
      </c>
      <c r="N175">
        <v>1.675686691051111</v>
      </c>
      <c r="O175">
        <v>1.4362832832823489</v>
      </c>
    </row>
    <row r="176" spans="1:15">
      <c r="A176" s="19">
        <v>43612</v>
      </c>
      <c r="B176">
        <v>768</v>
      </c>
      <c r="C176">
        <v>771</v>
      </c>
      <c r="D176">
        <v>507</v>
      </c>
      <c r="E176">
        <v>498</v>
      </c>
      <c r="F176">
        <v>1.54819277108433</v>
      </c>
      <c r="G176">
        <v>1.5573337072290101</v>
      </c>
      <c r="H176">
        <v>6.0384754016700598E-2</v>
      </c>
      <c r="I176">
        <v>-0.15137821282081701</v>
      </c>
      <c r="J176">
        <v>-0.59</v>
      </c>
      <c r="L176">
        <v>1.6177184612457107</v>
      </c>
      <c r="M176">
        <v>1.4969489532123095</v>
      </c>
      <c r="N176">
        <v>1.6781032152624114</v>
      </c>
      <c r="O176">
        <v>1.4365641991956088</v>
      </c>
    </row>
    <row r="177" spans="1:15">
      <c r="A177" s="19">
        <v>43609</v>
      </c>
      <c r="B177">
        <v>754</v>
      </c>
      <c r="C177">
        <v>769</v>
      </c>
      <c r="D177">
        <v>485</v>
      </c>
      <c r="E177">
        <v>499</v>
      </c>
      <c r="F177">
        <v>1.5410821643286501</v>
      </c>
      <c r="G177">
        <v>1.5585326287893699</v>
      </c>
      <c r="H177">
        <v>6.1080017534308903E-2</v>
      </c>
      <c r="I177">
        <v>-0.28569841930575801</v>
      </c>
      <c r="J177">
        <v>-1.1299999999999999</v>
      </c>
      <c r="L177">
        <v>1.6196126463236789</v>
      </c>
      <c r="M177">
        <v>1.497452611255061</v>
      </c>
      <c r="N177">
        <v>1.6806926638579878</v>
      </c>
      <c r="O177">
        <v>1.4363725937207521</v>
      </c>
    </row>
    <row r="178" spans="1:15">
      <c r="A178" s="19">
        <v>43608</v>
      </c>
      <c r="B178">
        <v>774</v>
      </c>
      <c r="C178">
        <v>766</v>
      </c>
      <c r="D178">
        <v>500</v>
      </c>
      <c r="E178">
        <v>503</v>
      </c>
      <c r="F178">
        <v>1.5228628230616299</v>
      </c>
      <c r="G178">
        <v>1.5598322561565601</v>
      </c>
      <c r="H178">
        <v>6.17284266391631E-2</v>
      </c>
      <c r="I178">
        <v>-0.59890450976563003</v>
      </c>
      <c r="J178">
        <v>-2.4300000000000002</v>
      </c>
      <c r="L178">
        <v>1.6215606827957232</v>
      </c>
      <c r="M178">
        <v>1.498103829517397</v>
      </c>
      <c r="N178">
        <v>1.6832891094348863</v>
      </c>
      <c r="O178">
        <v>1.4363754028782338</v>
      </c>
    </row>
    <row r="179" spans="1:15">
      <c r="A179" s="19">
        <v>43607</v>
      </c>
      <c r="B179">
        <v>781</v>
      </c>
      <c r="C179">
        <v>778</v>
      </c>
      <c r="D179">
        <v>505</v>
      </c>
      <c r="E179">
        <v>504</v>
      </c>
      <c r="F179">
        <v>1.5436507936507899</v>
      </c>
      <c r="G179">
        <v>1.5611883181697099</v>
      </c>
      <c r="H179">
        <v>6.2017835154023801E-2</v>
      </c>
      <c r="I179">
        <v>-0.28278195256849198</v>
      </c>
      <c r="J179">
        <v>-1.1399999999999999</v>
      </c>
      <c r="L179">
        <v>1.6232061533237336</v>
      </c>
      <c r="M179">
        <v>1.4991704830156862</v>
      </c>
      <c r="N179">
        <v>1.6852239884777576</v>
      </c>
      <c r="O179">
        <v>1.4371526478616623</v>
      </c>
    </row>
    <row r="180" spans="1:15">
      <c r="A180" s="19">
        <v>43606</v>
      </c>
      <c r="B180">
        <v>775</v>
      </c>
      <c r="C180">
        <v>778</v>
      </c>
      <c r="D180">
        <v>501</v>
      </c>
      <c r="E180">
        <v>502</v>
      </c>
      <c r="F180">
        <v>1.5498007968127401</v>
      </c>
      <c r="G180">
        <v>1.56246007845702</v>
      </c>
      <c r="H180">
        <v>6.26202085244775E-2</v>
      </c>
      <c r="I180">
        <v>-0.20215968522887201</v>
      </c>
      <c r="J180">
        <v>-0.82</v>
      </c>
      <c r="L180">
        <v>1.6250802869814975</v>
      </c>
      <c r="M180">
        <v>1.4998398699325424</v>
      </c>
      <c r="N180">
        <v>1.6877004955059749</v>
      </c>
      <c r="O180">
        <v>1.437219661408065</v>
      </c>
    </row>
    <row r="181" spans="1:15">
      <c r="A181" s="19">
        <v>43605</v>
      </c>
      <c r="B181">
        <v>788</v>
      </c>
      <c r="C181">
        <v>780</v>
      </c>
      <c r="D181">
        <v>513</v>
      </c>
      <c r="E181">
        <v>503</v>
      </c>
      <c r="F181">
        <v>1.5506958250497</v>
      </c>
      <c r="G181">
        <v>1.5635699808763299</v>
      </c>
      <c r="H181">
        <v>6.3121697942548002E-2</v>
      </c>
      <c r="I181">
        <v>-0.203957691986484</v>
      </c>
      <c r="J181">
        <v>-0.83</v>
      </c>
      <c r="L181">
        <v>1.6266916788188779</v>
      </c>
      <c r="M181">
        <v>1.500448282933782</v>
      </c>
      <c r="N181">
        <v>1.6898133767614258</v>
      </c>
      <c r="O181">
        <v>1.437326584991234</v>
      </c>
    </row>
    <row r="182" spans="1:15">
      <c r="A182" s="19">
        <v>43602</v>
      </c>
      <c r="B182">
        <v>790</v>
      </c>
      <c r="C182">
        <v>785</v>
      </c>
      <c r="D182">
        <v>517</v>
      </c>
      <c r="E182">
        <v>512</v>
      </c>
      <c r="F182">
        <v>1.533203125</v>
      </c>
      <c r="G182">
        <v>1.5649744147929201</v>
      </c>
      <c r="H182">
        <v>6.3985522669581005E-2</v>
      </c>
      <c r="I182">
        <v>-0.49653872418910699</v>
      </c>
      <c r="J182">
        <v>-2.0699999999999998</v>
      </c>
      <c r="L182">
        <v>1.628959937462501</v>
      </c>
      <c r="M182">
        <v>1.5009888921233392</v>
      </c>
      <c r="N182">
        <v>1.6929454601320821</v>
      </c>
      <c r="O182">
        <v>1.4370033694537581</v>
      </c>
    </row>
    <row r="183" spans="1:15">
      <c r="A183" s="19">
        <v>43601</v>
      </c>
      <c r="B183">
        <v>793</v>
      </c>
      <c r="C183">
        <v>778</v>
      </c>
      <c r="D183">
        <v>516</v>
      </c>
      <c r="E183">
        <v>507</v>
      </c>
      <c r="F183">
        <v>1.5345167652859899</v>
      </c>
      <c r="G183">
        <v>1.56641447732993</v>
      </c>
      <c r="H183">
        <v>6.4467833460641499E-2</v>
      </c>
      <c r="I183">
        <v>-0.49478492345192499</v>
      </c>
      <c r="J183">
        <v>-2.08</v>
      </c>
      <c r="L183">
        <v>1.6308823107905714</v>
      </c>
      <c r="M183">
        <v>1.5019466438692886</v>
      </c>
      <c r="N183">
        <v>1.6953501442512131</v>
      </c>
      <c r="O183">
        <v>1.4374788104086469</v>
      </c>
    </row>
    <row r="184" spans="1:15">
      <c r="A184" s="19">
        <v>43600</v>
      </c>
      <c r="B184">
        <v>808</v>
      </c>
      <c r="C184">
        <v>797</v>
      </c>
      <c r="D184">
        <v>522</v>
      </c>
      <c r="E184">
        <v>514</v>
      </c>
      <c r="F184">
        <v>1.55058365758754</v>
      </c>
      <c r="G184">
        <v>1.5677937382684699</v>
      </c>
      <c r="H184">
        <v>6.4875925497169903E-2</v>
      </c>
      <c r="I184">
        <v>-0.26527684266600299</v>
      </c>
      <c r="J184">
        <v>-1.1100000000000001</v>
      </c>
      <c r="L184">
        <v>1.6326696637656397</v>
      </c>
      <c r="M184">
        <v>1.5029178127713001</v>
      </c>
      <c r="N184">
        <v>1.6975455892628097</v>
      </c>
      <c r="O184">
        <v>1.4380418872741301</v>
      </c>
    </row>
    <row r="185" spans="1:15">
      <c r="A185" s="19">
        <v>43599</v>
      </c>
      <c r="B185">
        <v>788</v>
      </c>
      <c r="C185">
        <v>800</v>
      </c>
      <c r="D185">
        <v>518</v>
      </c>
      <c r="E185">
        <v>512</v>
      </c>
      <c r="F185">
        <v>1.5625</v>
      </c>
      <c r="G185">
        <v>1.56917424768462</v>
      </c>
      <c r="H185">
        <v>6.5592667384455697E-2</v>
      </c>
      <c r="I185">
        <v>-0.101752954267125</v>
      </c>
      <c r="J185">
        <v>-0.43</v>
      </c>
      <c r="L185">
        <v>1.6347669150690758</v>
      </c>
      <c r="M185">
        <v>1.5035815803001642</v>
      </c>
      <c r="N185">
        <v>1.7003595824535314</v>
      </c>
      <c r="O185">
        <v>1.4379889129157086</v>
      </c>
    </row>
    <row r="186" spans="1:15">
      <c r="A186" s="19">
        <v>43598</v>
      </c>
      <c r="B186">
        <v>815</v>
      </c>
      <c r="C186">
        <v>803</v>
      </c>
      <c r="D186">
        <v>580</v>
      </c>
      <c r="E186">
        <v>575</v>
      </c>
      <c r="F186">
        <v>1.3965217391304301</v>
      </c>
      <c r="G186">
        <v>1.5701016915218999</v>
      </c>
      <c r="H186">
        <v>6.5982340729300398E-2</v>
      </c>
      <c r="I186">
        <v>-2.6307031619809398</v>
      </c>
      <c r="J186">
        <v>-12.43</v>
      </c>
      <c r="L186">
        <v>1.6360840322512002</v>
      </c>
      <c r="M186">
        <v>1.5041193507925996</v>
      </c>
      <c r="N186">
        <v>1.7020663729805008</v>
      </c>
      <c r="O186">
        <v>1.4381370100632991</v>
      </c>
    </row>
    <row r="187" spans="1:15">
      <c r="A187" s="19">
        <v>43595</v>
      </c>
      <c r="B187">
        <v>856</v>
      </c>
      <c r="C187">
        <v>815</v>
      </c>
      <c r="D187">
        <v>585</v>
      </c>
      <c r="E187">
        <v>584</v>
      </c>
      <c r="F187">
        <v>1.39554794520547</v>
      </c>
      <c r="G187">
        <v>1.5730292383517801</v>
      </c>
      <c r="H187">
        <v>6.3020327371830998E-2</v>
      </c>
      <c r="I187">
        <v>-2.8162546998389</v>
      </c>
      <c r="J187">
        <v>-12.72</v>
      </c>
      <c r="L187">
        <v>1.6360495657236112</v>
      </c>
      <c r="M187">
        <v>1.510008910979949</v>
      </c>
      <c r="N187">
        <v>1.6990698930954422</v>
      </c>
      <c r="O187">
        <v>1.446988583608118</v>
      </c>
    </row>
    <row r="188" spans="1:15">
      <c r="A188" s="19">
        <v>43594</v>
      </c>
      <c r="B188">
        <v>910</v>
      </c>
      <c r="C188">
        <v>851</v>
      </c>
      <c r="D188">
        <v>587</v>
      </c>
      <c r="E188">
        <v>582</v>
      </c>
      <c r="F188">
        <v>1.4621993127147701</v>
      </c>
      <c r="G188">
        <v>1.5753543333481099</v>
      </c>
      <c r="H188">
        <v>5.9550725165059298E-2</v>
      </c>
      <c r="I188">
        <v>-1.90014513374437</v>
      </c>
      <c r="J188">
        <v>-7.74</v>
      </c>
      <c r="L188">
        <v>1.6349050585131693</v>
      </c>
      <c r="M188">
        <v>1.5158036081830506</v>
      </c>
      <c r="N188">
        <v>1.6944557836782286</v>
      </c>
      <c r="O188">
        <v>1.4562528830179913</v>
      </c>
    </row>
    <row r="189" spans="1:15">
      <c r="A189" s="19">
        <v>43593</v>
      </c>
      <c r="B189">
        <v>930</v>
      </c>
      <c r="C189">
        <v>903</v>
      </c>
      <c r="D189">
        <v>596</v>
      </c>
      <c r="E189">
        <v>589</v>
      </c>
      <c r="F189">
        <v>1.5331069609507599</v>
      </c>
      <c r="G189">
        <v>1.57710456150768</v>
      </c>
      <c r="H189">
        <v>5.8110917716439697E-2</v>
      </c>
      <c r="I189">
        <v>-0.757131401221527</v>
      </c>
      <c r="J189">
        <v>-2.87</v>
      </c>
      <c r="L189">
        <v>1.6352154792241196</v>
      </c>
      <c r="M189">
        <v>1.5189936437912404</v>
      </c>
      <c r="N189">
        <v>1.6933263969405594</v>
      </c>
      <c r="O189">
        <v>1.4608827260748005</v>
      </c>
    </row>
    <row r="190" spans="1:15">
      <c r="A190" s="19">
        <v>43592</v>
      </c>
      <c r="B190">
        <v>979</v>
      </c>
      <c r="C190">
        <v>954</v>
      </c>
      <c r="D190">
        <v>638</v>
      </c>
      <c r="E190">
        <v>606</v>
      </c>
      <c r="F190">
        <v>1.5742574257425701</v>
      </c>
      <c r="G190">
        <v>1.5775672944936701</v>
      </c>
      <c r="H190">
        <v>5.7896506717507699E-2</v>
      </c>
      <c r="I190">
        <v>-5.7168712565914298E-2</v>
      </c>
      <c r="J190">
        <v>-0.21</v>
      </c>
      <c r="L190">
        <v>1.6354638012111777</v>
      </c>
      <c r="M190">
        <v>1.5196707877761624</v>
      </c>
      <c r="N190">
        <v>1.6933603079286854</v>
      </c>
      <c r="O190">
        <v>1.4617742810586547</v>
      </c>
    </row>
    <row r="191" spans="1:15">
      <c r="A191" s="19">
        <v>43581</v>
      </c>
      <c r="B191">
        <v>992</v>
      </c>
      <c r="C191">
        <v>985</v>
      </c>
      <c r="D191">
        <v>618</v>
      </c>
      <c r="E191">
        <v>624</v>
      </c>
      <c r="F191">
        <v>1.5785256410256401</v>
      </c>
      <c r="G191">
        <v>1.57720927658097</v>
      </c>
      <c r="H191">
        <v>5.7998797916888202E-2</v>
      </c>
      <c r="I191">
        <v>2.2696409097182901E-2</v>
      </c>
      <c r="J191">
        <v>0.08</v>
      </c>
      <c r="L191">
        <v>1.6352080744978581</v>
      </c>
      <c r="M191">
        <v>1.5192104786640819</v>
      </c>
      <c r="N191">
        <v>1.6932068724147464</v>
      </c>
      <c r="O191">
        <v>1.4612116807471935</v>
      </c>
    </row>
    <row r="192" spans="1:15">
      <c r="A192" s="19">
        <v>43580</v>
      </c>
      <c r="B192">
        <v>1001</v>
      </c>
      <c r="C192">
        <v>999</v>
      </c>
      <c r="D192">
        <v>615</v>
      </c>
      <c r="E192">
        <v>622</v>
      </c>
      <c r="F192">
        <v>1.6061093247588401</v>
      </c>
      <c r="G192">
        <v>1.5769217617048501</v>
      </c>
      <c r="H192">
        <v>5.8044989504512298E-2</v>
      </c>
      <c r="I192">
        <v>0.50284379932089796</v>
      </c>
      <c r="J192">
        <v>1.82</v>
      </c>
      <c r="L192">
        <v>1.6349667512093624</v>
      </c>
      <c r="M192">
        <v>1.5188767722003378</v>
      </c>
      <c r="N192">
        <v>1.6930117407138747</v>
      </c>
      <c r="O192">
        <v>1.4608317826958255</v>
      </c>
    </row>
    <row r="193" spans="1:15">
      <c r="A193" s="19">
        <v>43579</v>
      </c>
      <c r="B193">
        <v>1019</v>
      </c>
      <c r="C193">
        <v>1005</v>
      </c>
      <c r="D193">
        <v>633</v>
      </c>
      <c r="E193">
        <v>615</v>
      </c>
      <c r="F193">
        <v>1.6341463414634101</v>
      </c>
      <c r="G193">
        <v>1.5760909123139</v>
      </c>
      <c r="H193">
        <v>5.8067227083595803E-2</v>
      </c>
      <c r="I193">
        <v>0.99979682284343896</v>
      </c>
      <c r="J193">
        <v>3.55</v>
      </c>
      <c r="L193">
        <v>1.6341581393974958</v>
      </c>
      <c r="M193">
        <v>1.5180236852303042</v>
      </c>
      <c r="N193">
        <v>1.6922253664810916</v>
      </c>
      <c r="O193">
        <v>1.4599564581467084</v>
      </c>
    </row>
    <row r="194" spans="1:15">
      <c r="A194" s="19">
        <v>43578</v>
      </c>
      <c r="B194">
        <v>1035</v>
      </c>
      <c r="C194">
        <v>1024</v>
      </c>
      <c r="D194">
        <v>619</v>
      </c>
      <c r="E194">
        <v>623</v>
      </c>
      <c r="F194">
        <v>1.6436597110754401</v>
      </c>
      <c r="G194">
        <v>1.5745149273232799</v>
      </c>
      <c r="H194">
        <v>5.80741751070072E-2</v>
      </c>
      <c r="I194">
        <v>1.19062877130407</v>
      </c>
      <c r="J194">
        <v>4.21</v>
      </c>
      <c r="L194">
        <v>1.6325891024302872</v>
      </c>
      <c r="M194">
        <v>1.5164407522162726</v>
      </c>
      <c r="N194">
        <v>1.6906632775372943</v>
      </c>
      <c r="O194">
        <v>1.4583665771092655</v>
      </c>
    </row>
    <row r="195" spans="1:15">
      <c r="A195" s="19">
        <v>43577</v>
      </c>
      <c r="B195">
        <v>1032</v>
      </c>
      <c r="C195">
        <v>1031</v>
      </c>
      <c r="D195">
        <v>614</v>
      </c>
      <c r="E195">
        <v>614</v>
      </c>
      <c r="F195">
        <v>1.6791530944625399</v>
      </c>
      <c r="G195">
        <v>1.5730422689369901</v>
      </c>
      <c r="H195">
        <v>5.77013171818343E-2</v>
      </c>
      <c r="I195">
        <v>1.8389671277548201</v>
      </c>
      <c r="J195">
        <v>6.32</v>
      </c>
      <c r="L195">
        <v>1.6307435861188244</v>
      </c>
      <c r="M195">
        <v>1.5153409517551557</v>
      </c>
      <c r="N195">
        <v>1.6884449033006588</v>
      </c>
      <c r="O195">
        <v>1.4576396345733214</v>
      </c>
    </row>
    <row r="196" spans="1:15">
      <c r="A196" s="19">
        <v>43574</v>
      </c>
      <c r="B196">
        <v>1036</v>
      </c>
      <c r="C196">
        <v>1032</v>
      </c>
      <c r="D196">
        <v>625</v>
      </c>
      <c r="E196">
        <v>624</v>
      </c>
      <c r="F196">
        <v>1.65384615384615</v>
      </c>
      <c r="G196">
        <v>1.5710748745176399</v>
      </c>
      <c r="H196">
        <v>5.6553918802069301E-2</v>
      </c>
      <c r="I196">
        <v>1.4635816771283401</v>
      </c>
      <c r="J196">
        <v>5</v>
      </c>
      <c r="L196">
        <v>1.6276287933197093</v>
      </c>
      <c r="M196">
        <v>1.5145209557155705</v>
      </c>
      <c r="N196">
        <v>1.6841827121217785</v>
      </c>
      <c r="O196">
        <v>1.4579670369135014</v>
      </c>
    </row>
    <row r="197" spans="1:15">
      <c r="A197" s="19">
        <v>43573</v>
      </c>
      <c r="B197">
        <v>1046</v>
      </c>
      <c r="C197">
        <v>1016</v>
      </c>
      <c r="D197">
        <v>632</v>
      </c>
      <c r="E197">
        <v>620</v>
      </c>
      <c r="F197">
        <v>1.6387096774193499</v>
      </c>
      <c r="G197">
        <v>1.56969025913302</v>
      </c>
      <c r="H197">
        <v>5.5776363997943897E-2</v>
      </c>
      <c r="I197">
        <v>1.2374312941746</v>
      </c>
      <c r="J197">
        <v>4.21</v>
      </c>
      <c r="L197">
        <v>1.6254666231309638</v>
      </c>
      <c r="M197">
        <v>1.5139138951350761</v>
      </c>
      <c r="N197">
        <v>1.6812429871289079</v>
      </c>
      <c r="O197">
        <v>1.4581375311371321</v>
      </c>
    </row>
    <row r="198" spans="1:15">
      <c r="A198" s="19">
        <v>43572</v>
      </c>
      <c r="B198">
        <v>1040</v>
      </c>
      <c r="C198">
        <v>1040</v>
      </c>
      <c r="D198">
        <v>623</v>
      </c>
      <c r="E198">
        <v>631</v>
      </c>
      <c r="F198">
        <v>1.64817749603803</v>
      </c>
      <c r="G198">
        <v>1.5689694056913099</v>
      </c>
      <c r="H198">
        <v>5.5226348847679997E-2</v>
      </c>
      <c r="I198">
        <v>1.4342445589727499</v>
      </c>
      <c r="J198">
        <v>4.8099999999999996</v>
      </c>
      <c r="L198">
        <v>1.62419575453899</v>
      </c>
      <c r="M198">
        <v>1.5137430568436299</v>
      </c>
      <c r="N198">
        <v>1.6794221033866699</v>
      </c>
      <c r="O198">
        <v>1.45851670799595</v>
      </c>
    </row>
    <row r="199" spans="1:15">
      <c r="A199" s="19">
        <v>43571</v>
      </c>
      <c r="B199">
        <v>1033</v>
      </c>
      <c r="C199">
        <v>1034</v>
      </c>
      <c r="D199">
        <v>616</v>
      </c>
      <c r="E199">
        <v>625</v>
      </c>
      <c r="F199">
        <v>1.6544000000000001</v>
      </c>
      <c r="G199">
        <v>1.5681325413167599</v>
      </c>
      <c r="H199">
        <v>5.4490384983900797E-2</v>
      </c>
      <c r="I199">
        <v>1.58316845639329</v>
      </c>
      <c r="J199">
        <v>5.21</v>
      </c>
      <c r="L199">
        <v>1.6226229263006609</v>
      </c>
      <c r="M199">
        <v>1.513642156332859</v>
      </c>
      <c r="N199">
        <v>1.6771133112845615</v>
      </c>
      <c r="O199">
        <v>1.4591517713489583</v>
      </c>
    </row>
    <row r="200" spans="1:15">
      <c r="A200" s="19">
        <v>43570</v>
      </c>
      <c r="B200">
        <v>1028</v>
      </c>
      <c r="C200">
        <v>1035</v>
      </c>
      <c r="D200">
        <v>625</v>
      </c>
      <c r="E200">
        <v>621</v>
      </c>
      <c r="F200">
        <v>1.6666666666666601</v>
      </c>
      <c r="G200">
        <v>1.5668530954293101</v>
      </c>
      <c r="H200">
        <v>5.3568550632503799E-2</v>
      </c>
      <c r="I200">
        <v>1.8632867617065401</v>
      </c>
      <c r="J200">
        <v>5.99</v>
      </c>
      <c r="L200">
        <v>1.6204216460618139</v>
      </c>
      <c r="M200">
        <v>1.5132845447968062</v>
      </c>
      <c r="N200">
        <v>1.6739901966943176</v>
      </c>
      <c r="O200">
        <v>1.4597159941643025</v>
      </c>
    </row>
    <row r="201" spans="1:15">
      <c r="A201" s="19">
        <v>43567</v>
      </c>
      <c r="B201">
        <v>1014</v>
      </c>
      <c r="C201">
        <v>1008</v>
      </c>
      <c r="D201">
        <v>620</v>
      </c>
      <c r="E201">
        <v>615</v>
      </c>
      <c r="F201">
        <v>1.6390243902438999</v>
      </c>
      <c r="G201">
        <v>1.5657419843182001</v>
      </c>
      <c r="H201">
        <v>5.2336791127040601E-2</v>
      </c>
      <c r="I201">
        <v>1.4002082349262599</v>
      </c>
      <c r="J201">
        <v>4.47</v>
      </c>
      <c r="L201">
        <v>1.6180787754452408</v>
      </c>
      <c r="M201">
        <v>1.5134051931911594</v>
      </c>
      <c r="N201">
        <v>1.6704155665722813</v>
      </c>
      <c r="O201">
        <v>1.4610684020641189</v>
      </c>
    </row>
    <row r="202" spans="1:15">
      <c r="A202" s="19">
        <v>43566</v>
      </c>
      <c r="B202">
        <v>1012</v>
      </c>
      <c r="C202">
        <v>1013</v>
      </c>
      <c r="D202">
        <v>623</v>
      </c>
      <c r="E202">
        <v>619</v>
      </c>
      <c r="F202">
        <v>1.6365105008077501</v>
      </c>
      <c r="G202">
        <v>1.5651736110668999</v>
      </c>
      <c r="H202">
        <v>5.1766222096498699E-2</v>
      </c>
      <c r="I202">
        <v>1.3780586423299199</v>
      </c>
      <c r="J202">
        <v>4.3600000000000003</v>
      </c>
      <c r="L202">
        <v>1.6169398331633986</v>
      </c>
      <c r="M202">
        <v>1.5134073889704012</v>
      </c>
      <c r="N202">
        <v>1.6687060552598973</v>
      </c>
      <c r="O202">
        <v>1.4616411668739024</v>
      </c>
    </row>
    <row r="203" spans="1:15">
      <c r="A203" s="19">
        <v>43565</v>
      </c>
      <c r="B203">
        <v>1028</v>
      </c>
      <c r="C203">
        <v>1023</v>
      </c>
      <c r="D203">
        <v>624</v>
      </c>
      <c r="E203">
        <v>622</v>
      </c>
      <c r="F203">
        <v>1.64469453376205</v>
      </c>
      <c r="G203">
        <v>1.5645189722216299</v>
      </c>
      <c r="H203">
        <v>5.1166930738577303E-2</v>
      </c>
      <c r="I203">
        <v>1.56694099847529</v>
      </c>
      <c r="J203">
        <v>4.87</v>
      </c>
      <c r="L203">
        <v>1.6156859029602073</v>
      </c>
      <c r="M203">
        <v>1.5133520414830526</v>
      </c>
      <c r="N203">
        <v>1.6668528336987845</v>
      </c>
      <c r="O203">
        <v>1.4621851107444754</v>
      </c>
    </row>
    <row r="204" spans="1:15">
      <c r="A204" s="19">
        <v>43564</v>
      </c>
      <c r="B204">
        <v>1023</v>
      </c>
      <c r="C204">
        <v>1028</v>
      </c>
      <c r="D204">
        <v>630</v>
      </c>
      <c r="E204">
        <v>629</v>
      </c>
      <c r="F204">
        <v>1.6343402225755099</v>
      </c>
      <c r="G204">
        <v>1.56361446709674</v>
      </c>
      <c r="H204">
        <v>5.0334461089281697E-2</v>
      </c>
      <c r="I204">
        <v>1.4051159771695401</v>
      </c>
      <c r="J204">
        <v>4.33</v>
      </c>
      <c r="L204">
        <v>1.6139489281860218</v>
      </c>
      <c r="M204">
        <v>1.5132800060074583</v>
      </c>
      <c r="N204">
        <v>1.6642833892753035</v>
      </c>
      <c r="O204">
        <v>1.4629455449181765</v>
      </c>
    </row>
    <row r="205" spans="1:15">
      <c r="A205" s="19">
        <v>43563</v>
      </c>
      <c r="B205">
        <v>1044</v>
      </c>
      <c r="C205">
        <v>1023</v>
      </c>
      <c r="D205">
        <v>628</v>
      </c>
      <c r="E205">
        <v>626</v>
      </c>
      <c r="F205">
        <v>1.6341853035143701</v>
      </c>
      <c r="G205">
        <v>1.56285581182828</v>
      </c>
      <c r="H205">
        <v>4.9687385899639301E-2</v>
      </c>
      <c r="I205">
        <v>1.4355653934010999</v>
      </c>
      <c r="J205">
        <v>4.3600000000000003</v>
      </c>
      <c r="L205">
        <v>1.6125431977279194</v>
      </c>
      <c r="M205">
        <v>1.5131684259286406</v>
      </c>
      <c r="N205">
        <v>1.6622305836275586</v>
      </c>
      <c r="O205">
        <v>1.4634810400290015</v>
      </c>
    </row>
    <row r="206" spans="1:15">
      <c r="A206" s="19">
        <v>43560</v>
      </c>
      <c r="B206">
        <v>1030</v>
      </c>
      <c r="C206">
        <v>1044</v>
      </c>
      <c r="D206">
        <v>626</v>
      </c>
      <c r="E206">
        <v>632</v>
      </c>
      <c r="F206">
        <v>1.65189873417721</v>
      </c>
      <c r="G206">
        <v>1.56225796883526</v>
      </c>
      <c r="H206">
        <v>4.9091724822190097E-2</v>
      </c>
      <c r="I206">
        <v>1.8259852483616099</v>
      </c>
      <c r="J206">
        <v>5.43</v>
      </c>
      <c r="L206">
        <v>1.6113496936574501</v>
      </c>
      <c r="M206">
        <v>1.51316624401307</v>
      </c>
      <c r="N206">
        <v>1.6604414184796403</v>
      </c>
      <c r="O206">
        <v>1.4640745191908797</v>
      </c>
    </row>
    <row r="207" spans="1:15">
      <c r="A207" s="19">
        <v>43559</v>
      </c>
      <c r="B207">
        <v>1016</v>
      </c>
      <c r="C207">
        <v>1020</v>
      </c>
      <c r="D207">
        <v>627</v>
      </c>
      <c r="E207">
        <v>629</v>
      </c>
      <c r="F207">
        <v>1.6216216216216199</v>
      </c>
      <c r="G207">
        <v>1.5617478038947199</v>
      </c>
      <c r="H207">
        <v>4.8350740907467299E-2</v>
      </c>
      <c r="I207">
        <v>1.23832265241775</v>
      </c>
      <c r="J207">
        <v>3.69</v>
      </c>
      <c r="L207">
        <v>1.6100985448021872</v>
      </c>
      <c r="M207">
        <v>1.5133970629872526</v>
      </c>
      <c r="N207">
        <v>1.6584492857096544</v>
      </c>
      <c r="O207">
        <v>1.4650463220797854</v>
      </c>
    </row>
    <row r="208" spans="1:15">
      <c r="A208" s="19">
        <v>43558</v>
      </c>
      <c r="B208">
        <v>1028</v>
      </c>
      <c r="C208">
        <v>1013</v>
      </c>
      <c r="D208">
        <v>628</v>
      </c>
      <c r="E208">
        <v>632</v>
      </c>
      <c r="F208">
        <v>1.60284810126582</v>
      </c>
      <c r="G208">
        <v>1.5619589428687399</v>
      </c>
      <c r="H208">
        <v>4.8645415349268299E-2</v>
      </c>
      <c r="I208">
        <v>0.84055523225559303</v>
      </c>
      <c r="J208">
        <v>2.5499999999999998</v>
      </c>
      <c r="L208">
        <v>1.6106043582180083</v>
      </c>
      <c r="M208">
        <v>1.5133135275194716</v>
      </c>
      <c r="N208">
        <v>1.6592497735672764</v>
      </c>
      <c r="O208">
        <v>1.4646681121702034</v>
      </c>
    </row>
    <row r="209" spans="1:15">
      <c r="A209" s="19">
        <v>43557</v>
      </c>
      <c r="B209">
        <v>1019</v>
      </c>
      <c r="C209">
        <v>1016</v>
      </c>
      <c r="D209">
        <v>631</v>
      </c>
      <c r="E209">
        <v>632</v>
      </c>
      <c r="F209">
        <v>1.60759493670886</v>
      </c>
      <c r="G209">
        <v>1.5625537365467801</v>
      </c>
      <c r="H209">
        <v>4.9408474422619302E-2</v>
      </c>
      <c r="I209">
        <v>0.91160880169686698</v>
      </c>
      <c r="J209">
        <v>2.8</v>
      </c>
      <c r="L209">
        <v>1.6119622109693994</v>
      </c>
      <c r="M209">
        <v>1.5131452621241608</v>
      </c>
      <c r="N209">
        <v>1.6613706853920187</v>
      </c>
      <c r="O209">
        <v>1.4637367877015415</v>
      </c>
    </row>
    <row r="210" spans="1:15">
      <c r="A210" s="19">
        <v>43556</v>
      </c>
      <c r="B210">
        <v>982</v>
      </c>
      <c r="C210">
        <v>996</v>
      </c>
      <c r="D210">
        <v>627</v>
      </c>
      <c r="E210">
        <v>627</v>
      </c>
      <c r="F210">
        <v>1.58851674641148</v>
      </c>
      <c r="G210">
        <v>1.56334894398907</v>
      </c>
      <c r="H210">
        <v>5.0592744546741002E-2</v>
      </c>
      <c r="I210">
        <v>0.49745872946576902</v>
      </c>
      <c r="J210">
        <v>1.58</v>
      </c>
      <c r="L210">
        <v>1.6139416885358109</v>
      </c>
      <c r="M210">
        <v>1.5127561994423291</v>
      </c>
      <c r="N210">
        <v>1.664534433082552</v>
      </c>
      <c r="O210">
        <v>1.462163454895588</v>
      </c>
    </row>
    <row r="211" spans="1:15">
      <c r="A211" s="19">
        <v>43553</v>
      </c>
      <c r="B211">
        <v>956</v>
      </c>
      <c r="C211">
        <v>967</v>
      </c>
      <c r="D211">
        <v>616</v>
      </c>
      <c r="E211">
        <v>617</v>
      </c>
      <c r="F211">
        <v>1.56726094003241</v>
      </c>
      <c r="G211">
        <v>1.56429400034564</v>
      </c>
      <c r="H211">
        <v>5.1703844309271801E-2</v>
      </c>
      <c r="I211">
        <v>5.73833479193675E-2</v>
      </c>
      <c r="J211">
        <v>0.19</v>
      </c>
      <c r="L211">
        <v>1.6159978446549119</v>
      </c>
      <c r="M211">
        <v>1.5125901560363681</v>
      </c>
      <c r="N211">
        <v>1.6677016889641836</v>
      </c>
      <c r="O211">
        <v>1.4608863117270965</v>
      </c>
    </row>
    <row r="212" spans="1:15">
      <c r="A212" s="19">
        <v>43552</v>
      </c>
      <c r="B212">
        <v>966</v>
      </c>
      <c r="C212">
        <v>951</v>
      </c>
      <c r="D212">
        <v>617</v>
      </c>
      <c r="E212">
        <v>615</v>
      </c>
      <c r="F212">
        <v>1.54634146341463</v>
      </c>
      <c r="G212">
        <v>1.56567847241874</v>
      </c>
      <c r="H212">
        <v>5.3135141505445002E-2</v>
      </c>
      <c r="I212">
        <v>-0.36392128554191999</v>
      </c>
      <c r="J212">
        <v>-1.25</v>
      </c>
      <c r="L212">
        <v>1.6188136139241851</v>
      </c>
      <c r="M212">
        <v>1.512543330913295</v>
      </c>
      <c r="N212">
        <v>1.67194875542963</v>
      </c>
      <c r="O212">
        <v>1.4594081894078501</v>
      </c>
    </row>
    <row r="213" spans="1:15">
      <c r="A213" s="19">
        <v>43551</v>
      </c>
      <c r="B213">
        <v>966</v>
      </c>
      <c r="C213">
        <v>969</v>
      </c>
      <c r="D213">
        <v>613</v>
      </c>
      <c r="E213">
        <v>621</v>
      </c>
      <c r="F213">
        <v>1.56038647342995</v>
      </c>
      <c r="G213">
        <v>1.5677621112943501</v>
      </c>
      <c r="H213">
        <v>5.5353729293849102E-2</v>
      </c>
      <c r="I213">
        <v>-0.13324554566587901</v>
      </c>
      <c r="J213">
        <v>-0.47</v>
      </c>
      <c r="L213">
        <v>1.6231158405881991</v>
      </c>
      <c r="M213">
        <v>1.512408382000501</v>
      </c>
      <c r="N213">
        <v>1.6784695698820482</v>
      </c>
      <c r="O213">
        <v>1.4570546527066519</v>
      </c>
    </row>
    <row r="214" spans="1:15">
      <c r="A214" s="19">
        <v>43550</v>
      </c>
      <c r="B214">
        <v>929</v>
      </c>
      <c r="C214">
        <v>955</v>
      </c>
      <c r="D214">
        <v>616</v>
      </c>
      <c r="E214">
        <v>632</v>
      </c>
      <c r="F214">
        <v>1.51107594936708</v>
      </c>
      <c r="G214">
        <v>1.5699125138708401</v>
      </c>
      <c r="H214">
        <v>5.8090509355961002E-2</v>
      </c>
      <c r="I214">
        <v>-1.0128429782431401</v>
      </c>
      <c r="J214">
        <v>-3.89</v>
      </c>
      <c r="L214">
        <v>1.628003023226801</v>
      </c>
      <c r="M214">
        <v>1.5118220045148791</v>
      </c>
      <c r="N214">
        <v>1.6860935325827622</v>
      </c>
      <c r="O214">
        <v>1.453731495158918</v>
      </c>
    </row>
    <row r="215" spans="1:15">
      <c r="A215" s="19">
        <v>43549</v>
      </c>
      <c r="B215">
        <v>954</v>
      </c>
      <c r="C215">
        <v>925</v>
      </c>
      <c r="D215">
        <v>614</v>
      </c>
      <c r="E215">
        <v>610</v>
      </c>
      <c r="F215">
        <v>1.5163934426229499</v>
      </c>
      <c r="G215">
        <v>1.5730477477112099</v>
      </c>
      <c r="H215">
        <v>6.10980494972653E-2</v>
      </c>
      <c r="I215">
        <v>-0.92726863712397101</v>
      </c>
      <c r="J215">
        <v>-3.74</v>
      </c>
      <c r="L215">
        <v>1.6341457972084752</v>
      </c>
      <c r="M215">
        <v>1.5119496982139446</v>
      </c>
      <c r="N215">
        <v>1.6952438467057405</v>
      </c>
      <c r="O215">
        <v>1.4508516487166794</v>
      </c>
    </row>
    <row r="216" spans="1:15">
      <c r="A216" s="19">
        <v>43546</v>
      </c>
      <c r="B216">
        <v>974</v>
      </c>
      <c r="C216">
        <v>964</v>
      </c>
      <c r="D216">
        <v>629</v>
      </c>
      <c r="E216">
        <v>629</v>
      </c>
      <c r="F216">
        <v>1.53259141494435</v>
      </c>
      <c r="G216">
        <v>1.57546689802548</v>
      </c>
      <c r="H216">
        <v>6.2385338200879797E-2</v>
      </c>
      <c r="I216">
        <v>-0.68726858453623596</v>
      </c>
      <c r="J216">
        <v>-2.8</v>
      </c>
      <c r="L216">
        <v>1.6378522362263599</v>
      </c>
      <c r="M216">
        <v>1.5130815598246001</v>
      </c>
      <c r="N216">
        <v>1.7002375744272396</v>
      </c>
      <c r="O216">
        <v>1.4506962216237205</v>
      </c>
    </row>
    <row r="217" spans="1:15">
      <c r="A217" s="19">
        <v>43544</v>
      </c>
      <c r="B217">
        <v>959</v>
      </c>
      <c r="C217">
        <v>967</v>
      </c>
      <c r="D217">
        <v>623</v>
      </c>
      <c r="E217">
        <v>623</v>
      </c>
      <c r="F217">
        <v>1.5521669341894</v>
      </c>
      <c r="G217">
        <v>1.5776945382199601</v>
      </c>
      <c r="H217">
        <v>6.3781849341076197E-2</v>
      </c>
      <c r="I217">
        <v>-0.400233048967442</v>
      </c>
      <c r="J217">
        <v>-1.64</v>
      </c>
      <c r="L217">
        <v>1.6414763875610363</v>
      </c>
      <c r="M217">
        <v>1.5139126888788839</v>
      </c>
      <c r="N217">
        <v>1.7052582369021125</v>
      </c>
      <c r="O217">
        <v>1.4501308395378076</v>
      </c>
    </row>
    <row r="218" spans="1:15">
      <c r="A218" s="19">
        <v>43543</v>
      </c>
      <c r="B218">
        <v>958</v>
      </c>
      <c r="C218">
        <v>958</v>
      </c>
      <c r="D218">
        <v>623</v>
      </c>
      <c r="E218">
        <v>623</v>
      </c>
      <c r="F218">
        <v>1.53772070626003</v>
      </c>
      <c r="G218">
        <v>1.5799014734285</v>
      </c>
      <c r="H218">
        <v>6.5695284702980999E-2</v>
      </c>
      <c r="I218">
        <v>-0.64206689048051302</v>
      </c>
      <c r="J218">
        <v>-2.74</v>
      </c>
      <c r="L218">
        <v>1.645596758131481</v>
      </c>
      <c r="M218">
        <v>1.5142061887255189</v>
      </c>
      <c r="N218">
        <v>1.711292042834462</v>
      </c>
      <c r="O218">
        <v>1.4485109040225379</v>
      </c>
    </row>
    <row r="219" spans="1:15">
      <c r="A219" s="19">
        <v>43542</v>
      </c>
      <c r="B219">
        <v>944</v>
      </c>
      <c r="C219">
        <v>953</v>
      </c>
      <c r="D219">
        <v>625</v>
      </c>
      <c r="E219">
        <v>628</v>
      </c>
      <c r="F219">
        <v>1.51751592356687</v>
      </c>
      <c r="G219">
        <v>1.58180844058828</v>
      </c>
      <c r="H219">
        <v>6.6513897149868106E-2</v>
      </c>
      <c r="I219">
        <v>-0.96660276688556701</v>
      </c>
      <c r="J219">
        <v>-4.24</v>
      </c>
      <c r="L219">
        <v>1.648322337738148</v>
      </c>
      <c r="M219">
        <v>1.515294543438412</v>
      </c>
      <c r="N219">
        <v>1.7148362348880162</v>
      </c>
      <c r="O219">
        <v>1.4487806462885437</v>
      </c>
    </row>
    <row r="220" spans="1:15">
      <c r="A220" s="19">
        <v>43539</v>
      </c>
      <c r="B220">
        <v>942</v>
      </c>
      <c r="C220">
        <v>940</v>
      </c>
      <c r="D220">
        <v>620</v>
      </c>
      <c r="E220">
        <v>617</v>
      </c>
      <c r="F220">
        <v>1.5235008103727701</v>
      </c>
      <c r="G220">
        <v>1.58384156160739</v>
      </c>
      <c r="H220">
        <v>6.6847248098969594E-2</v>
      </c>
      <c r="I220">
        <v>-0.90266619719758401</v>
      </c>
      <c r="J220">
        <v>-3.96</v>
      </c>
      <c r="L220">
        <v>1.6506888097063597</v>
      </c>
      <c r="M220">
        <v>1.5169943135084203</v>
      </c>
      <c r="N220">
        <v>1.7175360578053291</v>
      </c>
      <c r="O220">
        <v>1.4501470654094508</v>
      </c>
    </row>
    <row r="221" spans="1:15">
      <c r="A221" s="19">
        <v>43538</v>
      </c>
      <c r="B221">
        <v>960</v>
      </c>
      <c r="C221">
        <v>946</v>
      </c>
      <c r="D221">
        <v>636</v>
      </c>
      <c r="E221">
        <v>623</v>
      </c>
      <c r="F221">
        <v>1.5184590690208599</v>
      </c>
      <c r="G221">
        <v>1.58576520528747</v>
      </c>
      <c r="H221">
        <v>6.7158293154777796E-2</v>
      </c>
      <c r="I221">
        <v>-1.0022014125863199</v>
      </c>
      <c r="J221">
        <v>-4.43</v>
      </c>
      <c r="L221">
        <v>1.6529234984422478</v>
      </c>
      <c r="M221">
        <v>1.5186069121326922</v>
      </c>
      <c r="N221">
        <v>1.7200817915970257</v>
      </c>
      <c r="O221">
        <v>1.4514486189779143</v>
      </c>
    </row>
    <row r="222" spans="1:15">
      <c r="A222" s="19">
        <v>43537</v>
      </c>
      <c r="B222">
        <v>967</v>
      </c>
      <c r="C222">
        <v>949</v>
      </c>
      <c r="D222">
        <v>628</v>
      </c>
      <c r="E222">
        <v>629</v>
      </c>
      <c r="F222">
        <v>1.5087440381557999</v>
      </c>
      <c r="G222">
        <v>1.5884329916519599</v>
      </c>
      <c r="H222">
        <v>6.83943256177829E-2</v>
      </c>
      <c r="I222">
        <v>-1.1651398383762801</v>
      </c>
      <c r="J222">
        <v>-5.28</v>
      </c>
      <c r="L222">
        <v>1.6568273172697427</v>
      </c>
      <c r="M222">
        <v>1.5200386660341771</v>
      </c>
      <c r="N222">
        <v>1.7252216428875258</v>
      </c>
      <c r="O222">
        <v>1.4516443404163941</v>
      </c>
    </row>
    <row r="223" spans="1:15">
      <c r="A223" s="19">
        <v>43536</v>
      </c>
      <c r="B223">
        <v>948</v>
      </c>
      <c r="C223">
        <v>961</v>
      </c>
      <c r="D223">
        <v>631</v>
      </c>
      <c r="E223">
        <v>638</v>
      </c>
      <c r="F223">
        <v>1.50626959247648</v>
      </c>
      <c r="G223">
        <v>1.59139671250735</v>
      </c>
      <c r="H223">
        <v>6.9680855381605997E-2</v>
      </c>
      <c r="I223">
        <v>-1.2216715705435499</v>
      </c>
      <c r="J223">
        <v>-5.65</v>
      </c>
      <c r="L223">
        <v>1.661077567888956</v>
      </c>
      <c r="M223">
        <v>1.5217158571257441</v>
      </c>
      <c r="N223">
        <v>1.730758423270562</v>
      </c>
      <c r="O223">
        <v>1.4520350017441381</v>
      </c>
    </row>
    <row r="224" spans="1:15">
      <c r="A224" s="19">
        <v>43535</v>
      </c>
      <c r="B224">
        <v>927</v>
      </c>
      <c r="C224">
        <v>933</v>
      </c>
      <c r="D224">
        <v>622</v>
      </c>
      <c r="E224">
        <v>626</v>
      </c>
      <c r="F224">
        <v>1.4904153354632499</v>
      </c>
      <c r="G224">
        <v>1.5946518890122301</v>
      </c>
      <c r="H224">
        <v>7.13115059886818E-2</v>
      </c>
      <c r="I224">
        <v>-1.4617073655059201</v>
      </c>
      <c r="J224">
        <v>-6.99</v>
      </c>
      <c r="L224">
        <v>1.6659633950009118</v>
      </c>
      <c r="M224">
        <v>1.5233403830235484</v>
      </c>
      <c r="N224">
        <v>1.7372749009895938</v>
      </c>
      <c r="O224">
        <v>1.4520288770348664</v>
      </c>
    </row>
    <row r="225" spans="1:15">
      <c r="A225" s="19">
        <v>43532</v>
      </c>
      <c r="B225">
        <v>951</v>
      </c>
      <c r="C225">
        <v>925</v>
      </c>
      <c r="D225">
        <v>630</v>
      </c>
      <c r="E225">
        <v>621</v>
      </c>
      <c r="F225">
        <v>1.4895330112721401</v>
      </c>
      <c r="G225">
        <v>1.5977711375308401</v>
      </c>
      <c r="H225">
        <v>7.1798677520072296E-2</v>
      </c>
      <c r="I225">
        <v>-1.5075225616578201</v>
      </c>
      <c r="J225">
        <v>-7.27</v>
      </c>
      <c r="L225">
        <v>1.6695698150509124</v>
      </c>
      <c r="M225">
        <v>1.5259724600107678</v>
      </c>
      <c r="N225">
        <v>1.7413684925709847</v>
      </c>
      <c r="O225">
        <v>1.4541737824906955</v>
      </c>
    </row>
    <row r="226" spans="1:15">
      <c r="A226" s="19">
        <v>43531</v>
      </c>
      <c r="B226">
        <v>955</v>
      </c>
      <c r="C226">
        <v>953</v>
      </c>
      <c r="D226">
        <v>632</v>
      </c>
      <c r="E226">
        <v>635</v>
      </c>
      <c r="F226">
        <v>1.5007874015748</v>
      </c>
      <c r="G226">
        <v>1.60108786485497</v>
      </c>
      <c r="H226">
        <v>7.2464527338796006E-2</v>
      </c>
      <c r="I226">
        <v>-1.38413189133531</v>
      </c>
      <c r="J226">
        <v>-6.68</v>
      </c>
      <c r="L226">
        <v>1.6735523921937661</v>
      </c>
      <c r="M226">
        <v>1.528623337516174</v>
      </c>
      <c r="N226">
        <v>1.7460169195325621</v>
      </c>
      <c r="O226">
        <v>1.4561588101773779</v>
      </c>
    </row>
    <row r="227" spans="1:15">
      <c r="A227" s="19">
        <v>43530</v>
      </c>
      <c r="B227">
        <v>945</v>
      </c>
      <c r="C227">
        <v>955</v>
      </c>
      <c r="D227">
        <v>636</v>
      </c>
      <c r="E227">
        <v>638</v>
      </c>
      <c r="F227">
        <v>1.49686520376175</v>
      </c>
      <c r="G227">
        <v>1.60438428639974</v>
      </c>
      <c r="H227">
        <v>7.3443554763383601E-2</v>
      </c>
      <c r="I227">
        <v>-1.4639689348423399</v>
      </c>
      <c r="J227">
        <v>-7.18</v>
      </c>
      <c r="L227">
        <v>1.6778278411631236</v>
      </c>
      <c r="M227">
        <v>1.5309407316363564</v>
      </c>
      <c r="N227">
        <v>1.7512713959265072</v>
      </c>
      <c r="O227">
        <v>1.4574971768729728</v>
      </c>
    </row>
    <row r="228" spans="1:15">
      <c r="A228" s="19">
        <v>43529</v>
      </c>
      <c r="B228">
        <v>949</v>
      </c>
      <c r="C228">
        <v>942</v>
      </c>
      <c r="D228">
        <v>636</v>
      </c>
      <c r="E228">
        <v>636</v>
      </c>
      <c r="F228">
        <v>1.4811320754716899</v>
      </c>
      <c r="G228">
        <v>1.6065173944340201</v>
      </c>
      <c r="H228">
        <v>7.2608313503431401E-2</v>
      </c>
      <c r="I228">
        <v>-1.7268727630810401</v>
      </c>
      <c r="J228">
        <v>-8.4700000000000006</v>
      </c>
      <c r="L228">
        <v>1.6791257079374515</v>
      </c>
      <c r="M228">
        <v>1.5339090809305886</v>
      </c>
      <c r="N228">
        <v>1.751734021440883</v>
      </c>
      <c r="O228">
        <v>1.4613007674271572</v>
      </c>
    </row>
    <row r="229" spans="1:15">
      <c r="A229" s="19">
        <v>43528</v>
      </c>
      <c r="B229">
        <v>955</v>
      </c>
      <c r="C229">
        <v>959</v>
      </c>
      <c r="D229">
        <v>635</v>
      </c>
      <c r="E229">
        <v>643</v>
      </c>
      <c r="F229">
        <v>1.4914463452566</v>
      </c>
      <c r="G229">
        <v>1.6100183494771101</v>
      </c>
      <c r="H229">
        <v>7.2808139930428506E-2</v>
      </c>
      <c r="I229">
        <v>-1.6285542294283</v>
      </c>
      <c r="J229">
        <v>-7.95</v>
      </c>
      <c r="L229">
        <v>1.6828264894075387</v>
      </c>
      <c r="M229">
        <v>1.5372102095466815</v>
      </c>
      <c r="N229">
        <v>1.7556346293379672</v>
      </c>
      <c r="O229">
        <v>1.464402069616253</v>
      </c>
    </row>
    <row r="230" spans="1:15">
      <c r="A230" s="19">
        <v>43525</v>
      </c>
      <c r="B230">
        <v>940</v>
      </c>
      <c r="C230">
        <v>942</v>
      </c>
      <c r="D230">
        <v>636</v>
      </c>
      <c r="E230">
        <v>632</v>
      </c>
      <c r="F230">
        <v>1.49050632911392</v>
      </c>
      <c r="G230">
        <v>1.6125539228707</v>
      </c>
      <c r="H230">
        <v>7.1940843767731993E-2</v>
      </c>
      <c r="I230">
        <v>-1.6964993370222901</v>
      </c>
      <c r="J230">
        <v>-8.19</v>
      </c>
      <c r="L230">
        <v>1.684494766638432</v>
      </c>
      <c r="M230">
        <v>1.540613079102968</v>
      </c>
      <c r="N230">
        <v>1.756435610406164</v>
      </c>
      <c r="O230">
        <v>1.4686722353352359</v>
      </c>
    </row>
    <row r="231" spans="1:15">
      <c r="A231" s="19">
        <v>43524</v>
      </c>
      <c r="B231">
        <v>976</v>
      </c>
      <c r="C231">
        <v>951</v>
      </c>
      <c r="D231">
        <v>641</v>
      </c>
      <c r="E231">
        <v>633</v>
      </c>
      <c r="F231">
        <v>1.50236966824644</v>
      </c>
      <c r="G231">
        <v>1.61533134590091</v>
      </c>
      <c r="H231">
        <v>7.1192494194379702E-2</v>
      </c>
      <c r="I231">
        <v>-1.58670768502713</v>
      </c>
      <c r="J231">
        <v>-7.52</v>
      </c>
      <c r="L231">
        <v>1.6865238400952898</v>
      </c>
      <c r="M231">
        <v>1.5441388517065302</v>
      </c>
      <c r="N231">
        <v>1.7577163342896693</v>
      </c>
      <c r="O231">
        <v>1.4729463575121506</v>
      </c>
    </row>
    <row r="232" spans="1:15">
      <c r="A232" s="19">
        <v>43523</v>
      </c>
      <c r="B232">
        <v>962</v>
      </c>
      <c r="C232">
        <v>974</v>
      </c>
      <c r="D232">
        <v>635</v>
      </c>
      <c r="E232">
        <v>642</v>
      </c>
      <c r="F232">
        <v>1.51713395638629</v>
      </c>
      <c r="G232">
        <v>1.6177935406869399</v>
      </c>
      <c r="H232">
        <v>7.0432391385597301E-2</v>
      </c>
      <c r="I232">
        <v>-1.42916607430756</v>
      </c>
      <c r="J232">
        <v>-6.63</v>
      </c>
      <c r="L232">
        <v>1.6882259320725372</v>
      </c>
      <c r="M232">
        <v>1.5473611493013426</v>
      </c>
      <c r="N232">
        <v>1.7586583234581346</v>
      </c>
      <c r="O232">
        <v>1.4769287579157453</v>
      </c>
    </row>
    <row r="233" spans="1:15">
      <c r="A233" s="19">
        <v>43522</v>
      </c>
      <c r="B233">
        <v>977</v>
      </c>
      <c r="C233">
        <v>964</v>
      </c>
      <c r="D233">
        <v>637</v>
      </c>
      <c r="E233">
        <v>636</v>
      </c>
      <c r="F233">
        <v>1.5157232704402499</v>
      </c>
      <c r="G233">
        <v>1.6199268218663601</v>
      </c>
      <c r="H233">
        <v>6.9771176846569902E-2</v>
      </c>
      <c r="I233">
        <v>-1.4935042826533</v>
      </c>
      <c r="J233">
        <v>-6.87</v>
      </c>
      <c r="L233">
        <v>1.6896979987129299</v>
      </c>
      <c r="M233">
        <v>1.5501556450197902</v>
      </c>
      <c r="N233">
        <v>1.7594691755594998</v>
      </c>
      <c r="O233">
        <v>1.4803844681732203</v>
      </c>
    </row>
    <row r="234" spans="1:15">
      <c r="A234" s="19">
        <v>43521</v>
      </c>
      <c r="B234">
        <v>975</v>
      </c>
      <c r="C234">
        <v>977</v>
      </c>
      <c r="D234">
        <v>641</v>
      </c>
      <c r="E234">
        <v>642</v>
      </c>
      <c r="F234">
        <v>1.52180685358255</v>
      </c>
      <c r="G234">
        <v>1.62092837418924</v>
      </c>
      <c r="H234">
        <v>6.8800555395238702E-2</v>
      </c>
      <c r="I234">
        <v>-1.4407081459919899</v>
      </c>
      <c r="J234">
        <v>-6.51</v>
      </c>
      <c r="L234">
        <v>1.6897289295844786</v>
      </c>
      <c r="M234">
        <v>1.5521278187940013</v>
      </c>
      <c r="N234">
        <v>1.7585294849797173</v>
      </c>
      <c r="O234">
        <v>1.4833272633987626</v>
      </c>
    </row>
    <row r="235" spans="1:15">
      <c r="A235" s="19">
        <v>43518</v>
      </c>
      <c r="B235">
        <v>950</v>
      </c>
      <c r="C235">
        <v>974</v>
      </c>
      <c r="D235">
        <v>639</v>
      </c>
      <c r="E235">
        <v>639</v>
      </c>
      <c r="F235">
        <v>1.52425665101721</v>
      </c>
      <c r="G235">
        <v>1.6262565170146099</v>
      </c>
      <c r="H235">
        <v>7.6013439775945102E-2</v>
      </c>
      <c r="I235">
        <v>-1.3418662054770301</v>
      </c>
      <c r="J235">
        <v>-6.69</v>
      </c>
      <c r="L235">
        <v>1.702269956790555</v>
      </c>
      <c r="M235">
        <v>1.5502430772386648</v>
      </c>
      <c r="N235">
        <v>1.7782833965665001</v>
      </c>
      <c r="O235">
        <v>1.4742296374627197</v>
      </c>
    </row>
    <row r="236" spans="1:15">
      <c r="A236" s="19">
        <v>43517</v>
      </c>
      <c r="B236">
        <v>966</v>
      </c>
      <c r="C236">
        <v>959</v>
      </c>
      <c r="D236">
        <v>636</v>
      </c>
      <c r="E236">
        <v>640</v>
      </c>
      <c r="F236">
        <v>1.4984375000000001</v>
      </c>
      <c r="G236">
        <v>1.6317677283863901</v>
      </c>
      <c r="H236">
        <v>8.3074621526704404E-2</v>
      </c>
      <c r="I236">
        <v>-1.6049453604014501</v>
      </c>
      <c r="J236">
        <v>-8.9</v>
      </c>
      <c r="L236">
        <v>1.7148423499130945</v>
      </c>
      <c r="M236">
        <v>1.5486931068596856</v>
      </c>
      <c r="N236">
        <v>1.7979169714397989</v>
      </c>
      <c r="O236">
        <v>1.4656184853329812</v>
      </c>
    </row>
    <row r="237" spans="1:15">
      <c r="A237" s="19">
        <v>43516</v>
      </c>
      <c r="B237">
        <v>958</v>
      </c>
      <c r="C237">
        <v>960</v>
      </c>
      <c r="D237">
        <v>638</v>
      </c>
      <c r="E237">
        <v>634</v>
      </c>
      <c r="F237">
        <v>1.51419558359621</v>
      </c>
      <c r="G237">
        <v>1.63763761832349</v>
      </c>
      <c r="H237">
        <v>8.8802253308278803E-2</v>
      </c>
      <c r="I237">
        <v>-1.39007773033362</v>
      </c>
      <c r="J237">
        <v>-8.15</v>
      </c>
      <c r="L237">
        <v>1.7264398716317688</v>
      </c>
      <c r="M237">
        <v>1.5488353650152111</v>
      </c>
      <c r="N237">
        <v>1.8152421249400477</v>
      </c>
      <c r="O237">
        <v>1.4600331117069323</v>
      </c>
    </row>
    <row r="238" spans="1:15">
      <c r="A238" s="19">
        <v>43515</v>
      </c>
      <c r="B238">
        <v>961</v>
      </c>
      <c r="C238">
        <v>957</v>
      </c>
      <c r="D238">
        <v>631</v>
      </c>
      <c r="E238">
        <v>631</v>
      </c>
      <c r="F238">
        <v>1.5166402535657599</v>
      </c>
      <c r="G238">
        <v>1.64312968559462</v>
      </c>
      <c r="H238">
        <v>9.3605468271877601E-2</v>
      </c>
      <c r="I238">
        <v>-1.3513038753405699</v>
      </c>
      <c r="J238">
        <v>-8.34</v>
      </c>
      <c r="L238">
        <v>1.7367351538664977</v>
      </c>
      <c r="M238">
        <v>1.5495242173227424</v>
      </c>
      <c r="N238">
        <v>1.8303406221383751</v>
      </c>
      <c r="O238">
        <v>1.4559187490508649</v>
      </c>
    </row>
    <row r="239" spans="1:15">
      <c r="A239" s="19">
        <v>43514</v>
      </c>
      <c r="B239">
        <v>968</v>
      </c>
      <c r="C239">
        <v>956</v>
      </c>
      <c r="D239">
        <v>633</v>
      </c>
      <c r="E239">
        <v>631</v>
      </c>
      <c r="F239">
        <v>1.5150554675118799</v>
      </c>
      <c r="G239">
        <v>1.64840781554708</v>
      </c>
      <c r="H239">
        <v>9.7407745582717198E-2</v>
      </c>
      <c r="I239">
        <v>-1.3690117478589501</v>
      </c>
      <c r="J239">
        <v>-8.8000000000000007</v>
      </c>
      <c r="L239">
        <v>1.7458155611297972</v>
      </c>
      <c r="M239">
        <v>1.5510000699643629</v>
      </c>
      <c r="N239">
        <v>1.8432233067125146</v>
      </c>
      <c r="O239">
        <v>1.4535923243816455</v>
      </c>
    </row>
    <row r="240" spans="1:15">
      <c r="A240" s="19">
        <v>43511</v>
      </c>
      <c r="B240">
        <v>980</v>
      </c>
      <c r="C240">
        <v>942</v>
      </c>
      <c r="D240">
        <v>621</v>
      </c>
      <c r="E240">
        <v>627</v>
      </c>
      <c r="F240">
        <v>1.5023923444976</v>
      </c>
      <c r="G240">
        <v>1.6540529218261</v>
      </c>
      <c r="H240">
        <v>0.101690054517551</v>
      </c>
      <c r="I240">
        <v>-1.4914002952207901</v>
      </c>
      <c r="J240">
        <v>-10.09</v>
      </c>
      <c r="L240">
        <v>1.755742976343651</v>
      </c>
      <c r="M240">
        <v>1.552362867308549</v>
      </c>
      <c r="N240">
        <v>1.8574330308612019</v>
      </c>
      <c r="O240">
        <v>1.450672812790998</v>
      </c>
    </row>
    <row r="241" spans="1:15">
      <c r="A241" s="19">
        <v>43510</v>
      </c>
      <c r="B241">
        <v>941</v>
      </c>
      <c r="C241">
        <v>976</v>
      </c>
      <c r="D241">
        <v>657</v>
      </c>
      <c r="E241">
        <v>625</v>
      </c>
      <c r="F241">
        <v>1.5616000000000001</v>
      </c>
      <c r="G241">
        <v>1.6595648835485901</v>
      </c>
      <c r="H241">
        <v>0.104485501501046</v>
      </c>
      <c r="I241">
        <v>-0.93759308364529304</v>
      </c>
      <c r="J241">
        <v>-6.27</v>
      </c>
      <c r="L241">
        <v>1.7640503850496361</v>
      </c>
      <c r="M241">
        <v>1.5550793820475441</v>
      </c>
      <c r="N241">
        <v>1.868535886550682</v>
      </c>
      <c r="O241">
        <v>1.4505938805464982</v>
      </c>
    </row>
    <row r="242" spans="1:15">
      <c r="A242" s="19">
        <v>43509</v>
      </c>
      <c r="B242">
        <v>940</v>
      </c>
      <c r="C242">
        <v>936</v>
      </c>
      <c r="D242">
        <v>595</v>
      </c>
      <c r="E242">
        <v>607</v>
      </c>
      <c r="F242">
        <v>1.54200988467874</v>
      </c>
      <c r="G242">
        <v>1.66481409169563</v>
      </c>
      <c r="H242">
        <v>0.109214255804285</v>
      </c>
      <c r="I242">
        <v>-1.1244338581307101</v>
      </c>
      <c r="J242">
        <v>-7.96</v>
      </c>
      <c r="L242">
        <v>1.774028347499915</v>
      </c>
      <c r="M242">
        <v>1.555599835891345</v>
      </c>
      <c r="N242">
        <v>1.8832426033042</v>
      </c>
      <c r="O242">
        <v>1.44638558008706</v>
      </c>
    </row>
    <row r="243" spans="1:15">
      <c r="A243" s="19">
        <v>43508</v>
      </c>
      <c r="B243">
        <v>896</v>
      </c>
      <c r="C243">
        <v>925</v>
      </c>
      <c r="D243">
        <v>570</v>
      </c>
      <c r="E243">
        <v>589</v>
      </c>
      <c r="F243">
        <v>1.5704584040747001</v>
      </c>
      <c r="G243">
        <v>1.66971381391451</v>
      </c>
      <c r="H243">
        <v>0.111807330825583</v>
      </c>
      <c r="I243">
        <v>-0.88773615385426297</v>
      </c>
      <c r="J243">
        <v>-6.32</v>
      </c>
      <c r="L243">
        <v>1.7815211447400929</v>
      </c>
      <c r="M243">
        <v>1.5579064830889271</v>
      </c>
      <c r="N243">
        <v>1.8933284755656761</v>
      </c>
      <c r="O243">
        <v>1.446099152263344</v>
      </c>
    </row>
    <row r="244" spans="1:15">
      <c r="A244" s="19">
        <v>43504</v>
      </c>
      <c r="B244">
        <v>912</v>
      </c>
      <c r="C244">
        <v>896</v>
      </c>
      <c r="D244">
        <v>578</v>
      </c>
      <c r="E244">
        <v>571</v>
      </c>
      <c r="F244">
        <v>1.5691768826619901</v>
      </c>
      <c r="G244">
        <v>1.6739892682403199</v>
      </c>
      <c r="H244">
        <v>0.11403876095799199</v>
      </c>
      <c r="I244">
        <v>-0.91909439122137104</v>
      </c>
      <c r="J244">
        <v>-6.68</v>
      </c>
      <c r="L244">
        <v>1.7880280291983119</v>
      </c>
      <c r="M244">
        <v>1.5599505072823279</v>
      </c>
      <c r="N244">
        <v>1.902066790156304</v>
      </c>
      <c r="O244">
        <v>1.4459117463243358</v>
      </c>
    </row>
    <row r="245" spans="1:15">
      <c r="A245" s="19">
        <v>43503</v>
      </c>
      <c r="B245">
        <v>935</v>
      </c>
      <c r="C245">
        <v>927</v>
      </c>
      <c r="D245">
        <v>588</v>
      </c>
      <c r="E245">
        <v>578</v>
      </c>
      <c r="F245">
        <v>1.6038062283737</v>
      </c>
      <c r="G245">
        <v>1.6787551592053001</v>
      </c>
      <c r="H245">
        <v>0.116989765505412</v>
      </c>
      <c r="I245">
        <v>-0.64064519240478401</v>
      </c>
      <c r="J245">
        <v>-4.67</v>
      </c>
      <c r="L245">
        <v>1.795744924710712</v>
      </c>
      <c r="M245">
        <v>1.5617653936998881</v>
      </c>
      <c r="N245">
        <v>1.912734690216124</v>
      </c>
      <c r="O245">
        <v>1.4447756281944761</v>
      </c>
    </row>
    <row r="246" spans="1:15">
      <c r="A246" s="19">
        <v>43502</v>
      </c>
      <c r="B246">
        <v>953</v>
      </c>
      <c r="C246">
        <v>943</v>
      </c>
      <c r="D246">
        <v>597</v>
      </c>
      <c r="E246">
        <v>597</v>
      </c>
      <c r="F246">
        <v>1.57956448911222</v>
      </c>
      <c r="G246">
        <v>1.68323500175993</v>
      </c>
      <c r="H246">
        <v>0.120416741455408</v>
      </c>
      <c r="I246">
        <v>-0.86093105821250104</v>
      </c>
      <c r="J246">
        <v>-6.56</v>
      </c>
      <c r="L246">
        <v>1.8036517432153381</v>
      </c>
      <c r="M246">
        <v>1.562818260304522</v>
      </c>
      <c r="N246">
        <v>1.9240684846707461</v>
      </c>
      <c r="O246">
        <v>1.4424015188491139</v>
      </c>
    </row>
    <row r="247" spans="1:15">
      <c r="A247" s="19">
        <v>43501</v>
      </c>
      <c r="B247">
        <v>942</v>
      </c>
      <c r="C247">
        <v>944</v>
      </c>
      <c r="D247">
        <v>585</v>
      </c>
      <c r="E247">
        <v>591</v>
      </c>
      <c r="F247">
        <v>1.59729272419627</v>
      </c>
      <c r="G247">
        <v>1.6878319064946099</v>
      </c>
      <c r="H247">
        <v>0.122925986407297</v>
      </c>
      <c r="I247">
        <v>-0.73653411247279899</v>
      </c>
      <c r="J247">
        <v>-5.67</v>
      </c>
      <c r="L247">
        <v>1.8107578929019068</v>
      </c>
      <c r="M247">
        <v>1.564905920087313</v>
      </c>
      <c r="N247">
        <v>1.9336838793092039</v>
      </c>
      <c r="O247">
        <v>1.4419799336800159</v>
      </c>
    </row>
    <row r="248" spans="1:15">
      <c r="A248" s="19">
        <v>43500</v>
      </c>
      <c r="B248">
        <v>933</v>
      </c>
      <c r="C248">
        <v>949</v>
      </c>
      <c r="D248">
        <v>582</v>
      </c>
      <c r="E248">
        <v>586</v>
      </c>
      <c r="F248">
        <v>1.61945392491467</v>
      </c>
      <c r="G248">
        <v>1.6918972005856201</v>
      </c>
      <c r="H248">
        <v>0.12489047568183601</v>
      </c>
      <c r="I248">
        <v>-0.58005444590910604</v>
      </c>
      <c r="J248">
        <v>-4.47</v>
      </c>
      <c r="L248">
        <v>1.8167876762674562</v>
      </c>
      <c r="M248">
        <v>1.567006724903784</v>
      </c>
      <c r="N248">
        <v>1.9416781519492921</v>
      </c>
      <c r="O248">
        <v>1.4421162492219481</v>
      </c>
    </row>
    <row r="249" spans="1:15">
      <c r="A249" s="19">
        <v>43497</v>
      </c>
      <c r="B249">
        <v>949</v>
      </c>
      <c r="C249">
        <v>922</v>
      </c>
      <c r="D249">
        <v>584</v>
      </c>
      <c r="E249">
        <v>578</v>
      </c>
      <c r="F249">
        <v>1.5951557093425599</v>
      </c>
      <c r="G249">
        <v>1.6957572471276301</v>
      </c>
      <c r="H249">
        <v>0.12704707424109901</v>
      </c>
      <c r="I249">
        <v>-0.79184458505642197</v>
      </c>
      <c r="J249">
        <v>-6.31</v>
      </c>
      <c r="L249">
        <v>1.8228043213687291</v>
      </c>
      <c r="M249">
        <v>1.5687101728865311</v>
      </c>
      <c r="N249">
        <v>1.9498513956098282</v>
      </c>
      <c r="O249">
        <v>1.441663098645432</v>
      </c>
    </row>
    <row r="250" spans="1:15">
      <c r="A250" s="19">
        <v>43496</v>
      </c>
      <c r="B250">
        <v>960</v>
      </c>
      <c r="C250">
        <v>946</v>
      </c>
      <c r="D250">
        <v>582</v>
      </c>
      <c r="E250">
        <v>580</v>
      </c>
      <c r="F250">
        <v>1.6310344827586201</v>
      </c>
      <c r="G250">
        <v>1.69982941342731</v>
      </c>
      <c r="H250">
        <v>0.128641884816101</v>
      </c>
      <c r="I250">
        <v>-0.53477862802644704</v>
      </c>
      <c r="J250">
        <v>-4.22</v>
      </c>
      <c r="L250">
        <v>1.828471298243411</v>
      </c>
      <c r="M250">
        <v>1.5711875286112089</v>
      </c>
      <c r="N250">
        <v>1.9571131830595121</v>
      </c>
      <c r="O250">
        <v>1.4425456437951079</v>
      </c>
    </row>
    <row r="251" spans="1:15">
      <c r="A251" s="19">
        <v>43495</v>
      </c>
      <c r="B251">
        <v>947</v>
      </c>
      <c r="C251">
        <v>937</v>
      </c>
      <c r="D251">
        <v>582</v>
      </c>
      <c r="E251">
        <v>572</v>
      </c>
      <c r="F251">
        <v>1.6381118881118799</v>
      </c>
      <c r="G251">
        <v>1.70326747217571</v>
      </c>
      <c r="H251">
        <v>0.13019366671013399</v>
      </c>
      <c r="I251">
        <v>-0.50045125627263098</v>
      </c>
      <c r="J251">
        <v>-3.98</v>
      </c>
      <c r="L251">
        <v>1.8334611388858439</v>
      </c>
      <c r="M251">
        <v>1.573073805465576</v>
      </c>
      <c r="N251">
        <v>1.9636548055959779</v>
      </c>
      <c r="O251">
        <v>1.442880138755442</v>
      </c>
    </row>
    <row r="252" spans="1:15">
      <c r="A252" s="19">
        <v>43494</v>
      </c>
      <c r="B252">
        <v>949</v>
      </c>
      <c r="C252">
        <v>952</v>
      </c>
      <c r="D252">
        <v>582</v>
      </c>
      <c r="E252">
        <v>581</v>
      </c>
      <c r="F252">
        <v>1.6385542168674601</v>
      </c>
      <c r="G252">
        <v>1.70565537101522</v>
      </c>
      <c r="H252">
        <v>0.13061842698675799</v>
      </c>
      <c r="I252">
        <v>-0.51371889629753198</v>
      </c>
      <c r="J252">
        <v>-4.0999999999999996</v>
      </c>
      <c r="L252">
        <v>1.8362737980019781</v>
      </c>
      <c r="M252">
        <v>1.5750369440284619</v>
      </c>
      <c r="N252">
        <v>1.9668922249887359</v>
      </c>
      <c r="O252">
        <v>1.4444185170417041</v>
      </c>
    </row>
    <row r="253" spans="1:15">
      <c r="A253" s="19">
        <v>43493</v>
      </c>
      <c r="B253">
        <v>959</v>
      </c>
      <c r="C253">
        <v>939</v>
      </c>
      <c r="D253">
        <v>583</v>
      </c>
      <c r="E253">
        <v>578</v>
      </c>
      <c r="F253">
        <v>1.6245674740484399</v>
      </c>
      <c r="G253">
        <v>1.70757991128155</v>
      </c>
      <c r="H253">
        <v>0.13067892335745401</v>
      </c>
      <c r="I253">
        <v>-0.63523967829183403</v>
      </c>
      <c r="J253">
        <v>-5.1100000000000003</v>
      </c>
      <c r="L253">
        <v>1.8382588346390039</v>
      </c>
      <c r="M253">
        <v>1.5769009879240961</v>
      </c>
      <c r="N253">
        <v>1.968937757996458</v>
      </c>
      <c r="O253">
        <v>1.4462220645666419</v>
      </c>
    </row>
    <row r="254" spans="1:15">
      <c r="A254" s="19">
        <v>43490</v>
      </c>
      <c r="B254">
        <v>942</v>
      </c>
      <c r="C254">
        <v>949</v>
      </c>
      <c r="D254">
        <v>589</v>
      </c>
      <c r="E254">
        <v>579</v>
      </c>
      <c r="F254">
        <v>1.63903281519861</v>
      </c>
      <c r="G254">
        <v>1.71001817054745</v>
      </c>
      <c r="H254">
        <v>0.130813253654432</v>
      </c>
      <c r="I254">
        <v>-0.54264650840621198</v>
      </c>
      <c r="J254">
        <v>-4.33</v>
      </c>
      <c r="L254">
        <v>1.8408314242018819</v>
      </c>
      <c r="M254">
        <v>1.579204916893018</v>
      </c>
      <c r="N254">
        <v>1.9716446778563139</v>
      </c>
      <c r="O254">
        <v>1.448391663238586</v>
      </c>
    </row>
    <row r="255" spans="1:15">
      <c r="A255" s="19">
        <v>43489</v>
      </c>
      <c r="B255">
        <v>930</v>
      </c>
      <c r="C255">
        <v>939</v>
      </c>
      <c r="D255">
        <v>562</v>
      </c>
      <c r="E255">
        <v>575</v>
      </c>
      <c r="F255">
        <v>1.63304347826086</v>
      </c>
      <c r="G255">
        <v>1.71201122300276</v>
      </c>
      <c r="H255">
        <v>0.130855261096959</v>
      </c>
      <c r="I255">
        <v>-0.603473976360689</v>
      </c>
      <c r="J255">
        <v>-4.84</v>
      </c>
      <c r="L255">
        <v>1.8428664840997189</v>
      </c>
      <c r="M255">
        <v>1.5811559619058011</v>
      </c>
      <c r="N255">
        <v>1.973721745196678</v>
      </c>
      <c r="O255">
        <v>1.450300700808842</v>
      </c>
    </row>
    <row r="256" spans="1:15">
      <c r="A256" s="19">
        <v>43488</v>
      </c>
      <c r="B256">
        <v>910</v>
      </c>
      <c r="C256">
        <v>934</v>
      </c>
      <c r="D256">
        <v>556</v>
      </c>
      <c r="E256">
        <v>564</v>
      </c>
      <c r="F256">
        <v>1.65602836879432</v>
      </c>
      <c r="G256">
        <v>1.71413134969438</v>
      </c>
      <c r="H256">
        <v>0.13084678621156601</v>
      </c>
      <c r="I256">
        <v>-0.44405355746464897</v>
      </c>
      <c r="J256">
        <v>-3.51</v>
      </c>
      <c r="L256">
        <v>1.8449781359059461</v>
      </c>
      <c r="M256">
        <v>1.5832845634828139</v>
      </c>
      <c r="N256">
        <v>1.9758249221175119</v>
      </c>
      <c r="O256">
        <v>1.452437777271248</v>
      </c>
    </row>
    <row r="257" spans="1:15">
      <c r="A257" s="19">
        <v>43487</v>
      </c>
      <c r="B257">
        <v>932</v>
      </c>
      <c r="C257">
        <v>924</v>
      </c>
      <c r="D257">
        <v>568</v>
      </c>
      <c r="E257">
        <v>563</v>
      </c>
      <c r="F257">
        <v>1.64120781527531</v>
      </c>
      <c r="G257">
        <v>1.71613641870681</v>
      </c>
      <c r="H257">
        <v>0.13109303115700099</v>
      </c>
      <c r="I257">
        <v>-0.57156816628770402</v>
      </c>
      <c r="J257">
        <v>-4.57</v>
      </c>
      <c r="L257">
        <v>1.8472294498638111</v>
      </c>
      <c r="M257">
        <v>1.5850433875498089</v>
      </c>
      <c r="N257">
        <v>1.978322481020812</v>
      </c>
      <c r="O257">
        <v>1.453950356392808</v>
      </c>
    </row>
    <row r="258" spans="1:15">
      <c r="A258" s="19">
        <v>43486</v>
      </c>
      <c r="B258">
        <v>937</v>
      </c>
      <c r="C258">
        <v>932</v>
      </c>
      <c r="D258">
        <v>568</v>
      </c>
      <c r="E258">
        <v>569</v>
      </c>
      <c r="F258">
        <v>1.6379613356766201</v>
      </c>
      <c r="G258">
        <v>1.71810669443145</v>
      </c>
      <c r="H258">
        <v>0.131062541547874</v>
      </c>
      <c r="I258">
        <v>-0.61150468935136704</v>
      </c>
      <c r="J258">
        <v>-4.8899999999999997</v>
      </c>
      <c r="L258">
        <v>1.8491692359793239</v>
      </c>
      <c r="M258">
        <v>1.5870441528835761</v>
      </c>
      <c r="N258">
        <v>1.980231777527198</v>
      </c>
      <c r="O258">
        <v>1.455981611335702</v>
      </c>
    </row>
    <row r="259" spans="1:15">
      <c r="A259" s="19">
        <v>43483</v>
      </c>
      <c r="B259">
        <v>902</v>
      </c>
      <c r="C259">
        <v>923</v>
      </c>
      <c r="D259">
        <v>557</v>
      </c>
      <c r="E259">
        <v>558</v>
      </c>
      <c r="F259">
        <v>1.6541218637992801</v>
      </c>
      <c r="G259">
        <v>1.7200345477633701</v>
      </c>
      <c r="H259">
        <v>0.130932817008939</v>
      </c>
      <c r="I259">
        <v>-0.503408430902344</v>
      </c>
      <c r="J259">
        <v>-3.98</v>
      </c>
      <c r="L259">
        <v>1.8509673647723091</v>
      </c>
      <c r="M259">
        <v>1.5891017307544311</v>
      </c>
      <c r="N259">
        <v>1.981900181781248</v>
      </c>
      <c r="O259">
        <v>1.4581689137454921</v>
      </c>
    </row>
    <row r="260" spans="1:15">
      <c r="A260" s="19">
        <v>43482</v>
      </c>
      <c r="B260">
        <v>902</v>
      </c>
      <c r="C260">
        <v>896</v>
      </c>
      <c r="D260">
        <v>550</v>
      </c>
      <c r="E260">
        <v>549</v>
      </c>
      <c r="F260">
        <v>1.6320582877959899</v>
      </c>
      <c r="G260">
        <v>1.7216754339648801</v>
      </c>
      <c r="H260">
        <v>0.130867634270665</v>
      </c>
      <c r="I260">
        <v>-0.68479228396185399</v>
      </c>
      <c r="J260">
        <v>-5.49</v>
      </c>
      <c r="L260">
        <v>1.852543068235545</v>
      </c>
      <c r="M260">
        <v>1.5908077996942152</v>
      </c>
      <c r="N260">
        <v>1.9834107025062102</v>
      </c>
      <c r="O260">
        <v>1.45994016542355</v>
      </c>
    </row>
    <row r="261" spans="1:15">
      <c r="A261" s="19">
        <v>43481</v>
      </c>
      <c r="B261">
        <v>900</v>
      </c>
      <c r="C261">
        <v>884</v>
      </c>
      <c r="D261">
        <v>562</v>
      </c>
      <c r="E261">
        <v>547</v>
      </c>
      <c r="F261">
        <v>1.61608775137111</v>
      </c>
      <c r="G261">
        <v>1.7237939288759401</v>
      </c>
      <c r="H261">
        <v>0.13068566981242</v>
      </c>
      <c r="I261">
        <v>-0.82416211096000802</v>
      </c>
      <c r="J261">
        <v>-6.66</v>
      </c>
      <c r="L261">
        <v>1.85447959868836</v>
      </c>
      <c r="M261">
        <v>1.5931082590635202</v>
      </c>
      <c r="N261">
        <v>1.9851652685007801</v>
      </c>
      <c r="O261">
        <v>1.4624225892511</v>
      </c>
    </row>
    <row r="262" spans="1:15">
      <c r="A262" s="19">
        <v>43480</v>
      </c>
      <c r="B262">
        <v>887</v>
      </c>
      <c r="C262">
        <v>898</v>
      </c>
      <c r="D262">
        <v>551</v>
      </c>
      <c r="E262">
        <v>572</v>
      </c>
      <c r="F262">
        <v>1.56993006993007</v>
      </c>
      <c r="G262">
        <v>1.7260401301313699</v>
      </c>
      <c r="H262">
        <v>0.13026221968773399</v>
      </c>
      <c r="I262">
        <v>-1.1984292957354099</v>
      </c>
      <c r="J262">
        <v>-9.94</v>
      </c>
      <c r="L262">
        <v>1.8563023498191038</v>
      </c>
      <c r="M262">
        <v>1.595777910443636</v>
      </c>
      <c r="N262">
        <v>1.9865645695068379</v>
      </c>
      <c r="O262">
        <v>1.4655156907559019</v>
      </c>
    </row>
    <row r="263" spans="1:15">
      <c r="A263" s="19">
        <v>43476</v>
      </c>
      <c r="B263">
        <v>871</v>
      </c>
      <c r="C263">
        <v>878</v>
      </c>
      <c r="D263">
        <v>557</v>
      </c>
      <c r="E263">
        <v>551</v>
      </c>
      <c r="F263">
        <v>1.59346642468239</v>
      </c>
      <c r="G263">
        <v>1.7287595910204101</v>
      </c>
      <c r="H263">
        <v>0.129098567260713</v>
      </c>
      <c r="I263">
        <v>-1.04798348431549</v>
      </c>
      <c r="J263">
        <v>-8.49</v>
      </c>
      <c r="L263">
        <v>1.8578581582811231</v>
      </c>
      <c r="M263">
        <v>1.5996610237596971</v>
      </c>
      <c r="N263">
        <v>1.9869567255418361</v>
      </c>
      <c r="O263">
        <v>1.4705624564989841</v>
      </c>
    </row>
    <row r="264" spans="1:15">
      <c r="A264" s="19">
        <v>43475</v>
      </c>
      <c r="B264">
        <v>864</v>
      </c>
      <c r="C264">
        <v>867</v>
      </c>
      <c r="D264">
        <v>555</v>
      </c>
      <c r="E264">
        <v>553</v>
      </c>
      <c r="F264">
        <v>1.5678119349005399</v>
      </c>
      <c r="G264">
        <v>1.73102261875446</v>
      </c>
      <c r="H264">
        <v>0.128191542187166</v>
      </c>
      <c r="I264">
        <v>-1.2731782539570899</v>
      </c>
      <c r="J264">
        <v>-10.41</v>
      </c>
      <c r="L264">
        <v>1.8592141609416259</v>
      </c>
      <c r="M264">
        <v>1.602831076567294</v>
      </c>
      <c r="N264">
        <v>1.9874057031287919</v>
      </c>
      <c r="O264">
        <v>1.474639534380128</v>
      </c>
    </row>
    <row r="265" spans="1:15">
      <c r="A265" s="19">
        <v>43474</v>
      </c>
      <c r="B265">
        <v>871</v>
      </c>
      <c r="C265">
        <v>865</v>
      </c>
      <c r="D265">
        <v>557</v>
      </c>
      <c r="E265">
        <v>559</v>
      </c>
      <c r="F265">
        <v>1.5474060822897999</v>
      </c>
      <c r="G265">
        <v>1.7336511439061799</v>
      </c>
      <c r="H265">
        <v>0.126831941577284</v>
      </c>
      <c r="I265">
        <v>-1.4684397266196201</v>
      </c>
      <c r="J265">
        <v>-12.04</v>
      </c>
      <c r="L265">
        <v>1.860483085483464</v>
      </c>
      <c r="M265">
        <v>1.6068192023288959</v>
      </c>
      <c r="N265">
        <v>1.987315027060748</v>
      </c>
      <c r="O265">
        <v>1.4799872607516118</v>
      </c>
    </row>
    <row r="266" spans="1:15">
      <c r="A266" s="19">
        <v>43473</v>
      </c>
      <c r="B266">
        <v>841</v>
      </c>
      <c r="C266">
        <v>861</v>
      </c>
      <c r="D266">
        <v>556</v>
      </c>
      <c r="E266">
        <v>553</v>
      </c>
      <c r="F266">
        <v>1.55696202531645</v>
      </c>
      <c r="G266">
        <v>1.7366786372770699</v>
      </c>
      <c r="H266">
        <v>0.12504756302164499</v>
      </c>
      <c r="I266">
        <v>-1.43718604039897</v>
      </c>
      <c r="J266">
        <v>-11.54</v>
      </c>
      <c r="L266">
        <v>1.8617262002987149</v>
      </c>
      <c r="M266">
        <v>1.611631074255425</v>
      </c>
      <c r="N266">
        <v>1.9867737633203599</v>
      </c>
      <c r="O266">
        <v>1.48658351123378</v>
      </c>
    </row>
    <row r="267" spans="1:15">
      <c r="A267" s="19">
        <v>43472</v>
      </c>
      <c r="B267">
        <v>830</v>
      </c>
      <c r="C267">
        <v>846</v>
      </c>
      <c r="D267">
        <v>543</v>
      </c>
      <c r="E267">
        <v>548</v>
      </c>
      <c r="F267">
        <v>1.5437956204379499</v>
      </c>
      <c r="G267">
        <v>1.7392477621823299</v>
      </c>
      <c r="H267">
        <v>0.12329596090680101</v>
      </c>
      <c r="I267">
        <v>-1.5852274503307999</v>
      </c>
      <c r="J267">
        <v>-12.66</v>
      </c>
      <c r="L267">
        <v>1.8625437230891309</v>
      </c>
      <c r="M267">
        <v>1.615951801275529</v>
      </c>
      <c r="N267">
        <v>1.9858396839959318</v>
      </c>
      <c r="O267">
        <v>1.492655840368728</v>
      </c>
    </row>
    <row r="268" spans="1:15">
      <c r="A268" s="19">
        <v>43469</v>
      </c>
      <c r="B268">
        <v>828</v>
      </c>
      <c r="C268">
        <v>808</v>
      </c>
      <c r="D268">
        <v>527</v>
      </c>
      <c r="E268">
        <v>533</v>
      </c>
      <c r="F268">
        <v>1.5159474671669699</v>
      </c>
      <c r="G268">
        <v>1.7422332256756401</v>
      </c>
      <c r="H268">
        <v>0.12122056317378201</v>
      </c>
      <c r="I268">
        <v>-1.8667274972502701</v>
      </c>
      <c r="J268">
        <v>-14.93</v>
      </c>
      <c r="L268">
        <v>1.863453788849422</v>
      </c>
      <c r="M268">
        <v>1.6210126625018582</v>
      </c>
      <c r="N268">
        <v>1.9846743520232042</v>
      </c>
      <c r="O268">
        <v>1.499792099328076</v>
      </c>
    </row>
    <row r="269" spans="1:15">
      <c r="A269" s="19">
        <v>43462</v>
      </c>
      <c r="B269">
        <v>818</v>
      </c>
      <c r="C269">
        <v>831</v>
      </c>
      <c r="D269">
        <v>540</v>
      </c>
      <c r="E269">
        <v>542</v>
      </c>
      <c r="F269">
        <v>1.5332103321033199</v>
      </c>
      <c r="G269">
        <v>1.7455253546848399</v>
      </c>
      <c r="H269">
        <v>0.118349150858114</v>
      </c>
      <c r="I269">
        <v>-1.7939716596366799</v>
      </c>
      <c r="J269">
        <v>-13.85</v>
      </c>
      <c r="L269">
        <v>1.863874505542954</v>
      </c>
      <c r="M269">
        <v>1.6271762038267259</v>
      </c>
      <c r="N269">
        <v>1.982223656401068</v>
      </c>
      <c r="O269">
        <v>1.5088270529686119</v>
      </c>
    </row>
    <row r="270" spans="1:15">
      <c r="A270" s="19">
        <v>43461</v>
      </c>
      <c r="B270">
        <v>839</v>
      </c>
      <c r="C270">
        <v>824</v>
      </c>
      <c r="D270">
        <v>534</v>
      </c>
      <c r="E270">
        <v>538</v>
      </c>
      <c r="F270">
        <v>1.53159851301115</v>
      </c>
      <c r="G270">
        <v>1.7481886108628599</v>
      </c>
      <c r="H270">
        <v>0.11576052865483</v>
      </c>
      <c r="I270">
        <v>-1.8710185619273301</v>
      </c>
      <c r="J270">
        <v>-14.14</v>
      </c>
      <c r="L270">
        <v>1.8639491395176899</v>
      </c>
      <c r="M270">
        <v>1.6324280822080299</v>
      </c>
      <c r="N270">
        <v>1.9797096681725199</v>
      </c>
      <c r="O270">
        <v>1.5166675535531999</v>
      </c>
    </row>
    <row r="271" spans="1:15">
      <c r="A271" s="19">
        <v>43460</v>
      </c>
      <c r="B271">
        <v>800</v>
      </c>
      <c r="C271">
        <v>806</v>
      </c>
      <c r="D271">
        <v>512</v>
      </c>
      <c r="E271">
        <v>520</v>
      </c>
      <c r="F271">
        <v>1.55</v>
      </c>
      <c r="G271">
        <v>1.75085718499649</v>
      </c>
      <c r="H271">
        <v>0.113011069520136</v>
      </c>
      <c r="I271">
        <v>-1.7773231051556999</v>
      </c>
      <c r="J271">
        <v>-12.96</v>
      </c>
      <c r="L271">
        <v>1.8638682545166261</v>
      </c>
      <c r="M271">
        <v>1.6378461154763539</v>
      </c>
      <c r="N271">
        <v>1.9768793240367619</v>
      </c>
      <c r="O271">
        <v>1.5248350459562181</v>
      </c>
    </row>
    <row r="272" spans="1:15">
      <c r="A272" s="19">
        <v>43459</v>
      </c>
      <c r="B272">
        <v>811</v>
      </c>
      <c r="C272">
        <v>805</v>
      </c>
      <c r="D272">
        <v>507</v>
      </c>
      <c r="E272">
        <v>508</v>
      </c>
      <c r="F272">
        <v>1.58464566929133</v>
      </c>
      <c r="G272">
        <v>1.75305293753573</v>
      </c>
      <c r="H272">
        <v>0.11066261721072899</v>
      </c>
      <c r="I272">
        <v>-1.5218081090899001</v>
      </c>
      <c r="J272">
        <v>-10.63</v>
      </c>
      <c r="L272">
        <v>1.863715554746459</v>
      </c>
      <c r="M272">
        <v>1.642390320325001</v>
      </c>
      <c r="N272">
        <v>1.974378171957188</v>
      </c>
      <c r="O272">
        <v>1.531727703114272</v>
      </c>
    </row>
    <row r="273" spans="1:15">
      <c r="A273" s="19">
        <v>43455</v>
      </c>
      <c r="B273">
        <v>833</v>
      </c>
      <c r="C273">
        <v>826</v>
      </c>
      <c r="D273">
        <v>529</v>
      </c>
      <c r="E273">
        <v>521</v>
      </c>
      <c r="F273">
        <v>1.5854126679462499</v>
      </c>
      <c r="G273">
        <v>1.7546813595016599</v>
      </c>
      <c r="H273">
        <v>0.10905947348855501</v>
      </c>
      <c r="I273">
        <v>-1.5520769185922201</v>
      </c>
      <c r="J273">
        <v>-10.68</v>
      </c>
      <c r="L273">
        <v>1.863740832990215</v>
      </c>
      <c r="M273">
        <v>1.6456218860131049</v>
      </c>
      <c r="N273">
        <v>1.97280030647877</v>
      </c>
      <c r="O273">
        <v>1.5365624125245498</v>
      </c>
    </row>
    <row r="274" spans="1:15">
      <c r="A274" s="19">
        <v>43454</v>
      </c>
      <c r="B274">
        <v>860</v>
      </c>
      <c r="C274">
        <v>840</v>
      </c>
      <c r="D274">
        <v>552</v>
      </c>
      <c r="E274">
        <v>539</v>
      </c>
      <c r="F274">
        <v>1.5584415584415501</v>
      </c>
      <c r="G274">
        <v>1.7557046860912</v>
      </c>
      <c r="H274">
        <v>0.107819418718359</v>
      </c>
      <c r="I274">
        <v>-1.82956957099659</v>
      </c>
      <c r="J274">
        <v>-12.66</v>
      </c>
      <c r="L274">
        <v>1.863524104809559</v>
      </c>
      <c r="M274">
        <v>1.647885267372841</v>
      </c>
      <c r="N274">
        <v>1.971343523527918</v>
      </c>
      <c r="O274">
        <v>1.540065848654482</v>
      </c>
    </row>
    <row r="275" spans="1:15">
      <c r="A275" s="19">
        <v>43453</v>
      </c>
      <c r="B275">
        <v>889</v>
      </c>
      <c r="C275">
        <v>874</v>
      </c>
      <c r="D275">
        <v>556</v>
      </c>
      <c r="E275">
        <v>552</v>
      </c>
      <c r="F275">
        <v>1.5833333333333299</v>
      </c>
      <c r="G275">
        <v>1.75674523784042</v>
      </c>
      <c r="H275">
        <v>0.10627617520154301</v>
      </c>
      <c r="I275">
        <v>-1.6317100627514001</v>
      </c>
      <c r="J275">
        <v>-10.95</v>
      </c>
      <c r="L275">
        <v>1.8630214130419631</v>
      </c>
      <c r="M275">
        <v>1.6504690626388769</v>
      </c>
      <c r="N275">
        <v>1.969297588243506</v>
      </c>
      <c r="O275">
        <v>1.5441928874373341</v>
      </c>
    </row>
    <row r="276" spans="1:15">
      <c r="A276" s="19">
        <v>43452</v>
      </c>
      <c r="B276">
        <v>897</v>
      </c>
      <c r="C276">
        <v>886</v>
      </c>
      <c r="D276">
        <v>555</v>
      </c>
      <c r="E276">
        <v>555</v>
      </c>
      <c r="F276">
        <v>1.5963963963963901</v>
      </c>
      <c r="G276">
        <v>1.7573424053101201</v>
      </c>
      <c r="H276">
        <v>0.10542249562610299</v>
      </c>
      <c r="I276">
        <v>-1.52667614210679</v>
      </c>
      <c r="J276">
        <v>-10.08</v>
      </c>
      <c r="L276">
        <v>1.862764900936223</v>
      </c>
      <c r="M276">
        <v>1.6519199096840171</v>
      </c>
      <c r="N276">
        <v>1.968187396562326</v>
      </c>
      <c r="O276">
        <v>1.5464974140579142</v>
      </c>
    </row>
    <row r="277" spans="1:15">
      <c r="A277" s="19">
        <v>43451</v>
      </c>
      <c r="B277">
        <v>922</v>
      </c>
      <c r="C277">
        <v>908</v>
      </c>
      <c r="D277">
        <v>582</v>
      </c>
      <c r="E277">
        <v>572</v>
      </c>
      <c r="F277">
        <v>1.58741258741258</v>
      </c>
      <c r="G277">
        <v>1.7573482926203601</v>
      </c>
      <c r="H277">
        <v>0.105413519392608</v>
      </c>
      <c r="I277">
        <v>-1.61208644002156</v>
      </c>
      <c r="J277">
        <v>-10.71</v>
      </c>
      <c r="L277">
        <v>1.8627618120129681</v>
      </c>
      <c r="M277">
        <v>1.6519347732277521</v>
      </c>
      <c r="N277">
        <v>1.9681753314055761</v>
      </c>
      <c r="O277">
        <v>1.546521253835144</v>
      </c>
    </row>
    <row r="278" spans="1:15">
      <c r="A278" s="19">
        <v>43448</v>
      </c>
      <c r="B278">
        <v>922</v>
      </c>
      <c r="C278">
        <v>913</v>
      </c>
      <c r="D278">
        <v>585</v>
      </c>
      <c r="E278">
        <v>579</v>
      </c>
      <c r="F278">
        <v>1.5768566493955001</v>
      </c>
      <c r="G278">
        <v>1.7571934297527301</v>
      </c>
      <c r="H278">
        <v>0.10567127442002699</v>
      </c>
      <c r="I278">
        <v>-1.70658280925439</v>
      </c>
      <c r="J278">
        <v>-11.44</v>
      </c>
      <c r="L278">
        <v>1.8628647041727571</v>
      </c>
      <c r="M278">
        <v>1.6515221553327031</v>
      </c>
      <c r="N278">
        <v>1.9685359785927841</v>
      </c>
      <c r="O278">
        <v>1.5458508809126761</v>
      </c>
    </row>
    <row r="279" spans="1:15">
      <c r="A279" s="19">
        <v>43447</v>
      </c>
      <c r="B279">
        <v>927</v>
      </c>
      <c r="C279">
        <v>937</v>
      </c>
      <c r="D279">
        <v>589</v>
      </c>
      <c r="E279">
        <v>594</v>
      </c>
      <c r="F279">
        <v>1.5774410774410701</v>
      </c>
      <c r="G279">
        <v>1.7573880780767599</v>
      </c>
      <c r="H279">
        <v>0.105351874417207</v>
      </c>
      <c r="I279">
        <v>-1.7080569437528601</v>
      </c>
      <c r="J279">
        <v>-11.41</v>
      </c>
      <c r="L279">
        <v>1.862739952493967</v>
      </c>
      <c r="M279">
        <v>1.6520362036595528</v>
      </c>
      <c r="N279">
        <v>1.968091826911174</v>
      </c>
      <c r="O279">
        <v>1.5466843292423458</v>
      </c>
    </row>
    <row r="280" spans="1:15">
      <c r="A280" s="19">
        <v>43446</v>
      </c>
      <c r="B280">
        <v>918</v>
      </c>
      <c r="C280">
        <v>925</v>
      </c>
      <c r="D280">
        <v>581</v>
      </c>
      <c r="E280">
        <v>582</v>
      </c>
      <c r="F280">
        <v>1.5893470790377999</v>
      </c>
      <c r="G280">
        <v>1.7578229216818999</v>
      </c>
      <c r="H280">
        <v>0.104673360609798</v>
      </c>
      <c r="I280">
        <v>-1.6095388708512599</v>
      </c>
      <c r="J280">
        <v>-10.6</v>
      </c>
      <c r="L280">
        <v>1.8624962822916979</v>
      </c>
      <c r="M280">
        <v>1.6531495610721019</v>
      </c>
      <c r="N280">
        <v>1.967169642901496</v>
      </c>
      <c r="O280">
        <v>1.5484762004623038</v>
      </c>
    </row>
    <row r="281" spans="1:15">
      <c r="A281" s="19">
        <v>43445</v>
      </c>
      <c r="B281">
        <v>952</v>
      </c>
      <c r="C281">
        <v>923</v>
      </c>
      <c r="D281">
        <v>586</v>
      </c>
      <c r="E281">
        <v>572</v>
      </c>
      <c r="F281">
        <v>1.61363636363636</v>
      </c>
      <c r="G281">
        <v>1.7579685496814501</v>
      </c>
      <c r="H281">
        <v>0.104446216674085</v>
      </c>
      <c r="I281">
        <v>-1.3818804609789099</v>
      </c>
      <c r="J281">
        <v>-8.94</v>
      </c>
      <c r="L281">
        <v>1.862414766355535</v>
      </c>
      <c r="M281">
        <v>1.6535223330073652</v>
      </c>
      <c r="N281">
        <v>1.9668609830296202</v>
      </c>
      <c r="O281">
        <v>1.54907611633328</v>
      </c>
    </row>
    <row r="282" spans="1:15">
      <c r="A282" s="19">
        <v>43444</v>
      </c>
      <c r="B282">
        <v>957</v>
      </c>
      <c r="C282">
        <v>953</v>
      </c>
      <c r="D282">
        <v>578</v>
      </c>
      <c r="E282">
        <v>582</v>
      </c>
      <c r="F282">
        <v>1.6374570446735299</v>
      </c>
      <c r="G282">
        <v>1.75769901220138</v>
      </c>
      <c r="H282">
        <v>0.10484366541904699</v>
      </c>
      <c r="I282">
        <v>-1.1468691698945801</v>
      </c>
      <c r="J282">
        <v>-7.34</v>
      </c>
      <c r="L282">
        <v>1.862542677620427</v>
      </c>
      <c r="M282">
        <v>1.652855346782333</v>
      </c>
      <c r="N282">
        <v>1.967386343039474</v>
      </c>
      <c r="O282">
        <v>1.548011681363286</v>
      </c>
    </row>
    <row r="283" spans="1:15">
      <c r="A283" s="19">
        <v>43441</v>
      </c>
      <c r="B283">
        <v>977</v>
      </c>
      <c r="C283">
        <v>972</v>
      </c>
      <c r="D283">
        <v>586</v>
      </c>
      <c r="E283">
        <v>590</v>
      </c>
      <c r="F283">
        <v>1.6474576271186401</v>
      </c>
      <c r="G283">
        <v>1.7572067341794599</v>
      </c>
      <c r="H283">
        <v>0.10549176328281799</v>
      </c>
      <c r="I283">
        <v>-1.0403571202672099</v>
      </c>
      <c r="J283">
        <v>-6.66</v>
      </c>
      <c r="L283">
        <v>1.862698497462278</v>
      </c>
      <c r="M283">
        <v>1.6517149708966419</v>
      </c>
      <c r="N283">
        <v>1.9681902607450958</v>
      </c>
      <c r="O283">
        <v>1.546223207613824</v>
      </c>
    </row>
    <row r="284" spans="1:15">
      <c r="A284" s="19">
        <v>43440</v>
      </c>
      <c r="B284">
        <v>982</v>
      </c>
      <c r="C284">
        <v>977</v>
      </c>
      <c r="D284">
        <v>590</v>
      </c>
      <c r="E284">
        <v>586</v>
      </c>
      <c r="F284">
        <v>1.6672354948805399</v>
      </c>
      <c r="G284">
        <v>1.7568124482027101</v>
      </c>
      <c r="H284">
        <v>0.105955468637529</v>
      </c>
      <c r="I284">
        <v>-0.84542076472337802</v>
      </c>
      <c r="J284">
        <v>-5.37</v>
      </c>
      <c r="L284">
        <v>1.8627679168402391</v>
      </c>
      <c r="M284">
        <v>1.6508569795651811</v>
      </c>
      <c r="N284">
        <v>1.9687233854777682</v>
      </c>
      <c r="O284">
        <v>1.544901510927652</v>
      </c>
    </row>
    <row r="285" spans="1:15">
      <c r="A285" s="19">
        <v>43439</v>
      </c>
      <c r="B285">
        <v>998</v>
      </c>
      <c r="C285">
        <v>989</v>
      </c>
      <c r="D285">
        <v>597</v>
      </c>
      <c r="E285">
        <v>596</v>
      </c>
      <c r="F285">
        <v>1.6593959731543599</v>
      </c>
      <c r="G285">
        <v>1.75620181844736</v>
      </c>
      <c r="H285">
        <v>0.106599954615578</v>
      </c>
      <c r="I285">
        <v>-0.90812276273568504</v>
      </c>
      <c r="J285">
        <v>-5.83</v>
      </c>
      <c r="L285">
        <v>1.862801773062938</v>
      </c>
      <c r="M285">
        <v>1.649601863831782</v>
      </c>
      <c r="N285">
        <v>1.9694017276785161</v>
      </c>
      <c r="O285">
        <v>1.5430019092162039</v>
      </c>
    </row>
    <row r="286" spans="1:15">
      <c r="A286" s="19">
        <v>43438</v>
      </c>
      <c r="B286">
        <v>1035</v>
      </c>
      <c r="C286">
        <v>1006</v>
      </c>
      <c r="D286">
        <v>618</v>
      </c>
      <c r="E286">
        <v>602</v>
      </c>
      <c r="F286">
        <v>1.6710963455149499</v>
      </c>
      <c r="G286">
        <v>1.7557134843928599</v>
      </c>
      <c r="H286">
        <v>0.107124900452297</v>
      </c>
      <c r="I286">
        <v>-0.78989234548315401</v>
      </c>
      <c r="J286">
        <v>-5.0599999999999996</v>
      </c>
      <c r="L286">
        <v>1.8628383848451568</v>
      </c>
      <c r="M286">
        <v>1.648588583940563</v>
      </c>
      <c r="N286">
        <v>1.969963285297454</v>
      </c>
      <c r="O286">
        <v>1.5414636834882658</v>
      </c>
    </row>
    <row r="287" spans="1:15">
      <c r="A287" s="19">
        <v>43437</v>
      </c>
      <c r="B287">
        <v>1039</v>
      </c>
      <c r="C287">
        <v>1042</v>
      </c>
      <c r="D287">
        <v>609</v>
      </c>
      <c r="E287">
        <v>612</v>
      </c>
      <c r="F287">
        <v>1.7026143790849599</v>
      </c>
      <c r="G287">
        <v>1.7550874352683901</v>
      </c>
      <c r="H287">
        <v>0.107752942622448</v>
      </c>
      <c r="I287">
        <v>-0.48697562132745298</v>
      </c>
      <c r="J287">
        <v>-3.08</v>
      </c>
      <c r="L287">
        <v>1.862840377890838</v>
      </c>
      <c r="M287">
        <v>1.6473344926459421</v>
      </c>
      <c r="N287">
        <v>1.9705933205132862</v>
      </c>
      <c r="O287">
        <v>1.5395815500234939</v>
      </c>
    </row>
    <row r="288" spans="1:15">
      <c r="A288" s="19">
        <v>43434</v>
      </c>
      <c r="B288">
        <v>1037</v>
      </c>
      <c r="C288">
        <v>1033</v>
      </c>
      <c r="D288">
        <v>598</v>
      </c>
      <c r="E288">
        <v>600</v>
      </c>
      <c r="F288">
        <v>1.72166666666666</v>
      </c>
      <c r="G288">
        <v>1.75394236545459</v>
      </c>
      <c r="H288">
        <v>0.108756126035046</v>
      </c>
      <c r="I288">
        <v>-0.29677131730057599</v>
      </c>
      <c r="J288">
        <v>-1.87</v>
      </c>
      <c r="L288">
        <v>1.8626984914896361</v>
      </c>
      <c r="M288">
        <v>1.645186239419544</v>
      </c>
      <c r="N288">
        <v>1.9714546175246821</v>
      </c>
      <c r="O288">
        <v>1.536430113384498</v>
      </c>
    </row>
    <row r="289" spans="1:15">
      <c r="A289" s="19">
        <v>43433</v>
      </c>
      <c r="B289">
        <v>1029</v>
      </c>
      <c r="C289">
        <v>1039</v>
      </c>
      <c r="D289">
        <v>604</v>
      </c>
      <c r="E289">
        <v>595</v>
      </c>
      <c r="F289">
        <v>1.74621848739495</v>
      </c>
      <c r="G289">
        <v>1.75249693881248</v>
      </c>
      <c r="H289">
        <v>0.109889964806365</v>
      </c>
      <c r="I289">
        <v>-5.7133983331309902E-2</v>
      </c>
      <c r="J289">
        <v>-0.36</v>
      </c>
      <c r="L289">
        <v>1.862386903618845</v>
      </c>
      <c r="M289">
        <v>1.6426069740061151</v>
      </c>
      <c r="N289">
        <v>1.9722768684252101</v>
      </c>
      <c r="O289">
        <v>1.53271700919975</v>
      </c>
    </row>
    <row r="290" spans="1:15">
      <c r="A290" s="19">
        <v>43432</v>
      </c>
      <c r="B290">
        <v>1014</v>
      </c>
      <c r="C290">
        <v>1017</v>
      </c>
      <c r="D290">
        <v>598</v>
      </c>
      <c r="E290">
        <v>599</v>
      </c>
      <c r="F290">
        <v>1.69782971619365</v>
      </c>
      <c r="G290">
        <v>1.7509995797073299</v>
      </c>
      <c r="H290">
        <v>0.11072723601436101</v>
      </c>
      <c r="I290">
        <v>-0.480187760731072</v>
      </c>
      <c r="J290">
        <v>-3.13</v>
      </c>
      <c r="L290">
        <v>1.8617268157216909</v>
      </c>
      <c r="M290">
        <v>1.6402723436929689</v>
      </c>
      <c r="N290">
        <v>1.9724540517360518</v>
      </c>
      <c r="O290">
        <v>1.529545107678608</v>
      </c>
    </row>
    <row r="291" spans="1:15">
      <c r="A291" s="19">
        <v>43431</v>
      </c>
      <c r="B291">
        <v>1009</v>
      </c>
      <c r="C291">
        <v>1013</v>
      </c>
      <c r="D291">
        <v>598</v>
      </c>
      <c r="E291">
        <v>596</v>
      </c>
      <c r="F291">
        <v>1.6996644295301999</v>
      </c>
      <c r="G291">
        <v>1.74974055870956</v>
      </c>
      <c r="H291">
        <v>0.11185573141860999</v>
      </c>
      <c r="I291">
        <v>-0.44768496476913699</v>
      </c>
      <c r="J291">
        <v>-2.95</v>
      </c>
      <c r="L291">
        <v>1.86159629012817</v>
      </c>
      <c r="M291">
        <v>1.6378848272909501</v>
      </c>
      <c r="N291">
        <v>1.9734520215467799</v>
      </c>
      <c r="O291">
        <v>1.5260290958723401</v>
      </c>
    </row>
    <row r="292" spans="1:15">
      <c r="A292" s="19">
        <v>43430</v>
      </c>
      <c r="B292">
        <v>987</v>
      </c>
      <c r="C292">
        <v>1010</v>
      </c>
      <c r="D292">
        <v>583</v>
      </c>
      <c r="E292">
        <v>588</v>
      </c>
      <c r="F292">
        <v>1.71768707482993</v>
      </c>
      <c r="G292">
        <v>1.74897552943639</v>
      </c>
      <c r="H292">
        <v>0.112390542417867</v>
      </c>
      <c r="I292">
        <v>-0.27839045824814401</v>
      </c>
      <c r="J292">
        <v>-1.82</v>
      </c>
      <c r="L292">
        <v>1.8613660718542571</v>
      </c>
      <c r="M292">
        <v>1.636584987018523</v>
      </c>
      <c r="N292">
        <v>1.9737566142721241</v>
      </c>
      <c r="O292">
        <v>1.5241944446006559</v>
      </c>
    </row>
    <row r="293" spans="1:15">
      <c r="A293" s="19">
        <v>43426</v>
      </c>
      <c r="B293">
        <v>998</v>
      </c>
      <c r="C293">
        <v>995</v>
      </c>
      <c r="D293">
        <v>599</v>
      </c>
      <c r="E293">
        <v>592</v>
      </c>
      <c r="F293">
        <v>1.6807432432432401</v>
      </c>
      <c r="G293">
        <v>1.74834291893017</v>
      </c>
      <c r="H293">
        <v>0.112697982870539</v>
      </c>
      <c r="I293">
        <v>-0.59983039594052201</v>
      </c>
      <c r="J293">
        <v>-4.0199999999999996</v>
      </c>
      <c r="L293">
        <v>1.861040901800709</v>
      </c>
      <c r="M293">
        <v>1.635644936059631</v>
      </c>
      <c r="N293">
        <v>1.973738884671248</v>
      </c>
      <c r="O293">
        <v>1.522946953189092</v>
      </c>
    </row>
    <row r="294" spans="1:15">
      <c r="A294" s="19">
        <v>43425</v>
      </c>
      <c r="B294">
        <v>990</v>
      </c>
      <c r="C294">
        <v>1002</v>
      </c>
      <c r="D294">
        <v>593</v>
      </c>
      <c r="E294">
        <v>600</v>
      </c>
      <c r="F294">
        <v>1.67</v>
      </c>
      <c r="G294">
        <v>1.74861060464868</v>
      </c>
      <c r="H294">
        <v>0.11256085876192699</v>
      </c>
      <c r="I294">
        <v>-0.69838312814358205</v>
      </c>
      <c r="J294">
        <v>-4.71</v>
      </c>
      <c r="L294">
        <v>1.8611714634106069</v>
      </c>
      <c r="M294">
        <v>1.6360497458867531</v>
      </c>
      <c r="N294">
        <v>1.973732322172534</v>
      </c>
      <c r="O294">
        <v>1.523488887124826</v>
      </c>
    </row>
    <row r="295" spans="1:15">
      <c r="A295" s="19">
        <v>43424</v>
      </c>
      <c r="B295">
        <v>1008</v>
      </c>
      <c r="C295">
        <v>1004</v>
      </c>
      <c r="D295">
        <v>602</v>
      </c>
      <c r="E295">
        <v>602</v>
      </c>
      <c r="F295">
        <v>1.66777408637873</v>
      </c>
      <c r="G295">
        <v>1.7488315001710699</v>
      </c>
      <c r="H295">
        <v>0.112422543476023</v>
      </c>
      <c r="I295">
        <v>-0.72100675973071904</v>
      </c>
      <c r="J295">
        <v>-4.8600000000000003</v>
      </c>
      <c r="L295">
        <v>1.861254043647093</v>
      </c>
      <c r="M295">
        <v>1.6364089566950468</v>
      </c>
      <c r="N295">
        <v>1.9736765871231159</v>
      </c>
      <c r="O295">
        <v>1.5239864132190239</v>
      </c>
    </row>
    <row r="296" spans="1:15">
      <c r="A296" s="19">
        <v>43423</v>
      </c>
      <c r="B296">
        <v>1048</v>
      </c>
      <c r="C296">
        <v>1038</v>
      </c>
      <c r="D296">
        <v>600</v>
      </c>
      <c r="E296">
        <v>604</v>
      </c>
      <c r="F296">
        <v>1.7185430463576099</v>
      </c>
      <c r="G296">
        <v>1.74909451235268</v>
      </c>
      <c r="H296">
        <v>0.11225555259011</v>
      </c>
      <c r="I296">
        <v>-0.27215995369625501</v>
      </c>
      <c r="J296">
        <v>-1.78</v>
      </c>
      <c r="L296">
        <v>1.8613500649427901</v>
      </c>
      <c r="M296">
        <v>1.6368389597625699</v>
      </c>
      <c r="N296">
        <v>1.9736056175329</v>
      </c>
      <c r="O296">
        <v>1.52458340717246</v>
      </c>
    </row>
    <row r="297" spans="1:15">
      <c r="A297" s="19">
        <v>43420</v>
      </c>
      <c r="B297">
        <v>1068</v>
      </c>
      <c r="C297">
        <v>1049</v>
      </c>
      <c r="D297">
        <v>611</v>
      </c>
      <c r="E297">
        <v>606</v>
      </c>
      <c r="F297">
        <v>1.73102310231023</v>
      </c>
      <c r="G297">
        <v>1.7489033549548401</v>
      </c>
      <c r="H297">
        <v>0.112319603854118</v>
      </c>
      <c r="I297">
        <v>-0.159190844973428</v>
      </c>
      <c r="J297">
        <v>-1.03</v>
      </c>
      <c r="L297">
        <v>1.8612229588089582</v>
      </c>
      <c r="M297">
        <v>1.636583751100722</v>
      </c>
      <c r="N297">
        <v>1.973542562663076</v>
      </c>
      <c r="O297">
        <v>1.5242641472466041</v>
      </c>
    </row>
    <row r="298" spans="1:15">
      <c r="A298" s="19">
        <v>43419</v>
      </c>
      <c r="B298">
        <v>1059</v>
      </c>
      <c r="C298">
        <v>1073</v>
      </c>
      <c r="D298">
        <v>620</v>
      </c>
      <c r="E298">
        <v>613</v>
      </c>
      <c r="F298">
        <v>1.7504078303425701</v>
      </c>
      <c r="G298">
        <v>1.7480937099576499</v>
      </c>
      <c r="H298">
        <v>0.11266390538118499</v>
      </c>
      <c r="I298">
        <v>2.0540033448121098E-2</v>
      </c>
      <c r="J298">
        <v>0.13</v>
      </c>
      <c r="L298">
        <v>1.860757615338835</v>
      </c>
      <c r="M298">
        <v>1.6354298045764648</v>
      </c>
      <c r="N298">
        <v>1.9734215207200199</v>
      </c>
      <c r="O298">
        <v>1.5227658991952799</v>
      </c>
    </row>
    <row r="299" spans="1:15">
      <c r="A299" s="19">
        <v>43418</v>
      </c>
      <c r="B299">
        <v>1073</v>
      </c>
      <c r="C299">
        <v>1076</v>
      </c>
      <c r="D299">
        <v>614</v>
      </c>
      <c r="E299">
        <v>624</v>
      </c>
      <c r="F299">
        <v>1.72435897435897</v>
      </c>
      <c r="G299">
        <v>1.7472378856804101</v>
      </c>
      <c r="H299">
        <v>0.11288664588536799</v>
      </c>
      <c r="I299">
        <v>-0.20267154845465901</v>
      </c>
      <c r="J299">
        <v>-1.33</v>
      </c>
      <c r="L299">
        <v>1.8601245315657779</v>
      </c>
      <c r="M299">
        <v>1.6343512397950422</v>
      </c>
      <c r="N299">
        <v>1.9730111774511461</v>
      </c>
      <c r="O299">
        <v>1.521464593909674</v>
      </c>
    </row>
    <row r="300" spans="1:15">
      <c r="A300" s="19">
        <v>43417</v>
      </c>
      <c r="B300">
        <v>1094</v>
      </c>
      <c r="C300">
        <v>1076</v>
      </c>
      <c r="D300">
        <v>626</v>
      </c>
      <c r="E300">
        <v>619</v>
      </c>
      <c r="F300">
        <v>1.73828756058158</v>
      </c>
      <c r="G300">
        <v>1.7464990546679799</v>
      </c>
      <c r="H300">
        <v>0.113214824962471</v>
      </c>
      <c r="I300">
        <v>-7.2530201668594405E-2</v>
      </c>
      <c r="J300">
        <v>-0.47</v>
      </c>
      <c r="L300">
        <v>1.8597138796304509</v>
      </c>
      <c r="M300">
        <v>1.633284229705509</v>
      </c>
      <c r="N300">
        <v>1.972928704592922</v>
      </c>
      <c r="O300">
        <v>1.5200694047430379</v>
      </c>
    </row>
    <row r="301" spans="1:15">
      <c r="A301" s="19">
        <v>43416</v>
      </c>
      <c r="B301">
        <v>1115</v>
      </c>
      <c r="C301">
        <v>1103</v>
      </c>
      <c r="D301">
        <v>639</v>
      </c>
      <c r="E301">
        <v>631</v>
      </c>
      <c r="F301">
        <v>1.74801901743264</v>
      </c>
      <c r="G301">
        <v>1.74564192387398</v>
      </c>
      <c r="H301">
        <v>0.113516690653088</v>
      </c>
      <c r="I301">
        <v>2.0940476197676399E-2</v>
      </c>
      <c r="J301">
        <v>0.14000000000000001</v>
      </c>
      <c r="L301">
        <v>1.859158614527068</v>
      </c>
      <c r="M301">
        <v>1.632125233220892</v>
      </c>
      <c r="N301">
        <v>1.972675305180156</v>
      </c>
      <c r="O301">
        <v>1.518608542567804</v>
      </c>
    </row>
    <row r="302" spans="1:15">
      <c r="A302" s="19">
        <v>43413</v>
      </c>
      <c r="B302">
        <v>1189</v>
      </c>
      <c r="C302">
        <v>1125</v>
      </c>
      <c r="D302">
        <v>683</v>
      </c>
      <c r="E302">
        <v>679</v>
      </c>
      <c r="F302">
        <v>1.6568483063328401</v>
      </c>
      <c r="G302">
        <v>1.7447416426457001</v>
      </c>
      <c r="H302">
        <v>0.11376175287359</v>
      </c>
      <c r="I302">
        <v>-0.77260884341790903</v>
      </c>
      <c r="J302">
        <v>-5.3</v>
      </c>
      <c r="L302">
        <v>1.85850339551929</v>
      </c>
      <c r="M302">
        <v>1.6309798897721102</v>
      </c>
      <c r="N302">
        <v>1.9722651483928801</v>
      </c>
      <c r="O302">
        <v>1.51721813689852</v>
      </c>
    </row>
    <row r="303" spans="1:15">
      <c r="A303" s="19">
        <v>43412</v>
      </c>
      <c r="B303">
        <v>1164</v>
      </c>
      <c r="C303">
        <v>1177</v>
      </c>
      <c r="D303">
        <v>676</v>
      </c>
      <c r="E303">
        <v>675</v>
      </c>
      <c r="F303">
        <v>1.7437037037037</v>
      </c>
      <c r="G303">
        <v>1.74488486559727</v>
      </c>
      <c r="H303">
        <v>0.11365772159865099</v>
      </c>
      <c r="I303">
        <v>-1.03922714352954E-2</v>
      </c>
      <c r="J303">
        <v>-7.0000000000000007E-2</v>
      </c>
      <c r="L303">
        <v>1.8585425871959209</v>
      </c>
      <c r="M303">
        <v>1.631227143998619</v>
      </c>
      <c r="N303">
        <v>1.9722003087945719</v>
      </c>
      <c r="O303">
        <v>1.5175694223999681</v>
      </c>
    </row>
    <row r="304" spans="1:15">
      <c r="A304" s="19">
        <v>43411</v>
      </c>
      <c r="B304">
        <v>1162</v>
      </c>
      <c r="C304">
        <v>1125</v>
      </c>
      <c r="D304">
        <v>674</v>
      </c>
      <c r="E304">
        <v>669</v>
      </c>
      <c r="F304">
        <v>1.6816143497757801</v>
      </c>
      <c r="G304">
        <v>1.7437095569552901</v>
      </c>
      <c r="H304">
        <v>0.11411868413387601</v>
      </c>
      <c r="I304">
        <v>-0.54412831387600002</v>
      </c>
      <c r="J304">
        <v>-3.69</v>
      </c>
      <c r="L304">
        <v>1.857828241089166</v>
      </c>
      <c r="M304">
        <v>1.6295908728214141</v>
      </c>
      <c r="N304">
        <v>1.9719469252230422</v>
      </c>
      <c r="O304">
        <v>1.515472188687538</v>
      </c>
    </row>
    <row r="305" spans="1:15">
      <c r="A305" s="19">
        <v>43410</v>
      </c>
      <c r="B305">
        <v>1142</v>
      </c>
      <c r="C305">
        <v>1145</v>
      </c>
      <c r="D305">
        <v>672</v>
      </c>
      <c r="E305">
        <v>674</v>
      </c>
      <c r="F305">
        <v>1.6988130563798201</v>
      </c>
      <c r="G305">
        <v>1.7436475828534099</v>
      </c>
      <c r="H305">
        <v>0.114153645917455</v>
      </c>
      <c r="I305">
        <v>-0.39275597475018298</v>
      </c>
      <c r="J305">
        <v>-2.64</v>
      </c>
      <c r="L305">
        <v>1.857801228770865</v>
      </c>
      <c r="M305">
        <v>1.6294939369359549</v>
      </c>
      <c r="N305">
        <v>1.97195487468832</v>
      </c>
      <c r="O305">
        <v>1.5153402910184999</v>
      </c>
    </row>
    <row r="306" spans="1:15">
      <c r="A306" s="19">
        <v>43409</v>
      </c>
      <c r="B306">
        <v>1119</v>
      </c>
      <c r="C306">
        <v>1132</v>
      </c>
      <c r="D306">
        <v>661</v>
      </c>
      <c r="E306">
        <v>671</v>
      </c>
      <c r="F306">
        <v>1.6870342771982101</v>
      </c>
      <c r="G306">
        <v>1.7435940229268101</v>
      </c>
      <c r="H306">
        <v>0.114175609590694</v>
      </c>
      <c r="I306">
        <v>-0.49537502739302502</v>
      </c>
      <c r="J306">
        <v>-3.35</v>
      </c>
      <c r="L306">
        <v>1.8577696325175042</v>
      </c>
      <c r="M306">
        <v>1.629418413336116</v>
      </c>
      <c r="N306">
        <v>1.9719452421081982</v>
      </c>
      <c r="O306">
        <v>1.515242803745422</v>
      </c>
    </row>
    <row r="307" spans="1:15">
      <c r="A307" s="19">
        <v>43406</v>
      </c>
      <c r="B307">
        <v>1042</v>
      </c>
      <c r="C307">
        <v>1122</v>
      </c>
      <c r="D307">
        <v>657</v>
      </c>
      <c r="E307">
        <v>669</v>
      </c>
      <c r="F307">
        <v>1.67713004484304</v>
      </c>
      <c r="G307">
        <v>1.7437253506000501</v>
      </c>
      <c r="H307">
        <v>0.114116126733559</v>
      </c>
      <c r="I307" s="20">
        <v>-0.58357488694386095</v>
      </c>
      <c r="J307">
        <v>-3.97</v>
      </c>
      <c r="L307">
        <v>1.8578414773336092</v>
      </c>
      <c r="M307">
        <v>1.629609223866491</v>
      </c>
      <c r="N307">
        <v>1.971957604067168</v>
      </c>
      <c r="O307">
        <v>1.5154930971329321</v>
      </c>
    </row>
    <row r="308" spans="1:15">
      <c r="A308" s="19">
        <v>43405</v>
      </c>
      <c r="B308">
        <v>980</v>
      </c>
      <c r="C308">
        <v>1042</v>
      </c>
      <c r="D308">
        <v>650</v>
      </c>
      <c r="E308">
        <v>655</v>
      </c>
      <c r="F308">
        <v>1.59083969465648</v>
      </c>
      <c r="G308">
        <v>1.7439830020116001</v>
      </c>
      <c r="H308">
        <v>0.113987218871673</v>
      </c>
      <c r="I308">
        <v>-1.34351297339333</v>
      </c>
      <c r="J308">
        <v>-9.6300000000000008</v>
      </c>
      <c r="L308">
        <v>1.8579702208832731</v>
      </c>
      <c r="M308">
        <v>1.629995783139927</v>
      </c>
      <c r="N308">
        <v>1.971957439754946</v>
      </c>
      <c r="O308">
        <v>1.5160085642682541</v>
      </c>
    </row>
    <row r="309" spans="1:15">
      <c r="A309" s="19">
        <v>43404</v>
      </c>
      <c r="B309">
        <v>1232</v>
      </c>
      <c r="C309">
        <v>1247</v>
      </c>
      <c r="D309">
        <v>640</v>
      </c>
      <c r="E309">
        <v>649</v>
      </c>
      <c r="F309">
        <v>1.92141756548536</v>
      </c>
      <c r="G309">
        <v>1.74540389061695</v>
      </c>
      <c r="H309">
        <v>0.112726604282298</v>
      </c>
      <c r="I309">
        <v>1.56142089073861</v>
      </c>
      <c r="J309">
        <v>9.16</v>
      </c>
      <c r="L309">
        <v>1.8581304948992481</v>
      </c>
      <c r="M309">
        <v>1.6326772863346519</v>
      </c>
      <c r="N309">
        <v>1.9708570991815459</v>
      </c>
      <c r="O309">
        <v>1.5199506820523541</v>
      </c>
    </row>
    <row r="310" spans="1:15">
      <c r="A310" s="19">
        <v>43403</v>
      </c>
      <c r="B310">
        <v>1214</v>
      </c>
      <c r="C310">
        <v>1242</v>
      </c>
      <c r="D310">
        <v>629</v>
      </c>
      <c r="E310">
        <v>641</v>
      </c>
      <c r="F310">
        <v>1.9375975039001501</v>
      </c>
      <c r="G310">
        <v>1.74238946010338</v>
      </c>
      <c r="H310">
        <v>0.11098895389237701</v>
      </c>
      <c r="I310">
        <v>1.7588060518711901</v>
      </c>
      <c r="J310">
        <v>10.07</v>
      </c>
      <c r="L310">
        <v>1.853378413995757</v>
      </c>
      <c r="M310">
        <v>1.6314005062110031</v>
      </c>
      <c r="N310">
        <v>1.9643673678881339</v>
      </c>
      <c r="O310">
        <v>1.5204115523186261</v>
      </c>
    </row>
    <row r="311" spans="1:15">
      <c r="A311" s="19">
        <v>43402</v>
      </c>
      <c r="B311">
        <v>1230</v>
      </c>
      <c r="C311">
        <v>1233</v>
      </c>
      <c r="D311">
        <v>637</v>
      </c>
      <c r="E311">
        <v>636</v>
      </c>
      <c r="F311">
        <v>1.9386792452830099</v>
      </c>
      <c r="G311">
        <v>1.73910698586409</v>
      </c>
      <c r="H311">
        <v>0.108785754047727</v>
      </c>
      <c r="I311">
        <v>1.8345440647620099</v>
      </c>
      <c r="J311">
        <v>10.29</v>
      </c>
      <c r="L311">
        <v>1.847892739911817</v>
      </c>
      <c r="M311">
        <v>1.6303212318163629</v>
      </c>
      <c r="N311">
        <v>1.9566784939595441</v>
      </c>
      <c r="O311">
        <v>1.5215354777686358</v>
      </c>
    </row>
    <row r="312" spans="1:15">
      <c r="A312" s="19">
        <v>43399</v>
      </c>
      <c r="B312">
        <v>1224</v>
      </c>
      <c r="C312">
        <v>1225</v>
      </c>
      <c r="D312">
        <v>644</v>
      </c>
      <c r="E312">
        <v>636</v>
      </c>
      <c r="F312">
        <v>1.92610062893081</v>
      </c>
      <c r="G312">
        <v>1.7363091009485101</v>
      </c>
      <c r="H312">
        <v>0.10628670516768</v>
      </c>
      <c r="I312">
        <v>1.7856563309859399</v>
      </c>
      <c r="J312">
        <v>9.85</v>
      </c>
      <c r="L312">
        <v>1.84259580611619</v>
      </c>
      <c r="M312">
        <v>1.6300223957808302</v>
      </c>
      <c r="N312">
        <v>1.9488825112838701</v>
      </c>
      <c r="O312">
        <v>1.5237356906131501</v>
      </c>
    </row>
    <row r="313" spans="1:15">
      <c r="A313" s="19">
        <v>43398</v>
      </c>
      <c r="B313">
        <v>1250</v>
      </c>
      <c r="C313">
        <v>1224</v>
      </c>
      <c r="D313">
        <v>649</v>
      </c>
      <c r="E313">
        <v>640</v>
      </c>
      <c r="F313">
        <v>1.9125000000000001</v>
      </c>
      <c r="G313">
        <v>1.7335096036098301</v>
      </c>
      <c r="H313">
        <v>0.10399121913059101</v>
      </c>
      <c r="I313">
        <v>1.7212068277167301</v>
      </c>
      <c r="J313">
        <v>9.36</v>
      </c>
      <c r="L313">
        <v>1.837500822740421</v>
      </c>
      <c r="M313">
        <v>1.6295183844792391</v>
      </c>
      <c r="N313">
        <v>1.9414920418710122</v>
      </c>
      <c r="O313">
        <v>1.525527165348648</v>
      </c>
    </row>
    <row r="314" spans="1:15">
      <c r="A314" s="19">
        <v>43397</v>
      </c>
      <c r="B314">
        <v>1291</v>
      </c>
      <c r="C314">
        <v>1291</v>
      </c>
      <c r="D314">
        <v>674</v>
      </c>
      <c r="E314">
        <v>666</v>
      </c>
      <c r="F314">
        <v>1.9384384384384299</v>
      </c>
      <c r="G314">
        <v>1.7307112556992399</v>
      </c>
      <c r="H314">
        <v>0.10194064169350001</v>
      </c>
      <c r="I314">
        <v>2.0377268505308601</v>
      </c>
      <c r="J314">
        <v>10.72</v>
      </c>
      <c r="L314">
        <v>1.8326518973927399</v>
      </c>
      <c r="M314">
        <v>1.6287706140057399</v>
      </c>
      <c r="N314">
        <v>1.93459253908624</v>
      </c>
      <c r="O314">
        <v>1.5268299723122398</v>
      </c>
    </row>
    <row r="315" spans="1:15">
      <c r="A315" s="19">
        <v>43396</v>
      </c>
      <c r="B315">
        <v>1294</v>
      </c>
      <c r="C315">
        <v>1274</v>
      </c>
      <c r="D315">
        <v>670</v>
      </c>
      <c r="E315">
        <v>665</v>
      </c>
      <c r="F315">
        <v>1.91578947368421</v>
      </c>
      <c r="G315">
        <v>1.7271731021610901</v>
      </c>
      <c r="H315">
        <v>9.9238724043241106E-2</v>
      </c>
      <c r="I315">
        <v>1.90063277557792</v>
      </c>
      <c r="J315">
        <v>9.85</v>
      </c>
      <c r="L315">
        <v>1.8264118262043312</v>
      </c>
      <c r="M315">
        <v>1.627934378117849</v>
      </c>
      <c r="N315">
        <v>1.9256505502475723</v>
      </c>
      <c r="O315">
        <v>1.5286956540746079</v>
      </c>
    </row>
    <row r="316" spans="1:15">
      <c r="A316" s="19">
        <v>43395</v>
      </c>
      <c r="B316">
        <v>1303</v>
      </c>
      <c r="C316">
        <v>1312</v>
      </c>
      <c r="D316">
        <v>671</v>
      </c>
      <c r="E316">
        <v>671</v>
      </c>
      <c r="F316">
        <v>1.9552906110283099</v>
      </c>
      <c r="G316">
        <v>1.7238449859522</v>
      </c>
      <c r="H316">
        <v>9.7018041611161898E-2</v>
      </c>
      <c r="I316">
        <v>2.3855936610607098</v>
      </c>
      <c r="J316">
        <v>11.84</v>
      </c>
      <c r="L316">
        <v>1.8208630275633619</v>
      </c>
      <c r="M316">
        <v>1.6268269443410381</v>
      </c>
      <c r="N316">
        <v>1.9178810691745238</v>
      </c>
      <c r="O316">
        <v>1.5298089027298762</v>
      </c>
    </row>
    <row r="317" spans="1:15">
      <c r="A317" s="19">
        <v>43392</v>
      </c>
      <c r="B317">
        <v>1296</v>
      </c>
      <c r="C317">
        <v>1308</v>
      </c>
      <c r="D317">
        <v>692</v>
      </c>
      <c r="E317">
        <v>685</v>
      </c>
      <c r="F317">
        <v>1.9094890510948901</v>
      </c>
      <c r="G317">
        <v>1.7200031266423601</v>
      </c>
      <c r="H317">
        <v>9.3415034539481301E-2</v>
      </c>
      <c r="I317">
        <v>2.0284307058992299</v>
      </c>
      <c r="J317">
        <v>9.92</v>
      </c>
      <c r="L317">
        <v>1.8134181611818414</v>
      </c>
      <c r="M317">
        <v>1.6265880921028788</v>
      </c>
      <c r="N317">
        <v>1.9068331957213227</v>
      </c>
      <c r="O317">
        <v>1.5331730575633975</v>
      </c>
    </row>
    <row r="318" spans="1:15">
      <c r="A318" s="19">
        <v>43391</v>
      </c>
      <c r="B318">
        <v>1343</v>
      </c>
      <c r="C318">
        <v>1320</v>
      </c>
      <c r="D318">
        <v>696</v>
      </c>
      <c r="E318">
        <v>698</v>
      </c>
      <c r="F318">
        <v>1.89111747851002</v>
      </c>
      <c r="G318">
        <v>1.7164332585233899</v>
      </c>
      <c r="H318">
        <v>9.1195077045010606E-2</v>
      </c>
      <c r="I318">
        <v>1.91550054725445</v>
      </c>
      <c r="J318">
        <v>9.24</v>
      </c>
      <c r="L318">
        <v>1.8076283355684004</v>
      </c>
      <c r="M318">
        <v>1.6252381814783794</v>
      </c>
      <c r="N318">
        <v>1.8988234126134111</v>
      </c>
      <c r="O318">
        <v>1.5340431044333687</v>
      </c>
    </row>
    <row r="319" spans="1:15">
      <c r="A319" s="19">
        <v>43390</v>
      </c>
      <c r="B319">
        <v>1335</v>
      </c>
      <c r="C319">
        <v>1339</v>
      </c>
      <c r="D319">
        <v>685</v>
      </c>
      <c r="E319">
        <v>695</v>
      </c>
      <c r="F319">
        <v>1.92661870503597</v>
      </c>
      <c r="G319">
        <v>1.7130132306048</v>
      </c>
      <c r="H319">
        <v>8.9371360009762799E-2</v>
      </c>
      <c r="I319">
        <v>2.3900886638385499</v>
      </c>
      <c r="J319">
        <v>11.09</v>
      </c>
      <c r="L319">
        <v>1.8023845906145628</v>
      </c>
      <c r="M319">
        <v>1.6236418705950373</v>
      </c>
      <c r="N319">
        <v>1.8917559506243256</v>
      </c>
      <c r="O319">
        <v>1.5342705105852745</v>
      </c>
    </row>
    <row r="320" spans="1:15">
      <c r="A320" s="19">
        <v>43389</v>
      </c>
      <c r="B320">
        <v>1292</v>
      </c>
      <c r="C320">
        <v>1321</v>
      </c>
      <c r="D320">
        <v>670</v>
      </c>
      <c r="E320">
        <v>681</v>
      </c>
      <c r="F320">
        <v>1.9397944199706301</v>
      </c>
      <c r="G320">
        <v>1.70906771979353</v>
      </c>
      <c r="H320">
        <v>8.6334446683475202E-2</v>
      </c>
      <c r="I320">
        <v>2.6724755765563799</v>
      </c>
      <c r="J320">
        <v>11.89</v>
      </c>
      <c r="L320">
        <v>1.7954021664770052</v>
      </c>
      <c r="M320">
        <v>1.6227332731100548</v>
      </c>
      <c r="N320">
        <v>1.8817366131604805</v>
      </c>
      <c r="O320">
        <v>1.5363988264265795</v>
      </c>
    </row>
    <row r="321" spans="1:15">
      <c r="A321" s="19">
        <v>43388</v>
      </c>
      <c r="B321">
        <v>1303</v>
      </c>
      <c r="C321">
        <v>1297</v>
      </c>
      <c r="D321">
        <v>676</v>
      </c>
      <c r="E321">
        <v>674</v>
      </c>
      <c r="F321">
        <v>1.92433234421365</v>
      </c>
      <c r="G321">
        <v>1.70456266332297</v>
      </c>
      <c r="H321">
        <v>8.2925463872273106E-2</v>
      </c>
      <c r="I321">
        <v>2.65020743482579</v>
      </c>
      <c r="J321">
        <v>11.42</v>
      </c>
      <c r="L321">
        <v>1.7874881271952432</v>
      </c>
      <c r="M321">
        <v>1.6216371994506968</v>
      </c>
      <c r="N321">
        <v>1.8704135910675161</v>
      </c>
      <c r="O321">
        <v>1.5387117355784239</v>
      </c>
    </row>
    <row r="322" spans="1:15">
      <c r="A322" s="19">
        <v>43385</v>
      </c>
      <c r="B322">
        <v>1271</v>
      </c>
      <c r="C322">
        <v>1303</v>
      </c>
      <c r="D322">
        <v>672</v>
      </c>
      <c r="E322">
        <v>685</v>
      </c>
      <c r="F322">
        <v>1.90218978102189</v>
      </c>
      <c r="G322">
        <v>1.7008624241258801</v>
      </c>
      <c r="H322">
        <v>7.9141789036288795E-2</v>
      </c>
      <c r="I322">
        <v>2.5438818018593898</v>
      </c>
      <c r="J322">
        <v>10.58</v>
      </c>
      <c r="L322">
        <v>1.7800042131621689</v>
      </c>
      <c r="M322">
        <v>1.6217206350895912</v>
      </c>
      <c r="N322">
        <v>1.8591460021984576</v>
      </c>
      <c r="O322">
        <v>1.5425788460533025</v>
      </c>
    </row>
    <row r="323" spans="1:15">
      <c r="A323" s="19">
        <v>43384</v>
      </c>
      <c r="B323">
        <v>1300</v>
      </c>
      <c r="C323">
        <v>1300</v>
      </c>
      <c r="D323">
        <v>680</v>
      </c>
      <c r="E323">
        <v>681</v>
      </c>
      <c r="F323">
        <v>1.9089574155653399</v>
      </c>
      <c r="G323">
        <v>1.6970582155195399</v>
      </c>
      <c r="H323">
        <v>7.6174592057945301E-2</v>
      </c>
      <c r="I323">
        <v>2.7817569391721699</v>
      </c>
      <c r="J323">
        <v>11.1</v>
      </c>
      <c r="L323">
        <v>1.7732328075774852</v>
      </c>
      <c r="M323">
        <v>1.6208836234615946</v>
      </c>
      <c r="N323">
        <v>1.8494073996354305</v>
      </c>
      <c r="O323">
        <v>1.5447090314036493</v>
      </c>
    </row>
    <row r="324" spans="1:15">
      <c r="A324" s="19">
        <v>43383</v>
      </c>
      <c r="B324">
        <v>1345</v>
      </c>
      <c r="C324">
        <v>1338</v>
      </c>
      <c r="D324">
        <v>711</v>
      </c>
      <c r="E324">
        <v>704</v>
      </c>
      <c r="F324">
        <v>1.9005681818181801</v>
      </c>
      <c r="G324">
        <v>1.69341351673806</v>
      </c>
      <c r="H324">
        <v>7.2394435726505404E-2</v>
      </c>
      <c r="I324">
        <v>2.8614721974312398</v>
      </c>
      <c r="J324">
        <v>10.9</v>
      </c>
      <c r="L324">
        <v>1.7658079524645653</v>
      </c>
      <c r="M324">
        <v>1.6210190810115546</v>
      </c>
      <c r="N324">
        <v>1.8382023881910707</v>
      </c>
      <c r="O324">
        <v>1.5486246452850492</v>
      </c>
    </row>
    <row r="325" spans="1:15">
      <c r="A325" s="19">
        <v>43382</v>
      </c>
      <c r="B325">
        <v>1328</v>
      </c>
      <c r="C325">
        <v>1343</v>
      </c>
      <c r="D325">
        <v>729</v>
      </c>
      <c r="E325">
        <v>711</v>
      </c>
      <c r="F325">
        <v>1.88888888888888</v>
      </c>
      <c r="G325">
        <v>1.6902270228112699</v>
      </c>
      <c r="H325">
        <v>6.8353033452477702E-2</v>
      </c>
      <c r="I325">
        <v>2.9064089191554201</v>
      </c>
      <c r="J325">
        <v>10.52</v>
      </c>
      <c r="L325">
        <v>1.7585800562637477</v>
      </c>
      <c r="M325">
        <v>1.6218739893587921</v>
      </c>
      <c r="N325">
        <v>1.8269330897162253</v>
      </c>
      <c r="O325">
        <v>1.5535209559063146</v>
      </c>
    </row>
    <row r="326" spans="1:15">
      <c r="A326" s="19">
        <v>43378</v>
      </c>
      <c r="B326">
        <v>1358</v>
      </c>
      <c r="C326">
        <v>1352</v>
      </c>
      <c r="D326">
        <v>745</v>
      </c>
      <c r="E326">
        <v>744</v>
      </c>
      <c r="F326">
        <v>1.8172043010752601</v>
      </c>
      <c r="G326">
        <v>1.6870556307295399</v>
      </c>
      <c r="H326">
        <v>6.4469680444251901E-2</v>
      </c>
      <c r="I326">
        <v>2.01875780132444</v>
      </c>
      <c r="J326">
        <v>7.16</v>
      </c>
      <c r="L326">
        <v>1.7515253111737918</v>
      </c>
      <c r="M326">
        <v>1.622585950285288</v>
      </c>
      <c r="N326">
        <v>1.8159949916180438</v>
      </c>
      <c r="O326">
        <v>1.558116269841036</v>
      </c>
    </row>
    <row r="327" spans="1:15">
      <c r="A327" s="19">
        <v>43377</v>
      </c>
      <c r="B327">
        <v>1353</v>
      </c>
      <c r="C327">
        <v>1355</v>
      </c>
      <c r="D327">
        <v>747</v>
      </c>
      <c r="E327">
        <v>760</v>
      </c>
      <c r="F327">
        <v>1.7828947368421</v>
      </c>
      <c r="G327">
        <v>1.6849246615898501</v>
      </c>
      <c r="H327">
        <v>6.2751018139356393E-2</v>
      </c>
      <c r="I327">
        <v>1.5612507678310299</v>
      </c>
      <c r="J327">
        <v>5.5</v>
      </c>
      <c r="L327">
        <v>1.7476756797292066</v>
      </c>
      <c r="M327">
        <v>1.6221736434504936</v>
      </c>
      <c r="N327">
        <v>1.8104266978685628</v>
      </c>
      <c r="O327">
        <v>1.5594226253111374</v>
      </c>
    </row>
    <row r="328" spans="1:15">
      <c r="A328" s="19">
        <v>43376</v>
      </c>
      <c r="B328">
        <v>1370</v>
      </c>
      <c r="C328">
        <v>1361</v>
      </c>
      <c r="D328">
        <v>762</v>
      </c>
      <c r="E328">
        <v>753</v>
      </c>
      <c r="F328">
        <v>1.8074369189907</v>
      </c>
      <c r="G328">
        <v>1.6837991125859399</v>
      </c>
      <c r="H328">
        <v>6.1732468910247001E-2</v>
      </c>
      <c r="I328">
        <v>2.0028002862563601</v>
      </c>
      <c r="J328">
        <v>6.84</v>
      </c>
      <c r="L328">
        <v>1.7455315814961869</v>
      </c>
      <c r="M328">
        <v>1.622066643675693</v>
      </c>
      <c r="N328">
        <v>1.8072640504064339</v>
      </c>
      <c r="O328">
        <v>1.560334174765446</v>
      </c>
    </row>
    <row r="329" spans="1:15">
      <c r="A329" s="19">
        <v>43375</v>
      </c>
      <c r="B329">
        <v>1350</v>
      </c>
      <c r="C329">
        <v>1370</v>
      </c>
      <c r="D329">
        <v>759</v>
      </c>
      <c r="E329">
        <v>766</v>
      </c>
      <c r="F329">
        <v>1.78851174934725</v>
      </c>
      <c r="G329">
        <v>1.6825675335747401</v>
      </c>
      <c r="H329">
        <v>6.01548043861675E-2</v>
      </c>
      <c r="I329">
        <v>1.7611929230522301</v>
      </c>
      <c r="J329">
        <v>5.92</v>
      </c>
      <c r="L329">
        <v>1.7427223379609076</v>
      </c>
      <c r="M329">
        <v>1.6224127291885726</v>
      </c>
      <c r="N329">
        <v>1.8028771423470751</v>
      </c>
      <c r="O329">
        <v>1.5622579248024051</v>
      </c>
    </row>
    <row r="330" spans="1:15">
      <c r="A330" s="19">
        <v>43374</v>
      </c>
      <c r="B330">
        <v>1368</v>
      </c>
      <c r="C330">
        <v>1353</v>
      </c>
      <c r="D330">
        <v>754</v>
      </c>
      <c r="E330">
        <v>755</v>
      </c>
      <c r="F330">
        <v>1.7920529801324501</v>
      </c>
      <c r="G330">
        <v>1.68158557511498</v>
      </c>
      <c r="H330">
        <v>5.9007531652257597E-2</v>
      </c>
      <c r="I330">
        <v>1.87208991673253</v>
      </c>
      <c r="J330">
        <v>6.16</v>
      </c>
      <c r="L330">
        <v>1.7405931067672376</v>
      </c>
      <c r="M330">
        <v>1.6225780434627224</v>
      </c>
      <c r="N330">
        <v>1.7996006384194951</v>
      </c>
      <c r="O330">
        <v>1.5635705118104648</v>
      </c>
    </row>
    <row r="331" spans="1:15">
      <c r="A331" s="19">
        <v>43371</v>
      </c>
      <c r="B331">
        <v>1349</v>
      </c>
      <c r="C331">
        <v>1353</v>
      </c>
      <c r="D331">
        <v>750</v>
      </c>
      <c r="E331">
        <v>749</v>
      </c>
      <c r="F331">
        <v>1.8064085447263001</v>
      </c>
      <c r="G331">
        <v>1.6806991212790301</v>
      </c>
      <c r="H331">
        <v>5.7828967755650801E-2</v>
      </c>
      <c r="I331">
        <v>2.1738140645780701</v>
      </c>
      <c r="J331">
        <v>6.96</v>
      </c>
      <c r="L331">
        <v>1.7385280890346808</v>
      </c>
      <c r="M331">
        <v>1.6228701535233794</v>
      </c>
      <c r="N331">
        <v>1.7963570567903318</v>
      </c>
      <c r="O331">
        <v>1.5650411857677284</v>
      </c>
    </row>
    <row r="332" spans="1:15">
      <c r="A332" s="19">
        <v>43370</v>
      </c>
      <c r="B332">
        <v>1312</v>
      </c>
      <c r="C332">
        <v>1331</v>
      </c>
      <c r="D332">
        <v>736</v>
      </c>
      <c r="E332">
        <v>744</v>
      </c>
      <c r="F332">
        <v>1.78897849462365</v>
      </c>
      <c r="G332">
        <v>1.6795242214125401</v>
      </c>
      <c r="H332">
        <v>5.6133291187666197E-2</v>
      </c>
      <c r="I332">
        <v>1.94989944283114</v>
      </c>
      <c r="J332">
        <v>6.12</v>
      </c>
      <c r="L332">
        <v>1.7356575126002063</v>
      </c>
      <c r="M332">
        <v>1.6233909302248739</v>
      </c>
      <c r="N332">
        <v>1.7917908037878725</v>
      </c>
      <c r="O332">
        <v>1.5672576390372077</v>
      </c>
    </row>
    <row r="333" spans="1:15">
      <c r="A333" s="19">
        <v>43369</v>
      </c>
      <c r="B333">
        <v>1318</v>
      </c>
      <c r="C333">
        <v>1328</v>
      </c>
      <c r="D333">
        <v>743</v>
      </c>
      <c r="E333">
        <v>745</v>
      </c>
      <c r="F333">
        <v>1.7825503355704599</v>
      </c>
      <c r="G333">
        <v>1.6790267600422999</v>
      </c>
      <c r="H333">
        <v>5.5320524693827498E-2</v>
      </c>
      <c r="I333">
        <v>1.8713411722161599</v>
      </c>
      <c r="J333">
        <v>5.81</v>
      </c>
      <c r="L333">
        <v>1.7343472847361274</v>
      </c>
      <c r="M333">
        <v>1.6237062353484724</v>
      </c>
      <c r="N333">
        <v>1.789667809429955</v>
      </c>
      <c r="O333">
        <v>1.5683857106546448</v>
      </c>
    </row>
    <row r="334" spans="1:15">
      <c r="A334" s="19">
        <v>43368</v>
      </c>
      <c r="B334">
        <v>1341</v>
      </c>
      <c r="C334">
        <v>1340</v>
      </c>
      <c r="D334">
        <v>750</v>
      </c>
      <c r="E334">
        <v>754</v>
      </c>
      <c r="F334">
        <v>1.7771883289124599</v>
      </c>
      <c r="G334">
        <v>1.6788974150662399</v>
      </c>
      <c r="H334">
        <v>5.50891819933126E-2</v>
      </c>
      <c r="I334">
        <v>1.7842144372039199</v>
      </c>
      <c r="J334">
        <v>5.53</v>
      </c>
      <c r="L334">
        <v>1.7339865970595525</v>
      </c>
      <c r="M334">
        <v>1.6238082330729273</v>
      </c>
      <c r="N334">
        <v>1.7890757790528651</v>
      </c>
      <c r="O334">
        <v>1.5687190510796147</v>
      </c>
    </row>
    <row r="335" spans="1:15">
      <c r="A335" s="19">
        <v>43364</v>
      </c>
      <c r="B335">
        <v>1334</v>
      </c>
      <c r="C335">
        <v>1345</v>
      </c>
      <c r="D335">
        <v>744</v>
      </c>
      <c r="E335">
        <v>751</v>
      </c>
      <c r="F335">
        <v>1.79094540612516</v>
      </c>
      <c r="G335">
        <v>1.6787267826396901</v>
      </c>
      <c r="H335">
        <v>5.4803551708501097E-2</v>
      </c>
      <c r="I335">
        <v>2.0476523872460501</v>
      </c>
      <c r="J335">
        <v>6.27</v>
      </c>
      <c r="L335">
        <v>1.7335303343481911</v>
      </c>
      <c r="M335">
        <v>1.6239232309311891</v>
      </c>
      <c r="N335">
        <v>1.7883338860566922</v>
      </c>
      <c r="O335">
        <v>1.569119679222688</v>
      </c>
    </row>
    <row r="336" spans="1:15">
      <c r="A336" s="19">
        <v>43363</v>
      </c>
      <c r="B336">
        <v>1325</v>
      </c>
      <c r="C336">
        <v>1317</v>
      </c>
      <c r="D336">
        <v>744</v>
      </c>
      <c r="E336">
        <v>738</v>
      </c>
      <c r="F336">
        <v>1.7845528455284501</v>
      </c>
      <c r="G336">
        <v>1.6785808438913501</v>
      </c>
      <c r="H336">
        <v>5.4518356997576498E-2</v>
      </c>
      <c r="I336">
        <v>1.94378568014825</v>
      </c>
      <c r="J336">
        <v>5.94</v>
      </c>
      <c r="L336">
        <v>1.7330992008889265</v>
      </c>
      <c r="M336">
        <v>1.6240624868937736</v>
      </c>
      <c r="N336">
        <v>1.787617557886503</v>
      </c>
      <c r="O336">
        <v>1.5695441298961972</v>
      </c>
    </row>
    <row r="337" spans="1:15">
      <c r="A337" s="19">
        <v>43362</v>
      </c>
      <c r="B337">
        <v>1322</v>
      </c>
      <c r="C337">
        <v>1318</v>
      </c>
      <c r="D337">
        <v>753</v>
      </c>
      <c r="E337">
        <v>743</v>
      </c>
      <c r="F337">
        <v>1.7738896366083401</v>
      </c>
      <c r="G337">
        <v>1.6784038272275701</v>
      </c>
      <c r="H337">
        <v>5.4194579174412602E-2</v>
      </c>
      <c r="I337" s="20">
        <v>1.76190701792283</v>
      </c>
      <c r="J337">
        <v>5.38</v>
      </c>
      <c r="L337">
        <v>1.7325984064019826</v>
      </c>
      <c r="M337">
        <v>1.6242092480531576</v>
      </c>
      <c r="N337">
        <v>1.7867929855763953</v>
      </c>
      <c r="O337">
        <v>1.5700146688787449</v>
      </c>
    </row>
    <row r="338" spans="1:15">
      <c r="A338" s="19">
        <v>43361</v>
      </c>
      <c r="B338">
        <v>1273</v>
      </c>
      <c r="C338">
        <v>1303</v>
      </c>
      <c r="D338">
        <v>724</v>
      </c>
      <c r="E338">
        <v>739</v>
      </c>
      <c r="F338">
        <v>1.76319350473613</v>
      </c>
      <c r="G338">
        <v>1.6783512561862599</v>
      </c>
      <c r="H338">
        <v>5.4103764655507099E-2</v>
      </c>
      <c r="I338">
        <v>1.56813946478721</v>
      </c>
      <c r="J338">
        <v>4.8099999999999996</v>
      </c>
      <c r="L338">
        <v>1.7324550208417671</v>
      </c>
      <c r="M338">
        <v>1.6242474915307528</v>
      </c>
      <c r="N338">
        <v>1.7865587854972742</v>
      </c>
      <c r="O338">
        <v>1.5701437268752456</v>
      </c>
    </row>
    <row r="339" spans="1:15">
      <c r="A339" s="19">
        <v>43357</v>
      </c>
      <c r="B339">
        <v>1268</v>
      </c>
      <c r="C339">
        <v>1269</v>
      </c>
      <c r="D339">
        <v>712</v>
      </c>
      <c r="E339">
        <v>719</v>
      </c>
      <c r="F339">
        <v>1.76495132127955</v>
      </c>
      <c r="G339">
        <v>1.6787331659190301</v>
      </c>
      <c r="H339">
        <v>5.4797945071835497E-2</v>
      </c>
      <c r="I339">
        <v>1.5733830027292099</v>
      </c>
      <c r="J339">
        <v>4.8899999999999997</v>
      </c>
      <c r="L339">
        <v>1.7335311109908655</v>
      </c>
      <c r="M339">
        <v>1.6239352208471947</v>
      </c>
      <c r="N339">
        <v>1.7883290560627012</v>
      </c>
      <c r="O339">
        <v>1.569137275775359</v>
      </c>
    </row>
    <row r="340" spans="1:15">
      <c r="A340" s="19">
        <v>43356</v>
      </c>
      <c r="B340">
        <v>1251</v>
      </c>
      <c r="C340">
        <v>1251</v>
      </c>
      <c r="D340">
        <v>714</v>
      </c>
      <c r="E340">
        <v>705</v>
      </c>
      <c r="F340">
        <v>1.7744680851063801</v>
      </c>
      <c r="G340">
        <v>1.6794763437042699</v>
      </c>
      <c r="H340">
        <v>5.6319062473616198E-2</v>
      </c>
      <c r="I340">
        <v>1.68667121272848</v>
      </c>
      <c r="J340">
        <v>5.35</v>
      </c>
      <c r="L340">
        <v>1.7357954061778862</v>
      </c>
      <c r="M340">
        <v>1.6231572812306536</v>
      </c>
      <c r="N340">
        <v>1.7921144686515023</v>
      </c>
      <c r="O340">
        <v>1.5668382187570375</v>
      </c>
    </row>
    <row r="341" spans="1:15">
      <c r="A341" s="19">
        <v>43355</v>
      </c>
      <c r="B341">
        <v>1251</v>
      </c>
      <c r="C341">
        <v>1237</v>
      </c>
      <c r="D341">
        <v>714</v>
      </c>
      <c r="E341">
        <v>707</v>
      </c>
      <c r="F341">
        <v>1.74964639321074</v>
      </c>
      <c r="G341">
        <v>1.6801057495745499</v>
      </c>
      <c r="H341">
        <v>5.7625764608427499E-2</v>
      </c>
      <c r="I341">
        <v>1.2067630531018401</v>
      </c>
      <c r="J341">
        <v>3.97</v>
      </c>
      <c r="L341">
        <v>1.7377315141829774</v>
      </c>
      <c r="M341">
        <v>1.6224799849661224</v>
      </c>
      <c r="N341">
        <v>1.7953572787914049</v>
      </c>
      <c r="O341">
        <v>1.5648542203576949</v>
      </c>
    </row>
    <row r="342" spans="1:15">
      <c r="A342" s="19">
        <v>43354</v>
      </c>
      <c r="B342">
        <v>1238</v>
      </c>
      <c r="C342">
        <v>1248</v>
      </c>
      <c r="D342">
        <v>702</v>
      </c>
      <c r="E342">
        <v>706</v>
      </c>
      <c r="F342">
        <v>1.7677053824362601</v>
      </c>
      <c r="G342">
        <v>1.6812245344604599</v>
      </c>
      <c r="H342">
        <v>5.9740732174689101E-2</v>
      </c>
      <c r="I342">
        <v>1.44760274653007</v>
      </c>
      <c r="J342">
        <v>4.8899999999999997</v>
      </c>
      <c r="L342">
        <v>1.7409652666351489</v>
      </c>
      <c r="M342">
        <v>1.6214838022857709</v>
      </c>
      <c r="N342">
        <v>1.8007059988098382</v>
      </c>
      <c r="O342">
        <v>1.5617430701110817</v>
      </c>
    </row>
    <row r="343" spans="1:15">
      <c r="A343" s="19">
        <v>43353</v>
      </c>
      <c r="B343">
        <v>1215</v>
      </c>
      <c r="C343">
        <v>1234</v>
      </c>
      <c r="D343">
        <v>702</v>
      </c>
      <c r="E343">
        <v>700</v>
      </c>
      <c r="F343">
        <v>1.76285714285714</v>
      </c>
      <c r="G343">
        <v>1.6821870628696201</v>
      </c>
      <c r="H343">
        <v>6.1676525001517601E-2</v>
      </c>
      <c r="I343">
        <v>1.3079543632773301</v>
      </c>
      <c r="J343">
        <v>4.58</v>
      </c>
      <c r="L343">
        <v>1.7438635878711377</v>
      </c>
      <c r="M343">
        <v>1.6205105378681024</v>
      </c>
      <c r="N343">
        <v>1.8055401128726554</v>
      </c>
      <c r="O343">
        <v>1.5588340128665847</v>
      </c>
    </row>
    <row r="344" spans="1:15">
      <c r="A344" s="19">
        <v>43350</v>
      </c>
      <c r="B344">
        <v>1228</v>
      </c>
      <c r="C344">
        <v>1220</v>
      </c>
      <c r="D344">
        <v>704</v>
      </c>
      <c r="E344">
        <v>704</v>
      </c>
      <c r="F344">
        <v>1.7329545454545401</v>
      </c>
      <c r="G344">
        <v>1.6834214698419601</v>
      </c>
      <c r="H344">
        <v>6.4155369510918894E-2</v>
      </c>
      <c r="I344">
        <v>0.77207996758795105</v>
      </c>
      <c r="J344">
        <v>2.86</v>
      </c>
      <c r="L344">
        <v>1.747576839352879</v>
      </c>
      <c r="M344">
        <v>1.6192661003310411</v>
      </c>
      <c r="N344">
        <v>1.8117322088637979</v>
      </c>
      <c r="O344">
        <v>1.5551107308201222</v>
      </c>
    </row>
    <row r="345" spans="1:15">
      <c r="A345" s="19">
        <v>43349</v>
      </c>
      <c r="B345">
        <v>1230</v>
      </c>
      <c r="C345">
        <v>1233</v>
      </c>
      <c r="D345">
        <v>715</v>
      </c>
      <c r="E345">
        <v>712</v>
      </c>
      <c r="F345">
        <v>1.7317415730337</v>
      </c>
      <c r="G345">
        <v>1.6850999299043199</v>
      </c>
      <c r="H345">
        <v>6.7012423481298197E-2</v>
      </c>
      <c r="I345">
        <v>0.69601486868173401</v>
      </c>
      <c r="J345">
        <v>2.69</v>
      </c>
      <c r="L345">
        <v>1.752112353385618</v>
      </c>
      <c r="M345">
        <v>1.6180875064230218</v>
      </c>
      <c r="N345">
        <v>1.8191247768669163</v>
      </c>
      <c r="O345">
        <v>1.5510750829417235</v>
      </c>
    </row>
    <row r="346" spans="1:15">
      <c r="A346" s="19">
        <v>43348</v>
      </c>
      <c r="B346">
        <v>1236</v>
      </c>
      <c r="C346">
        <v>1238</v>
      </c>
      <c r="D346">
        <v>718</v>
      </c>
      <c r="E346">
        <v>722</v>
      </c>
      <c r="F346">
        <v>1.71468144044321</v>
      </c>
      <c r="G346">
        <v>1.68706422518542</v>
      </c>
      <c r="H346">
        <v>7.0423196180222095E-2</v>
      </c>
      <c r="I346">
        <v>0.39216077593406301</v>
      </c>
      <c r="J346">
        <v>1.61</v>
      </c>
      <c r="L346">
        <v>1.7574874213656422</v>
      </c>
      <c r="M346">
        <v>1.6166410290051978</v>
      </c>
      <c r="N346">
        <v>1.8279106175458641</v>
      </c>
      <c r="O346">
        <v>1.5462178328249758</v>
      </c>
    </row>
    <row r="347" spans="1:15">
      <c r="A347" s="19">
        <v>43347</v>
      </c>
      <c r="B347">
        <v>1236</v>
      </c>
      <c r="C347">
        <v>1234</v>
      </c>
      <c r="D347">
        <v>733</v>
      </c>
      <c r="E347">
        <v>723</v>
      </c>
      <c r="F347">
        <v>1.70677731673582</v>
      </c>
      <c r="G347">
        <v>1.6893098110621001</v>
      </c>
      <c r="H347">
        <v>7.3868916034402696E-2</v>
      </c>
      <c r="I347">
        <v>0.236466251455275</v>
      </c>
      <c r="J347">
        <v>1.02</v>
      </c>
      <c r="L347">
        <v>1.7631787270965027</v>
      </c>
      <c r="M347">
        <v>1.6154408950276975</v>
      </c>
      <c r="N347">
        <v>1.8370476431309055</v>
      </c>
      <c r="O347">
        <v>1.5415719789932947</v>
      </c>
    </row>
    <row r="348" spans="1:15">
      <c r="A348" s="19">
        <v>43346</v>
      </c>
      <c r="B348">
        <v>1243</v>
      </c>
      <c r="C348">
        <v>1230</v>
      </c>
      <c r="D348">
        <v>763</v>
      </c>
      <c r="E348">
        <v>740</v>
      </c>
      <c r="F348">
        <v>1.6621621621621601</v>
      </c>
      <c r="G348">
        <v>1.6914774032878701</v>
      </c>
      <c r="H348">
        <v>7.6681336473320705E-2</v>
      </c>
      <c r="I348">
        <v>-0.38229955910989699</v>
      </c>
      <c r="J348">
        <v>-1.76</v>
      </c>
      <c r="L348">
        <v>1.7681587397611909</v>
      </c>
      <c r="M348">
        <v>1.6147960668145493</v>
      </c>
      <c r="N348">
        <v>1.8448400762345116</v>
      </c>
      <c r="O348">
        <v>1.5381147303412286</v>
      </c>
    </row>
    <row r="349" spans="1:15">
      <c r="A349" s="19">
        <v>43343</v>
      </c>
      <c r="B349">
        <v>1235</v>
      </c>
      <c r="C349">
        <v>1247</v>
      </c>
      <c r="D349">
        <v>756</v>
      </c>
      <c r="E349">
        <v>762</v>
      </c>
      <c r="F349">
        <v>1.63648293963254</v>
      </c>
      <c r="G349">
        <v>1.6939152411256999</v>
      </c>
      <c r="H349">
        <v>7.85931402935231E-2</v>
      </c>
      <c r="I349">
        <v>-0.73075463429338405</v>
      </c>
      <c r="J349">
        <v>-3.51</v>
      </c>
      <c r="L349">
        <v>1.7725083814192231</v>
      </c>
      <c r="M349">
        <v>1.6153221008321768</v>
      </c>
      <c r="N349">
        <v>1.8511015217127462</v>
      </c>
      <c r="O349">
        <v>1.5367289605386536</v>
      </c>
    </row>
    <row r="350" spans="1:15">
      <c r="A350" s="19">
        <v>43342</v>
      </c>
      <c r="B350">
        <v>1238</v>
      </c>
      <c r="C350">
        <v>1239</v>
      </c>
      <c r="D350">
        <v>769</v>
      </c>
      <c r="E350">
        <v>761</v>
      </c>
      <c r="F350">
        <v>1.6281208935611</v>
      </c>
      <c r="G350">
        <v>1.6969154601262799</v>
      </c>
      <c r="H350">
        <v>8.0612405848170504E-2</v>
      </c>
      <c r="I350">
        <v>-0.85339924843273296</v>
      </c>
      <c r="J350">
        <v>-4.2300000000000004</v>
      </c>
      <c r="L350">
        <v>1.7775278659744504</v>
      </c>
      <c r="M350">
        <v>1.6163030542781094</v>
      </c>
      <c r="N350">
        <v>1.858140271822621</v>
      </c>
      <c r="O350">
        <v>1.5356906484299389</v>
      </c>
    </row>
    <row r="351" spans="1:15">
      <c r="A351" s="19">
        <v>43341</v>
      </c>
      <c r="B351">
        <v>1176</v>
      </c>
      <c r="C351">
        <v>1212</v>
      </c>
      <c r="D351">
        <v>753</v>
      </c>
      <c r="E351">
        <v>759</v>
      </c>
      <c r="F351">
        <v>1.59683794466403</v>
      </c>
      <c r="G351">
        <v>1.6999329199420901</v>
      </c>
      <c r="H351">
        <v>8.2200760416672305E-2</v>
      </c>
      <c r="I351">
        <v>-1.2541851773083399</v>
      </c>
      <c r="J351">
        <v>-6.46</v>
      </c>
      <c r="L351">
        <v>1.7821336803587624</v>
      </c>
      <c r="M351">
        <v>1.6177321595254177</v>
      </c>
      <c r="N351">
        <v>1.8643344407754348</v>
      </c>
      <c r="O351">
        <v>1.5355313991087454</v>
      </c>
    </row>
    <row r="352" spans="1:15">
      <c r="A352" s="19">
        <v>43340</v>
      </c>
      <c r="B352">
        <v>1194</v>
      </c>
      <c r="C352">
        <v>1185</v>
      </c>
      <c r="D352">
        <v>754</v>
      </c>
      <c r="E352">
        <v>752</v>
      </c>
      <c r="F352">
        <v>1.57579787234042</v>
      </c>
      <c r="G352">
        <v>1.7037909374574001</v>
      </c>
      <c r="H352">
        <v>8.4041172703240699E-2</v>
      </c>
      <c r="I352">
        <v>-1.52298047492668</v>
      </c>
      <c r="J352">
        <v>-8.1199999999999992</v>
      </c>
      <c r="L352">
        <v>1.7878321101606407</v>
      </c>
      <c r="M352">
        <v>1.6197497647541594</v>
      </c>
      <c r="N352">
        <v>1.8718732828638815</v>
      </c>
      <c r="O352">
        <v>1.5357085920509186</v>
      </c>
    </row>
    <row r="353" spans="1:15">
      <c r="A353" s="19">
        <v>43339</v>
      </c>
      <c r="B353">
        <v>1170</v>
      </c>
      <c r="C353">
        <v>1192</v>
      </c>
      <c r="D353">
        <v>736</v>
      </c>
      <c r="E353">
        <v>749</v>
      </c>
      <c r="F353">
        <v>1.5914552736982599</v>
      </c>
      <c r="G353">
        <v>1.7074110876451301</v>
      </c>
      <c r="H353">
        <v>8.4297191757269796E-2</v>
      </c>
      <c r="I353">
        <v>-1.3755596305125199</v>
      </c>
      <c r="J353">
        <v>-7.29</v>
      </c>
      <c r="L353">
        <v>1.7917082794023997</v>
      </c>
      <c r="M353">
        <v>1.6231138958878604</v>
      </c>
      <c r="N353">
        <v>1.8760054711596696</v>
      </c>
      <c r="O353">
        <v>1.5388167041305905</v>
      </c>
    </row>
    <row r="354" spans="1:15">
      <c r="A354" s="19">
        <v>43336</v>
      </c>
      <c r="B354">
        <v>1185</v>
      </c>
      <c r="C354">
        <v>1185</v>
      </c>
      <c r="D354">
        <v>744</v>
      </c>
      <c r="E354">
        <v>736</v>
      </c>
      <c r="F354">
        <v>1.61005434782608</v>
      </c>
      <c r="G354">
        <v>1.70950552415177</v>
      </c>
      <c r="H354">
        <v>8.3336099711542905E-2</v>
      </c>
      <c r="I354">
        <v>-1.1933745000056699</v>
      </c>
      <c r="J354">
        <v>-6.18</v>
      </c>
      <c r="L354">
        <v>1.7928416238633129</v>
      </c>
      <c r="M354">
        <v>1.6261694244402272</v>
      </c>
      <c r="N354">
        <v>1.8761777235748558</v>
      </c>
      <c r="O354">
        <v>1.5428333247286843</v>
      </c>
    </row>
    <row r="355" spans="1:15">
      <c r="A355" s="19">
        <v>43335</v>
      </c>
      <c r="B355">
        <v>1204</v>
      </c>
      <c r="C355">
        <v>1189</v>
      </c>
      <c r="D355">
        <v>753</v>
      </c>
      <c r="E355">
        <v>743</v>
      </c>
      <c r="F355">
        <v>1.60026917900403</v>
      </c>
      <c r="G355">
        <v>1.7117240302833201</v>
      </c>
      <c r="H355">
        <v>8.2872494628308604E-2</v>
      </c>
      <c r="I355">
        <v>-1.3448955745711599</v>
      </c>
      <c r="J355">
        <v>-6.96</v>
      </c>
      <c r="L355">
        <v>1.7945965249116287</v>
      </c>
      <c r="M355">
        <v>1.6288515356550115</v>
      </c>
      <c r="N355">
        <v>1.8774690195399373</v>
      </c>
      <c r="O355">
        <v>1.5459790410267029</v>
      </c>
    </row>
    <row r="356" spans="1:15">
      <c r="A356" s="19">
        <v>43334</v>
      </c>
      <c r="B356">
        <v>1200</v>
      </c>
      <c r="C356">
        <v>1211</v>
      </c>
      <c r="D356">
        <v>747</v>
      </c>
      <c r="E356">
        <v>760</v>
      </c>
      <c r="F356">
        <v>1.59342105263157</v>
      </c>
      <c r="G356">
        <v>1.71600959785644</v>
      </c>
      <c r="H356">
        <v>8.5273949071561703E-2</v>
      </c>
      <c r="I356">
        <v>-1.43758494311065</v>
      </c>
      <c r="J356">
        <v>-7.69</v>
      </c>
      <c r="L356">
        <v>1.8012835469280017</v>
      </c>
      <c r="M356">
        <v>1.6307356487848783</v>
      </c>
      <c r="N356">
        <v>1.8865574959995635</v>
      </c>
      <c r="O356">
        <v>1.5454616997133166</v>
      </c>
    </row>
    <row r="357" spans="1:15">
      <c r="A357" s="19">
        <v>43333</v>
      </c>
      <c r="B357">
        <v>1196</v>
      </c>
      <c r="C357">
        <v>1194</v>
      </c>
      <c r="D357">
        <v>740</v>
      </c>
      <c r="E357">
        <v>746</v>
      </c>
      <c r="F357">
        <v>1.6005361930294899</v>
      </c>
      <c r="G357">
        <v>1.7206003696577299</v>
      </c>
      <c r="H357">
        <v>8.7781877749546697E-2</v>
      </c>
      <c r="I357">
        <v>-1.36775584786198</v>
      </c>
      <c r="J357">
        <v>-7.5</v>
      </c>
      <c r="L357">
        <v>1.8083822474072766</v>
      </c>
      <c r="M357">
        <v>1.6328184919081832</v>
      </c>
      <c r="N357">
        <v>1.8961641251568233</v>
      </c>
      <c r="O357">
        <v>1.5450366141586365</v>
      </c>
    </row>
    <row r="358" spans="1:15">
      <c r="A358" s="19">
        <v>43332</v>
      </c>
      <c r="B358">
        <v>1198</v>
      </c>
      <c r="C358">
        <v>1194</v>
      </c>
      <c r="D358">
        <v>740</v>
      </c>
      <c r="E358">
        <v>738</v>
      </c>
      <c r="F358">
        <v>1.61788617886178</v>
      </c>
      <c r="G358">
        <v>1.7250932204173399</v>
      </c>
      <c r="H358">
        <v>9.0114036615080897E-2</v>
      </c>
      <c r="I358">
        <v>-1.1896819361614901</v>
      </c>
      <c r="J358">
        <v>-6.63</v>
      </c>
      <c r="L358">
        <v>1.8152072570324209</v>
      </c>
      <c r="M358">
        <v>1.6349791838022589</v>
      </c>
      <c r="N358">
        <v>1.9053212936475017</v>
      </c>
      <c r="O358">
        <v>1.5448651471871782</v>
      </c>
    </row>
    <row r="359" spans="1:15">
      <c r="A359" s="19">
        <v>43329</v>
      </c>
      <c r="B359">
        <v>1184</v>
      </c>
      <c r="C359">
        <v>1195</v>
      </c>
      <c r="D359">
        <v>732</v>
      </c>
      <c r="E359">
        <v>737</v>
      </c>
      <c r="F359">
        <v>1.6214382632293001</v>
      </c>
      <c r="G359">
        <v>1.7293089504867301</v>
      </c>
      <c r="H359">
        <v>9.2367655696787898E-2</v>
      </c>
      <c r="I359">
        <v>-1.16784047883091</v>
      </c>
      <c r="J359">
        <v>-6.65</v>
      </c>
      <c r="L359">
        <v>1.8216766061835179</v>
      </c>
      <c r="M359">
        <v>1.6369412947899422</v>
      </c>
      <c r="N359">
        <v>1.914044261880306</v>
      </c>
      <c r="O359">
        <v>1.5445736390931541</v>
      </c>
    </row>
    <row r="360" spans="1:15">
      <c r="A360" s="19">
        <v>43328</v>
      </c>
      <c r="B360">
        <v>1158</v>
      </c>
      <c r="C360">
        <v>1183</v>
      </c>
      <c r="D360">
        <v>720</v>
      </c>
      <c r="E360">
        <v>729</v>
      </c>
      <c r="F360">
        <v>1.6227709190672099</v>
      </c>
      <c r="G360">
        <v>1.73313841351375</v>
      </c>
      <c r="H360">
        <v>9.3759289915135005E-2</v>
      </c>
      <c r="I360">
        <v>-1.1771366287696501</v>
      </c>
      <c r="J360">
        <v>-6.8</v>
      </c>
      <c r="L360">
        <v>1.8268977034288849</v>
      </c>
      <c r="M360">
        <v>1.639379123598615</v>
      </c>
      <c r="N360">
        <v>1.9206569933440201</v>
      </c>
      <c r="O360">
        <v>1.5456198336834799</v>
      </c>
    </row>
    <row r="361" spans="1:15">
      <c r="A361" s="19">
        <v>43327</v>
      </c>
      <c r="B361">
        <v>1183</v>
      </c>
      <c r="C361">
        <v>1184</v>
      </c>
      <c r="D361">
        <v>737</v>
      </c>
      <c r="E361">
        <v>729</v>
      </c>
      <c r="F361">
        <v>1.6241426611796901</v>
      </c>
      <c r="G361">
        <v>1.7366559394709</v>
      </c>
      <c r="H361">
        <v>9.4498489765133697E-2</v>
      </c>
      <c r="I361">
        <v>-1.19063572942645</v>
      </c>
      <c r="J361">
        <v>-6.93</v>
      </c>
      <c r="L361">
        <v>1.8311544292360338</v>
      </c>
      <c r="M361">
        <v>1.6421574497057663</v>
      </c>
      <c r="N361">
        <v>1.9256529190011675</v>
      </c>
      <c r="O361">
        <v>1.5476589599406325</v>
      </c>
    </row>
    <row r="362" spans="1:15">
      <c r="A362" s="19">
        <v>43326</v>
      </c>
      <c r="B362">
        <v>1168</v>
      </c>
      <c r="C362">
        <v>1198</v>
      </c>
      <c r="D362">
        <v>725</v>
      </c>
      <c r="E362">
        <v>741</v>
      </c>
      <c r="F362">
        <v>1.61673414304993</v>
      </c>
      <c r="G362">
        <v>1.73984918883699</v>
      </c>
      <c r="H362">
        <v>9.4688779328752207E-2</v>
      </c>
      <c r="I362">
        <v>-1.30020733881907</v>
      </c>
      <c r="J362">
        <v>-7.62</v>
      </c>
      <c r="L362">
        <v>1.8345379681657423</v>
      </c>
      <c r="M362">
        <v>1.6451604095082377</v>
      </c>
      <c r="N362">
        <v>1.9292267474944944</v>
      </c>
      <c r="O362">
        <v>1.5504716301794856</v>
      </c>
    </row>
    <row r="363" spans="1:15">
      <c r="A363" s="19">
        <v>43325</v>
      </c>
      <c r="B363">
        <v>1199</v>
      </c>
      <c r="C363">
        <v>1168</v>
      </c>
      <c r="D363">
        <v>728</v>
      </c>
      <c r="E363">
        <v>724</v>
      </c>
      <c r="F363">
        <v>1.6132596685082801</v>
      </c>
      <c r="G363">
        <v>1.74321884197071</v>
      </c>
      <c r="H363">
        <v>9.4744353588788702E-2</v>
      </c>
      <c r="I363">
        <v>-1.37168251763559</v>
      </c>
      <c r="J363">
        <v>-8.06</v>
      </c>
      <c r="L363">
        <v>1.8379631955594986</v>
      </c>
      <c r="M363">
        <v>1.6484744883819213</v>
      </c>
      <c r="N363">
        <v>1.9327075491482875</v>
      </c>
      <c r="O363">
        <v>1.5537301347931325</v>
      </c>
    </row>
    <row r="364" spans="1:15">
      <c r="A364" s="19">
        <v>43322</v>
      </c>
      <c r="B364">
        <v>1228</v>
      </c>
      <c r="C364">
        <v>1214</v>
      </c>
      <c r="D364">
        <v>774</v>
      </c>
      <c r="E364">
        <v>743</v>
      </c>
      <c r="F364">
        <v>1.63391655450874</v>
      </c>
      <c r="G364">
        <v>1.74652897449517</v>
      </c>
      <c r="H364">
        <v>9.4482509944861098E-2</v>
      </c>
      <c r="I364">
        <v>-1.19188641423846</v>
      </c>
      <c r="J364">
        <v>-6.89</v>
      </c>
      <c r="L364">
        <v>1.8410114844400312</v>
      </c>
      <c r="M364">
        <v>1.6520464645503088</v>
      </c>
      <c r="N364">
        <v>1.9354939943848921</v>
      </c>
      <c r="O364">
        <v>1.5575639546054478</v>
      </c>
    </row>
    <row r="365" spans="1:15">
      <c r="A365" s="19">
        <v>43321</v>
      </c>
      <c r="B365">
        <v>1232</v>
      </c>
      <c r="C365">
        <v>1225</v>
      </c>
      <c r="D365">
        <v>758</v>
      </c>
      <c r="E365">
        <v>764</v>
      </c>
      <c r="F365">
        <v>1.60340314136125</v>
      </c>
      <c r="G365">
        <v>1.7495240682415401</v>
      </c>
      <c r="H365">
        <v>9.4425624596373894E-2</v>
      </c>
      <c r="I365">
        <v>-1.54747111819364</v>
      </c>
      <c r="J365">
        <v>-9.11</v>
      </c>
      <c r="L365">
        <v>1.843949692837914</v>
      </c>
      <c r="M365">
        <v>1.6550984436451661</v>
      </c>
      <c r="N365">
        <v>1.9383753174342879</v>
      </c>
      <c r="O365">
        <v>1.5606728190487922</v>
      </c>
    </row>
    <row r="366" spans="1:15">
      <c r="A366" s="19">
        <v>43320</v>
      </c>
      <c r="B366">
        <v>1236</v>
      </c>
      <c r="C366">
        <v>1235</v>
      </c>
      <c r="D366">
        <v>749</v>
      </c>
      <c r="E366">
        <v>752</v>
      </c>
      <c r="F366">
        <v>1.6422872340425501</v>
      </c>
      <c r="G366">
        <v>1.7529096073325301</v>
      </c>
      <c r="H366">
        <v>9.3674869126122495E-2</v>
      </c>
      <c r="I366">
        <v>-1.1809183649996799</v>
      </c>
      <c r="J366">
        <v>-6.74</v>
      </c>
      <c r="L366">
        <v>1.8465844764586525</v>
      </c>
      <c r="M366">
        <v>1.6592347382064077</v>
      </c>
      <c r="N366">
        <v>1.9402593455847752</v>
      </c>
      <c r="O366">
        <v>1.565559869080285</v>
      </c>
    </row>
    <row r="367" spans="1:15">
      <c r="A367" s="19">
        <v>43319</v>
      </c>
      <c r="B367">
        <v>1255</v>
      </c>
      <c r="C367">
        <v>1246</v>
      </c>
      <c r="D367">
        <v>735</v>
      </c>
      <c r="E367">
        <v>746</v>
      </c>
      <c r="F367">
        <v>1.6702412868632699</v>
      </c>
      <c r="G367">
        <v>1.75550024909001</v>
      </c>
      <c r="H367">
        <v>9.3265538413915897E-2</v>
      </c>
      <c r="I367">
        <v>-0.91415289802286304</v>
      </c>
      <c r="J367">
        <v>-5.0999999999999996</v>
      </c>
      <c r="L367">
        <v>1.8487657875039258</v>
      </c>
      <c r="M367">
        <v>1.6622347106760942</v>
      </c>
      <c r="N367">
        <v>1.9420313259178419</v>
      </c>
      <c r="O367">
        <v>1.5689691722621781</v>
      </c>
    </row>
    <row r="368" spans="1:15">
      <c r="A368" s="19">
        <v>43318</v>
      </c>
      <c r="B368">
        <v>1247</v>
      </c>
      <c r="C368">
        <v>1245</v>
      </c>
      <c r="D368">
        <v>737</v>
      </c>
      <c r="E368">
        <v>732</v>
      </c>
      <c r="F368">
        <v>1.7008196721311399</v>
      </c>
      <c r="G368">
        <v>1.7577518174103799</v>
      </c>
      <c r="H368">
        <v>9.3218428068589501E-2</v>
      </c>
      <c r="I368">
        <v>-0.61073916884060497</v>
      </c>
      <c r="J368">
        <v>-3.35</v>
      </c>
      <c r="L368">
        <v>1.8509702454789694</v>
      </c>
      <c r="M368">
        <v>1.6645333893417904</v>
      </c>
      <c r="N368">
        <v>1.9441886735475589</v>
      </c>
      <c r="O368">
        <v>1.5713149612732009</v>
      </c>
    </row>
    <row r="369" spans="1:15">
      <c r="A369" s="19">
        <v>43315</v>
      </c>
      <c r="B369">
        <v>1245</v>
      </c>
      <c r="C369">
        <v>1243</v>
      </c>
      <c r="D369">
        <v>738</v>
      </c>
      <c r="E369">
        <v>737</v>
      </c>
      <c r="F369">
        <v>1.6865671641791</v>
      </c>
      <c r="G369">
        <v>1.75932119716786</v>
      </c>
      <c r="H369">
        <v>9.3237532827680894E-2</v>
      </c>
      <c r="I369">
        <v>-0.78030843140419504</v>
      </c>
      <c r="J369">
        <v>-4.3099999999999996</v>
      </c>
      <c r="L369">
        <v>1.8525587299955408</v>
      </c>
      <c r="M369">
        <v>1.6660836643401791</v>
      </c>
      <c r="N369">
        <v>1.9457962628232217</v>
      </c>
      <c r="O369">
        <v>1.5728461315124982</v>
      </c>
    </row>
    <row r="370" spans="1:15">
      <c r="A370" s="19">
        <v>43314</v>
      </c>
      <c r="B370">
        <v>1257</v>
      </c>
      <c r="C370">
        <v>1242</v>
      </c>
      <c r="D370">
        <v>737</v>
      </c>
      <c r="E370">
        <v>736</v>
      </c>
      <c r="F370">
        <v>1.6875</v>
      </c>
      <c r="G370">
        <v>1.76113658961884</v>
      </c>
      <c r="H370">
        <v>9.3128735441001004E-2</v>
      </c>
      <c r="I370">
        <v>-0.79069676260661603</v>
      </c>
      <c r="J370">
        <v>-4.3600000000000003</v>
      </c>
      <c r="L370">
        <v>1.8542653250598411</v>
      </c>
      <c r="M370">
        <v>1.6680078541778389</v>
      </c>
      <c r="N370">
        <v>1.947394060500842</v>
      </c>
      <c r="O370">
        <v>1.5748791187368381</v>
      </c>
    </row>
    <row r="371" spans="1:15">
      <c r="A371" s="19">
        <v>43313</v>
      </c>
      <c r="B371">
        <v>1237</v>
      </c>
      <c r="C371">
        <v>1256</v>
      </c>
      <c r="D371">
        <v>738</v>
      </c>
      <c r="E371">
        <v>737</v>
      </c>
      <c r="F371">
        <v>1.7042062415196699</v>
      </c>
      <c r="G371">
        <v>1.76293658961884</v>
      </c>
      <c r="H371">
        <v>9.29926321931588E-2</v>
      </c>
      <c r="I371">
        <v>-0.63155915381749805</v>
      </c>
      <c r="J371">
        <v>-3.45</v>
      </c>
      <c r="L371">
        <v>1.8559292218119989</v>
      </c>
      <c r="M371">
        <v>1.6699439574256811</v>
      </c>
      <c r="N371">
        <v>1.9489218540051576</v>
      </c>
      <c r="O371">
        <v>1.5769513252325225</v>
      </c>
    </row>
    <row r="372" spans="1:15">
      <c r="A372" s="19">
        <v>43312</v>
      </c>
      <c r="B372">
        <v>1216</v>
      </c>
      <c r="C372">
        <v>1226</v>
      </c>
      <c r="D372">
        <v>739</v>
      </c>
      <c r="E372">
        <v>734</v>
      </c>
      <c r="F372">
        <v>1.6702997275204301</v>
      </c>
      <c r="G372">
        <v>1.76447168536381</v>
      </c>
      <c r="H372">
        <v>9.29607370307306E-2</v>
      </c>
      <c r="I372">
        <v>-1.01302938048181</v>
      </c>
      <c r="J372">
        <v>-5.64</v>
      </c>
      <c r="L372">
        <v>1.8574324223945406</v>
      </c>
      <c r="M372">
        <v>1.6715109483330794</v>
      </c>
      <c r="N372">
        <v>1.9503931594252713</v>
      </c>
      <c r="O372">
        <v>1.5785502113023488</v>
      </c>
    </row>
    <row r="373" spans="1:15">
      <c r="A373" s="19">
        <v>43311</v>
      </c>
      <c r="B373">
        <v>1223</v>
      </c>
      <c r="C373">
        <v>1236</v>
      </c>
      <c r="D373">
        <v>735</v>
      </c>
      <c r="E373">
        <v>733</v>
      </c>
      <c r="F373">
        <v>1.68622100954979</v>
      </c>
      <c r="G373">
        <v>1.7666115397178199</v>
      </c>
      <c r="H373">
        <v>9.26148711268064E-2</v>
      </c>
      <c r="I373">
        <v>-0.86800887578795005</v>
      </c>
      <c r="J373">
        <v>-4.7699999999999996</v>
      </c>
      <c r="L373">
        <v>1.8592264108446264</v>
      </c>
      <c r="M373">
        <v>1.6739966685910135</v>
      </c>
      <c r="N373">
        <v>1.9518412819714328</v>
      </c>
      <c r="O373">
        <v>1.581381797464207</v>
      </c>
    </row>
    <row r="374" spans="1:15">
      <c r="A374" s="19">
        <v>43308</v>
      </c>
      <c r="B374">
        <v>1220</v>
      </c>
      <c r="C374">
        <v>1220</v>
      </c>
      <c r="D374">
        <v>728</v>
      </c>
      <c r="E374">
        <v>731</v>
      </c>
      <c r="F374">
        <v>1.6689466484268101</v>
      </c>
      <c r="G374">
        <v>1.7687177798118601</v>
      </c>
      <c r="H374">
        <v>9.25589171333039E-2</v>
      </c>
      <c r="I374">
        <v>-1.0779202531222001</v>
      </c>
      <c r="J374">
        <v>-5.98</v>
      </c>
      <c r="L374">
        <v>1.861276696945164</v>
      </c>
      <c r="M374">
        <v>1.6761588626785562</v>
      </c>
      <c r="N374">
        <v>1.9538356140784678</v>
      </c>
      <c r="O374">
        <v>1.5835999455452523</v>
      </c>
    </row>
    <row r="375" spans="1:15">
      <c r="A375" s="19">
        <v>43307</v>
      </c>
      <c r="B375">
        <v>1223</v>
      </c>
      <c r="C375">
        <v>1217</v>
      </c>
      <c r="D375">
        <v>729</v>
      </c>
      <c r="E375">
        <v>727</v>
      </c>
      <c r="F375">
        <v>1.67400275103163</v>
      </c>
      <c r="G375">
        <v>1.7708092438543399</v>
      </c>
      <c r="H375">
        <v>9.2051670759330795E-2</v>
      </c>
      <c r="I375">
        <v>-1.0516538377212601</v>
      </c>
      <c r="J375">
        <v>-5.78</v>
      </c>
      <c r="L375">
        <v>1.8628609146136708</v>
      </c>
      <c r="M375">
        <v>1.6787575730950091</v>
      </c>
      <c r="N375">
        <v>1.9549125853730014</v>
      </c>
      <c r="O375">
        <v>1.5867059023356784</v>
      </c>
    </row>
    <row r="376" spans="1:15">
      <c r="A376" s="19">
        <v>43306</v>
      </c>
      <c r="B376">
        <v>1205</v>
      </c>
      <c r="C376">
        <v>1215</v>
      </c>
      <c r="D376">
        <v>726</v>
      </c>
      <c r="E376">
        <v>723</v>
      </c>
      <c r="F376">
        <v>1.6804979253112</v>
      </c>
      <c r="G376">
        <v>1.77287903037357</v>
      </c>
      <c r="H376">
        <v>9.1595795445815295E-2</v>
      </c>
      <c r="I376">
        <v>-1.0085736426299201</v>
      </c>
      <c r="J376">
        <v>-5.5</v>
      </c>
      <c r="L376">
        <v>1.8644748258193853</v>
      </c>
      <c r="M376">
        <v>1.6812832349277547</v>
      </c>
      <c r="N376">
        <v>1.9560706212652006</v>
      </c>
      <c r="O376">
        <v>1.5896874394819394</v>
      </c>
    </row>
    <row r="377" spans="1:15">
      <c r="A377" s="19">
        <v>43305</v>
      </c>
      <c r="B377">
        <v>1205</v>
      </c>
      <c r="C377">
        <v>1204</v>
      </c>
      <c r="D377">
        <v>730</v>
      </c>
      <c r="E377">
        <v>722</v>
      </c>
      <c r="F377">
        <v>1.66759002770083</v>
      </c>
      <c r="G377">
        <v>1.77451695006694</v>
      </c>
      <c r="H377">
        <v>9.1025764863692696E-2</v>
      </c>
      <c r="I377">
        <v>-1.17468853490248</v>
      </c>
      <c r="J377">
        <v>-6.41</v>
      </c>
      <c r="L377">
        <v>1.8655427149306327</v>
      </c>
      <c r="M377">
        <v>1.6834911852032473</v>
      </c>
      <c r="N377">
        <v>1.9565684797943255</v>
      </c>
      <c r="O377">
        <v>1.5924654203395545</v>
      </c>
    </row>
    <row r="378" spans="1:15">
      <c r="A378" s="19">
        <v>43304</v>
      </c>
      <c r="B378">
        <v>1182</v>
      </c>
      <c r="C378">
        <v>1192</v>
      </c>
      <c r="D378">
        <v>709</v>
      </c>
      <c r="E378">
        <v>720</v>
      </c>
      <c r="F378">
        <v>1.6555555555555499</v>
      </c>
      <c r="G378">
        <v>1.77672977328868</v>
      </c>
      <c r="H378">
        <v>9.0414691972757102E-2</v>
      </c>
      <c r="I378">
        <v>-1.34020494998356</v>
      </c>
      <c r="J378">
        <v>-7.32</v>
      </c>
      <c r="L378">
        <v>1.8671444652614371</v>
      </c>
      <c r="M378">
        <v>1.6863150813159229</v>
      </c>
      <c r="N378">
        <v>1.9575591572341942</v>
      </c>
      <c r="O378">
        <v>1.5959003893431658</v>
      </c>
    </row>
    <row r="379" spans="1:15">
      <c r="A379" s="19">
        <v>43301</v>
      </c>
      <c r="B379">
        <v>1206</v>
      </c>
      <c r="C379">
        <v>1194</v>
      </c>
      <c r="D379">
        <v>721</v>
      </c>
      <c r="E379">
        <v>712</v>
      </c>
      <c r="F379">
        <v>1.6769662921348301</v>
      </c>
      <c r="G379">
        <v>1.7791264941201801</v>
      </c>
      <c r="H379">
        <v>8.9549154188257596E-2</v>
      </c>
      <c r="I379">
        <v>-1.14082821788116</v>
      </c>
      <c r="J379">
        <v>-6.09</v>
      </c>
      <c r="L379">
        <v>1.8686756483084377</v>
      </c>
      <c r="M379">
        <v>1.6895773399319225</v>
      </c>
      <c r="N379">
        <v>1.9582248024966953</v>
      </c>
      <c r="O379">
        <v>1.6000281857436649</v>
      </c>
    </row>
    <row r="380" spans="1:15">
      <c r="A380" s="19">
        <v>43300</v>
      </c>
      <c r="B380">
        <v>1207</v>
      </c>
      <c r="C380">
        <v>1205</v>
      </c>
      <c r="D380">
        <v>709</v>
      </c>
      <c r="E380">
        <v>711</v>
      </c>
      <c r="F380">
        <v>1.69479606188466</v>
      </c>
      <c r="G380">
        <v>1.7813715744015499</v>
      </c>
      <c r="H380">
        <v>8.9069208094382804E-2</v>
      </c>
      <c r="I380">
        <v>-0.972002719785522</v>
      </c>
      <c r="J380">
        <v>-5.1100000000000003</v>
      </c>
      <c r="L380">
        <v>1.8704407824959328</v>
      </c>
      <c r="M380">
        <v>1.692302366307167</v>
      </c>
      <c r="N380">
        <v>1.9595099905903155</v>
      </c>
      <c r="O380">
        <v>1.6032331582127843</v>
      </c>
    </row>
    <row r="381" spans="1:15">
      <c r="A381" s="19">
        <v>43299</v>
      </c>
      <c r="B381">
        <v>1207</v>
      </c>
      <c r="C381">
        <v>1198</v>
      </c>
      <c r="D381">
        <v>715</v>
      </c>
      <c r="E381">
        <v>706</v>
      </c>
      <c r="F381">
        <v>1.69688385269121</v>
      </c>
      <c r="G381">
        <v>1.78374811556595</v>
      </c>
      <c r="H381">
        <v>8.9105395105796695E-2</v>
      </c>
      <c r="I381">
        <v>-0.97484852372404995</v>
      </c>
      <c r="J381">
        <v>-5.12</v>
      </c>
      <c r="L381">
        <v>1.8728535106717468</v>
      </c>
      <c r="M381">
        <v>1.6946427204601533</v>
      </c>
      <c r="N381">
        <v>1.9619589057775435</v>
      </c>
      <c r="O381">
        <v>1.6055373253543566</v>
      </c>
    </row>
    <row r="382" spans="1:15">
      <c r="A382" s="19">
        <v>43298</v>
      </c>
      <c r="B382">
        <v>1183</v>
      </c>
      <c r="C382">
        <v>1196</v>
      </c>
      <c r="D382">
        <v>700</v>
      </c>
      <c r="E382">
        <v>705</v>
      </c>
      <c r="F382">
        <v>1.6964539007092101</v>
      </c>
      <c r="G382">
        <v>1.7866200735534601</v>
      </c>
      <c r="H382">
        <v>8.9728440130457096E-2</v>
      </c>
      <c r="I382">
        <v>-1.0048784166218401</v>
      </c>
      <c r="J382">
        <v>-5.31</v>
      </c>
      <c r="L382">
        <v>1.8763485136839171</v>
      </c>
      <c r="M382">
        <v>1.6968916334230031</v>
      </c>
      <c r="N382">
        <v>1.9660769538143743</v>
      </c>
      <c r="O382">
        <v>1.6071631932925459</v>
      </c>
    </row>
    <row r="383" spans="1:15">
      <c r="A383" s="19">
        <v>43294</v>
      </c>
      <c r="B383">
        <v>1173</v>
      </c>
      <c r="C383">
        <v>1178</v>
      </c>
      <c r="D383">
        <v>691</v>
      </c>
      <c r="E383">
        <v>694</v>
      </c>
      <c r="F383">
        <v>1.69740634005763</v>
      </c>
      <c r="G383">
        <v>1.7896028532986199</v>
      </c>
      <c r="H383">
        <v>9.0397330993410505E-2</v>
      </c>
      <c r="I383">
        <v>-1.0199030461166101</v>
      </c>
      <c r="J383">
        <v>-5.43</v>
      </c>
      <c r="L383">
        <v>1.8800001842920304</v>
      </c>
      <c r="M383">
        <v>1.6992055223052094</v>
      </c>
      <c r="N383">
        <v>1.9703975152854409</v>
      </c>
      <c r="O383">
        <v>1.6088081913117989</v>
      </c>
    </row>
    <row r="384" spans="1:15">
      <c r="A384" s="19">
        <v>43293</v>
      </c>
      <c r="B384">
        <v>1169</v>
      </c>
      <c r="C384">
        <v>1163</v>
      </c>
      <c r="D384">
        <v>677</v>
      </c>
      <c r="E384">
        <v>686</v>
      </c>
      <c r="F384">
        <v>1.69533527696793</v>
      </c>
      <c r="G384">
        <v>1.7924381408985599</v>
      </c>
      <c r="H384">
        <v>9.0795074296656494E-2</v>
      </c>
      <c r="I384">
        <v>-1.0694728175822501</v>
      </c>
      <c r="J384">
        <v>-5.73</v>
      </c>
      <c r="L384">
        <v>1.8832332151952165</v>
      </c>
      <c r="M384">
        <v>1.7016430666019033</v>
      </c>
      <c r="N384">
        <v>1.9740282894918728</v>
      </c>
      <c r="O384">
        <v>1.610847992305247</v>
      </c>
    </row>
    <row r="385" spans="1:15">
      <c r="A385" s="19">
        <v>43292</v>
      </c>
      <c r="B385">
        <v>1189</v>
      </c>
      <c r="C385">
        <v>1162</v>
      </c>
      <c r="D385">
        <v>689</v>
      </c>
      <c r="E385">
        <v>687</v>
      </c>
      <c r="F385">
        <v>1.6914119359534201</v>
      </c>
      <c r="G385">
        <v>1.79538465362083</v>
      </c>
      <c r="H385">
        <v>9.1181024468474495E-2</v>
      </c>
      <c r="I385">
        <v>-1.1402889830807601</v>
      </c>
      <c r="J385">
        <v>-6.15</v>
      </c>
      <c r="L385">
        <v>1.8865656780893045</v>
      </c>
      <c r="M385">
        <v>1.7042036291523555</v>
      </c>
      <c r="N385">
        <v>1.9777467025577791</v>
      </c>
      <c r="O385">
        <v>1.6130226046838809</v>
      </c>
    </row>
    <row r="386" spans="1:15">
      <c r="A386" s="19">
        <v>43291</v>
      </c>
      <c r="B386">
        <v>1196</v>
      </c>
      <c r="C386">
        <v>1205</v>
      </c>
      <c r="D386">
        <v>699</v>
      </c>
      <c r="E386">
        <v>697</v>
      </c>
      <c r="F386">
        <v>1.72883787661406</v>
      </c>
      <c r="G386">
        <v>1.7979294723728501</v>
      </c>
      <c r="H386">
        <v>9.0906695921969594E-2</v>
      </c>
      <c r="I386">
        <v>-0.76002757616556105</v>
      </c>
      <c r="J386">
        <v>-4</v>
      </c>
      <c r="L386">
        <v>1.8888361682948196</v>
      </c>
      <c r="M386">
        <v>1.7070227764508805</v>
      </c>
      <c r="N386">
        <v>1.9797428642167891</v>
      </c>
      <c r="O386">
        <v>1.616116080528911</v>
      </c>
    </row>
    <row r="387" spans="1:15">
      <c r="A387" s="19">
        <v>43290</v>
      </c>
      <c r="B387">
        <v>1189</v>
      </c>
      <c r="C387">
        <v>1191</v>
      </c>
      <c r="D387">
        <v>686</v>
      </c>
      <c r="E387">
        <v>694</v>
      </c>
      <c r="F387">
        <v>1.7161383285302501</v>
      </c>
      <c r="G387">
        <v>1.8001090699154301</v>
      </c>
      <c r="H387">
        <v>9.1183284553234295E-2</v>
      </c>
      <c r="I387">
        <v>-0.92090059923377199</v>
      </c>
      <c r="J387">
        <v>-4.8899999999999997</v>
      </c>
      <c r="L387">
        <v>1.8912923544686644</v>
      </c>
      <c r="M387">
        <v>1.7089257853621957</v>
      </c>
      <c r="N387">
        <v>1.9824756390218987</v>
      </c>
      <c r="O387">
        <v>1.6177425008089614</v>
      </c>
    </row>
    <row r="388" spans="1:15">
      <c r="A388" s="19">
        <v>43287</v>
      </c>
      <c r="B388">
        <v>1146</v>
      </c>
      <c r="C388">
        <v>1168</v>
      </c>
      <c r="D388">
        <v>677</v>
      </c>
      <c r="E388">
        <v>686</v>
      </c>
      <c r="F388">
        <v>1.70262390670553</v>
      </c>
      <c r="G388">
        <v>1.8023646825797</v>
      </c>
      <c r="H388">
        <v>9.11705917216344E-2</v>
      </c>
      <c r="I388">
        <v>-1.0940016291514201</v>
      </c>
      <c r="J388">
        <v>-5.86</v>
      </c>
      <c r="L388">
        <v>1.8935352743013343</v>
      </c>
      <c r="M388">
        <v>1.7111940908580656</v>
      </c>
      <c r="N388">
        <v>1.9847058660229688</v>
      </c>
      <c r="O388">
        <v>1.6200234991364311</v>
      </c>
    </row>
    <row r="389" spans="1:15">
      <c r="A389" s="19">
        <v>43286</v>
      </c>
      <c r="B389">
        <v>1144</v>
      </c>
      <c r="C389">
        <v>1131</v>
      </c>
      <c r="D389">
        <v>684</v>
      </c>
      <c r="E389">
        <v>676</v>
      </c>
      <c r="F389">
        <v>1.67307692307692</v>
      </c>
      <c r="G389">
        <v>1.8051982785320699</v>
      </c>
      <c r="H389">
        <v>9.1329033515313796E-2</v>
      </c>
      <c r="I389">
        <v>-1.44665228974527</v>
      </c>
      <c r="J389">
        <v>-7.9</v>
      </c>
      <c r="L389">
        <v>1.8965273120473838</v>
      </c>
      <c r="M389">
        <v>1.7138692450167561</v>
      </c>
      <c r="N389">
        <v>1.9878563455626974</v>
      </c>
      <c r="O389">
        <v>1.6225402115014425</v>
      </c>
    </row>
    <row r="390" spans="1:15">
      <c r="A390" s="19">
        <v>43285</v>
      </c>
      <c r="B390">
        <v>1134</v>
      </c>
      <c r="C390">
        <v>1143</v>
      </c>
      <c r="D390">
        <v>684</v>
      </c>
      <c r="E390">
        <v>686</v>
      </c>
      <c r="F390">
        <v>1.6661807580174901</v>
      </c>
      <c r="G390">
        <v>1.8087973219756699</v>
      </c>
      <c r="H390">
        <v>9.1370136155537102E-2</v>
      </c>
      <c r="I390">
        <v>-1.56086627380539</v>
      </c>
      <c r="J390">
        <v>-8.56</v>
      </c>
      <c r="L390">
        <v>1.9001674581312069</v>
      </c>
      <c r="M390">
        <v>1.7174271858201329</v>
      </c>
      <c r="N390">
        <v>1.9915375942867442</v>
      </c>
      <c r="O390">
        <v>1.6260570496645956</v>
      </c>
    </row>
    <row r="391" spans="1:15">
      <c r="A391" s="19">
        <v>43284</v>
      </c>
      <c r="B391">
        <v>1171</v>
      </c>
      <c r="C391">
        <v>1147</v>
      </c>
      <c r="D391">
        <v>694</v>
      </c>
      <c r="E391">
        <v>688</v>
      </c>
      <c r="F391">
        <v>1.6671511627906901</v>
      </c>
      <c r="G391">
        <v>1.8125473905012499</v>
      </c>
      <c r="H391">
        <v>9.1211408484210693E-2</v>
      </c>
      <c r="I391">
        <v>-1.5940574773135701</v>
      </c>
      <c r="J391">
        <v>-8.7200000000000006</v>
      </c>
      <c r="L391">
        <v>1.9037587989854605</v>
      </c>
      <c r="M391">
        <v>1.7213359820170393</v>
      </c>
      <c r="N391">
        <v>1.9949702074696714</v>
      </c>
      <c r="O391">
        <v>1.6301245735328285</v>
      </c>
    </row>
    <row r="392" spans="1:15">
      <c r="A392" s="19">
        <v>43283</v>
      </c>
      <c r="B392">
        <v>1191</v>
      </c>
      <c r="C392">
        <v>1164</v>
      </c>
      <c r="D392">
        <v>723</v>
      </c>
      <c r="E392">
        <v>709</v>
      </c>
      <c r="F392">
        <v>1.6417489421720699</v>
      </c>
      <c r="G392">
        <v>1.81637077832644</v>
      </c>
      <c r="H392">
        <v>9.1046485347503495E-2</v>
      </c>
      <c r="I392">
        <v>-1.9179415381920599</v>
      </c>
      <c r="J392">
        <v>-10.64</v>
      </c>
      <c r="L392">
        <v>1.9074172636739435</v>
      </c>
      <c r="M392">
        <v>1.7253242929789365</v>
      </c>
      <c r="N392">
        <v>1.998463749021447</v>
      </c>
      <c r="O392">
        <v>1.634277807631433</v>
      </c>
    </row>
    <row r="393" spans="1:15">
      <c r="A393" s="19">
        <v>43280</v>
      </c>
      <c r="B393">
        <v>1188</v>
      </c>
      <c r="C393">
        <v>1190</v>
      </c>
      <c r="D393">
        <v>729</v>
      </c>
      <c r="E393">
        <v>728</v>
      </c>
      <c r="F393">
        <v>1.6346153846153799</v>
      </c>
      <c r="G393">
        <v>1.82057216298919</v>
      </c>
      <c r="H393">
        <v>9.01575084725455E-2</v>
      </c>
      <c r="I393">
        <v>-2.0625767229407801</v>
      </c>
      <c r="J393">
        <v>-11.38</v>
      </c>
      <c r="L393">
        <v>1.9107296714617354</v>
      </c>
      <c r="M393">
        <v>1.7304146545166446</v>
      </c>
      <c r="N393">
        <v>2.0008871799342809</v>
      </c>
      <c r="O393">
        <v>1.6402571460440991</v>
      </c>
    </row>
    <row r="394" spans="1:15">
      <c r="A394" s="19">
        <v>43279</v>
      </c>
      <c r="B394">
        <v>1172</v>
      </c>
      <c r="C394">
        <v>1179</v>
      </c>
      <c r="D394">
        <v>721</v>
      </c>
      <c r="E394">
        <v>723</v>
      </c>
      <c r="F394">
        <v>1.63070539419087</v>
      </c>
      <c r="G394">
        <v>1.8248502343665001</v>
      </c>
      <c r="H394">
        <v>8.8834924441424698E-2</v>
      </c>
      <c r="I394">
        <v>-2.18545624253492</v>
      </c>
      <c r="J394">
        <v>-11.91</v>
      </c>
      <c r="L394">
        <v>1.9136851588079247</v>
      </c>
      <c r="M394">
        <v>1.7360153099250755</v>
      </c>
      <c r="N394">
        <v>2.0025200832493493</v>
      </c>
      <c r="O394">
        <v>1.6471803854836506</v>
      </c>
    </row>
    <row r="395" spans="1:15">
      <c r="A395" s="19">
        <v>43278</v>
      </c>
      <c r="B395">
        <v>1180</v>
      </c>
      <c r="C395">
        <v>1171</v>
      </c>
      <c r="D395">
        <v>724</v>
      </c>
      <c r="E395">
        <v>731</v>
      </c>
      <c r="F395">
        <v>1.60191518467852</v>
      </c>
      <c r="G395">
        <v>1.8290824201179701</v>
      </c>
      <c r="H395">
        <v>8.70274271093575E-2</v>
      </c>
      <c r="I395">
        <v>-2.61029474252978</v>
      </c>
      <c r="J395">
        <v>-14.18</v>
      </c>
      <c r="L395">
        <v>1.9161098472273275</v>
      </c>
      <c r="M395">
        <v>1.7420549930086127</v>
      </c>
      <c r="N395">
        <v>2.0031372743366851</v>
      </c>
      <c r="O395">
        <v>1.655027565899255</v>
      </c>
    </row>
    <row r="396" spans="1:15">
      <c r="A396" s="19">
        <v>43277</v>
      </c>
      <c r="B396">
        <v>1160</v>
      </c>
      <c r="C396">
        <v>1189</v>
      </c>
      <c r="D396">
        <v>708</v>
      </c>
      <c r="E396">
        <v>722</v>
      </c>
      <c r="F396">
        <v>1.64681440443213</v>
      </c>
      <c r="G396">
        <v>1.83381730098892</v>
      </c>
      <c r="H396">
        <v>8.4152044787349806E-2</v>
      </c>
      <c r="I396">
        <v>-2.2222026455726001</v>
      </c>
      <c r="J396">
        <v>-11.36</v>
      </c>
      <c r="L396">
        <v>1.9179693457762699</v>
      </c>
      <c r="M396">
        <v>1.7496652562015702</v>
      </c>
      <c r="N396">
        <v>2.0021213905636195</v>
      </c>
      <c r="O396">
        <v>1.6655132114142204</v>
      </c>
    </row>
    <row r="397" spans="1:15">
      <c r="A397" s="19">
        <v>43276</v>
      </c>
      <c r="B397">
        <v>1189</v>
      </c>
      <c r="C397">
        <v>1169</v>
      </c>
      <c r="D397">
        <v>717</v>
      </c>
      <c r="E397">
        <v>723</v>
      </c>
      <c r="F397">
        <v>1.6168741355463301</v>
      </c>
      <c r="G397">
        <v>1.8376995688781499</v>
      </c>
      <c r="H397">
        <v>8.2127366049432896E-2</v>
      </c>
      <c r="I397">
        <v>-2.6888166996479601</v>
      </c>
      <c r="J397">
        <v>-13.66</v>
      </c>
      <c r="L397">
        <v>1.9198269349275827</v>
      </c>
      <c r="M397">
        <v>1.7555722028287171</v>
      </c>
      <c r="N397">
        <v>2.0019543009770158</v>
      </c>
      <c r="O397">
        <v>1.673444836779284</v>
      </c>
    </row>
    <row r="398" spans="1:15">
      <c r="A398" s="19">
        <v>43273</v>
      </c>
      <c r="B398">
        <v>1173</v>
      </c>
      <c r="C398">
        <v>1176</v>
      </c>
      <c r="D398">
        <v>706</v>
      </c>
      <c r="E398">
        <v>719</v>
      </c>
      <c r="F398">
        <v>1.6356050069540999</v>
      </c>
      <c r="G398">
        <v>1.8419349997452299</v>
      </c>
      <c r="H398">
        <v>7.8751503247143195E-2</v>
      </c>
      <c r="I398">
        <v>-2.6200133874729201</v>
      </c>
      <c r="J398">
        <v>-12.61</v>
      </c>
      <c r="L398">
        <v>1.920686502992373</v>
      </c>
      <c r="M398">
        <v>1.7631834964980868</v>
      </c>
      <c r="N398">
        <v>1.9994380062395163</v>
      </c>
      <c r="O398">
        <v>1.6844319932509435</v>
      </c>
    </row>
    <row r="399" spans="1:15">
      <c r="A399" s="19">
        <v>43272</v>
      </c>
      <c r="B399">
        <v>1200</v>
      </c>
      <c r="C399">
        <v>1198</v>
      </c>
      <c r="D399">
        <v>723</v>
      </c>
      <c r="E399">
        <v>721</v>
      </c>
      <c r="F399">
        <v>1.6615811373092899</v>
      </c>
      <c r="G399">
        <v>1.84582390268281</v>
      </c>
      <c r="H399">
        <v>7.5605214911528704E-2</v>
      </c>
      <c r="I399">
        <v>-2.4369055175508798</v>
      </c>
      <c r="J399">
        <v>-11.09</v>
      </c>
      <c r="L399">
        <v>1.9214291175943388</v>
      </c>
      <c r="M399">
        <v>1.7702186877712813</v>
      </c>
      <c r="N399">
        <v>1.9970343325058675</v>
      </c>
      <c r="O399">
        <v>1.6946134728597526</v>
      </c>
    </row>
    <row r="400" spans="1:15">
      <c r="A400" s="19">
        <v>43271</v>
      </c>
      <c r="B400">
        <v>1190</v>
      </c>
      <c r="C400">
        <v>1197</v>
      </c>
      <c r="D400">
        <v>723</v>
      </c>
      <c r="E400">
        <v>725</v>
      </c>
      <c r="F400">
        <v>1.6510344827586201</v>
      </c>
      <c r="G400">
        <v>1.8496720417971</v>
      </c>
      <c r="H400">
        <v>7.3443650926938706E-2</v>
      </c>
      <c r="I400">
        <v>-2.7046253356344101</v>
      </c>
      <c r="J400">
        <v>-12.03</v>
      </c>
      <c r="L400">
        <v>1.9231156927240387</v>
      </c>
      <c r="M400">
        <v>1.7762283908701613</v>
      </c>
      <c r="N400">
        <v>1.9965593436509774</v>
      </c>
      <c r="O400">
        <v>1.7027847399432225</v>
      </c>
    </row>
    <row r="401" spans="1:15">
      <c r="A401" s="19">
        <v>43270</v>
      </c>
      <c r="B401">
        <v>1215</v>
      </c>
      <c r="C401">
        <v>1190</v>
      </c>
      <c r="D401">
        <v>730</v>
      </c>
      <c r="E401">
        <v>718</v>
      </c>
      <c r="F401">
        <v>1.6573816155988801</v>
      </c>
      <c r="G401">
        <v>1.8537135977229799</v>
      </c>
      <c r="H401">
        <v>7.0690092319632802E-2</v>
      </c>
      <c r="I401">
        <v>-2.7773620840154698</v>
      </c>
      <c r="J401">
        <v>-11.85</v>
      </c>
      <c r="L401">
        <v>1.9244036900426127</v>
      </c>
      <c r="M401">
        <v>1.7830235054033472</v>
      </c>
      <c r="N401">
        <v>1.9950937823622454</v>
      </c>
      <c r="O401">
        <v>1.7123334130837145</v>
      </c>
    </row>
    <row r="402" spans="1:15">
      <c r="A402" s="19">
        <v>43269</v>
      </c>
      <c r="B402">
        <v>1249</v>
      </c>
      <c r="C402">
        <v>1228</v>
      </c>
      <c r="D402">
        <v>739</v>
      </c>
      <c r="E402">
        <v>723</v>
      </c>
      <c r="F402">
        <v>1.6984785615491</v>
      </c>
      <c r="G402">
        <v>1.8581196368467101</v>
      </c>
      <c r="H402">
        <v>6.8582590643900404E-2</v>
      </c>
      <c r="I402">
        <v>-2.3277201079573202</v>
      </c>
      <c r="J402">
        <v>-9.4</v>
      </c>
      <c r="L402">
        <v>1.9267022274906105</v>
      </c>
      <c r="M402">
        <v>1.7895370462028097</v>
      </c>
      <c r="N402">
        <v>1.9952848181345109</v>
      </c>
      <c r="O402">
        <v>1.7209544555589094</v>
      </c>
    </row>
    <row r="403" spans="1:15">
      <c r="A403" s="19">
        <v>43266</v>
      </c>
      <c r="B403">
        <v>1282</v>
      </c>
      <c r="C403">
        <v>1252</v>
      </c>
      <c r="D403">
        <v>747</v>
      </c>
      <c r="E403">
        <v>730</v>
      </c>
      <c r="F403">
        <v>1.7150684931506801</v>
      </c>
      <c r="G403">
        <v>1.8618671589542499</v>
      </c>
      <c r="H403">
        <v>6.7426293428990799E-2</v>
      </c>
      <c r="I403">
        <v>-2.1771724106141499</v>
      </c>
      <c r="J403">
        <v>-8.56</v>
      </c>
      <c r="L403">
        <v>1.9292934523832408</v>
      </c>
      <c r="M403">
        <v>1.7944408655252591</v>
      </c>
      <c r="N403">
        <v>1.9967197458122314</v>
      </c>
      <c r="O403">
        <v>1.7270145720962684</v>
      </c>
    </row>
    <row r="404" spans="1:15">
      <c r="A404" s="19">
        <v>43265</v>
      </c>
      <c r="B404">
        <v>1280</v>
      </c>
      <c r="C404">
        <v>1269</v>
      </c>
      <c r="D404">
        <v>745</v>
      </c>
      <c r="E404">
        <v>740</v>
      </c>
      <c r="F404">
        <v>1.7148648648648599</v>
      </c>
      <c r="G404">
        <v>1.86581366585966</v>
      </c>
      <c r="H404">
        <v>6.7380746425105206E-2</v>
      </c>
      <c r="I404">
        <v>-2.2402364028808499</v>
      </c>
      <c r="J404">
        <v>-8.8000000000000007</v>
      </c>
      <c r="L404">
        <v>1.9331944122847653</v>
      </c>
      <c r="M404">
        <v>1.7984329194345547</v>
      </c>
      <c r="N404">
        <v>2.0005751587098706</v>
      </c>
      <c r="O404">
        <v>1.7310521730094497</v>
      </c>
    </row>
    <row r="405" spans="1:15">
      <c r="A405" s="19">
        <v>43264</v>
      </c>
      <c r="B405">
        <v>1274</v>
      </c>
      <c r="C405">
        <v>1289</v>
      </c>
      <c r="D405">
        <v>748</v>
      </c>
      <c r="E405">
        <v>747</v>
      </c>
      <c r="F405">
        <v>1.72556894243641</v>
      </c>
      <c r="G405">
        <v>1.8695338683142599</v>
      </c>
      <c r="H405">
        <v>6.6642312799613704E-2</v>
      </c>
      <c r="I405">
        <v>-2.1602630495544202</v>
      </c>
      <c r="J405">
        <v>-8.34</v>
      </c>
      <c r="L405">
        <v>1.9361761811138736</v>
      </c>
      <c r="M405">
        <v>1.8028915555146463</v>
      </c>
      <c r="N405">
        <v>2.0028184939134874</v>
      </c>
      <c r="O405">
        <v>1.7362492427150324</v>
      </c>
    </row>
    <row r="406" spans="1:15">
      <c r="A406" s="19">
        <v>43263</v>
      </c>
      <c r="B406">
        <v>1313</v>
      </c>
      <c r="C406">
        <v>1287</v>
      </c>
      <c r="D406">
        <v>755</v>
      </c>
      <c r="E406">
        <v>749</v>
      </c>
      <c r="F406">
        <v>1.7182910547396499</v>
      </c>
      <c r="G406">
        <v>1.8731275094089701</v>
      </c>
      <c r="H406">
        <v>6.6046470572777294E-2</v>
      </c>
      <c r="I406">
        <v>-2.34435622867553</v>
      </c>
      <c r="J406">
        <v>-9.01</v>
      </c>
      <c r="L406">
        <v>1.9391739799817473</v>
      </c>
      <c r="M406">
        <v>1.8070810388361929</v>
      </c>
      <c r="N406">
        <v>2.0052204505545248</v>
      </c>
      <c r="O406">
        <v>1.7410345682634154</v>
      </c>
    </row>
    <row r="407" spans="1:15">
      <c r="A407" s="19">
        <v>43262</v>
      </c>
      <c r="B407">
        <v>1314</v>
      </c>
      <c r="C407">
        <v>1312</v>
      </c>
      <c r="D407">
        <v>747</v>
      </c>
      <c r="E407">
        <v>749</v>
      </c>
      <c r="F407">
        <v>1.7516688918558001</v>
      </c>
      <c r="G407">
        <v>1.8761021294765601</v>
      </c>
      <c r="H407">
        <v>6.3998093729846203E-2</v>
      </c>
      <c r="I407">
        <v>-1.9443272505275599</v>
      </c>
      <c r="J407">
        <v>-7.1</v>
      </c>
      <c r="L407">
        <v>1.9401002232064062</v>
      </c>
      <c r="M407">
        <v>1.812104035746714</v>
      </c>
      <c r="N407">
        <v>2.0040983169362523</v>
      </c>
      <c r="O407">
        <v>1.7481059420168676</v>
      </c>
    </row>
    <row r="408" spans="1:15">
      <c r="A408" s="19">
        <v>43259</v>
      </c>
      <c r="B408">
        <v>1321</v>
      </c>
      <c r="C408">
        <v>1319</v>
      </c>
      <c r="D408">
        <v>747</v>
      </c>
      <c r="E408">
        <v>744</v>
      </c>
      <c r="F408">
        <v>1.7728494623655899</v>
      </c>
      <c r="G408">
        <v>1.87823439769666</v>
      </c>
      <c r="H408">
        <v>6.2462404206606398E-2</v>
      </c>
      <c r="I408">
        <v>-1.68717385553221</v>
      </c>
      <c r="J408">
        <v>-5.94</v>
      </c>
      <c r="L408">
        <v>1.9406968019032664</v>
      </c>
      <c r="M408">
        <v>1.8157719934900536</v>
      </c>
      <c r="N408">
        <v>2.0031592061098729</v>
      </c>
      <c r="O408">
        <v>1.7533095892834472</v>
      </c>
    </row>
    <row r="409" spans="1:15">
      <c r="A409" s="19">
        <v>43258</v>
      </c>
      <c r="B409">
        <v>1324</v>
      </c>
      <c r="C409">
        <v>1318</v>
      </c>
      <c r="D409">
        <v>748</v>
      </c>
      <c r="E409">
        <v>747</v>
      </c>
      <c r="F409">
        <v>1.76439089692101</v>
      </c>
      <c r="G409">
        <v>1.8799849650229099</v>
      </c>
      <c r="H409">
        <v>6.1313595977129702E-2</v>
      </c>
      <c r="I409">
        <v>-1.8852925890207499</v>
      </c>
      <c r="J409">
        <v>-6.55</v>
      </c>
      <c r="L409">
        <v>1.9412985610000395</v>
      </c>
      <c r="M409">
        <v>1.8186713690457803</v>
      </c>
      <c r="N409">
        <v>2.0026121569771691</v>
      </c>
      <c r="O409">
        <v>1.7573577730686505</v>
      </c>
    </row>
    <row r="410" spans="1:15">
      <c r="A410" s="19">
        <v>43257</v>
      </c>
      <c r="B410">
        <v>1336</v>
      </c>
      <c r="C410">
        <v>1335</v>
      </c>
      <c r="D410">
        <v>751</v>
      </c>
      <c r="E410">
        <v>750</v>
      </c>
      <c r="F410">
        <v>1.78</v>
      </c>
      <c r="G410">
        <v>1.88185734342541</v>
      </c>
      <c r="H410">
        <v>5.9882506993139697E-2</v>
      </c>
      <c r="I410">
        <v>-1.70095322557354</v>
      </c>
      <c r="J410">
        <v>-5.72</v>
      </c>
      <c r="L410">
        <v>1.9417398504185497</v>
      </c>
      <c r="M410">
        <v>1.8219748364322703</v>
      </c>
      <c r="N410">
        <v>2.0016223574116894</v>
      </c>
      <c r="O410">
        <v>1.7620923294391306</v>
      </c>
    </row>
    <row r="411" spans="1:15">
      <c r="A411" s="19">
        <v>43256</v>
      </c>
      <c r="B411">
        <v>1342</v>
      </c>
      <c r="C411">
        <v>1332</v>
      </c>
      <c r="D411">
        <v>756</v>
      </c>
      <c r="E411">
        <v>752</v>
      </c>
      <c r="F411">
        <v>1.7712765957446801</v>
      </c>
      <c r="G411">
        <v>1.88374875571682</v>
      </c>
      <c r="H411">
        <v>5.8867111147774001E-2</v>
      </c>
      <c r="I411">
        <v>-1.9106111677504301</v>
      </c>
      <c r="J411">
        <v>-6.35</v>
      </c>
      <c r="L411">
        <v>1.9426158668645941</v>
      </c>
      <c r="M411">
        <v>1.8248816445690459</v>
      </c>
      <c r="N411">
        <v>2.0014829780123682</v>
      </c>
      <c r="O411">
        <v>1.766014533421272</v>
      </c>
    </row>
    <row r="412" spans="1:15">
      <c r="A412" s="19">
        <v>43255</v>
      </c>
      <c r="B412">
        <v>1309</v>
      </c>
      <c r="C412">
        <v>1331</v>
      </c>
      <c r="D412">
        <v>749</v>
      </c>
      <c r="E412">
        <v>752</v>
      </c>
      <c r="F412">
        <v>1.76994680851063</v>
      </c>
      <c r="G412">
        <v>1.8848959620825001</v>
      </c>
      <c r="H412">
        <v>5.7486253314027097E-2</v>
      </c>
      <c r="I412">
        <v>-1.9995937627721001</v>
      </c>
      <c r="J412">
        <v>-6.49</v>
      </c>
      <c r="L412">
        <v>1.9423822153965271</v>
      </c>
      <c r="M412">
        <v>1.8274097087684731</v>
      </c>
      <c r="N412">
        <v>1.9998684687105543</v>
      </c>
      <c r="O412">
        <v>1.7699234554544458</v>
      </c>
    </row>
    <row r="413" spans="1:15">
      <c r="A413" s="19">
        <v>43252</v>
      </c>
      <c r="B413">
        <v>1313</v>
      </c>
      <c r="C413">
        <v>1317</v>
      </c>
      <c r="D413">
        <v>724</v>
      </c>
      <c r="E413">
        <v>735</v>
      </c>
      <c r="F413">
        <v>1.7918367346938699</v>
      </c>
      <c r="G413">
        <v>1.8865885967681999</v>
      </c>
      <c r="H413">
        <v>5.5924470247760101E-2</v>
      </c>
      <c r="I413">
        <v>-1.6942826933281101</v>
      </c>
      <c r="J413">
        <v>-5.29</v>
      </c>
      <c r="L413">
        <v>1.94251306701596</v>
      </c>
      <c r="M413">
        <v>1.8306641265204397</v>
      </c>
      <c r="N413">
        <v>1.9984375372637202</v>
      </c>
      <c r="O413">
        <v>1.7747396562726796</v>
      </c>
    </row>
    <row r="414" spans="1:15">
      <c r="A414" s="19">
        <v>43251</v>
      </c>
      <c r="B414">
        <v>1338</v>
      </c>
      <c r="C414">
        <v>1320</v>
      </c>
      <c r="D414">
        <v>737</v>
      </c>
      <c r="E414">
        <v>725</v>
      </c>
      <c r="F414">
        <v>1.8206896551724101</v>
      </c>
      <c r="G414">
        <v>1.8886400451621199</v>
      </c>
      <c r="H414">
        <v>5.5228741248580598E-2</v>
      </c>
      <c r="I414">
        <v>-1.2303447164199199</v>
      </c>
      <c r="J414">
        <v>-3.73</v>
      </c>
      <c r="L414">
        <v>1.9438687864107005</v>
      </c>
      <c r="M414">
        <v>1.8334113039135393</v>
      </c>
      <c r="N414">
        <v>1.9990975276592811</v>
      </c>
      <c r="O414">
        <v>1.7781825626649588</v>
      </c>
    </row>
    <row r="415" spans="1:15">
      <c r="A415" s="19">
        <v>43250</v>
      </c>
      <c r="B415">
        <v>1335</v>
      </c>
      <c r="C415">
        <v>1328</v>
      </c>
      <c r="D415">
        <v>732</v>
      </c>
      <c r="E415">
        <v>729</v>
      </c>
      <c r="F415">
        <v>1.82167352537722</v>
      </c>
      <c r="G415">
        <v>1.89020183421578</v>
      </c>
      <c r="H415">
        <v>5.4940560635187201E-2</v>
      </c>
      <c r="I415">
        <v>-1.2473172469716101</v>
      </c>
      <c r="J415">
        <v>-3.76</v>
      </c>
      <c r="L415">
        <v>1.9451423948509672</v>
      </c>
      <c r="M415">
        <v>1.8352612735805929</v>
      </c>
      <c r="N415">
        <v>2.0000829554861546</v>
      </c>
      <c r="O415">
        <v>1.7803207129454057</v>
      </c>
    </row>
    <row r="416" spans="1:15">
      <c r="A416" s="19">
        <v>43249</v>
      </c>
      <c r="B416">
        <v>1391</v>
      </c>
      <c r="C416">
        <v>1377</v>
      </c>
      <c r="D416">
        <v>760</v>
      </c>
      <c r="E416">
        <v>751</v>
      </c>
      <c r="F416">
        <v>1.8335552596537901</v>
      </c>
      <c r="G416">
        <v>1.8909607215884701</v>
      </c>
      <c r="H416">
        <v>5.4378966611159603E-2</v>
      </c>
      <c r="I416">
        <v>-1.0556556240791499</v>
      </c>
      <c r="J416">
        <v>-3.13</v>
      </c>
      <c r="L416">
        <v>1.9453396881996297</v>
      </c>
      <c r="M416">
        <v>1.8365817549773105</v>
      </c>
      <c r="N416">
        <v>1.9997186548107893</v>
      </c>
      <c r="O416">
        <v>1.7822027883661509</v>
      </c>
    </row>
    <row r="417" spans="1:15">
      <c r="A417" s="19">
        <v>43248</v>
      </c>
      <c r="B417">
        <v>1409</v>
      </c>
      <c r="C417">
        <v>1402</v>
      </c>
      <c r="D417">
        <v>757</v>
      </c>
      <c r="E417">
        <v>762</v>
      </c>
      <c r="F417">
        <v>1.83989501312335</v>
      </c>
      <c r="G417">
        <v>1.8914355979191699</v>
      </c>
      <c r="H417">
        <v>5.4029978499222302E-2</v>
      </c>
      <c r="I417">
        <v>-0.95392569509454705</v>
      </c>
      <c r="J417">
        <v>-2.8</v>
      </c>
      <c r="L417">
        <v>1.9454655764183921</v>
      </c>
      <c r="M417">
        <v>1.8374056194199477</v>
      </c>
      <c r="N417">
        <v>1.9994955549176145</v>
      </c>
      <c r="O417">
        <v>1.7833756409207253</v>
      </c>
    </row>
    <row r="418" spans="1:15">
      <c r="A418" s="19">
        <v>43245</v>
      </c>
      <c r="B418">
        <v>1396</v>
      </c>
      <c r="C418">
        <v>1399</v>
      </c>
      <c r="D418">
        <v>750</v>
      </c>
      <c r="E418">
        <v>754</v>
      </c>
      <c r="F418">
        <v>1.85543766578249</v>
      </c>
      <c r="G418">
        <v>1.89186889958468</v>
      </c>
      <c r="H418">
        <v>5.3744458866251898E-2</v>
      </c>
      <c r="I418">
        <v>-0.67786027751912903</v>
      </c>
      <c r="J418">
        <v>-1.96</v>
      </c>
      <c r="L418">
        <v>1.9456133584509319</v>
      </c>
      <c r="M418">
        <v>1.8381244407184281</v>
      </c>
      <c r="N418">
        <v>1.9993578173171838</v>
      </c>
      <c r="O418">
        <v>1.7843799818521762</v>
      </c>
    </row>
    <row r="419" spans="1:15">
      <c r="A419" s="19">
        <v>43244</v>
      </c>
      <c r="B419">
        <v>1436</v>
      </c>
      <c r="C419">
        <v>1409</v>
      </c>
      <c r="D419">
        <v>765</v>
      </c>
      <c r="E419">
        <v>758</v>
      </c>
      <c r="F419">
        <v>1.8588390501319201</v>
      </c>
      <c r="G419">
        <v>1.8919325980910899</v>
      </c>
      <c r="H419">
        <v>5.3704058351725398E-2</v>
      </c>
      <c r="I419">
        <v>-0.61622061674431905</v>
      </c>
      <c r="J419">
        <v>-1.78</v>
      </c>
      <c r="L419">
        <v>1.9456366564428154</v>
      </c>
      <c r="M419">
        <v>1.8382285397393645</v>
      </c>
      <c r="N419">
        <v>1.9993407147945408</v>
      </c>
      <c r="O419">
        <v>1.7845244813876391</v>
      </c>
    </row>
    <row r="420" spans="1:15">
      <c r="A420" s="19">
        <v>43243</v>
      </c>
      <c r="B420">
        <v>1466</v>
      </c>
      <c r="C420">
        <v>1445</v>
      </c>
      <c r="D420">
        <v>779</v>
      </c>
      <c r="E420">
        <v>769</v>
      </c>
      <c r="F420">
        <v>1.87906371911573</v>
      </c>
      <c r="G420">
        <v>1.89210292626444</v>
      </c>
      <c r="H420">
        <v>5.3619019210626902E-2</v>
      </c>
      <c r="I420">
        <v>-0.243182500177646</v>
      </c>
      <c r="J420">
        <v>-0.69</v>
      </c>
      <c r="L420">
        <v>1.9457219454750669</v>
      </c>
      <c r="M420">
        <v>1.838483907053813</v>
      </c>
      <c r="N420">
        <v>1.9993409646856939</v>
      </c>
      <c r="O420">
        <v>1.7848648878431861</v>
      </c>
    </row>
    <row r="421" spans="1:15">
      <c r="A421" s="19">
        <v>43242</v>
      </c>
      <c r="B421">
        <v>1491</v>
      </c>
      <c r="C421">
        <v>1482</v>
      </c>
      <c r="D421">
        <v>798</v>
      </c>
      <c r="E421">
        <v>787</v>
      </c>
      <c r="F421">
        <v>1.8831003811944</v>
      </c>
      <c r="G421">
        <v>1.89179694478175</v>
      </c>
      <c r="H421">
        <v>5.3757854853000303E-2</v>
      </c>
      <c r="I421">
        <v>-0.16177289088497199</v>
      </c>
      <c r="J421">
        <v>-0.46</v>
      </c>
      <c r="L421">
        <v>1.9455547996347502</v>
      </c>
      <c r="M421">
        <v>1.8380390899287498</v>
      </c>
      <c r="N421">
        <v>1.9993126544877506</v>
      </c>
      <c r="O421">
        <v>1.7842812350757493</v>
      </c>
    </row>
    <row r="422" spans="1:15">
      <c r="A422" s="19">
        <v>43241</v>
      </c>
      <c r="B422">
        <v>1475</v>
      </c>
      <c r="C422">
        <v>1488</v>
      </c>
      <c r="D422">
        <v>797</v>
      </c>
      <c r="E422">
        <v>796</v>
      </c>
      <c r="F422">
        <v>1.86934673366834</v>
      </c>
      <c r="G422">
        <v>1.89138321977805</v>
      </c>
      <c r="H422">
        <v>5.3942278316951899E-2</v>
      </c>
      <c r="I422">
        <v>-0.40851975106120603</v>
      </c>
      <c r="J422">
        <v>-1.18</v>
      </c>
      <c r="L422">
        <v>1.9453254980950019</v>
      </c>
      <c r="M422">
        <v>1.8374409414610982</v>
      </c>
      <c r="N422">
        <v>1.9992677764119537</v>
      </c>
      <c r="O422">
        <v>1.7834986631441463</v>
      </c>
    </row>
    <row r="423" spans="1:15">
      <c r="A423" s="19">
        <v>43238</v>
      </c>
      <c r="B423">
        <v>1473</v>
      </c>
      <c r="C423">
        <v>1476</v>
      </c>
      <c r="D423">
        <v>795</v>
      </c>
      <c r="E423">
        <v>800</v>
      </c>
      <c r="F423">
        <v>1.845</v>
      </c>
      <c r="G423">
        <v>1.8908643264340601</v>
      </c>
      <c r="H423">
        <v>5.4337492436980397E-2</v>
      </c>
      <c r="I423">
        <v>-0.84406409602458798</v>
      </c>
      <c r="J423">
        <v>-2.4900000000000002</v>
      </c>
      <c r="L423">
        <v>1.9452018188710405</v>
      </c>
      <c r="M423">
        <v>1.8365268339970797</v>
      </c>
      <c r="N423">
        <v>1.9995393113080209</v>
      </c>
      <c r="O423">
        <v>1.7821893415600993</v>
      </c>
    </row>
    <row r="424" spans="1:15">
      <c r="A424" s="19">
        <v>43237</v>
      </c>
      <c r="B424">
        <v>1466</v>
      </c>
      <c r="C424">
        <v>1465</v>
      </c>
      <c r="D424">
        <v>793</v>
      </c>
      <c r="E424">
        <v>787</v>
      </c>
      <c r="F424">
        <v>1.8614993646759801</v>
      </c>
      <c r="G424">
        <v>1.8904464251994899</v>
      </c>
      <c r="H424">
        <v>5.4807116949488303E-2</v>
      </c>
      <c r="I424">
        <v>-0.528162438286775</v>
      </c>
      <c r="J424">
        <v>-1.56</v>
      </c>
      <c r="L424">
        <v>1.9452535421489783</v>
      </c>
      <c r="M424">
        <v>1.8356393082500015</v>
      </c>
      <c r="N424">
        <v>2.0000606590984664</v>
      </c>
      <c r="O424">
        <v>1.7808321913005134</v>
      </c>
    </row>
    <row r="425" spans="1:15">
      <c r="A425" s="19">
        <v>43236</v>
      </c>
      <c r="B425">
        <v>1473</v>
      </c>
      <c r="C425">
        <v>1465</v>
      </c>
      <c r="D425">
        <v>778</v>
      </c>
      <c r="E425">
        <v>790</v>
      </c>
      <c r="F425">
        <v>1.85443037974683</v>
      </c>
      <c r="G425">
        <v>1.8898829033498901</v>
      </c>
      <c r="H425">
        <v>5.5316759478810498E-2</v>
      </c>
      <c r="I425">
        <v>-0.64090022512327205</v>
      </c>
      <c r="J425">
        <v>-1.91</v>
      </c>
      <c r="L425">
        <v>1.9451996628287005</v>
      </c>
      <c r="M425">
        <v>1.8345661438710796</v>
      </c>
      <c r="N425">
        <v>2.0005164223075109</v>
      </c>
      <c r="O425">
        <v>1.779249384392269</v>
      </c>
    </row>
    <row r="426" spans="1:15">
      <c r="A426" s="19">
        <v>43235</v>
      </c>
      <c r="B426">
        <v>1484</v>
      </c>
      <c r="C426">
        <v>1475</v>
      </c>
      <c r="D426">
        <v>788</v>
      </c>
      <c r="E426">
        <v>782</v>
      </c>
      <c r="F426">
        <v>1.8861892583120199</v>
      </c>
      <c r="G426">
        <v>1.8891936529806299</v>
      </c>
      <c r="H426">
        <v>5.6071116437060302E-2</v>
      </c>
      <c r="I426">
        <v>-5.3581859244558001E-2</v>
      </c>
      <c r="J426">
        <v>-0.16</v>
      </c>
      <c r="L426">
        <v>1.9452647694176901</v>
      </c>
      <c r="M426">
        <v>1.8331225365435697</v>
      </c>
      <c r="N426">
        <v>2.0013358858547505</v>
      </c>
      <c r="O426">
        <v>1.7770514201065093</v>
      </c>
    </row>
    <row r="427" spans="1:15">
      <c r="A427" s="19">
        <v>43234</v>
      </c>
      <c r="B427">
        <v>1491</v>
      </c>
      <c r="C427">
        <v>1476</v>
      </c>
      <c r="D427">
        <v>775</v>
      </c>
      <c r="E427">
        <v>799</v>
      </c>
      <c r="F427">
        <v>1.8473091364205201</v>
      </c>
      <c r="G427">
        <v>1.88837435977702</v>
      </c>
      <c r="H427">
        <v>5.6555856627956598E-2</v>
      </c>
      <c r="I427">
        <v>-0.72610028041200203</v>
      </c>
      <c r="J427">
        <v>-2.2200000000000002</v>
      </c>
      <c r="L427">
        <v>1.9449302164049767</v>
      </c>
      <c r="M427">
        <v>1.8318185031490632</v>
      </c>
      <c r="N427">
        <v>2.0014860730329334</v>
      </c>
      <c r="O427">
        <v>1.7752626465211068</v>
      </c>
    </row>
    <row r="428" spans="1:15">
      <c r="A428" s="19">
        <v>43231</v>
      </c>
      <c r="B428">
        <v>1493</v>
      </c>
      <c r="C428">
        <v>1495</v>
      </c>
      <c r="D428">
        <v>839</v>
      </c>
      <c r="E428">
        <v>855</v>
      </c>
      <c r="F428">
        <v>1.7485380116959</v>
      </c>
      <c r="G428">
        <v>1.88803430986117</v>
      </c>
      <c r="H428">
        <v>5.6877502427285197E-2</v>
      </c>
      <c r="I428">
        <v>-2.4525742554115202</v>
      </c>
      <c r="J428">
        <v>-7.98</v>
      </c>
      <c r="L428">
        <v>1.9449118122884552</v>
      </c>
      <c r="M428">
        <v>1.8311568074338849</v>
      </c>
      <c r="N428">
        <v>2.0017893147157406</v>
      </c>
      <c r="O428">
        <v>1.7742793050065997</v>
      </c>
    </row>
    <row r="429" spans="1:15">
      <c r="A429" s="19">
        <v>43230</v>
      </c>
      <c r="B429">
        <v>1593</v>
      </c>
      <c r="C429">
        <v>1478</v>
      </c>
      <c r="D429">
        <v>830</v>
      </c>
      <c r="E429">
        <v>832</v>
      </c>
      <c r="F429">
        <v>1.7764423076922999</v>
      </c>
      <c r="G429">
        <v>1.88886878951982</v>
      </c>
      <c r="H429">
        <v>5.5260899396093403E-2</v>
      </c>
      <c r="I429">
        <v>-2.0344671016242502</v>
      </c>
      <c r="J429">
        <v>-6.33</v>
      </c>
      <c r="L429">
        <v>1.9441296889159134</v>
      </c>
      <c r="M429">
        <v>1.8336078901237265</v>
      </c>
      <c r="N429">
        <v>1.9993905883120067</v>
      </c>
      <c r="O429">
        <v>1.7783469907276332</v>
      </c>
    </row>
    <row r="430" spans="1:15">
      <c r="A430" s="19">
        <v>43229</v>
      </c>
      <c r="B430">
        <v>1591</v>
      </c>
      <c r="C430">
        <v>1595</v>
      </c>
      <c r="D430">
        <v>821</v>
      </c>
      <c r="E430">
        <v>830</v>
      </c>
      <c r="F430">
        <v>1.9216867469879499</v>
      </c>
      <c r="G430">
        <v>1.8898307794078699</v>
      </c>
      <c r="H430">
        <v>5.3906791233014603E-2</v>
      </c>
      <c r="I430">
        <v>0.59094534939724197</v>
      </c>
      <c r="J430">
        <v>1.66</v>
      </c>
      <c r="L430">
        <v>1.9437375706408846</v>
      </c>
      <c r="M430">
        <v>1.8359239881748552</v>
      </c>
      <c r="N430">
        <v>1.997644361873899</v>
      </c>
      <c r="O430">
        <v>1.7820171969418408</v>
      </c>
    </row>
    <row r="431" spans="1:15">
      <c r="A431" s="19">
        <v>43228</v>
      </c>
      <c r="B431">
        <v>1590</v>
      </c>
      <c r="C431">
        <v>1587</v>
      </c>
      <c r="D431">
        <v>819</v>
      </c>
      <c r="E431">
        <v>819</v>
      </c>
      <c r="F431">
        <v>1.93772893772893</v>
      </c>
      <c r="G431">
        <v>1.88905320503499</v>
      </c>
      <c r="H431">
        <v>5.3862263171992802E-2</v>
      </c>
      <c r="I431">
        <v>0.90370752781974495</v>
      </c>
      <c r="J431">
        <v>2.5099999999999998</v>
      </c>
      <c r="L431">
        <v>1.9429154682069827</v>
      </c>
      <c r="M431">
        <v>1.8351909418629972</v>
      </c>
      <c r="N431">
        <v>1.9967777313789756</v>
      </c>
      <c r="O431">
        <v>1.7813286786910043</v>
      </c>
    </row>
    <row r="432" spans="1:15">
      <c r="A432" s="19">
        <v>43227</v>
      </c>
      <c r="B432">
        <v>1557</v>
      </c>
      <c r="C432">
        <v>1581</v>
      </c>
      <c r="D432">
        <v>817</v>
      </c>
      <c r="E432">
        <v>816</v>
      </c>
      <c r="F432">
        <v>1.9375</v>
      </c>
      <c r="G432">
        <v>1.8876946612024601</v>
      </c>
      <c r="H432">
        <v>5.3902361920808099E-2</v>
      </c>
      <c r="I432">
        <v>0.92399176998413202</v>
      </c>
      <c r="J432">
        <v>2.57</v>
      </c>
      <c r="L432">
        <v>1.9415970231232682</v>
      </c>
      <c r="M432">
        <v>1.833792299281652</v>
      </c>
      <c r="N432">
        <v>1.9954993850440763</v>
      </c>
      <c r="O432">
        <v>1.7798899373608439</v>
      </c>
    </row>
    <row r="433" spans="1:15">
      <c r="A433" s="19">
        <v>43222</v>
      </c>
      <c r="B433">
        <v>1577</v>
      </c>
      <c r="C433">
        <v>1584</v>
      </c>
      <c r="D433">
        <v>825</v>
      </c>
      <c r="E433">
        <v>819</v>
      </c>
      <c r="F433">
        <v>1.9340659340659301</v>
      </c>
      <c r="G433">
        <v>1.8864542618169</v>
      </c>
      <c r="H433">
        <v>5.3812296962676899E-2</v>
      </c>
      <c r="I433">
        <v>0.88477308972798097</v>
      </c>
      <c r="J433">
        <v>2.46</v>
      </c>
      <c r="L433">
        <v>1.9402665587795769</v>
      </c>
      <c r="M433">
        <v>1.8326419648542231</v>
      </c>
      <c r="N433">
        <v>1.9940788557422537</v>
      </c>
      <c r="O433">
        <v>1.7788296678915463</v>
      </c>
    </row>
    <row r="434" spans="1:15">
      <c r="A434" s="19">
        <v>43221</v>
      </c>
      <c r="B434">
        <v>1543</v>
      </c>
      <c r="C434">
        <v>1567</v>
      </c>
      <c r="D434">
        <v>823</v>
      </c>
      <c r="E434">
        <v>821</v>
      </c>
      <c r="F434">
        <v>1.90864799025578</v>
      </c>
      <c r="G434">
        <v>1.88526441717878</v>
      </c>
      <c r="H434">
        <v>5.37329168943615E-2</v>
      </c>
      <c r="I434">
        <v>0.435181531703764</v>
      </c>
      <c r="J434">
        <v>1.23</v>
      </c>
      <c r="L434">
        <v>1.9389973340731415</v>
      </c>
      <c r="M434">
        <v>1.8315315002844186</v>
      </c>
      <c r="N434">
        <v>1.9927302509675031</v>
      </c>
      <c r="O434">
        <v>1.7777985833900569</v>
      </c>
    </row>
    <row r="435" spans="1:15">
      <c r="A435" s="19">
        <v>43217</v>
      </c>
      <c r="B435">
        <v>1530</v>
      </c>
      <c r="C435">
        <v>1547</v>
      </c>
      <c r="D435">
        <v>820</v>
      </c>
      <c r="E435">
        <v>820</v>
      </c>
      <c r="F435">
        <v>1.88658536585365</v>
      </c>
      <c r="G435">
        <v>1.8841971620987199</v>
      </c>
      <c r="H435">
        <v>5.4051848772284097E-2</v>
      </c>
      <c r="I435">
        <v>4.41835720550353E-2</v>
      </c>
      <c r="J435">
        <v>0.13</v>
      </c>
      <c r="L435">
        <v>1.938249010871004</v>
      </c>
      <c r="M435">
        <v>1.8301453133264358</v>
      </c>
      <c r="N435">
        <v>1.9923008596432881</v>
      </c>
      <c r="O435">
        <v>1.7760934645541517</v>
      </c>
    </row>
    <row r="436" spans="1:15">
      <c r="A436" s="19">
        <v>43216</v>
      </c>
      <c r="B436">
        <v>1519</v>
      </c>
      <c r="C436">
        <v>1517</v>
      </c>
      <c r="D436">
        <v>816</v>
      </c>
      <c r="E436">
        <v>814</v>
      </c>
      <c r="F436">
        <v>1.86363636363636</v>
      </c>
      <c r="G436">
        <v>1.8839192337638799</v>
      </c>
      <c r="H436">
        <v>5.4092429456485E-2</v>
      </c>
      <c r="I436">
        <v>-0.37496689150992202</v>
      </c>
      <c r="J436">
        <v>-1.0900000000000001</v>
      </c>
      <c r="L436">
        <v>1.938011663220365</v>
      </c>
      <c r="M436">
        <v>1.8298268043073949</v>
      </c>
      <c r="N436">
        <v>1.9921040926768498</v>
      </c>
      <c r="O436">
        <v>1.77573437485091</v>
      </c>
    </row>
    <row r="437" spans="1:15">
      <c r="A437" s="19">
        <v>43215</v>
      </c>
      <c r="B437">
        <v>1515</v>
      </c>
      <c r="C437">
        <v>1518</v>
      </c>
      <c r="D437">
        <v>807</v>
      </c>
      <c r="E437">
        <v>812</v>
      </c>
      <c r="F437">
        <v>1.8694581280788101</v>
      </c>
      <c r="G437">
        <v>1.8840707489153901</v>
      </c>
      <c r="H437">
        <v>5.4051303466873001E-2</v>
      </c>
      <c r="I437">
        <v>-0.270347242329399</v>
      </c>
      <c r="J437">
        <v>-0.78</v>
      </c>
      <c r="L437">
        <v>1.9381220523822631</v>
      </c>
      <c r="M437">
        <v>1.830019445448517</v>
      </c>
      <c r="N437">
        <v>1.9921733558491361</v>
      </c>
      <c r="O437">
        <v>1.775968141981644</v>
      </c>
    </row>
    <row r="438" spans="1:15">
      <c r="A438" s="19">
        <v>43214</v>
      </c>
      <c r="B438">
        <v>1521</v>
      </c>
      <c r="C438">
        <v>1519</v>
      </c>
      <c r="D438">
        <v>813</v>
      </c>
      <c r="E438">
        <v>816</v>
      </c>
      <c r="F438">
        <v>1.86151960784313</v>
      </c>
      <c r="G438">
        <v>1.88432120243468</v>
      </c>
      <c r="H438">
        <v>5.4026527162801097E-2</v>
      </c>
      <c r="I438">
        <v>-0.42204442500700601</v>
      </c>
      <c r="J438">
        <v>-1.22</v>
      </c>
      <c r="L438">
        <v>1.9383477295974811</v>
      </c>
      <c r="M438">
        <v>1.8302946752718789</v>
      </c>
      <c r="N438">
        <v>1.9923742567602822</v>
      </c>
      <c r="O438">
        <v>1.7762681481090778</v>
      </c>
    </row>
    <row r="439" spans="1:15">
      <c r="A439" s="19">
        <v>43213</v>
      </c>
      <c r="B439">
        <v>1513</v>
      </c>
      <c r="C439">
        <v>1511</v>
      </c>
      <c r="D439">
        <v>815</v>
      </c>
      <c r="E439">
        <v>813</v>
      </c>
      <c r="F439">
        <v>1.8585485854858499</v>
      </c>
      <c r="G439">
        <v>1.8845701383079601</v>
      </c>
      <c r="H439">
        <v>5.3963868269941997E-2</v>
      </c>
      <c r="I439">
        <v>-0.48220325296079602</v>
      </c>
      <c r="J439">
        <v>-1.4</v>
      </c>
      <c r="L439">
        <v>1.938534006577902</v>
      </c>
      <c r="M439">
        <v>1.8306062700380181</v>
      </c>
      <c r="N439">
        <v>1.9924978748478441</v>
      </c>
      <c r="O439">
        <v>1.776642401768076</v>
      </c>
    </row>
    <row r="440" spans="1:15">
      <c r="A440" s="19">
        <v>43210</v>
      </c>
      <c r="B440">
        <v>1509</v>
      </c>
      <c r="C440">
        <v>1510</v>
      </c>
      <c r="D440">
        <v>815</v>
      </c>
      <c r="E440">
        <v>813</v>
      </c>
      <c r="F440">
        <v>1.85731857318573</v>
      </c>
      <c r="G440">
        <v>1.8844085957009999</v>
      </c>
      <c r="H440">
        <v>5.4059572349785902E-2</v>
      </c>
      <c r="I440">
        <v>-0.50111425854412095</v>
      </c>
      <c r="J440">
        <v>-1.46</v>
      </c>
      <c r="L440">
        <v>1.9384681680507858</v>
      </c>
      <c r="M440">
        <v>1.8303490233512141</v>
      </c>
      <c r="N440">
        <v>1.9925277404005717</v>
      </c>
      <c r="O440">
        <v>1.7762894510014282</v>
      </c>
    </row>
    <row r="441" spans="1:15">
      <c r="A441" s="19">
        <v>43209</v>
      </c>
      <c r="B441">
        <v>1492</v>
      </c>
      <c r="C441">
        <v>1506</v>
      </c>
      <c r="D441">
        <v>816</v>
      </c>
      <c r="E441">
        <v>820</v>
      </c>
      <c r="F441">
        <v>1.83658536585365</v>
      </c>
      <c r="G441">
        <v>1.88414798001978</v>
      </c>
      <c r="H441">
        <v>5.4236368346799298E-2</v>
      </c>
      <c r="I441">
        <v>-0.87695057054714698</v>
      </c>
      <c r="J441">
        <v>-2.59</v>
      </c>
      <c r="L441">
        <v>1.9383843483665792</v>
      </c>
      <c r="M441">
        <v>1.8299116116729808</v>
      </c>
      <c r="N441">
        <v>1.9926207167133787</v>
      </c>
      <c r="O441">
        <v>1.7756752433261813</v>
      </c>
    </row>
    <row r="442" spans="1:15">
      <c r="A442" s="19">
        <v>43208</v>
      </c>
      <c r="B442">
        <v>1458</v>
      </c>
      <c r="C442">
        <v>1486</v>
      </c>
      <c r="D442">
        <v>803</v>
      </c>
      <c r="E442">
        <v>808</v>
      </c>
      <c r="F442">
        <v>1.8391089108910801</v>
      </c>
      <c r="G442">
        <v>1.8838228545675699</v>
      </c>
      <c r="H442">
        <v>5.4592431432790599E-2</v>
      </c>
      <c r="I442">
        <v>-0.81905023284293199</v>
      </c>
      <c r="J442">
        <v>-2.4300000000000002</v>
      </c>
      <c r="L442">
        <v>1.9384152860003605</v>
      </c>
      <c r="M442">
        <v>1.8292304231347793</v>
      </c>
      <c r="N442">
        <v>1.9930077174331511</v>
      </c>
      <c r="O442">
        <v>1.7746379917019888</v>
      </c>
    </row>
    <row r="443" spans="1:15">
      <c r="A443" s="19">
        <v>43207</v>
      </c>
      <c r="B443">
        <v>1457</v>
      </c>
      <c r="C443">
        <v>1453</v>
      </c>
      <c r="D443">
        <v>802</v>
      </c>
      <c r="E443">
        <v>799</v>
      </c>
      <c r="F443">
        <v>1.81852315394242</v>
      </c>
      <c r="G443">
        <v>1.88327591456891</v>
      </c>
      <c r="H443">
        <v>5.5239314506343798E-2</v>
      </c>
      <c r="I443">
        <v>-1.1722223783036601</v>
      </c>
      <c r="J443">
        <v>-3.56</v>
      </c>
      <c r="L443">
        <v>1.9385152290752539</v>
      </c>
      <c r="M443">
        <v>1.8280366000625661</v>
      </c>
      <c r="N443">
        <v>1.9937545435815975</v>
      </c>
      <c r="O443">
        <v>1.7727972855562224</v>
      </c>
    </row>
    <row r="444" spans="1:15">
      <c r="A444" s="19">
        <v>43206</v>
      </c>
      <c r="B444">
        <v>1463</v>
      </c>
      <c r="C444">
        <v>1460</v>
      </c>
      <c r="D444">
        <v>803</v>
      </c>
      <c r="E444">
        <v>801</v>
      </c>
      <c r="F444">
        <v>1.82272159800249</v>
      </c>
      <c r="G444">
        <v>1.88290859080613</v>
      </c>
      <c r="H444">
        <v>5.5757841616709998E-2</v>
      </c>
      <c r="I444">
        <v>-1.0794354849202801</v>
      </c>
      <c r="J444">
        <v>-3.3</v>
      </c>
      <c r="L444">
        <v>1.93866643242284</v>
      </c>
      <c r="M444">
        <v>1.8271507491894201</v>
      </c>
      <c r="N444">
        <v>1.9944242740395501</v>
      </c>
      <c r="O444">
        <v>1.77139290757271</v>
      </c>
    </row>
    <row r="445" spans="1:15">
      <c r="A445" s="19">
        <v>43203</v>
      </c>
      <c r="B445">
        <v>1443</v>
      </c>
      <c r="C445">
        <v>1458</v>
      </c>
      <c r="D445">
        <v>794</v>
      </c>
      <c r="E445">
        <v>800</v>
      </c>
      <c r="F445">
        <v>1.8225</v>
      </c>
      <c r="G445">
        <v>1.88260880699448</v>
      </c>
      <c r="H445">
        <v>5.6139767355053397E-2</v>
      </c>
      <c r="I445">
        <v>-1.0706992534245601</v>
      </c>
      <c r="J445">
        <v>-3.3</v>
      </c>
      <c r="L445">
        <v>1.9387485743495334</v>
      </c>
      <c r="M445">
        <v>1.8264690396394265</v>
      </c>
      <c r="N445">
        <v>1.9948883417045868</v>
      </c>
      <c r="O445">
        <v>1.7703292722843731</v>
      </c>
    </row>
    <row r="446" spans="1:15">
      <c r="A446" s="19">
        <v>43202</v>
      </c>
      <c r="B446">
        <v>1434</v>
      </c>
      <c r="C446">
        <v>1430</v>
      </c>
      <c r="D446">
        <v>786</v>
      </c>
      <c r="E446">
        <v>786</v>
      </c>
      <c r="F446">
        <v>1.8193384223918501</v>
      </c>
      <c r="G446">
        <v>1.8825352822735899</v>
      </c>
      <c r="H446">
        <v>5.6221992855586302E-2</v>
      </c>
      <c r="I446">
        <v>-1.12405940579274</v>
      </c>
      <c r="J446">
        <v>-3.47</v>
      </c>
      <c r="L446">
        <v>1.9387572751291762</v>
      </c>
      <c r="M446">
        <v>1.8263132894180036</v>
      </c>
      <c r="N446">
        <v>1.9949792679847624</v>
      </c>
      <c r="O446">
        <v>1.7700912965624174</v>
      </c>
    </row>
    <row r="447" spans="1:15">
      <c r="A447" s="19">
        <v>43201</v>
      </c>
      <c r="B447">
        <v>1450</v>
      </c>
      <c r="C447">
        <v>1439</v>
      </c>
      <c r="D447">
        <v>788</v>
      </c>
      <c r="E447">
        <v>786</v>
      </c>
      <c r="F447">
        <v>1.8307888040712399</v>
      </c>
      <c r="G447">
        <v>1.88279666741093</v>
      </c>
      <c r="H447">
        <v>5.59725904610106E-2</v>
      </c>
      <c r="I447">
        <v>-0.92916663158393398</v>
      </c>
      <c r="J447">
        <v>-2.84</v>
      </c>
      <c r="L447">
        <v>1.9387692578719407</v>
      </c>
      <c r="M447">
        <v>1.8268240769499193</v>
      </c>
      <c r="N447">
        <v>1.9947418483329511</v>
      </c>
      <c r="O447">
        <v>1.7708514864889089</v>
      </c>
    </row>
    <row r="448" spans="1:15">
      <c r="A448" s="19">
        <v>43200</v>
      </c>
      <c r="B448">
        <v>1413</v>
      </c>
      <c r="C448">
        <v>1444</v>
      </c>
      <c r="D448">
        <v>769</v>
      </c>
      <c r="E448">
        <v>783</v>
      </c>
      <c r="F448">
        <v>1.8441890166028001</v>
      </c>
      <c r="G448">
        <v>1.8832405189553501</v>
      </c>
      <c r="H448">
        <v>5.5689690718329E-2</v>
      </c>
      <c r="I448">
        <v>-0.70123395998122795</v>
      </c>
      <c r="J448">
        <v>-2.12</v>
      </c>
      <c r="L448">
        <v>1.9389302096736791</v>
      </c>
      <c r="M448">
        <v>1.827550828237021</v>
      </c>
      <c r="N448">
        <v>1.994619900392008</v>
      </c>
      <c r="O448">
        <v>1.7718611375186921</v>
      </c>
    </row>
    <row r="449" spans="1:15">
      <c r="A449" s="19">
        <v>43199</v>
      </c>
      <c r="B449">
        <v>1406</v>
      </c>
      <c r="C449">
        <v>1415</v>
      </c>
      <c r="D449">
        <v>765</v>
      </c>
      <c r="E449">
        <v>775</v>
      </c>
      <c r="F449">
        <v>1.8258064516129</v>
      </c>
      <c r="G449">
        <v>1.88352405934004</v>
      </c>
      <c r="H449">
        <v>5.5544086430376498E-2</v>
      </c>
      <c r="I449">
        <v>-1.0391314618071501</v>
      </c>
      <c r="J449">
        <v>-3.16</v>
      </c>
      <c r="L449">
        <v>1.9390681457704164</v>
      </c>
      <c r="M449">
        <v>1.8279799729096635</v>
      </c>
      <c r="N449">
        <v>1.9946122322007929</v>
      </c>
      <c r="O449">
        <v>1.7724358864792871</v>
      </c>
    </row>
    <row r="450" spans="1:15">
      <c r="A450" s="19">
        <v>43196</v>
      </c>
      <c r="B450">
        <v>1412</v>
      </c>
      <c r="C450">
        <v>1414</v>
      </c>
      <c r="D450">
        <v>772</v>
      </c>
      <c r="E450">
        <v>773</v>
      </c>
      <c r="F450">
        <v>1.8292367399741201</v>
      </c>
      <c r="G450">
        <v>1.88388155675337</v>
      </c>
      <c r="H450">
        <v>5.5256992970055901E-2</v>
      </c>
      <c r="I450">
        <v>-0.98892129017696495</v>
      </c>
      <c r="J450">
        <v>-2.99</v>
      </c>
      <c r="L450">
        <v>1.9391385497234259</v>
      </c>
      <c r="M450">
        <v>1.8286245637833141</v>
      </c>
      <c r="N450">
        <v>1.9943955426934818</v>
      </c>
      <c r="O450">
        <v>1.7733675708132581</v>
      </c>
    </row>
    <row r="451" spans="1:15">
      <c r="A451" s="19">
        <v>43195</v>
      </c>
      <c r="B451">
        <v>1423</v>
      </c>
      <c r="C451">
        <v>1403</v>
      </c>
      <c r="D451">
        <v>777</v>
      </c>
      <c r="E451">
        <v>778</v>
      </c>
      <c r="F451">
        <v>1.8033419023136199</v>
      </c>
      <c r="G451">
        <v>1.8843709606068499</v>
      </c>
      <c r="H451">
        <v>5.4932437575961897E-2</v>
      </c>
      <c r="I451">
        <v>-1.4750675897312</v>
      </c>
      <c r="J451">
        <v>-4.49</v>
      </c>
      <c r="L451">
        <v>1.9393033981828118</v>
      </c>
      <c r="M451">
        <v>1.8294385230308881</v>
      </c>
      <c r="N451">
        <v>1.9942358357587737</v>
      </c>
      <c r="O451">
        <v>1.7745060854549262</v>
      </c>
    </row>
    <row r="452" spans="1:15">
      <c r="A452" s="19">
        <v>43194</v>
      </c>
      <c r="B452">
        <v>1407</v>
      </c>
      <c r="C452">
        <v>1399</v>
      </c>
      <c r="D452">
        <v>762</v>
      </c>
      <c r="E452">
        <v>763</v>
      </c>
      <c r="F452">
        <v>1.8335517693315799</v>
      </c>
      <c r="G452">
        <v>1.88512736692743</v>
      </c>
      <c r="H452">
        <v>5.4197140634574897E-2</v>
      </c>
      <c r="I452">
        <v>-0.95162949543041897</v>
      </c>
      <c r="J452">
        <v>-2.81</v>
      </c>
      <c r="L452">
        <v>1.9393245075620049</v>
      </c>
      <c r="M452">
        <v>1.8309302262928551</v>
      </c>
      <c r="N452">
        <v>1.9935216481965798</v>
      </c>
      <c r="O452">
        <v>1.7767330856582801</v>
      </c>
    </row>
    <row r="453" spans="1:15">
      <c r="A453" s="19">
        <v>43193</v>
      </c>
      <c r="B453">
        <v>1385</v>
      </c>
      <c r="C453">
        <v>1393</v>
      </c>
      <c r="D453">
        <v>750</v>
      </c>
      <c r="E453">
        <v>759</v>
      </c>
      <c r="F453">
        <v>1.8353096179183099</v>
      </c>
      <c r="G453">
        <v>1.8856061577076</v>
      </c>
      <c r="H453">
        <v>5.3897180046544299E-2</v>
      </c>
      <c r="I453">
        <v>-0.93319427372376695</v>
      </c>
      <c r="J453">
        <v>-2.74</v>
      </c>
      <c r="L453">
        <v>1.9395033377541442</v>
      </c>
      <c r="M453">
        <v>1.8317089776610558</v>
      </c>
      <c r="N453">
        <v>1.9934005178006886</v>
      </c>
      <c r="O453">
        <v>1.7778117976145114</v>
      </c>
    </row>
    <row r="454" spans="1:15">
      <c r="A454" s="19">
        <v>43192</v>
      </c>
      <c r="B454">
        <v>1429</v>
      </c>
      <c r="C454">
        <v>1408</v>
      </c>
      <c r="D454">
        <v>768</v>
      </c>
      <c r="E454">
        <v>763</v>
      </c>
      <c r="F454">
        <v>1.84534731323722</v>
      </c>
      <c r="G454">
        <v>1.88565661826488</v>
      </c>
      <c r="H454">
        <v>5.3851819448708101E-2</v>
      </c>
      <c r="I454">
        <v>-0.74852262078264498</v>
      </c>
      <c r="J454">
        <v>-2.1800000000000002</v>
      </c>
      <c r="L454">
        <v>1.9395084377135881</v>
      </c>
      <c r="M454">
        <v>1.8318047988161719</v>
      </c>
      <c r="N454">
        <v>1.9933602571622961</v>
      </c>
      <c r="O454">
        <v>1.7779529793674638</v>
      </c>
    </row>
    <row r="455" spans="1:15">
      <c r="A455" s="19">
        <v>43189</v>
      </c>
      <c r="B455">
        <v>1441</v>
      </c>
      <c r="C455">
        <v>1431</v>
      </c>
      <c r="D455">
        <v>754</v>
      </c>
      <c r="E455">
        <v>764</v>
      </c>
      <c r="F455">
        <v>1.87303664921465</v>
      </c>
      <c r="G455">
        <v>1.88542698742171</v>
      </c>
      <c r="H455">
        <v>5.4059532196677702E-2</v>
      </c>
      <c r="I455">
        <v>-0.22919802861004099</v>
      </c>
      <c r="J455">
        <v>-0.66</v>
      </c>
      <c r="L455">
        <v>1.9394865196183877</v>
      </c>
      <c r="M455">
        <v>1.8313674552250323</v>
      </c>
      <c r="N455">
        <v>1.9935460518150654</v>
      </c>
      <c r="O455">
        <v>1.7773079230283546</v>
      </c>
    </row>
    <row r="456" spans="1:15">
      <c r="A456" s="19">
        <v>43188</v>
      </c>
      <c r="B456">
        <v>1443</v>
      </c>
      <c r="C456">
        <v>1417</v>
      </c>
      <c r="D456">
        <v>748</v>
      </c>
      <c r="E456">
        <v>741</v>
      </c>
      <c r="F456">
        <v>1.9122807017543799</v>
      </c>
      <c r="G456">
        <v>1.88499751537143</v>
      </c>
      <c r="H456">
        <v>5.4283742051710299E-2</v>
      </c>
      <c r="I456">
        <v>0.502603272209177</v>
      </c>
      <c r="J456">
        <v>1.43</v>
      </c>
      <c r="L456">
        <v>1.9392812574231404</v>
      </c>
      <c r="M456">
        <v>1.8307137733197196</v>
      </c>
      <c r="N456">
        <v>1.9935649994748506</v>
      </c>
      <c r="O456">
        <v>1.7764300312680095</v>
      </c>
    </row>
    <row r="457" spans="1:15">
      <c r="A457" s="19">
        <v>43187</v>
      </c>
      <c r="B457">
        <v>1410</v>
      </c>
      <c r="C457">
        <v>1419</v>
      </c>
      <c r="D457">
        <v>729</v>
      </c>
      <c r="E457">
        <v>739</v>
      </c>
      <c r="F457">
        <v>1.9201623815967499</v>
      </c>
      <c r="G457">
        <v>1.88395841742356</v>
      </c>
      <c r="H457">
        <v>5.4497013326631899E-2</v>
      </c>
      <c r="I457">
        <v>0.66432932675040501</v>
      </c>
      <c r="J457">
        <v>1.89</v>
      </c>
      <c r="L457">
        <v>1.9384554307501918</v>
      </c>
      <c r="M457">
        <v>1.8294614040969281</v>
      </c>
      <c r="N457">
        <v>1.9929524440768238</v>
      </c>
      <c r="O457">
        <v>1.7749643907702961</v>
      </c>
    </row>
    <row r="458" spans="1:15">
      <c r="A458" s="19">
        <v>43186</v>
      </c>
      <c r="B458">
        <v>1412</v>
      </c>
      <c r="C458">
        <v>1444</v>
      </c>
      <c r="D458">
        <v>739</v>
      </c>
      <c r="E458">
        <v>756</v>
      </c>
      <c r="F458">
        <v>1.91005291005291</v>
      </c>
      <c r="G458">
        <v>1.88262609360544</v>
      </c>
      <c r="H458">
        <v>5.48161479304623E-2</v>
      </c>
      <c r="I458">
        <v>0.50034191534682104</v>
      </c>
      <c r="J458">
        <v>1.44</v>
      </c>
      <c r="L458">
        <v>1.9374422415359023</v>
      </c>
      <c r="M458">
        <v>1.8278099456749777</v>
      </c>
      <c r="N458">
        <v>1.9922583894663646</v>
      </c>
      <c r="O458">
        <v>1.7729937977445154</v>
      </c>
    </row>
    <row r="459" spans="1:15">
      <c r="A459" s="19">
        <v>43185</v>
      </c>
      <c r="B459">
        <v>1391</v>
      </c>
      <c r="C459">
        <v>1397</v>
      </c>
      <c r="D459">
        <v>726</v>
      </c>
      <c r="E459">
        <v>729</v>
      </c>
      <c r="F459">
        <v>1.9163237311385399</v>
      </c>
      <c r="G459">
        <v>1.8812871977737899</v>
      </c>
      <c r="H459">
        <v>5.5353611309950701E-2</v>
      </c>
      <c r="I459">
        <v>0.63295840209163701</v>
      </c>
      <c r="J459">
        <v>1.83</v>
      </c>
      <c r="L459">
        <v>1.9366408090837406</v>
      </c>
      <c r="M459">
        <v>1.8259335864638393</v>
      </c>
      <c r="N459">
        <v>1.9919944203936915</v>
      </c>
      <c r="O459">
        <v>1.7705799751538884</v>
      </c>
    </row>
    <row r="460" spans="1:15">
      <c r="A460" s="19">
        <v>43182</v>
      </c>
      <c r="B460">
        <v>1416</v>
      </c>
      <c r="C460">
        <v>1391</v>
      </c>
      <c r="D460">
        <v>748</v>
      </c>
      <c r="E460">
        <v>739</v>
      </c>
      <c r="F460">
        <v>1.8822733423545299</v>
      </c>
      <c r="G460">
        <v>1.88096497286188</v>
      </c>
      <c r="H460">
        <v>5.5218894732185303E-2</v>
      </c>
      <c r="I460">
        <v>2.36942354422904E-2</v>
      </c>
      <c r="J460">
        <v>7.0000000000000007E-2</v>
      </c>
      <c r="L460">
        <v>1.9361838675940652</v>
      </c>
      <c r="M460">
        <v>1.8257460781296948</v>
      </c>
      <c r="N460">
        <v>1.9914027623262507</v>
      </c>
      <c r="O460">
        <v>1.7705271833975094</v>
      </c>
    </row>
    <row r="461" spans="1:15">
      <c r="A461" s="19">
        <v>43181</v>
      </c>
      <c r="B461">
        <v>1464</v>
      </c>
      <c r="C461">
        <v>1476</v>
      </c>
      <c r="D461">
        <v>774</v>
      </c>
      <c r="E461">
        <v>780</v>
      </c>
      <c r="F461">
        <v>1.89230769230769</v>
      </c>
      <c r="G461">
        <v>1.88158578637486</v>
      </c>
      <c r="H461">
        <v>5.5491180734337502E-2</v>
      </c>
      <c r="I461">
        <v>0.19321819775568799</v>
      </c>
      <c r="J461">
        <v>0.56999999999999995</v>
      </c>
      <c r="L461">
        <v>1.9370769671091974</v>
      </c>
      <c r="M461">
        <v>1.8260946056405225</v>
      </c>
      <c r="N461">
        <v>1.9925681478435349</v>
      </c>
      <c r="O461">
        <v>1.7706034249061851</v>
      </c>
    </row>
    <row r="462" spans="1:15">
      <c r="A462" s="19">
        <v>43179</v>
      </c>
      <c r="B462">
        <v>1437</v>
      </c>
      <c r="C462">
        <v>1463</v>
      </c>
      <c r="D462">
        <v>764</v>
      </c>
      <c r="E462">
        <v>776</v>
      </c>
      <c r="F462">
        <v>1.8853092783505101</v>
      </c>
      <c r="G462">
        <v>1.87899067605882</v>
      </c>
      <c r="H462">
        <v>5.9346291381873403E-2</v>
      </c>
      <c r="I462">
        <v>0.10647004462383899</v>
      </c>
      <c r="J462">
        <v>0.34</v>
      </c>
      <c r="L462">
        <v>1.9383369674406934</v>
      </c>
      <c r="M462">
        <v>1.8196443846769466</v>
      </c>
      <c r="N462">
        <v>1.9976832588225668</v>
      </c>
      <c r="O462">
        <v>1.7602980932950731</v>
      </c>
    </row>
    <row r="463" spans="1:15">
      <c r="A463" s="19">
        <v>43178</v>
      </c>
      <c r="B463">
        <v>1483</v>
      </c>
      <c r="C463">
        <v>1467</v>
      </c>
      <c r="D463">
        <v>766</v>
      </c>
      <c r="E463">
        <v>766</v>
      </c>
      <c r="F463">
        <v>1.9151436031331499</v>
      </c>
      <c r="G463">
        <v>1.87644763609133</v>
      </c>
      <c r="H463">
        <v>6.2995295482240699E-2</v>
      </c>
      <c r="I463">
        <v>0.61426756943679806</v>
      </c>
      <c r="J463">
        <v>2.02</v>
      </c>
      <c r="L463">
        <v>1.9394429315735708</v>
      </c>
      <c r="M463">
        <v>1.8134523406090892</v>
      </c>
      <c r="N463">
        <v>2.0024382270558112</v>
      </c>
      <c r="O463">
        <v>1.7504570451268486</v>
      </c>
    </row>
    <row r="464" spans="1:15">
      <c r="A464" s="19">
        <v>43175</v>
      </c>
      <c r="B464">
        <v>1520</v>
      </c>
      <c r="C464">
        <v>1500</v>
      </c>
      <c r="D464">
        <v>785</v>
      </c>
      <c r="E464">
        <v>772</v>
      </c>
      <c r="F464">
        <v>1.9430051813471501</v>
      </c>
      <c r="G464">
        <v>1.8735484219068701</v>
      </c>
      <c r="H464">
        <v>6.60759731937587E-2</v>
      </c>
      <c r="I464">
        <v>1.05116513738825</v>
      </c>
      <c r="J464">
        <v>3.57</v>
      </c>
      <c r="L464">
        <v>1.9396243951006289</v>
      </c>
      <c r="M464">
        <v>1.8074724487131113</v>
      </c>
      <c r="N464">
        <v>2.0057003682943875</v>
      </c>
      <c r="O464">
        <v>1.7413964755193527</v>
      </c>
    </row>
    <row r="465" spans="1:15">
      <c r="A465" s="19">
        <v>43174</v>
      </c>
      <c r="B465">
        <v>1520</v>
      </c>
      <c r="C465">
        <v>1519</v>
      </c>
      <c r="D465">
        <v>777</v>
      </c>
      <c r="E465">
        <v>780</v>
      </c>
      <c r="F465">
        <v>1.9474358974358901</v>
      </c>
      <c r="G465">
        <v>1.87029228856521</v>
      </c>
      <c r="H465">
        <v>6.8544082269211895E-2</v>
      </c>
      <c r="I465">
        <v>1.1254597963351001</v>
      </c>
      <c r="J465">
        <v>3.96</v>
      </c>
      <c r="L465">
        <v>1.9388363708344218</v>
      </c>
      <c r="M465">
        <v>1.8017482062959982</v>
      </c>
      <c r="N465">
        <v>2.0073804531036337</v>
      </c>
      <c r="O465">
        <v>1.7332041240267861</v>
      </c>
    </row>
    <row r="466" spans="1:15">
      <c r="A466" s="19">
        <v>43173</v>
      </c>
      <c r="B466">
        <v>1520</v>
      </c>
      <c r="C466">
        <v>1526</v>
      </c>
      <c r="D466">
        <v>780</v>
      </c>
      <c r="E466">
        <v>781</v>
      </c>
      <c r="F466">
        <v>1.9539052496798901</v>
      </c>
      <c r="G466">
        <v>1.8672804717567799</v>
      </c>
      <c r="H466">
        <v>7.0034729773779503E-2</v>
      </c>
      <c r="I466">
        <v>1.23688316072496</v>
      </c>
      <c r="J466">
        <v>4.43</v>
      </c>
      <c r="L466">
        <v>1.9373152015305595</v>
      </c>
      <c r="M466">
        <v>1.7972457419830004</v>
      </c>
      <c r="N466">
        <v>2.007349931304339</v>
      </c>
      <c r="O466">
        <v>1.7272110122092208</v>
      </c>
    </row>
    <row r="467" spans="1:15">
      <c r="A467" s="19">
        <v>43172</v>
      </c>
      <c r="B467">
        <v>1526</v>
      </c>
      <c r="C467">
        <v>1542</v>
      </c>
      <c r="D467">
        <v>783</v>
      </c>
      <c r="E467">
        <v>788</v>
      </c>
      <c r="F467">
        <v>1.95685279187817</v>
      </c>
      <c r="G467">
        <v>1.86339688221248</v>
      </c>
      <c r="H467">
        <v>7.3130848649826899E-2</v>
      </c>
      <c r="I467">
        <v>1.2779273232994</v>
      </c>
      <c r="J467">
        <v>4.78</v>
      </c>
      <c r="L467">
        <v>1.936527730862307</v>
      </c>
      <c r="M467">
        <v>1.790266033562653</v>
      </c>
      <c r="N467">
        <v>2.0096585795121338</v>
      </c>
      <c r="O467">
        <v>1.7171351849128262</v>
      </c>
    </row>
    <row r="468" spans="1:15">
      <c r="A468" s="19">
        <v>43171</v>
      </c>
      <c r="B468">
        <v>1540</v>
      </c>
      <c r="C468">
        <v>1537</v>
      </c>
      <c r="D468">
        <v>784</v>
      </c>
      <c r="E468">
        <v>786</v>
      </c>
      <c r="F468">
        <v>1.9554707379134799</v>
      </c>
      <c r="G468">
        <v>1.85934666391748</v>
      </c>
      <c r="H468">
        <v>7.61905716187114E-2</v>
      </c>
      <c r="I468">
        <v>1.2616268910154</v>
      </c>
      <c r="J468">
        <v>4.92</v>
      </c>
      <c r="L468">
        <v>1.9355372355361915</v>
      </c>
      <c r="M468">
        <v>1.7831560922987686</v>
      </c>
      <c r="N468">
        <v>2.011727807154903</v>
      </c>
      <c r="O468">
        <v>1.7069655206800571</v>
      </c>
    </row>
    <row r="469" spans="1:15">
      <c r="A469" s="19">
        <v>43168</v>
      </c>
      <c r="B469">
        <v>1516</v>
      </c>
      <c r="C469">
        <v>1502</v>
      </c>
      <c r="D469">
        <v>776</v>
      </c>
      <c r="E469">
        <v>771</v>
      </c>
      <c r="F469">
        <v>1.9481193255512299</v>
      </c>
      <c r="G469">
        <v>1.8549080249524199</v>
      </c>
      <c r="H469">
        <v>8.0059947893732303E-2</v>
      </c>
      <c r="I469">
        <v>1.16426881419573</v>
      </c>
      <c r="J469">
        <v>4.78</v>
      </c>
      <c r="L469">
        <v>1.9349679728461522</v>
      </c>
      <c r="M469">
        <v>1.7748480770586876</v>
      </c>
      <c r="N469">
        <v>2.0150279207398847</v>
      </c>
      <c r="O469">
        <v>1.6947881291649554</v>
      </c>
    </row>
    <row r="470" spans="1:15">
      <c r="A470" s="19">
        <v>43167</v>
      </c>
      <c r="B470">
        <v>1517</v>
      </c>
      <c r="C470">
        <v>1503</v>
      </c>
      <c r="D470">
        <v>776</v>
      </c>
      <c r="E470">
        <v>768</v>
      </c>
      <c r="F470">
        <v>1.95703125</v>
      </c>
      <c r="G470">
        <v>1.85058149687645</v>
      </c>
      <c r="H470">
        <v>8.3595617007638207E-2</v>
      </c>
      <c r="I470">
        <v>1.2733891672073501</v>
      </c>
      <c r="J470">
        <v>5.44</v>
      </c>
      <c r="L470">
        <v>1.9341771138840882</v>
      </c>
      <c r="M470">
        <v>1.7669858798688118</v>
      </c>
      <c r="N470">
        <v>2.0177727308917266</v>
      </c>
      <c r="O470">
        <v>1.6833902628611737</v>
      </c>
    </row>
    <row r="471" spans="1:15">
      <c r="A471" s="19">
        <v>43166</v>
      </c>
      <c r="B471">
        <v>1505</v>
      </c>
      <c r="C471">
        <v>1500</v>
      </c>
      <c r="D471">
        <v>774</v>
      </c>
      <c r="E471">
        <v>774</v>
      </c>
      <c r="F471">
        <v>1.93798449612403</v>
      </c>
      <c r="G471">
        <v>1.84576225668038</v>
      </c>
      <c r="H471">
        <v>8.7640566826392693E-2</v>
      </c>
      <c r="I471">
        <v>1.05227798932808</v>
      </c>
      <c r="J471">
        <v>4.76</v>
      </c>
      <c r="L471">
        <v>1.9334028235067726</v>
      </c>
      <c r="M471">
        <v>1.7581216898539873</v>
      </c>
      <c r="N471">
        <v>2.0210433903331655</v>
      </c>
      <c r="O471">
        <v>1.6704811230275947</v>
      </c>
    </row>
    <row r="472" spans="1:15">
      <c r="A472" s="19">
        <v>43165</v>
      </c>
      <c r="B472">
        <v>1520</v>
      </c>
      <c r="C472">
        <v>1507</v>
      </c>
      <c r="D472">
        <v>779</v>
      </c>
      <c r="E472">
        <v>779</v>
      </c>
      <c r="F472">
        <v>1.9345314505776601</v>
      </c>
      <c r="G472">
        <v>1.8410003077101</v>
      </c>
      <c r="H472">
        <v>9.2090115913756598E-2</v>
      </c>
      <c r="I472">
        <v>1.01564800890414</v>
      </c>
      <c r="J472">
        <v>4.83</v>
      </c>
      <c r="L472">
        <v>1.9330904236238566</v>
      </c>
      <c r="M472">
        <v>1.7489101917963434</v>
      </c>
      <c r="N472">
        <v>2.0251805395376135</v>
      </c>
      <c r="O472">
        <v>1.6568200758825868</v>
      </c>
    </row>
    <row r="473" spans="1:15">
      <c r="A473" s="19">
        <v>43164</v>
      </c>
      <c r="B473">
        <v>1520</v>
      </c>
      <c r="C473">
        <v>1484</v>
      </c>
      <c r="D473">
        <v>774</v>
      </c>
      <c r="E473">
        <v>770</v>
      </c>
      <c r="F473">
        <v>1.9272727272727199</v>
      </c>
      <c r="G473">
        <v>1.8360959686524201</v>
      </c>
      <c r="H473">
        <v>9.6659508858257595E-2</v>
      </c>
      <c r="I473">
        <v>0.94327769401360995</v>
      </c>
      <c r="J473">
        <v>4.7300000000000004</v>
      </c>
      <c r="L473">
        <v>1.9327554775106777</v>
      </c>
      <c r="M473">
        <v>1.7394364597941625</v>
      </c>
      <c r="N473">
        <v>2.0294149863689355</v>
      </c>
      <c r="O473">
        <v>1.6427769509359049</v>
      </c>
    </row>
    <row r="474" spans="1:15">
      <c r="A474" s="19">
        <v>43161</v>
      </c>
      <c r="B474">
        <v>1540</v>
      </c>
      <c r="C474">
        <v>1527</v>
      </c>
      <c r="D474">
        <v>786</v>
      </c>
      <c r="E474">
        <v>783</v>
      </c>
      <c r="F474">
        <v>1.9501915708812201</v>
      </c>
      <c r="G474">
        <v>1.83220828990899</v>
      </c>
      <c r="H474">
        <v>9.8755091842639003E-2</v>
      </c>
      <c r="I474">
        <v>1.1947057996789501</v>
      </c>
      <c r="J474">
        <v>6.05</v>
      </c>
      <c r="L474">
        <v>1.930963381751629</v>
      </c>
      <c r="M474">
        <v>1.733453198066351</v>
      </c>
      <c r="N474">
        <v>2.0297184735942682</v>
      </c>
      <c r="O474">
        <v>1.634698106223712</v>
      </c>
    </row>
    <row r="475" spans="1:15">
      <c r="A475" s="19">
        <v>43160</v>
      </c>
      <c r="B475">
        <v>1612</v>
      </c>
      <c r="C475">
        <v>1577</v>
      </c>
      <c r="D475">
        <v>820</v>
      </c>
      <c r="E475">
        <v>807</v>
      </c>
      <c r="F475">
        <v>1.9541511771994999</v>
      </c>
      <c r="G475">
        <v>1.8281116463664</v>
      </c>
      <c r="H475">
        <v>0.100138910558805</v>
      </c>
      <c r="I475">
        <v>1.2586469148681401</v>
      </c>
      <c r="J475">
        <v>6.45</v>
      </c>
      <c r="L475">
        <v>1.9282505569252051</v>
      </c>
      <c r="M475">
        <v>1.7279727358075949</v>
      </c>
      <c r="N475">
        <v>2.0283894674840099</v>
      </c>
      <c r="O475">
        <v>1.6278338252487901</v>
      </c>
    </row>
    <row r="476" spans="1:15">
      <c r="A476" s="19">
        <v>43159</v>
      </c>
      <c r="B476">
        <v>1643</v>
      </c>
      <c r="C476">
        <v>1634</v>
      </c>
      <c r="D476">
        <v>827</v>
      </c>
      <c r="E476">
        <v>822</v>
      </c>
      <c r="F476">
        <v>1.9878345498783401</v>
      </c>
      <c r="G476">
        <v>1.82401522308747</v>
      </c>
      <c r="H476">
        <v>0.101177811124261</v>
      </c>
      <c r="I476">
        <v>1.61912305643453</v>
      </c>
      <c r="J476">
        <v>8.24</v>
      </c>
      <c r="L476">
        <v>1.9251930342117309</v>
      </c>
      <c r="M476">
        <v>1.7228374119632091</v>
      </c>
      <c r="N476">
        <v>2.0263708453359919</v>
      </c>
      <c r="O476">
        <v>1.6216596008389481</v>
      </c>
    </row>
    <row r="477" spans="1:15">
      <c r="A477" s="19">
        <v>43158</v>
      </c>
      <c r="B477">
        <v>1648</v>
      </c>
      <c r="C477">
        <v>1645</v>
      </c>
      <c r="D477">
        <v>829</v>
      </c>
      <c r="E477">
        <v>831</v>
      </c>
      <c r="F477">
        <v>1.97954271961492</v>
      </c>
      <c r="G477">
        <v>1.8193032152526101</v>
      </c>
      <c r="H477">
        <v>0.101666793404055</v>
      </c>
      <c r="I477">
        <v>1.57612430762383</v>
      </c>
      <c r="J477">
        <v>8.09</v>
      </c>
      <c r="L477">
        <v>1.920970008656665</v>
      </c>
      <c r="M477">
        <v>1.7176364218485551</v>
      </c>
      <c r="N477">
        <v>2.0226368020607199</v>
      </c>
      <c r="O477">
        <v>1.6159696284445</v>
      </c>
    </row>
    <row r="478" spans="1:15">
      <c r="A478" s="19">
        <v>43157</v>
      </c>
      <c r="B478">
        <v>1651</v>
      </c>
      <c r="C478">
        <v>1637</v>
      </c>
      <c r="D478">
        <v>822</v>
      </c>
      <c r="E478">
        <v>814</v>
      </c>
      <c r="F478">
        <v>2.01105651105651</v>
      </c>
      <c r="G478">
        <v>1.8147638287113099</v>
      </c>
      <c r="H478">
        <v>0.10201080832329</v>
      </c>
      <c r="I478">
        <v>1.9242341627478601</v>
      </c>
      <c r="J478">
        <v>9.76</v>
      </c>
      <c r="L478">
        <v>1.9167746370345999</v>
      </c>
      <c r="M478">
        <v>1.7127530203880199</v>
      </c>
      <c r="N478">
        <v>2.01878544535789</v>
      </c>
      <c r="O478">
        <v>1.6107422120647299</v>
      </c>
    </row>
    <row r="479" spans="1:15">
      <c r="A479" s="19">
        <v>43154</v>
      </c>
      <c r="B479">
        <v>1636</v>
      </c>
      <c r="C479">
        <v>1629</v>
      </c>
      <c r="D479">
        <v>813</v>
      </c>
      <c r="E479">
        <v>817</v>
      </c>
      <c r="F479">
        <v>1.9938800489596</v>
      </c>
      <c r="G479">
        <v>1.8098806119806501</v>
      </c>
      <c r="H479">
        <v>0.101260630113371</v>
      </c>
      <c r="I479">
        <v>1.81708761611443</v>
      </c>
      <c r="J479">
        <v>9.23</v>
      </c>
      <c r="L479">
        <v>1.911141242094021</v>
      </c>
      <c r="M479">
        <v>1.7086199818672791</v>
      </c>
      <c r="N479">
        <v>2.0124018722073922</v>
      </c>
      <c r="O479">
        <v>1.607359351753908</v>
      </c>
    </row>
    <row r="480" spans="1:15">
      <c r="A480" s="19">
        <v>43153</v>
      </c>
      <c r="B480">
        <v>1623</v>
      </c>
      <c r="C480">
        <v>1626</v>
      </c>
      <c r="D480">
        <v>825</v>
      </c>
      <c r="E480">
        <v>815</v>
      </c>
      <c r="F480">
        <v>1.99509202453987</v>
      </c>
      <c r="G480">
        <v>1.80482546935402</v>
      </c>
      <c r="H480">
        <v>0.10141232160272599</v>
      </c>
      <c r="I480">
        <v>1.87616802553053</v>
      </c>
      <c r="J480">
        <v>9.5399999999999991</v>
      </c>
      <c r="L480">
        <v>1.9062377909567461</v>
      </c>
      <c r="M480">
        <v>1.7034131477512939</v>
      </c>
      <c r="N480">
        <v>2.0076501125594719</v>
      </c>
      <c r="O480">
        <v>1.6020008261485681</v>
      </c>
    </row>
    <row r="481" spans="1:15">
      <c r="A481" s="19">
        <v>43152</v>
      </c>
      <c r="B481">
        <v>1600</v>
      </c>
      <c r="C481">
        <v>1623</v>
      </c>
      <c r="D481">
        <v>837</v>
      </c>
      <c r="E481">
        <v>836</v>
      </c>
      <c r="F481">
        <v>1.9413875598086101</v>
      </c>
      <c r="G481">
        <v>1.80002778503326</v>
      </c>
      <c r="H481">
        <v>0.100807224810411</v>
      </c>
      <c r="I481">
        <v>1.40227821013031</v>
      </c>
      <c r="J481">
        <v>7.28</v>
      </c>
      <c r="L481">
        <v>1.900835009843671</v>
      </c>
      <c r="M481">
        <v>1.699220560222849</v>
      </c>
      <c r="N481">
        <v>2.0016422346540819</v>
      </c>
      <c r="O481">
        <v>1.5984133354124379</v>
      </c>
    </row>
    <row r="482" spans="1:15">
      <c r="A482" s="19">
        <v>43151</v>
      </c>
      <c r="B482">
        <v>1609</v>
      </c>
      <c r="C482">
        <v>1600</v>
      </c>
      <c r="D482">
        <v>842</v>
      </c>
      <c r="E482">
        <v>837</v>
      </c>
      <c r="F482">
        <v>1.9115890083631999</v>
      </c>
      <c r="G482">
        <v>1.79602789634973</v>
      </c>
      <c r="H482">
        <v>0.101070193176241</v>
      </c>
      <c r="I482">
        <v>1.1433748010351099</v>
      </c>
      <c r="J482">
        <v>6.05</v>
      </c>
      <c r="L482">
        <v>1.897098089525971</v>
      </c>
      <c r="M482">
        <v>1.694957703173489</v>
      </c>
      <c r="N482">
        <v>1.998168282702212</v>
      </c>
      <c r="O482">
        <v>1.593887509997248</v>
      </c>
    </row>
    <row r="483" spans="1:15">
      <c r="A483" s="19">
        <v>43150</v>
      </c>
      <c r="B483">
        <v>1586</v>
      </c>
      <c r="C483">
        <v>1609</v>
      </c>
      <c r="D483">
        <v>838</v>
      </c>
      <c r="E483">
        <v>845</v>
      </c>
      <c r="F483">
        <v>1.90414201183431</v>
      </c>
      <c r="G483">
        <v>1.79211982173585</v>
      </c>
      <c r="H483">
        <v>0.10218682177338501</v>
      </c>
      <c r="I483">
        <v>1.09624889153406</v>
      </c>
      <c r="J483">
        <v>5.88</v>
      </c>
      <c r="L483">
        <v>1.8943066435092351</v>
      </c>
      <c r="M483">
        <v>1.689932999962465</v>
      </c>
      <c r="N483">
        <v>1.9964934652826201</v>
      </c>
      <c r="O483">
        <v>1.58774617818908</v>
      </c>
    </row>
    <row r="484" spans="1:15">
      <c r="A484" s="19">
        <v>43147</v>
      </c>
      <c r="B484">
        <v>1587</v>
      </c>
      <c r="C484">
        <v>1581</v>
      </c>
      <c r="D484">
        <v>820</v>
      </c>
      <c r="E484">
        <v>830</v>
      </c>
      <c r="F484">
        <v>1.90481927710843</v>
      </c>
      <c r="G484">
        <v>1.78864863021023</v>
      </c>
      <c r="H484">
        <v>0.10274280614817401</v>
      </c>
      <c r="I484">
        <v>1.1306937317894401</v>
      </c>
      <c r="J484">
        <v>6.1</v>
      </c>
      <c r="L484">
        <v>1.8913914363584041</v>
      </c>
      <c r="M484">
        <v>1.6859058240620559</v>
      </c>
      <c r="N484">
        <v>1.994134242506578</v>
      </c>
      <c r="O484">
        <v>1.583163017913882</v>
      </c>
    </row>
    <row r="485" spans="1:15">
      <c r="A485" s="19">
        <v>43146</v>
      </c>
      <c r="B485">
        <v>1554</v>
      </c>
      <c r="C485">
        <v>1574</v>
      </c>
      <c r="D485">
        <v>821</v>
      </c>
      <c r="E485">
        <v>819</v>
      </c>
      <c r="F485">
        <v>1.9218559218559199</v>
      </c>
      <c r="G485">
        <v>1.7851938048628899</v>
      </c>
      <c r="H485">
        <v>0.103134068908025</v>
      </c>
      <c r="I485">
        <v>1.3250918773979401</v>
      </c>
      <c r="J485">
        <v>7.11</v>
      </c>
      <c r="L485">
        <v>1.8883278737709148</v>
      </c>
      <c r="M485">
        <v>1.682059735954865</v>
      </c>
      <c r="N485">
        <v>1.9914619426789399</v>
      </c>
      <c r="O485">
        <v>1.5789256670468399</v>
      </c>
    </row>
    <row r="486" spans="1:15">
      <c r="A486" s="19">
        <v>43145</v>
      </c>
      <c r="B486">
        <v>1525</v>
      </c>
      <c r="C486">
        <v>1523</v>
      </c>
      <c r="D486">
        <v>816</v>
      </c>
      <c r="E486">
        <v>820</v>
      </c>
      <c r="F486">
        <v>1.85731707317073</v>
      </c>
      <c r="G486">
        <v>1.78147496997397</v>
      </c>
      <c r="H486">
        <v>0.103167769720432</v>
      </c>
      <c r="I486">
        <v>0.73513368954542402</v>
      </c>
      <c r="J486">
        <v>4.08</v>
      </c>
      <c r="L486">
        <v>1.8846427396944021</v>
      </c>
      <c r="M486">
        <v>1.678307200253538</v>
      </c>
      <c r="N486">
        <v>1.9878105094148339</v>
      </c>
      <c r="O486">
        <v>1.5751394305331061</v>
      </c>
    </row>
    <row r="487" spans="1:15">
      <c r="A487" s="19">
        <v>43144</v>
      </c>
      <c r="B487">
        <v>1505</v>
      </c>
      <c r="C487">
        <v>1527</v>
      </c>
      <c r="D487">
        <v>844</v>
      </c>
      <c r="E487">
        <v>805</v>
      </c>
      <c r="F487">
        <v>1.8968944099378799</v>
      </c>
      <c r="G487">
        <v>1.77836730798826</v>
      </c>
      <c r="H487">
        <v>0.104340141510045</v>
      </c>
      <c r="I487">
        <v>1.1359683841161901</v>
      </c>
      <c r="J487">
        <v>6.25</v>
      </c>
      <c r="L487">
        <v>1.8827074494983052</v>
      </c>
      <c r="M487">
        <v>1.6740271664782149</v>
      </c>
      <c r="N487">
        <v>1.98704759100835</v>
      </c>
      <c r="O487">
        <v>1.56968702496817</v>
      </c>
    </row>
    <row r="488" spans="1:15">
      <c r="A488" s="19">
        <v>43140</v>
      </c>
      <c r="B488">
        <v>1434</v>
      </c>
      <c r="C488">
        <v>1469</v>
      </c>
      <c r="D488">
        <v>742</v>
      </c>
      <c r="E488">
        <v>755</v>
      </c>
      <c r="F488">
        <v>1.9456953642384101</v>
      </c>
      <c r="G488">
        <v>1.77461257939871</v>
      </c>
      <c r="H488">
        <v>0.10507160394460401</v>
      </c>
      <c r="I488">
        <v>1.62824948337036</v>
      </c>
      <c r="J488">
        <v>8.7899999999999991</v>
      </c>
      <c r="L488">
        <v>1.879684183343314</v>
      </c>
      <c r="M488">
        <v>1.669540975454106</v>
      </c>
      <c r="N488">
        <v>1.984755787287918</v>
      </c>
      <c r="O488">
        <v>1.5644693715095019</v>
      </c>
    </row>
    <row r="489" spans="1:15">
      <c r="A489" s="19">
        <v>43139</v>
      </c>
      <c r="B489">
        <v>1450</v>
      </c>
      <c r="C489">
        <v>1496</v>
      </c>
      <c r="D489">
        <v>765</v>
      </c>
      <c r="E489">
        <v>772</v>
      </c>
      <c r="F489">
        <v>1.9378238341968901</v>
      </c>
      <c r="G489">
        <v>1.7704026478095201</v>
      </c>
      <c r="H489">
        <v>0.104456158697813</v>
      </c>
      <c r="I489">
        <v>1.6027890406319101</v>
      </c>
      <c r="J489">
        <v>8.64</v>
      </c>
      <c r="L489">
        <v>1.8748588065073331</v>
      </c>
      <c r="M489">
        <v>1.6659464891117071</v>
      </c>
      <c r="N489">
        <v>1.979314965205146</v>
      </c>
      <c r="O489">
        <v>1.5614903304138941</v>
      </c>
    </row>
    <row r="490" spans="1:15">
      <c r="A490" s="19">
        <v>43138</v>
      </c>
      <c r="B490">
        <v>1480</v>
      </c>
      <c r="C490">
        <v>1439</v>
      </c>
      <c r="D490">
        <v>794</v>
      </c>
      <c r="E490">
        <v>766</v>
      </c>
      <c r="F490">
        <v>1.87859007832898</v>
      </c>
      <c r="G490">
        <v>1.76630555497918</v>
      </c>
      <c r="H490">
        <v>0.10383345010152301</v>
      </c>
      <c r="I490">
        <v>1.0813906620651601</v>
      </c>
      <c r="J490">
        <v>5.98</v>
      </c>
      <c r="L490">
        <v>1.870139005080703</v>
      </c>
      <c r="M490">
        <v>1.662472104877657</v>
      </c>
      <c r="N490">
        <v>1.973972455182226</v>
      </c>
      <c r="O490">
        <v>1.5586386547761339</v>
      </c>
    </row>
    <row r="491" spans="1:15">
      <c r="A491" s="19">
        <v>43137</v>
      </c>
      <c r="B491">
        <v>1456</v>
      </c>
      <c r="C491">
        <v>1443</v>
      </c>
      <c r="D491">
        <v>791</v>
      </c>
      <c r="E491">
        <v>772</v>
      </c>
      <c r="F491">
        <v>1.8691709844559501</v>
      </c>
      <c r="G491">
        <v>1.7629428496191299</v>
      </c>
      <c r="H491">
        <v>0.104225726603349</v>
      </c>
      <c r="I491">
        <v>1.0192122261818399</v>
      </c>
      <c r="J491">
        <v>5.68</v>
      </c>
      <c r="L491">
        <v>1.867168576222479</v>
      </c>
      <c r="M491">
        <v>1.6587171230157809</v>
      </c>
      <c r="N491">
        <v>1.9713943028258281</v>
      </c>
      <c r="O491">
        <v>1.5544913964124318</v>
      </c>
    </row>
    <row r="492" spans="1:15">
      <c r="A492" s="19">
        <v>43136</v>
      </c>
      <c r="B492">
        <v>1526</v>
      </c>
      <c r="C492">
        <v>1526</v>
      </c>
      <c r="D492">
        <v>822</v>
      </c>
      <c r="E492">
        <v>815</v>
      </c>
      <c r="F492">
        <v>1.8723926380367999</v>
      </c>
      <c r="G492">
        <v>1.76028187635905</v>
      </c>
      <c r="H492">
        <v>0.104027108277517</v>
      </c>
      <c r="I492">
        <v>1.0777071816576</v>
      </c>
      <c r="J492">
        <v>5.99</v>
      </c>
      <c r="L492">
        <v>1.864308984636567</v>
      </c>
      <c r="M492">
        <v>1.6562547680815329</v>
      </c>
      <c r="N492">
        <v>1.9683360929140841</v>
      </c>
      <c r="O492">
        <v>1.5522276598040159</v>
      </c>
    </row>
    <row r="493" spans="1:15">
      <c r="A493" s="19">
        <v>43133</v>
      </c>
      <c r="B493">
        <v>1573</v>
      </c>
      <c r="C493">
        <v>1557</v>
      </c>
      <c r="D493">
        <v>845</v>
      </c>
      <c r="E493">
        <v>837</v>
      </c>
      <c r="F493">
        <v>1.8602150537634401</v>
      </c>
      <c r="G493">
        <v>1.75737240481402</v>
      </c>
      <c r="H493">
        <v>0.10390228553922499</v>
      </c>
      <c r="I493">
        <v>0.98980160461038502</v>
      </c>
      <c r="J493">
        <v>5.53</v>
      </c>
      <c r="L493">
        <v>1.8612746903532451</v>
      </c>
      <c r="M493">
        <v>1.6534701192747949</v>
      </c>
      <c r="N493">
        <v>1.96517697589247</v>
      </c>
      <c r="O493">
        <v>1.5495678337355701</v>
      </c>
    </row>
    <row r="494" spans="1:15">
      <c r="A494" s="19">
        <v>43132</v>
      </c>
      <c r="B494">
        <v>1565</v>
      </c>
      <c r="C494">
        <v>1589</v>
      </c>
      <c r="D494">
        <v>842</v>
      </c>
      <c r="E494">
        <v>849</v>
      </c>
      <c r="F494">
        <v>1.87161366313309</v>
      </c>
      <c r="G494">
        <v>1.7548363713912001</v>
      </c>
      <c r="H494">
        <v>0.103682151785273</v>
      </c>
      <c r="I494">
        <v>1.1263008119636699</v>
      </c>
      <c r="J494">
        <v>6.24</v>
      </c>
      <c r="L494">
        <v>1.8585185231764731</v>
      </c>
      <c r="M494">
        <v>1.651154219605927</v>
      </c>
      <c r="N494">
        <v>1.962200674961746</v>
      </c>
      <c r="O494">
        <v>1.5474720678206542</v>
      </c>
    </row>
    <row r="495" spans="1:15">
      <c r="A495" s="19">
        <v>43131</v>
      </c>
      <c r="B495">
        <v>1563</v>
      </c>
      <c r="C495">
        <v>1548</v>
      </c>
      <c r="D495">
        <v>841</v>
      </c>
      <c r="E495">
        <v>834</v>
      </c>
      <c r="F495">
        <v>1.85611510791366</v>
      </c>
      <c r="G495">
        <v>1.7528368490099</v>
      </c>
      <c r="H495">
        <v>0.102853534813533</v>
      </c>
      <c r="I495">
        <v>1.00412940684048</v>
      </c>
      <c r="J495">
        <v>5.56</v>
      </c>
      <c r="L495">
        <v>1.8556903838234331</v>
      </c>
      <c r="M495">
        <v>1.6499833141963669</v>
      </c>
      <c r="N495">
        <v>1.958543918636966</v>
      </c>
      <c r="O495">
        <v>1.547129779382834</v>
      </c>
    </row>
    <row r="496" spans="1:15">
      <c r="A496" s="19">
        <v>43130</v>
      </c>
      <c r="B496">
        <v>1576</v>
      </c>
      <c r="C496">
        <v>1565</v>
      </c>
      <c r="D496">
        <v>855</v>
      </c>
      <c r="E496">
        <v>845</v>
      </c>
      <c r="F496">
        <v>1.8520710059171499</v>
      </c>
      <c r="G496">
        <v>1.7510765577610401</v>
      </c>
      <c r="H496">
        <v>0.102198572708857</v>
      </c>
      <c r="I496">
        <v>0.98821779482018102</v>
      </c>
      <c r="J496">
        <v>5.45</v>
      </c>
      <c r="L496">
        <v>1.8532751304698971</v>
      </c>
      <c r="M496">
        <v>1.6488779850521831</v>
      </c>
      <c r="N496">
        <v>1.9554737031787541</v>
      </c>
      <c r="O496">
        <v>1.5466794123433261</v>
      </c>
    </row>
    <row r="497" spans="1:15">
      <c r="A497" s="19">
        <v>43129</v>
      </c>
      <c r="B497">
        <v>1569</v>
      </c>
      <c r="C497">
        <v>1576</v>
      </c>
      <c r="D497">
        <v>861</v>
      </c>
      <c r="E497">
        <v>861</v>
      </c>
      <c r="F497">
        <v>1.83042973286875</v>
      </c>
      <c r="G497">
        <v>1.7494945446955801</v>
      </c>
      <c r="H497">
        <v>0.101539173848279</v>
      </c>
      <c r="I497">
        <v>0.79708338275538604</v>
      </c>
      <c r="J497">
        <v>4.42</v>
      </c>
      <c r="L497">
        <v>1.851033718543859</v>
      </c>
      <c r="M497">
        <v>1.6479553708473011</v>
      </c>
      <c r="N497">
        <v>1.9525728923921382</v>
      </c>
      <c r="O497">
        <v>1.546416196999022</v>
      </c>
    </row>
    <row r="498" spans="1:15">
      <c r="A498" s="19">
        <v>43126</v>
      </c>
      <c r="B498">
        <v>1575</v>
      </c>
      <c r="C498">
        <v>1567</v>
      </c>
      <c r="D498">
        <v>870</v>
      </c>
      <c r="E498">
        <v>864</v>
      </c>
      <c r="F498">
        <v>1.8136574074073999</v>
      </c>
      <c r="G498">
        <v>1.74823216552849</v>
      </c>
      <c r="H498">
        <v>0.10111275152459</v>
      </c>
      <c r="I498">
        <v>0.64705233407682305</v>
      </c>
      <c r="J498">
        <v>3.61</v>
      </c>
      <c r="L498">
        <v>1.84934491705308</v>
      </c>
      <c r="M498">
        <v>1.6471194140039001</v>
      </c>
      <c r="N498">
        <v>1.95045766857767</v>
      </c>
      <c r="O498">
        <v>1.5460066624793101</v>
      </c>
    </row>
    <row r="499" spans="1:15">
      <c r="A499" s="19">
        <v>43125</v>
      </c>
      <c r="B499">
        <v>1562</v>
      </c>
      <c r="C499">
        <v>1570</v>
      </c>
      <c r="D499">
        <v>877</v>
      </c>
      <c r="E499">
        <v>863</v>
      </c>
      <c r="F499">
        <v>1.8192352259559601</v>
      </c>
      <c r="G499">
        <v>1.7471989299119199</v>
      </c>
      <c r="H499">
        <v>0.10083446708700999</v>
      </c>
      <c r="I499">
        <v>0.71440151492926796</v>
      </c>
      <c r="J499">
        <v>3.96</v>
      </c>
      <c r="L499">
        <v>1.84803339699893</v>
      </c>
      <c r="M499">
        <v>1.6463644628249099</v>
      </c>
      <c r="N499">
        <v>1.94886786408594</v>
      </c>
      <c r="O499">
        <v>1.5455299957378998</v>
      </c>
    </row>
    <row r="500" spans="1:15">
      <c r="A500" s="19">
        <v>43124</v>
      </c>
      <c r="B500">
        <v>1594</v>
      </c>
      <c r="C500">
        <v>1581</v>
      </c>
      <c r="D500">
        <v>878</v>
      </c>
      <c r="E500">
        <v>877</v>
      </c>
      <c r="F500">
        <v>1.80273660205245</v>
      </c>
      <c r="G500">
        <v>1.74600552329557</v>
      </c>
      <c r="H500">
        <v>0.100503954151729</v>
      </c>
      <c r="I500">
        <v>0.56446613703609105</v>
      </c>
      <c r="J500">
        <v>3.15</v>
      </c>
      <c r="L500">
        <v>1.846509477447299</v>
      </c>
      <c r="M500">
        <v>1.645501569143841</v>
      </c>
      <c r="N500">
        <v>1.947013431599028</v>
      </c>
      <c r="O500">
        <v>1.5449976149921121</v>
      </c>
    </row>
    <row r="501" spans="1:15">
      <c r="A501" s="19">
        <v>43123</v>
      </c>
      <c r="B501">
        <v>1564</v>
      </c>
      <c r="C501">
        <v>1593</v>
      </c>
      <c r="D501">
        <v>856</v>
      </c>
      <c r="E501">
        <v>873</v>
      </c>
      <c r="F501">
        <v>1.82474226804123</v>
      </c>
      <c r="G501">
        <v>1.7448975451734601</v>
      </c>
      <c r="H501">
        <v>0.100330328218001</v>
      </c>
      <c r="I501">
        <v>0.79581841588604196</v>
      </c>
      <c r="J501">
        <v>4.38</v>
      </c>
      <c r="L501">
        <v>1.8452278733914611</v>
      </c>
      <c r="M501">
        <v>1.644567216955459</v>
      </c>
      <c r="N501">
        <v>1.9455582016094621</v>
      </c>
      <c r="O501">
        <v>1.544236888737458</v>
      </c>
    </row>
    <row r="502" spans="1:15">
      <c r="A502" s="19">
        <v>43122</v>
      </c>
      <c r="B502">
        <v>1551</v>
      </c>
      <c r="C502">
        <v>1554</v>
      </c>
      <c r="D502">
        <v>861</v>
      </c>
      <c r="E502">
        <v>853</v>
      </c>
      <c r="F502">
        <v>1.8218053927315301</v>
      </c>
      <c r="G502">
        <v>1.7434665729974199</v>
      </c>
      <c r="H502">
        <v>9.9945945530337699E-2</v>
      </c>
      <c r="I502">
        <v>0.78381188269743196</v>
      </c>
      <c r="J502">
        <v>4.3</v>
      </c>
      <c r="L502">
        <v>1.8434125185277577</v>
      </c>
      <c r="M502">
        <v>1.6435206274670822</v>
      </c>
      <c r="N502">
        <v>1.9433584640580954</v>
      </c>
      <c r="O502">
        <v>1.5435746819367444</v>
      </c>
    </row>
    <row r="503" spans="1:15">
      <c r="A503" s="19">
        <v>43119</v>
      </c>
      <c r="B503">
        <v>1575</v>
      </c>
      <c r="C503">
        <v>1563</v>
      </c>
      <c r="D503">
        <v>857</v>
      </c>
      <c r="E503">
        <v>863</v>
      </c>
      <c r="F503">
        <v>1.8111239860950099</v>
      </c>
      <c r="G503">
        <v>1.7418183214742999</v>
      </c>
      <c r="H503">
        <v>9.9659350380371298E-2</v>
      </c>
      <c r="I503">
        <v>0.69542561090547095</v>
      </c>
      <c r="J503">
        <v>3.83</v>
      </c>
      <c r="L503">
        <v>1.8414776718546713</v>
      </c>
      <c r="M503">
        <v>1.6421589710939286</v>
      </c>
      <c r="N503">
        <v>1.9411370222350426</v>
      </c>
      <c r="O503">
        <v>1.5424996207135573</v>
      </c>
    </row>
    <row r="504" spans="1:15">
      <c r="A504" s="19">
        <v>43118</v>
      </c>
      <c r="B504">
        <v>1598</v>
      </c>
      <c r="C504">
        <v>1575</v>
      </c>
      <c r="D504">
        <v>858</v>
      </c>
      <c r="E504">
        <v>852</v>
      </c>
      <c r="F504">
        <v>1.8485915492957701</v>
      </c>
      <c r="G504">
        <v>1.7402553886030601</v>
      </c>
      <c r="H504">
        <v>9.9479194273374594E-2</v>
      </c>
      <c r="I504">
        <v>1.0890333550047899</v>
      </c>
      <c r="J504">
        <v>5.86</v>
      </c>
      <c r="L504">
        <v>1.8397345828764347</v>
      </c>
      <c r="M504">
        <v>1.6407761943296855</v>
      </c>
      <c r="N504">
        <v>1.9392137771498092</v>
      </c>
      <c r="O504">
        <v>1.5412970000563109</v>
      </c>
    </row>
    <row r="505" spans="1:15">
      <c r="A505" s="19">
        <v>43117</v>
      </c>
      <c r="B505">
        <v>1575</v>
      </c>
      <c r="C505">
        <v>1582</v>
      </c>
      <c r="D505">
        <v>858</v>
      </c>
      <c r="E505">
        <v>849</v>
      </c>
      <c r="F505">
        <v>1.8633686690223701</v>
      </c>
      <c r="G505">
        <v>1.7386990384121099</v>
      </c>
      <c r="H505">
        <v>9.8681998370353796E-2</v>
      </c>
      <c r="I505">
        <v>1.26334724335821</v>
      </c>
      <c r="J505">
        <v>6.69</v>
      </c>
      <c r="L505">
        <v>1.8373810367824637</v>
      </c>
      <c r="M505">
        <v>1.6400170400417562</v>
      </c>
      <c r="N505">
        <v>1.9360630351528174</v>
      </c>
      <c r="O505">
        <v>1.5413350416714025</v>
      </c>
    </row>
    <row r="506" spans="1:15">
      <c r="A506" s="19">
        <v>43116</v>
      </c>
      <c r="B506">
        <v>1601</v>
      </c>
      <c r="C506">
        <v>1588</v>
      </c>
      <c r="D506">
        <v>867</v>
      </c>
      <c r="E506">
        <v>865</v>
      </c>
      <c r="F506">
        <v>1.83583815028901</v>
      </c>
      <c r="G506">
        <v>1.73651229692281</v>
      </c>
      <c r="H506">
        <v>9.7707483501419307E-2</v>
      </c>
      <c r="I506">
        <v>1.0165634177320899</v>
      </c>
      <c r="J506">
        <v>5.41</v>
      </c>
      <c r="L506">
        <v>1.8342197804242293</v>
      </c>
      <c r="M506">
        <v>1.6388048134213906</v>
      </c>
      <c r="N506">
        <v>1.9319272639256486</v>
      </c>
      <c r="O506">
        <v>1.5410973299199713</v>
      </c>
    </row>
    <row r="507" spans="1:15">
      <c r="A507" s="19">
        <v>43115</v>
      </c>
      <c r="B507">
        <v>1615</v>
      </c>
      <c r="C507">
        <v>1601</v>
      </c>
      <c r="D507">
        <v>870</v>
      </c>
      <c r="E507">
        <v>868</v>
      </c>
      <c r="F507">
        <v>1.84447004608294</v>
      </c>
      <c r="G507">
        <v>1.7349474060866801</v>
      </c>
      <c r="H507">
        <v>9.7041751133618306E-2</v>
      </c>
      <c r="I507">
        <v>1.1286135989596799</v>
      </c>
      <c r="J507">
        <v>5.94</v>
      </c>
      <c r="L507">
        <v>1.8319891572202984</v>
      </c>
      <c r="M507">
        <v>1.6379056549530617</v>
      </c>
      <c r="N507">
        <v>1.9290309083539168</v>
      </c>
      <c r="O507">
        <v>1.5408639038194434</v>
      </c>
    </row>
    <row r="508" spans="1:15">
      <c r="A508" s="19">
        <v>43112</v>
      </c>
      <c r="B508">
        <v>1611</v>
      </c>
      <c r="C508">
        <v>1605</v>
      </c>
      <c r="D508">
        <v>882</v>
      </c>
      <c r="E508">
        <v>870</v>
      </c>
      <c r="F508">
        <v>1.8448275862068899</v>
      </c>
      <c r="G508">
        <v>1.73340647554897</v>
      </c>
      <c r="H508">
        <v>9.6204357771511095E-2</v>
      </c>
      <c r="I508">
        <v>1.1581711394254299</v>
      </c>
      <c r="J508">
        <v>6.04</v>
      </c>
      <c r="L508">
        <v>1.829610833320481</v>
      </c>
      <c r="M508">
        <v>1.6372021177774589</v>
      </c>
      <c r="N508">
        <v>1.9258151910919921</v>
      </c>
      <c r="O508">
        <v>1.5409977600059479</v>
      </c>
    </row>
    <row r="509" spans="1:15">
      <c r="A509" s="19">
        <v>43111</v>
      </c>
      <c r="B509">
        <v>1604</v>
      </c>
      <c r="C509">
        <v>1611</v>
      </c>
      <c r="D509">
        <v>864</v>
      </c>
      <c r="E509">
        <v>881</v>
      </c>
      <c r="F509">
        <v>1.82860385925085</v>
      </c>
      <c r="G509">
        <v>1.7320224496132199</v>
      </c>
      <c r="H509">
        <v>9.5334191646381294E-2</v>
      </c>
      <c r="I509">
        <v>1.01308258841563</v>
      </c>
      <c r="J509">
        <v>5.28</v>
      </c>
      <c r="L509">
        <v>1.8273566412596012</v>
      </c>
      <c r="M509">
        <v>1.6366882579668387</v>
      </c>
      <c r="N509">
        <v>1.9226908329059826</v>
      </c>
      <c r="O509">
        <v>1.5413540663204572</v>
      </c>
    </row>
    <row r="510" spans="1:15">
      <c r="A510" s="19">
        <v>43110</v>
      </c>
      <c r="B510">
        <v>1620</v>
      </c>
      <c r="C510">
        <v>1612</v>
      </c>
      <c r="D510">
        <v>862</v>
      </c>
      <c r="E510">
        <v>864</v>
      </c>
      <c r="F510">
        <v>1.86574074074074</v>
      </c>
      <c r="G510">
        <v>1.7303539445835801</v>
      </c>
      <c r="H510">
        <v>9.4722353380179397E-2</v>
      </c>
      <c r="I510">
        <v>1.4293014407461</v>
      </c>
      <c r="J510">
        <v>7.26</v>
      </c>
      <c r="L510">
        <v>1.8250762979637594</v>
      </c>
      <c r="M510">
        <v>1.6356315912034007</v>
      </c>
      <c r="N510">
        <v>1.9197986513439389</v>
      </c>
      <c r="O510">
        <v>1.5409092378232212</v>
      </c>
    </row>
    <row r="511" spans="1:15">
      <c r="A511" s="19">
        <v>43109</v>
      </c>
      <c r="B511">
        <v>1631</v>
      </c>
      <c r="C511">
        <v>1620</v>
      </c>
      <c r="D511">
        <v>864</v>
      </c>
      <c r="E511">
        <v>864</v>
      </c>
      <c r="F511">
        <v>1.875</v>
      </c>
      <c r="G511">
        <v>1.72838382655698</v>
      </c>
      <c r="H511">
        <v>9.3413539208192106E-2</v>
      </c>
      <c r="I511">
        <v>1.5695387915476899</v>
      </c>
      <c r="J511">
        <v>7.82</v>
      </c>
      <c r="L511">
        <v>1.821797365765172</v>
      </c>
      <c r="M511">
        <v>1.6349702873487879</v>
      </c>
      <c r="N511">
        <v>1.9152109049733641</v>
      </c>
      <c r="O511">
        <v>1.5415567481405958</v>
      </c>
    </row>
    <row r="512" spans="1:15">
      <c r="A512" s="19">
        <v>43105</v>
      </c>
      <c r="B512">
        <v>1599</v>
      </c>
      <c r="C512">
        <v>1622</v>
      </c>
      <c r="D512">
        <v>853</v>
      </c>
      <c r="E512">
        <v>859</v>
      </c>
      <c r="F512">
        <v>1.8882421420256099</v>
      </c>
      <c r="G512">
        <v>1.72614805419925</v>
      </c>
      <c r="H512">
        <v>9.1871599019902397E-2</v>
      </c>
      <c r="I512">
        <v>1.7643547032553399</v>
      </c>
      <c r="J512">
        <v>8.58</v>
      </c>
      <c r="L512">
        <v>1.8180196532191524</v>
      </c>
      <c r="M512">
        <v>1.6342764551793476</v>
      </c>
      <c r="N512">
        <v>1.9098912522390548</v>
      </c>
      <c r="O512">
        <v>1.5424048561594452</v>
      </c>
    </row>
    <row r="513" spans="1:15">
      <c r="A513" s="19">
        <v>43104</v>
      </c>
      <c r="B513">
        <v>1547</v>
      </c>
      <c r="C513">
        <v>1585</v>
      </c>
      <c r="D513">
        <v>838</v>
      </c>
      <c r="E513">
        <v>843</v>
      </c>
      <c r="F513">
        <v>1.8801897983392599</v>
      </c>
      <c r="G513">
        <v>1.72583453486774</v>
      </c>
      <c r="H513">
        <v>9.13565828489043E-2</v>
      </c>
      <c r="I513">
        <v>1.6895910361141</v>
      </c>
      <c r="J513">
        <v>8.2100000000000009</v>
      </c>
      <c r="L513">
        <v>1.8171911177166442</v>
      </c>
      <c r="M513">
        <v>1.6344779520188357</v>
      </c>
      <c r="N513">
        <v>1.9085477005655487</v>
      </c>
      <c r="O513">
        <v>1.5431213691699313</v>
      </c>
    </row>
    <row r="514" spans="1:15">
      <c r="A514" s="19">
        <v>43098</v>
      </c>
      <c r="B514">
        <v>1523</v>
      </c>
      <c r="C514">
        <v>1527</v>
      </c>
      <c r="D514">
        <v>819</v>
      </c>
      <c r="E514">
        <v>827</v>
      </c>
      <c r="F514">
        <v>1.8464328899637199</v>
      </c>
      <c r="G514">
        <v>1.7208508076420199</v>
      </c>
      <c r="H514">
        <v>9.2981040617454103E-2</v>
      </c>
      <c r="I514">
        <v>1.3506203145045299</v>
      </c>
      <c r="J514">
        <v>6.8</v>
      </c>
      <c r="L514">
        <v>1.813831848259474</v>
      </c>
      <c r="M514">
        <v>1.6278697670245659</v>
      </c>
      <c r="N514">
        <v>1.906812888876928</v>
      </c>
      <c r="O514">
        <v>1.5348887264071118</v>
      </c>
    </row>
    <row r="515" spans="1:15">
      <c r="A515" s="19">
        <v>43097</v>
      </c>
      <c r="B515">
        <v>1520</v>
      </c>
      <c r="C515">
        <v>1518</v>
      </c>
      <c r="D515">
        <v>839</v>
      </c>
      <c r="E515">
        <v>826</v>
      </c>
      <c r="F515">
        <v>1.83777239709443</v>
      </c>
      <c r="G515">
        <v>1.71656503577583</v>
      </c>
      <c r="H515">
        <v>9.4489479836995793E-2</v>
      </c>
      <c r="I515">
        <v>1.28276038271868</v>
      </c>
      <c r="J515">
        <v>6.6</v>
      </c>
      <c r="L515">
        <v>1.8110545156128257</v>
      </c>
      <c r="M515">
        <v>1.6220755559388342</v>
      </c>
      <c r="N515">
        <v>1.9055439954498214</v>
      </c>
      <c r="O515">
        <v>1.5275860761018385</v>
      </c>
    </row>
    <row r="516" spans="1:15">
      <c r="A516" s="19">
        <v>43096</v>
      </c>
      <c r="B516">
        <v>1513</v>
      </c>
      <c r="C516">
        <v>1515</v>
      </c>
      <c r="D516">
        <v>832</v>
      </c>
      <c r="E516">
        <v>836</v>
      </c>
      <c r="F516">
        <v>1.8122009569377899</v>
      </c>
      <c r="G516">
        <v>1.7124608711914</v>
      </c>
      <c r="H516">
        <v>9.5811378414800197E-2</v>
      </c>
      <c r="I516">
        <v>1.04100460087925</v>
      </c>
      <c r="J516">
        <v>5.5</v>
      </c>
      <c r="L516">
        <v>1.8082722496062003</v>
      </c>
      <c r="M516">
        <v>1.6166494927765998</v>
      </c>
      <c r="N516">
        <v>1.9040836280210005</v>
      </c>
      <c r="O516">
        <v>1.5208381143617995</v>
      </c>
    </row>
    <row r="517" spans="1:15">
      <c r="A517" s="19">
        <v>43095</v>
      </c>
      <c r="B517">
        <v>1502</v>
      </c>
      <c r="C517">
        <v>1505</v>
      </c>
      <c r="D517">
        <v>840</v>
      </c>
      <c r="E517">
        <v>837</v>
      </c>
      <c r="F517">
        <v>1.79808841099163</v>
      </c>
      <c r="G517">
        <v>1.70869344868256</v>
      </c>
      <c r="H517">
        <v>9.7358158878667195E-2</v>
      </c>
      <c r="I517">
        <v>0.91820719843806298</v>
      </c>
      <c r="J517">
        <v>4.97</v>
      </c>
      <c r="L517">
        <v>1.8060516075612272</v>
      </c>
      <c r="M517">
        <v>1.6113352898038928</v>
      </c>
      <c r="N517">
        <v>1.9034097664398943</v>
      </c>
      <c r="O517">
        <v>1.5139771309252257</v>
      </c>
    </row>
    <row r="518" spans="1:15">
      <c r="A518" s="19">
        <v>43094</v>
      </c>
      <c r="B518">
        <v>1515</v>
      </c>
      <c r="C518">
        <v>1508</v>
      </c>
      <c r="D518">
        <v>847</v>
      </c>
      <c r="E518">
        <v>842</v>
      </c>
      <c r="F518">
        <v>1.7909738717339601</v>
      </c>
      <c r="G518">
        <v>1.70495609068621</v>
      </c>
      <c r="H518">
        <v>9.92170835112655E-2</v>
      </c>
      <c r="I518">
        <v>0.86696542574736601</v>
      </c>
      <c r="J518">
        <v>4.8</v>
      </c>
      <c r="L518">
        <v>1.8041731741974756</v>
      </c>
      <c r="M518">
        <v>1.6057390071749444</v>
      </c>
      <c r="N518">
        <v>1.9033902577087409</v>
      </c>
      <c r="O518">
        <v>1.5065219236636791</v>
      </c>
    </row>
    <row r="519" spans="1:15">
      <c r="A519" s="19">
        <v>43091</v>
      </c>
      <c r="B519">
        <v>1511</v>
      </c>
      <c r="C519">
        <v>1514</v>
      </c>
      <c r="D519">
        <v>833</v>
      </c>
      <c r="E519">
        <v>841</v>
      </c>
      <c r="F519">
        <v>1.8002378121284099</v>
      </c>
      <c r="G519">
        <v>1.7014448601157199</v>
      </c>
      <c r="H519">
        <v>0.10075862198569401</v>
      </c>
      <c r="I519">
        <v>0.98049129757572495</v>
      </c>
      <c r="J519">
        <v>5.49</v>
      </c>
      <c r="L519">
        <v>1.8022034821014139</v>
      </c>
      <c r="M519">
        <v>1.600686238130026</v>
      </c>
      <c r="N519">
        <v>1.9029621040871079</v>
      </c>
      <c r="O519">
        <v>1.499927616144332</v>
      </c>
    </row>
    <row r="520" spans="1:15">
      <c r="A520" s="19">
        <v>43090</v>
      </c>
      <c r="B520">
        <v>1525</v>
      </c>
      <c r="C520">
        <v>1519</v>
      </c>
      <c r="D520">
        <v>835</v>
      </c>
      <c r="E520">
        <v>836</v>
      </c>
      <c r="F520">
        <v>1.81698564593301</v>
      </c>
      <c r="G520">
        <v>1.6976673837317799</v>
      </c>
      <c r="H520">
        <v>0.10228320525731199</v>
      </c>
      <c r="I520">
        <v>1.1665479381591399</v>
      </c>
      <c r="J520">
        <v>6.57</v>
      </c>
      <c r="L520">
        <v>1.7999505889890919</v>
      </c>
      <c r="M520">
        <v>1.595384178474468</v>
      </c>
      <c r="N520">
        <v>1.902233794246404</v>
      </c>
      <c r="O520">
        <v>1.4931009732171558</v>
      </c>
    </row>
    <row r="521" spans="1:15">
      <c r="A521" s="19">
        <v>43089</v>
      </c>
      <c r="B521">
        <v>1532</v>
      </c>
      <c r="C521">
        <v>1530</v>
      </c>
      <c r="D521">
        <v>817</v>
      </c>
      <c r="E521">
        <v>832</v>
      </c>
      <c r="F521">
        <v>1.8389423076922999</v>
      </c>
      <c r="G521">
        <v>1.69359475460652</v>
      </c>
      <c r="H521">
        <v>0.103524696616214</v>
      </c>
      <c r="I521">
        <v>1.40398917201961</v>
      </c>
      <c r="J521">
        <v>7.9</v>
      </c>
      <c r="L521">
        <v>1.797119451222734</v>
      </c>
      <c r="M521">
        <v>1.590070057990306</v>
      </c>
      <c r="N521">
        <v>1.900644147838948</v>
      </c>
      <c r="O521">
        <v>1.486545361374092</v>
      </c>
    </row>
    <row r="522" spans="1:15">
      <c r="A522" s="19">
        <v>43088</v>
      </c>
      <c r="B522">
        <v>1536</v>
      </c>
      <c r="C522">
        <v>1536</v>
      </c>
      <c r="D522">
        <v>830</v>
      </c>
      <c r="E522">
        <v>824</v>
      </c>
      <c r="F522">
        <v>1.86407766990291</v>
      </c>
      <c r="G522">
        <v>1.6890327339357101</v>
      </c>
      <c r="H522">
        <v>0.104552838979576</v>
      </c>
      <c r="I522">
        <v>1.6742246090648201</v>
      </c>
      <c r="J522">
        <v>9.39</v>
      </c>
      <c r="L522">
        <v>1.7935855729152861</v>
      </c>
      <c r="M522">
        <v>1.5844798949561341</v>
      </c>
      <c r="N522">
        <v>1.8981384118948621</v>
      </c>
      <c r="O522">
        <v>1.479927055976558</v>
      </c>
    </row>
    <row r="523" spans="1:15">
      <c r="A523" s="19">
        <v>43087</v>
      </c>
      <c r="B523">
        <v>1526</v>
      </c>
      <c r="C523">
        <v>1539</v>
      </c>
      <c r="D523">
        <v>825</v>
      </c>
      <c r="E523">
        <v>825</v>
      </c>
      <c r="F523">
        <v>1.8654545454545399</v>
      </c>
      <c r="G523">
        <v>1.6847207971996501</v>
      </c>
      <c r="H523">
        <v>0.10391149042209701</v>
      </c>
      <c r="I523">
        <v>1.73930474407342</v>
      </c>
      <c r="J523">
        <v>9.69</v>
      </c>
      <c r="L523">
        <v>1.7886322876217471</v>
      </c>
      <c r="M523">
        <v>1.580809306777553</v>
      </c>
      <c r="N523">
        <v>1.8925437780438441</v>
      </c>
      <c r="O523">
        <v>1.476897816355456</v>
      </c>
    </row>
    <row r="524" spans="1:15">
      <c r="A524" s="19">
        <v>43084</v>
      </c>
      <c r="B524">
        <v>1549</v>
      </c>
      <c r="C524">
        <v>1521</v>
      </c>
      <c r="D524">
        <v>830</v>
      </c>
      <c r="E524">
        <v>821</v>
      </c>
      <c r="F524">
        <v>1.85261875761266</v>
      </c>
      <c r="G524">
        <v>1.6803690412293499</v>
      </c>
      <c r="H524">
        <v>0.103082371080552</v>
      </c>
      <c r="I524">
        <v>1.6709910198778199</v>
      </c>
      <c r="J524">
        <v>9.3000000000000007</v>
      </c>
      <c r="L524">
        <v>1.7834514123099019</v>
      </c>
      <c r="M524">
        <v>1.577286670148798</v>
      </c>
      <c r="N524">
        <v>1.8865337833904539</v>
      </c>
      <c r="O524">
        <v>1.474204299068246</v>
      </c>
    </row>
    <row r="525" spans="1:15">
      <c r="A525" s="19">
        <v>43083</v>
      </c>
      <c r="B525">
        <v>1540</v>
      </c>
      <c r="C525">
        <v>1545</v>
      </c>
      <c r="D525">
        <v>844</v>
      </c>
      <c r="E525">
        <v>828</v>
      </c>
      <c r="F525">
        <v>1.8659420289855</v>
      </c>
      <c r="G525">
        <v>1.6761775721304799</v>
      </c>
      <c r="H525">
        <v>0.102382025169798</v>
      </c>
      <c r="I525">
        <v>1.8534938778589201</v>
      </c>
      <c r="J525">
        <v>10.17</v>
      </c>
      <c r="L525">
        <v>1.7785595973002779</v>
      </c>
      <c r="M525">
        <v>1.5737955469606819</v>
      </c>
      <c r="N525">
        <v>1.8809416224700759</v>
      </c>
      <c r="O525">
        <v>1.4714135217908839</v>
      </c>
    </row>
    <row r="526" spans="1:15">
      <c r="A526" s="19">
        <v>43082</v>
      </c>
      <c r="B526">
        <v>1561</v>
      </c>
      <c r="C526">
        <v>1542</v>
      </c>
      <c r="D526">
        <v>841</v>
      </c>
      <c r="E526">
        <v>829</v>
      </c>
      <c r="F526">
        <v>1.8600723763570499</v>
      </c>
      <c r="G526">
        <v>1.67180299315171</v>
      </c>
      <c r="H526">
        <v>0.101182674020747</v>
      </c>
      <c r="I526">
        <v>1.86068795895565</v>
      </c>
      <c r="J526">
        <v>10.119999999999999</v>
      </c>
      <c r="L526">
        <v>1.7729856671724571</v>
      </c>
      <c r="M526">
        <v>1.5706203191309629</v>
      </c>
      <c r="N526">
        <v>1.874168341193204</v>
      </c>
      <c r="O526">
        <v>1.469437645110216</v>
      </c>
    </row>
    <row r="527" spans="1:15">
      <c r="A527" s="19">
        <v>43081</v>
      </c>
      <c r="B527">
        <v>1548</v>
      </c>
      <c r="C527">
        <v>1561</v>
      </c>
      <c r="D527">
        <v>840</v>
      </c>
      <c r="E527">
        <v>835</v>
      </c>
      <c r="F527">
        <v>1.8694610778443099</v>
      </c>
      <c r="G527">
        <v>1.6676048650130499</v>
      </c>
      <c r="H527">
        <v>9.9806674334441403E-2</v>
      </c>
      <c r="I527">
        <v>2.02247208593342</v>
      </c>
      <c r="J527">
        <v>10.8</v>
      </c>
      <c r="L527">
        <v>1.7674115393474914</v>
      </c>
      <c r="M527">
        <v>1.5677981906786085</v>
      </c>
      <c r="N527">
        <v>1.8672182136819329</v>
      </c>
      <c r="O527">
        <v>1.467991516344167</v>
      </c>
    </row>
    <row r="528" spans="1:15">
      <c r="A528" s="19">
        <v>43080</v>
      </c>
      <c r="B528">
        <v>1525</v>
      </c>
      <c r="C528">
        <v>1543</v>
      </c>
      <c r="D528">
        <v>833</v>
      </c>
      <c r="E528">
        <v>839</v>
      </c>
      <c r="F528">
        <v>1.8390941597139401</v>
      </c>
      <c r="G528">
        <v>1.6633295528405601</v>
      </c>
      <c r="H528">
        <v>9.7918176876545304E-2</v>
      </c>
      <c r="I528">
        <v>1.79501510832847</v>
      </c>
      <c r="J528">
        <v>9.56</v>
      </c>
      <c r="L528">
        <v>1.7612477297171054</v>
      </c>
      <c r="M528">
        <v>1.5654113759640147</v>
      </c>
      <c r="N528">
        <v>1.8591659065936508</v>
      </c>
      <c r="O528">
        <v>1.4674931990874693</v>
      </c>
    </row>
    <row r="529" spans="1:1">
      <c r="A529" s="19"/>
    </row>
    <row r="530" spans="1:1">
      <c r="A530" s="19"/>
    </row>
    <row r="531" spans="1:1">
      <c r="A531" s="19"/>
    </row>
    <row r="532" spans="1:1">
      <c r="A532" s="19"/>
    </row>
    <row r="533" spans="1:1">
      <c r="A533" s="19"/>
    </row>
    <row r="534" spans="1:1">
      <c r="A534" s="19"/>
    </row>
    <row r="535" spans="1:1">
      <c r="A535" s="19"/>
    </row>
    <row r="536" spans="1:1">
      <c r="A536" s="19"/>
    </row>
    <row r="537" spans="1:1">
      <c r="A537" s="19"/>
    </row>
    <row r="538" spans="1:1">
      <c r="A538" s="19"/>
    </row>
    <row r="539" spans="1:1">
      <c r="A539" s="19"/>
    </row>
    <row r="540" spans="1:1">
      <c r="A540" s="19"/>
    </row>
    <row r="541" spans="1:1">
      <c r="A541" s="19"/>
    </row>
    <row r="542" spans="1:1">
      <c r="A542" s="19"/>
    </row>
    <row r="543" spans="1:1">
      <c r="A543" s="19"/>
    </row>
    <row r="544" spans="1:1">
      <c r="A544" s="19"/>
    </row>
    <row r="545" spans="1:1">
      <c r="A545" s="19"/>
    </row>
    <row r="546" spans="1:1">
      <c r="A546" s="19"/>
    </row>
    <row r="547" spans="1:1">
      <c r="A547" s="19"/>
    </row>
    <row r="548" spans="1:1">
      <c r="A548" s="19"/>
    </row>
    <row r="549" spans="1:1">
      <c r="A549" s="19"/>
    </row>
    <row r="550" spans="1:1">
      <c r="A550" s="19"/>
    </row>
    <row r="551" spans="1:1">
      <c r="A551" s="19"/>
    </row>
    <row r="552" spans="1:1">
      <c r="A552" s="19"/>
    </row>
    <row r="553" spans="1:1">
      <c r="A553" s="19"/>
    </row>
    <row r="554" spans="1:1">
      <c r="A554" s="19"/>
    </row>
    <row r="555" spans="1:1">
      <c r="A555" s="19"/>
    </row>
    <row r="556" spans="1:1">
      <c r="A556" s="19"/>
    </row>
    <row r="557" spans="1:1">
      <c r="A557" s="19"/>
    </row>
    <row r="558" spans="1:1">
      <c r="A558" s="19"/>
    </row>
    <row r="559" spans="1:1">
      <c r="A559" s="19"/>
    </row>
    <row r="560" spans="1:1">
      <c r="A560" s="19"/>
    </row>
    <row r="561" spans="1:1">
      <c r="A561" s="19"/>
    </row>
    <row r="562" spans="1:1">
      <c r="A562" s="19"/>
    </row>
    <row r="563" spans="1:1">
      <c r="A563" s="19"/>
    </row>
    <row r="564" spans="1:1">
      <c r="A564" s="19"/>
    </row>
    <row r="565" spans="1:1">
      <c r="A565" s="19"/>
    </row>
    <row r="566" spans="1:1">
      <c r="A566" s="19"/>
    </row>
    <row r="567" spans="1:1">
      <c r="A567" s="19"/>
    </row>
    <row r="568" spans="1:1">
      <c r="A568" s="19"/>
    </row>
    <row r="569" spans="1:1">
      <c r="A569" s="19"/>
    </row>
    <row r="570" spans="1:1">
      <c r="A570" s="19"/>
    </row>
    <row r="571" spans="1:1">
      <c r="A571" s="19"/>
    </row>
    <row r="572" spans="1:1">
      <c r="A572" s="19"/>
    </row>
    <row r="573" spans="1:1">
      <c r="A573" s="19"/>
    </row>
    <row r="574" spans="1:1">
      <c r="A574" s="19"/>
    </row>
    <row r="575" spans="1:1">
      <c r="A575" s="19"/>
    </row>
    <row r="576" spans="1:1">
      <c r="A576" s="19"/>
    </row>
    <row r="577" spans="1:1">
      <c r="A577" s="19"/>
    </row>
    <row r="578" spans="1:1">
      <c r="A578" s="19"/>
    </row>
    <row r="579" spans="1:1">
      <c r="A579" s="19"/>
    </row>
    <row r="580" spans="1:1">
      <c r="A580" s="19"/>
    </row>
    <row r="581" spans="1:1">
      <c r="A581" s="19"/>
    </row>
    <row r="582" spans="1:1">
      <c r="A582" s="19"/>
    </row>
    <row r="583" spans="1:1">
      <c r="A583" s="19"/>
    </row>
    <row r="584" spans="1:1">
      <c r="A584" s="19"/>
    </row>
    <row r="585" spans="1:1">
      <c r="A585" s="19"/>
    </row>
    <row r="586" spans="1:1">
      <c r="A586" s="19"/>
    </row>
    <row r="587" spans="1:1">
      <c r="A587" s="19"/>
    </row>
    <row r="588" spans="1:1">
      <c r="A588" s="19"/>
    </row>
    <row r="589" spans="1:1">
      <c r="A589" s="19"/>
    </row>
    <row r="590" spans="1:1">
      <c r="A590" s="19"/>
    </row>
    <row r="591" spans="1:1">
      <c r="A591" s="19"/>
    </row>
    <row r="592" spans="1:1">
      <c r="A592" s="19"/>
    </row>
    <row r="593" spans="1:1">
      <c r="A593" s="19"/>
    </row>
    <row r="594" spans="1:1">
      <c r="A594" s="19"/>
    </row>
    <row r="595" spans="1:1">
      <c r="A595" s="19"/>
    </row>
    <row r="596" spans="1:1">
      <c r="A596" s="19"/>
    </row>
    <row r="597" spans="1:1">
      <c r="A597" s="19"/>
    </row>
    <row r="598" spans="1:1">
      <c r="A598" s="19"/>
    </row>
    <row r="599" spans="1:1">
      <c r="A599" s="19"/>
    </row>
    <row r="600" spans="1:1">
      <c r="A600" s="19"/>
    </row>
    <row r="601" spans="1:1">
      <c r="A601" s="19"/>
    </row>
    <row r="602" spans="1:1">
      <c r="A602" s="19"/>
    </row>
    <row r="603" spans="1:1">
      <c r="A603" s="19"/>
    </row>
    <row r="604" spans="1:1">
      <c r="A604" s="19"/>
    </row>
    <row r="605" spans="1:1">
      <c r="A605" s="19"/>
    </row>
    <row r="606" spans="1:1">
      <c r="A606" s="19"/>
    </row>
    <row r="607" spans="1:1">
      <c r="A607" s="19"/>
    </row>
    <row r="608" spans="1:1">
      <c r="A608" s="19"/>
    </row>
    <row r="609" spans="1:1">
      <c r="A609" s="19"/>
    </row>
    <row r="610" spans="1:1">
      <c r="A610" s="19"/>
    </row>
    <row r="611" spans="1:1">
      <c r="A611" s="19"/>
    </row>
    <row r="612" spans="1:1">
      <c r="A612" s="19"/>
    </row>
    <row r="613" spans="1:1">
      <c r="A613" s="19"/>
    </row>
    <row r="614" spans="1:1">
      <c r="A614" s="19"/>
    </row>
    <row r="615" spans="1:1">
      <c r="A615" s="19"/>
    </row>
    <row r="616" spans="1:1">
      <c r="A616" s="19"/>
    </row>
    <row r="617" spans="1:1">
      <c r="A617" s="19"/>
    </row>
    <row r="618" spans="1:1">
      <c r="A618" s="19"/>
    </row>
    <row r="619" spans="1:1">
      <c r="A619" s="19"/>
    </row>
    <row r="620" spans="1:1">
      <c r="A620" s="19"/>
    </row>
    <row r="621" spans="1:1">
      <c r="A621" s="19"/>
    </row>
    <row r="622" spans="1:1">
      <c r="A622" s="19"/>
    </row>
    <row r="623" spans="1:1">
      <c r="A623" s="19"/>
    </row>
    <row r="624" spans="1:1">
      <c r="A624" s="19"/>
    </row>
    <row r="625" spans="1:1">
      <c r="A625" s="19"/>
    </row>
    <row r="626" spans="1:1">
      <c r="A626" s="19"/>
    </row>
    <row r="627" spans="1:1">
      <c r="A627" s="19"/>
    </row>
    <row r="628" spans="1:1">
      <c r="A628" s="19"/>
    </row>
    <row r="629" spans="1:1">
      <c r="A629" s="19"/>
    </row>
    <row r="630" spans="1:1">
      <c r="A630" s="19"/>
    </row>
    <row r="631" spans="1:1">
      <c r="A631" s="19"/>
    </row>
    <row r="632" spans="1:1">
      <c r="A632" s="19"/>
    </row>
    <row r="633" spans="1:1">
      <c r="A633" s="19"/>
    </row>
    <row r="634" spans="1:1">
      <c r="A634" s="19"/>
    </row>
    <row r="635" spans="1:1">
      <c r="A635" s="19"/>
    </row>
    <row r="636" spans="1:1">
      <c r="A636" s="19"/>
    </row>
    <row r="637" spans="1:1">
      <c r="A637" s="19"/>
    </row>
    <row r="638" spans="1:1">
      <c r="A638" s="19"/>
    </row>
    <row r="639" spans="1:1">
      <c r="A639" s="19"/>
    </row>
    <row r="640" spans="1:1">
      <c r="A640" s="19"/>
    </row>
    <row r="641" spans="1:1">
      <c r="A641" s="19"/>
    </row>
    <row r="642" spans="1:1">
      <c r="A642" s="19"/>
    </row>
    <row r="643" spans="1:1">
      <c r="A643" s="19"/>
    </row>
    <row r="644" spans="1:1">
      <c r="A644" s="19"/>
    </row>
    <row r="645" spans="1:1">
      <c r="A645" s="19"/>
    </row>
    <row r="646" spans="1:1">
      <c r="A646" s="19"/>
    </row>
    <row r="647" spans="1:1">
      <c r="A647" s="19"/>
    </row>
    <row r="648" spans="1:1">
      <c r="A648" s="19"/>
    </row>
    <row r="649" spans="1:1">
      <c r="A649" s="19"/>
    </row>
    <row r="650" spans="1:1">
      <c r="A650" s="19"/>
    </row>
    <row r="651" spans="1:1">
      <c r="A651" s="19"/>
    </row>
    <row r="652" spans="1:1">
      <c r="A652" s="19"/>
    </row>
    <row r="653" spans="1:1">
      <c r="A653" s="19"/>
    </row>
    <row r="654" spans="1:1">
      <c r="A654" s="19"/>
    </row>
    <row r="655" spans="1:1">
      <c r="A655" s="19"/>
    </row>
    <row r="656" spans="1:1">
      <c r="A656" s="19"/>
    </row>
    <row r="657" spans="1:1">
      <c r="A657" s="19"/>
    </row>
    <row r="658" spans="1:1">
      <c r="A658" s="19"/>
    </row>
    <row r="659" spans="1:1">
      <c r="A659" s="19"/>
    </row>
    <row r="660" spans="1:1">
      <c r="A660" s="19"/>
    </row>
    <row r="661" spans="1:1">
      <c r="A661" s="19"/>
    </row>
    <row r="662" spans="1:1">
      <c r="A662" s="19"/>
    </row>
    <row r="663" spans="1:1">
      <c r="A663" s="19"/>
    </row>
    <row r="664" spans="1:1">
      <c r="A664" s="19"/>
    </row>
    <row r="665" spans="1:1">
      <c r="A665" s="19"/>
    </row>
    <row r="666" spans="1:1">
      <c r="A666" s="19"/>
    </row>
    <row r="667" spans="1:1">
      <c r="A667" s="19"/>
    </row>
    <row r="668" spans="1:1">
      <c r="A668" s="19"/>
    </row>
    <row r="669" spans="1:1">
      <c r="A669" s="19"/>
    </row>
    <row r="670" spans="1:1">
      <c r="A670" s="19"/>
    </row>
    <row r="671" spans="1:1">
      <c r="A671" s="19"/>
    </row>
    <row r="672" spans="1:1">
      <c r="A672" s="19"/>
    </row>
    <row r="673" spans="1:1">
      <c r="A673" s="19"/>
    </row>
    <row r="674" spans="1:1">
      <c r="A674" s="19"/>
    </row>
    <row r="675" spans="1:1">
      <c r="A675" s="19"/>
    </row>
    <row r="676" spans="1:1">
      <c r="A676" s="19"/>
    </row>
    <row r="677" spans="1:1">
      <c r="A677" s="19"/>
    </row>
    <row r="678" spans="1:1">
      <c r="A678" s="19"/>
    </row>
    <row r="679" spans="1:1">
      <c r="A679" s="19"/>
    </row>
    <row r="680" spans="1:1">
      <c r="A680" s="19"/>
    </row>
    <row r="681" spans="1:1">
      <c r="A681" s="19"/>
    </row>
    <row r="682" spans="1:1">
      <c r="A682" s="19"/>
    </row>
    <row r="683" spans="1:1">
      <c r="A683" s="19"/>
    </row>
    <row r="684" spans="1:1">
      <c r="A684" s="19"/>
    </row>
    <row r="685" spans="1:1">
      <c r="A685" s="19"/>
    </row>
    <row r="686" spans="1:1">
      <c r="A686" s="19"/>
    </row>
    <row r="687" spans="1:1">
      <c r="A687" s="19"/>
    </row>
    <row r="688" spans="1:1">
      <c r="A688" s="19"/>
    </row>
    <row r="689" spans="1:1">
      <c r="A689" s="19"/>
    </row>
    <row r="690" spans="1:1">
      <c r="A690" s="19"/>
    </row>
    <row r="691" spans="1:1">
      <c r="A691" s="19"/>
    </row>
    <row r="692" spans="1:1">
      <c r="A692" s="19"/>
    </row>
    <row r="693" spans="1:1">
      <c r="A693" s="19"/>
    </row>
    <row r="694" spans="1:1">
      <c r="A694" s="19"/>
    </row>
    <row r="695" spans="1:1">
      <c r="A695" s="19"/>
    </row>
    <row r="696" spans="1:1">
      <c r="A696" s="19"/>
    </row>
    <row r="697" spans="1:1">
      <c r="A697" s="19"/>
    </row>
    <row r="698" spans="1:1">
      <c r="A698" s="19"/>
    </row>
    <row r="699" spans="1:1">
      <c r="A699" s="19"/>
    </row>
    <row r="700" spans="1:1">
      <c r="A700" s="19"/>
    </row>
    <row r="701" spans="1:1">
      <c r="A701" s="19"/>
    </row>
    <row r="702" spans="1:1">
      <c r="A702" s="19"/>
    </row>
    <row r="703" spans="1:1">
      <c r="A703" s="19"/>
    </row>
    <row r="704" spans="1:1">
      <c r="A704" s="19"/>
    </row>
    <row r="705" spans="1:1">
      <c r="A705" s="19"/>
    </row>
    <row r="706" spans="1:1">
      <c r="A706" s="19"/>
    </row>
    <row r="707" spans="1:1">
      <c r="A707" s="19"/>
    </row>
    <row r="708" spans="1:1">
      <c r="A708" s="19"/>
    </row>
    <row r="709" spans="1:1">
      <c r="A709" s="19"/>
    </row>
    <row r="710" spans="1:1">
      <c r="A710" s="19"/>
    </row>
    <row r="711" spans="1:1">
      <c r="A711" s="19"/>
    </row>
    <row r="712" spans="1:1">
      <c r="A712" s="19"/>
    </row>
    <row r="713" spans="1:1">
      <c r="A713" s="19"/>
    </row>
    <row r="714" spans="1:1">
      <c r="A714" s="19"/>
    </row>
    <row r="715" spans="1:1">
      <c r="A715" s="19"/>
    </row>
    <row r="716" spans="1:1">
      <c r="A716" s="19"/>
    </row>
    <row r="717" spans="1:1">
      <c r="A717" s="19"/>
    </row>
    <row r="718" spans="1:1">
      <c r="A718" s="19"/>
    </row>
    <row r="719" spans="1:1">
      <c r="A719" s="19"/>
    </row>
    <row r="720" spans="1:1">
      <c r="A720" s="19"/>
    </row>
    <row r="721" spans="1:1">
      <c r="A721" s="19"/>
    </row>
    <row r="722" spans="1:1">
      <c r="A722" s="19"/>
    </row>
    <row r="723" spans="1:1">
      <c r="A723" s="19"/>
    </row>
    <row r="724" spans="1:1">
      <c r="A724" s="19"/>
    </row>
    <row r="725" spans="1:1">
      <c r="A725" s="19"/>
    </row>
    <row r="726" spans="1:1">
      <c r="A726" s="19"/>
    </row>
    <row r="727" spans="1:1">
      <c r="A727" s="19"/>
    </row>
    <row r="728" spans="1:1">
      <c r="A728" s="19"/>
    </row>
    <row r="729" spans="1:1">
      <c r="A729" s="19"/>
    </row>
    <row r="730" spans="1:1">
      <c r="A730" s="19"/>
    </row>
    <row r="731" spans="1:1">
      <c r="A731" s="19"/>
    </row>
    <row r="732" spans="1:1">
      <c r="A732" s="19"/>
    </row>
    <row r="733" spans="1:1">
      <c r="A733" s="19"/>
    </row>
    <row r="734" spans="1:1">
      <c r="A734" s="19"/>
    </row>
    <row r="735" spans="1:1">
      <c r="A735" s="19"/>
    </row>
    <row r="736" spans="1:1">
      <c r="A736" s="19"/>
    </row>
    <row r="737" spans="1:1">
      <c r="A737" s="19"/>
    </row>
    <row r="738" spans="1:1">
      <c r="A738" s="19"/>
    </row>
    <row r="739" spans="1:1">
      <c r="A739" s="19"/>
    </row>
    <row r="740" spans="1:1">
      <c r="A740" s="19"/>
    </row>
    <row r="741" spans="1:1">
      <c r="A741" s="19"/>
    </row>
    <row r="742" spans="1:1">
      <c r="A742" s="19"/>
    </row>
    <row r="743" spans="1:1">
      <c r="A743" s="19"/>
    </row>
    <row r="744" spans="1:1">
      <c r="A744" s="19"/>
    </row>
    <row r="745" spans="1:1">
      <c r="A745" s="19"/>
    </row>
    <row r="746" spans="1:1">
      <c r="A746" s="19"/>
    </row>
    <row r="747" spans="1:1">
      <c r="A747" s="19"/>
    </row>
    <row r="748" spans="1:1">
      <c r="A748" s="19"/>
    </row>
    <row r="749" spans="1:1">
      <c r="A749" s="19"/>
    </row>
    <row r="750" spans="1:1">
      <c r="A750" s="19"/>
    </row>
    <row r="751" spans="1:1">
      <c r="A751" s="19"/>
    </row>
    <row r="752" spans="1:1">
      <c r="A752" s="19"/>
    </row>
    <row r="753" spans="1:1">
      <c r="A753" s="19"/>
    </row>
    <row r="754" spans="1:1">
      <c r="A754" s="19"/>
    </row>
    <row r="755" spans="1:1">
      <c r="A755" s="19"/>
    </row>
    <row r="756" spans="1:1">
      <c r="A756" s="19"/>
    </row>
    <row r="757" spans="1:1">
      <c r="A757" s="19"/>
    </row>
    <row r="758" spans="1:1">
      <c r="A758" s="19"/>
    </row>
    <row r="759" spans="1:1">
      <c r="A759" s="19"/>
    </row>
    <row r="760" spans="1:1">
      <c r="A760" s="19"/>
    </row>
    <row r="761" spans="1:1">
      <c r="A761" s="19"/>
    </row>
    <row r="762" spans="1:1">
      <c r="A762" s="19"/>
    </row>
    <row r="763" spans="1:1">
      <c r="A763" s="19"/>
    </row>
    <row r="764" spans="1:1">
      <c r="A764" s="19"/>
    </row>
    <row r="765" spans="1:1">
      <c r="A765" s="19"/>
    </row>
    <row r="766" spans="1:1">
      <c r="A766" s="19"/>
    </row>
    <row r="767" spans="1:1">
      <c r="A767" s="19"/>
    </row>
    <row r="768" spans="1:1">
      <c r="A768" s="19"/>
    </row>
    <row r="769" spans="1:1">
      <c r="A769" s="19"/>
    </row>
    <row r="770" spans="1:1">
      <c r="A770" s="19"/>
    </row>
    <row r="771" spans="1:1">
      <c r="A771" s="19"/>
    </row>
    <row r="772" spans="1:1">
      <c r="A772" s="19"/>
    </row>
    <row r="773" spans="1:1">
      <c r="A773" s="19"/>
    </row>
    <row r="774" spans="1:1">
      <c r="A774" s="19"/>
    </row>
    <row r="775" spans="1:1">
      <c r="A775" s="19"/>
    </row>
    <row r="776" spans="1:1">
      <c r="A776" s="19"/>
    </row>
    <row r="777" spans="1:1">
      <c r="A777" s="19"/>
    </row>
  </sheetData>
  <phoneticPr fontId="1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J26" sqref="J2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:AH431"/>
  <sheetViews>
    <sheetView topLeftCell="A109" workbookViewId="0">
      <selection activeCell="A135" sqref="A135:XFD135"/>
    </sheetView>
  </sheetViews>
  <sheetFormatPr defaultRowHeight="14.25"/>
  <cols>
    <col min="1" max="1" width="9" style="109"/>
    <col min="4" max="4" width="9.875" customWidth="1"/>
    <col min="22" max="22" width="11.25" customWidth="1"/>
  </cols>
  <sheetData>
    <row r="1" spans="1:34">
      <c r="B1" s="113" t="s">
        <v>337</v>
      </c>
      <c r="C1" s="113" t="s">
        <v>58</v>
      </c>
      <c r="D1" s="113" t="s">
        <v>59</v>
      </c>
      <c r="E1" s="113" t="s">
        <v>60</v>
      </c>
      <c r="F1" s="113" t="s">
        <v>61</v>
      </c>
      <c r="G1" s="113" t="s">
        <v>62</v>
      </c>
      <c r="H1" s="113" t="s">
        <v>63</v>
      </c>
      <c r="I1" s="113" t="s">
        <v>64</v>
      </c>
      <c r="J1" s="113" t="s">
        <v>49</v>
      </c>
      <c r="K1" s="113" t="s">
        <v>65</v>
      </c>
      <c r="L1" s="113" t="s">
        <v>66</v>
      </c>
      <c r="M1" s="113" t="s">
        <v>67</v>
      </c>
      <c r="N1" s="113" t="s">
        <v>68</v>
      </c>
      <c r="O1" s="113" t="s">
        <v>69</v>
      </c>
      <c r="P1" s="113" t="s">
        <v>70</v>
      </c>
      <c r="Q1" s="113" t="s">
        <v>71</v>
      </c>
      <c r="R1" s="113" t="s">
        <v>72</v>
      </c>
      <c r="S1" s="113" t="s">
        <v>73</v>
      </c>
      <c r="T1" s="113" t="s">
        <v>99</v>
      </c>
      <c r="U1" s="113" t="s">
        <v>74</v>
      </c>
      <c r="V1" s="113" t="s">
        <v>75</v>
      </c>
      <c r="W1" s="113" t="s">
        <v>76</v>
      </c>
      <c r="X1" s="113" t="s">
        <v>77</v>
      </c>
      <c r="Y1" s="113" t="s">
        <v>78</v>
      </c>
      <c r="Z1" s="113" t="s">
        <v>79</v>
      </c>
      <c r="AA1" s="113" t="s">
        <v>80</v>
      </c>
      <c r="AB1" s="113" t="s">
        <v>81</v>
      </c>
      <c r="AC1" s="113" t="s">
        <v>82</v>
      </c>
      <c r="AD1" s="113" t="s">
        <v>83</v>
      </c>
      <c r="AE1" s="113" t="s">
        <v>84</v>
      </c>
      <c r="AF1" s="113" t="s">
        <v>100</v>
      </c>
      <c r="AG1" s="113" t="s">
        <v>101</v>
      </c>
      <c r="AH1" s="113" t="s">
        <v>102</v>
      </c>
    </row>
    <row r="2" spans="1:34">
      <c r="A2" s="109">
        <v>163</v>
      </c>
      <c r="B2">
        <v>3105</v>
      </c>
      <c r="C2" s="113" t="s">
        <v>115</v>
      </c>
      <c r="D2" s="113" t="s">
        <v>112</v>
      </c>
      <c r="E2">
        <v>1050</v>
      </c>
      <c r="F2">
        <v>1045</v>
      </c>
      <c r="G2">
        <v>1000</v>
      </c>
      <c r="H2" s="113" t="s">
        <v>87</v>
      </c>
      <c r="I2">
        <v>6995</v>
      </c>
      <c r="J2" s="113" t="s">
        <v>116</v>
      </c>
      <c r="K2" s="113" t="s">
        <v>109</v>
      </c>
      <c r="L2">
        <v>2166</v>
      </c>
      <c r="M2">
        <v>2193</v>
      </c>
      <c r="N2">
        <v>500</v>
      </c>
      <c r="O2" s="113" t="s">
        <v>85</v>
      </c>
      <c r="P2">
        <v>0.921102539020763</v>
      </c>
      <c r="Q2">
        <v>0.90495108606166796</v>
      </c>
      <c r="R2" s="20">
        <v>0.18183984059709801</v>
      </c>
      <c r="S2">
        <v>0.10185572965734099</v>
      </c>
      <c r="T2">
        <v>1.00387872488565</v>
      </c>
      <c r="U2">
        <v>1.00387872488565</v>
      </c>
      <c r="V2">
        <v>2.81</v>
      </c>
      <c r="W2">
        <v>4.7</v>
      </c>
      <c r="X2">
        <v>612244</v>
      </c>
      <c r="Y2">
        <v>32223</v>
      </c>
      <c r="Z2">
        <v>1.55</v>
      </c>
      <c r="AA2">
        <v>19</v>
      </c>
      <c r="AB2">
        <v>12</v>
      </c>
      <c r="AC2">
        <v>7</v>
      </c>
      <c r="AD2">
        <v>63.16</v>
      </c>
      <c r="AE2">
        <v>12</v>
      </c>
      <c r="AF2">
        <v>10</v>
      </c>
      <c r="AG2">
        <v>1</v>
      </c>
      <c r="AH2">
        <v>8</v>
      </c>
    </row>
    <row r="3" spans="1:34">
      <c r="A3" s="109">
        <v>100</v>
      </c>
      <c r="B3">
        <v>4626</v>
      </c>
      <c r="C3" s="113" t="s">
        <v>982</v>
      </c>
      <c r="D3" s="113" t="s">
        <v>86</v>
      </c>
      <c r="E3">
        <v>4240</v>
      </c>
      <c r="F3">
        <v>4215</v>
      </c>
      <c r="G3">
        <v>200</v>
      </c>
      <c r="H3" s="113" t="s">
        <v>85</v>
      </c>
      <c r="I3">
        <v>6134</v>
      </c>
      <c r="J3" s="113" t="s">
        <v>983</v>
      </c>
      <c r="K3" s="113" t="s">
        <v>124</v>
      </c>
      <c r="L3">
        <v>1970</v>
      </c>
      <c r="M3">
        <v>1989</v>
      </c>
      <c r="N3">
        <v>400</v>
      </c>
      <c r="O3" s="113" t="s">
        <v>87</v>
      </c>
      <c r="P3">
        <v>0.93593646194344404</v>
      </c>
      <c r="Q3">
        <v>0.91850770727068098</v>
      </c>
      <c r="R3" s="20">
        <v>4.5572204318749497E-2</v>
      </c>
      <c r="S3" s="113">
        <v>0.117854527291815</v>
      </c>
      <c r="T3">
        <v>-1.5531934128551299</v>
      </c>
      <c r="U3">
        <v>1.5531934128551299</v>
      </c>
      <c r="V3">
        <v>-5.25</v>
      </c>
      <c r="W3">
        <v>5.62</v>
      </c>
      <c r="X3">
        <v>550688</v>
      </c>
      <c r="Y3">
        <v>32393</v>
      </c>
      <c r="Z3">
        <v>1.85</v>
      </c>
      <c r="AA3">
        <v>17</v>
      </c>
      <c r="AB3">
        <v>13</v>
      </c>
      <c r="AC3">
        <v>4</v>
      </c>
      <c r="AD3">
        <v>76.47</v>
      </c>
      <c r="AE3">
        <v>12</v>
      </c>
      <c r="AF3">
        <v>9</v>
      </c>
      <c r="AG3">
        <v>2</v>
      </c>
      <c r="AH3">
        <v>6</v>
      </c>
    </row>
    <row r="4" spans="1:34">
      <c r="A4" s="109">
        <v>38</v>
      </c>
      <c r="B4">
        <v>3635</v>
      </c>
      <c r="C4" s="113" t="s">
        <v>110</v>
      </c>
      <c r="D4" s="113" t="s">
        <v>104</v>
      </c>
      <c r="E4">
        <v>2647</v>
      </c>
      <c r="F4">
        <v>2693</v>
      </c>
      <c r="G4">
        <v>400</v>
      </c>
      <c r="H4" s="113" t="s">
        <v>87</v>
      </c>
      <c r="I4">
        <v>6845</v>
      </c>
      <c r="J4" s="113" t="s">
        <v>338</v>
      </c>
      <c r="K4" s="113" t="s">
        <v>112</v>
      </c>
      <c r="L4">
        <v>3205</v>
      </c>
      <c r="M4">
        <v>3205</v>
      </c>
      <c r="N4">
        <v>300</v>
      </c>
      <c r="O4" s="113" t="s">
        <v>85</v>
      </c>
      <c r="P4">
        <v>0.91170391046265498</v>
      </c>
      <c r="Q4">
        <v>0.94037841047090898</v>
      </c>
      <c r="R4">
        <v>0.101348171980253</v>
      </c>
      <c r="S4">
        <v>2.06637842407731E-2</v>
      </c>
      <c r="T4">
        <v>1.83447235129926</v>
      </c>
      <c r="U4">
        <v>1.83447235129926</v>
      </c>
      <c r="V4">
        <v>3.83</v>
      </c>
      <c r="W4">
        <v>12.03</v>
      </c>
      <c r="X4">
        <v>542091</v>
      </c>
      <c r="Y4">
        <v>31888</v>
      </c>
      <c r="Z4">
        <v>1.61</v>
      </c>
      <c r="AA4">
        <v>17</v>
      </c>
      <c r="AB4">
        <v>14</v>
      </c>
      <c r="AC4">
        <v>3</v>
      </c>
      <c r="AD4">
        <v>82.35</v>
      </c>
      <c r="AE4">
        <v>12</v>
      </c>
      <c r="AF4">
        <v>8</v>
      </c>
      <c r="AG4">
        <v>2</v>
      </c>
      <c r="AH4">
        <v>7</v>
      </c>
    </row>
    <row r="5" spans="1:34">
      <c r="A5" s="109">
        <v>36</v>
      </c>
      <c r="B5">
        <v>2914</v>
      </c>
      <c r="C5" s="113" t="s">
        <v>121</v>
      </c>
      <c r="D5" s="113" t="s">
        <v>122</v>
      </c>
      <c r="E5">
        <v>2530</v>
      </c>
      <c r="F5">
        <v>2504</v>
      </c>
      <c r="G5">
        <v>400</v>
      </c>
      <c r="H5" s="113" t="s">
        <v>85</v>
      </c>
      <c r="I5">
        <v>7189</v>
      </c>
      <c r="J5" s="113" t="s">
        <v>106</v>
      </c>
      <c r="K5" s="113" t="s">
        <v>107</v>
      </c>
      <c r="L5">
        <v>884</v>
      </c>
      <c r="M5">
        <v>870</v>
      </c>
      <c r="N5">
        <v>1200</v>
      </c>
      <c r="O5" s="113" t="s">
        <v>87</v>
      </c>
      <c r="P5">
        <v>0.91523954108882</v>
      </c>
      <c r="Q5">
        <v>0.94182680959953102</v>
      </c>
      <c r="R5">
        <v>0.17079703453890999</v>
      </c>
      <c r="S5">
        <v>3.5435472183339499E-2</v>
      </c>
      <c r="T5">
        <v>-1.1198716673923499</v>
      </c>
      <c r="U5">
        <v>1.1198716673923499</v>
      </c>
      <c r="V5">
        <v>-7.71</v>
      </c>
      <c r="W5">
        <v>4.2300000000000004</v>
      </c>
      <c r="X5">
        <v>526842</v>
      </c>
      <c r="Y5">
        <v>23947</v>
      </c>
      <c r="Z5">
        <v>1.21</v>
      </c>
      <c r="AA5">
        <v>22</v>
      </c>
      <c r="AB5">
        <v>16</v>
      </c>
      <c r="AC5">
        <v>6</v>
      </c>
      <c r="AD5">
        <v>72.73</v>
      </c>
      <c r="AE5">
        <v>14</v>
      </c>
      <c r="AF5">
        <v>12</v>
      </c>
      <c r="AG5">
        <v>3</v>
      </c>
      <c r="AH5">
        <v>7</v>
      </c>
    </row>
    <row r="6" spans="1:34">
      <c r="A6" s="109">
        <v>2</v>
      </c>
      <c r="B6">
        <v>3635</v>
      </c>
      <c r="C6" s="113" t="s">
        <v>110</v>
      </c>
      <c r="D6" s="113" t="s">
        <v>104</v>
      </c>
      <c r="E6">
        <v>2647</v>
      </c>
      <c r="F6">
        <v>2693</v>
      </c>
      <c r="G6">
        <v>400</v>
      </c>
      <c r="H6" s="113" t="s">
        <v>85</v>
      </c>
      <c r="I6">
        <v>6920</v>
      </c>
      <c r="J6" s="113" t="s">
        <v>111</v>
      </c>
      <c r="K6" s="113" t="s">
        <v>112</v>
      </c>
      <c r="L6">
        <v>9410</v>
      </c>
      <c r="M6">
        <v>9620</v>
      </c>
      <c r="N6">
        <v>100</v>
      </c>
      <c r="O6" s="113" t="s">
        <v>87</v>
      </c>
      <c r="P6">
        <v>0.93406094709667098</v>
      </c>
      <c r="Q6">
        <v>0.96597379990627597</v>
      </c>
      <c r="R6">
        <v>4.0851759558466698E-2</v>
      </c>
      <c r="S6">
        <v>5.8632633448794198E-4</v>
      </c>
      <c r="T6">
        <v>-1.3801517189147601</v>
      </c>
      <c r="U6">
        <v>1.3801517189147601</v>
      </c>
      <c r="V6">
        <v>-14.12</v>
      </c>
      <c r="W6">
        <v>11.98</v>
      </c>
      <c r="X6">
        <v>518439</v>
      </c>
      <c r="Y6">
        <v>25922</v>
      </c>
      <c r="Z6">
        <v>1.37</v>
      </c>
      <c r="AA6">
        <v>20</v>
      </c>
      <c r="AB6">
        <v>13</v>
      </c>
      <c r="AC6">
        <v>7</v>
      </c>
      <c r="AD6">
        <v>65</v>
      </c>
      <c r="AE6">
        <v>10</v>
      </c>
      <c r="AF6">
        <v>10</v>
      </c>
      <c r="AG6">
        <v>6</v>
      </c>
      <c r="AH6">
        <v>4</v>
      </c>
    </row>
    <row r="7" spans="1:34">
      <c r="A7" s="109">
        <v>17</v>
      </c>
      <c r="B7">
        <v>1928</v>
      </c>
      <c r="C7" s="113" t="s">
        <v>333</v>
      </c>
      <c r="D7" s="113" t="s">
        <v>103</v>
      </c>
      <c r="E7">
        <v>2392</v>
      </c>
      <c r="F7">
        <v>2402</v>
      </c>
      <c r="G7">
        <v>400</v>
      </c>
      <c r="H7" s="113" t="s">
        <v>85</v>
      </c>
      <c r="I7">
        <v>4062</v>
      </c>
      <c r="J7" s="113" t="s">
        <v>357</v>
      </c>
      <c r="K7" s="113" t="s">
        <v>112</v>
      </c>
      <c r="L7">
        <v>2586</v>
      </c>
      <c r="M7">
        <v>2613</v>
      </c>
      <c r="N7">
        <v>400</v>
      </c>
      <c r="O7" s="113" t="s">
        <v>87</v>
      </c>
      <c r="P7">
        <v>0.93480996377171799</v>
      </c>
      <c r="Q7">
        <v>0.95045600560758603</v>
      </c>
      <c r="R7">
        <v>6.12267987340342E-2</v>
      </c>
      <c r="S7">
        <v>5.8551740447184301E-2</v>
      </c>
      <c r="T7">
        <v>-1.0043275097559301</v>
      </c>
      <c r="U7">
        <v>1.0043275097559301</v>
      </c>
      <c r="V7">
        <v>-2.92</v>
      </c>
      <c r="W7">
        <v>8.08</v>
      </c>
      <c r="X7">
        <v>454397</v>
      </c>
      <c r="Y7">
        <v>28400</v>
      </c>
      <c r="Z7">
        <v>1.52</v>
      </c>
      <c r="AA7">
        <v>16</v>
      </c>
      <c r="AB7">
        <v>13</v>
      </c>
      <c r="AC7">
        <v>3</v>
      </c>
      <c r="AD7">
        <v>81.25</v>
      </c>
      <c r="AE7">
        <v>11</v>
      </c>
      <c r="AF7">
        <v>9</v>
      </c>
      <c r="AG7">
        <v>2</v>
      </c>
      <c r="AH7">
        <v>5</v>
      </c>
    </row>
    <row r="8" spans="1:34">
      <c r="A8" s="109">
        <v>97</v>
      </c>
      <c r="B8">
        <v>4204</v>
      </c>
      <c r="C8" s="113" t="s">
        <v>355</v>
      </c>
      <c r="D8" s="113" t="s">
        <v>86</v>
      </c>
      <c r="E8">
        <v>1909</v>
      </c>
      <c r="F8">
        <v>1912</v>
      </c>
      <c r="G8">
        <v>400</v>
      </c>
      <c r="H8" s="113" t="s">
        <v>85</v>
      </c>
      <c r="I8">
        <v>4626</v>
      </c>
      <c r="J8" s="113" t="s">
        <v>982</v>
      </c>
      <c r="K8" s="113" t="s">
        <v>86</v>
      </c>
      <c r="L8">
        <v>4240</v>
      </c>
      <c r="M8">
        <v>4215</v>
      </c>
      <c r="N8">
        <v>200</v>
      </c>
      <c r="O8" s="113" t="s">
        <v>87</v>
      </c>
      <c r="P8">
        <v>0.92709314171662605</v>
      </c>
      <c r="Q8">
        <v>0.91878693113399801</v>
      </c>
      <c r="R8">
        <v>0.222991685904188</v>
      </c>
      <c r="S8" s="20">
        <v>0.16362977765890799</v>
      </c>
      <c r="T8">
        <v>-0.706550887161007</v>
      </c>
      <c r="U8">
        <v>0.706550887161007</v>
      </c>
      <c r="V8">
        <v>-2.61</v>
      </c>
      <c r="W8">
        <v>9.2799999999999994</v>
      </c>
      <c r="X8">
        <v>440364</v>
      </c>
      <c r="Y8">
        <v>23177</v>
      </c>
      <c r="Z8">
        <v>1.21</v>
      </c>
      <c r="AA8">
        <v>19</v>
      </c>
      <c r="AB8">
        <v>13</v>
      </c>
      <c r="AC8">
        <v>6</v>
      </c>
      <c r="AD8">
        <v>68.42</v>
      </c>
      <c r="AE8">
        <v>15</v>
      </c>
      <c r="AF8">
        <v>9</v>
      </c>
      <c r="AG8">
        <v>1</v>
      </c>
      <c r="AH8">
        <v>9</v>
      </c>
    </row>
    <row r="9" spans="1:34">
      <c r="A9" s="109">
        <v>20</v>
      </c>
      <c r="B9">
        <v>5991</v>
      </c>
      <c r="C9" s="113" t="s">
        <v>140</v>
      </c>
      <c r="D9" s="113" t="s">
        <v>141</v>
      </c>
      <c r="E9">
        <v>1008</v>
      </c>
      <c r="F9">
        <v>1005</v>
      </c>
      <c r="G9">
        <v>900</v>
      </c>
      <c r="H9" s="113" t="s">
        <v>87</v>
      </c>
      <c r="I9">
        <v>7272</v>
      </c>
      <c r="J9" s="113" t="s">
        <v>330</v>
      </c>
      <c r="K9" s="113" t="s">
        <v>109</v>
      </c>
      <c r="L9">
        <v>2285</v>
      </c>
      <c r="M9">
        <v>2282</v>
      </c>
      <c r="N9">
        <v>400</v>
      </c>
      <c r="O9" s="113" t="s">
        <v>85</v>
      </c>
      <c r="P9">
        <v>0.92277525909819902</v>
      </c>
      <c r="Q9">
        <v>0.94890718150421005</v>
      </c>
      <c r="R9">
        <v>0.37477643653681902</v>
      </c>
      <c r="S9" s="20">
        <v>9.0018633252503005E-2</v>
      </c>
      <c r="T9">
        <v>1.3395930861238401</v>
      </c>
      <c r="U9">
        <v>1.3395930861238401</v>
      </c>
      <c r="V9">
        <v>3.74</v>
      </c>
      <c r="W9">
        <v>0.91</v>
      </c>
      <c r="X9">
        <v>439510</v>
      </c>
      <c r="Y9">
        <v>25854</v>
      </c>
      <c r="Z9">
        <v>1.27</v>
      </c>
      <c r="AA9">
        <v>17</v>
      </c>
      <c r="AB9">
        <v>13</v>
      </c>
      <c r="AC9">
        <v>4</v>
      </c>
      <c r="AD9">
        <v>76.47</v>
      </c>
      <c r="AE9">
        <v>13</v>
      </c>
      <c r="AF9">
        <v>9</v>
      </c>
      <c r="AG9">
        <v>1</v>
      </c>
      <c r="AH9">
        <v>7</v>
      </c>
    </row>
    <row r="10" spans="1:34">
      <c r="A10" s="109">
        <v>14</v>
      </c>
      <c r="B10">
        <v>5991</v>
      </c>
      <c r="C10" s="113" t="s">
        <v>140</v>
      </c>
      <c r="D10" s="113" t="s">
        <v>141</v>
      </c>
      <c r="E10">
        <v>1008</v>
      </c>
      <c r="F10">
        <v>1005</v>
      </c>
      <c r="G10">
        <v>1000</v>
      </c>
      <c r="H10" s="113" t="s">
        <v>87</v>
      </c>
      <c r="I10">
        <v>7278</v>
      </c>
      <c r="J10" s="113" t="s">
        <v>108</v>
      </c>
      <c r="K10" s="113" t="s">
        <v>109</v>
      </c>
      <c r="L10">
        <v>2551</v>
      </c>
      <c r="M10">
        <v>2542</v>
      </c>
      <c r="N10">
        <v>400</v>
      </c>
      <c r="O10" s="113" t="s">
        <v>85</v>
      </c>
      <c r="P10">
        <v>0.93236469319826398</v>
      </c>
      <c r="Q10">
        <v>0.95220158015322998</v>
      </c>
      <c r="R10">
        <v>0.219382995517067</v>
      </c>
      <c r="S10">
        <v>7.5769912418846199E-3</v>
      </c>
      <c r="T10">
        <v>0.78305567572484303</v>
      </c>
      <c r="U10">
        <v>0.78305567572484303</v>
      </c>
      <c r="V10">
        <v>1.97</v>
      </c>
      <c r="W10">
        <v>1.1599999999999999</v>
      </c>
      <c r="X10">
        <v>437615</v>
      </c>
      <c r="Y10">
        <v>24312</v>
      </c>
      <c r="Z10">
        <v>1.1399999999999999</v>
      </c>
      <c r="AA10">
        <v>18</v>
      </c>
      <c r="AB10">
        <v>13</v>
      </c>
      <c r="AC10">
        <v>5</v>
      </c>
      <c r="AD10">
        <v>72.22</v>
      </c>
      <c r="AE10">
        <v>13</v>
      </c>
      <c r="AF10">
        <v>8</v>
      </c>
      <c r="AG10">
        <v>1</v>
      </c>
      <c r="AH10">
        <v>9</v>
      </c>
    </row>
    <row r="11" spans="1:34">
      <c r="A11" s="109">
        <v>40</v>
      </c>
      <c r="B11">
        <v>1973</v>
      </c>
      <c r="C11" s="113" t="s">
        <v>341</v>
      </c>
      <c r="D11" s="113" t="s">
        <v>104</v>
      </c>
      <c r="E11">
        <v>3630</v>
      </c>
      <c r="F11">
        <v>3625</v>
      </c>
      <c r="G11">
        <v>300</v>
      </c>
      <c r="H11" s="113" t="s">
        <v>87</v>
      </c>
      <c r="I11">
        <v>3635</v>
      </c>
      <c r="J11" s="113" t="s">
        <v>110</v>
      </c>
      <c r="K11" s="113" t="s">
        <v>104</v>
      </c>
      <c r="L11">
        <v>2647</v>
      </c>
      <c r="M11">
        <v>2693</v>
      </c>
      <c r="N11">
        <v>400</v>
      </c>
      <c r="O11" s="113" t="s">
        <v>85</v>
      </c>
      <c r="P11">
        <v>0.95181749481290201</v>
      </c>
      <c r="Q11">
        <v>0.93920572264879698</v>
      </c>
      <c r="R11">
        <v>8.9919126419878304E-3</v>
      </c>
      <c r="S11">
        <v>1.92696718543642E-2</v>
      </c>
      <c r="T11">
        <v>1.1037432450784701</v>
      </c>
      <c r="U11">
        <v>1.1037432450784701</v>
      </c>
      <c r="V11">
        <v>3.14</v>
      </c>
      <c r="W11">
        <v>0.95</v>
      </c>
      <c r="X11">
        <v>416117</v>
      </c>
      <c r="Y11">
        <v>26007</v>
      </c>
      <c r="Z11">
        <v>1.37</v>
      </c>
      <c r="AA11">
        <v>16</v>
      </c>
      <c r="AB11">
        <v>12</v>
      </c>
      <c r="AC11">
        <v>4</v>
      </c>
      <c r="AD11">
        <v>75</v>
      </c>
      <c r="AE11">
        <v>13</v>
      </c>
      <c r="AF11">
        <v>8</v>
      </c>
      <c r="AG11">
        <v>1</v>
      </c>
      <c r="AH11">
        <v>7</v>
      </c>
    </row>
    <row r="12" spans="1:34">
      <c r="A12" s="109">
        <v>44</v>
      </c>
      <c r="B12">
        <v>4062</v>
      </c>
      <c r="C12" s="113" t="s">
        <v>357</v>
      </c>
      <c r="D12" s="113" t="s">
        <v>112</v>
      </c>
      <c r="E12">
        <v>2586</v>
      </c>
      <c r="F12">
        <v>2613</v>
      </c>
      <c r="G12">
        <v>300</v>
      </c>
      <c r="H12" s="113" t="s">
        <v>85</v>
      </c>
      <c r="I12">
        <v>8036</v>
      </c>
      <c r="J12" s="113" t="s">
        <v>352</v>
      </c>
      <c r="K12" s="113" t="s">
        <v>126</v>
      </c>
      <c r="L12">
        <v>7500</v>
      </c>
      <c r="M12">
        <v>7440</v>
      </c>
      <c r="N12">
        <v>100</v>
      </c>
      <c r="O12" s="113" t="s">
        <v>87</v>
      </c>
      <c r="P12">
        <v>0.91743854937125602</v>
      </c>
      <c r="Q12">
        <v>0.93810217157229403</v>
      </c>
      <c r="R12">
        <v>0.201770702387257</v>
      </c>
      <c r="S12" s="20">
        <v>0.166373056595711</v>
      </c>
      <c r="T12">
        <v>-0.85109148913424004</v>
      </c>
      <c r="U12">
        <v>0.85109148913424004</v>
      </c>
      <c r="V12">
        <v>-2.2200000000000002</v>
      </c>
      <c r="W12">
        <v>5.36</v>
      </c>
      <c r="X12">
        <v>409387</v>
      </c>
      <c r="Y12">
        <v>29242</v>
      </c>
      <c r="Z12">
        <v>1.62</v>
      </c>
      <c r="AA12">
        <v>14</v>
      </c>
      <c r="AB12">
        <v>10</v>
      </c>
      <c r="AC12">
        <v>4</v>
      </c>
      <c r="AD12">
        <v>71.430000000000007</v>
      </c>
      <c r="AE12">
        <v>11</v>
      </c>
      <c r="AF12">
        <v>7</v>
      </c>
      <c r="AG12">
        <v>2</v>
      </c>
      <c r="AH12">
        <v>5</v>
      </c>
    </row>
    <row r="13" spans="1:34">
      <c r="A13" s="109">
        <v>161</v>
      </c>
      <c r="B13">
        <v>3861</v>
      </c>
      <c r="C13" s="113" t="s">
        <v>89</v>
      </c>
      <c r="D13" s="113" t="s">
        <v>105</v>
      </c>
      <c r="E13">
        <v>629</v>
      </c>
      <c r="F13">
        <v>626</v>
      </c>
      <c r="G13">
        <v>1700</v>
      </c>
      <c r="H13" s="113" t="s">
        <v>87</v>
      </c>
      <c r="I13">
        <v>4183</v>
      </c>
      <c r="J13" s="113" t="s">
        <v>331</v>
      </c>
      <c r="K13" s="113" t="s">
        <v>86</v>
      </c>
      <c r="L13">
        <v>2669</v>
      </c>
      <c r="M13">
        <v>2671</v>
      </c>
      <c r="N13">
        <v>400</v>
      </c>
      <c r="O13" s="113" t="s">
        <v>85</v>
      </c>
      <c r="P13">
        <v>0.91776842980573803</v>
      </c>
      <c r="Q13">
        <v>0.90549652536964198</v>
      </c>
      <c r="R13">
        <v>0.120868557286251</v>
      </c>
      <c r="S13">
        <v>0.15109379476906501</v>
      </c>
      <c r="T13">
        <v>1.41924286543029</v>
      </c>
      <c r="U13">
        <v>1.41924286543029</v>
      </c>
      <c r="V13">
        <v>5.96</v>
      </c>
      <c r="W13">
        <v>0.39</v>
      </c>
      <c r="X13">
        <v>408613</v>
      </c>
      <c r="Y13">
        <v>17766</v>
      </c>
      <c r="Z13">
        <v>0.95</v>
      </c>
      <c r="AA13">
        <v>23</v>
      </c>
      <c r="AB13">
        <v>15</v>
      </c>
      <c r="AC13">
        <v>8</v>
      </c>
      <c r="AD13">
        <v>65.22</v>
      </c>
      <c r="AE13">
        <v>13</v>
      </c>
      <c r="AF13">
        <v>10</v>
      </c>
      <c r="AG13">
        <v>4</v>
      </c>
      <c r="AH13">
        <v>9</v>
      </c>
    </row>
    <row r="14" spans="1:34">
      <c r="A14" s="109">
        <v>68</v>
      </c>
      <c r="B14">
        <v>1820</v>
      </c>
      <c r="C14" s="113" t="s">
        <v>147</v>
      </c>
      <c r="D14" s="113" t="s">
        <v>103</v>
      </c>
      <c r="E14">
        <v>2537</v>
      </c>
      <c r="F14">
        <v>2516</v>
      </c>
      <c r="G14">
        <v>400</v>
      </c>
      <c r="H14" s="113" t="s">
        <v>87</v>
      </c>
      <c r="I14">
        <v>5463</v>
      </c>
      <c r="J14" s="113" t="s">
        <v>167</v>
      </c>
      <c r="K14" s="113" t="s">
        <v>117</v>
      </c>
      <c r="L14">
        <v>3160</v>
      </c>
      <c r="M14">
        <v>3140</v>
      </c>
      <c r="N14">
        <v>300</v>
      </c>
      <c r="O14" s="113" t="s">
        <v>85</v>
      </c>
      <c r="P14">
        <v>0.91275615398910603</v>
      </c>
      <c r="Q14">
        <v>0.92915835205428299</v>
      </c>
      <c r="R14">
        <v>0.228082085198235</v>
      </c>
      <c r="S14">
        <v>7.4515302165550495E-2</v>
      </c>
      <c r="T14">
        <v>2.1996613163215599</v>
      </c>
      <c r="U14">
        <v>2.1996613163215599</v>
      </c>
      <c r="V14">
        <v>7.84</v>
      </c>
      <c r="W14">
        <v>6.84</v>
      </c>
      <c r="X14">
        <v>352998</v>
      </c>
      <c r="Y14">
        <v>19611</v>
      </c>
      <c r="Z14">
        <v>0.96</v>
      </c>
      <c r="AA14">
        <v>18</v>
      </c>
      <c r="AB14">
        <v>12</v>
      </c>
      <c r="AC14">
        <v>6</v>
      </c>
      <c r="AD14">
        <v>66.67</v>
      </c>
      <c r="AE14">
        <v>11</v>
      </c>
      <c r="AF14">
        <v>10</v>
      </c>
      <c r="AG14">
        <v>3</v>
      </c>
      <c r="AH14">
        <v>5</v>
      </c>
    </row>
    <row r="15" spans="1:34">
      <c r="A15" s="109">
        <v>74</v>
      </c>
      <c r="B15">
        <v>1820</v>
      </c>
      <c r="C15" s="113" t="s">
        <v>147</v>
      </c>
      <c r="D15" s="113" t="s">
        <v>103</v>
      </c>
      <c r="E15">
        <v>2537</v>
      </c>
      <c r="F15">
        <v>2516</v>
      </c>
      <c r="G15">
        <v>400</v>
      </c>
      <c r="H15" s="113" t="s">
        <v>87</v>
      </c>
      <c r="I15">
        <v>7278</v>
      </c>
      <c r="J15" s="113" t="s">
        <v>108</v>
      </c>
      <c r="K15" s="113" t="s">
        <v>109</v>
      </c>
      <c r="L15">
        <v>2551</v>
      </c>
      <c r="M15">
        <v>2542</v>
      </c>
      <c r="N15">
        <v>400</v>
      </c>
      <c r="O15" s="113" t="s">
        <v>85</v>
      </c>
      <c r="P15">
        <v>0.93399399500257896</v>
      </c>
      <c r="Q15">
        <v>0.92725806165019498</v>
      </c>
      <c r="R15" s="113">
        <v>0.15774490551179399</v>
      </c>
      <c r="S15">
        <v>1.5192205773916801E-2</v>
      </c>
      <c r="T15">
        <v>1.20453063293202</v>
      </c>
      <c r="U15">
        <v>1.20453063293202</v>
      </c>
      <c r="V15">
        <v>3.27</v>
      </c>
      <c r="W15">
        <v>1.02</v>
      </c>
      <c r="X15">
        <v>350930</v>
      </c>
      <c r="Y15">
        <v>25066</v>
      </c>
      <c r="Z15">
        <v>1.22</v>
      </c>
      <c r="AA15">
        <v>14</v>
      </c>
      <c r="AB15">
        <v>9</v>
      </c>
      <c r="AC15">
        <v>5</v>
      </c>
      <c r="AD15">
        <v>64.290000000000006</v>
      </c>
      <c r="AE15">
        <v>12</v>
      </c>
      <c r="AF15">
        <v>8</v>
      </c>
      <c r="AG15">
        <v>2</v>
      </c>
      <c r="AH15">
        <v>4</v>
      </c>
    </row>
    <row r="16" spans="1:34">
      <c r="A16" s="109">
        <v>79</v>
      </c>
      <c r="B16">
        <v>1963</v>
      </c>
      <c r="C16" s="113" t="s">
        <v>155</v>
      </c>
      <c r="D16" s="113" t="s">
        <v>103</v>
      </c>
      <c r="E16">
        <v>1746</v>
      </c>
      <c r="F16">
        <v>1700</v>
      </c>
      <c r="G16">
        <v>500</v>
      </c>
      <c r="H16" s="113" t="s">
        <v>87</v>
      </c>
      <c r="I16">
        <v>7272</v>
      </c>
      <c r="J16" s="113" t="s">
        <v>330</v>
      </c>
      <c r="K16" s="113" t="s">
        <v>109</v>
      </c>
      <c r="L16">
        <v>2285</v>
      </c>
      <c r="M16">
        <v>2282</v>
      </c>
      <c r="N16">
        <v>400</v>
      </c>
      <c r="O16" s="113" t="s">
        <v>85</v>
      </c>
      <c r="P16">
        <v>0.93696314650288104</v>
      </c>
      <c r="Q16">
        <v>0.92587535958078604</v>
      </c>
      <c r="R16">
        <v>4.7102782851682103E-2</v>
      </c>
      <c r="S16" s="20">
        <v>2.2316683470443799E-5</v>
      </c>
      <c r="T16">
        <v>1.13246485928304</v>
      </c>
      <c r="U16">
        <v>1.13246485928304</v>
      </c>
      <c r="V16">
        <v>2.78</v>
      </c>
      <c r="W16">
        <v>6.88</v>
      </c>
      <c r="X16">
        <v>348955</v>
      </c>
      <c r="Y16">
        <v>16617</v>
      </c>
      <c r="Z16">
        <v>0.82</v>
      </c>
      <c r="AA16">
        <v>21</v>
      </c>
      <c r="AB16">
        <v>14</v>
      </c>
      <c r="AC16">
        <v>7</v>
      </c>
      <c r="AD16">
        <v>66.67</v>
      </c>
      <c r="AE16">
        <v>10</v>
      </c>
      <c r="AF16">
        <v>12</v>
      </c>
      <c r="AG16">
        <v>5</v>
      </c>
      <c r="AH16">
        <v>4</v>
      </c>
    </row>
    <row r="17" spans="1:34">
      <c r="A17" s="109">
        <v>41</v>
      </c>
      <c r="B17">
        <v>4182</v>
      </c>
      <c r="C17" s="113" t="s">
        <v>113</v>
      </c>
      <c r="D17" s="113" t="s">
        <v>86</v>
      </c>
      <c r="E17">
        <v>1696</v>
      </c>
      <c r="F17">
        <v>1677</v>
      </c>
      <c r="G17">
        <v>600</v>
      </c>
      <c r="H17" s="113" t="s">
        <v>85</v>
      </c>
      <c r="I17">
        <v>7278</v>
      </c>
      <c r="J17" s="113" t="s">
        <v>108</v>
      </c>
      <c r="K17" s="113" t="s">
        <v>109</v>
      </c>
      <c r="L17">
        <v>2551</v>
      </c>
      <c r="M17">
        <v>2542</v>
      </c>
      <c r="N17">
        <v>400</v>
      </c>
      <c r="O17" s="113" t="s">
        <v>87</v>
      </c>
      <c r="P17">
        <v>0.92961950838755703</v>
      </c>
      <c r="Q17">
        <v>0.93900620760686304</v>
      </c>
      <c r="R17">
        <v>1.7709765590845999E-2</v>
      </c>
      <c r="S17" s="20">
        <v>1.2157075395045101E-2</v>
      </c>
      <c r="T17">
        <v>-0.32411906239928301</v>
      </c>
      <c r="U17">
        <v>0.32411906239928301</v>
      </c>
      <c r="V17">
        <v>-1.03</v>
      </c>
      <c r="W17">
        <v>1.04</v>
      </c>
      <c r="X17">
        <v>344277</v>
      </c>
      <c r="Y17">
        <v>26483</v>
      </c>
      <c r="Z17">
        <v>1.33</v>
      </c>
      <c r="AA17">
        <v>13</v>
      </c>
      <c r="AB17">
        <v>8</v>
      </c>
      <c r="AC17">
        <v>5</v>
      </c>
      <c r="AD17">
        <v>61.54</v>
      </c>
      <c r="AE17">
        <v>10</v>
      </c>
      <c r="AF17">
        <v>7</v>
      </c>
      <c r="AG17">
        <v>3</v>
      </c>
      <c r="AH17">
        <v>3</v>
      </c>
    </row>
    <row r="18" spans="1:34">
      <c r="A18" s="109">
        <v>135</v>
      </c>
      <c r="B18">
        <v>5110</v>
      </c>
      <c r="C18" s="113" t="s">
        <v>153</v>
      </c>
      <c r="D18" s="113" t="s">
        <v>154</v>
      </c>
      <c r="E18">
        <v>1410</v>
      </c>
      <c r="F18">
        <v>1420</v>
      </c>
      <c r="G18">
        <v>700</v>
      </c>
      <c r="H18" s="113" t="s">
        <v>85</v>
      </c>
      <c r="I18">
        <v>6923</v>
      </c>
      <c r="J18" s="113" t="s">
        <v>137</v>
      </c>
      <c r="K18" s="113" t="s">
        <v>112</v>
      </c>
      <c r="L18">
        <v>3130</v>
      </c>
      <c r="M18">
        <v>3120</v>
      </c>
      <c r="N18">
        <v>300</v>
      </c>
      <c r="O18" s="113" t="s">
        <v>87</v>
      </c>
      <c r="P18">
        <v>0.90860670384931297</v>
      </c>
      <c r="Q18">
        <v>0.91046877438535301</v>
      </c>
      <c r="R18" s="113">
        <v>0.23844562203905501</v>
      </c>
      <c r="S18" s="20">
        <v>7.9212521059028401E-2</v>
      </c>
      <c r="T18">
        <v>-0.370195120655538</v>
      </c>
      <c r="U18">
        <v>0.370195120655538</v>
      </c>
      <c r="V18">
        <v>-0.68</v>
      </c>
      <c r="W18">
        <v>6.2</v>
      </c>
      <c r="X18">
        <v>336458</v>
      </c>
      <c r="Y18">
        <v>16823</v>
      </c>
      <c r="Z18">
        <v>1.01</v>
      </c>
      <c r="AA18">
        <v>20</v>
      </c>
      <c r="AB18">
        <v>12</v>
      </c>
      <c r="AC18">
        <v>8</v>
      </c>
      <c r="AD18">
        <v>60</v>
      </c>
      <c r="AE18">
        <v>14</v>
      </c>
      <c r="AF18">
        <v>8</v>
      </c>
      <c r="AG18">
        <v>0</v>
      </c>
      <c r="AH18">
        <v>12</v>
      </c>
    </row>
    <row r="19" spans="1:34">
      <c r="A19" s="109">
        <v>138</v>
      </c>
      <c r="B19">
        <v>6371</v>
      </c>
      <c r="C19" s="113" t="s">
        <v>133</v>
      </c>
      <c r="D19" s="113" t="s">
        <v>124</v>
      </c>
      <c r="E19">
        <v>3910</v>
      </c>
      <c r="F19">
        <v>3900</v>
      </c>
      <c r="G19">
        <v>200</v>
      </c>
      <c r="H19" s="113" t="s">
        <v>85</v>
      </c>
      <c r="I19">
        <v>7259</v>
      </c>
      <c r="J19" s="113" t="s">
        <v>53</v>
      </c>
      <c r="K19" s="113" t="s">
        <v>109</v>
      </c>
      <c r="L19">
        <v>4210</v>
      </c>
      <c r="M19">
        <v>4210</v>
      </c>
      <c r="N19">
        <v>200</v>
      </c>
      <c r="O19" s="113" t="s">
        <v>87</v>
      </c>
      <c r="P19">
        <v>0.961990840077252</v>
      </c>
      <c r="Q19">
        <v>0.90983349954796999</v>
      </c>
      <c r="R19" s="20">
        <v>8.1364845518471396E-4</v>
      </c>
      <c r="S19">
        <v>1.6807724152468999E-2</v>
      </c>
      <c r="T19">
        <v>-0.71331367453310102</v>
      </c>
      <c r="U19">
        <v>0.71331367453310102</v>
      </c>
      <c r="V19">
        <v>-3.8</v>
      </c>
      <c r="W19">
        <v>7.36</v>
      </c>
      <c r="X19">
        <v>326064</v>
      </c>
      <c r="Y19">
        <v>36229</v>
      </c>
      <c r="Z19">
        <v>2.0699999999999998</v>
      </c>
      <c r="AA19">
        <v>9</v>
      </c>
      <c r="AB19">
        <v>7</v>
      </c>
      <c r="AC19">
        <v>2</v>
      </c>
      <c r="AD19">
        <v>77.78</v>
      </c>
      <c r="AE19">
        <v>11</v>
      </c>
      <c r="AF19">
        <v>6</v>
      </c>
      <c r="AG19">
        <v>0</v>
      </c>
      <c r="AH19">
        <v>3</v>
      </c>
    </row>
    <row r="20" spans="1:34">
      <c r="A20" s="109">
        <v>142</v>
      </c>
      <c r="B20">
        <v>4208</v>
      </c>
      <c r="C20" s="113" t="s">
        <v>123</v>
      </c>
      <c r="D20" s="113" t="s">
        <v>86</v>
      </c>
      <c r="E20">
        <v>2386</v>
      </c>
      <c r="F20">
        <v>2376</v>
      </c>
      <c r="G20">
        <v>400</v>
      </c>
      <c r="H20" s="113" t="s">
        <v>85</v>
      </c>
      <c r="I20">
        <v>7762</v>
      </c>
      <c r="J20" s="113" t="s">
        <v>132</v>
      </c>
      <c r="K20" s="113" t="s">
        <v>118</v>
      </c>
      <c r="L20">
        <v>606</v>
      </c>
      <c r="M20">
        <v>610</v>
      </c>
      <c r="N20">
        <v>1600</v>
      </c>
      <c r="O20" s="113" t="s">
        <v>87</v>
      </c>
      <c r="P20">
        <v>0.92755040128306099</v>
      </c>
      <c r="Q20">
        <v>0.908483101469031</v>
      </c>
      <c r="R20">
        <v>2.62270107159501E-2</v>
      </c>
      <c r="S20">
        <v>4.3103173169650299E-3</v>
      </c>
      <c r="T20">
        <v>-1.2956912826145499</v>
      </c>
      <c r="U20">
        <v>1.2956912826145499</v>
      </c>
      <c r="V20">
        <v>-3.36</v>
      </c>
      <c r="W20">
        <v>2.69</v>
      </c>
      <c r="X20">
        <v>318939</v>
      </c>
      <c r="Y20">
        <v>22781</v>
      </c>
      <c r="Z20">
        <v>1.17</v>
      </c>
      <c r="AA20">
        <v>14</v>
      </c>
      <c r="AB20">
        <v>10</v>
      </c>
      <c r="AC20">
        <v>4</v>
      </c>
      <c r="AD20">
        <v>71.430000000000007</v>
      </c>
      <c r="AE20">
        <v>13</v>
      </c>
      <c r="AF20">
        <v>5</v>
      </c>
      <c r="AG20">
        <v>1</v>
      </c>
      <c r="AH20">
        <v>8</v>
      </c>
    </row>
    <row r="21" spans="1:34">
      <c r="A21" s="109">
        <v>150</v>
      </c>
      <c r="B21">
        <v>4182</v>
      </c>
      <c r="C21" s="113" t="s">
        <v>113</v>
      </c>
      <c r="D21" s="113" t="s">
        <v>86</v>
      </c>
      <c r="E21">
        <v>1696</v>
      </c>
      <c r="F21">
        <v>1677</v>
      </c>
      <c r="G21">
        <v>600</v>
      </c>
      <c r="H21" s="113" t="s">
        <v>87</v>
      </c>
      <c r="I21">
        <v>4208</v>
      </c>
      <c r="J21" s="113" t="s">
        <v>123</v>
      </c>
      <c r="K21" s="113" t="s">
        <v>86</v>
      </c>
      <c r="L21">
        <v>2386</v>
      </c>
      <c r="M21">
        <v>2376</v>
      </c>
      <c r="N21">
        <v>400</v>
      </c>
      <c r="O21" s="113" t="s">
        <v>85</v>
      </c>
      <c r="P21">
        <v>0.91215675696313103</v>
      </c>
      <c r="Q21">
        <v>0.90772329822291498</v>
      </c>
      <c r="R21">
        <v>7.7262694521019498E-2</v>
      </c>
      <c r="S21" s="113">
        <v>8.90836150850291E-2</v>
      </c>
      <c r="T21">
        <v>1.13547266105511</v>
      </c>
      <c r="U21">
        <v>1.13547266105511</v>
      </c>
      <c r="V21">
        <v>5.43</v>
      </c>
      <c r="W21">
        <v>5.87</v>
      </c>
      <c r="X21">
        <v>318670</v>
      </c>
      <c r="Y21">
        <v>16772</v>
      </c>
      <c r="Z21">
        <v>0.88</v>
      </c>
      <c r="AA21">
        <v>19</v>
      </c>
      <c r="AB21">
        <v>13</v>
      </c>
      <c r="AC21">
        <v>6</v>
      </c>
      <c r="AD21">
        <v>68.42</v>
      </c>
      <c r="AE21">
        <v>13</v>
      </c>
      <c r="AF21">
        <v>8</v>
      </c>
      <c r="AG21">
        <v>2</v>
      </c>
      <c r="AH21">
        <v>9</v>
      </c>
    </row>
    <row r="22" spans="1:34">
      <c r="A22" s="109">
        <v>90</v>
      </c>
      <c r="B22">
        <v>5802</v>
      </c>
      <c r="C22" s="113" t="s">
        <v>156</v>
      </c>
      <c r="D22" s="113" t="s">
        <v>157</v>
      </c>
      <c r="E22">
        <v>1652</v>
      </c>
      <c r="F22">
        <v>1650</v>
      </c>
      <c r="G22">
        <v>700</v>
      </c>
      <c r="H22" s="113" t="s">
        <v>87</v>
      </c>
      <c r="I22">
        <v>6995</v>
      </c>
      <c r="J22" s="113" t="s">
        <v>116</v>
      </c>
      <c r="K22" s="113" t="s">
        <v>109</v>
      </c>
      <c r="L22">
        <v>2166</v>
      </c>
      <c r="M22">
        <v>2193</v>
      </c>
      <c r="N22">
        <v>500</v>
      </c>
      <c r="O22" s="113" t="s">
        <v>85</v>
      </c>
      <c r="P22">
        <v>0.95587188670697498</v>
      </c>
      <c r="Q22">
        <v>0.92225908551689895</v>
      </c>
      <c r="R22" s="20">
        <v>0.2373610370482</v>
      </c>
      <c r="S22" s="20">
        <v>0.19565031551106901</v>
      </c>
      <c r="T22">
        <v>0.54834645930496595</v>
      </c>
      <c r="U22">
        <v>0.54834645930496595</v>
      </c>
      <c r="V22">
        <v>0.96</v>
      </c>
      <c r="W22">
        <v>5.34</v>
      </c>
      <c r="X22">
        <v>306631</v>
      </c>
      <c r="Y22">
        <v>18037</v>
      </c>
      <c r="Z22">
        <v>0.89</v>
      </c>
      <c r="AA22">
        <v>17</v>
      </c>
      <c r="AB22">
        <v>11</v>
      </c>
      <c r="AC22">
        <v>6</v>
      </c>
      <c r="AD22">
        <v>64.709999999999994</v>
      </c>
      <c r="AE22">
        <v>15</v>
      </c>
      <c r="AF22">
        <v>6</v>
      </c>
      <c r="AG22">
        <v>0</v>
      </c>
      <c r="AH22">
        <v>11</v>
      </c>
    </row>
    <row r="23" spans="1:34">
      <c r="A23" s="109">
        <v>35</v>
      </c>
      <c r="B23">
        <v>4182</v>
      </c>
      <c r="C23" s="113" t="s">
        <v>113</v>
      </c>
      <c r="D23" s="113" t="s">
        <v>86</v>
      </c>
      <c r="E23">
        <v>1696</v>
      </c>
      <c r="F23">
        <v>1677</v>
      </c>
      <c r="G23">
        <v>500</v>
      </c>
      <c r="H23" s="113" t="s">
        <v>87</v>
      </c>
      <c r="I23">
        <v>7272</v>
      </c>
      <c r="J23" s="113" t="s">
        <v>330</v>
      </c>
      <c r="K23" s="113" t="s">
        <v>109</v>
      </c>
      <c r="L23">
        <v>2285</v>
      </c>
      <c r="M23">
        <v>2282</v>
      </c>
      <c r="N23">
        <v>400</v>
      </c>
      <c r="O23" s="113" t="s">
        <v>85</v>
      </c>
      <c r="P23">
        <v>0.92256276909714297</v>
      </c>
      <c r="Q23">
        <v>0.94203387348974499</v>
      </c>
      <c r="R23" s="113">
        <v>1.31752436356086E-2</v>
      </c>
      <c r="S23">
        <v>2.39413604528566E-3</v>
      </c>
      <c r="T23">
        <v>0.29023312052772898</v>
      </c>
      <c r="U23">
        <v>0.29023312052772898</v>
      </c>
      <c r="V23">
        <v>0.81</v>
      </c>
      <c r="W23">
        <v>8.14</v>
      </c>
      <c r="X23">
        <v>303536</v>
      </c>
      <c r="Y23">
        <v>23349</v>
      </c>
      <c r="Z23">
        <v>1.1599999999999999</v>
      </c>
      <c r="AA23">
        <v>13</v>
      </c>
      <c r="AB23">
        <v>9</v>
      </c>
      <c r="AC23">
        <v>4</v>
      </c>
      <c r="AD23">
        <v>69.23</v>
      </c>
      <c r="AE23">
        <v>12</v>
      </c>
      <c r="AF23">
        <v>6</v>
      </c>
      <c r="AG23">
        <v>1</v>
      </c>
      <c r="AH23">
        <v>6</v>
      </c>
    </row>
    <row r="24" spans="1:34">
      <c r="A24" s="109">
        <v>114</v>
      </c>
      <c r="B24">
        <v>6988</v>
      </c>
      <c r="C24" s="113" t="s">
        <v>164</v>
      </c>
      <c r="D24" s="113" t="s">
        <v>86</v>
      </c>
      <c r="E24">
        <v>6120</v>
      </c>
      <c r="F24">
        <v>6170</v>
      </c>
      <c r="G24">
        <v>100</v>
      </c>
      <c r="H24" s="113" t="s">
        <v>85</v>
      </c>
      <c r="I24">
        <v>7272</v>
      </c>
      <c r="J24" s="113" t="s">
        <v>330</v>
      </c>
      <c r="K24" s="113" t="s">
        <v>109</v>
      </c>
      <c r="L24">
        <v>2285</v>
      </c>
      <c r="M24">
        <v>2282</v>
      </c>
      <c r="N24">
        <v>300</v>
      </c>
      <c r="O24" s="113" t="s">
        <v>87</v>
      </c>
      <c r="P24">
        <v>0.93709264886310495</v>
      </c>
      <c r="Q24">
        <v>0.91625267593498605</v>
      </c>
      <c r="R24" s="113">
        <v>0.216056516055388</v>
      </c>
      <c r="S24">
        <v>0.13919840841323899</v>
      </c>
      <c r="T24">
        <v>-0.471741197466091</v>
      </c>
      <c r="U24">
        <v>0.471741197466091</v>
      </c>
      <c r="V24">
        <v>-1.46</v>
      </c>
      <c r="W24">
        <v>10.96</v>
      </c>
      <c r="X24">
        <v>300982</v>
      </c>
      <c r="Y24">
        <v>25082</v>
      </c>
      <c r="Z24">
        <v>1.21</v>
      </c>
      <c r="AA24">
        <v>12</v>
      </c>
      <c r="AB24">
        <v>7</v>
      </c>
      <c r="AC24">
        <v>5</v>
      </c>
      <c r="AD24">
        <v>58.33</v>
      </c>
      <c r="AE24">
        <v>12</v>
      </c>
      <c r="AF24">
        <v>6</v>
      </c>
      <c r="AG24">
        <v>3</v>
      </c>
      <c r="AH24">
        <v>3</v>
      </c>
    </row>
    <row r="25" spans="1:34">
      <c r="A25" s="109">
        <v>7</v>
      </c>
      <c r="B25">
        <v>2413</v>
      </c>
      <c r="C25" s="113" t="s">
        <v>1314</v>
      </c>
      <c r="D25" s="113" t="s">
        <v>145</v>
      </c>
      <c r="E25">
        <v>3075</v>
      </c>
      <c r="F25">
        <v>3085</v>
      </c>
      <c r="G25">
        <v>200</v>
      </c>
      <c r="H25" s="113" t="s">
        <v>85</v>
      </c>
      <c r="I25">
        <v>4686</v>
      </c>
      <c r="J25" s="113" t="s">
        <v>1315</v>
      </c>
      <c r="K25" s="113" t="s">
        <v>104</v>
      </c>
      <c r="L25">
        <v>5820</v>
      </c>
      <c r="M25">
        <v>6050</v>
      </c>
      <c r="N25">
        <v>100</v>
      </c>
      <c r="O25" s="113" t="s">
        <v>87</v>
      </c>
      <c r="P25">
        <v>0.93836369356549998</v>
      </c>
      <c r="Q25">
        <v>0.95988636023379303</v>
      </c>
      <c r="R25">
        <v>0.11210019890581301</v>
      </c>
      <c r="S25" s="113">
        <v>2.46904824763951E-2</v>
      </c>
      <c r="T25">
        <v>-1.50397458779247</v>
      </c>
      <c r="U25">
        <v>1.50397458779247</v>
      </c>
      <c r="V25">
        <v>-15.2</v>
      </c>
      <c r="W25">
        <v>1.98</v>
      </c>
      <c r="X25">
        <v>295619</v>
      </c>
      <c r="Y25">
        <v>16423</v>
      </c>
      <c r="Z25">
        <v>0.89</v>
      </c>
      <c r="AA25">
        <v>18</v>
      </c>
      <c r="AB25">
        <v>11</v>
      </c>
      <c r="AC25">
        <v>7</v>
      </c>
      <c r="AD25">
        <v>61.11</v>
      </c>
      <c r="AE25">
        <v>10</v>
      </c>
      <c r="AF25">
        <v>10</v>
      </c>
      <c r="AG25">
        <v>5</v>
      </c>
      <c r="AH25">
        <v>3</v>
      </c>
    </row>
    <row r="26" spans="1:34">
      <c r="A26" s="109">
        <v>66</v>
      </c>
      <c r="B26">
        <v>5393</v>
      </c>
      <c r="C26" s="113" t="s">
        <v>364</v>
      </c>
      <c r="D26" s="113" t="s">
        <v>131</v>
      </c>
      <c r="E26">
        <v>2705</v>
      </c>
      <c r="F26">
        <v>2691</v>
      </c>
      <c r="G26">
        <v>300</v>
      </c>
      <c r="H26" s="113" t="s">
        <v>87</v>
      </c>
      <c r="I26">
        <v>5947</v>
      </c>
      <c r="J26" s="113" t="s">
        <v>356</v>
      </c>
      <c r="K26" s="113" t="s">
        <v>141</v>
      </c>
      <c r="L26">
        <v>8460</v>
      </c>
      <c r="M26">
        <v>8500</v>
      </c>
      <c r="N26">
        <v>100</v>
      </c>
      <c r="O26" s="113" t="s">
        <v>85</v>
      </c>
      <c r="P26">
        <v>0.95957021445430002</v>
      </c>
      <c r="Q26">
        <v>0.92999557683247303</v>
      </c>
      <c r="R26" s="20">
        <v>6.2669698295029996E-2</v>
      </c>
      <c r="S26">
        <v>3.4185267124402202E-2</v>
      </c>
      <c r="T26">
        <v>1.9114308710458301</v>
      </c>
      <c r="U26">
        <v>1.9114308710458301</v>
      </c>
      <c r="V26">
        <v>12.36</v>
      </c>
      <c r="W26">
        <v>5.0199999999999996</v>
      </c>
      <c r="X26">
        <v>284943</v>
      </c>
      <c r="Y26">
        <v>23745</v>
      </c>
      <c r="Z26">
        <v>1.3</v>
      </c>
      <c r="AA26">
        <v>12</v>
      </c>
      <c r="AB26">
        <v>8</v>
      </c>
      <c r="AC26">
        <v>4</v>
      </c>
      <c r="AD26">
        <v>66.67</v>
      </c>
      <c r="AE26">
        <v>11</v>
      </c>
      <c r="AF26">
        <v>6</v>
      </c>
      <c r="AG26">
        <v>3</v>
      </c>
      <c r="AH26">
        <v>3</v>
      </c>
    </row>
    <row r="27" spans="1:34">
      <c r="A27" s="109">
        <v>23</v>
      </c>
      <c r="B27">
        <v>6752</v>
      </c>
      <c r="C27" s="113" t="s">
        <v>130</v>
      </c>
      <c r="D27" s="113" t="s">
        <v>112</v>
      </c>
      <c r="E27">
        <v>1057.5</v>
      </c>
      <c r="F27">
        <v>1057.5</v>
      </c>
      <c r="G27">
        <v>1000</v>
      </c>
      <c r="H27" s="113" t="s">
        <v>87</v>
      </c>
      <c r="I27">
        <v>7278</v>
      </c>
      <c r="J27" s="113" t="s">
        <v>108</v>
      </c>
      <c r="K27" s="113" t="s">
        <v>109</v>
      </c>
      <c r="L27">
        <v>2551</v>
      </c>
      <c r="M27">
        <v>2542</v>
      </c>
      <c r="N27">
        <v>400</v>
      </c>
      <c r="O27" s="113" t="s">
        <v>85</v>
      </c>
      <c r="P27">
        <v>0.92728253647832604</v>
      </c>
      <c r="Q27">
        <v>0.94629367638421302</v>
      </c>
      <c r="R27" s="113">
        <v>7.7984452375379296E-3</v>
      </c>
      <c r="S27" s="113">
        <v>2.7721689369613402E-4</v>
      </c>
      <c r="T27">
        <v>0.35312017141054702</v>
      </c>
      <c r="U27">
        <v>0.35312017141054702</v>
      </c>
      <c r="V27">
        <v>0.89</v>
      </c>
      <c r="W27">
        <v>4</v>
      </c>
      <c r="X27">
        <v>283523</v>
      </c>
      <c r="Y27">
        <v>14922</v>
      </c>
      <c r="Z27">
        <v>0.75</v>
      </c>
      <c r="AA27">
        <v>19</v>
      </c>
      <c r="AB27">
        <v>11</v>
      </c>
      <c r="AC27">
        <v>8</v>
      </c>
      <c r="AD27">
        <v>57.89</v>
      </c>
      <c r="AE27">
        <v>11</v>
      </c>
      <c r="AF27">
        <v>8</v>
      </c>
      <c r="AG27">
        <v>2</v>
      </c>
      <c r="AH27">
        <v>9</v>
      </c>
    </row>
    <row r="28" spans="1:34">
      <c r="A28" s="109">
        <v>82</v>
      </c>
      <c r="B28">
        <v>6588</v>
      </c>
      <c r="C28" s="113" t="s">
        <v>989</v>
      </c>
      <c r="D28" s="113" t="s">
        <v>112</v>
      </c>
      <c r="E28">
        <v>4700</v>
      </c>
      <c r="F28">
        <v>4685</v>
      </c>
      <c r="G28">
        <v>200</v>
      </c>
      <c r="H28" s="113" t="s">
        <v>87</v>
      </c>
      <c r="I28">
        <v>8425</v>
      </c>
      <c r="J28" s="113" t="s">
        <v>350</v>
      </c>
      <c r="K28" s="113" t="s">
        <v>329</v>
      </c>
      <c r="L28">
        <v>3340</v>
      </c>
      <c r="M28">
        <v>3345</v>
      </c>
      <c r="N28">
        <v>300</v>
      </c>
      <c r="O28" s="113" t="s">
        <v>85</v>
      </c>
      <c r="P28">
        <v>0.93093672614459899</v>
      </c>
      <c r="Q28">
        <v>0.92485295426019798</v>
      </c>
      <c r="R28">
        <v>2.9013248904658898E-2</v>
      </c>
      <c r="S28">
        <v>2.87664600853328E-2</v>
      </c>
      <c r="T28">
        <v>1.7316341586353201</v>
      </c>
      <c r="U28">
        <v>1.7316341586353201</v>
      </c>
      <c r="V28">
        <v>12.62</v>
      </c>
      <c r="W28">
        <v>7.1</v>
      </c>
      <c r="X28">
        <v>276730</v>
      </c>
      <c r="Y28">
        <v>21287</v>
      </c>
      <c r="Z28">
        <v>1.08</v>
      </c>
      <c r="AA28">
        <v>13</v>
      </c>
      <c r="AB28">
        <v>9</v>
      </c>
      <c r="AC28">
        <v>4</v>
      </c>
      <c r="AD28">
        <v>69.23</v>
      </c>
      <c r="AE28">
        <v>13</v>
      </c>
      <c r="AF28">
        <v>5</v>
      </c>
      <c r="AG28">
        <v>1</v>
      </c>
      <c r="AH28">
        <v>7</v>
      </c>
    </row>
    <row r="29" spans="1:34">
      <c r="A29" s="109">
        <v>116</v>
      </c>
      <c r="B29">
        <v>6287</v>
      </c>
      <c r="C29" s="113" t="s">
        <v>985</v>
      </c>
      <c r="D29" s="113" t="s">
        <v>124</v>
      </c>
      <c r="E29">
        <v>3410</v>
      </c>
      <c r="F29">
        <v>3425</v>
      </c>
      <c r="G29">
        <v>300</v>
      </c>
      <c r="H29" s="113" t="s">
        <v>87</v>
      </c>
      <c r="I29">
        <v>6465</v>
      </c>
      <c r="J29" s="113" t="s">
        <v>986</v>
      </c>
      <c r="K29" s="113" t="s">
        <v>124</v>
      </c>
      <c r="L29">
        <v>9840</v>
      </c>
      <c r="M29">
        <v>9820</v>
      </c>
      <c r="N29">
        <v>100</v>
      </c>
      <c r="O29" s="113" t="s">
        <v>85</v>
      </c>
      <c r="P29">
        <v>0.960011498227059</v>
      </c>
      <c r="Q29">
        <v>0.91578035038669703</v>
      </c>
      <c r="R29" s="20">
        <v>0.30023440074986602</v>
      </c>
      <c r="S29" s="20">
        <v>3.1272842624314297E-2</v>
      </c>
      <c r="T29">
        <v>0.60901571769664598</v>
      </c>
      <c r="U29">
        <v>0.60901571769664598</v>
      </c>
      <c r="V29">
        <v>1.1499999999999999</v>
      </c>
      <c r="W29">
        <v>4.63</v>
      </c>
      <c r="X29">
        <v>272271</v>
      </c>
      <c r="Y29">
        <v>22689</v>
      </c>
      <c r="Z29">
        <v>1.55</v>
      </c>
      <c r="AA29">
        <v>12</v>
      </c>
      <c r="AB29">
        <v>7</v>
      </c>
      <c r="AC29">
        <v>5</v>
      </c>
      <c r="AD29">
        <v>58.33</v>
      </c>
      <c r="AE29">
        <v>12</v>
      </c>
      <c r="AF29">
        <v>5</v>
      </c>
      <c r="AG29">
        <v>3</v>
      </c>
      <c r="AH29">
        <v>4</v>
      </c>
    </row>
    <row r="30" spans="1:34">
      <c r="A30" s="109">
        <v>12</v>
      </c>
      <c r="B30">
        <v>3635</v>
      </c>
      <c r="C30" s="113" t="s">
        <v>110</v>
      </c>
      <c r="D30" s="113" t="s">
        <v>104</v>
      </c>
      <c r="E30">
        <v>2647</v>
      </c>
      <c r="F30">
        <v>2693</v>
      </c>
      <c r="G30">
        <v>400</v>
      </c>
      <c r="H30" s="113" t="s">
        <v>85</v>
      </c>
      <c r="I30">
        <v>4062</v>
      </c>
      <c r="J30" s="113" t="s">
        <v>357</v>
      </c>
      <c r="K30" s="113" t="s">
        <v>112</v>
      </c>
      <c r="L30">
        <v>2586</v>
      </c>
      <c r="M30">
        <v>2613</v>
      </c>
      <c r="N30">
        <v>400</v>
      </c>
      <c r="O30" s="113" t="s">
        <v>87</v>
      </c>
      <c r="P30">
        <v>0.92748768332392295</v>
      </c>
      <c r="Q30">
        <v>0.95381608385544203</v>
      </c>
      <c r="R30">
        <v>2.7576239646453001E-2</v>
      </c>
      <c r="S30" s="20">
        <v>0.165720300174898</v>
      </c>
      <c r="T30">
        <v>-0.14348144477875299</v>
      </c>
      <c r="U30">
        <v>0.14348144477875299</v>
      </c>
      <c r="V30">
        <v>-0.41</v>
      </c>
      <c r="W30">
        <v>2.97</v>
      </c>
      <c r="X30">
        <v>272145</v>
      </c>
      <c r="Y30">
        <v>20934</v>
      </c>
      <c r="Z30">
        <v>1.08</v>
      </c>
      <c r="AA30">
        <v>13</v>
      </c>
      <c r="AB30">
        <v>8</v>
      </c>
      <c r="AC30">
        <v>5</v>
      </c>
      <c r="AD30">
        <v>61.54</v>
      </c>
      <c r="AE30">
        <v>12</v>
      </c>
      <c r="AF30">
        <v>6</v>
      </c>
      <c r="AG30">
        <v>2</v>
      </c>
      <c r="AH30">
        <v>5</v>
      </c>
    </row>
    <row r="31" spans="1:34">
      <c r="A31" s="109">
        <v>18</v>
      </c>
      <c r="B31">
        <v>3105</v>
      </c>
      <c r="C31" s="113" t="s">
        <v>115</v>
      </c>
      <c r="D31" s="113" t="s">
        <v>112</v>
      </c>
      <c r="E31">
        <v>1050</v>
      </c>
      <c r="F31">
        <v>1045</v>
      </c>
      <c r="G31">
        <v>1000</v>
      </c>
      <c r="H31" s="113" t="s">
        <v>85</v>
      </c>
      <c r="I31">
        <v>7282</v>
      </c>
      <c r="J31" s="113" t="s">
        <v>987</v>
      </c>
      <c r="K31" s="113" t="s">
        <v>109</v>
      </c>
      <c r="L31">
        <v>2655</v>
      </c>
      <c r="M31">
        <v>2710</v>
      </c>
      <c r="N31">
        <v>400</v>
      </c>
      <c r="O31" s="113" t="s">
        <v>87</v>
      </c>
      <c r="P31">
        <v>0.94022055378563296</v>
      </c>
      <c r="Q31">
        <v>0.95026572844892099</v>
      </c>
      <c r="R31">
        <v>0.10421348908769799</v>
      </c>
      <c r="S31">
        <v>5.98403361601752E-2</v>
      </c>
      <c r="T31">
        <v>-0.30308270294038597</v>
      </c>
      <c r="U31">
        <v>0.30308270294038597</v>
      </c>
      <c r="V31">
        <v>-0.91</v>
      </c>
      <c r="W31">
        <v>3.6</v>
      </c>
      <c r="X31">
        <v>268452</v>
      </c>
      <c r="Y31">
        <v>11672</v>
      </c>
      <c r="Z31">
        <v>0.57999999999999996</v>
      </c>
      <c r="AA31">
        <v>23</v>
      </c>
      <c r="AB31">
        <v>14</v>
      </c>
      <c r="AC31">
        <v>9</v>
      </c>
      <c r="AD31">
        <v>60.87</v>
      </c>
      <c r="AE31">
        <v>11</v>
      </c>
      <c r="AF31">
        <v>10</v>
      </c>
      <c r="AG31">
        <v>7</v>
      </c>
      <c r="AH31">
        <v>6</v>
      </c>
    </row>
    <row r="32" spans="1:34">
      <c r="A32" s="109">
        <v>25</v>
      </c>
      <c r="B32">
        <v>6457</v>
      </c>
      <c r="C32" s="113" t="s">
        <v>345</v>
      </c>
      <c r="D32" s="113" t="s">
        <v>124</v>
      </c>
      <c r="E32">
        <v>3350</v>
      </c>
      <c r="F32">
        <v>3355</v>
      </c>
      <c r="G32">
        <v>300</v>
      </c>
      <c r="H32" s="113" t="s">
        <v>85</v>
      </c>
      <c r="I32">
        <v>8593</v>
      </c>
      <c r="J32" s="113" t="s">
        <v>342</v>
      </c>
      <c r="K32" s="113" t="s">
        <v>329</v>
      </c>
      <c r="L32">
        <v>705</v>
      </c>
      <c r="M32">
        <v>710</v>
      </c>
      <c r="N32">
        <v>1400</v>
      </c>
      <c r="O32" s="113" t="s">
        <v>87</v>
      </c>
      <c r="P32">
        <v>0.93274845228971603</v>
      </c>
      <c r="Q32">
        <v>0.94617383476726802</v>
      </c>
      <c r="R32">
        <v>5.0059352286250698E-3</v>
      </c>
      <c r="S32" s="113">
        <v>3.4830514513899701E-3</v>
      </c>
      <c r="T32">
        <v>-0.80727386817327995</v>
      </c>
      <c r="U32">
        <v>0.80727386817327995</v>
      </c>
      <c r="V32">
        <v>-1.87</v>
      </c>
      <c r="W32">
        <v>1.24</v>
      </c>
      <c r="X32">
        <v>267124</v>
      </c>
      <c r="Y32">
        <v>14840</v>
      </c>
      <c r="Z32">
        <v>0.88</v>
      </c>
      <c r="AA32">
        <v>18</v>
      </c>
      <c r="AB32">
        <v>11</v>
      </c>
      <c r="AC32">
        <v>7</v>
      </c>
      <c r="AD32">
        <v>61.11</v>
      </c>
      <c r="AE32">
        <v>12</v>
      </c>
      <c r="AF32">
        <v>8</v>
      </c>
      <c r="AG32">
        <v>3</v>
      </c>
      <c r="AH32">
        <v>7</v>
      </c>
    </row>
    <row r="33" spans="1:34">
      <c r="A33" s="109">
        <v>93</v>
      </c>
      <c r="B33">
        <v>6474</v>
      </c>
      <c r="C33" s="113" t="s">
        <v>346</v>
      </c>
      <c r="D33" s="113" t="s">
        <v>124</v>
      </c>
      <c r="E33">
        <v>5020</v>
      </c>
      <c r="F33">
        <v>5020</v>
      </c>
      <c r="G33">
        <v>200</v>
      </c>
      <c r="H33" s="113" t="s">
        <v>85</v>
      </c>
      <c r="I33">
        <v>6503</v>
      </c>
      <c r="J33" s="113" t="s">
        <v>347</v>
      </c>
      <c r="K33" s="113" t="s">
        <v>112</v>
      </c>
      <c r="L33">
        <v>1533.5</v>
      </c>
      <c r="M33">
        <v>1535</v>
      </c>
      <c r="N33">
        <v>700</v>
      </c>
      <c r="O33" s="113" t="s">
        <v>87</v>
      </c>
      <c r="P33">
        <v>0.92471731196512597</v>
      </c>
      <c r="Q33">
        <v>0.92027469677642404</v>
      </c>
      <c r="R33">
        <v>6.30149708506836E-3</v>
      </c>
      <c r="S33" s="113">
        <v>2.2820016712844501E-2</v>
      </c>
      <c r="T33">
        <v>-0.71482924442414197</v>
      </c>
      <c r="U33">
        <v>0.71482924442414197</v>
      </c>
      <c r="V33">
        <v>-1.36</v>
      </c>
      <c r="W33">
        <v>7.02</v>
      </c>
      <c r="X33">
        <v>266206</v>
      </c>
      <c r="Y33">
        <v>20477</v>
      </c>
      <c r="Z33">
        <v>1.38</v>
      </c>
      <c r="AA33">
        <v>13</v>
      </c>
      <c r="AB33">
        <v>10</v>
      </c>
      <c r="AC33">
        <v>3</v>
      </c>
      <c r="AD33">
        <v>76.92</v>
      </c>
      <c r="AE33">
        <v>11</v>
      </c>
      <c r="AF33">
        <v>8</v>
      </c>
      <c r="AG33">
        <v>1</v>
      </c>
      <c r="AH33">
        <v>4</v>
      </c>
    </row>
    <row r="34" spans="1:34">
      <c r="A34" s="109">
        <v>95</v>
      </c>
      <c r="B34">
        <v>7259</v>
      </c>
      <c r="C34" s="113" t="s">
        <v>53</v>
      </c>
      <c r="D34" s="113" t="s">
        <v>109</v>
      </c>
      <c r="E34">
        <v>4210</v>
      </c>
      <c r="F34">
        <v>4210</v>
      </c>
      <c r="G34">
        <v>200</v>
      </c>
      <c r="H34" s="113" t="s">
        <v>85</v>
      </c>
      <c r="I34">
        <v>7278</v>
      </c>
      <c r="J34" s="113" t="s">
        <v>108</v>
      </c>
      <c r="K34" s="113" t="s">
        <v>109</v>
      </c>
      <c r="L34">
        <v>2551</v>
      </c>
      <c r="M34">
        <v>2542</v>
      </c>
      <c r="N34">
        <v>300</v>
      </c>
      <c r="O34" s="113" t="s">
        <v>87</v>
      </c>
      <c r="P34">
        <v>0.97109392654618798</v>
      </c>
      <c r="Q34">
        <v>0.92006048212721303</v>
      </c>
      <c r="R34" s="20">
        <v>4.4878741822335401E-2</v>
      </c>
      <c r="S34">
        <v>0.25207429655282299</v>
      </c>
      <c r="T34">
        <v>-5.5072571668393598E-2</v>
      </c>
      <c r="U34">
        <v>5.5072571668393598E-2</v>
      </c>
      <c r="V34">
        <v>-0.18</v>
      </c>
      <c r="W34">
        <v>9.43</v>
      </c>
      <c r="X34">
        <v>265669</v>
      </c>
      <c r="Y34">
        <v>24152</v>
      </c>
      <c r="Z34">
        <v>1.6</v>
      </c>
      <c r="AA34">
        <v>11</v>
      </c>
      <c r="AB34">
        <v>9</v>
      </c>
      <c r="AC34">
        <v>2</v>
      </c>
      <c r="AD34">
        <v>81.819999999999993</v>
      </c>
      <c r="AE34">
        <v>14</v>
      </c>
      <c r="AF34">
        <v>3</v>
      </c>
      <c r="AG34">
        <v>1</v>
      </c>
      <c r="AH34">
        <v>7</v>
      </c>
    </row>
    <row r="35" spans="1:34">
      <c r="A35" s="109">
        <v>63</v>
      </c>
      <c r="B35">
        <v>6134</v>
      </c>
      <c r="C35" s="113" t="s">
        <v>983</v>
      </c>
      <c r="D35" s="113" t="s">
        <v>124</v>
      </c>
      <c r="E35">
        <v>1970</v>
      </c>
      <c r="F35">
        <v>1989</v>
      </c>
      <c r="G35">
        <v>400</v>
      </c>
      <c r="H35" s="113" t="s">
        <v>85</v>
      </c>
      <c r="I35">
        <v>7729</v>
      </c>
      <c r="J35" s="113" t="s">
        <v>1316</v>
      </c>
      <c r="K35" s="113" t="s">
        <v>118</v>
      </c>
      <c r="L35">
        <v>4065</v>
      </c>
      <c r="M35">
        <v>4080</v>
      </c>
      <c r="N35">
        <v>200</v>
      </c>
      <c r="O35" s="113" t="s">
        <v>87</v>
      </c>
      <c r="P35">
        <v>0.94659539950305804</v>
      </c>
      <c r="Q35">
        <v>0.93176249392007404</v>
      </c>
      <c r="R35" s="113">
        <v>0.344668760250601</v>
      </c>
      <c r="S35">
        <v>0.34941354942096697</v>
      </c>
      <c r="T35">
        <v>-0.86475833647375799</v>
      </c>
      <c r="U35">
        <v>0.86475833647375799</v>
      </c>
      <c r="V35">
        <v>-2.59</v>
      </c>
      <c r="W35">
        <v>2.5</v>
      </c>
      <c r="X35">
        <v>265624</v>
      </c>
      <c r="Y35">
        <v>14757</v>
      </c>
      <c r="Z35">
        <v>0.83</v>
      </c>
      <c r="AA35">
        <v>18</v>
      </c>
      <c r="AB35">
        <v>11</v>
      </c>
      <c r="AC35">
        <v>7</v>
      </c>
      <c r="AD35">
        <v>61.11</v>
      </c>
      <c r="AE35">
        <v>12</v>
      </c>
      <c r="AF35">
        <v>7</v>
      </c>
      <c r="AG35">
        <v>4</v>
      </c>
      <c r="AH35">
        <v>7</v>
      </c>
    </row>
    <row r="36" spans="1:34">
      <c r="A36" s="109">
        <v>45</v>
      </c>
      <c r="B36">
        <v>6807</v>
      </c>
      <c r="C36" s="113" t="s">
        <v>366</v>
      </c>
      <c r="D36" s="113" t="s">
        <v>112</v>
      </c>
      <c r="E36">
        <v>2235</v>
      </c>
      <c r="F36">
        <v>2229</v>
      </c>
      <c r="G36">
        <v>400</v>
      </c>
      <c r="H36" s="113" t="s">
        <v>85</v>
      </c>
      <c r="I36">
        <v>7274</v>
      </c>
      <c r="J36" s="113" t="s">
        <v>367</v>
      </c>
      <c r="K36" s="113" t="s">
        <v>109</v>
      </c>
      <c r="L36">
        <v>2274</v>
      </c>
      <c r="M36">
        <v>2273</v>
      </c>
      <c r="N36">
        <v>400</v>
      </c>
      <c r="O36" s="113" t="s">
        <v>87</v>
      </c>
      <c r="P36">
        <v>0.97594953490433001</v>
      </c>
      <c r="Q36">
        <v>0.93764078297480902</v>
      </c>
      <c r="R36">
        <v>3.8439369942948102E-3</v>
      </c>
      <c r="S36">
        <v>0.14393333340165401</v>
      </c>
      <c r="T36">
        <v>-0.22544803638609801</v>
      </c>
      <c r="U36">
        <v>0.22544803638609801</v>
      </c>
      <c r="V36">
        <v>-1.3</v>
      </c>
      <c r="W36">
        <v>1.94</v>
      </c>
      <c r="X36">
        <v>261307</v>
      </c>
      <c r="Y36">
        <v>13753</v>
      </c>
      <c r="Z36">
        <v>0.61</v>
      </c>
      <c r="AA36">
        <v>19</v>
      </c>
      <c r="AB36">
        <v>12</v>
      </c>
      <c r="AC36">
        <v>7</v>
      </c>
      <c r="AD36">
        <v>63.16</v>
      </c>
      <c r="AE36">
        <v>11</v>
      </c>
      <c r="AF36">
        <v>10</v>
      </c>
      <c r="AG36">
        <v>4</v>
      </c>
      <c r="AH36">
        <v>5</v>
      </c>
    </row>
    <row r="37" spans="1:34">
      <c r="A37" s="109">
        <v>103</v>
      </c>
      <c r="B37">
        <v>1963</v>
      </c>
      <c r="C37" s="113" t="s">
        <v>155</v>
      </c>
      <c r="D37" s="113" t="s">
        <v>103</v>
      </c>
      <c r="E37">
        <v>1746</v>
      </c>
      <c r="F37">
        <v>1700</v>
      </c>
      <c r="G37">
        <v>600</v>
      </c>
      <c r="H37" s="113" t="s">
        <v>87</v>
      </c>
      <c r="I37">
        <v>7267</v>
      </c>
      <c r="J37" s="113" t="s">
        <v>143</v>
      </c>
      <c r="K37" s="113" t="s">
        <v>109</v>
      </c>
      <c r="L37">
        <v>3141</v>
      </c>
      <c r="M37">
        <v>3135</v>
      </c>
      <c r="N37">
        <v>300</v>
      </c>
      <c r="O37" s="113" t="s">
        <v>85</v>
      </c>
      <c r="P37">
        <v>0.91209757293821703</v>
      </c>
      <c r="Q37">
        <v>0.917896539336713</v>
      </c>
      <c r="R37">
        <v>7.9989868969820493E-2</v>
      </c>
      <c r="S37">
        <v>1.6165337370444501E-4</v>
      </c>
      <c r="T37">
        <v>1.4835275237069401</v>
      </c>
      <c r="U37">
        <v>1.4835275237069401</v>
      </c>
      <c r="V37">
        <v>5.47</v>
      </c>
      <c r="W37">
        <v>8.4499999999999993</v>
      </c>
      <c r="X37">
        <v>259201</v>
      </c>
      <c r="Y37">
        <v>12960</v>
      </c>
      <c r="Z37">
        <v>0.65</v>
      </c>
      <c r="AA37">
        <v>20</v>
      </c>
      <c r="AB37">
        <v>13</v>
      </c>
      <c r="AC37">
        <v>7</v>
      </c>
      <c r="AD37">
        <v>65</v>
      </c>
      <c r="AE37">
        <v>10</v>
      </c>
      <c r="AF37">
        <v>10</v>
      </c>
      <c r="AG37">
        <v>5</v>
      </c>
      <c r="AH37">
        <v>5</v>
      </c>
    </row>
    <row r="38" spans="1:34">
      <c r="A38" s="109">
        <v>56</v>
      </c>
      <c r="B38">
        <v>6457</v>
      </c>
      <c r="C38" s="113" t="s">
        <v>345</v>
      </c>
      <c r="D38" s="113" t="s">
        <v>124</v>
      </c>
      <c r="E38">
        <v>3350</v>
      </c>
      <c r="F38">
        <v>3355</v>
      </c>
      <c r="G38">
        <v>300</v>
      </c>
      <c r="H38" s="113" t="s">
        <v>87</v>
      </c>
      <c r="I38">
        <v>6925</v>
      </c>
      <c r="J38" s="113" t="s">
        <v>344</v>
      </c>
      <c r="K38" s="113" t="s">
        <v>112</v>
      </c>
      <c r="L38">
        <v>1640</v>
      </c>
      <c r="M38">
        <v>1637</v>
      </c>
      <c r="N38">
        <v>600</v>
      </c>
      <c r="O38" s="113" t="s">
        <v>85</v>
      </c>
      <c r="P38">
        <v>0.91755051467069804</v>
      </c>
      <c r="Q38">
        <v>0.93387689344653202</v>
      </c>
      <c r="R38">
        <v>1.52204240754322E-2</v>
      </c>
      <c r="S38" s="20">
        <v>3.1601929787933298E-3</v>
      </c>
      <c r="T38">
        <v>0.51193506193929805</v>
      </c>
      <c r="U38">
        <v>0.51193506193929805</v>
      </c>
      <c r="V38">
        <v>1.25</v>
      </c>
      <c r="W38">
        <v>2.41</v>
      </c>
      <c r="X38">
        <v>257915</v>
      </c>
      <c r="Y38">
        <v>17194</v>
      </c>
      <c r="Z38">
        <v>1.01</v>
      </c>
      <c r="AA38">
        <v>15</v>
      </c>
      <c r="AB38">
        <v>10</v>
      </c>
      <c r="AC38">
        <v>5</v>
      </c>
      <c r="AD38">
        <v>66.67</v>
      </c>
      <c r="AE38">
        <v>11</v>
      </c>
      <c r="AF38">
        <v>7</v>
      </c>
      <c r="AG38">
        <v>4</v>
      </c>
      <c r="AH38">
        <v>4</v>
      </c>
    </row>
    <row r="39" spans="1:34">
      <c r="A39" s="109">
        <v>42</v>
      </c>
      <c r="B39">
        <v>4061</v>
      </c>
      <c r="C39" s="113" t="s">
        <v>148</v>
      </c>
      <c r="D39" s="113" t="s">
        <v>86</v>
      </c>
      <c r="E39">
        <v>3305</v>
      </c>
      <c r="F39">
        <v>3285</v>
      </c>
      <c r="G39">
        <v>300</v>
      </c>
      <c r="H39" s="113" t="s">
        <v>85</v>
      </c>
      <c r="I39">
        <v>4401</v>
      </c>
      <c r="J39" s="113" t="s">
        <v>348</v>
      </c>
      <c r="K39" s="113" t="s">
        <v>86</v>
      </c>
      <c r="L39">
        <v>1700</v>
      </c>
      <c r="M39">
        <v>1677</v>
      </c>
      <c r="N39">
        <v>600</v>
      </c>
      <c r="O39" s="113" t="s">
        <v>87</v>
      </c>
      <c r="P39">
        <v>0.93934654509520399</v>
      </c>
      <c r="Q39">
        <v>0.93895444591072497</v>
      </c>
      <c r="R39">
        <v>4.0998237891322703E-2</v>
      </c>
      <c r="S39" s="20">
        <v>2.04513832571208E-6</v>
      </c>
      <c r="T39">
        <v>-1.4535745220866101</v>
      </c>
      <c r="U39">
        <v>1.4535745220866101</v>
      </c>
      <c r="V39">
        <v>-6.66</v>
      </c>
      <c r="W39">
        <v>2.1</v>
      </c>
      <c r="X39">
        <v>256424</v>
      </c>
      <c r="Y39">
        <v>17095</v>
      </c>
      <c r="Z39">
        <v>0.97</v>
      </c>
      <c r="AA39">
        <v>15</v>
      </c>
      <c r="AB39">
        <v>9</v>
      </c>
      <c r="AC39">
        <v>6</v>
      </c>
      <c r="AD39">
        <v>60</v>
      </c>
      <c r="AE39">
        <v>12</v>
      </c>
      <c r="AF39">
        <v>7</v>
      </c>
      <c r="AG39">
        <v>1</v>
      </c>
      <c r="AH39">
        <v>7</v>
      </c>
    </row>
    <row r="40" spans="1:34">
      <c r="A40" s="109">
        <v>113</v>
      </c>
      <c r="B40">
        <v>6702</v>
      </c>
      <c r="C40" s="113" t="s">
        <v>363</v>
      </c>
      <c r="D40" s="113" t="s">
        <v>112</v>
      </c>
      <c r="E40">
        <v>10130</v>
      </c>
      <c r="F40">
        <v>10215</v>
      </c>
      <c r="G40">
        <v>100</v>
      </c>
      <c r="H40" s="113" t="s">
        <v>87</v>
      </c>
      <c r="I40">
        <v>8425</v>
      </c>
      <c r="J40" s="113" t="s">
        <v>350</v>
      </c>
      <c r="K40" s="113" t="s">
        <v>329</v>
      </c>
      <c r="L40">
        <v>3340</v>
      </c>
      <c r="M40">
        <v>3345</v>
      </c>
      <c r="N40">
        <v>300</v>
      </c>
      <c r="O40" s="113" t="s">
        <v>85</v>
      </c>
      <c r="P40">
        <v>0.91206451665057098</v>
      </c>
      <c r="Q40">
        <v>0.91629908671697002</v>
      </c>
      <c r="R40">
        <v>8.0695488332174301E-3</v>
      </c>
      <c r="S40" s="113">
        <v>8.5001890256223896E-3</v>
      </c>
      <c r="T40">
        <v>0.30467803203517602</v>
      </c>
      <c r="U40">
        <v>0.30467803203517602</v>
      </c>
      <c r="V40">
        <v>1.04</v>
      </c>
      <c r="W40">
        <v>1.76</v>
      </c>
      <c r="X40">
        <v>243048</v>
      </c>
      <c r="Y40">
        <v>17361</v>
      </c>
      <c r="Z40">
        <v>1.17</v>
      </c>
      <c r="AA40">
        <v>14</v>
      </c>
      <c r="AB40">
        <v>10</v>
      </c>
      <c r="AC40">
        <v>4</v>
      </c>
      <c r="AD40">
        <v>71.430000000000007</v>
      </c>
      <c r="AE40">
        <v>13</v>
      </c>
      <c r="AF40">
        <v>8</v>
      </c>
      <c r="AG40">
        <v>1</v>
      </c>
      <c r="AH40">
        <v>5</v>
      </c>
    </row>
    <row r="41" spans="1:34">
      <c r="A41" s="109">
        <v>15</v>
      </c>
      <c r="B41">
        <v>5471</v>
      </c>
      <c r="C41" s="113" t="s">
        <v>334</v>
      </c>
      <c r="D41" s="113" t="s">
        <v>117</v>
      </c>
      <c r="E41">
        <v>4995</v>
      </c>
      <c r="F41">
        <v>4945</v>
      </c>
      <c r="G41">
        <v>200</v>
      </c>
      <c r="H41" s="113" t="s">
        <v>85</v>
      </c>
      <c r="I41">
        <v>6995</v>
      </c>
      <c r="J41" s="113" t="s">
        <v>116</v>
      </c>
      <c r="K41" s="113" t="s">
        <v>109</v>
      </c>
      <c r="L41">
        <v>2166</v>
      </c>
      <c r="M41">
        <v>2193</v>
      </c>
      <c r="N41">
        <v>500</v>
      </c>
      <c r="O41" s="113" t="s">
        <v>87</v>
      </c>
      <c r="P41">
        <v>0.90394927882282805</v>
      </c>
      <c r="Q41">
        <v>0.95171376675641495</v>
      </c>
      <c r="R41">
        <v>0.37318866777395499</v>
      </c>
      <c r="S41">
        <v>2.7836085686957099E-2</v>
      </c>
      <c r="T41">
        <v>-1.5747123555117499</v>
      </c>
      <c r="U41">
        <v>1.5747123555117499</v>
      </c>
      <c r="V41">
        <v>-4.5</v>
      </c>
      <c r="W41">
        <v>10.87</v>
      </c>
      <c r="X41">
        <v>238619</v>
      </c>
      <c r="Y41">
        <v>15908</v>
      </c>
      <c r="Z41">
        <v>0.93</v>
      </c>
      <c r="AA41">
        <v>15</v>
      </c>
      <c r="AB41">
        <v>8</v>
      </c>
      <c r="AC41">
        <v>7</v>
      </c>
      <c r="AD41">
        <v>53.33</v>
      </c>
      <c r="AE41">
        <v>12</v>
      </c>
      <c r="AF41">
        <v>6</v>
      </c>
      <c r="AG41">
        <v>2</v>
      </c>
      <c r="AH41">
        <v>7</v>
      </c>
    </row>
    <row r="42" spans="1:34">
      <c r="A42" s="109">
        <v>86</v>
      </c>
      <c r="B42">
        <v>6098</v>
      </c>
      <c r="C42" s="113" t="s">
        <v>370</v>
      </c>
      <c r="D42" s="113" t="s">
        <v>145</v>
      </c>
      <c r="E42">
        <v>3965</v>
      </c>
      <c r="F42">
        <v>4010</v>
      </c>
      <c r="G42">
        <v>200</v>
      </c>
      <c r="H42" s="113" t="s">
        <v>87</v>
      </c>
      <c r="I42">
        <v>9759</v>
      </c>
      <c r="J42" s="113" t="s">
        <v>1067</v>
      </c>
      <c r="K42" s="113" t="s">
        <v>104</v>
      </c>
      <c r="L42">
        <v>3615</v>
      </c>
      <c r="M42">
        <v>3650</v>
      </c>
      <c r="N42">
        <v>200</v>
      </c>
      <c r="O42" s="113" t="s">
        <v>85</v>
      </c>
      <c r="P42">
        <v>0.93680644208194797</v>
      </c>
      <c r="Q42">
        <v>0.92408781528732298</v>
      </c>
      <c r="R42">
        <v>0.163325238459368</v>
      </c>
      <c r="S42" s="113">
        <v>1.8944766214408E-2</v>
      </c>
      <c r="T42">
        <v>0.49426263546016302</v>
      </c>
      <c r="U42">
        <v>0.49426263546016302</v>
      </c>
      <c r="V42">
        <v>1.59</v>
      </c>
      <c r="W42">
        <v>8.98</v>
      </c>
      <c r="X42">
        <v>236633</v>
      </c>
      <c r="Y42">
        <v>19719</v>
      </c>
      <c r="Z42">
        <v>0.91</v>
      </c>
      <c r="AA42">
        <v>12</v>
      </c>
      <c r="AB42">
        <v>7</v>
      </c>
      <c r="AC42">
        <v>5</v>
      </c>
      <c r="AD42">
        <v>58.33</v>
      </c>
      <c r="AE42">
        <v>12</v>
      </c>
      <c r="AF42">
        <v>6</v>
      </c>
      <c r="AG42">
        <v>3</v>
      </c>
      <c r="AH42">
        <v>3</v>
      </c>
    </row>
    <row r="43" spans="1:34">
      <c r="A43" s="109">
        <v>141</v>
      </c>
      <c r="B43">
        <v>4202</v>
      </c>
      <c r="C43" s="113" t="s">
        <v>114</v>
      </c>
      <c r="D43" s="113" t="s">
        <v>86</v>
      </c>
      <c r="E43">
        <v>1091</v>
      </c>
      <c r="F43">
        <v>1087</v>
      </c>
      <c r="G43">
        <v>900</v>
      </c>
      <c r="H43" s="113" t="s">
        <v>85</v>
      </c>
      <c r="I43">
        <v>7278</v>
      </c>
      <c r="J43" s="113" t="s">
        <v>108</v>
      </c>
      <c r="K43" s="113" t="s">
        <v>109</v>
      </c>
      <c r="L43">
        <v>2551</v>
      </c>
      <c r="M43">
        <v>2542</v>
      </c>
      <c r="N43">
        <v>400</v>
      </c>
      <c r="O43" s="113" t="s">
        <v>87</v>
      </c>
      <c r="P43">
        <v>0.91920080921025904</v>
      </c>
      <c r="Q43">
        <v>0.90871442876834296</v>
      </c>
      <c r="R43">
        <v>0.128266910904655</v>
      </c>
      <c r="S43">
        <v>3.7835963005838601E-2</v>
      </c>
      <c r="T43">
        <v>-0.15683949535087199</v>
      </c>
      <c r="U43">
        <v>0.15683949535087199</v>
      </c>
      <c r="V43">
        <v>-0.55000000000000004</v>
      </c>
      <c r="W43">
        <v>3.79</v>
      </c>
      <c r="X43">
        <v>234049</v>
      </c>
      <c r="Y43">
        <v>11702</v>
      </c>
      <c r="Z43">
        <v>0.56999999999999995</v>
      </c>
      <c r="AA43">
        <v>20</v>
      </c>
      <c r="AB43">
        <v>12</v>
      </c>
      <c r="AC43">
        <v>8</v>
      </c>
      <c r="AD43">
        <v>60</v>
      </c>
      <c r="AE43">
        <v>12</v>
      </c>
      <c r="AF43">
        <v>7</v>
      </c>
      <c r="AG43">
        <v>5</v>
      </c>
      <c r="AH43">
        <v>8</v>
      </c>
    </row>
    <row r="44" spans="1:34">
      <c r="A44" s="109">
        <v>144</v>
      </c>
      <c r="B44">
        <v>5333</v>
      </c>
      <c r="C44" s="113" t="s">
        <v>365</v>
      </c>
      <c r="D44" s="113" t="s">
        <v>131</v>
      </c>
      <c r="E44">
        <v>1900</v>
      </c>
      <c r="F44">
        <v>1896</v>
      </c>
      <c r="G44">
        <v>600</v>
      </c>
      <c r="H44" s="113" t="s">
        <v>85</v>
      </c>
      <c r="I44">
        <v>7282</v>
      </c>
      <c r="J44" s="113" t="s">
        <v>987</v>
      </c>
      <c r="K44" s="113" t="s">
        <v>109</v>
      </c>
      <c r="L44">
        <v>2655</v>
      </c>
      <c r="M44">
        <v>2710</v>
      </c>
      <c r="N44">
        <v>400</v>
      </c>
      <c r="O44" s="113" t="s">
        <v>87</v>
      </c>
      <c r="P44">
        <v>0.97984919868263298</v>
      </c>
      <c r="Q44">
        <v>0.90826889050632498</v>
      </c>
      <c r="R44" s="20">
        <v>1.5954179973460699E-3</v>
      </c>
      <c r="S44">
        <v>4.8795355854443001E-2</v>
      </c>
      <c r="T44">
        <v>-0.89079038401400901</v>
      </c>
      <c r="U44">
        <v>0.89079038401400901</v>
      </c>
      <c r="V44">
        <v>-1.83</v>
      </c>
      <c r="W44">
        <v>4.9400000000000004</v>
      </c>
      <c r="X44">
        <v>231982</v>
      </c>
      <c r="Y44">
        <v>12888</v>
      </c>
      <c r="Z44">
        <v>0.65</v>
      </c>
      <c r="AA44">
        <v>18</v>
      </c>
      <c r="AB44">
        <v>10</v>
      </c>
      <c r="AC44">
        <v>8</v>
      </c>
      <c r="AD44">
        <v>55.56</v>
      </c>
      <c r="AE44">
        <v>13</v>
      </c>
      <c r="AF44">
        <v>6</v>
      </c>
      <c r="AG44">
        <v>2</v>
      </c>
      <c r="AH44">
        <v>10</v>
      </c>
    </row>
    <row r="45" spans="1:34">
      <c r="A45" s="109">
        <v>143</v>
      </c>
      <c r="B45">
        <v>6588</v>
      </c>
      <c r="C45" s="113" t="s">
        <v>989</v>
      </c>
      <c r="D45" s="113" t="s">
        <v>112</v>
      </c>
      <c r="E45">
        <v>4700</v>
      </c>
      <c r="F45">
        <v>4685</v>
      </c>
      <c r="G45">
        <v>200</v>
      </c>
      <c r="H45" s="113" t="s">
        <v>87</v>
      </c>
      <c r="I45">
        <v>8593</v>
      </c>
      <c r="J45" s="113" t="s">
        <v>342</v>
      </c>
      <c r="K45" s="113" t="s">
        <v>329</v>
      </c>
      <c r="L45">
        <v>705</v>
      </c>
      <c r="M45">
        <v>710</v>
      </c>
      <c r="N45">
        <v>1300</v>
      </c>
      <c r="O45" s="113" t="s">
        <v>85</v>
      </c>
      <c r="P45">
        <v>0.91768846337124399</v>
      </c>
      <c r="Q45">
        <v>0.90840670573236204</v>
      </c>
      <c r="R45" s="113">
        <v>0.147062535334918</v>
      </c>
      <c r="S45" s="20">
        <v>8.0748263952105603E-2</v>
      </c>
      <c r="T45">
        <v>2.0430738243648801</v>
      </c>
      <c r="U45">
        <v>2.0430738243648801</v>
      </c>
      <c r="V45">
        <v>14.53</v>
      </c>
      <c r="W45">
        <v>1.49</v>
      </c>
      <c r="X45">
        <v>224829</v>
      </c>
      <c r="Y45">
        <v>14989</v>
      </c>
      <c r="Z45">
        <v>0.69</v>
      </c>
      <c r="AA45">
        <v>15</v>
      </c>
      <c r="AB45">
        <v>10</v>
      </c>
      <c r="AC45">
        <v>5</v>
      </c>
      <c r="AD45">
        <v>66.67</v>
      </c>
      <c r="AE45">
        <v>13</v>
      </c>
      <c r="AF45">
        <v>5</v>
      </c>
      <c r="AG45">
        <v>4</v>
      </c>
      <c r="AH45">
        <v>6</v>
      </c>
    </row>
    <row r="46" spans="1:34">
      <c r="A46" s="109">
        <v>49</v>
      </c>
      <c r="B46">
        <v>4519</v>
      </c>
      <c r="C46" s="113" t="s">
        <v>988</v>
      </c>
      <c r="D46" s="113" t="s">
        <v>161</v>
      </c>
      <c r="E46">
        <v>9835</v>
      </c>
      <c r="F46">
        <v>9939</v>
      </c>
      <c r="G46">
        <v>100</v>
      </c>
      <c r="H46" s="113" t="s">
        <v>85</v>
      </c>
      <c r="I46">
        <v>6588</v>
      </c>
      <c r="J46" s="113" t="s">
        <v>989</v>
      </c>
      <c r="K46" s="113" t="s">
        <v>112</v>
      </c>
      <c r="L46">
        <v>4700</v>
      </c>
      <c r="M46">
        <v>4685</v>
      </c>
      <c r="N46">
        <v>200</v>
      </c>
      <c r="O46" s="113" t="s">
        <v>87</v>
      </c>
      <c r="P46">
        <v>0.947921604924296</v>
      </c>
      <c r="Q46">
        <v>0.93626962740730102</v>
      </c>
      <c r="R46">
        <v>3.0705393649227E-2</v>
      </c>
      <c r="S46" s="20">
        <v>0.15344421238374001</v>
      </c>
      <c r="T46">
        <v>-1.5930307629021201</v>
      </c>
      <c r="U46">
        <v>1.5930307629021201</v>
      </c>
      <c r="V46">
        <v>-10.119999999999999</v>
      </c>
      <c r="W46">
        <v>5.72</v>
      </c>
      <c r="X46">
        <v>222279</v>
      </c>
      <c r="Y46">
        <v>13892</v>
      </c>
      <c r="Z46">
        <v>0.92</v>
      </c>
      <c r="AA46">
        <v>16</v>
      </c>
      <c r="AB46">
        <v>10</v>
      </c>
      <c r="AC46">
        <v>6</v>
      </c>
      <c r="AD46">
        <v>62.5</v>
      </c>
      <c r="AE46">
        <v>11</v>
      </c>
      <c r="AF46">
        <v>7</v>
      </c>
      <c r="AG46">
        <v>4</v>
      </c>
      <c r="AH46">
        <v>5</v>
      </c>
    </row>
    <row r="47" spans="1:34">
      <c r="A47" s="109">
        <v>137</v>
      </c>
      <c r="B47">
        <v>2175</v>
      </c>
      <c r="C47" s="113" t="s">
        <v>358</v>
      </c>
      <c r="D47" s="113" t="s">
        <v>145</v>
      </c>
      <c r="E47">
        <v>3025</v>
      </c>
      <c r="F47">
        <v>3055</v>
      </c>
      <c r="G47">
        <v>200</v>
      </c>
      <c r="H47" s="113" t="s">
        <v>85</v>
      </c>
      <c r="I47">
        <v>4686</v>
      </c>
      <c r="J47" s="113" t="s">
        <v>1315</v>
      </c>
      <c r="K47" s="113" t="s">
        <v>104</v>
      </c>
      <c r="L47">
        <v>5820</v>
      </c>
      <c r="M47">
        <v>6050</v>
      </c>
      <c r="N47">
        <v>100</v>
      </c>
      <c r="O47" s="113" t="s">
        <v>87</v>
      </c>
      <c r="P47">
        <v>0.93009239617327</v>
      </c>
      <c r="Q47">
        <v>0.909845012778977</v>
      </c>
      <c r="R47" s="20">
        <v>7.1103984732181504E-4</v>
      </c>
      <c r="S47" s="20">
        <v>0.17178536265262301</v>
      </c>
      <c r="T47">
        <v>-1.6452533898327599</v>
      </c>
      <c r="U47">
        <v>1.6452533898327599</v>
      </c>
      <c r="V47">
        <v>-20.68</v>
      </c>
      <c r="W47">
        <v>0.99</v>
      </c>
      <c r="X47">
        <v>219732</v>
      </c>
      <c r="Y47">
        <v>14649</v>
      </c>
      <c r="Z47">
        <v>0.71</v>
      </c>
      <c r="AA47">
        <v>15</v>
      </c>
      <c r="AB47">
        <v>10</v>
      </c>
      <c r="AC47">
        <v>5</v>
      </c>
      <c r="AD47">
        <v>66.67</v>
      </c>
      <c r="AE47">
        <v>9</v>
      </c>
      <c r="AF47">
        <v>8</v>
      </c>
      <c r="AG47">
        <v>5</v>
      </c>
      <c r="AH47">
        <v>2</v>
      </c>
    </row>
    <row r="48" spans="1:34">
      <c r="A48" s="109">
        <v>52</v>
      </c>
      <c r="B48">
        <v>3635</v>
      </c>
      <c r="C48" s="113" t="s">
        <v>110</v>
      </c>
      <c r="D48" s="113" t="s">
        <v>104</v>
      </c>
      <c r="E48">
        <v>2647</v>
      </c>
      <c r="F48">
        <v>2693</v>
      </c>
      <c r="G48">
        <v>400</v>
      </c>
      <c r="H48" s="113" t="s">
        <v>87</v>
      </c>
      <c r="I48">
        <v>8593</v>
      </c>
      <c r="J48" s="113" t="s">
        <v>342</v>
      </c>
      <c r="K48" s="113" t="s">
        <v>329</v>
      </c>
      <c r="L48">
        <v>705</v>
      </c>
      <c r="M48">
        <v>710</v>
      </c>
      <c r="N48">
        <v>1500</v>
      </c>
      <c r="O48" s="113" t="s">
        <v>85</v>
      </c>
      <c r="P48">
        <v>0.91905171646949102</v>
      </c>
      <c r="Q48">
        <v>0.93499382538944997</v>
      </c>
      <c r="R48">
        <v>6.1117556550902903E-2</v>
      </c>
      <c r="S48">
        <v>1.2582738150200799E-2</v>
      </c>
      <c r="T48">
        <v>1.17075318036189</v>
      </c>
      <c r="U48">
        <v>1.17075318036189</v>
      </c>
      <c r="V48">
        <v>2.9</v>
      </c>
      <c r="W48">
        <v>1.1299999999999999</v>
      </c>
      <c r="X48">
        <v>218633</v>
      </c>
      <c r="Y48">
        <v>12861</v>
      </c>
      <c r="Z48">
        <v>0.62</v>
      </c>
      <c r="AA48">
        <v>17</v>
      </c>
      <c r="AB48">
        <v>10</v>
      </c>
      <c r="AC48">
        <v>7</v>
      </c>
      <c r="AD48">
        <v>58.82</v>
      </c>
      <c r="AE48">
        <v>12</v>
      </c>
      <c r="AF48">
        <v>7</v>
      </c>
      <c r="AG48">
        <v>4</v>
      </c>
      <c r="AH48">
        <v>6</v>
      </c>
    </row>
    <row r="49" spans="1:34">
      <c r="A49" s="109">
        <v>117</v>
      </c>
      <c r="B49">
        <v>3105</v>
      </c>
      <c r="C49" s="113" t="s">
        <v>115</v>
      </c>
      <c r="D49" s="113" t="s">
        <v>112</v>
      </c>
      <c r="E49">
        <v>1050</v>
      </c>
      <c r="F49">
        <v>1045</v>
      </c>
      <c r="G49">
        <v>1000</v>
      </c>
      <c r="H49" s="113" t="s">
        <v>85</v>
      </c>
      <c r="I49">
        <v>6770</v>
      </c>
      <c r="J49" s="113" t="s">
        <v>50</v>
      </c>
      <c r="K49" s="113" t="s">
        <v>112</v>
      </c>
      <c r="L49">
        <v>2603</v>
      </c>
      <c r="M49">
        <v>2584</v>
      </c>
      <c r="N49">
        <v>400</v>
      </c>
      <c r="O49" s="113" t="s">
        <v>87</v>
      </c>
      <c r="P49">
        <v>0.94933940257024396</v>
      </c>
      <c r="Q49">
        <v>0.91575464112609295</v>
      </c>
      <c r="R49">
        <v>0.35487115996926499</v>
      </c>
      <c r="S49" s="20">
        <v>8.2812195411623296E-2</v>
      </c>
      <c r="T49">
        <v>-0.63615549337654598</v>
      </c>
      <c r="U49">
        <v>0.63615549337654598</v>
      </c>
      <c r="V49">
        <v>-2.52</v>
      </c>
      <c r="W49">
        <v>1.1000000000000001</v>
      </c>
      <c r="X49">
        <v>211945</v>
      </c>
      <c r="Y49">
        <v>10093</v>
      </c>
      <c r="Z49">
        <v>0.54</v>
      </c>
      <c r="AA49">
        <v>21</v>
      </c>
      <c r="AB49">
        <v>12</v>
      </c>
      <c r="AC49">
        <v>9</v>
      </c>
      <c r="AD49">
        <v>57.14</v>
      </c>
      <c r="AE49">
        <v>9</v>
      </c>
      <c r="AF49">
        <v>11</v>
      </c>
      <c r="AG49">
        <v>7</v>
      </c>
      <c r="AH49">
        <v>3</v>
      </c>
    </row>
    <row r="50" spans="1:34">
      <c r="A50" s="109">
        <v>102</v>
      </c>
      <c r="B50">
        <v>5333</v>
      </c>
      <c r="C50" s="113" t="s">
        <v>365</v>
      </c>
      <c r="D50" s="113" t="s">
        <v>131</v>
      </c>
      <c r="E50">
        <v>1900</v>
      </c>
      <c r="F50">
        <v>1896</v>
      </c>
      <c r="G50">
        <v>600</v>
      </c>
      <c r="H50" s="113" t="s">
        <v>87</v>
      </c>
      <c r="I50">
        <v>6995</v>
      </c>
      <c r="J50" s="113" t="s">
        <v>116</v>
      </c>
      <c r="K50" s="113" t="s">
        <v>109</v>
      </c>
      <c r="L50">
        <v>2166</v>
      </c>
      <c r="M50">
        <v>2193</v>
      </c>
      <c r="N50">
        <v>500</v>
      </c>
      <c r="O50" s="113" t="s">
        <v>85</v>
      </c>
      <c r="P50">
        <v>0.97187225460301097</v>
      </c>
      <c r="Q50">
        <v>0.91814920799381605</v>
      </c>
      <c r="R50">
        <v>2.5320858942150502E-2</v>
      </c>
      <c r="S50">
        <v>3.8446305719102E-2</v>
      </c>
      <c r="T50">
        <v>0.77082655858472005</v>
      </c>
      <c r="U50">
        <v>0.77082655858472005</v>
      </c>
      <c r="V50">
        <v>1.91</v>
      </c>
      <c r="W50">
        <v>3.75</v>
      </c>
      <c r="X50">
        <v>207740</v>
      </c>
      <c r="Y50">
        <v>11541</v>
      </c>
      <c r="Z50">
        <v>0.59</v>
      </c>
      <c r="AA50">
        <v>18</v>
      </c>
      <c r="AB50">
        <v>12</v>
      </c>
      <c r="AC50">
        <v>6</v>
      </c>
      <c r="AD50">
        <v>66.67</v>
      </c>
      <c r="AE50">
        <v>15</v>
      </c>
      <c r="AF50">
        <v>4</v>
      </c>
      <c r="AG50">
        <v>2</v>
      </c>
      <c r="AH50">
        <v>12</v>
      </c>
    </row>
    <row r="51" spans="1:34">
      <c r="A51" s="109">
        <v>155</v>
      </c>
      <c r="B51">
        <v>4183</v>
      </c>
      <c r="C51" s="113" t="s">
        <v>331</v>
      </c>
      <c r="D51" s="113" t="s">
        <v>86</v>
      </c>
      <c r="E51">
        <v>2669</v>
      </c>
      <c r="F51">
        <v>2671</v>
      </c>
      <c r="G51">
        <v>400</v>
      </c>
      <c r="H51" s="113" t="s">
        <v>85</v>
      </c>
      <c r="I51">
        <v>4208</v>
      </c>
      <c r="J51" s="113" t="s">
        <v>123</v>
      </c>
      <c r="K51" s="113" t="s">
        <v>86</v>
      </c>
      <c r="L51">
        <v>2386</v>
      </c>
      <c r="M51">
        <v>2376</v>
      </c>
      <c r="N51">
        <v>400</v>
      </c>
      <c r="O51" s="113" t="s">
        <v>87</v>
      </c>
      <c r="P51">
        <v>0.93097901639734004</v>
      </c>
      <c r="Q51">
        <v>0.90651999962984997</v>
      </c>
      <c r="R51">
        <v>1.23380766452948E-2</v>
      </c>
      <c r="S51" s="20">
        <v>6.3589980123456902E-2</v>
      </c>
      <c r="T51">
        <v>-5.5345673123650602E-2</v>
      </c>
      <c r="U51">
        <v>5.5345673123650602E-2</v>
      </c>
      <c r="V51">
        <v>-0.08</v>
      </c>
      <c r="W51">
        <v>11.04</v>
      </c>
      <c r="X51">
        <v>207621</v>
      </c>
      <c r="Y51">
        <v>20762</v>
      </c>
      <c r="Z51">
        <v>1.0900000000000001</v>
      </c>
      <c r="AA51">
        <v>10</v>
      </c>
      <c r="AB51">
        <v>9</v>
      </c>
      <c r="AC51">
        <v>1</v>
      </c>
      <c r="AD51">
        <v>90</v>
      </c>
      <c r="AE51">
        <v>14</v>
      </c>
      <c r="AF51">
        <v>3</v>
      </c>
      <c r="AG51">
        <v>0</v>
      </c>
      <c r="AH51">
        <v>7</v>
      </c>
    </row>
    <row r="52" spans="1:34">
      <c r="A52" s="109">
        <v>3</v>
      </c>
      <c r="B52">
        <v>6988</v>
      </c>
      <c r="C52" s="113" t="s">
        <v>164</v>
      </c>
      <c r="D52" s="113" t="s">
        <v>86</v>
      </c>
      <c r="E52">
        <v>6120</v>
      </c>
      <c r="F52">
        <v>6170</v>
      </c>
      <c r="G52">
        <v>100</v>
      </c>
      <c r="H52" s="113" t="s">
        <v>85</v>
      </c>
      <c r="I52">
        <v>7282</v>
      </c>
      <c r="J52" s="113" t="s">
        <v>987</v>
      </c>
      <c r="K52" s="113" t="s">
        <v>109</v>
      </c>
      <c r="L52">
        <v>2655</v>
      </c>
      <c r="M52">
        <v>2710</v>
      </c>
      <c r="N52">
        <v>200</v>
      </c>
      <c r="O52" s="113" t="s">
        <v>87</v>
      </c>
      <c r="P52">
        <v>0.95644595275290301</v>
      </c>
      <c r="Q52">
        <v>0.96547217299870203</v>
      </c>
      <c r="R52">
        <v>8.3198829496047098E-3</v>
      </c>
      <c r="S52" s="20">
        <v>2.20281105607366E-7</v>
      </c>
      <c r="T52">
        <v>-2.56496591445128</v>
      </c>
      <c r="U52">
        <v>2.56496591445128</v>
      </c>
      <c r="V52">
        <v>-7.48</v>
      </c>
      <c r="W52">
        <v>12.16</v>
      </c>
      <c r="X52">
        <v>206961</v>
      </c>
      <c r="Y52">
        <v>14783</v>
      </c>
      <c r="Z52">
        <v>0.78</v>
      </c>
      <c r="AA52">
        <v>14</v>
      </c>
      <c r="AB52">
        <v>10</v>
      </c>
      <c r="AC52">
        <v>4</v>
      </c>
      <c r="AD52">
        <v>71.430000000000007</v>
      </c>
      <c r="AE52">
        <v>10</v>
      </c>
      <c r="AF52">
        <v>9</v>
      </c>
      <c r="AG52">
        <v>3</v>
      </c>
      <c r="AH52">
        <v>2</v>
      </c>
    </row>
    <row r="53" spans="1:34">
      <c r="A53" s="109">
        <v>146</v>
      </c>
      <c r="B53">
        <v>6752</v>
      </c>
      <c r="C53" s="113" t="s">
        <v>130</v>
      </c>
      <c r="D53" s="113" t="s">
        <v>112</v>
      </c>
      <c r="E53">
        <v>1057.5</v>
      </c>
      <c r="F53">
        <v>1057.5</v>
      </c>
      <c r="G53">
        <v>1000</v>
      </c>
      <c r="H53" s="113" t="s">
        <v>85</v>
      </c>
      <c r="I53">
        <v>7205</v>
      </c>
      <c r="J53" s="113" t="s">
        <v>142</v>
      </c>
      <c r="K53" s="113" t="s">
        <v>109</v>
      </c>
      <c r="L53">
        <v>1148</v>
      </c>
      <c r="M53">
        <v>1151</v>
      </c>
      <c r="N53">
        <v>900</v>
      </c>
      <c r="O53" s="113" t="s">
        <v>87</v>
      </c>
      <c r="P53">
        <v>0.94537993379473295</v>
      </c>
      <c r="Q53">
        <v>0.90819928938328498</v>
      </c>
      <c r="R53" s="113">
        <v>0.15426137738995199</v>
      </c>
      <c r="S53">
        <v>2.9127651709716099E-2</v>
      </c>
      <c r="T53">
        <v>-1.41534297261831</v>
      </c>
      <c r="U53">
        <v>1.41534297261831</v>
      </c>
      <c r="V53">
        <v>-4.5</v>
      </c>
      <c r="W53">
        <v>2.09</v>
      </c>
      <c r="X53">
        <v>203652</v>
      </c>
      <c r="Y53">
        <v>14547</v>
      </c>
      <c r="Z53">
        <v>0.68</v>
      </c>
      <c r="AA53">
        <v>14</v>
      </c>
      <c r="AB53">
        <v>9</v>
      </c>
      <c r="AC53">
        <v>5</v>
      </c>
      <c r="AD53">
        <v>64.290000000000006</v>
      </c>
      <c r="AE53">
        <v>14</v>
      </c>
      <c r="AF53">
        <v>5</v>
      </c>
      <c r="AG53">
        <v>1</v>
      </c>
      <c r="AH53">
        <v>8</v>
      </c>
    </row>
    <row r="54" spans="1:34">
      <c r="A54" s="109">
        <v>65</v>
      </c>
      <c r="B54">
        <v>4182</v>
      </c>
      <c r="C54" s="113" t="s">
        <v>113</v>
      </c>
      <c r="D54" s="113" t="s">
        <v>86</v>
      </c>
      <c r="E54">
        <v>1696</v>
      </c>
      <c r="F54">
        <v>1677</v>
      </c>
      <c r="G54">
        <v>600</v>
      </c>
      <c r="H54" s="113" t="s">
        <v>85</v>
      </c>
      <c r="I54">
        <v>5802</v>
      </c>
      <c r="J54" s="113" t="s">
        <v>156</v>
      </c>
      <c r="K54" s="113" t="s">
        <v>157</v>
      </c>
      <c r="L54">
        <v>1652</v>
      </c>
      <c r="M54">
        <v>1650</v>
      </c>
      <c r="N54">
        <v>600</v>
      </c>
      <c r="O54" s="113" t="s">
        <v>87</v>
      </c>
      <c r="P54">
        <v>0.96304834753576496</v>
      </c>
      <c r="Q54">
        <v>0.93126898452310003</v>
      </c>
      <c r="R54" s="113">
        <v>0.33917393738844898</v>
      </c>
      <c r="S54">
        <v>7.5242902032516698E-2</v>
      </c>
      <c r="T54">
        <v>-0.95714159818194999</v>
      </c>
      <c r="U54">
        <v>0.95714159818194999</v>
      </c>
      <c r="V54">
        <v>-2.2000000000000002</v>
      </c>
      <c r="W54">
        <v>1.61</v>
      </c>
      <c r="X54">
        <v>202282</v>
      </c>
      <c r="Y54">
        <v>11238</v>
      </c>
      <c r="Z54">
        <v>0.67</v>
      </c>
      <c r="AA54">
        <v>18</v>
      </c>
      <c r="AB54">
        <v>11</v>
      </c>
      <c r="AC54">
        <v>7</v>
      </c>
      <c r="AD54">
        <v>61.11</v>
      </c>
      <c r="AE54">
        <v>13</v>
      </c>
      <c r="AF54">
        <v>7</v>
      </c>
      <c r="AG54">
        <v>4</v>
      </c>
      <c r="AH54">
        <v>7</v>
      </c>
    </row>
    <row r="55" spans="1:34">
      <c r="A55" s="109">
        <v>159</v>
      </c>
      <c r="B55">
        <v>6471</v>
      </c>
      <c r="C55" s="113" t="s">
        <v>163</v>
      </c>
      <c r="D55" s="113" t="s">
        <v>124</v>
      </c>
      <c r="E55">
        <v>1067</v>
      </c>
      <c r="F55">
        <v>1067</v>
      </c>
      <c r="G55">
        <v>800</v>
      </c>
      <c r="H55" s="113" t="s">
        <v>85</v>
      </c>
      <c r="I55">
        <v>7259</v>
      </c>
      <c r="J55" s="113" t="s">
        <v>53</v>
      </c>
      <c r="K55" s="113" t="s">
        <v>109</v>
      </c>
      <c r="L55">
        <v>4210</v>
      </c>
      <c r="M55">
        <v>4210</v>
      </c>
      <c r="N55">
        <v>200</v>
      </c>
      <c r="O55" s="113" t="s">
        <v>87</v>
      </c>
      <c r="P55">
        <v>0.93697709188753298</v>
      </c>
      <c r="Q55">
        <v>0.90559800682027403</v>
      </c>
      <c r="R55" s="113">
        <v>5.5270768374622505E-4</v>
      </c>
      <c r="S55">
        <v>1.54848623915436E-2</v>
      </c>
      <c r="T55">
        <v>-0.97302853466961303</v>
      </c>
      <c r="U55">
        <v>0.97302853466961303</v>
      </c>
      <c r="V55">
        <v>-4.07</v>
      </c>
      <c r="W55">
        <v>1.38</v>
      </c>
      <c r="X55">
        <v>199833</v>
      </c>
      <c r="Y55">
        <v>9516</v>
      </c>
      <c r="Z55">
        <v>0.62</v>
      </c>
      <c r="AA55">
        <v>21</v>
      </c>
      <c r="AB55">
        <v>14</v>
      </c>
      <c r="AC55">
        <v>7</v>
      </c>
      <c r="AD55">
        <v>66.67</v>
      </c>
      <c r="AE55">
        <v>12</v>
      </c>
      <c r="AF55">
        <v>8</v>
      </c>
      <c r="AG55">
        <v>4</v>
      </c>
      <c r="AH55">
        <v>9</v>
      </c>
    </row>
    <row r="56" spans="1:34">
      <c r="A56" s="109">
        <v>8</v>
      </c>
      <c r="B56">
        <v>4182</v>
      </c>
      <c r="C56" s="113" t="s">
        <v>113</v>
      </c>
      <c r="D56" s="113" t="s">
        <v>86</v>
      </c>
      <c r="E56">
        <v>1696</v>
      </c>
      <c r="F56">
        <v>1677</v>
      </c>
      <c r="G56">
        <v>600</v>
      </c>
      <c r="H56" s="113" t="s">
        <v>85</v>
      </c>
      <c r="I56">
        <v>5991</v>
      </c>
      <c r="J56" s="113" t="s">
        <v>140</v>
      </c>
      <c r="K56" s="113" t="s">
        <v>141</v>
      </c>
      <c r="L56">
        <v>1008</v>
      </c>
      <c r="M56">
        <v>1005</v>
      </c>
      <c r="N56">
        <v>1000</v>
      </c>
      <c r="O56" s="113" t="s">
        <v>87</v>
      </c>
      <c r="P56">
        <v>0.96254532871305898</v>
      </c>
      <c r="Q56">
        <v>0.95932473782456995</v>
      </c>
      <c r="R56" s="20">
        <v>0.14249948722936201</v>
      </c>
      <c r="S56">
        <v>0.14510677822408399</v>
      </c>
      <c r="T56">
        <v>-1.41522128148694</v>
      </c>
      <c r="U56">
        <v>1.41522128148694</v>
      </c>
      <c r="V56">
        <v>-3.07</v>
      </c>
      <c r="W56">
        <v>0.12</v>
      </c>
      <c r="X56">
        <v>196981</v>
      </c>
      <c r="Y56">
        <v>10367</v>
      </c>
      <c r="Z56">
        <v>0.49</v>
      </c>
      <c r="AA56">
        <v>19</v>
      </c>
      <c r="AB56">
        <v>11</v>
      </c>
      <c r="AC56">
        <v>8</v>
      </c>
      <c r="AD56">
        <v>57.89</v>
      </c>
      <c r="AE56">
        <v>12</v>
      </c>
      <c r="AF56">
        <v>7</v>
      </c>
      <c r="AG56">
        <v>3</v>
      </c>
      <c r="AH56">
        <v>9</v>
      </c>
    </row>
    <row r="57" spans="1:34">
      <c r="A57" s="109">
        <v>21</v>
      </c>
      <c r="B57">
        <v>7181</v>
      </c>
      <c r="C57" s="113" t="s">
        <v>162</v>
      </c>
      <c r="D57" s="113" t="s">
        <v>135</v>
      </c>
      <c r="E57">
        <v>1942</v>
      </c>
      <c r="F57">
        <v>1932</v>
      </c>
      <c r="G57">
        <v>500</v>
      </c>
      <c r="H57" s="113" t="s">
        <v>87</v>
      </c>
      <c r="I57">
        <v>9956</v>
      </c>
      <c r="J57" s="113" t="s">
        <v>349</v>
      </c>
      <c r="K57" s="113" t="s">
        <v>120</v>
      </c>
      <c r="L57">
        <v>2075</v>
      </c>
      <c r="M57">
        <v>2081</v>
      </c>
      <c r="N57">
        <v>500</v>
      </c>
      <c r="O57" s="113" t="s">
        <v>85</v>
      </c>
      <c r="P57">
        <v>0.931375436192454</v>
      </c>
      <c r="Q57">
        <v>0.94864782475210696</v>
      </c>
      <c r="R57">
        <v>1.22541978691387E-2</v>
      </c>
      <c r="S57" s="20">
        <v>0.184884495404956</v>
      </c>
      <c r="T57">
        <v>1.21424605917547</v>
      </c>
      <c r="U57">
        <v>1.21424605917547</v>
      </c>
      <c r="V57">
        <v>3.25</v>
      </c>
      <c r="W57">
        <v>7.16</v>
      </c>
      <c r="X57">
        <v>196402</v>
      </c>
      <c r="Y57">
        <v>15108</v>
      </c>
      <c r="Z57">
        <v>0.7</v>
      </c>
      <c r="AA57">
        <v>13</v>
      </c>
      <c r="AB57">
        <v>9</v>
      </c>
      <c r="AC57">
        <v>4</v>
      </c>
      <c r="AD57">
        <v>69.23</v>
      </c>
      <c r="AE57">
        <v>14</v>
      </c>
      <c r="AF57">
        <v>3</v>
      </c>
      <c r="AG57">
        <v>1</v>
      </c>
      <c r="AH57">
        <v>9</v>
      </c>
    </row>
    <row r="58" spans="1:34">
      <c r="A58" s="109">
        <v>37</v>
      </c>
      <c r="B58">
        <v>2379</v>
      </c>
      <c r="C58" s="113" t="s">
        <v>1068</v>
      </c>
      <c r="D58" s="113" t="s">
        <v>145</v>
      </c>
      <c r="E58">
        <v>3280</v>
      </c>
      <c r="F58">
        <v>3290</v>
      </c>
      <c r="G58">
        <v>300</v>
      </c>
      <c r="H58" s="113" t="s">
        <v>87</v>
      </c>
      <c r="I58">
        <v>9437</v>
      </c>
      <c r="J58" s="113" t="s">
        <v>1069</v>
      </c>
      <c r="K58" s="113" t="s">
        <v>104</v>
      </c>
      <c r="L58">
        <v>3011</v>
      </c>
      <c r="M58">
        <v>3012</v>
      </c>
      <c r="N58">
        <v>300</v>
      </c>
      <c r="O58" s="113" t="s">
        <v>85</v>
      </c>
      <c r="P58">
        <v>0.90427845611068103</v>
      </c>
      <c r="Q58">
        <v>0.94053525659774295</v>
      </c>
      <c r="R58">
        <v>5.8386170208254698E-3</v>
      </c>
      <c r="S58" s="20">
        <v>1.2025529609273E-2</v>
      </c>
      <c r="T58">
        <v>2.0242305250735502</v>
      </c>
      <c r="U58">
        <v>2.0242305250735502</v>
      </c>
      <c r="V58">
        <v>11.35</v>
      </c>
      <c r="W58">
        <v>8.4499999999999993</v>
      </c>
      <c r="X58">
        <v>196308</v>
      </c>
      <c r="Y58">
        <v>9348</v>
      </c>
      <c r="Z58">
        <v>0.5</v>
      </c>
      <c r="AA58">
        <v>21</v>
      </c>
      <c r="AB58">
        <v>11</v>
      </c>
      <c r="AC58">
        <v>10</v>
      </c>
      <c r="AD58">
        <v>52.38</v>
      </c>
      <c r="AE58">
        <v>10</v>
      </c>
      <c r="AF58">
        <v>8</v>
      </c>
      <c r="AG58">
        <v>6</v>
      </c>
      <c r="AH58">
        <v>7</v>
      </c>
    </row>
    <row r="59" spans="1:34">
      <c r="A59" s="109">
        <v>164</v>
      </c>
      <c r="B59">
        <v>4613</v>
      </c>
      <c r="C59" s="113" t="s">
        <v>351</v>
      </c>
      <c r="D59" s="113" t="s">
        <v>86</v>
      </c>
      <c r="E59">
        <v>2792</v>
      </c>
      <c r="F59">
        <v>2805</v>
      </c>
      <c r="G59">
        <v>300</v>
      </c>
      <c r="H59" s="113" t="s">
        <v>85</v>
      </c>
      <c r="I59">
        <v>6920</v>
      </c>
      <c r="J59" s="113" t="s">
        <v>111</v>
      </c>
      <c r="K59" s="113" t="s">
        <v>112</v>
      </c>
      <c r="L59">
        <v>9410</v>
      </c>
      <c r="M59">
        <v>9620</v>
      </c>
      <c r="N59">
        <v>100</v>
      </c>
      <c r="O59" s="113" t="s">
        <v>87</v>
      </c>
      <c r="P59">
        <v>0.90746312922584904</v>
      </c>
      <c r="Q59">
        <v>0.904668703919421</v>
      </c>
      <c r="R59">
        <v>2.3181957135659102E-2</v>
      </c>
      <c r="S59" s="20">
        <v>0.15527313748723601</v>
      </c>
      <c r="T59">
        <v>-1.7644016975458701</v>
      </c>
      <c r="U59">
        <v>1.7644016975458701</v>
      </c>
      <c r="V59">
        <v>-15.65</v>
      </c>
      <c r="W59">
        <v>12.53</v>
      </c>
      <c r="X59">
        <v>191647</v>
      </c>
      <c r="Y59">
        <v>10087</v>
      </c>
      <c r="Z59">
        <v>0.54</v>
      </c>
      <c r="AA59">
        <v>19</v>
      </c>
      <c r="AB59">
        <v>10</v>
      </c>
      <c r="AC59">
        <v>9</v>
      </c>
      <c r="AD59">
        <v>52.63</v>
      </c>
      <c r="AE59">
        <v>10</v>
      </c>
      <c r="AF59">
        <v>9</v>
      </c>
      <c r="AG59">
        <v>8</v>
      </c>
      <c r="AH59">
        <v>2</v>
      </c>
    </row>
    <row r="60" spans="1:34">
      <c r="A60" s="109">
        <v>166</v>
      </c>
      <c r="B60">
        <v>5471</v>
      </c>
      <c r="C60" s="113" t="s">
        <v>334</v>
      </c>
      <c r="D60" s="113" t="s">
        <v>117</v>
      </c>
      <c r="E60">
        <v>4995</v>
      </c>
      <c r="F60">
        <v>4945</v>
      </c>
      <c r="G60">
        <v>200</v>
      </c>
      <c r="H60" s="113" t="s">
        <v>85</v>
      </c>
      <c r="I60">
        <v>8253</v>
      </c>
      <c r="J60" s="113" t="s">
        <v>1317</v>
      </c>
      <c r="K60" s="113" t="s">
        <v>329</v>
      </c>
      <c r="L60">
        <v>1805</v>
      </c>
      <c r="M60">
        <v>1823</v>
      </c>
      <c r="N60">
        <v>500</v>
      </c>
      <c r="O60" s="113" t="s">
        <v>87</v>
      </c>
      <c r="P60">
        <v>0.90581579969562598</v>
      </c>
      <c r="Q60">
        <v>0.90437182669154903</v>
      </c>
      <c r="R60" s="20">
        <v>0.291656585745597</v>
      </c>
      <c r="S60" s="20">
        <v>1.62082807665541E-2</v>
      </c>
      <c r="T60">
        <v>-1.5260773909271499</v>
      </c>
      <c r="U60">
        <v>1.5260773909271499</v>
      </c>
      <c r="V60">
        <v>-12.26</v>
      </c>
      <c r="W60">
        <v>7.84</v>
      </c>
      <c r="X60">
        <v>191587</v>
      </c>
      <c r="Y60">
        <v>12772</v>
      </c>
      <c r="Z60">
        <v>0.97</v>
      </c>
      <c r="AA60">
        <v>15</v>
      </c>
      <c r="AB60">
        <v>11</v>
      </c>
      <c r="AC60">
        <v>4</v>
      </c>
      <c r="AD60">
        <v>73.33</v>
      </c>
      <c r="AE60">
        <v>13</v>
      </c>
      <c r="AF60">
        <v>7</v>
      </c>
      <c r="AG60">
        <v>2</v>
      </c>
      <c r="AH60">
        <v>6</v>
      </c>
    </row>
    <row r="61" spans="1:34">
      <c r="A61" s="109">
        <v>48</v>
      </c>
      <c r="B61">
        <v>6588</v>
      </c>
      <c r="C61" s="113" t="s">
        <v>989</v>
      </c>
      <c r="D61" s="113" t="s">
        <v>112</v>
      </c>
      <c r="E61">
        <v>4700</v>
      </c>
      <c r="F61">
        <v>4685</v>
      </c>
      <c r="G61">
        <v>200</v>
      </c>
      <c r="H61" s="113" t="s">
        <v>87</v>
      </c>
      <c r="I61">
        <v>6702</v>
      </c>
      <c r="J61" s="113" t="s">
        <v>363</v>
      </c>
      <c r="K61" s="113" t="s">
        <v>112</v>
      </c>
      <c r="L61">
        <v>10130</v>
      </c>
      <c r="M61">
        <v>10215</v>
      </c>
      <c r="N61">
        <v>100</v>
      </c>
      <c r="O61" s="113" t="s">
        <v>85</v>
      </c>
      <c r="P61">
        <v>0.93740223118324595</v>
      </c>
      <c r="Q61">
        <v>0.93651367450797696</v>
      </c>
      <c r="R61">
        <v>0.129334468725361</v>
      </c>
      <c r="S61">
        <v>1.29166103738535E-2</v>
      </c>
      <c r="T61">
        <v>1.7738507822323499</v>
      </c>
      <c r="U61">
        <v>1.7738507822323499</v>
      </c>
      <c r="V61">
        <v>11.71</v>
      </c>
      <c r="W61">
        <v>8.27</v>
      </c>
      <c r="X61">
        <v>187415</v>
      </c>
      <c r="Y61">
        <v>18742</v>
      </c>
      <c r="Z61">
        <v>1.0900000000000001</v>
      </c>
      <c r="AA61">
        <v>10</v>
      </c>
      <c r="AB61">
        <v>6</v>
      </c>
      <c r="AC61">
        <v>4</v>
      </c>
      <c r="AD61">
        <v>60</v>
      </c>
      <c r="AE61">
        <v>12</v>
      </c>
      <c r="AF61">
        <v>4</v>
      </c>
      <c r="AG61">
        <v>1</v>
      </c>
      <c r="AH61">
        <v>5</v>
      </c>
    </row>
    <row r="62" spans="1:34">
      <c r="A62" s="109">
        <v>83</v>
      </c>
      <c r="B62">
        <v>4208</v>
      </c>
      <c r="C62" s="113" t="s">
        <v>123</v>
      </c>
      <c r="D62" s="113" t="s">
        <v>86</v>
      </c>
      <c r="E62">
        <v>2386</v>
      </c>
      <c r="F62">
        <v>2376</v>
      </c>
      <c r="G62">
        <v>400</v>
      </c>
      <c r="H62" s="113" t="s">
        <v>87</v>
      </c>
      <c r="I62">
        <v>5334</v>
      </c>
      <c r="J62" s="113" t="s">
        <v>332</v>
      </c>
      <c r="K62" s="113" t="s">
        <v>131</v>
      </c>
      <c r="L62">
        <v>2218</v>
      </c>
      <c r="M62">
        <v>2203</v>
      </c>
      <c r="N62">
        <v>400</v>
      </c>
      <c r="O62" s="113" t="s">
        <v>85</v>
      </c>
      <c r="P62">
        <v>0.91631963232283198</v>
      </c>
      <c r="Q62">
        <v>0.92480181225201097</v>
      </c>
      <c r="R62" s="20">
        <v>2.3497517361555201E-2</v>
      </c>
      <c r="S62">
        <v>2.66159137666886E-4</v>
      </c>
      <c r="T62">
        <v>5.6473835737772503E-2</v>
      </c>
      <c r="U62">
        <v>5.6473835737772503E-2</v>
      </c>
      <c r="V62">
        <v>0.13</v>
      </c>
      <c r="W62">
        <v>7.28</v>
      </c>
      <c r="X62">
        <v>187255</v>
      </c>
      <c r="Y62">
        <v>9363</v>
      </c>
      <c r="Z62">
        <v>0.48</v>
      </c>
      <c r="AA62">
        <v>20</v>
      </c>
      <c r="AB62">
        <v>13</v>
      </c>
      <c r="AC62">
        <v>7</v>
      </c>
      <c r="AD62">
        <v>65</v>
      </c>
      <c r="AE62">
        <v>12</v>
      </c>
      <c r="AF62">
        <v>7</v>
      </c>
      <c r="AG62">
        <v>5</v>
      </c>
      <c r="AH62">
        <v>8</v>
      </c>
    </row>
    <row r="63" spans="1:34">
      <c r="A63" s="109">
        <v>173</v>
      </c>
      <c r="B63">
        <v>8002</v>
      </c>
      <c r="C63" s="113" t="s">
        <v>55</v>
      </c>
      <c r="D63" s="113" t="s">
        <v>126</v>
      </c>
      <c r="E63">
        <v>835</v>
      </c>
      <c r="F63">
        <v>829.2</v>
      </c>
      <c r="G63">
        <v>800</v>
      </c>
      <c r="H63" s="113" t="s">
        <v>85</v>
      </c>
      <c r="I63">
        <v>9062</v>
      </c>
      <c r="J63" s="113" t="s">
        <v>990</v>
      </c>
      <c r="K63" s="113" t="s">
        <v>144</v>
      </c>
      <c r="L63">
        <v>6840</v>
      </c>
      <c r="M63">
        <v>6770</v>
      </c>
      <c r="N63">
        <v>100</v>
      </c>
      <c r="O63" s="113" t="s">
        <v>87</v>
      </c>
      <c r="P63">
        <v>0.94541669855460697</v>
      </c>
      <c r="Q63">
        <v>0.90202054812517096</v>
      </c>
      <c r="R63" s="20">
        <v>3.3327992036514403E-2</v>
      </c>
      <c r="S63">
        <v>2.8035673361785402E-3</v>
      </c>
      <c r="T63">
        <v>-0.45207611986157697</v>
      </c>
      <c r="U63">
        <v>0.45207611986157697</v>
      </c>
      <c r="V63">
        <v>-1.96</v>
      </c>
      <c r="W63">
        <v>2.0099999999999998</v>
      </c>
      <c r="X63">
        <v>187241</v>
      </c>
      <c r="Y63">
        <v>9362</v>
      </c>
      <c r="Z63">
        <v>0.65</v>
      </c>
      <c r="AA63">
        <v>20</v>
      </c>
      <c r="AB63">
        <v>12</v>
      </c>
      <c r="AC63">
        <v>8</v>
      </c>
      <c r="AD63">
        <v>60</v>
      </c>
      <c r="AE63">
        <v>12</v>
      </c>
      <c r="AF63">
        <v>8</v>
      </c>
      <c r="AG63">
        <v>5</v>
      </c>
      <c r="AH63">
        <v>7</v>
      </c>
    </row>
    <row r="64" spans="1:34">
      <c r="A64" s="109">
        <v>31</v>
      </c>
      <c r="B64">
        <v>7203</v>
      </c>
      <c r="C64" s="113" t="s">
        <v>360</v>
      </c>
      <c r="D64" s="113" t="s">
        <v>109</v>
      </c>
      <c r="E64">
        <v>7702</v>
      </c>
      <c r="F64">
        <v>7650</v>
      </c>
      <c r="G64">
        <v>100</v>
      </c>
      <c r="H64" s="113" t="s">
        <v>85</v>
      </c>
      <c r="I64">
        <v>8593</v>
      </c>
      <c r="J64" s="113" t="s">
        <v>342</v>
      </c>
      <c r="K64" s="113" t="s">
        <v>329</v>
      </c>
      <c r="L64">
        <v>705</v>
      </c>
      <c r="M64">
        <v>710</v>
      </c>
      <c r="N64">
        <v>1100</v>
      </c>
      <c r="O64" s="113" t="s">
        <v>87</v>
      </c>
      <c r="P64">
        <v>0.91258833322259003</v>
      </c>
      <c r="Q64">
        <v>0.94438490766109495</v>
      </c>
      <c r="R64" s="20">
        <v>6.5647796391139907E-2</v>
      </c>
      <c r="S64" s="113">
        <v>3.8427330322739298E-4</v>
      </c>
      <c r="T64">
        <v>-1.63142034929854</v>
      </c>
      <c r="U64">
        <v>1.63142034929854</v>
      </c>
      <c r="V64">
        <v>-5.8</v>
      </c>
      <c r="W64">
        <v>2.09</v>
      </c>
      <c r="X64">
        <v>184460</v>
      </c>
      <c r="Y64">
        <v>13176</v>
      </c>
      <c r="Z64">
        <v>0.95</v>
      </c>
      <c r="AA64">
        <v>14</v>
      </c>
      <c r="AB64">
        <v>10</v>
      </c>
      <c r="AC64">
        <v>4</v>
      </c>
      <c r="AD64">
        <v>71.430000000000007</v>
      </c>
      <c r="AE64">
        <v>14</v>
      </c>
      <c r="AF64">
        <v>5</v>
      </c>
      <c r="AG64">
        <v>1</v>
      </c>
      <c r="AH64">
        <v>8</v>
      </c>
    </row>
    <row r="65" spans="1:34">
      <c r="A65" s="109">
        <v>22</v>
      </c>
      <c r="B65">
        <v>6845</v>
      </c>
      <c r="C65" s="113" t="s">
        <v>338</v>
      </c>
      <c r="D65" s="113" t="s">
        <v>112</v>
      </c>
      <c r="E65">
        <v>3205</v>
      </c>
      <c r="F65">
        <v>3205</v>
      </c>
      <c r="G65">
        <v>300</v>
      </c>
      <c r="H65" s="113" t="s">
        <v>87</v>
      </c>
      <c r="I65">
        <v>6925</v>
      </c>
      <c r="J65" s="113" t="s">
        <v>344</v>
      </c>
      <c r="K65" s="113" t="s">
        <v>112</v>
      </c>
      <c r="L65">
        <v>1640</v>
      </c>
      <c r="M65">
        <v>1637</v>
      </c>
      <c r="N65">
        <v>600</v>
      </c>
      <c r="O65" s="113" t="s">
        <v>85</v>
      </c>
      <c r="P65">
        <v>0.90136453833663999</v>
      </c>
      <c r="Q65">
        <v>0.94752945287652901</v>
      </c>
      <c r="R65">
        <v>0.110915182104507</v>
      </c>
      <c r="S65">
        <v>9.1935781028171897E-3</v>
      </c>
      <c r="T65">
        <v>0.85294431558829698</v>
      </c>
      <c r="U65">
        <v>0.85294431558829698</v>
      </c>
      <c r="V65">
        <v>2.12</v>
      </c>
      <c r="W65">
        <v>2.15</v>
      </c>
      <c r="X65">
        <v>181027</v>
      </c>
      <c r="Y65">
        <v>10057</v>
      </c>
      <c r="Z65">
        <v>0.5</v>
      </c>
      <c r="AA65">
        <v>18</v>
      </c>
      <c r="AB65">
        <v>10</v>
      </c>
      <c r="AC65">
        <v>8</v>
      </c>
      <c r="AD65">
        <v>55.56</v>
      </c>
      <c r="AE65">
        <v>12</v>
      </c>
      <c r="AF65">
        <v>8</v>
      </c>
      <c r="AG65">
        <v>3</v>
      </c>
      <c r="AH65">
        <v>7</v>
      </c>
    </row>
    <row r="66" spans="1:34">
      <c r="A66" s="109">
        <v>172</v>
      </c>
      <c r="B66">
        <v>4208</v>
      </c>
      <c r="C66" s="113" t="s">
        <v>123</v>
      </c>
      <c r="D66" s="113" t="s">
        <v>86</v>
      </c>
      <c r="E66">
        <v>2386</v>
      </c>
      <c r="F66">
        <v>2376</v>
      </c>
      <c r="G66">
        <v>400</v>
      </c>
      <c r="H66" s="113" t="s">
        <v>85</v>
      </c>
      <c r="I66">
        <v>6472</v>
      </c>
      <c r="J66" s="113" t="s">
        <v>159</v>
      </c>
      <c r="K66" s="113" t="s">
        <v>124</v>
      </c>
      <c r="L66">
        <v>352</v>
      </c>
      <c r="M66">
        <v>351</v>
      </c>
      <c r="N66">
        <v>2700</v>
      </c>
      <c r="O66" s="113" t="s">
        <v>87</v>
      </c>
      <c r="P66">
        <v>0.90059105929504601</v>
      </c>
      <c r="Q66">
        <v>0.90252174107876704</v>
      </c>
      <c r="R66">
        <v>4.1518209676844999E-3</v>
      </c>
      <c r="S66">
        <v>8.0365350696990606E-2</v>
      </c>
      <c r="T66">
        <v>-0.93785256047895205</v>
      </c>
      <c r="U66">
        <v>0.93785256047895205</v>
      </c>
      <c r="V66">
        <v>-2.4900000000000002</v>
      </c>
      <c r="W66">
        <v>0.28000000000000003</v>
      </c>
      <c r="X66">
        <v>180416</v>
      </c>
      <c r="Y66">
        <v>9021</v>
      </c>
      <c r="Z66">
        <v>0.48</v>
      </c>
      <c r="AA66">
        <v>20</v>
      </c>
      <c r="AB66">
        <v>13</v>
      </c>
      <c r="AC66">
        <v>7</v>
      </c>
      <c r="AD66">
        <v>65</v>
      </c>
      <c r="AE66">
        <v>13</v>
      </c>
      <c r="AF66">
        <v>7</v>
      </c>
      <c r="AG66">
        <v>5</v>
      </c>
      <c r="AH66">
        <v>8</v>
      </c>
    </row>
    <row r="67" spans="1:34">
      <c r="A67" s="109">
        <v>104</v>
      </c>
      <c r="B67">
        <v>7167</v>
      </c>
      <c r="C67" s="113" t="s">
        <v>125</v>
      </c>
      <c r="D67" s="113" t="s">
        <v>107</v>
      </c>
      <c r="E67">
        <v>285</v>
      </c>
      <c r="F67">
        <v>282</v>
      </c>
      <c r="G67">
        <v>3700</v>
      </c>
      <c r="H67" s="113" t="s">
        <v>85</v>
      </c>
      <c r="I67">
        <v>7189</v>
      </c>
      <c r="J67" s="113" t="s">
        <v>106</v>
      </c>
      <c r="K67" s="113" t="s">
        <v>107</v>
      </c>
      <c r="L67">
        <v>884</v>
      </c>
      <c r="M67">
        <v>870</v>
      </c>
      <c r="N67">
        <v>1200</v>
      </c>
      <c r="O67" s="113" t="s">
        <v>87</v>
      </c>
      <c r="P67">
        <v>0.92850885542421402</v>
      </c>
      <c r="Q67">
        <v>0.91783848563916204</v>
      </c>
      <c r="R67">
        <v>7.1586281245605302E-2</v>
      </c>
      <c r="S67">
        <v>0.114526795750824</v>
      </c>
      <c r="T67">
        <v>-1.68169521302083</v>
      </c>
      <c r="U67">
        <v>1.68169521302083</v>
      </c>
      <c r="V67">
        <v>-7.19</v>
      </c>
      <c r="W67">
        <v>0.06</v>
      </c>
      <c r="X67">
        <v>179261</v>
      </c>
      <c r="Y67">
        <v>9435</v>
      </c>
      <c r="Z67">
        <v>0.45</v>
      </c>
      <c r="AA67">
        <v>19</v>
      </c>
      <c r="AB67">
        <v>11</v>
      </c>
      <c r="AC67">
        <v>8</v>
      </c>
      <c r="AD67">
        <v>57.89</v>
      </c>
      <c r="AE67">
        <v>15</v>
      </c>
      <c r="AF67">
        <v>6</v>
      </c>
      <c r="AG67">
        <v>2</v>
      </c>
      <c r="AH67">
        <v>11</v>
      </c>
    </row>
    <row r="68" spans="1:34">
      <c r="A68" s="109">
        <v>47</v>
      </c>
      <c r="B68">
        <v>3635</v>
      </c>
      <c r="C68" s="113" t="s">
        <v>110</v>
      </c>
      <c r="D68" s="113" t="s">
        <v>104</v>
      </c>
      <c r="E68">
        <v>2647</v>
      </c>
      <c r="F68">
        <v>2693</v>
      </c>
      <c r="G68">
        <v>400</v>
      </c>
      <c r="H68" s="113" t="s">
        <v>85</v>
      </c>
      <c r="I68">
        <v>4519</v>
      </c>
      <c r="J68" s="113" t="s">
        <v>988</v>
      </c>
      <c r="K68" s="113" t="s">
        <v>161</v>
      </c>
      <c r="L68">
        <v>9835</v>
      </c>
      <c r="M68">
        <v>9939</v>
      </c>
      <c r="N68">
        <v>100</v>
      </c>
      <c r="O68" s="113" t="s">
        <v>87</v>
      </c>
      <c r="P68">
        <v>0.96235892072798501</v>
      </c>
      <c r="Q68">
        <v>0.93699809028525005</v>
      </c>
      <c r="R68">
        <v>1.86125501680998E-2</v>
      </c>
      <c r="S68">
        <v>8.9460278980885405E-2</v>
      </c>
      <c r="T68">
        <v>-1.0940247329920101</v>
      </c>
      <c r="U68">
        <v>1.0940247329920101</v>
      </c>
      <c r="V68">
        <v>-3.7</v>
      </c>
      <c r="W68">
        <v>8.3800000000000008</v>
      </c>
      <c r="X68">
        <v>177510</v>
      </c>
      <c r="Y68">
        <v>12679</v>
      </c>
      <c r="Z68">
        <v>1.08</v>
      </c>
      <c r="AA68">
        <v>14</v>
      </c>
      <c r="AB68">
        <v>8</v>
      </c>
      <c r="AC68">
        <v>6</v>
      </c>
      <c r="AD68">
        <v>57.14</v>
      </c>
      <c r="AE68">
        <v>11</v>
      </c>
      <c r="AF68">
        <v>8</v>
      </c>
      <c r="AG68">
        <v>2</v>
      </c>
      <c r="AH68">
        <v>4</v>
      </c>
    </row>
    <row r="69" spans="1:34">
      <c r="A69" s="109">
        <v>6</v>
      </c>
      <c r="B69">
        <v>8425</v>
      </c>
      <c r="C69" s="113" t="s">
        <v>350</v>
      </c>
      <c r="D69" s="113" t="s">
        <v>329</v>
      </c>
      <c r="E69">
        <v>3340</v>
      </c>
      <c r="F69">
        <v>3345</v>
      </c>
      <c r="G69">
        <v>300</v>
      </c>
      <c r="H69" s="113" t="s">
        <v>87</v>
      </c>
      <c r="I69">
        <v>8593</v>
      </c>
      <c r="J69" s="113" t="s">
        <v>342</v>
      </c>
      <c r="K69" s="113" t="s">
        <v>329</v>
      </c>
      <c r="L69">
        <v>705</v>
      </c>
      <c r="M69">
        <v>710</v>
      </c>
      <c r="N69">
        <v>1400</v>
      </c>
      <c r="O69" s="113" t="s">
        <v>85</v>
      </c>
      <c r="P69">
        <v>0.92085640416825498</v>
      </c>
      <c r="Q69">
        <v>0.960098667582439</v>
      </c>
      <c r="R69" s="113">
        <v>5.3950219359534899E-3</v>
      </c>
      <c r="S69" s="113">
        <v>1.8118220304343101E-3</v>
      </c>
      <c r="T69">
        <v>1.3766691287361601</v>
      </c>
      <c r="U69">
        <v>1.3766691287361601</v>
      </c>
      <c r="V69">
        <v>2.16</v>
      </c>
      <c r="W69">
        <v>0.95</v>
      </c>
      <c r="X69">
        <v>175709</v>
      </c>
      <c r="Y69">
        <v>12551</v>
      </c>
      <c r="Z69">
        <v>0.59</v>
      </c>
      <c r="AA69">
        <v>14</v>
      </c>
      <c r="AB69">
        <v>9</v>
      </c>
      <c r="AC69">
        <v>5</v>
      </c>
      <c r="AD69">
        <v>64.290000000000006</v>
      </c>
      <c r="AE69">
        <v>13</v>
      </c>
      <c r="AF69">
        <v>6</v>
      </c>
      <c r="AG69">
        <v>3</v>
      </c>
      <c r="AH69">
        <v>5</v>
      </c>
    </row>
    <row r="70" spans="1:34">
      <c r="A70" s="109">
        <v>51</v>
      </c>
      <c r="B70">
        <v>3635</v>
      </c>
      <c r="C70" s="113" t="s">
        <v>110</v>
      </c>
      <c r="D70" s="113" t="s">
        <v>104</v>
      </c>
      <c r="E70">
        <v>2647</v>
      </c>
      <c r="F70">
        <v>2693</v>
      </c>
      <c r="G70">
        <v>300</v>
      </c>
      <c r="H70" s="113" t="s">
        <v>87</v>
      </c>
      <c r="I70">
        <v>4613</v>
      </c>
      <c r="J70" s="113" t="s">
        <v>351</v>
      </c>
      <c r="K70" s="113" t="s">
        <v>86</v>
      </c>
      <c r="L70">
        <v>2792</v>
      </c>
      <c r="M70">
        <v>2805</v>
      </c>
      <c r="N70">
        <v>300</v>
      </c>
      <c r="O70" s="113" t="s">
        <v>85</v>
      </c>
      <c r="P70">
        <v>0.91792974408707395</v>
      </c>
      <c r="Q70">
        <v>0.93558026161641195</v>
      </c>
      <c r="R70" s="113">
        <v>6.4369244719207103E-2</v>
      </c>
      <c r="S70">
        <v>4.2830622490894601E-2</v>
      </c>
      <c r="T70">
        <v>0.42696145823612403</v>
      </c>
      <c r="U70">
        <v>0.42696145823612403</v>
      </c>
      <c r="V70">
        <v>1.37</v>
      </c>
      <c r="W70">
        <v>3.99</v>
      </c>
      <c r="X70">
        <v>175233</v>
      </c>
      <c r="Y70">
        <v>13479</v>
      </c>
      <c r="Z70">
        <v>0.8</v>
      </c>
      <c r="AA70">
        <v>13</v>
      </c>
      <c r="AB70">
        <v>9</v>
      </c>
      <c r="AC70">
        <v>4</v>
      </c>
      <c r="AD70">
        <v>69.23</v>
      </c>
      <c r="AE70">
        <v>13</v>
      </c>
      <c r="AF70">
        <v>5</v>
      </c>
      <c r="AG70">
        <v>2</v>
      </c>
      <c r="AH70">
        <v>6</v>
      </c>
    </row>
    <row r="71" spans="1:34">
      <c r="A71" s="109">
        <v>69</v>
      </c>
      <c r="B71">
        <v>5991</v>
      </c>
      <c r="C71" s="113" t="s">
        <v>140</v>
      </c>
      <c r="D71" s="113" t="s">
        <v>141</v>
      </c>
      <c r="E71">
        <v>1008</v>
      </c>
      <c r="F71">
        <v>1005</v>
      </c>
      <c r="G71">
        <v>800</v>
      </c>
      <c r="H71" s="113" t="s">
        <v>87</v>
      </c>
      <c r="I71">
        <v>7259</v>
      </c>
      <c r="J71" s="113" t="s">
        <v>53</v>
      </c>
      <c r="K71" s="113" t="s">
        <v>109</v>
      </c>
      <c r="L71">
        <v>4210</v>
      </c>
      <c r="M71">
        <v>4210</v>
      </c>
      <c r="N71">
        <v>200</v>
      </c>
      <c r="O71" s="113" t="s">
        <v>85</v>
      </c>
      <c r="P71">
        <v>0.90871489191293198</v>
      </c>
      <c r="Q71">
        <v>0.92873910727342002</v>
      </c>
      <c r="R71">
        <v>0.209657857558707</v>
      </c>
      <c r="S71">
        <v>1.5590004732262601E-2</v>
      </c>
      <c r="T71">
        <v>0.60840678774061796</v>
      </c>
      <c r="U71">
        <v>0.60840678774061796</v>
      </c>
      <c r="V71">
        <v>2.0699999999999998</v>
      </c>
      <c r="W71">
        <v>4.51</v>
      </c>
      <c r="X71">
        <v>175024</v>
      </c>
      <c r="Y71">
        <v>11668</v>
      </c>
      <c r="Z71">
        <v>0.81</v>
      </c>
      <c r="AA71">
        <v>15</v>
      </c>
      <c r="AB71">
        <v>9</v>
      </c>
      <c r="AC71">
        <v>6</v>
      </c>
      <c r="AD71">
        <v>60</v>
      </c>
      <c r="AE71">
        <v>10</v>
      </c>
      <c r="AF71">
        <v>8</v>
      </c>
      <c r="AG71">
        <v>3</v>
      </c>
      <c r="AH71">
        <v>4</v>
      </c>
    </row>
    <row r="72" spans="1:34">
      <c r="A72" s="109">
        <v>24</v>
      </c>
      <c r="B72">
        <v>5901</v>
      </c>
      <c r="C72" s="113" t="s">
        <v>353</v>
      </c>
      <c r="D72" s="113" t="s">
        <v>141</v>
      </c>
      <c r="E72">
        <v>1940</v>
      </c>
      <c r="F72">
        <v>1925</v>
      </c>
      <c r="G72">
        <v>500</v>
      </c>
      <c r="H72" s="113" t="s">
        <v>87</v>
      </c>
      <c r="I72">
        <v>8377</v>
      </c>
      <c r="J72" s="113" t="s">
        <v>119</v>
      </c>
      <c r="K72" s="113" t="s">
        <v>107</v>
      </c>
      <c r="L72">
        <v>1145</v>
      </c>
      <c r="M72">
        <v>1138</v>
      </c>
      <c r="N72">
        <v>800</v>
      </c>
      <c r="O72" s="113" t="s">
        <v>85</v>
      </c>
      <c r="P72">
        <v>0.94181354599186695</v>
      </c>
      <c r="Q72">
        <v>0.94626184740083097</v>
      </c>
      <c r="R72">
        <v>7.7350686962486905E-4</v>
      </c>
      <c r="S72" s="20">
        <v>3.2312729569663398E-3</v>
      </c>
      <c r="T72">
        <v>0.71429125199531096</v>
      </c>
      <c r="U72">
        <v>0.71429125199531096</v>
      </c>
      <c r="V72">
        <v>2.14</v>
      </c>
      <c r="W72">
        <v>5.41</v>
      </c>
      <c r="X72">
        <v>160862</v>
      </c>
      <c r="Y72">
        <v>7312</v>
      </c>
      <c r="Z72">
        <v>0.31</v>
      </c>
      <c r="AA72">
        <v>22</v>
      </c>
      <c r="AB72">
        <v>14</v>
      </c>
      <c r="AC72">
        <v>8</v>
      </c>
      <c r="AD72">
        <v>63.64</v>
      </c>
      <c r="AE72">
        <v>14</v>
      </c>
      <c r="AF72">
        <v>9</v>
      </c>
      <c r="AG72">
        <v>6</v>
      </c>
      <c r="AH72">
        <v>7</v>
      </c>
    </row>
    <row r="73" spans="1:34">
      <c r="A73" s="109">
        <v>10</v>
      </c>
      <c r="B73">
        <v>2175</v>
      </c>
      <c r="C73" s="113" t="s">
        <v>358</v>
      </c>
      <c r="D73" s="113" t="s">
        <v>145</v>
      </c>
      <c r="E73">
        <v>3025</v>
      </c>
      <c r="F73">
        <v>3055</v>
      </c>
      <c r="G73">
        <v>400</v>
      </c>
      <c r="H73" s="113" t="s">
        <v>87</v>
      </c>
      <c r="I73">
        <v>9759</v>
      </c>
      <c r="J73" s="113" t="s">
        <v>1067</v>
      </c>
      <c r="K73" s="113" t="s">
        <v>104</v>
      </c>
      <c r="L73">
        <v>3615</v>
      </c>
      <c r="M73">
        <v>3650</v>
      </c>
      <c r="N73">
        <v>300</v>
      </c>
      <c r="O73" s="113" t="s">
        <v>85</v>
      </c>
      <c r="P73">
        <v>0.91000490958165203</v>
      </c>
      <c r="Q73">
        <v>0.95438784324507797</v>
      </c>
      <c r="R73">
        <v>0.15710120567209099</v>
      </c>
      <c r="S73">
        <v>1.4910925014624201E-3</v>
      </c>
      <c r="T73">
        <v>0.17010164805275599</v>
      </c>
      <c r="U73">
        <v>0.17010164805275599</v>
      </c>
      <c r="V73">
        <v>0.63</v>
      </c>
      <c r="W73">
        <v>11.6</v>
      </c>
      <c r="X73">
        <v>158528</v>
      </c>
      <c r="Y73">
        <v>14412</v>
      </c>
      <c r="Z73">
        <v>0.81</v>
      </c>
      <c r="AA73">
        <v>11</v>
      </c>
      <c r="AB73">
        <v>7</v>
      </c>
      <c r="AC73">
        <v>4</v>
      </c>
      <c r="AD73">
        <v>63.64</v>
      </c>
      <c r="AE73">
        <v>11</v>
      </c>
      <c r="AF73">
        <v>6</v>
      </c>
      <c r="AG73">
        <v>3</v>
      </c>
      <c r="AH73">
        <v>2</v>
      </c>
    </row>
    <row r="74" spans="1:34">
      <c r="A74" s="109">
        <v>149</v>
      </c>
      <c r="B74">
        <v>1820</v>
      </c>
      <c r="C74" s="113" t="s">
        <v>147</v>
      </c>
      <c r="D74" s="113" t="s">
        <v>103</v>
      </c>
      <c r="E74">
        <v>2537</v>
      </c>
      <c r="F74">
        <v>2516</v>
      </c>
      <c r="G74">
        <v>300</v>
      </c>
      <c r="H74" s="113" t="s">
        <v>87</v>
      </c>
      <c r="I74">
        <v>9072</v>
      </c>
      <c r="J74" s="113" t="s">
        <v>151</v>
      </c>
      <c r="K74" s="113" t="s">
        <v>144</v>
      </c>
      <c r="L74">
        <v>2751</v>
      </c>
      <c r="M74">
        <v>2752</v>
      </c>
      <c r="N74">
        <v>300</v>
      </c>
      <c r="O74" s="113" t="s">
        <v>85</v>
      </c>
      <c r="P74">
        <v>0.95612843672209202</v>
      </c>
      <c r="Q74">
        <v>0.90775015004584203</v>
      </c>
      <c r="R74">
        <v>0.12571531743508799</v>
      </c>
      <c r="S74" s="20">
        <v>2.6652780313496101E-3</v>
      </c>
      <c r="T74">
        <v>1.9327495728577899</v>
      </c>
      <c r="U74">
        <v>1.9327495728577899</v>
      </c>
      <c r="V74">
        <v>8.59</v>
      </c>
      <c r="W74">
        <v>8.58</v>
      </c>
      <c r="X74">
        <v>153180</v>
      </c>
      <c r="Y74">
        <v>11783</v>
      </c>
      <c r="Z74">
        <v>0.63</v>
      </c>
      <c r="AA74">
        <v>13</v>
      </c>
      <c r="AB74">
        <v>7</v>
      </c>
      <c r="AC74">
        <v>6</v>
      </c>
      <c r="AD74">
        <v>53.85</v>
      </c>
      <c r="AE74">
        <v>16</v>
      </c>
      <c r="AF74">
        <v>5</v>
      </c>
      <c r="AG74">
        <v>1</v>
      </c>
      <c r="AH74">
        <v>7</v>
      </c>
    </row>
    <row r="75" spans="1:34">
      <c r="A75" s="109">
        <v>119</v>
      </c>
      <c r="B75">
        <v>6674</v>
      </c>
      <c r="C75" s="113" t="s">
        <v>361</v>
      </c>
      <c r="D75" s="113" t="s">
        <v>112</v>
      </c>
      <c r="E75">
        <v>2387</v>
      </c>
      <c r="F75">
        <v>2382</v>
      </c>
      <c r="G75">
        <v>400</v>
      </c>
      <c r="H75" s="113" t="s">
        <v>87</v>
      </c>
      <c r="I75">
        <v>6752</v>
      </c>
      <c r="J75" s="113" t="s">
        <v>130</v>
      </c>
      <c r="K75" s="113" t="s">
        <v>112</v>
      </c>
      <c r="L75">
        <v>1057.5</v>
      </c>
      <c r="M75">
        <v>1057.5</v>
      </c>
      <c r="N75">
        <v>900</v>
      </c>
      <c r="O75" s="113" t="s">
        <v>85</v>
      </c>
      <c r="P75">
        <v>0.95337794446078294</v>
      </c>
      <c r="Q75">
        <v>0.91560936721547703</v>
      </c>
      <c r="R75">
        <v>0.35397096285687102</v>
      </c>
      <c r="S75" s="113">
        <v>0.37626042162752699</v>
      </c>
      <c r="T75">
        <v>1.4041219436618899</v>
      </c>
      <c r="U75">
        <v>1.4041219436618899</v>
      </c>
      <c r="V75">
        <v>4.0599999999999996</v>
      </c>
      <c r="W75">
        <v>0.11</v>
      </c>
      <c r="X75">
        <v>150976</v>
      </c>
      <c r="Y75">
        <v>10065</v>
      </c>
      <c r="Z75">
        <v>0.62</v>
      </c>
      <c r="AA75">
        <v>15</v>
      </c>
      <c r="AB75">
        <v>9</v>
      </c>
      <c r="AC75">
        <v>6</v>
      </c>
      <c r="AD75">
        <v>60</v>
      </c>
      <c r="AE75">
        <v>13</v>
      </c>
      <c r="AF75">
        <v>5</v>
      </c>
      <c r="AG75">
        <v>2</v>
      </c>
      <c r="AH75">
        <v>8</v>
      </c>
    </row>
    <row r="76" spans="1:34">
      <c r="A76" s="109">
        <v>125</v>
      </c>
      <c r="B76">
        <v>2379</v>
      </c>
      <c r="C76" s="113" t="s">
        <v>1068</v>
      </c>
      <c r="D76" s="113" t="s">
        <v>145</v>
      </c>
      <c r="E76">
        <v>3280</v>
      </c>
      <c r="F76">
        <v>3290</v>
      </c>
      <c r="G76">
        <v>300</v>
      </c>
      <c r="H76" s="113" t="s">
        <v>87</v>
      </c>
      <c r="I76">
        <v>8593</v>
      </c>
      <c r="J76" s="113" t="s">
        <v>342</v>
      </c>
      <c r="K76" s="113" t="s">
        <v>329</v>
      </c>
      <c r="L76">
        <v>705</v>
      </c>
      <c r="M76">
        <v>710</v>
      </c>
      <c r="N76">
        <v>1400</v>
      </c>
      <c r="O76" s="113" t="s">
        <v>85</v>
      </c>
      <c r="P76">
        <v>0.91706917822884104</v>
      </c>
      <c r="Q76">
        <v>0.91329150238132695</v>
      </c>
      <c r="R76">
        <v>9.2878215904998104E-2</v>
      </c>
      <c r="S76">
        <v>6.9278415434105498E-2</v>
      </c>
      <c r="T76">
        <v>1.8639637358388099</v>
      </c>
      <c r="U76">
        <v>1.8639637358388099</v>
      </c>
      <c r="V76">
        <v>8.06</v>
      </c>
      <c r="W76">
        <v>0.71</v>
      </c>
      <c r="X76">
        <v>147299</v>
      </c>
      <c r="Y76">
        <v>6137</v>
      </c>
      <c r="Z76">
        <v>0.4</v>
      </c>
      <c r="AA76">
        <v>24</v>
      </c>
      <c r="AB76">
        <v>14</v>
      </c>
      <c r="AC76">
        <v>10</v>
      </c>
      <c r="AD76">
        <v>58.33</v>
      </c>
      <c r="AE76">
        <v>9</v>
      </c>
      <c r="AF76">
        <v>13</v>
      </c>
      <c r="AG76">
        <v>9</v>
      </c>
      <c r="AH76">
        <v>2</v>
      </c>
    </row>
    <row r="77" spans="1:34">
      <c r="A77" s="109">
        <v>29</v>
      </c>
      <c r="B77">
        <v>4182</v>
      </c>
      <c r="C77" s="113" t="s">
        <v>113</v>
      </c>
      <c r="D77" s="113" t="s">
        <v>86</v>
      </c>
      <c r="E77">
        <v>1696</v>
      </c>
      <c r="F77">
        <v>1677</v>
      </c>
      <c r="G77">
        <v>600</v>
      </c>
      <c r="H77" s="113" t="s">
        <v>85</v>
      </c>
      <c r="I77">
        <v>6752</v>
      </c>
      <c r="J77" s="113" t="s">
        <v>130</v>
      </c>
      <c r="K77" s="113" t="s">
        <v>112</v>
      </c>
      <c r="L77">
        <v>1057.5</v>
      </c>
      <c r="M77">
        <v>1057.5</v>
      </c>
      <c r="N77">
        <v>1000</v>
      </c>
      <c r="O77" s="113" t="s">
        <v>87</v>
      </c>
      <c r="P77">
        <v>0.94243067503764999</v>
      </c>
      <c r="Q77">
        <v>0.94470096417863403</v>
      </c>
      <c r="R77">
        <v>6.9795940950431401E-2</v>
      </c>
      <c r="S77" s="20">
        <v>2.36946765359843E-2</v>
      </c>
      <c r="T77">
        <v>-0.52177770272789803</v>
      </c>
      <c r="U77">
        <v>0.52177770272789803</v>
      </c>
      <c r="V77">
        <v>-1.99</v>
      </c>
      <c r="W77">
        <v>5.0999999999999996</v>
      </c>
      <c r="X77">
        <v>145761</v>
      </c>
      <c r="Y77">
        <v>8098</v>
      </c>
      <c r="Z77">
        <v>0.37</v>
      </c>
      <c r="AA77">
        <v>18</v>
      </c>
      <c r="AB77">
        <v>12</v>
      </c>
      <c r="AC77">
        <v>6</v>
      </c>
      <c r="AD77">
        <v>66.67</v>
      </c>
      <c r="AE77">
        <v>13</v>
      </c>
      <c r="AF77">
        <v>7</v>
      </c>
      <c r="AG77">
        <v>4</v>
      </c>
      <c r="AH77">
        <v>7</v>
      </c>
    </row>
    <row r="78" spans="1:34">
      <c r="A78" s="109">
        <v>134</v>
      </c>
      <c r="B78">
        <v>3116</v>
      </c>
      <c r="C78" s="113" t="s">
        <v>150</v>
      </c>
      <c r="D78" s="113" t="s">
        <v>109</v>
      </c>
      <c r="E78">
        <v>1760</v>
      </c>
      <c r="F78">
        <v>1781</v>
      </c>
      <c r="G78">
        <v>300</v>
      </c>
      <c r="H78" s="113" t="s">
        <v>87</v>
      </c>
      <c r="I78">
        <v>6988</v>
      </c>
      <c r="J78" s="113" t="s">
        <v>164</v>
      </c>
      <c r="K78" s="113" t="s">
        <v>86</v>
      </c>
      <c r="L78">
        <v>6120</v>
      </c>
      <c r="M78">
        <v>6170</v>
      </c>
      <c r="N78">
        <v>100</v>
      </c>
      <c r="O78" s="113" t="s">
        <v>85</v>
      </c>
      <c r="P78">
        <v>0.92617416768834504</v>
      </c>
      <c r="Q78">
        <v>0.91055897096377503</v>
      </c>
      <c r="R78">
        <v>0.17207438840693701</v>
      </c>
      <c r="S78" s="113">
        <v>0.29647942744580102</v>
      </c>
      <c r="T78">
        <v>1.1970374297203901</v>
      </c>
      <c r="U78">
        <v>1.1970374297203901</v>
      </c>
      <c r="V78">
        <v>3.04</v>
      </c>
      <c r="W78">
        <v>13.4</v>
      </c>
      <c r="X78">
        <v>135364</v>
      </c>
      <c r="Y78">
        <v>13536</v>
      </c>
      <c r="Z78">
        <v>1.01</v>
      </c>
      <c r="AA78">
        <v>10</v>
      </c>
      <c r="AB78">
        <v>8</v>
      </c>
      <c r="AC78">
        <v>2</v>
      </c>
      <c r="AD78">
        <v>80</v>
      </c>
      <c r="AE78">
        <v>12</v>
      </c>
      <c r="AF78">
        <v>6</v>
      </c>
      <c r="AG78">
        <v>1</v>
      </c>
      <c r="AH78">
        <v>3</v>
      </c>
    </row>
    <row r="79" spans="1:34">
      <c r="A79" s="109">
        <v>78</v>
      </c>
      <c r="B79">
        <v>6952</v>
      </c>
      <c r="C79" s="113" t="s">
        <v>991</v>
      </c>
      <c r="D79" s="113" t="s">
        <v>112</v>
      </c>
      <c r="E79">
        <v>2138</v>
      </c>
      <c r="F79">
        <v>2155</v>
      </c>
      <c r="G79">
        <v>500</v>
      </c>
      <c r="H79" s="113" t="s">
        <v>87</v>
      </c>
      <c r="I79">
        <v>8604</v>
      </c>
      <c r="J79" s="113" t="s">
        <v>992</v>
      </c>
      <c r="K79" s="113" t="s">
        <v>993</v>
      </c>
      <c r="L79">
        <v>560.4</v>
      </c>
      <c r="M79">
        <v>565</v>
      </c>
      <c r="N79">
        <v>1900</v>
      </c>
      <c r="O79" s="113" t="s">
        <v>85</v>
      </c>
      <c r="P79">
        <v>0.958546122922044</v>
      </c>
      <c r="Q79">
        <v>0.92636535371033901</v>
      </c>
      <c r="R79" s="113">
        <v>0.11267802353832899</v>
      </c>
      <c r="S79">
        <v>0.107391664831856</v>
      </c>
      <c r="T79">
        <v>1.6711192771254499</v>
      </c>
      <c r="U79">
        <v>1.6711192771254499</v>
      </c>
      <c r="V79">
        <v>6</v>
      </c>
      <c r="W79">
        <v>0.37</v>
      </c>
      <c r="X79">
        <v>134282</v>
      </c>
      <c r="Y79">
        <v>7899</v>
      </c>
      <c r="Z79">
        <v>0.39</v>
      </c>
      <c r="AA79">
        <v>17</v>
      </c>
      <c r="AB79">
        <v>10</v>
      </c>
      <c r="AC79">
        <v>7</v>
      </c>
      <c r="AD79">
        <v>58.82</v>
      </c>
      <c r="AE79">
        <v>13</v>
      </c>
      <c r="AF79">
        <v>4</v>
      </c>
      <c r="AG79">
        <v>3</v>
      </c>
      <c r="AH79">
        <v>10</v>
      </c>
    </row>
    <row r="80" spans="1:34">
      <c r="A80" s="109">
        <v>170</v>
      </c>
      <c r="B80">
        <v>8341</v>
      </c>
      <c r="C80" s="113" t="s">
        <v>1318</v>
      </c>
      <c r="D80" s="113" t="s">
        <v>107</v>
      </c>
      <c r="E80">
        <v>1835</v>
      </c>
      <c r="F80">
        <v>1827</v>
      </c>
      <c r="G80">
        <v>600</v>
      </c>
      <c r="H80" s="113" t="s">
        <v>85</v>
      </c>
      <c r="I80">
        <v>8795</v>
      </c>
      <c r="J80" s="113" t="s">
        <v>160</v>
      </c>
      <c r="K80" s="113" t="s">
        <v>135</v>
      </c>
      <c r="L80">
        <v>1362</v>
      </c>
      <c r="M80">
        <v>1362</v>
      </c>
      <c r="N80">
        <v>800</v>
      </c>
      <c r="O80" s="113" t="s">
        <v>87</v>
      </c>
      <c r="P80">
        <v>0.93212620293717996</v>
      </c>
      <c r="Q80">
        <v>0.90315900964487805</v>
      </c>
      <c r="R80">
        <v>1.49184346112768E-2</v>
      </c>
      <c r="S80">
        <v>2.9084714812319602E-2</v>
      </c>
      <c r="T80">
        <v>-0.556580464680694</v>
      </c>
      <c r="U80">
        <v>0.556580464680694</v>
      </c>
      <c r="V80">
        <v>-1.57</v>
      </c>
      <c r="W80">
        <v>0.6</v>
      </c>
      <c r="X80">
        <v>132898</v>
      </c>
      <c r="Y80">
        <v>8860</v>
      </c>
      <c r="Z80">
        <v>0.47</v>
      </c>
      <c r="AA80">
        <v>15</v>
      </c>
      <c r="AB80">
        <v>10</v>
      </c>
      <c r="AC80">
        <v>5</v>
      </c>
      <c r="AD80">
        <v>66.67</v>
      </c>
      <c r="AE80">
        <v>12</v>
      </c>
      <c r="AF80">
        <v>6</v>
      </c>
      <c r="AG80">
        <v>3</v>
      </c>
      <c r="AH80">
        <v>6</v>
      </c>
    </row>
    <row r="81" spans="1:34">
      <c r="A81" s="109">
        <v>169</v>
      </c>
      <c r="B81">
        <v>5463</v>
      </c>
      <c r="C81" s="113" t="s">
        <v>167</v>
      </c>
      <c r="D81" s="113" t="s">
        <v>117</v>
      </c>
      <c r="E81">
        <v>3160</v>
      </c>
      <c r="F81">
        <v>3140</v>
      </c>
      <c r="G81">
        <v>300</v>
      </c>
      <c r="H81" s="113" t="s">
        <v>85</v>
      </c>
      <c r="I81">
        <v>6674</v>
      </c>
      <c r="J81" s="113" t="s">
        <v>361</v>
      </c>
      <c r="K81" s="113" t="s">
        <v>112</v>
      </c>
      <c r="L81">
        <v>2387</v>
      </c>
      <c r="M81">
        <v>2382</v>
      </c>
      <c r="N81">
        <v>400</v>
      </c>
      <c r="O81" s="113" t="s">
        <v>87</v>
      </c>
      <c r="P81">
        <v>0.92357843313247501</v>
      </c>
      <c r="Q81">
        <v>0.90369122387664302</v>
      </c>
      <c r="R81" s="113">
        <v>9.2809939282901904E-2</v>
      </c>
      <c r="S81" s="20">
        <v>1.29138610816356E-2</v>
      </c>
      <c r="T81">
        <v>-2.4648174305156498</v>
      </c>
      <c r="U81">
        <v>2.4648174305156498</v>
      </c>
      <c r="V81">
        <v>-10.58</v>
      </c>
      <c r="W81">
        <v>1.1499999999999999</v>
      </c>
      <c r="X81">
        <v>130185</v>
      </c>
      <c r="Y81">
        <v>10014</v>
      </c>
      <c r="Z81">
        <v>0.63</v>
      </c>
      <c r="AA81">
        <v>13</v>
      </c>
      <c r="AB81">
        <v>8</v>
      </c>
      <c r="AC81">
        <v>5</v>
      </c>
      <c r="AD81">
        <v>61.54</v>
      </c>
      <c r="AE81">
        <v>13</v>
      </c>
      <c r="AF81">
        <v>5</v>
      </c>
      <c r="AG81">
        <v>2</v>
      </c>
      <c r="AH81">
        <v>6</v>
      </c>
    </row>
    <row r="82" spans="1:34">
      <c r="A82" s="109">
        <v>109</v>
      </c>
      <c r="B82">
        <v>3116</v>
      </c>
      <c r="C82" s="113" t="s">
        <v>150</v>
      </c>
      <c r="D82" s="113" t="s">
        <v>109</v>
      </c>
      <c r="E82">
        <v>1760</v>
      </c>
      <c r="F82">
        <v>1781</v>
      </c>
      <c r="G82">
        <v>400</v>
      </c>
      <c r="H82" s="113" t="s">
        <v>87</v>
      </c>
      <c r="I82">
        <v>6371</v>
      </c>
      <c r="J82" s="113" t="s">
        <v>133</v>
      </c>
      <c r="K82" s="113" t="s">
        <v>124</v>
      </c>
      <c r="L82">
        <v>3910</v>
      </c>
      <c r="M82">
        <v>3900</v>
      </c>
      <c r="N82">
        <v>200</v>
      </c>
      <c r="O82" s="113" t="s">
        <v>85</v>
      </c>
      <c r="P82">
        <v>0.93128592130796395</v>
      </c>
      <c r="Q82">
        <v>0.91674049802412505</v>
      </c>
      <c r="R82">
        <v>0.21019375714747199</v>
      </c>
      <c r="S82" s="20">
        <v>2.0702682053343201E-2</v>
      </c>
      <c r="T82" s="20">
        <v>1.7023207933244799</v>
      </c>
      <c r="U82" s="20">
        <v>1.7023207933244799</v>
      </c>
      <c r="V82">
        <v>3.53</v>
      </c>
      <c r="W82">
        <v>8.67</v>
      </c>
      <c r="X82">
        <v>127732</v>
      </c>
      <c r="Y82">
        <v>7983</v>
      </c>
      <c r="Z82">
        <v>0.44</v>
      </c>
      <c r="AA82">
        <v>16</v>
      </c>
      <c r="AB82">
        <v>9</v>
      </c>
      <c r="AC82">
        <v>7</v>
      </c>
      <c r="AD82">
        <v>56.25</v>
      </c>
      <c r="AE82">
        <v>12</v>
      </c>
      <c r="AF82">
        <v>6</v>
      </c>
      <c r="AG82">
        <v>3</v>
      </c>
      <c r="AH82">
        <v>7</v>
      </c>
    </row>
    <row r="83" spans="1:34">
      <c r="A83" s="109">
        <v>151</v>
      </c>
      <c r="B83">
        <v>4208</v>
      </c>
      <c r="C83" s="113" t="s">
        <v>123</v>
      </c>
      <c r="D83" s="113" t="s">
        <v>86</v>
      </c>
      <c r="E83">
        <v>2386</v>
      </c>
      <c r="F83">
        <v>2376</v>
      </c>
      <c r="G83">
        <v>300</v>
      </c>
      <c r="H83" s="113" t="s">
        <v>85</v>
      </c>
      <c r="I83">
        <v>9072</v>
      </c>
      <c r="J83" s="113" t="s">
        <v>151</v>
      </c>
      <c r="K83" s="113" t="s">
        <v>144</v>
      </c>
      <c r="L83">
        <v>2751</v>
      </c>
      <c r="M83">
        <v>2752</v>
      </c>
      <c r="N83">
        <v>300</v>
      </c>
      <c r="O83" s="113" t="s">
        <v>87</v>
      </c>
      <c r="P83">
        <v>0.92267461964962805</v>
      </c>
      <c r="Q83">
        <v>0.90747412289270901</v>
      </c>
      <c r="R83" s="20">
        <v>1.3274548716198899E-2</v>
      </c>
      <c r="S83">
        <v>2.11290299397675E-2</v>
      </c>
      <c r="T83">
        <v>-0.53411221167219902</v>
      </c>
      <c r="U83">
        <v>0.53411221167219902</v>
      </c>
      <c r="V83">
        <v>-0.97</v>
      </c>
      <c r="W83">
        <v>13.66</v>
      </c>
      <c r="X83">
        <v>126426</v>
      </c>
      <c r="Y83">
        <v>11493</v>
      </c>
      <c r="Z83">
        <v>0.65</v>
      </c>
      <c r="AA83">
        <v>11</v>
      </c>
      <c r="AB83">
        <v>7</v>
      </c>
      <c r="AC83">
        <v>4</v>
      </c>
      <c r="AD83">
        <v>63.64</v>
      </c>
      <c r="AE83">
        <v>14</v>
      </c>
      <c r="AF83">
        <v>5</v>
      </c>
      <c r="AG83">
        <v>1</v>
      </c>
      <c r="AH83">
        <v>5</v>
      </c>
    </row>
    <row r="84" spans="1:34">
      <c r="A84" s="109">
        <v>60</v>
      </c>
      <c r="B84">
        <v>3861</v>
      </c>
      <c r="C84" s="113" t="s">
        <v>89</v>
      </c>
      <c r="D84" s="113" t="s">
        <v>105</v>
      </c>
      <c r="E84">
        <v>629</v>
      </c>
      <c r="F84">
        <v>626</v>
      </c>
      <c r="G84">
        <v>1700</v>
      </c>
      <c r="H84" s="113" t="s">
        <v>87</v>
      </c>
      <c r="I84">
        <v>5703</v>
      </c>
      <c r="J84" s="113" t="s">
        <v>336</v>
      </c>
      <c r="K84" s="113" t="s">
        <v>157</v>
      </c>
      <c r="L84">
        <v>236</v>
      </c>
      <c r="M84">
        <v>232</v>
      </c>
      <c r="N84">
        <v>4600</v>
      </c>
      <c r="O84" s="113" t="s">
        <v>85</v>
      </c>
      <c r="P84">
        <v>0.972245507444638</v>
      </c>
      <c r="Q84">
        <v>0.93263865873326302</v>
      </c>
      <c r="R84">
        <v>1.4007655799715499E-2</v>
      </c>
      <c r="S84" s="113">
        <v>0.224424773249666</v>
      </c>
      <c r="T84">
        <v>0.47869182857553999</v>
      </c>
      <c r="U84">
        <v>0.47869182857553999</v>
      </c>
      <c r="V84">
        <v>1.08</v>
      </c>
      <c r="W84">
        <v>0.28000000000000003</v>
      </c>
      <c r="X84">
        <v>126217</v>
      </c>
      <c r="Y84">
        <v>5488</v>
      </c>
      <c r="Z84">
        <v>0.27</v>
      </c>
      <c r="AA84">
        <v>23</v>
      </c>
      <c r="AB84">
        <v>13</v>
      </c>
      <c r="AC84">
        <v>10</v>
      </c>
      <c r="AD84">
        <v>56.52</v>
      </c>
      <c r="AE84">
        <v>11</v>
      </c>
      <c r="AF84">
        <v>10</v>
      </c>
      <c r="AG84">
        <v>6</v>
      </c>
      <c r="AH84">
        <v>7</v>
      </c>
    </row>
    <row r="85" spans="1:34">
      <c r="A85" s="109">
        <v>178</v>
      </c>
      <c r="B85">
        <v>1860</v>
      </c>
      <c r="C85" s="113" t="s">
        <v>136</v>
      </c>
      <c r="D85" s="113" t="s">
        <v>103</v>
      </c>
      <c r="E85">
        <v>724</v>
      </c>
      <c r="F85">
        <v>722</v>
      </c>
      <c r="G85">
        <v>1400</v>
      </c>
      <c r="H85" s="113" t="s">
        <v>87</v>
      </c>
      <c r="I85">
        <v>5110</v>
      </c>
      <c r="J85" s="113" t="s">
        <v>153</v>
      </c>
      <c r="K85" s="113" t="s">
        <v>154</v>
      </c>
      <c r="L85">
        <v>1410</v>
      </c>
      <c r="M85">
        <v>1420</v>
      </c>
      <c r="N85">
        <v>700</v>
      </c>
      <c r="O85" s="113" t="s">
        <v>85</v>
      </c>
      <c r="P85">
        <v>0.92033312036951698</v>
      </c>
      <c r="Q85">
        <v>0.900889699671097</v>
      </c>
      <c r="R85">
        <v>3.2787474544801201E-2</v>
      </c>
      <c r="S85" s="20">
        <v>1.23786247396202E-2</v>
      </c>
      <c r="T85">
        <v>2.53763698319178</v>
      </c>
      <c r="U85">
        <v>2.53763698319178</v>
      </c>
      <c r="V85">
        <v>4.5199999999999996</v>
      </c>
      <c r="W85">
        <v>1.69</v>
      </c>
      <c r="X85">
        <v>117025</v>
      </c>
      <c r="Y85">
        <v>7314</v>
      </c>
      <c r="Z85">
        <v>0.32</v>
      </c>
      <c r="AA85">
        <v>16</v>
      </c>
      <c r="AB85">
        <v>9</v>
      </c>
      <c r="AC85">
        <v>7</v>
      </c>
      <c r="AD85">
        <v>56.25</v>
      </c>
      <c r="AE85">
        <v>12</v>
      </c>
      <c r="AF85">
        <v>6</v>
      </c>
      <c r="AG85">
        <v>4</v>
      </c>
      <c r="AH85">
        <v>6</v>
      </c>
    </row>
    <row r="86" spans="1:34">
      <c r="A86" s="109">
        <v>112</v>
      </c>
      <c r="B86">
        <v>5471</v>
      </c>
      <c r="C86" s="113" t="s">
        <v>334</v>
      </c>
      <c r="D86" s="113" t="s">
        <v>117</v>
      </c>
      <c r="E86">
        <v>4995</v>
      </c>
      <c r="F86">
        <v>4945</v>
      </c>
      <c r="G86">
        <v>100</v>
      </c>
      <c r="H86" s="113" t="s">
        <v>85</v>
      </c>
      <c r="I86">
        <v>6988</v>
      </c>
      <c r="J86" s="113" t="s">
        <v>164</v>
      </c>
      <c r="K86" s="113" t="s">
        <v>86</v>
      </c>
      <c r="L86">
        <v>6120</v>
      </c>
      <c r="M86">
        <v>6170</v>
      </c>
      <c r="N86">
        <v>100</v>
      </c>
      <c r="O86" s="113" t="s">
        <v>87</v>
      </c>
      <c r="P86">
        <v>0.94373486219940905</v>
      </c>
      <c r="Q86">
        <v>0.91634642615046602</v>
      </c>
      <c r="R86">
        <v>4.53247244821917E-2</v>
      </c>
      <c r="S86" s="20">
        <v>0.25028838943038301</v>
      </c>
      <c r="T86">
        <v>-0.39449949034612902</v>
      </c>
      <c r="U86">
        <v>0.39449949034612902</v>
      </c>
      <c r="V86">
        <v>-0.98</v>
      </c>
      <c r="W86">
        <v>19.850000000000001</v>
      </c>
      <c r="X86">
        <v>114186</v>
      </c>
      <c r="Y86">
        <v>114186</v>
      </c>
      <c r="Z86">
        <v>5.01</v>
      </c>
      <c r="AA86">
        <v>1</v>
      </c>
      <c r="AB86">
        <v>1</v>
      </c>
      <c r="AC86">
        <v>0</v>
      </c>
      <c r="AD86">
        <v>100</v>
      </c>
      <c r="AE86">
        <v>2</v>
      </c>
      <c r="AF86">
        <v>1</v>
      </c>
      <c r="AG86">
        <v>0</v>
      </c>
      <c r="AH86">
        <v>0</v>
      </c>
    </row>
    <row r="87" spans="1:34">
      <c r="A87" s="109">
        <v>175</v>
      </c>
      <c r="B87">
        <v>3105</v>
      </c>
      <c r="C87" s="113" t="s">
        <v>115</v>
      </c>
      <c r="D87" s="113" t="s">
        <v>112</v>
      </c>
      <c r="E87">
        <v>1050</v>
      </c>
      <c r="F87">
        <v>1045</v>
      </c>
      <c r="G87">
        <v>1000</v>
      </c>
      <c r="H87" s="113" t="s">
        <v>87</v>
      </c>
      <c r="I87">
        <v>7762</v>
      </c>
      <c r="J87" s="113" t="s">
        <v>132</v>
      </c>
      <c r="K87" s="113" t="s">
        <v>118</v>
      </c>
      <c r="L87">
        <v>606</v>
      </c>
      <c r="M87">
        <v>610</v>
      </c>
      <c r="N87">
        <v>1700</v>
      </c>
      <c r="O87" s="113" t="s">
        <v>85</v>
      </c>
      <c r="P87">
        <v>0.91678127491568295</v>
      </c>
      <c r="Q87">
        <v>0.90146457323269302</v>
      </c>
      <c r="R87">
        <v>0.30109990122526797</v>
      </c>
      <c r="S87">
        <v>1.38257035247209E-2</v>
      </c>
      <c r="T87">
        <v>2.26215149637834</v>
      </c>
      <c r="U87">
        <v>2.26215149637834</v>
      </c>
      <c r="V87">
        <v>6.25</v>
      </c>
      <c r="W87">
        <v>0.77</v>
      </c>
      <c r="X87">
        <v>113398</v>
      </c>
      <c r="Y87">
        <v>8100</v>
      </c>
      <c r="Z87">
        <v>0.36</v>
      </c>
      <c r="AA87">
        <v>14</v>
      </c>
      <c r="AB87">
        <v>5</v>
      </c>
      <c r="AC87">
        <v>9</v>
      </c>
      <c r="AD87">
        <v>35.71</v>
      </c>
      <c r="AE87">
        <v>12</v>
      </c>
      <c r="AF87">
        <v>5</v>
      </c>
      <c r="AG87">
        <v>3</v>
      </c>
      <c r="AH87">
        <v>6</v>
      </c>
    </row>
    <row r="88" spans="1:34">
      <c r="A88" s="109">
        <v>139</v>
      </c>
      <c r="B88">
        <v>6755</v>
      </c>
      <c r="C88" s="113" t="s">
        <v>1319</v>
      </c>
      <c r="D88" s="113" t="s">
        <v>112</v>
      </c>
      <c r="E88">
        <v>2290</v>
      </c>
      <c r="F88">
        <v>2283</v>
      </c>
      <c r="G88">
        <v>300</v>
      </c>
      <c r="H88" s="113" t="s">
        <v>87</v>
      </c>
      <c r="I88">
        <v>8036</v>
      </c>
      <c r="J88" s="113" t="s">
        <v>352</v>
      </c>
      <c r="K88" s="113" t="s">
        <v>126</v>
      </c>
      <c r="L88">
        <v>7500</v>
      </c>
      <c r="M88">
        <v>7440</v>
      </c>
      <c r="N88">
        <v>100</v>
      </c>
      <c r="O88" s="113" t="s">
        <v>85</v>
      </c>
      <c r="P88">
        <v>0.92436771515242999</v>
      </c>
      <c r="Q88">
        <v>0.90982934872667298</v>
      </c>
      <c r="R88">
        <v>0.34381898456179699</v>
      </c>
      <c r="S88" s="113">
        <v>1.6093285197903899E-3</v>
      </c>
      <c r="T88">
        <v>1.60632826057393</v>
      </c>
      <c r="U88">
        <v>1.60632826057393</v>
      </c>
      <c r="V88">
        <v>5.36</v>
      </c>
      <c r="W88">
        <v>7.94</v>
      </c>
      <c r="X88">
        <v>111584</v>
      </c>
      <c r="Y88">
        <v>6974</v>
      </c>
      <c r="Z88">
        <v>0.27</v>
      </c>
      <c r="AA88">
        <v>16</v>
      </c>
      <c r="AB88">
        <v>9</v>
      </c>
      <c r="AC88">
        <v>7</v>
      </c>
      <c r="AD88">
        <v>56.25</v>
      </c>
      <c r="AE88">
        <v>10</v>
      </c>
      <c r="AF88">
        <v>7</v>
      </c>
      <c r="AG88">
        <v>4</v>
      </c>
      <c r="AH88">
        <v>5</v>
      </c>
    </row>
    <row r="89" spans="1:34">
      <c r="A89" s="109">
        <v>124</v>
      </c>
      <c r="B89">
        <v>5802</v>
      </c>
      <c r="C89" s="113" t="s">
        <v>156</v>
      </c>
      <c r="D89" s="113" t="s">
        <v>157</v>
      </c>
      <c r="E89">
        <v>1652</v>
      </c>
      <c r="F89">
        <v>1650</v>
      </c>
      <c r="G89">
        <v>500</v>
      </c>
      <c r="H89" s="113" t="s">
        <v>87</v>
      </c>
      <c r="I89">
        <v>9072</v>
      </c>
      <c r="J89" s="113" t="s">
        <v>151</v>
      </c>
      <c r="K89" s="113" t="s">
        <v>144</v>
      </c>
      <c r="L89">
        <v>2751</v>
      </c>
      <c r="M89">
        <v>2752</v>
      </c>
      <c r="N89">
        <v>300</v>
      </c>
      <c r="O89" s="113" t="s">
        <v>85</v>
      </c>
      <c r="P89">
        <v>0.925610581342175</v>
      </c>
      <c r="Q89">
        <v>0.91398319750027801</v>
      </c>
      <c r="R89" s="20">
        <v>0.14512116491253699</v>
      </c>
      <c r="S89">
        <v>8.0214726759585901E-4</v>
      </c>
      <c r="T89">
        <v>1.5910830465693899</v>
      </c>
      <c r="U89">
        <v>1.5910830465693899</v>
      </c>
      <c r="V89">
        <v>6.58</v>
      </c>
      <c r="W89">
        <v>7.0000000000000007E-2</v>
      </c>
      <c r="X89">
        <v>111309</v>
      </c>
      <c r="Y89">
        <v>5565</v>
      </c>
      <c r="Z89">
        <v>0.26</v>
      </c>
      <c r="AA89">
        <v>20</v>
      </c>
      <c r="AB89">
        <v>12</v>
      </c>
      <c r="AC89">
        <v>8</v>
      </c>
      <c r="AD89">
        <v>60</v>
      </c>
      <c r="AE89">
        <v>15</v>
      </c>
      <c r="AF89">
        <v>6</v>
      </c>
      <c r="AG89">
        <v>2</v>
      </c>
      <c r="AH89">
        <v>12</v>
      </c>
    </row>
    <row r="90" spans="1:34">
      <c r="A90" s="109">
        <v>0</v>
      </c>
      <c r="B90">
        <v>6702</v>
      </c>
      <c r="C90" s="113" t="s">
        <v>363</v>
      </c>
      <c r="D90" s="113" t="s">
        <v>112</v>
      </c>
      <c r="E90">
        <v>10130</v>
      </c>
      <c r="F90">
        <v>10215</v>
      </c>
      <c r="G90">
        <v>100</v>
      </c>
      <c r="H90" s="113" t="s">
        <v>85</v>
      </c>
      <c r="I90">
        <v>6920</v>
      </c>
      <c r="J90" s="113" t="s">
        <v>111</v>
      </c>
      <c r="K90" s="113" t="s">
        <v>112</v>
      </c>
      <c r="L90">
        <v>9410</v>
      </c>
      <c r="M90">
        <v>9620</v>
      </c>
      <c r="N90">
        <v>100</v>
      </c>
      <c r="O90" s="113" t="s">
        <v>87</v>
      </c>
      <c r="P90">
        <v>0.92404196567108399</v>
      </c>
      <c r="Q90">
        <v>0.97257973569940903</v>
      </c>
      <c r="R90">
        <v>0.156550962422699</v>
      </c>
      <c r="S90" s="20">
        <v>5.8733826591906801E-5</v>
      </c>
      <c r="T90">
        <v>-1.35782082907366</v>
      </c>
      <c r="U90">
        <v>1.35782082907366</v>
      </c>
      <c r="V90">
        <v>-13.74</v>
      </c>
      <c r="W90">
        <v>5.82</v>
      </c>
      <c r="X90">
        <v>111057</v>
      </c>
      <c r="Y90">
        <v>11106</v>
      </c>
      <c r="Z90">
        <v>0.64</v>
      </c>
      <c r="AA90">
        <v>10</v>
      </c>
      <c r="AB90">
        <v>5</v>
      </c>
      <c r="AC90">
        <v>5</v>
      </c>
      <c r="AD90">
        <v>50</v>
      </c>
      <c r="AE90">
        <v>7</v>
      </c>
      <c r="AF90">
        <v>5</v>
      </c>
      <c r="AG90">
        <v>4</v>
      </c>
      <c r="AH90">
        <v>1</v>
      </c>
    </row>
    <row r="91" spans="1:34">
      <c r="A91" s="109">
        <v>26</v>
      </c>
      <c r="B91">
        <v>6925</v>
      </c>
      <c r="C91" s="113" t="s">
        <v>344</v>
      </c>
      <c r="D91" s="113" t="s">
        <v>112</v>
      </c>
      <c r="E91">
        <v>1640</v>
      </c>
      <c r="F91">
        <v>1637</v>
      </c>
      <c r="G91">
        <v>600</v>
      </c>
      <c r="H91" s="113" t="s">
        <v>85</v>
      </c>
      <c r="I91">
        <v>6951</v>
      </c>
      <c r="J91" s="113" t="s">
        <v>354</v>
      </c>
      <c r="K91" s="113" t="s">
        <v>112</v>
      </c>
      <c r="L91">
        <v>3130</v>
      </c>
      <c r="M91">
        <v>3135</v>
      </c>
      <c r="N91">
        <v>300</v>
      </c>
      <c r="O91" s="113" t="s">
        <v>87</v>
      </c>
      <c r="P91">
        <v>0.92619813993861699</v>
      </c>
      <c r="Q91">
        <v>0.94614890640629801</v>
      </c>
      <c r="R91" s="20">
        <v>0.30228514798401301</v>
      </c>
      <c r="S91">
        <v>4.4280841579375698E-3</v>
      </c>
      <c r="T91">
        <v>-1.9177945210921701</v>
      </c>
      <c r="U91">
        <v>1.9177945210921701</v>
      </c>
      <c r="V91">
        <v>-9.2200000000000006</v>
      </c>
      <c r="W91">
        <v>4.43</v>
      </c>
      <c r="X91">
        <v>110041</v>
      </c>
      <c r="Y91">
        <v>6113</v>
      </c>
      <c r="Z91">
        <v>0.33</v>
      </c>
      <c r="AA91">
        <v>18</v>
      </c>
      <c r="AB91">
        <v>11</v>
      </c>
      <c r="AC91">
        <v>7</v>
      </c>
      <c r="AD91">
        <v>61.11</v>
      </c>
      <c r="AE91">
        <v>10</v>
      </c>
      <c r="AF91">
        <v>7</v>
      </c>
      <c r="AG91">
        <v>6</v>
      </c>
      <c r="AH91">
        <v>5</v>
      </c>
    </row>
    <row r="92" spans="1:34">
      <c r="A92" s="109">
        <v>91</v>
      </c>
      <c r="B92">
        <v>2175</v>
      </c>
      <c r="C92" s="113" t="s">
        <v>358</v>
      </c>
      <c r="D92" s="113" t="s">
        <v>145</v>
      </c>
      <c r="E92">
        <v>3025</v>
      </c>
      <c r="F92">
        <v>3055</v>
      </c>
      <c r="G92">
        <v>200</v>
      </c>
      <c r="H92" s="113" t="s">
        <v>85</v>
      </c>
      <c r="I92">
        <v>8036</v>
      </c>
      <c r="J92" s="113" t="s">
        <v>352</v>
      </c>
      <c r="K92" s="113" t="s">
        <v>126</v>
      </c>
      <c r="L92">
        <v>7500</v>
      </c>
      <c r="M92">
        <v>7440</v>
      </c>
      <c r="N92">
        <v>100</v>
      </c>
      <c r="O92" s="113" t="s">
        <v>87</v>
      </c>
      <c r="P92">
        <v>0.92330191061960598</v>
      </c>
      <c r="Q92">
        <v>0.92205860461286404</v>
      </c>
      <c r="R92">
        <v>1.35679040112921E-3</v>
      </c>
      <c r="S92">
        <v>8.2617232540169394E-2</v>
      </c>
      <c r="T92">
        <v>-1.2467392343024499</v>
      </c>
      <c r="U92">
        <v>1.2467392343024499</v>
      </c>
      <c r="V92">
        <v>-2.9</v>
      </c>
      <c r="W92">
        <v>17.88</v>
      </c>
      <c r="X92">
        <v>107085</v>
      </c>
      <c r="Y92">
        <v>6299</v>
      </c>
      <c r="Z92">
        <v>0.39</v>
      </c>
      <c r="AA92">
        <v>17</v>
      </c>
      <c r="AB92">
        <v>9</v>
      </c>
      <c r="AC92">
        <v>8</v>
      </c>
      <c r="AD92">
        <v>52.94</v>
      </c>
      <c r="AE92">
        <v>11</v>
      </c>
      <c r="AF92">
        <v>8</v>
      </c>
      <c r="AG92">
        <v>6</v>
      </c>
      <c r="AH92">
        <v>3</v>
      </c>
    </row>
    <row r="93" spans="1:34">
      <c r="A93" s="109">
        <v>167</v>
      </c>
      <c r="B93">
        <v>6770</v>
      </c>
      <c r="C93" s="113" t="s">
        <v>50</v>
      </c>
      <c r="D93" s="113" t="s">
        <v>112</v>
      </c>
      <c r="E93">
        <v>2603</v>
      </c>
      <c r="F93">
        <v>2584</v>
      </c>
      <c r="G93">
        <v>400</v>
      </c>
      <c r="H93" s="113" t="s">
        <v>87</v>
      </c>
      <c r="I93">
        <v>7272</v>
      </c>
      <c r="J93" s="113" t="s">
        <v>330</v>
      </c>
      <c r="K93" s="113" t="s">
        <v>109</v>
      </c>
      <c r="L93">
        <v>2285</v>
      </c>
      <c r="M93">
        <v>2282</v>
      </c>
      <c r="N93">
        <v>500</v>
      </c>
      <c r="O93" s="113" t="s">
        <v>85</v>
      </c>
      <c r="P93">
        <v>0.91750218813420004</v>
      </c>
      <c r="Q93">
        <v>0.90435555590147998</v>
      </c>
      <c r="R93" s="113">
        <v>0.11041639729911799</v>
      </c>
      <c r="S93">
        <v>3.4547755086094201E-2</v>
      </c>
      <c r="T93">
        <v>2.1105683248735301</v>
      </c>
      <c r="U93">
        <v>2.1105683248735301</v>
      </c>
      <c r="V93">
        <v>7.02</v>
      </c>
      <c r="W93">
        <v>10.39</v>
      </c>
      <c r="X93">
        <v>106683</v>
      </c>
      <c r="Y93">
        <v>8206</v>
      </c>
      <c r="Z93">
        <v>0.37</v>
      </c>
      <c r="AA93">
        <v>13</v>
      </c>
      <c r="AB93">
        <v>7</v>
      </c>
      <c r="AC93">
        <v>6</v>
      </c>
      <c r="AD93">
        <v>53.85</v>
      </c>
      <c r="AE93">
        <v>12</v>
      </c>
      <c r="AF93">
        <v>5</v>
      </c>
      <c r="AG93">
        <v>4</v>
      </c>
      <c r="AH93">
        <v>4</v>
      </c>
    </row>
    <row r="94" spans="1:34">
      <c r="A94" s="109">
        <v>80</v>
      </c>
      <c r="B94">
        <v>3635</v>
      </c>
      <c r="C94" s="113" t="s">
        <v>110</v>
      </c>
      <c r="D94" s="113" t="s">
        <v>104</v>
      </c>
      <c r="E94">
        <v>2647</v>
      </c>
      <c r="F94">
        <v>2693</v>
      </c>
      <c r="G94">
        <v>400</v>
      </c>
      <c r="H94" s="113" t="s">
        <v>87</v>
      </c>
      <c r="I94">
        <v>8425</v>
      </c>
      <c r="J94" s="113" t="s">
        <v>350</v>
      </c>
      <c r="K94" s="113" t="s">
        <v>329</v>
      </c>
      <c r="L94">
        <v>3340</v>
      </c>
      <c r="M94">
        <v>3345</v>
      </c>
      <c r="N94">
        <v>300</v>
      </c>
      <c r="O94" s="113" t="s">
        <v>85</v>
      </c>
      <c r="P94">
        <v>0.92787674500078299</v>
      </c>
      <c r="Q94">
        <v>0.92543323789145304</v>
      </c>
      <c r="R94" s="20">
        <v>1.8015946193235799E-3</v>
      </c>
      <c r="S94" s="20">
        <v>0.17232529094208399</v>
      </c>
      <c r="T94">
        <v>0.29914886497427001</v>
      </c>
      <c r="U94">
        <v>0.29914886497427001</v>
      </c>
      <c r="V94">
        <v>0.75</v>
      </c>
      <c r="W94">
        <v>7.34</v>
      </c>
      <c r="X94">
        <v>101656</v>
      </c>
      <c r="Y94">
        <v>5083</v>
      </c>
      <c r="Z94">
        <v>0.21</v>
      </c>
      <c r="AA94">
        <v>20</v>
      </c>
      <c r="AB94">
        <v>11</v>
      </c>
      <c r="AC94">
        <v>9</v>
      </c>
      <c r="AD94">
        <v>55</v>
      </c>
      <c r="AE94">
        <v>12</v>
      </c>
      <c r="AF94">
        <v>8</v>
      </c>
      <c r="AG94">
        <v>4</v>
      </c>
      <c r="AH94">
        <v>8</v>
      </c>
    </row>
    <row r="95" spans="1:34">
      <c r="A95" s="109">
        <v>132</v>
      </c>
      <c r="B95">
        <v>7167</v>
      </c>
      <c r="C95" s="113" t="s">
        <v>125</v>
      </c>
      <c r="D95" s="113" t="s">
        <v>107</v>
      </c>
      <c r="E95">
        <v>285</v>
      </c>
      <c r="F95">
        <v>282</v>
      </c>
      <c r="G95">
        <v>3600</v>
      </c>
      <c r="H95" s="113" t="s">
        <v>85</v>
      </c>
      <c r="I95">
        <v>8377</v>
      </c>
      <c r="J95" s="113" t="s">
        <v>119</v>
      </c>
      <c r="K95" s="113" t="s">
        <v>107</v>
      </c>
      <c r="L95">
        <v>1145</v>
      </c>
      <c r="M95">
        <v>1138</v>
      </c>
      <c r="N95">
        <v>900</v>
      </c>
      <c r="O95" s="113" t="s">
        <v>87</v>
      </c>
      <c r="P95">
        <v>0.94454773185989804</v>
      </c>
      <c r="Q95">
        <v>0.91110404362045505</v>
      </c>
      <c r="R95">
        <v>2.9022399442218901E-2</v>
      </c>
      <c r="S95" s="20">
        <v>0.22899810507351301</v>
      </c>
      <c r="T95">
        <v>-1.1522735888228099</v>
      </c>
      <c r="U95">
        <v>1.1522735888228099</v>
      </c>
      <c r="V95">
        <v>-2.02</v>
      </c>
      <c r="W95">
        <v>0.88</v>
      </c>
      <c r="X95">
        <v>96023</v>
      </c>
      <c r="Y95">
        <v>6001</v>
      </c>
      <c r="Z95">
        <v>0.25</v>
      </c>
      <c r="AA95">
        <v>16</v>
      </c>
      <c r="AB95">
        <v>11</v>
      </c>
      <c r="AC95">
        <v>5</v>
      </c>
      <c r="AD95">
        <v>68.75</v>
      </c>
      <c r="AE95">
        <v>16</v>
      </c>
      <c r="AF95">
        <v>2</v>
      </c>
      <c r="AG95">
        <v>1</v>
      </c>
      <c r="AH95">
        <v>13</v>
      </c>
    </row>
    <row r="96" spans="1:34">
      <c r="A96" s="109">
        <v>32</v>
      </c>
      <c r="B96">
        <v>4208</v>
      </c>
      <c r="C96" s="113" t="s">
        <v>123</v>
      </c>
      <c r="D96" s="113" t="s">
        <v>86</v>
      </c>
      <c r="E96">
        <v>2386</v>
      </c>
      <c r="F96">
        <v>2376</v>
      </c>
      <c r="G96">
        <v>300</v>
      </c>
      <c r="H96" s="113" t="s">
        <v>85</v>
      </c>
      <c r="I96">
        <v>6371</v>
      </c>
      <c r="J96" s="113" t="s">
        <v>133</v>
      </c>
      <c r="K96" s="113" t="s">
        <v>124</v>
      </c>
      <c r="L96">
        <v>3910</v>
      </c>
      <c r="M96">
        <v>3900</v>
      </c>
      <c r="N96">
        <v>200</v>
      </c>
      <c r="O96" s="113" t="s">
        <v>87</v>
      </c>
      <c r="P96">
        <v>0.95094714008403702</v>
      </c>
      <c r="Q96">
        <v>0.94316372012751504</v>
      </c>
      <c r="R96">
        <v>0.111116290922534</v>
      </c>
      <c r="S96">
        <v>2.1038386313123301E-2</v>
      </c>
      <c r="T96">
        <v>-1.43014980498658</v>
      </c>
      <c r="U96">
        <v>1.43014980498658</v>
      </c>
      <c r="V96">
        <v>-3.03</v>
      </c>
      <c r="W96">
        <v>8.6199999999999992</v>
      </c>
      <c r="X96">
        <v>93305</v>
      </c>
      <c r="Y96">
        <v>6220</v>
      </c>
      <c r="Z96">
        <v>0.28999999999999998</v>
      </c>
      <c r="AA96">
        <v>15</v>
      </c>
      <c r="AB96">
        <v>9</v>
      </c>
      <c r="AC96">
        <v>6</v>
      </c>
      <c r="AD96">
        <v>60</v>
      </c>
      <c r="AE96">
        <v>13</v>
      </c>
      <c r="AF96">
        <v>4</v>
      </c>
      <c r="AG96">
        <v>4</v>
      </c>
      <c r="AH96">
        <v>7</v>
      </c>
    </row>
    <row r="97" spans="1:34">
      <c r="A97" s="109">
        <v>156</v>
      </c>
      <c r="B97">
        <v>6770</v>
      </c>
      <c r="C97" s="113" t="s">
        <v>50</v>
      </c>
      <c r="D97" s="113" t="s">
        <v>112</v>
      </c>
      <c r="E97">
        <v>2603</v>
      </c>
      <c r="F97">
        <v>2584</v>
      </c>
      <c r="G97">
        <v>400</v>
      </c>
      <c r="H97" s="113" t="s">
        <v>87</v>
      </c>
      <c r="I97">
        <v>6995</v>
      </c>
      <c r="J97" s="113" t="s">
        <v>116</v>
      </c>
      <c r="K97" s="113" t="s">
        <v>109</v>
      </c>
      <c r="L97">
        <v>2166</v>
      </c>
      <c r="M97">
        <v>2193</v>
      </c>
      <c r="N97">
        <v>500</v>
      </c>
      <c r="O97" s="113" t="s">
        <v>85</v>
      </c>
      <c r="P97">
        <v>0.95294540986976795</v>
      </c>
      <c r="Q97">
        <v>0.90614855607714695</v>
      </c>
      <c r="R97">
        <v>0.27936830207871</v>
      </c>
      <c r="S97" s="20">
        <v>0.34430462293159397</v>
      </c>
      <c r="T97">
        <v>1.81382029241883</v>
      </c>
      <c r="U97">
        <v>1.81382029241883</v>
      </c>
      <c r="V97">
        <v>5.13</v>
      </c>
      <c r="W97">
        <v>6.09</v>
      </c>
      <c r="X97">
        <v>90653</v>
      </c>
      <c r="Y97">
        <v>5333</v>
      </c>
      <c r="Z97">
        <v>0.23</v>
      </c>
      <c r="AA97">
        <v>17</v>
      </c>
      <c r="AB97">
        <v>9</v>
      </c>
      <c r="AC97">
        <v>8</v>
      </c>
      <c r="AD97">
        <v>52.94</v>
      </c>
      <c r="AE97">
        <v>12</v>
      </c>
      <c r="AF97">
        <v>6</v>
      </c>
      <c r="AG97">
        <v>4</v>
      </c>
      <c r="AH97">
        <v>7</v>
      </c>
    </row>
    <row r="98" spans="1:34">
      <c r="A98" s="109">
        <v>71</v>
      </c>
      <c r="B98">
        <v>4182</v>
      </c>
      <c r="C98" s="113" t="s">
        <v>113</v>
      </c>
      <c r="D98" s="113" t="s">
        <v>86</v>
      </c>
      <c r="E98">
        <v>1696</v>
      </c>
      <c r="F98">
        <v>1677</v>
      </c>
      <c r="G98">
        <v>500</v>
      </c>
      <c r="H98" s="113" t="s">
        <v>87</v>
      </c>
      <c r="I98">
        <v>6371</v>
      </c>
      <c r="J98" s="113" t="s">
        <v>133</v>
      </c>
      <c r="K98" s="113" t="s">
        <v>124</v>
      </c>
      <c r="L98">
        <v>3910</v>
      </c>
      <c r="M98">
        <v>3900</v>
      </c>
      <c r="N98">
        <v>200</v>
      </c>
      <c r="O98" s="113" t="s">
        <v>85</v>
      </c>
      <c r="P98">
        <v>0.93769025330399103</v>
      </c>
      <c r="Q98">
        <v>0.92847445581548205</v>
      </c>
      <c r="R98" s="20">
        <v>0.13157786159781701</v>
      </c>
      <c r="S98">
        <v>2.7713551977770399E-2</v>
      </c>
      <c r="T98">
        <v>0.67719496979761595</v>
      </c>
      <c r="U98">
        <v>0.67719496979761595</v>
      </c>
      <c r="V98">
        <v>2.63</v>
      </c>
      <c r="W98">
        <v>7.5</v>
      </c>
      <c r="X98">
        <v>88640</v>
      </c>
      <c r="Y98">
        <v>6818</v>
      </c>
      <c r="Z98">
        <v>0.47</v>
      </c>
      <c r="AA98">
        <v>13</v>
      </c>
      <c r="AB98">
        <v>8</v>
      </c>
      <c r="AC98">
        <v>5</v>
      </c>
      <c r="AD98">
        <v>61.54</v>
      </c>
      <c r="AE98">
        <v>12</v>
      </c>
      <c r="AF98">
        <v>4</v>
      </c>
      <c r="AG98">
        <v>2</v>
      </c>
      <c r="AH98">
        <v>7</v>
      </c>
    </row>
    <row r="99" spans="1:34">
      <c r="A99" s="109">
        <v>147</v>
      </c>
      <c r="B99">
        <v>9062</v>
      </c>
      <c r="C99" s="113" t="s">
        <v>990</v>
      </c>
      <c r="D99" s="113" t="s">
        <v>144</v>
      </c>
      <c r="E99">
        <v>6840</v>
      </c>
      <c r="F99">
        <v>6770</v>
      </c>
      <c r="G99">
        <v>100</v>
      </c>
      <c r="H99" s="113" t="s">
        <v>87</v>
      </c>
      <c r="I99">
        <v>9072</v>
      </c>
      <c r="J99" s="113" t="s">
        <v>151</v>
      </c>
      <c r="K99" s="113" t="s">
        <v>144</v>
      </c>
      <c r="L99">
        <v>2751</v>
      </c>
      <c r="M99">
        <v>2752</v>
      </c>
      <c r="N99">
        <v>200</v>
      </c>
      <c r="O99" s="113" t="s">
        <v>85</v>
      </c>
      <c r="P99">
        <v>0.941969432044515</v>
      </c>
      <c r="Q99">
        <v>0.90799992909204497</v>
      </c>
      <c r="R99">
        <v>0.242073939941642</v>
      </c>
      <c r="S99" s="113">
        <v>1.92282884223706E-2</v>
      </c>
      <c r="T99">
        <v>0.95458458085962306</v>
      </c>
      <c r="U99">
        <v>0.95458458085962306</v>
      </c>
      <c r="V99">
        <v>4.6100000000000003</v>
      </c>
      <c r="W99">
        <v>18.7</v>
      </c>
      <c r="X99">
        <v>86554</v>
      </c>
      <c r="Y99">
        <v>14426</v>
      </c>
      <c r="Z99">
        <v>0.91</v>
      </c>
      <c r="AA99">
        <v>6</v>
      </c>
      <c r="AB99">
        <v>4</v>
      </c>
      <c r="AC99">
        <v>2</v>
      </c>
      <c r="AD99">
        <v>66.67</v>
      </c>
      <c r="AE99">
        <v>14</v>
      </c>
      <c r="AF99">
        <v>2</v>
      </c>
      <c r="AG99">
        <v>0</v>
      </c>
      <c r="AH99">
        <v>4</v>
      </c>
    </row>
    <row r="100" spans="1:34">
      <c r="A100" s="109">
        <v>46</v>
      </c>
      <c r="B100">
        <v>5802</v>
      </c>
      <c r="C100" s="113" t="s">
        <v>156</v>
      </c>
      <c r="D100" s="113" t="s">
        <v>157</v>
      </c>
      <c r="E100">
        <v>1652</v>
      </c>
      <c r="F100">
        <v>1650</v>
      </c>
      <c r="G100">
        <v>600</v>
      </c>
      <c r="H100" s="113" t="s">
        <v>87</v>
      </c>
      <c r="I100">
        <v>9810</v>
      </c>
      <c r="J100" s="113" t="s">
        <v>152</v>
      </c>
      <c r="K100" s="113" t="s">
        <v>126</v>
      </c>
      <c r="L100">
        <v>5220</v>
      </c>
      <c r="M100">
        <v>5160</v>
      </c>
      <c r="N100">
        <v>200</v>
      </c>
      <c r="O100" s="113" t="s">
        <v>85</v>
      </c>
      <c r="P100">
        <v>0.94142955148851004</v>
      </c>
      <c r="Q100">
        <v>0.93723409030954097</v>
      </c>
      <c r="R100">
        <v>0.19282237219898299</v>
      </c>
      <c r="S100">
        <v>4.26732027498124E-2</v>
      </c>
      <c r="T100">
        <v>0.23436233436694701</v>
      </c>
      <c r="U100">
        <v>0.23436233436694701</v>
      </c>
      <c r="V100">
        <v>0.61</v>
      </c>
      <c r="W100">
        <v>4.07</v>
      </c>
      <c r="X100">
        <v>84914</v>
      </c>
      <c r="Y100">
        <v>5661</v>
      </c>
      <c r="Z100">
        <v>0.45</v>
      </c>
      <c r="AA100">
        <v>15</v>
      </c>
      <c r="AB100">
        <v>10</v>
      </c>
      <c r="AC100">
        <v>5</v>
      </c>
      <c r="AD100">
        <v>66.67</v>
      </c>
      <c r="AE100">
        <v>14</v>
      </c>
      <c r="AF100">
        <v>3</v>
      </c>
      <c r="AG100">
        <v>2</v>
      </c>
      <c r="AH100">
        <v>10</v>
      </c>
    </row>
    <row r="101" spans="1:34">
      <c r="A101" s="109">
        <v>53</v>
      </c>
      <c r="B101">
        <v>6770</v>
      </c>
      <c r="C101" s="113" t="s">
        <v>50</v>
      </c>
      <c r="D101" s="113" t="s">
        <v>112</v>
      </c>
      <c r="E101">
        <v>2603</v>
      </c>
      <c r="F101">
        <v>2584</v>
      </c>
      <c r="G101">
        <v>200</v>
      </c>
      <c r="H101" s="113" t="s">
        <v>87</v>
      </c>
      <c r="I101">
        <v>6988</v>
      </c>
      <c r="J101" s="113" t="s">
        <v>164</v>
      </c>
      <c r="K101" s="113" t="s">
        <v>86</v>
      </c>
      <c r="L101">
        <v>6120</v>
      </c>
      <c r="M101">
        <v>6170</v>
      </c>
      <c r="N101">
        <v>100</v>
      </c>
      <c r="O101" s="113" t="s">
        <v>85</v>
      </c>
      <c r="P101">
        <v>0.92535260597676205</v>
      </c>
      <c r="Q101">
        <v>0.93468521674718297</v>
      </c>
      <c r="R101">
        <v>0.13917802472195701</v>
      </c>
      <c r="S101">
        <v>8.3179665231809599E-2</v>
      </c>
      <c r="T101">
        <v>2.2974524467032502</v>
      </c>
      <c r="U101">
        <v>2.2974524467032502</v>
      </c>
      <c r="V101">
        <v>8.3000000000000007</v>
      </c>
      <c r="W101">
        <v>16.239999999999998</v>
      </c>
      <c r="X101">
        <v>80018</v>
      </c>
      <c r="Y101">
        <v>5716</v>
      </c>
      <c r="Z101">
        <v>0.28999999999999998</v>
      </c>
      <c r="AA101">
        <v>14</v>
      </c>
      <c r="AB101">
        <v>8</v>
      </c>
      <c r="AC101">
        <v>6</v>
      </c>
      <c r="AD101">
        <v>57.14</v>
      </c>
      <c r="AE101">
        <v>12</v>
      </c>
      <c r="AF101">
        <v>7</v>
      </c>
      <c r="AG101">
        <v>3</v>
      </c>
      <c r="AH101">
        <v>4</v>
      </c>
    </row>
    <row r="102" spans="1:34">
      <c r="A102" s="109">
        <v>70</v>
      </c>
      <c r="B102">
        <v>4519</v>
      </c>
      <c r="C102" s="113" t="s">
        <v>988</v>
      </c>
      <c r="D102" s="113" t="s">
        <v>161</v>
      </c>
      <c r="E102">
        <v>9835</v>
      </c>
      <c r="F102">
        <v>9939</v>
      </c>
      <c r="G102">
        <v>100</v>
      </c>
      <c r="H102" s="113" t="s">
        <v>87</v>
      </c>
      <c r="I102">
        <v>6702</v>
      </c>
      <c r="J102" s="113" t="s">
        <v>363</v>
      </c>
      <c r="K102" s="113" t="s">
        <v>112</v>
      </c>
      <c r="L102">
        <v>10130</v>
      </c>
      <c r="M102">
        <v>10215</v>
      </c>
      <c r="N102">
        <v>100</v>
      </c>
      <c r="O102" s="113" t="s">
        <v>85</v>
      </c>
      <c r="P102">
        <v>0.957450360173981</v>
      </c>
      <c r="Q102">
        <v>0.92850254327033599</v>
      </c>
      <c r="R102">
        <v>9.4925958682544803E-2</v>
      </c>
      <c r="S102" s="20">
        <v>7.7244538017459299E-2</v>
      </c>
      <c r="T102">
        <v>1.0743900949637999</v>
      </c>
      <c r="U102">
        <v>1.0743900949637999</v>
      </c>
      <c r="V102">
        <v>3.16</v>
      </c>
      <c r="W102">
        <v>2.7</v>
      </c>
      <c r="X102">
        <v>75944</v>
      </c>
      <c r="Y102">
        <v>10849</v>
      </c>
      <c r="Z102">
        <v>0.79</v>
      </c>
      <c r="AA102">
        <v>7</v>
      </c>
      <c r="AB102">
        <v>4</v>
      </c>
      <c r="AC102">
        <v>3</v>
      </c>
      <c r="AD102">
        <v>57.14</v>
      </c>
      <c r="AE102">
        <v>12</v>
      </c>
      <c r="AF102">
        <v>3</v>
      </c>
      <c r="AG102">
        <v>1</v>
      </c>
      <c r="AH102">
        <v>3</v>
      </c>
    </row>
    <row r="103" spans="1:34">
      <c r="A103" s="109">
        <v>39</v>
      </c>
      <c r="B103">
        <v>1820</v>
      </c>
      <c r="C103" s="113" t="s">
        <v>147</v>
      </c>
      <c r="D103" s="113" t="s">
        <v>103</v>
      </c>
      <c r="E103">
        <v>2537</v>
      </c>
      <c r="F103">
        <v>2516</v>
      </c>
      <c r="G103">
        <v>400</v>
      </c>
      <c r="H103" s="113" t="s">
        <v>87</v>
      </c>
      <c r="I103">
        <v>4182</v>
      </c>
      <c r="J103" s="113" t="s">
        <v>113</v>
      </c>
      <c r="K103" s="113" t="s">
        <v>86</v>
      </c>
      <c r="L103">
        <v>1696</v>
      </c>
      <c r="M103">
        <v>1677</v>
      </c>
      <c r="N103">
        <v>600</v>
      </c>
      <c r="O103" s="113" t="s">
        <v>85</v>
      </c>
      <c r="P103">
        <v>0.96208505918185006</v>
      </c>
      <c r="Q103">
        <v>0.93924888657642203</v>
      </c>
      <c r="R103" s="113">
        <v>4.2002903132455797E-2</v>
      </c>
      <c r="S103" s="113">
        <v>1.4542098760471E-2</v>
      </c>
      <c r="T103">
        <v>1.2419332307459401</v>
      </c>
      <c r="U103">
        <v>1.2419332307459401</v>
      </c>
      <c r="V103">
        <v>4.1900000000000004</v>
      </c>
      <c r="W103">
        <v>0.02</v>
      </c>
      <c r="X103">
        <v>74834</v>
      </c>
      <c r="Y103">
        <v>6236</v>
      </c>
      <c r="Z103">
        <v>0.26</v>
      </c>
      <c r="AA103">
        <v>12</v>
      </c>
      <c r="AB103">
        <v>8</v>
      </c>
      <c r="AC103">
        <v>4</v>
      </c>
      <c r="AD103">
        <v>66.67</v>
      </c>
      <c r="AE103">
        <v>12</v>
      </c>
      <c r="AF103">
        <v>5</v>
      </c>
      <c r="AG103">
        <v>3</v>
      </c>
      <c r="AH103">
        <v>4</v>
      </c>
    </row>
    <row r="104" spans="1:34">
      <c r="A104" s="109">
        <v>121</v>
      </c>
      <c r="B104">
        <v>3116</v>
      </c>
      <c r="C104" s="113" t="s">
        <v>150</v>
      </c>
      <c r="D104" s="113" t="s">
        <v>109</v>
      </c>
      <c r="E104">
        <v>1760</v>
      </c>
      <c r="F104">
        <v>1781</v>
      </c>
      <c r="G104">
        <v>600</v>
      </c>
      <c r="H104" s="113" t="s">
        <v>87</v>
      </c>
      <c r="I104">
        <v>8002</v>
      </c>
      <c r="J104" s="113" t="s">
        <v>55</v>
      </c>
      <c r="K104" s="113" t="s">
        <v>126</v>
      </c>
      <c r="L104">
        <v>835</v>
      </c>
      <c r="M104">
        <v>829.2</v>
      </c>
      <c r="N104">
        <v>1300</v>
      </c>
      <c r="O104" s="113" t="s">
        <v>85</v>
      </c>
      <c r="P104">
        <v>0.94629174533527805</v>
      </c>
      <c r="Q104">
        <v>0.91417073420350903</v>
      </c>
      <c r="R104">
        <v>2.7532398106656598E-3</v>
      </c>
      <c r="S104" s="20">
        <v>0.2372930850985</v>
      </c>
      <c r="T104">
        <v>1.38602797221524</v>
      </c>
      <c r="U104">
        <v>1.38602797221524</v>
      </c>
      <c r="V104">
        <v>2.58</v>
      </c>
      <c r="W104">
        <v>0.88</v>
      </c>
      <c r="X104">
        <v>69702</v>
      </c>
      <c r="Y104">
        <v>5362</v>
      </c>
      <c r="Z104">
        <v>0.33</v>
      </c>
      <c r="AA104">
        <v>13</v>
      </c>
      <c r="AB104">
        <v>5</v>
      </c>
      <c r="AC104">
        <v>8</v>
      </c>
      <c r="AD104">
        <v>38.46</v>
      </c>
      <c r="AE104">
        <v>16</v>
      </c>
      <c r="AF104">
        <v>4</v>
      </c>
      <c r="AG104">
        <v>0</v>
      </c>
      <c r="AH104">
        <v>9</v>
      </c>
    </row>
    <row r="105" spans="1:34">
      <c r="A105" s="109">
        <v>94</v>
      </c>
      <c r="B105">
        <v>1973</v>
      </c>
      <c r="C105" s="113" t="s">
        <v>341</v>
      </c>
      <c r="D105" s="113" t="s">
        <v>104</v>
      </c>
      <c r="E105">
        <v>3630</v>
      </c>
      <c r="F105">
        <v>3625</v>
      </c>
      <c r="G105">
        <v>300</v>
      </c>
      <c r="H105" s="113" t="s">
        <v>85</v>
      </c>
      <c r="I105">
        <v>4519</v>
      </c>
      <c r="J105" s="113" t="s">
        <v>988</v>
      </c>
      <c r="K105" s="113" t="s">
        <v>161</v>
      </c>
      <c r="L105">
        <v>9835</v>
      </c>
      <c r="M105">
        <v>9939</v>
      </c>
      <c r="N105">
        <v>100</v>
      </c>
      <c r="O105" s="113" t="s">
        <v>87</v>
      </c>
      <c r="P105">
        <v>0.94842415565430305</v>
      </c>
      <c r="Q105">
        <v>0.92026559685265497</v>
      </c>
      <c r="R105" s="113">
        <v>1.04238037413187E-2</v>
      </c>
      <c r="S105" s="113">
        <v>0.16009980838075299</v>
      </c>
      <c r="T105">
        <v>-0.16121238742416499</v>
      </c>
      <c r="U105">
        <v>0.16121238742416499</v>
      </c>
      <c r="V105">
        <v>-0.37</v>
      </c>
      <c r="W105">
        <v>9.42</v>
      </c>
      <c r="X105">
        <v>61928</v>
      </c>
      <c r="Y105">
        <v>7741</v>
      </c>
      <c r="Z105">
        <v>0.22</v>
      </c>
      <c r="AA105">
        <v>8</v>
      </c>
      <c r="AB105">
        <v>5</v>
      </c>
      <c r="AC105">
        <v>3</v>
      </c>
      <c r="AD105">
        <v>62.5</v>
      </c>
      <c r="AE105">
        <v>12</v>
      </c>
      <c r="AF105">
        <v>3</v>
      </c>
      <c r="AG105">
        <v>3</v>
      </c>
      <c r="AH105">
        <v>2</v>
      </c>
    </row>
    <row r="106" spans="1:34">
      <c r="A106" s="109">
        <v>89</v>
      </c>
      <c r="B106">
        <v>5802</v>
      </c>
      <c r="C106" s="113" t="s">
        <v>156</v>
      </c>
      <c r="D106" s="113" t="s">
        <v>157</v>
      </c>
      <c r="E106">
        <v>1652</v>
      </c>
      <c r="F106">
        <v>1650</v>
      </c>
      <c r="G106">
        <v>400</v>
      </c>
      <c r="H106" s="113" t="s">
        <v>87</v>
      </c>
      <c r="I106">
        <v>6988</v>
      </c>
      <c r="J106" s="113" t="s">
        <v>164</v>
      </c>
      <c r="K106" s="113" t="s">
        <v>86</v>
      </c>
      <c r="L106">
        <v>6120</v>
      </c>
      <c r="M106">
        <v>6170</v>
      </c>
      <c r="N106">
        <v>100</v>
      </c>
      <c r="O106" s="113" t="s">
        <v>85</v>
      </c>
      <c r="P106">
        <v>0.92550028200953305</v>
      </c>
      <c r="Q106">
        <v>0.92228094427654495</v>
      </c>
      <c r="R106">
        <v>0.23366261359603199</v>
      </c>
      <c r="S106" s="20">
        <v>0.10691024208521301</v>
      </c>
      <c r="T106">
        <v>1.7183645695755401</v>
      </c>
      <c r="U106">
        <v>1.7183645695755401</v>
      </c>
      <c r="V106">
        <v>4.2699999999999996</v>
      </c>
      <c r="W106">
        <v>6.97</v>
      </c>
      <c r="X106">
        <v>52396</v>
      </c>
      <c r="Y106">
        <v>3275</v>
      </c>
      <c r="Z106">
        <v>0.14000000000000001</v>
      </c>
      <c r="AA106">
        <v>16</v>
      </c>
      <c r="AB106">
        <v>10</v>
      </c>
      <c r="AC106">
        <v>6</v>
      </c>
      <c r="AD106">
        <v>62.5</v>
      </c>
      <c r="AE106">
        <v>13</v>
      </c>
      <c r="AF106">
        <v>4</v>
      </c>
      <c r="AG106">
        <v>4</v>
      </c>
      <c r="AH106">
        <v>8</v>
      </c>
    </row>
    <row r="107" spans="1:34">
      <c r="A107" s="109">
        <v>101</v>
      </c>
      <c r="B107">
        <v>4182</v>
      </c>
      <c r="C107" s="113" t="s">
        <v>113</v>
      </c>
      <c r="D107" s="113" t="s">
        <v>86</v>
      </c>
      <c r="E107">
        <v>1696</v>
      </c>
      <c r="F107">
        <v>1677</v>
      </c>
      <c r="G107">
        <v>600</v>
      </c>
      <c r="H107" s="113" t="s">
        <v>87</v>
      </c>
      <c r="I107">
        <v>5463</v>
      </c>
      <c r="J107" s="113" t="s">
        <v>167</v>
      </c>
      <c r="K107" s="113" t="s">
        <v>117</v>
      </c>
      <c r="L107">
        <v>3160</v>
      </c>
      <c r="M107">
        <v>3140</v>
      </c>
      <c r="N107">
        <v>300</v>
      </c>
      <c r="O107" s="113" t="s">
        <v>85</v>
      </c>
      <c r="P107">
        <v>0.913985639856428</v>
      </c>
      <c r="Q107">
        <v>0.91826083275076298</v>
      </c>
      <c r="R107" s="20">
        <v>0.22077914583373001</v>
      </c>
      <c r="S107" s="113">
        <v>2.8703985479040801E-2</v>
      </c>
      <c r="T107">
        <v>0.95736040456455695</v>
      </c>
      <c r="U107">
        <v>0.95736040456455695</v>
      </c>
      <c r="V107">
        <v>3.74</v>
      </c>
      <c r="W107">
        <v>6.82</v>
      </c>
      <c r="X107">
        <v>49018</v>
      </c>
      <c r="Y107">
        <v>2723</v>
      </c>
      <c r="Z107">
        <v>0.22</v>
      </c>
      <c r="AA107">
        <v>18</v>
      </c>
      <c r="AB107">
        <v>10</v>
      </c>
      <c r="AC107">
        <v>8</v>
      </c>
      <c r="AD107">
        <v>55.56</v>
      </c>
      <c r="AE107">
        <v>11</v>
      </c>
      <c r="AF107">
        <v>7</v>
      </c>
      <c r="AG107">
        <v>6</v>
      </c>
      <c r="AH107">
        <v>5</v>
      </c>
    </row>
    <row r="108" spans="1:34">
      <c r="A108" s="109">
        <v>59</v>
      </c>
      <c r="B108">
        <v>6135</v>
      </c>
      <c r="C108" s="113" t="s">
        <v>339</v>
      </c>
      <c r="D108" s="113" t="s">
        <v>124</v>
      </c>
      <c r="E108">
        <v>5430</v>
      </c>
      <c r="F108">
        <v>5410</v>
      </c>
      <c r="G108">
        <v>100</v>
      </c>
      <c r="H108" s="113" t="s">
        <v>85</v>
      </c>
      <c r="I108">
        <v>6856</v>
      </c>
      <c r="J108" s="113" t="s">
        <v>362</v>
      </c>
      <c r="K108" s="113" t="s">
        <v>112</v>
      </c>
      <c r="L108">
        <v>7460</v>
      </c>
      <c r="M108">
        <v>7470</v>
      </c>
      <c r="N108">
        <v>100</v>
      </c>
      <c r="O108" s="113" t="s">
        <v>87</v>
      </c>
      <c r="P108">
        <v>0.94304543885797998</v>
      </c>
      <c r="Q108">
        <v>0.93264574290662405</v>
      </c>
      <c r="R108">
        <v>0.27003648529636298</v>
      </c>
      <c r="S108" s="113">
        <v>0.18540219234625199</v>
      </c>
      <c r="T108">
        <v>-0.73942531575190595</v>
      </c>
      <c r="U108">
        <v>0.73942531575190595</v>
      </c>
      <c r="V108">
        <v>-2.8</v>
      </c>
      <c r="W108">
        <v>27.58</v>
      </c>
      <c r="X108">
        <v>46787</v>
      </c>
      <c r="Y108">
        <v>46787</v>
      </c>
      <c r="Z108">
        <v>3.43</v>
      </c>
      <c r="AA108">
        <v>1</v>
      </c>
      <c r="AB108">
        <v>1</v>
      </c>
      <c r="AC108">
        <v>0</v>
      </c>
      <c r="AD108">
        <v>100</v>
      </c>
      <c r="AE108">
        <v>6</v>
      </c>
      <c r="AF108">
        <v>1</v>
      </c>
      <c r="AG108">
        <v>0</v>
      </c>
      <c r="AH108">
        <v>0</v>
      </c>
    </row>
    <row r="109" spans="1:34">
      <c r="A109" s="109">
        <v>11</v>
      </c>
      <c r="B109">
        <v>6471</v>
      </c>
      <c r="C109" s="113" t="s">
        <v>163</v>
      </c>
      <c r="D109" s="113" t="s">
        <v>124</v>
      </c>
      <c r="E109">
        <v>1067</v>
      </c>
      <c r="F109">
        <v>1067</v>
      </c>
      <c r="G109">
        <v>1000</v>
      </c>
      <c r="H109" s="113" t="s">
        <v>87</v>
      </c>
      <c r="I109">
        <v>6473</v>
      </c>
      <c r="J109" s="113" t="s">
        <v>158</v>
      </c>
      <c r="K109" s="113" t="s">
        <v>124</v>
      </c>
      <c r="L109">
        <v>1360</v>
      </c>
      <c r="M109">
        <v>1353</v>
      </c>
      <c r="N109">
        <v>800</v>
      </c>
      <c r="O109" s="113" t="s">
        <v>85</v>
      </c>
      <c r="P109">
        <v>0.95144915054700196</v>
      </c>
      <c r="Q109">
        <v>0.95410095589231503</v>
      </c>
      <c r="R109">
        <v>0.104055684853957</v>
      </c>
      <c r="S109" s="20">
        <v>1.2818658424978001E-2</v>
      </c>
      <c r="T109">
        <v>2.2659061788811998</v>
      </c>
      <c r="U109">
        <v>2.2659061788811998</v>
      </c>
      <c r="V109">
        <v>4.26</v>
      </c>
      <c r="W109">
        <v>1.42</v>
      </c>
      <c r="X109">
        <v>46361</v>
      </c>
      <c r="Y109">
        <v>3863</v>
      </c>
      <c r="Z109">
        <v>0.19</v>
      </c>
      <c r="AA109">
        <v>12</v>
      </c>
      <c r="AB109">
        <v>8</v>
      </c>
      <c r="AC109">
        <v>4</v>
      </c>
      <c r="AD109">
        <v>66.67</v>
      </c>
      <c r="AE109">
        <v>16</v>
      </c>
      <c r="AF109">
        <v>1</v>
      </c>
      <c r="AG109">
        <v>1</v>
      </c>
      <c r="AH109">
        <v>10</v>
      </c>
    </row>
    <row r="110" spans="1:34">
      <c r="A110" s="109">
        <v>30</v>
      </c>
      <c r="B110">
        <v>9746</v>
      </c>
      <c r="C110" s="113" t="s">
        <v>1320</v>
      </c>
      <c r="D110" s="113" t="s">
        <v>104</v>
      </c>
      <c r="E110">
        <v>5230</v>
      </c>
      <c r="F110">
        <v>5200</v>
      </c>
      <c r="G110">
        <v>200</v>
      </c>
      <c r="H110" s="113" t="s">
        <v>85</v>
      </c>
      <c r="I110">
        <v>9759</v>
      </c>
      <c r="J110" s="113" t="s">
        <v>1067</v>
      </c>
      <c r="K110" s="113" t="s">
        <v>104</v>
      </c>
      <c r="L110">
        <v>3615</v>
      </c>
      <c r="M110">
        <v>3650</v>
      </c>
      <c r="N110">
        <v>300</v>
      </c>
      <c r="O110" s="113" t="s">
        <v>87</v>
      </c>
      <c r="P110">
        <v>0.90745254232955097</v>
      </c>
      <c r="Q110">
        <v>0.94444531031194001</v>
      </c>
      <c r="R110" s="20">
        <v>0.38398890824933202</v>
      </c>
      <c r="S110">
        <v>2.89941430392382E-3</v>
      </c>
      <c r="T110">
        <v>-0.31019122582208303</v>
      </c>
      <c r="U110">
        <v>0.31019122582208303</v>
      </c>
      <c r="V110">
        <v>-0.89</v>
      </c>
      <c r="W110">
        <v>5.29</v>
      </c>
      <c r="X110">
        <v>40347</v>
      </c>
      <c r="Y110">
        <v>2882</v>
      </c>
      <c r="Z110">
        <v>0.18</v>
      </c>
      <c r="AA110">
        <v>14</v>
      </c>
      <c r="AB110">
        <v>8</v>
      </c>
      <c r="AC110">
        <v>6</v>
      </c>
      <c r="AD110">
        <v>57.14</v>
      </c>
      <c r="AE110">
        <v>14</v>
      </c>
      <c r="AF110">
        <v>5</v>
      </c>
      <c r="AG110">
        <v>2</v>
      </c>
      <c r="AH110">
        <v>7</v>
      </c>
    </row>
    <row r="111" spans="1:34">
      <c r="A111" s="109">
        <v>136</v>
      </c>
      <c r="B111">
        <v>5471</v>
      </c>
      <c r="C111" s="113" t="s">
        <v>334</v>
      </c>
      <c r="D111" s="113" t="s">
        <v>117</v>
      </c>
      <c r="E111">
        <v>4995</v>
      </c>
      <c r="F111">
        <v>4945</v>
      </c>
      <c r="G111">
        <v>200</v>
      </c>
      <c r="H111" s="113" t="s">
        <v>85</v>
      </c>
      <c r="I111">
        <v>7251</v>
      </c>
      <c r="J111" s="113" t="s">
        <v>994</v>
      </c>
      <c r="K111" s="113" t="s">
        <v>109</v>
      </c>
      <c r="L111">
        <v>2570</v>
      </c>
      <c r="M111">
        <v>2572</v>
      </c>
      <c r="N111">
        <v>400</v>
      </c>
      <c r="O111" s="113" t="s">
        <v>87</v>
      </c>
      <c r="P111">
        <v>0.92454273111890095</v>
      </c>
      <c r="Q111">
        <v>0.91029162503829397</v>
      </c>
      <c r="R111" s="113">
        <v>8.5638882083163406E-2</v>
      </c>
      <c r="S111">
        <v>3.2997154812940701E-3</v>
      </c>
      <c r="T111">
        <v>-1.3088647320609501</v>
      </c>
      <c r="U111">
        <v>1.3088647320609501</v>
      </c>
      <c r="V111">
        <v>-24.61</v>
      </c>
      <c r="W111">
        <v>4.0199999999999996</v>
      </c>
      <c r="X111">
        <v>35729</v>
      </c>
      <c r="Y111">
        <v>2233</v>
      </c>
      <c r="Z111">
        <v>0</v>
      </c>
      <c r="AA111">
        <v>16</v>
      </c>
      <c r="AB111">
        <v>10</v>
      </c>
      <c r="AC111">
        <v>6</v>
      </c>
      <c r="AD111">
        <v>62.5</v>
      </c>
      <c r="AE111">
        <v>14</v>
      </c>
      <c r="AF111">
        <v>4</v>
      </c>
      <c r="AG111">
        <v>3</v>
      </c>
      <c r="AH111">
        <v>9</v>
      </c>
    </row>
    <row r="112" spans="1:34">
      <c r="A112" s="109">
        <v>54</v>
      </c>
      <c r="B112">
        <v>5991</v>
      </c>
      <c r="C112" s="113" t="s">
        <v>140</v>
      </c>
      <c r="D112" s="113" t="s">
        <v>141</v>
      </c>
      <c r="E112">
        <v>1008</v>
      </c>
      <c r="F112">
        <v>1005</v>
      </c>
      <c r="G112">
        <v>1100</v>
      </c>
      <c r="H112" s="113" t="s">
        <v>87</v>
      </c>
      <c r="I112">
        <v>6752</v>
      </c>
      <c r="J112" s="113" t="s">
        <v>130</v>
      </c>
      <c r="K112" s="113" t="s">
        <v>112</v>
      </c>
      <c r="L112">
        <v>1057.5</v>
      </c>
      <c r="M112">
        <v>1057.5</v>
      </c>
      <c r="N112">
        <v>1000</v>
      </c>
      <c r="O112" s="113" t="s">
        <v>85</v>
      </c>
      <c r="P112">
        <v>0.96430452788507104</v>
      </c>
      <c r="Q112">
        <v>0.934606607195548</v>
      </c>
      <c r="R112">
        <v>4.8666178994255703E-2</v>
      </c>
      <c r="S112">
        <v>0.14966454695494</v>
      </c>
      <c r="T112">
        <v>0.37488446068571901</v>
      </c>
      <c r="U112">
        <v>0.37488446068571901</v>
      </c>
      <c r="V112">
        <v>1.05</v>
      </c>
      <c r="W112">
        <v>4.54</v>
      </c>
      <c r="X112">
        <v>34237</v>
      </c>
      <c r="Y112">
        <v>2014</v>
      </c>
      <c r="Z112">
        <v>0.09</v>
      </c>
      <c r="AA112">
        <v>17</v>
      </c>
      <c r="AB112">
        <v>9</v>
      </c>
      <c r="AC112">
        <v>8</v>
      </c>
      <c r="AD112">
        <v>52.94</v>
      </c>
      <c r="AE112">
        <v>12</v>
      </c>
      <c r="AF112">
        <v>7</v>
      </c>
      <c r="AG112">
        <v>6</v>
      </c>
      <c r="AH112">
        <v>4</v>
      </c>
    </row>
    <row r="113" spans="1:34">
      <c r="A113" s="109">
        <v>50</v>
      </c>
      <c r="B113">
        <v>7453</v>
      </c>
      <c r="C113" s="113" t="s">
        <v>129</v>
      </c>
      <c r="D113" s="113" t="s">
        <v>120</v>
      </c>
      <c r="E113">
        <v>2521</v>
      </c>
      <c r="F113">
        <v>2552</v>
      </c>
      <c r="G113">
        <v>400</v>
      </c>
      <c r="H113" s="113" t="s">
        <v>87</v>
      </c>
      <c r="I113">
        <v>8267</v>
      </c>
      <c r="J113" s="113" t="s">
        <v>335</v>
      </c>
      <c r="K113" s="113" t="s">
        <v>120</v>
      </c>
      <c r="L113">
        <v>2223</v>
      </c>
      <c r="M113">
        <v>2231.5</v>
      </c>
      <c r="N113">
        <v>500</v>
      </c>
      <c r="O113" s="113" t="s">
        <v>85</v>
      </c>
      <c r="P113">
        <v>0.932412943767993</v>
      </c>
      <c r="Q113">
        <v>0.93583827253267804</v>
      </c>
      <c r="R113">
        <v>2.3862389532858699E-2</v>
      </c>
      <c r="S113">
        <v>1.9940554725672598E-3</v>
      </c>
      <c r="T113">
        <v>1.6859264526030799</v>
      </c>
      <c r="U113">
        <v>1.6859264526030799</v>
      </c>
      <c r="V113">
        <v>8.2899999999999991</v>
      </c>
      <c r="W113">
        <v>9.3000000000000007</v>
      </c>
      <c r="X113">
        <v>32083</v>
      </c>
      <c r="Y113">
        <v>1689</v>
      </c>
      <c r="Z113">
        <v>0.15</v>
      </c>
      <c r="AA113">
        <v>19</v>
      </c>
      <c r="AB113">
        <v>9</v>
      </c>
      <c r="AC113">
        <v>10</v>
      </c>
      <c r="AD113">
        <v>47.37</v>
      </c>
      <c r="AE113">
        <v>12</v>
      </c>
      <c r="AF113">
        <v>6</v>
      </c>
      <c r="AG113">
        <v>3</v>
      </c>
      <c r="AH113">
        <v>10</v>
      </c>
    </row>
    <row r="114" spans="1:34">
      <c r="A114" s="109">
        <v>9</v>
      </c>
      <c r="B114">
        <v>3635</v>
      </c>
      <c r="C114" s="113" t="s">
        <v>110</v>
      </c>
      <c r="D114" s="113" t="s">
        <v>104</v>
      </c>
      <c r="E114">
        <v>2647</v>
      </c>
      <c r="F114">
        <v>2693</v>
      </c>
      <c r="G114">
        <v>400</v>
      </c>
      <c r="H114" s="113" t="s">
        <v>85</v>
      </c>
      <c r="I114">
        <v>6702</v>
      </c>
      <c r="J114" s="113" t="s">
        <v>363</v>
      </c>
      <c r="K114" s="113" t="s">
        <v>112</v>
      </c>
      <c r="L114">
        <v>10130</v>
      </c>
      <c r="M114">
        <v>10215</v>
      </c>
      <c r="N114">
        <v>100</v>
      </c>
      <c r="O114" s="113" t="s">
        <v>87</v>
      </c>
      <c r="P114">
        <v>0.95813319619053405</v>
      </c>
      <c r="Q114">
        <v>0.95634554039413699</v>
      </c>
      <c r="R114">
        <v>0.34981690558294198</v>
      </c>
      <c r="S114">
        <v>3.3020342748679397E-2</v>
      </c>
      <c r="T114">
        <v>-0.172827856411016</v>
      </c>
      <c r="U114">
        <v>0.172827856411016</v>
      </c>
      <c r="V114">
        <v>-0.35</v>
      </c>
      <c r="W114">
        <v>5.45</v>
      </c>
      <c r="X114">
        <v>31031</v>
      </c>
      <c r="Y114">
        <v>2586</v>
      </c>
      <c r="Z114">
        <v>0.16</v>
      </c>
      <c r="AA114">
        <v>12</v>
      </c>
      <c r="AB114">
        <v>7</v>
      </c>
      <c r="AC114">
        <v>5</v>
      </c>
      <c r="AD114">
        <v>58.33</v>
      </c>
      <c r="AE114">
        <v>13</v>
      </c>
      <c r="AF114">
        <v>6</v>
      </c>
      <c r="AG114">
        <v>1</v>
      </c>
      <c r="AH114">
        <v>5</v>
      </c>
    </row>
    <row r="115" spans="1:34">
      <c r="A115" s="109">
        <v>126</v>
      </c>
      <c r="B115">
        <v>6702</v>
      </c>
      <c r="C115" s="113" t="s">
        <v>363</v>
      </c>
      <c r="D115" s="113" t="s">
        <v>112</v>
      </c>
      <c r="E115">
        <v>10130</v>
      </c>
      <c r="F115">
        <v>10215</v>
      </c>
      <c r="G115">
        <v>100</v>
      </c>
      <c r="H115" s="113" t="s">
        <v>85</v>
      </c>
      <c r="I115">
        <v>6755</v>
      </c>
      <c r="J115" s="113" t="s">
        <v>1319</v>
      </c>
      <c r="K115" s="113" t="s">
        <v>112</v>
      </c>
      <c r="L115">
        <v>2290</v>
      </c>
      <c r="M115">
        <v>2283</v>
      </c>
      <c r="N115">
        <v>400</v>
      </c>
      <c r="O115" s="113" t="s">
        <v>87</v>
      </c>
      <c r="P115">
        <v>0.93044201643167301</v>
      </c>
      <c r="Q115">
        <v>0.91328481732215006</v>
      </c>
      <c r="R115">
        <v>1.5115611372660501E-2</v>
      </c>
      <c r="S115">
        <v>3.9330848747803501E-2</v>
      </c>
      <c r="T115">
        <v>-2.4964039289897699</v>
      </c>
      <c r="U115">
        <v>2.4964039289897699</v>
      </c>
      <c r="V115">
        <v>-8.1300000000000008</v>
      </c>
      <c r="W115">
        <v>10.6</v>
      </c>
      <c r="X115">
        <v>29303</v>
      </c>
      <c r="Y115">
        <v>1831</v>
      </c>
      <c r="Z115">
        <v>0.1</v>
      </c>
      <c r="AA115">
        <v>16</v>
      </c>
      <c r="AB115">
        <v>7</v>
      </c>
      <c r="AC115">
        <v>9</v>
      </c>
      <c r="AD115">
        <v>43.75</v>
      </c>
      <c r="AE115">
        <v>13</v>
      </c>
      <c r="AF115">
        <v>5</v>
      </c>
      <c r="AG115">
        <v>5</v>
      </c>
      <c r="AH115">
        <v>6</v>
      </c>
    </row>
    <row r="116" spans="1:34">
      <c r="A116" s="109">
        <v>75</v>
      </c>
      <c r="B116">
        <v>6588</v>
      </c>
      <c r="C116" s="113" t="s">
        <v>989</v>
      </c>
      <c r="D116" s="113" t="s">
        <v>112</v>
      </c>
      <c r="E116">
        <v>4700</v>
      </c>
      <c r="F116">
        <v>4685</v>
      </c>
      <c r="G116">
        <v>100</v>
      </c>
      <c r="H116" s="113" t="s">
        <v>87</v>
      </c>
      <c r="I116">
        <v>9706</v>
      </c>
      <c r="J116" s="113" t="s">
        <v>368</v>
      </c>
      <c r="K116" s="113" t="s">
        <v>139</v>
      </c>
      <c r="L116">
        <v>5860</v>
      </c>
      <c r="M116">
        <v>5830</v>
      </c>
      <c r="N116">
        <v>100</v>
      </c>
      <c r="O116" s="113" t="s">
        <v>85</v>
      </c>
      <c r="P116">
        <v>0.97191267397719405</v>
      </c>
      <c r="Q116">
        <v>0.927097460918066</v>
      </c>
      <c r="R116">
        <v>3.7779556521216201E-2</v>
      </c>
      <c r="S116">
        <v>2.9668344727864199E-2</v>
      </c>
      <c r="T116">
        <v>2.1860860326197402</v>
      </c>
      <c r="U116">
        <v>2.1860860326197402</v>
      </c>
      <c r="V116">
        <v>8.5</v>
      </c>
      <c r="W116">
        <v>19.64</v>
      </c>
      <c r="X116">
        <v>26767</v>
      </c>
      <c r="Y116">
        <v>2059</v>
      </c>
      <c r="Z116">
        <v>0.15</v>
      </c>
      <c r="AA116">
        <v>13</v>
      </c>
      <c r="AB116">
        <v>8</v>
      </c>
      <c r="AC116">
        <v>5</v>
      </c>
      <c r="AD116">
        <v>61.54</v>
      </c>
      <c r="AE116">
        <v>11</v>
      </c>
      <c r="AF116">
        <v>5</v>
      </c>
      <c r="AG116">
        <v>4</v>
      </c>
      <c r="AH116">
        <v>4</v>
      </c>
    </row>
    <row r="117" spans="1:34">
      <c r="A117" s="109">
        <v>87</v>
      </c>
      <c r="B117">
        <v>4519</v>
      </c>
      <c r="C117" s="113" t="s">
        <v>988</v>
      </c>
      <c r="D117" s="113" t="s">
        <v>161</v>
      </c>
      <c r="E117">
        <v>9835</v>
      </c>
      <c r="F117">
        <v>9939</v>
      </c>
      <c r="G117">
        <v>100</v>
      </c>
      <c r="H117" s="113" t="s">
        <v>87</v>
      </c>
      <c r="I117">
        <v>8425</v>
      </c>
      <c r="J117" s="113" t="s">
        <v>350</v>
      </c>
      <c r="K117" s="113" t="s">
        <v>329</v>
      </c>
      <c r="L117">
        <v>3340</v>
      </c>
      <c r="M117">
        <v>3345</v>
      </c>
      <c r="N117">
        <v>300</v>
      </c>
      <c r="O117" s="113" t="s">
        <v>85</v>
      </c>
      <c r="P117">
        <v>0.91772148413533206</v>
      </c>
      <c r="Q117">
        <v>0.92406192748750504</v>
      </c>
      <c r="R117" s="20">
        <v>0.31829549158402298</v>
      </c>
      <c r="S117" s="20">
        <v>2.3881397174862099E-2</v>
      </c>
      <c r="T117">
        <v>1.07866376317247</v>
      </c>
      <c r="U117">
        <v>1.07866376317247</v>
      </c>
      <c r="V117">
        <v>4.1900000000000004</v>
      </c>
      <c r="W117">
        <v>0.97</v>
      </c>
      <c r="X117">
        <v>25042</v>
      </c>
      <c r="Y117">
        <v>1926</v>
      </c>
      <c r="Z117">
        <v>0.5</v>
      </c>
      <c r="AA117">
        <v>13</v>
      </c>
      <c r="AB117">
        <v>8</v>
      </c>
      <c r="AC117">
        <v>5</v>
      </c>
      <c r="AD117">
        <v>61.54</v>
      </c>
      <c r="AE117">
        <v>14</v>
      </c>
      <c r="AF117">
        <v>6</v>
      </c>
      <c r="AG117">
        <v>3</v>
      </c>
      <c r="AH117">
        <v>4</v>
      </c>
    </row>
    <row r="118" spans="1:34">
      <c r="A118" s="109">
        <v>105</v>
      </c>
      <c r="B118">
        <v>4208</v>
      </c>
      <c r="C118" s="113" t="s">
        <v>123</v>
      </c>
      <c r="D118" s="113" t="s">
        <v>86</v>
      </c>
      <c r="E118">
        <v>2386</v>
      </c>
      <c r="F118">
        <v>2376</v>
      </c>
      <c r="G118">
        <v>400</v>
      </c>
      <c r="H118" s="113" t="s">
        <v>85</v>
      </c>
      <c r="I118">
        <v>5991</v>
      </c>
      <c r="J118" s="113" t="s">
        <v>140</v>
      </c>
      <c r="K118" s="113" t="s">
        <v>141</v>
      </c>
      <c r="L118">
        <v>1008</v>
      </c>
      <c r="M118">
        <v>1005</v>
      </c>
      <c r="N118">
        <v>900</v>
      </c>
      <c r="O118" s="113" t="s">
        <v>87</v>
      </c>
      <c r="P118">
        <v>0.90276294676031599</v>
      </c>
      <c r="Q118">
        <v>0.91767332815734204</v>
      </c>
      <c r="R118">
        <v>0.260261963133535</v>
      </c>
      <c r="S118">
        <v>2.71338101447052E-2</v>
      </c>
      <c r="T118">
        <v>-1.7813258288543199</v>
      </c>
      <c r="U118">
        <v>1.7813258288543199</v>
      </c>
      <c r="V118">
        <v>-9.2200000000000006</v>
      </c>
      <c r="W118">
        <v>4.83</v>
      </c>
      <c r="X118">
        <v>24062</v>
      </c>
      <c r="Y118">
        <v>1604</v>
      </c>
      <c r="Z118">
        <v>0.03</v>
      </c>
      <c r="AA118">
        <v>15</v>
      </c>
      <c r="AB118">
        <v>8</v>
      </c>
      <c r="AC118">
        <v>7</v>
      </c>
      <c r="AD118">
        <v>53.33</v>
      </c>
      <c r="AE118">
        <v>11</v>
      </c>
      <c r="AF118">
        <v>6</v>
      </c>
      <c r="AG118">
        <v>4</v>
      </c>
      <c r="AH118">
        <v>5</v>
      </c>
    </row>
    <row r="119" spans="1:34">
      <c r="A119" s="109">
        <v>62</v>
      </c>
      <c r="B119">
        <v>6988</v>
      </c>
      <c r="C119" s="113" t="s">
        <v>164</v>
      </c>
      <c r="D119" s="113" t="s">
        <v>86</v>
      </c>
      <c r="E119">
        <v>6120</v>
      </c>
      <c r="F119">
        <v>6170</v>
      </c>
      <c r="G119">
        <v>100</v>
      </c>
      <c r="H119" s="113" t="s">
        <v>85</v>
      </c>
      <c r="I119">
        <v>6995</v>
      </c>
      <c r="J119" s="113" t="s">
        <v>116</v>
      </c>
      <c r="K119" s="113" t="s">
        <v>109</v>
      </c>
      <c r="L119">
        <v>2166</v>
      </c>
      <c r="M119">
        <v>2193</v>
      </c>
      <c r="N119">
        <v>300</v>
      </c>
      <c r="O119" s="113" t="s">
        <v>87</v>
      </c>
      <c r="P119">
        <v>0.949679923283542</v>
      </c>
      <c r="Q119">
        <v>0.93181904552473205</v>
      </c>
      <c r="R119" s="20">
        <v>5.1716752359359699E-2</v>
      </c>
      <c r="S119">
        <v>3.3364897063228398E-3</v>
      </c>
      <c r="T119">
        <v>-1.3832677058201499</v>
      </c>
      <c r="U119">
        <v>1.3832677058201499</v>
      </c>
      <c r="V119">
        <v>-3.52</v>
      </c>
      <c r="W119">
        <v>6.63</v>
      </c>
      <c r="X119">
        <v>22867</v>
      </c>
      <c r="Y119">
        <v>2287</v>
      </c>
      <c r="Z119">
        <v>0.11</v>
      </c>
      <c r="AA119">
        <v>10</v>
      </c>
      <c r="AB119">
        <v>7</v>
      </c>
      <c r="AC119">
        <v>3</v>
      </c>
      <c r="AD119">
        <v>70</v>
      </c>
      <c r="AE119">
        <v>13</v>
      </c>
      <c r="AF119">
        <v>2</v>
      </c>
      <c r="AG119">
        <v>2</v>
      </c>
      <c r="AH119">
        <v>6</v>
      </c>
    </row>
    <row r="120" spans="1:34">
      <c r="A120" s="109">
        <v>176</v>
      </c>
      <c r="B120">
        <v>6371</v>
      </c>
      <c r="C120" s="113" t="s">
        <v>133</v>
      </c>
      <c r="D120" s="113" t="s">
        <v>124</v>
      </c>
      <c r="E120">
        <v>3910</v>
      </c>
      <c r="F120">
        <v>3900</v>
      </c>
      <c r="G120">
        <v>200</v>
      </c>
      <c r="H120" s="113" t="s">
        <v>85</v>
      </c>
      <c r="I120">
        <v>6752</v>
      </c>
      <c r="J120" s="113" t="s">
        <v>130</v>
      </c>
      <c r="K120" s="113" t="s">
        <v>112</v>
      </c>
      <c r="L120">
        <v>1057.5</v>
      </c>
      <c r="M120">
        <v>1057.5</v>
      </c>
      <c r="N120">
        <v>700</v>
      </c>
      <c r="O120" s="113" t="s">
        <v>87</v>
      </c>
      <c r="P120">
        <v>0.92154212668232305</v>
      </c>
      <c r="Q120">
        <v>0.90140873237039099</v>
      </c>
      <c r="R120">
        <v>9.0616711740921896E-2</v>
      </c>
      <c r="S120" s="113">
        <v>9.9970974957817094E-2</v>
      </c>
      <c r="T120">
        <v>-1.8799012017483501</v>
      </c>
      <c r="U120">
        <v>1.8799012017483501</v>
      </c>
      <c r="V120">
        <v>-4.79</v>
      </c>
      <c r="W120">
        <v>5.0999999999999996</v>
      </c>
      <c r="X120">
        <v>16487</v>
      </c>
      <c r="Y120">
        <v>785</v>
      </c>
      <c r="Z120">
        <v>0.08</v>
      </c>
      <c r="AA120">
        <v>21</v>
      </c>
      <c r="AB120">
        <v>9</v>
      </c>
      <c r="AC120">
        <v>12</v>
      </c>
      <c r="AD120">
        <v>42.86</v>
      </c>
      <c r="AE120">
        <v>13</v>
      </c>
      <c r="AF120">
        <v>4</v>
      </c>
      <c r="AG120">
        <v>3</v>
      </c>
      <c r="AH120">
        <v>14</v>
      </c>
    </row>
    <row r="121" spans="1:34">
      <c r="A121" s="109">
        <v>165</v>
      </c>
      <c r="B121">
        <v>7259</v>
      </c>
      <c r="C121" s="113" t="s">
        <v>53</v>
      </c>
      <c r="D121" s="113" t="s">
        <v>109</v>
      </c>
      <c r="E121">
        <v>4210</v>
      </c>
      <c r="F121">
        <v>4210</v>
      </c>
      <c r="G121">
        <v>200</v>
      </c>
      <c r="H121" s="113" t="s">
        <v>87</v>
      </c>
      <c r="I121">
        <v>8316</v>
      </c>
      <c r="J121" s="113" t="s">
        <v>1321</v>
      </c>
      <c r="K121" s="113" t="s">
        <v>107</v>
      </c>
      <c r="L121">
        <v>4020</v>
      </c>
      <c r="M121">
        <v>4009</v>
      </c>
      <c r="N121">
        <v>200</v>
      </c>
      <c r="O121" s="113" t="s">
        <v>85</v>
      </c>
      <c r="P121">
        <v>0.911181811970734</v>
      </c>
      <c r="Q121">
        <v>0.90452759855418297</v>
      </c>
      <c r="R121" s="20">
        <v>0.201855320123209</v>
      </c>
      <c r="S121" s="20">
        <v>4.5702336796763004E-3</v>
      </c>
      <c r="T121">
        <v>0.97471067587371296</v>
      </c>
      <c r="U121">
        <v>0.97471067587371296</v>
      </c>
      <c r="V121">
        <v>6.43</v>
      </c>
      <c r="W121">
        <v>4.7699999999999996</v>
      </c>
      <c r="X121">
        <v>16481</v>
      </c>
      <c r="Y121">
        <v>2747</v>
      </c>
      <c r="Z121">
        <v>0.23</v>
      </c>
      <c r="AA121">
        <v>6</v>
      </c>
      <c r="AB121">
        <v>3</v>
      </c>
      <c r="AC121">
        <v>3</v>
      </c>
      <c r="AD121">
        <v>50</v>
      </c>
      <c r="AE121">
        <v>12</v>
      </c>
      <c r="AF121">
        <v>3</v>
      </c>
      <c r="AG121">
        <v>1</v>
      </c>
      <c r="AH121">
        <v>2</v>
      </c>
    </row>
    <row r="122" spans="1:34">
      <c r="A122" s="109">
        <v>122</v>
      </c>
      <c r="B122">
        <v>5991</v>
      </c>
      <c r="C122" s="113" t="s">
        <v>140</v>
      </c>
      <c r="D122" s="113" t="s">
        <v>141</v>
      </c>
      <c r="E122">
        <v>1008</v>
      </c>
      <c r="F122">
        <v>1005</v>
      </c>
      <c r="G122">
        <v>900</v>
      </c>
      <c r="H122" s="113" t="s">
        <v>87</v>
      </c>
      <c r="I122">
        <v>7327</v>
      </c>
      <c r="J122" s="113" t="s">
        <v>166</v>
      </c>
      <c r="K122" s="113" t="s">
        <v>107</v>
      </c>
      <c r="L122">
        <v>3120</v>
      </c>
      <c r="M122">
        <v>3080</v>
      </c>
      <c r="N122">
        <v>300</v>
      </c>
      <c r="O122" s="113" t="s">
        <v>85</v>
      </c>
      <c r="P122">
        <v>0.96028264727966395</v>
      </c>
      <c r="Q122">
        <v>0.91406964487119502</v>
      </c>
      <c r="R122" s="113">
        <v>6.8873255403689201E-2</v>
      </c>
      <c r="S122">
        <v>4.8288678770657303E-2</v>
      </c>
      <c r="T122">
        <v>0.82149600773884301</v>
      </c>
      <c r="U122">
        <v>0.82149600773884301</v>
      </c>
      <c r="V122">
        <v>3.09</v>
      </c>
      <c r="W122">
        <v>2.11</v>
      </c>
      <c r="X122">
        <v>15458</v>
      </c>
      <c r="Y122">
        <v>5153</v>
      </c>
      <c r="Z122">
        <v>0.2</v>
      </c>
      <c r="AA122">
        <v>3</v>
      </c>
      <c r="AB122">
        <v>2</v>
      </c>
      <c r="AC122">
        <v>1</v>
      </c>
      <c r="AD122">
        <v>66.67</v>
      </c>
      <c r="AE122">
        <v>16</v>
      </c>
      <c r="AF122">
        <v>0</v>
      </c>
      <c r="AG122">
        <v>0</v>
      </c>
      <c r="AH122">
        <v>3</v>
      </c>
    </row>
    <row r="123" spans="1:34">
      <c r="A123" s="109">
        <v>127</v>
      </c>
      <c r="B123">
        <v>4204</v>
      </c>
      <c r="C123" s="113" t="s">
        <v>355</v>
      </c>
      <c r="D123" s="113" t="s">
        <v>86</v>
      </c>
      <c r="E123">
        <v>1909</v>
      </c>
      <c r="F123">
        <v>1912</v>
      </c>
      <c r="G123">
        <v>600</v>
      </c>
      <c r="H123" s="113" t="s">
        <v>85</v>
      </c>
      <c r="I123">
        <v>5393</v>
      </c>
      <c r="J123" s="113" t="s">
        <v>364</v>
      </c>
      <c r="K123" s="113" t="s">
        <v>131</v>
      </c>
      <c r="L123">
        <v>2705</v>
      </c>
      <c r="M123">
        <v>2691</v>
      </c>
      <c r="N123">
        <v>400</v>
      </c>
      <c r="O123" s="113" t="s">
        <v>87</v>
      </c>
      <c r="P123">
        <v>0.94425216957512803</v>
      </c>
      <c r="Q123">
        <v>0.912968423570928</v>
      </c>
      <c r="R123" s="113">
        <v>0.16196040467908701</v>
      </c>
      <c r="S123">
        <v>2.5396894836321501E-2</v>
      </c>
      <c r="T123">
        <v>-1.7344151172234501</v>
      </c>
      <c r="U123">
        <v>1.7344151172234501</v>
      </c>
      <c r="V123">
        <v>-17.04</v>
      </c>
      <c r="W123">
        <v>6.58</v>
      </c>
      <c r="X123">
        <v>13258</v>
      </c>
      <c r="Y123">
        <v>698</v>
      </c>
      <c r="Z123">
        <v>0.02</v>
      </c>
      <c r="AA123">
        <v>19</v>
      </c>
      <c r="AB123">
        <v>8</v>
      </c>
      <c r="AC123">
        <v>11</v>
      </c>
      <c r="AD123">
        <v>42.11</v>
      </c>
      <c r="AE123">
        <v>13</v>
      </c>
      <c r="AF123">
        <v>6</v>
      </c>
      <c r="AG123">
        <v>4</v>
      </c>
      <c r="AH123">
        <v>9</v>
      </c>
    </row>
    <row r="124" spans="1:34">
      <c r="A124" s="109">
        <v>120</v>
      </c>
      <c r="B124">
        <v>3291</v>
      </c>
      <c r="C124" s="113" t="s">
        <v>138</v>
      </c>
      <c r="D124" s="113" t="s">
        <v>139</v>
      </c>
      <c r="E124">
        <v>1943</v>
      </c>
      <c r="F124">
        <v>1944</v>
      </c>
      <c r="G124">
        <v>500</v>
      </c>
      <c r="H124" s="113" t="s">
        <v>85</v>
      </c>
      <c r="I124">
        <v>8601</v>
      </c>
      <c r="J124" s="113" t="s">
        <v>51</v>
      </c>
      <c r="K124" s="113" t="s">
        <v>993</v>
      </c>
      <c r="L124">
        <v>551.1</v>
      </c>
      <c r="M124">
        <v>549</v>
      </c>
      <c r="N124">
        <v>1800</v>
      </c>
      <c r="O124" s="113" t="s">
        <v>87</v>
      </c>
      <c r="P124">
        <v>0.945379522846303</v>
      </c>
      <c r="Q124">
        <v>0.91549583527578204</v>
      </c>
      <c r="R124">
        <v>6.3158889634491499E-3</v>
      </c>
      <c r="S124">
        <v>7.3630231784524103E-2</v>
      </c>
      <c r="T124">
        <v>-0.48615030502918699</v>
      </c>
      <c r="U124">
        <v>0.48615030502918699</v>
      </c>
      <c r="V124">
        <v>-0.69</v>
      </c>
      <c r="W124">
        <v>1.67</v>
      </c>
      <c r="X124">
        <v>12422</v>
      </c>
      <c r="Y124">
        <v>731</v>
      </c>
      <c r="Z124">
        <v>0.05</v>
      </c>
      <c r="AA124">
        <v>17</v>
      </c>
      <c r="AB124">
        <v>10</v>
      </c>
      <c r="AC124">
        <v>7</v>
      </c>
      <c r="AD124">
        <v>58.82</v>
      </c>
      <c r="AE124">
        <v>15</v>
      </c>
      <c r="AF124">
        <v>3</v>
      </c>
      <c r="AG124">
        <v>1</v>
      </c>
      <c r="AH124">
        <v>13</v>
      </c>
    </row>
    <row r="125" spans="1:34">
      <c r="A125" s="109">
        <v>73</v>
      </c>
      <c r="B125">
        <v>5991</v>
      </c>
      <c r="C125" s="113" t="s">
        <v>140</v>
      </c>
      <c r="D125" s="113" t="s">
        <v>141</v>
      </c>
      <c r="E125">
        <v>1008</v>
      </c>
      <c r="F125">
        <v>1005</v>
      </c>
      <c r="G125">
        <v>1000</v>
      </c>
      <c r="H125" s="113" t="s">
        <v>87</v>
      </c>
      <c r="I125">
        <v>8002</v>
      </c>
      <c r="J125" s="113" t="s">
        <v>55</v>
      </c>
      <c r="K125" s="113" t="s">
        <v>126</v>
      </c>
      <c r="L125">
        <v>835</v>
      </c>
      <c r="M125">
        <v>829.2</v>
      </c>
      <c r="N125">
        <v>1200</v>
      </c>
      <c r="O125" s="113" t="s">
        <v>85</v>
      </c>
      <c r="P125">
        <v>0.96251655685599102</v>
      </c>
      <c r="Q125">
        <v>0.92823640255041695</v>
      </c>
      <c r="R125" s="20">
        <v>6.1333774788064697E-2</v>
      </c>
      <c r="S125" s="20">
        <v>2.2008675140492099E-2</v>
      </c>
      <c r="T125">
        <v>1.2989152653774501</v>
      </c>
      <c r="U125">
        <v>1.2989152653774501</v>
      </c>
      <c r="V125">
        <v>4.59</v>
      </c>
      <c r="W125">
        <v>0.99</v>
      </c>
      <c r="X125">
        <v>10934</v>
      </c>
      <c r="Y125">
        <v>643</v>
      </c>
      <c r="Z125">
        <v>0.05</v>
      </c>
      <c r="AA125">
        <v>17</v>
      </c>
      <c r="AB125">
        <v>8</v>
      </c>
      <c r="AC125">
        <v>9</v>
      </c>
      <c r="AD125">
        <v>47.06</v>
      </c>
      <c r="AE125">
        <v>14</v>
      </c>
      <c r="AF125">
        <v>5</v>
      </c>
      <c r="AG125">
        <v>3</v>
      </c>
      <c r="AH125">
        <v>9</v>
      </c>
    </row>
    <row r="126" spans="1:34">
      <c r="A126" s="109">
        <v>130</v>
      </c>
      <c r="B126">
        <v>6755</v>
      </c>
      <c r="C126" s="113" t="s">
        <v>1319</v>
      </c>
      <c r="D126" s="113" t="s">
        <v>112</v>
      </c>
      <c r="E126">
        <v>2290</v>
      </c>
      <c r="F126">
        <v>2283</v>
      </c>
      <c r="G126">
        <v>400</v>
      </c>
      <c r="H126" s="113" t="s">
        <v>87</v>
      </c>
      <c r="I126">
        <v>9934</v>
      </c>
      <c r="J126" s="113" t="s">
        <v>984</v>
      </c>
      <c r="K126" s="113" t="s">
        <v>126</v>
      </c>
      <c r="L126">
        <v>2760</v>
      </c>
      <c r="M126">
        <v>2762</v>
      </c>
      <c r="N126">
        <v>300</v>
      </c>
      <c r="O126" s="113" t="s">
        <v>85</v>
      </c>
      <c r="P126">
        <v>0.93672618989353496</v>
      </c>
      <c r="Q126">
        <v>0.911683593960401</v>
      </c>
      <c r="R126">
        <v>2.09466196928098E-3</v>
      </c>
      <c r="S126" s="20">
        <v>1.1226847276768501E-3</v>
      </c>
      <c r="T126">
        <v>2.0888888861450599</v>
      </c>
      <c r="U126">
        <v>2.0888888861450599</v>
      </c>
      <c r="V126">
        <v>8.4700000000000006</v>
      </c>
      <c r="W126">
        <v>10.210000000000001</v>
      </c>
      <c r="X126">
        <v>6683</v>
      </c>
      <c r="Y126">
        <v>446</v>
      </c>
      <c r="Z126">
        <v>0.03</v>
      </c>
      <c r="AA126">
        <v>15</v>
      </c>
      <c r="AB126">
        <v>7</v>
      </c>
      <c r="AC126">
        <v>8</v>
      </c>
      <c r="AD126">
        <v>46.67</v>
      </c>
      <c r="AE126">
        <v>14</v>
      </c>
      <c r="AF126">
        <v>4</v>
      </c>
      <c r="AG126">
        <v>2</v>
      </c>
      <c r="AH126">
        <v>9</v>
      </c>
    </row>
    <row r="127" spans="1:34">
      <c r="A127" s="109">
        <v>131</v>
      </c>
      <c r="B127">
        <v>6448</v>
      </c>
      <c r="C127" s="113" t="s">
        <v>996</v>
      </c>
      <c r="D127" s="113" t="s">
        <v>112</v>
      </c>
      <c r="E127">
        <v>2228</v>
      </c>
      <c r="F127">
        <v>2258</v>
      </c>
      <c r="G127">
        <v>400</v>
      </c>
      <c r="H127" s="113" t="s">
        <v>87</v>
      </c>
      <c r="I127">
        <v>6965</v>
      </c>
      <c r="J127" s="113" t="s">
        <v>997</v>
      </c>
      <c r="K127" s="113" t="s">
        <v>112</v>
      </c>
      <c r="L127">
        <v>4545</v>
      </c>
      <c r="M127">
        <v>4535</v>
      </c>
      <c r="N127">
        <v>200</v>
      </c>
      <c r="O127" s="113" t="s">
        <v>85</v>
      </c>
      <c r="P127">
        <v>0.92928719276830796</v>
      </c>
      <c r="Q127">
        <v>0.91119887331057803</v>
      </c>
      <c r="R127">
        <v>0.23275367540669101</v>
      </c>
      <c r="S127" s="113">
        <v>7.4953727536408096E-2</v>
      </c>
      <c r="T127">
        <v>0.40669871163261301</v>
      </c>
      <c r="U127">
        <v>0.40669871163261301</v>
      </c>
      <c r="V127">
        <v>0.95</v>
      </c>
      <c r="W127">
        <v>0.42</v>
      </c>
      <c r="X127">
        <v>5132</v>
      </c>
      <c r="Y127">
        <v>321</v>
      </c>
      <c r="Z127">
        <v>0.05</v>
      </c>
      <c r="AA127">
        <v>16</v>
      </c>
      <c r="AB127">
        <v>9</v>
      </c>
      <c r="AC127">
        <v>7</v>
      </c>
      <c r="AD127">
        <v>56.25</v>
      </c>
      <c r="AE127">
        <v>13</v>
      </c>
      <c r="AF127">
        <v>4</v>
      </c>
      <c r="AG127">
        <v>4</v>
      </c>
      <c r="AH127">
        <v>8</v>
      </c>
    </row>
    <row r="128" spans="1:34">
      <c r="A128" s="109">
        <v>61</v>
      </c>
      <c r="B128">
        <v>5233</v>
      </c>
      <c r="C128" s="113" t="s">
        <v>168</v>
      </c>
      <c r="D128" s="113" t="s">
        <v>131</v>
      </c>
      <c r="E128">
        <v>3450</v>
      </c>
      <c r="F128">
        <v>3440</v>
      </c>
      <c r="G128">
        <v>300</v>
      </c>
      <c r="H128" s="113" t="s">
        <v>87</v>
      </c>
      <c r="I128">
        <v>7327</v>
      </c>
      <c r="J128" s="113" t="s">
        <v>166</v>
      </c>
      <c r="K128" s="113" t="s">
        <v>107</v>
      </c>
      <c r="L128">
        <v>3120</v>
      </c>
      <c r="M128">
        <v>3080</v>
      </c>
      <c r="N128">
        <v>300</v>
      </c>
      <c r="O128" s="113" t="s">
        <v>85</v>
      </c>
      <c r="P128">
        <v>0.91610251668641396</v>
      </c>
      <c r="Q128">
        <v>0.93200202779127705</v>
      </c>
      <c r="R128">
        <v>0.16977098287731901</v>
      </c>
      <c r="S128">
        <v>8.8955140812286802E-3</v>
      </c>
      <c r="T128">
        <v>0.72661535786632003</v>
      </c>
      <c r="U128">
        <v>0.72661535786632003</v>
      </c>
      <c r="V128">
        <v>1.76</v>
      </c>
      <c r="W128">
        <v>10.47</v>
      </c>
      <c r="X128">
        <v>4195</v>
      </c>
      <c r="Y128">
        <v>2098</v>
      </c>
      <c r="Z128">
        <v>-0.01</v>
      </c>
      <c r="AA128">
        <v>2</v>
      </c>
      <c r="AB128">
        <v>1</v>
      </c>
      <c r="AC128">
        <v>1</v>
      </c>
      <c r="AD128">
        <v>50</v>
      </c>
      <c r="AE128">
        <v>10</v>
      </c>
      <c r="AF128">
        <v>1</v>
      </c>
      <c r="AG128">
        <v>1</v>
      </c>
      <c r="AH128">
        <v>0</v>
      </c>
    </row>
    <row r="129" spans="1:34">
      <c r="A129" s="109">
        <v>99</v>
      </c>
      <c r="B129">
        <v>1928</v>
      </c>
      <c r="C129" s="113" t="s">
        <v>333</v>
      </c>
      <c r="D129" s="113" t="s">
        <v>103</v>
      </c>
      <c r="E129">
        <v>2392</v>
      </c>
      <c r="F129">
        <v>2402</v>
      </c>
      <c r="G129">
        <v>400</v>
      </c>
      <c r="H129" s="113" t="s">
        <v>87</v>
      </c>
      <c r="I129">
        <v>4996</v>
      </c>
      <c r="J129" s="113" t="s">
        <v>359</v>
      </c>
      <c r="K129" s="113" t="s">
        <v>86</v>
      </c>
      <c r="L129">
        <v>1033</v>
      </c>
      <c r="M129">
        <v>1029</v>
      </c>
      <c r="N129">
        <v>900</v>
      </c>
      <c r="O129" s="113" t="s">
        <v>85</v>
      </c>
      <c r="P129">
        <v>0.91922316603035703</v>
      </c>
      <c r="Q129">
        <v>0.91862437920332496</v>
      </c>
      <c r="R129">
        <v>1.9732116198435502E-2</v>
      </c>
      <c r="S129" s="113">
        <v>0.146152991070292</v>
      </c>
      <c r="T129">
        <v>0.85525135571960698</v>
      </c>
      <c r="U129">
        <v>0.85525135571960698</v>
      </c>
      <c r="V129">
        <v>3.69</v>
      </c>
      <c r="W129">
        <v>3.61</v>
      </c>
      <c r="X129">
        <v>3393</v>
      </c>
      <c r="Y129">
        <v>242</v>
      </c>
      <c r="Z129">
        <v>-0.03</v>
      </c>
      <c r="AA129">
        <v>14</v>
      </c>
      <c r="AB129">
        <v>8</v>
      </c>
      <c r="AC129">
        <v>6</v>
      </c>
      <c r="AD129">
        <v>57.14</v>
      </c>
      <c r="AE129">
        <v>12</v>
      </c>
      <c r="AF129">
        <v>6</v>
      </c>
      <c r="AG129">
        <v>3</v>
      </c>
      <c r="AH129">
        <v>5</v>
      </c>
    </row>
    <row r="130" spans="1:34">
      <c r="A130" s="109">
        <v>1</v>
      </c>
      <c r="B130">
        <v>6995</v>
      </c>
      <c r="C130" s="113" t="s">
        <v>116</v>
      </c>
      <c r="D130" s="113" t="s">
        <v>109</v>
      </c>
      <c r="E130">
        <v>2166</v>
      </c>
      <c r="F130">
        <v>2193</v>
      </c>
      <c r="G130">
        <v>500</v>
      </c>
      <c r="H130" s="113" t="s">
        <v>85</v>
      </c>
      <c r="I130">
        <v>7282</v>
      </c>
      <c r="J130" s="113" t="s">
        <v>987</v>
      </c>
      <c r="K130" s="113" t="s">
        <v>109</v>
      </c>
      <c r="L130">
        <v>2655</v>
      </c>
      <c r="M130">
        <v>2710</v>
      </c>
      <c r="N130">
        <v>400</v>
      </c>
      <c r="O130" s="113" t="s">
        <v>87</v>
      </c>
      <c r="P130">
        <v>0.98783739868528198</v>
      </c>
      <c r="Q130">
        <v>0.96913574959187299</v>
      </c>
      <c r="R130" s="20">
        <v>1.19934002522404E-3</v>
      </c>
      <c r="S130">
        <v>1.8913209503042198E-2</v>
      </c>
      <c r="T130">
        <v>-1.92422160310042</v>
      </c>
      <c r="U130">
        <v>1.92422160310042</v>
      </c>
      <c r="V130">
        <v>-3.84</v>
      </c>
      <c r="W130">
        <v>1.1499999999999999</v>
      </c>
      <c r="X130">
        <v>1724</v>
      </c>
      <c r="Y130">
        <v>123</v>
      </c>
      <c r="Z130">
        <v>-7.0000000000000007E-2</v>
      </c>
      <c r="AA130">
        <v>14</v>
      </c>
      <c r="AB130">
        <v>7</v>
      </c>
      <c r="AC130">
        <v>7</v>
      </c>
      <c r="AD130">
        <v>50</v>
      </c>
      <c r="AE130">
        <v>13</v>
      </c>
      <c r="AF130">
        <v>3</v>
      </c>
      <c r="AG130">
        <v>2</v>
      </c>
      <c r="AH130">
        <v>9</v>
      </c>
    </row>
    <row r="131" spans="1:34">
      <c r="A131" s="109">
        <v>123</v>
      </c>
      <c r="B131">
        <v>2175</v>
      </c>
      <c r="C131" s="113" t="s">
        <v>358</v>
      </c>
      <c r="D131" s="113" t="s">
        <v>145</v>
      </c>
      <c r="E131">
        <v>3025</v>
      </c>
      <c r="F131">
        <v>3055</v>
      </c>
      <c r="G131">
        <v>300</v>
      </c>
      <c r="H131" s="113" t="s">
        <v>85</v>
      </c>
      <c r="I131">
        <v>6098</v>
      </c>
      <c r="J131" s="113" t="s">
        <v>370</v>
      </c>
      <c r="K131" s="113" t="s">
        <v>145</v>
      </c>
      <c r="L131">
        <v>3965</v>
      </c>
      <c r="M131">
        <v>4010</v>
      </c>
      <c r="N131">
        <v>200</v>
      </c>
      <c r="O131" s="113" t="s">
        <v>87</v>
      </c>
      <c r="P131">
        <v>0.95121197776218602</v>
      </c>
      <c r="Q131">
        <v>0.914050102436884</v>
      </c>
      <c r="R131" s="20">
        <v>5.6838094579429599E-7</v>
      </c>
      <c r="S131" s="113">
        <v>6.7352494468055205E-2</v>
      </c>
      <c r="T131">
        <v>-0.30820907184686502</v>
      </c>
      <c r="U131">
        <v>0.30820907184686502</v>
      </c>
      <c r="V131">
        <v>-1</v>
      </c>
      <c r="W131">
        <v>14.28</v>
      </c>
      <c r="X131">
        <v>-1755</v>
      </c>
      <c r="Y131">
        <v>-103</v>
      </c>
      <c r="Z131">
        <v>0.05</v>
      </c>
      <c r="AA131">
        <v>17</v>
      </c>
      <c r="AB131">
        <v>9</v>
      </c>
      <c r="AC131">
        <v>8</v>
      </c>
      <c r="AD131">
        <v>52.94</v>
      </c>
      <c r="AE131">
        <v>10</v>
      </c>
      <c r="AF131">
        <v>8</v>
      </c>
      <c r="AG131">
        <v>5</v>
      </c>
      <c r="AH131">
        <v>4</v>
      </c>
    </row>
    <row r="132" spans="1:34">
      <c r="A132" s="109">
        <v>128</v>
      </c>
      <c r="B132">
        <v>8306</v>
      </c>
      <c r="C132" s="113" t="s">
        <v>169</v>
      </c>
      <c r="D132" s="113" t="s">
        <v>107</v>
      </c>
      <c r="E132">
        <v>588</v>
      </c>
      <c r="F132">
        <v>586.79999999999995</v>
      </c>
      <c r="G132">
        <v>1800</v>
      </c>
      <c r="H132" s="113" t="s">
        <v>87</v>
      </c>
      <c r="I132">
        <v>8411</v>
      </c>
      <c r="J132" s="113" t="s">
        <v>146</v>
      </c>
      <c r="K132" s="113" t="s">
        <v>107</v>
      </c>
      <c r="L132">
        <v>171.2</v>
      </c>
      <c r="M132">
        <v>170.9</v>
      </c>
      <c r="N132">
        <v>6200</v>
      </c>
      <c r="O132" s="113" t="s">
        <v>85</v>
      </c>
      <c r="P132">
        <v>0.95008808630278796</v>
      </c>
      <c r="Q132">
        <v>0.91263139062686405</v>
      </c>
      <c r="R132">
        <v>0.37598024532340102</v>
      </c>
      <c r="S132" s="20">
        <v>0.24992311217919499</v>
      </c>
      <c r="T132">
        <v>1.38717227809195</v>
      </c>
      <c r="U132">
        <v>1.38717227809195</v>
      </c>
      <c r="V132">
        <v>2.37</v>
      </c>
      <c r="W132">
        <v>0.32</v>
      </c>
      <c r="X132">
        <v>-2779</v>
      </c>
      <c r="Y132">
        <v>-154</v>
      </c>
      <c r="Z132">
        <v>0</v>
      </c>
      <c r="AA132">
        <v>18</v>
      </c>
      <c r="AB132">
        <v>8</v>
      </c>
      <c r="AC132">
        <v>10</v>
      </c>
      <c r="AD132">
        <v>44.44</v>
      </c>
      <c r="AE132">
        <v>17</v>
      </c>
      <c r="AF132">
        <v>2</v>
      </c>
      <c r="AG132">
        <v>0</v>
      </c>
      <c r="AH132">
        <v>16</v>
      </c>
    </row>
    <row r="133" spans="1:34">
      <c r="A133" s="109">
        <v>177</v>
      </c>
      <c r="B133">
        <v>4183</v>
      </c>
      <c r="C133" s="113" t="s">
        <v>331</v>
      </c>
      <c r="D133" s="113" t="s">
        <v>86</v>
      </c>
      <c r="E133">
        <v>2669</v>
      </c>
      <c r="F133">
        <v>2671</v>
      </c>
      <c r="G133">
        <v>200</v>
      </c>
      <c r="H133" s="113" t="s">
        <v>87</v>
      </c>
      <c r="I133">
        <v>7276</v>
      </c>
      <c r="J133" s="113" t="s">
        <v>995</v>
      </c>
      <c r="K133" s="113" t="s">
        <v>112</v>
      </c>
      <c r="L133">
        <v>5520</v>
      </c>
      <c r="M133">
        <v>5540</v>
      </c>
      <c r="N133">
        <v>100</v>
      </c>
      <c r="O133" s="113" t="s">
        <v>85</v>
      </c>
      <c r="P133">
        <v>0.91874523279164499</v>
      </c>
      <c r="Q133">
        <v>0.90116399709707595</v>
      </c>
      <c r="R133">
        <v>2.1368238109182799E-2</v>
      </c>
      <c r="S133" s="113">
        <v>6.1828340137306002E-2</v>
      </c>
      <c r="T133">
        <v>2.6231617313348501</v>
      </c>
      <c r="U133">
        <v>2.6231617313348501</v>
      </c>
      <c r="V133">
        <v>3.84</v>
      </c>
      <c r="W133">
        <v>3.57</v>
      </c>
      <c r="X133">
        <v>-2864</v>
      </c>
      <c r="Y133">
        <v>-358</v>
      </c>
      <c r="Z133">
        <v>0.02</v>
      </c>
      <c r="AA133">
        <v>8</v>
      </c>
      <c r="AB133">
        <v>2</v>
      </c>
      <c r="AC133">
        <v>6</v>
      </c>
      <c r="AD133">
        <v>25</v>
      </c>
      <c r="AE133">
        <v>11</v>
      </c>
      <c r="AF133">
        <v>2</v>
      </c>
      <c r="AG133">
        <v>2</v>
      </c>
      <c r="AH133">
        <v>4</v>
      </c>
    </row>
    <row r="134" spans="1:34">
      <c r="A134" s="109">
        <v>115</v>
      </c>
      <c r="B134">
        <v>5991</v>
      </c>
      <c r="C134" s="113" t="s">
        <v>140</v>
      </c>
      <c r="D134" s="113" t="s">
        <v>141</v>
      </c>
      <c r="E134">
        <v>1008</v>
      </c>
      <c r="F134">
        <v>1005</v>
      </c>
      <c r="G134">
        <v>900</v>
      </c>
      <c r="H134" s="113" t="s">
        <v>87</v>
      </c>
      <c r="I134">
        <v>7267</v>
      </c>
      <c r="J134" s="113" t="s">
        <v>143</v>
      </c>
      <c r="K134" s="113" t="s">
        <v>109</v>
      </c>
      <c r="L134">
        <v>3141</v>
      </c>
      <c r="M134">
        <v>3135</v>
      </c>
      <c r="N134">
        <v>300</v>
      </c>
      <c r="O134" s="113" t="s">
        <v>85</v>
      </c>
      <c r="P134">
        <v>0.954827742895766</v>
      </c>
      <c r="Q134">
        <v>0.91582728921399503</v>
      </c>
      <c r="R134">
        <v>0.33872097917404598</v>
      </c>
      <c r="S134">
        <v>8.4879219478547305E-2</v>
      </c>
      <c r="T134">
        <v>2.1389586156356999</v>
      </c>
      <c r="U134">
        <v>2.1389586156356999</v>
      </c>
      <c r="V134">
        <v>6.44</v>
      </c>
      <c r="W134">
        <v>3.83</v>
      </c>
      <c r="X134">
        <v>-2961</v>
      </c>
      <c r="Y134">
        <v>-212</v>
      </c>
      <c r="Z134">
        <v>0.02</v>
      </c>
      <c r="AA134">
        <v>14</v>
      </c>
      <c r="AB134">
        <v>9</v>
      </c>
      <c r="AC134">
        <v>5</v>
      </c>
      <c r="AD134">
        <v>64.290000000000006</v>
      </c>
      <c r="AE134">
        <v>16</v>
      </c>
      <c r="AF134">
        <v>1</v>
      </c>
      <c r="AG134">
        <v>1</v>
      </c>
      <c r="AH134">
        <v>12</v>
      </c>
    </row>
    <row r="135" spans="1:34">
      <c r="A135" s="109">
        <v>84</v>
      </c>
      <c r="B135">
        <v>4183</v>
      </c>
      <c r="C135" s="113" t="s">
        <v>331</v>
      </c>
      <c r="D135" s="113" t="s">
        <v>86</v>
      </c>
      <c r="E135">
        <v>2669</v>
      </c>
      <c r="F135">
        <v>2671</v>
      </c>
      <c r="G135">
        <v>400</v>
      </c>
      <c r="H135" s="113" t="s">
        <v>85</v>
      </c>
      <c r="I135">
        <v>6301</v>
      </c>
      <c r="J135" s="113" t="s">
        <v>134</v>
      </c>
      <c r="K135" s="113" t="s">
        <v>124</v>
      </c>
      <c r="L135">
        <v>2700</v>
      </c>
      <c r="M135">
        <v>2691.5</v>
      </c>
      <c r="N135">
        <v>400</v>
      </c>
      <c r="O135" s="113" t="s">
        <v>87</v>
      </c>
      <c r="P135">
        <v>0.90419008486761898</v>
      </c>
      <c r="Q135">
        <v>0.92445897119600395</v>
      </c>
      <c r="R135" s="20">
        <v>6.3720918643696806E-2</v>
      </c>
      <c r="S135">
        <v>8.2110585526338098E-4</v>
      </c>
      <c r="T135">
        <v>-1.11016381129201</v>
      </c>
      <c r="U135">
        <v>1.11016381129201</v>
      </c>
      <c r="V135">
        <v>-1.89</v>
      </c>
      <c r="W135">
        <v>0.76</v>
      </c>
      <c r="X135">
        <v>-3844</v>
      </c>
      <c r="Y135">
        <v>-384</v>
      </c>
      <c r="Z135">
        <v>0.04</v>
      </c>
      <c r="AA135">
        <v>10</v>
      </c>
      <c r="AB135">
        <v>6</v>
      </c>
      <c r="AC135">
        <v>4</v>
      </c>
      <c r="AD135">
        <v>60</v>
      </c>
      <c r="AE135">
        <v>15</v>
      </c>
      <c r="AF135">
        <v>1</v>
      </c>
      <c r="AG135">
        <v>1</v>
      </c>
      <c r="AH135">
        <v>8</v>
      </c>
    </row>
    <row r="136" spans="1:34">
      <c r="A136" s="109">
        <v>19</v>
      </c>
      <c r="B136">
        <v>4062</v>
      </c>
      <c r="C136" s="113" t="s">
        <v>357</v>
      </c>
      <c r="D136" s="113" t="s">
        <v>112</v>
      </c>
      <c r="E136">
        <v>2586</v>
      </c>
      <c r="F136">
        <v>2613</v>
      </c>
      <c r="G136">
        <v>400</v>
      </c>
      <c r="H136" s="113" t="s">
        <v>85</v>
      </c>
      <c r="I136">
        <v>6920</v>
      </c>
      <c r="J136" s="113" t="s">
        <v>111</v>
      </c>
      <c r="K136" s="113" t="s">
        <v>112</v>
      </c>
      <c r="L136">
        <v>9410</v>
      </c>
      <c r="M136">
        <v>9620</v>
      </c>
      <c r="N136">
        <v>100</v>
      </c>
      <c r="O136" s="113" t="s">
        <v>87</v>
      </c>
      <c r="P136">
        <v>0.91345290574698301</v>
      </c>
      <c r="Q136">
        <v>0.94930471276461703</v>
      </c>
      <c r="R136">
        <v>0.39822562035520997</v>
      </c>
      <c r="S136" s="113">
        <v>7.6062012507219307E-2</v>
      </c>
      <c r="T136" s="113">
        <v>-1.61133999651886</v>
      </c>
      <c r="U136" s="113">
        <v>1.61133999651886</v>
      </c>
      <c r="V136">
        <v>-13.56</v>
      </c>
      <c r="W136">
        <v>8.65</v>
      </c>
      <c r="X136">
        <v>-4708</v>
      </c>
      <c r="Y136">
        <v>-262</v>
      </c>
      <c r="Z136">
        <v>-0.02</v>
      </c>
      <c r="AA136">
        <v>18</v>
      </c>
      <c r="AB136">
        <v>9</v>
      </c>
      <c r="AC136">
        <v>9</v>
      </c>
      <c r="AD136">
        <v>50</v>
      </c>
      <c r="AE136">
        <v>10</v>
      </c>
      <c r="AF136">
        <v>8</v>
      </c>
      <c r="AG136">
        <v>7</v>
      </c>
      <c r="AH136">
        <v>3</v>
      </c>
    </row>
    <row r="137" spans="1:34">
      <c r="A137" s="109">
        <v>55</v>
      </c>
      <c r="B137">
        <v>6752</v>
      </c>
      <c r="C137" s="113" t="s">
        <v>130</v>
      </c>
      <c r="D137" s="113" t="s">
        <v>112</v>
      </c>
      <c r="E137">
        <v>1057.5</v>
      </c>
      <c r="F137">
        <v>1057.5</v>
      </c>
      <c r="G137">
        <v>1000</v>
      </c>
      <c r="H137" s="113" t="s">
        <v>87</v>
      </c>
      <c r="I137">
        <v>8002</v>
      </c>
      <c r="J137" s="113" t="s">
        <v>55</v>
      </c>
      <c r="K137" s="113" t="s">
        <v>126</v>
      </c>
      <c r="L137">
        <v>835</v>
      </c>
      <c r="M137">
        <v>829.2</v>
      </c>
      <c r="N137">
        <v>1300</v>
      </c>
      <c r="O137" s="113" t="s">
        <v>85</v>
      </c>
      <c r="P137">
        <v>0.91658276925618498</v>
      </c>
      <c r="Q137">
        <v>0.93399631157193297</v>
      </c>
      <c r="R137">
        <v>4.38052882227992E-2</v>
      </c>
      <c r="S137" s="113">
        <v>2.7456515776799902E-3</v>
      </c>
      <c r="T137">
        <v>1.4487428633175501</v>
      </c>
      <c r="U137">
        <v>1.4487428633175501</v>
      </c>
      <c r="V137">
        <v>3.57</v>
      </c>
      <c r="W137">
        <v>1.93</v>
      </c>
      <c r="X137">
        <v>-4844</v>
      </c>
      <c r="Y137">
        <v>-231</v>
      </c>
      <c r="Z137">
        <v>-0.02</v>
      </c>
      <c r="AA137">
        <v>21</v>
      </c>
      <c r="AB137">
        <v>11</v>
      </c>
      <c r="AC137">
        <v>10</v>
      </c>
      <c r="AD137">
        <v>52.38</v>
      </c>
      <c r="AE137">
        <v>15</v>
      </c>
      <c r="AF137">
        <v>5</v>
      </c>
      <c r="AG137">
        <v>4</v>
      </c>
      <c r="AH137">
        <v>12</v>
      </c>
    </row>
    <row r="138" spans="1:34">
      <c r="A138" s="109">
        <v>85</v>
      </c>
      <c r="B138">
        <v>5333</v>
      </c>
      <c r="C138" s="113" t="s">
        <v>365</v>
      </c>
      <c r="D138" s="113" t="s">
        <v>131</v>
      </c>
      <c r="E138">
        <v>1900</v>
      </c>
      <c r="F138">
        <v>1896</v>
      </c>
      <c r="G138">
        <v>600</v>
      </c>
      <c r="H138" s="113" t="s">
        <v>85</v>
      </c>
      <c r="I138">
        <v>5393</v>
      </c>
      <c r="J138" s="113" t="s">
        <v>364</v>
      </c>
      <c r="K138" s="113" t="s">
        <v>131</v>
      </c>
      <c r="L138">
        <v>2705</v>
      </c>
      <c r="M138">
        <v>2691</v>
      </c>
      <c r="N138">
        <v>400</v>
      </c>
      <c r="O138" s="113" t="s">
        <v>87</v>
      </c>
      <c r="P138">
        <v>0.95637044001066895</v>
      </c>
      <c r="Q138">
        <v>0.92411689087014903</v>
      </c>
      <c r="R138">
        <v>9.4558380036309203E-2</v>
      </c>
      <c r="S138">
        <v>1.14982479098045E-3</v>
      </c>
      <c r="T138">
        <v>-1.3411723674296501</v>
      </c>
      <c r="U138">
        <v>1.3411723674296501</v>
      </c>
      <c r="V138">
        <v>-9.5</v>
      </c>
      <c r="W138">
        <v>5.69</v>
      </c>
      <c r="X138">
        <v>-11690</v>
      </c>
      <c r="Y138">
        <v>-584</v>
      </c>
      <c r="Z138">
        <v>-0.01</v>
      </c>
      <c r="AA138">
        <v>20</v>
      </c>
      <c r="AB138">
        <v>12</v>
      </c>
      <c r="AC138">
        <v>8</v>
      </c>
      <c r="AD138">
        <v>60</v>
      </c>
      <c r="AE138">
        <v>11</v>
      </c>
      <c r="AF138">
        <v>7</v>
      </c>
      <c r="AG138">
        <v>8</v>
      </c>
      <c r="AH138">
        <v>5</v>
      </c>
    </row>
    <row r="139" spans="1:34">
      <c r="A139" s="109">
        <v>129</v>
      </c>
      <c r="B139">
        <v>4686</v>
      </c>
      <c r="C139" s="113" t="s">
        <v>1315</v>
      </c>
      <c r="D139" s="113" t="s">
        <v>104</v>
      </c>
      <c r="E139">
        <v>5820</v>
      </c>
      <c r="F139">
        <v>6050</v>
      </c>
      <c r="G139">
        <v>100</v>
      </c>
      <c r="H139" s="113" t="s">
        <v>87</v>
      </c>
      <c r="I139">
        <v>6845</v>
      </c>
      <c r="J139" s="113" t="s">
        <v>338</v>
      </c>
      <c r="K139" s="113" t="s">
        <v>112</v>
      </c>
      <c r="L139">
        <v>3205</v>
      </c>
      <c r="M139">
        <v>3205</v>
      </c>
      <c r="N139">
        <v>200</v>
      </c>
      <c r="O139" s="113" t="s">
        <v>85</v>
      </c>
      <c r="P139">
        <v>0.92865985992432998</v>
      </c>
      <c r="Q139">
        <v>0.91197881150864601</v>
      </c>
      <c r="R139">
        <v>0.15978178954813699</v>
      </c>
      <c r="S139">
        <v>0.11673092778882201</v>
      </c>
      <c r="T139">
        <v>2.03328421553914</v>
      </c>
      <c r="U139">
        <v>2.03328421553914</v>
      </c>
      <c r="V139">
        <v>19.11</v>
      </c>
      <c r="W139">
        <v>5.95</v>
      </c>
      <c r="X139">
        <v>-13536</v>
      </c>
      <c r="Y139">
        <v>-712</v>
      </c>
      <c r="Z139">
        <v>-0.09</v>
      </c>
      <c r="AA139">
        <v>19</v>
      </c>
      <c r="AB139">
        <v>11</v>
      </c>
      <c r="AC139">
        <v>8</v>
      </c>
      <c r="AD139">
        <v>57.89</v>
      </c>
      <c r="AE139">
        <v>10</v>
      </c>
      <c r="AF139">
        <v>10</v>
      </c>
      <c r="AG139">
        <v>8</v>
      </c>
      <c r="AH139">
        <v>1</v>
      </c>
    </row>
    <row r="140" spans="1:34">
      <c r="A140" s="109">
        <v>153</v>
      </c>
      <c r="B140">
        <v>4183</v>
      </c>
      <c r="C140" s="113" t="s">
        <v>331</v>
      </c>
      <c r="D140" s="113" t="s">
        <v>86</v>
      </c>
      <c r="E140">
        <v>2669</v>
      </c>
      <c r="F140">
        <v>2671</v>
      </c>
      <c r="G140">
        <v>400</v>
      </c>
      <c r="H140" s="113" t="s">
        <v>85</v>
      </c>
      <c r="I140">
        <v>7762</v>
      </c>
      <c r="J140" s="113" t="s">
        <v>132</v>
      </c>
      <c r="K140" s="113" t="s">
        <v>118</v>
      </c>
      <c r="L140">
        <v>606</v>
      </c>
      <c r="M140">
        <v>610</v>
      </c>
      <c r="N140">
        <v>1800</v>
      </c>
      <c r="O140" s="113" t="s">
        <v>87</v>
      </c>
      <c r="P140">
        <v>0.904121752710906</v>
      </c>
      <c r="Q140">
        <v>0.90676247384545805</v>
      </c>
      <c r="R140" s="20">
        <v>0.18218403176633699</v>
      </c>
      <c r="S140">
        <v>5.07944666752457E-3</v>
      </c>
      <c r="T140">
        <v>-1.3869812322558199</v>
      </c>
      <c r="U140">
        <v>1.3869812322558199</v>
      </c>
      <c r="V140">
        <v>-3.43</v>
      </c>
      <c r="W140">
        <v>2.77</v>
      </c>
      <c r="X140">
        <v>-15256</v>
      </c>
      <c r="Y140">
        <v>-1174</v>
      </c>
      <c r="Z140">
        <v>-0.12</v>
      </c>
      <c r="AA140">
        <v>13</v>
      </c>
      <c r="AB140">
        <v>7</v>
      </c>
      <c r="AC140">
        <v>6</v>
      </c>
      <c r="AD140">
        <v>53.85</v>
      </c>
      <c r="AE140">
        <v>15</v>
      </c>
      <c r="AF140">
        <v>3</v>
      </c>
      <c r="AG140">
        <v>4</v>
      </c>
      <c r="AH140">
        <v>6</v>
      </c>
    </row>
    <row r="141" spans="1:34">
      <c r="A141" s="109">
        <v>4</v>
      </c>
      <c r="B141">
        <v>2413</v>
      </c>
      <c r="C141" s="113" t="s">
        <v>1314</v>
      </c>
      <c r="D141" s="113" t="s">
        <v>145</v>
      </c>
      <c r="E141">
        <v>3075</v>
      </c>
      <c r="F141">
        <v>3085</v>
      </c>
      <c r="G141">
        <v>300</v>
      </c>
      <c r="H141" s="113" t="s">
        <v>87</v>
      </c>
      <c r="I141">
        <v>4552</v>
      </c>
      <c r="J141" s="113" t="s">
        <v>1322</v>
      </c>
      <c r="K141" s="113" t="s">
        <v>161</v>
      </c>
      <c r="L141">
        <v>9150</v>
      </c>
      <c r="M141">
        <v>9160</v>
      </c>
      <c r="N141">
        <v>100</v>
      </c>
      <c r="O141" s="113" t="s">
        <v>85</v>
      </c>
      <c r="P141">
        <v>0.90266498541294904</v>
      </c>
      <c r="Q141">
        <v>0.96511968914936097</v>
      </c>
      <c r="R141" s="20">
        <v>0.121259976877541</v>
      </c>
      <c r="S141">
        <v>3.1673249442330702E-3</v>
      </c>
      <c r="T141">
        <v>1.35280516434625</v>
      </c>
      <c r="U141">
        <v>1.35280516434625</v>
      </c>
      <c r="V141">
        <v>6.11</v>
      </c>
      <c r="W141">
        <v>1.04</v>
      </c>
      <c r="X141">
        <v>-15929</v>
      </c>
      <c r="Y141">
        <v>-796</v>
      </c>
      <c r="Z141">
        <v>-0.02</v>
      </c>
      <c r="AA141">
        <v>20</v>
      </c>
      <c r="AB141">
        <v>9</v>
      </c>
      <c r="AC141">
        <v>11</v>
      </c>
      <c r="AD141">
        <v>45</v>
      </c>
      <c r="AE141">
        <v>10</v>
      </c>
      <c r="AF141">
        <v>8</v>
      </c>
      <c r="AG141">
        <v>8</v>
      </c>
      <c r="AH141">
        <v>4</v>
      </c>
    </row>
    <row r="142" spans="1:34">
      <c r="A142" s="109">
        <v>27</v>
      </c>
      <c r="B142">
        <v>1928</v>
      </c>
      <c r="C142" s="113" t="s">
        <v>333</v>
      </c>
      <c r="D142" s="113" t="s">
        <v>103</v>
      </c>
      <c r="E142">
        <v>2392</v>
      </c>
      <c r="F142">
        <v>2402</v>
      </c>
      <c r="G142">
        <v>400</v>
      </c>
      <c r="H142" s="113" t="s">
        <v>85</v>
      </c>
      <c r="I142">
        <v>4613</v>
      </c>
      <c r="J142" s="113" t="s">
        <v>351</v>
      </c>
      <c r="K142" s="113" t="s">
        <v>86</v>
      </c>
      <c r="L142">
        <v>2792</v>
      </c>
      <c r="M142">
        <v>2805</v>
      </c>
      <c r="N142">
        <v>300</v>
      </c>
      <c r="O142" s="113" t="s">
        <v>87</v>
      </c>
      <c r="P142">
        <v>0.94388014062786996</v>
      </c>
      <c r="Q142">
        <v>0.94511914359744897</v>
      </c>
      <c r="R142">
        <v>3.4886452885656297E-2</v>
      </c>
      <c r="S142" s="20">
        <v>6.4793339825143306E-2</v>
      </c>
      <c r="T142">
        <v>-0.58321050228847904</v>
      </c>
      <c r="U142">
        <v>0.58321050228847904</v>
      </c>
      <c r="V142">
        <v>-1.06</v>
      </c>
      <c r="W142">
        <v>14.18</v>
      </c>
      <c r="X142">
        <v>-16022</v>
      </c>
      <c r="Y142">
        <v>-1232</v>
      </c>
      <c r="Z142">
        <v>-0.04</v>
      </c>
      <c r="AA142">
        <v>13</v>
      </c>
      <c r="AB142">
        <v>7</v>
      </c>
      <c r="AC142">
        <v>6</v>
      </c>
      <c r="AD142">
        <v>53.85</v>
      </c>
      <c r="AE142">
        <v>13</v>
      </c>
      <c r="AF142">
        <v>5</v>
      </c>
      <c r="AG142">
        <v>3</v>
      </c>
      <c r="AH142">
        <v>5</v>
      </c>
    </row>
    <row r="143" spans="1:34">
      <c r="A143" s="109">
        <v>72</v>
      </c>
      <c r="B143">
        <v>6457</v>
      </c>
      <c r="C143" s="113" t="s">
        <v>345</v>
      </c>
      <c r="D143" s="113" t="s">
        <v>124</v>
      </c>
      <c r="E143">
        <v>3350</v>
      </c>
      <c r="F143">
        <v>3355</v>
      </c>
      <c r="G143">
        <v>300</v>
      </c>
      <c r="H143" s="113" t="s">
        <v>85</v>
      </c>
      <c r="I143">
        <v>6845</v>
      </c>
      <c r="J143" s="113" t="s">
        <v>338</v>
      </c>
      <c r="K143" s="113" t="s">
        <v>112</v>
      </c>
      <c r="L143">
        <v>3205</v>
      </c>
      <c r="M143">
        <v>3205</v>
      </c>
      <c r="N143">
        <v>300</v>
      </c>
      <c r="O143" s="113" t="s">
        <v>87</v>
      </c>
      <c r="P143">
        <v>0.93691600186329804</v>
      </c>
      <c r="Q143">
        <v>0.92838993962955296</v>
      </c>
      <c r="R143">
        <v>2.3732936498526199E-2</v>
      </c>
      <c r="S143">
        <v>0.18847876417686801</v>
      </c>
      <c r="T143">
        <v>-0.60810654149977195</v>
      </c>
      <c r="U143">
        <v>0.60810654149977195</v>
      </c>
      <c r="V143">
        <v>-0.9</v>
      </c>
      <c r="W143">
        <v>4.47</v>
      </c>
      <c r="X143">
        <v>-22683</v>
      </c>
      <c r="Y143">
        <v>-2062</v>
      </c>
      <c r="Z143">
        <v>-0.06</v>
      </c>
      <c r="AA143">
        <v>11</v>
      </c>
      <c r="AB143">
        <v>6</v>
      </c>
      <c r="AC143">
        <v>5</v>
      </c>
      <c r="AD143">
        <v>54.55</v>
      </c>
      <c r="AE143">
        <v>15</v>
      </c>
      <c r="AF143">
        <v>2</v>
      </c>
      <c r="AG143">
        <v>1</v>
      </c>
      <c r="AH143">
        <v>8</v>
      </c>
    </row>
    <row r="144" spans="1:34">
      <c r="A144" s="109">
        <v>92</v>
      </c>
      <c r="B144">
        <v>4519</v>
      </c>
      <c r="C144" s="113" t="s">
        <v>988</v>
      </c>
      <c r="D144" s="113" t="s">
        <v>161</v>
      </c>
      <c r="E144">
        <v>9835</v>
      </c>
      <c r="F144">
        <v>9939</v>
      </c>
      <c r="G144">
        <v>100</v>
      </c>
      <c r="H144" s="113" t="s">
        <v>85</v>
      </c>
      <c r="I144">
        <v>6920</v>
      </c>
      <c r="J144" s="113" t="s">
        <v>111</v>
      </c>
      <c r="K144" s="113" t="s">
        <v>112</v>
      </c>
      <c r="L144">
        <v>9410</v>
      </c>
      <c r="M144">
        <v>9620</v>
      </c>
      <c r="N144">
        <v>100</v>
      </c>
      <c r="O144" s="113" t="s">
        <v>87</v>
      </c>
      <c r="P144">
        <v>0.91497560433230196</v>
      </c>
      <c r="Q144">
        <v>0.92093668253723604</v>
      </c>
      <c r="R144">
        <v>7.9101845006740001E-2</v>
      </c>
      <c r="S144">
        <v>4.9842764165355602E-2</v>
      </c>
      <c r="T144">
        <v>-1.28626396322713</v>
      </c>
      <c r="U144">
        <v>1.28626396322713</v>
      </c>
      <c r="V144">
        <v>-9.93</v>
      </c>
      <c r="W144">
        <v>3.21</v>
      </c>
      <c r="X144">
        <v>-24389</v>
      </c>
      <c r="Y144">
        <v>-2217</v>
      </c>
      <c r="Z144">
        <v>-0.19</v>
      </c>
      <c r="AA144">
        <v>11</v>
      </c>
      <c r="AB144">
        <v>6</v>
      </c>
      <c r="AC144">
        <v>5</v>
      </c>
      <c r="AD144">
        <v>54.55</v>
      </c>
      <c r="AE144">
        <v>8</v>
      </c>
      <c r="AF144">
        <v>6</v>
      </c>
      <c r="AG144">
        <v>5</v>
      </c>
      <c r="AH144">
        <v>0</v>
      </c>
    </row>
    <row r="145" spans="1:34">
      <c r="A145" s="109">
        <v>88</v>
      </c>
      <c r="B145">
        <v>2914</v>
      </c>
      <c r="C145" s="113" t="s">
        <v>121</v>
      </c>
      <c r="D145" s="113" t="s">
        <v>122</v>
      </c>
      <c r="E145">
        <v>2530</v>
      </c>
      <c r="F145">
        <v>2504</v>
      </c>
      <c r="G145">
        <v>300</v>
      </c>
      <c r="H145" s="113" t="s">
        <v>85</v>
      </c>
      <c r="I145">
        <v>4507</v>
      </c>
      <c r="J145" s="113" t="s">
        <v>1070</v>
      </c>
      <c r="K145" s="113" t="s">
        <v>161</v>
      </c>
      <c r="L145">
        <v>6428</v>
      </c>
      <c r="M145">
        <v>6481</v>
      </c>
      <c r="N145">
        <v>100</v>
      </c>
      <c r="O145" s="113" t="s">
        <v>87</v>
      </c>
      <c r="P145">
        <v>0.90813052249220205</v>
      </c>
      <c r="Q145">
        <v>0.92339698698482298</v>
      </c>
      <c r="R145" s="113">
        <v>1.8727711682587099E-2</v>
      </c>
      <c r="S145">
        <v>1.6316666348510701E-3</v>
      </c>
      <c r="T145">
        <v>-0.82515893673413998</v>
      </c>
      <c r="U145">
        <v>0.82515893673413998</v>
      </c>
      <c r="V145">
        <v>-1.4</v>
      </c>
      <c r="W145">
        <v>15.91</v>
      </c>
      <c r="X145">
        <v>-30523</v>
      </c>
      <c r="Y145">
        <v>-5087</v>
      </c>
      <c r="Z145">
        <v>-0.76</v>
      </c>
      <c r="AA145">
        <v>6</v>
      </c>
      <c r="AB145">
        <v>3</v>
      </c>
      <c r="AC145">
        <v>3</v>
      </c>
      <c r="AD145">
        <v>50</v>
      </c>
      <c r="AE145">
        <v>11</v>
      </c>
      <c r="AF145">
        <v>2</v>
      </c>
      <c r="AG145">
        <v>3</v>
      </c>
      <c r="AH145">
        <v>1</v>
      </c>
    </row>
    <row r="146" spans="1:34">
      <c r="A146" s="109">
        <v>157</v>
      </c>
      <c r="B146">
        <v>3635</v>
      </c>
      <c r="C146" s="113" t="s">
        <v>110</v>
      </c>
      <c r="D146" s="113" t="s">
        <v>104</v>
      </c>
      <c r="E146">
        <v>2647</v>
      </c>
      <c r="F146">
        <v>2693</v>
      </c>
      <c r="G146">
        <v>300</v>
      </c>
      <c r="H146" s="113" t="s">
        <v>85</v>
      </c>
      <c r="I146">
        <v>6951</v>
      </c>
      <c r="J146" s="113" t="s">
        <v>354</v>
      </c>
      <c r="K146" s="113" t="s">
        <v>112</v>
      </c>
      <c r="L146">
        <v>3130</v>
      </c>
      <c r="M146">
        <v>3135</v>
      </c>
      <c r="N146">
        <v>300</v>
      </c>
      <c r="O146" s="113" t="s">
        <v>87</v>
      </c>
      <c r="P146">
        <v>0.92958217344844096</v>
      </c>
      <c r="Q146">
        <v>0.90613746471066903</v>
      </c>
      <c r="R146">
        <v>8.4787878551645601E-2</v>
      </c>
      <c r="S146">
        <v>0.14204897670863501</v>
      </c>
      <c r="T146">
        <v>-0.64070142418115605</v>
      </c>
      <c r="U146">
        <v>0.64070142418115605</v>
      </c>
      <c r="V146">
        <v>-2.75</v>
      </c>
      <c r="W146">
        <v>14.1</v>
      </c>
      <c r="X146">
        <v>-35613</v>
      </c>
      <c r="Y146">
        <v>-2544</v>
      </c>
      <c r="Z146">
        <v>-0.08</v>
      </c>
      <c r="AA146">
        <v>14</v>
      </c>
      <c r="AB146">
        <v>6</v>
      </c>
      <c r="AC146">
        <v>8</v>
      </c>
      <c r="AD146">
        <v>42.86</v>
      </c>
      <c r="AE146">
        <v>11</v>
      </c>
      <c r="AF146">
        <v>4</v>
      </c>
      <c r="AG146">
        <v>5</v>
      </c>
      <c r="AH146">
        <v>5</v>
      </c>
    </row>
    <row r="147" spans="1:34">
      <c r="A147" s="109">
        <v>140</v>
      </c>
      <c r="B147">
        <v>7205</v>
      </c>
      <c r="C147" s="113" t="s">
        <v>142</v>
      </c>
      <c r="D147" s="113" t="s">
        <v>109</v>
      </c>
      <c r="E147">
        <v>1148</v>
      </c>
      <c r="F147">
        <v>1151</v>
      </c>
      <c r="G147">
        <v>900</v>
      </c>
      <c r="H147" s="113" t="s">
        <v>87</v>
      </c>
      <c r="I147">
        <v>8002</v>
      </c>
      <c r="J147" s="113" t="s">
        <v>55</v>
      </c>
      <c r="K147" s="113" t="s">
        <v>126</v>
      </c>
      <c r="L147">
        <v>835</v>
      </c>
      <c r="M147">
        <v>829.2</v>
      </c>
      <c r="N147">
        <v>1200</v>
      </c>
      <c r="O147" s="113" t="s">
        <v>85</v>
      </c>
      <c r="P147">
        <v>0.95428821095337601</v>
      </c>
      <c r="Q147">
        <v>0.90977708592634698</v>
      </c>
      <c r="R147">
        <v>6.2113784417519302E-2</v>
      </c>
      <c r="S147">
        <v>4.1090977667941897E-2</v>
      </c>
      <c r="T147">
        <v>2.1020716549140102</v>
      </c>
      <c r="U147">
        <v>2.1020716549140102</v>
      </c>
      <c r="V147">
        <v>7.64</v>
      </c>
      <c r="W147">
        <v>3.94</v>
      </c>
      <c r="X147">
        <v>-42476</v>
      </c>
      <c r="Y147">
        <v>-2655</v>
      </c>
      <c r="Z147">
        <v>-0.13</v>
      </c>
      <c r="AA147">
        <v>16</v>
      </c>
      <c r="AB147">
        <v>7</v>
      </c>
      <c r="AC147">
        <v>9</v>
      </c>
      <c r="AD147">
        <v>43.75</v>
      </c>
      <c r="AE147">
        <v>16</v>
      </c>
      <c r="AF147">
        <v>2</v>
      </c>
      <c r="AG147">
        <v>2</v>
      </c>
      <c r="AH147">
        <v>12</v>
      </c>
    </row>
    <row r="148" spans="1:34">
      <c r="A148" s="109">
        <v>28</v>
      </c>
      <c r="B148">
        <v>6457</v>
      </c>
      <c r="C148" s="113" t="s">
        <v>345</v>
      </c>
      <c r="D148" s="113" t="s">
        <v>124</v>
      </c>
      <c r="E148">
        <v>3350</v>
      </c>
      <c r="F148">
        <v>3355</v>
      </c>
      <c r="G148">
        <v>200</v>
      </c>
      <c r="H148" s="113" t="s">
        <v>87</v>
      </c>
      <c r="I148">
        <v>7203</v>
      </c>
      <c r="J148" s="113" t="s">
        <v>360</v>
      </c>
      <c r="K148" s="113" t="s">
        <v>109</v>
      </c>
      <c r="L148">
        <v>7702</v>
      </c>
      <c r="M148">
        <v>7650</v>
      </c>
      <c r="N148">
        <v>100</v>
      </c>
      <c r="O148" s="113" t="s">
        <v>85</v>
      </c>
      <c r="P148">
        <v>0.93408063097199201</v>
      </c>
      <c r="Q148">
        <v>0.94487979613036299</v>
      </c>
      <c r="R148">
        <v>2.8052714424317001E-2</v>
      </c>
      <c r="S148" s="20">
        <v>5.8541724270125502E-2</v>
      </c>
      <c r="T148">
        <v>2.0684694239344998</v>
      </c>
      <c r="U148">
        <v>2.0684694239344998</v>
      </c>
      <c r="V148">
        <v>3.67</v>
      </c>
      <c r="W148">
        <v>12.29</v>
      </c>
      <c r="X148">
        <v>-61118</v>
      </c>
      <c r="Y148">
        <v>-12224</v>
      </c>
      <c r="Z148">
        <v>-0.8</v>
      </c>
      <c r="AA148">
        <v>5</v>
      </c>
      <c r="AB148">
        <v>2</v>
      </c>
      <c r="AC148">
        <v>3</v>
      </c>
      <c r="AD148">
        <v>40</v>
      </c>
      <c r="AE148">
        <v>14</v>
      </c>
      <c r="AF148">
        <v>2</v>
      </c>
      <c r="AG148">
        <v>3</v>
      </c>
      <c r="AH148">
        <v>0</v>
      </c>
    </row>
    <row r="149" spans="1:34">
      <c r="A149" s="109">
        <v>34</v>
      </c>
      <c r="B149">
        <v>5802</v>
      </c>
      <c r="C149" s="113" t="s">
        <v>156</v>
      </c>
      <c r="D149" s="113" t="s">
        <v>157</v>
      </c>
      <c r="E149">
        <v>1652</v>
      </c>
      <c r="F149">
        <v>1650</v>
      </c>
      <c r="G149">
        <v>600</v>
      </c>
      <c r="H149" s="113" t="s">
        <v>87</v>
      </c>
      <c r="I149">
        <v>8002</v>
      </c>
      <c r="J149" s="113" t="s">
        <v>55</v>
      </c>
      <c r="K149" s="113" t="s">
        <v>126</v>
      </c>
      <c r="L149">
        <v>835</v>
      </c>
      <c r="M149">
        <v>829.2</v>
      </c>
      <c r="N149">
        <v>1200</v>
      </c>
      <c r="O149" s="113" t="s">
        <v>85</v>
      </c>
      <c r="P149">
        <v>0.94859482520664595</v>
      </c>
      <c r="Q149">
        <v>0.94282427446572004</v>
      </c>
      <c r="R149">
        <v>0.36279763274297</v>
      </c>
      <c r="S149">
        <v>1.3003366412563999E-2</v>
      </c>
      <c r="T149">
        <v>1.2074725286713499</v>
      </c>
      <c r="U149">
        <v>1.2074725286713499</v>
      </c>
      <c r="V149">
        <v>3.79</v>
      </c>
      <c r="W149">
        <v>0.51</v>
      </c>
      <c r="X149">
        <v>-65152</v>
      </c>
      <c r="Y149">
        <v>-4072</v>
      </c>
      <c r="Z149">
        <v>-0.19</v>
      </c>
      <c r="AA149">
        <v>16</v>
      </c>
      <c r="AB149">
        <v>7</v>
      </c>
      <c r="AC149">
        <v>9</v>
      </c>
      <c r="AD149">
        <v>43.75</v>
      </c>
      <c r="AE149">
        <v>15</v>
      </c>
      <c r="AF149">
        <v>3</v>
      </c>
      <c r="AG149">
        <v>2</v>
      </c>
      <c r="AH149">
        <v>11</v>
      </c>
    </row>
    <row r="150" spans="1:34">
      <c r="A150" s="109">
        <v>16</v>
      </c>
      <c r="B150">
        <v>6471</v>
      </c>
      <c r="C150" s="113" t="s">
        <v>163</v>
      </c>
      <c r="D150" s="113" t="s">
        <v>124</v>
      </c>
      <c r="E150">
        <v>1067</v>
      </c>
      <c r="F150">
        <v>1067</v>
      </c>
      <c r="G150">
        <v>1000</v>
      </c>
      <c r="H150" s="113" t="s">
        <v>87</v>
      </c>
      <c r="I150">
        <v>6472</v>
      </c>
      <c r="J150" s="113" t="s">
        <v>159</v>
      </c>
      <c r="K150" s="113" t="s">
        <v>124</v>
      </c>
      <c r="L150">
        <v>352</v>
      </c>
      <c r="M150">
        <v>351</v>
      </c>
      <c r="N150">
        <v>3000</v>
      </c>
      <c r="O150" s="113" t="s">
        <v>85</v>
      </c>
      <c r="P150">
        <v>0.92599450928585103</v>
      </c>
      <c r="Q150">
        <v>0.95165968613262097</v>
      </c>
      <c r="R150">
        <v>0.24049941016713799</v>
      </c>
      <c r="S150">
        <v>0.24414020058230901</v>
      </c>
      <c r="T150">
        <v>8.6672858029233704E-2</v>
      </c>
      <c r="U150">
        <v>8.6672858029233704E-2</v>
      </c>
      <c r="V150">
        <v>0.2</v>
      </c>
      <c r="W150">
        <v>1.31</v>
      </c>
      <c r="X150">
        <v>-68265</v>
      </c>
      <c r="Y150">
        <v>-4016</v>
      </c>
      <c r="Z150">
        <v>-0.21</v>
      </c>
      <c r="AA150">
        <v>17</v>
      </c>
      <c r="AB150">
        <v>8</v>
      </c>
      <c r="AC150">
        <v>9</v>
      </c>
      <c r="AD150">
        <v>47.06</v>
      </c>
      <c r="AE150">
        <v>17</v>
      </c>
      <c r="AF150">
        <v>2</v>
      </c>
      <c r="AG150">
        <v>3</v>
      </c>
      <c r="AH150">
        <v>12</v>
      </c>
    </row>
    <row r="151" spans="1:34">
      <c r="A151" s="109">
        <v>110</v>
      </c>
      <c r="B151">
        <v>6702</v>
      </c>
      <c r="C151" s="113" t="s">
        <v>363</v>
      </c>
      <c r="D151" s="113" t="s">
        <v>112</v>
      </c>
      <c r="E151">
        <v>10130</v>
      </c>
      <c r="F151">
        <v>10215</v>
      </c>
      <c r="G151">
        <v>100</v>
      </c>
      <c r="H151" s="113" t="s">
        <v>87</v>
      </c>
      <c r="I151">
        <v>9934</v>
      </c>
      <c r="J151" s="113" t="s">
        <v>984</v>
      </c>
      <c r="K151" s="113" t="s">
        <v>126</v>
      </c>
      <c r="L151">
        <v>2760</v>
      </c>
      <c r="M151">
        <v>2762</v>
      </c>
      <c r="N151">
        <v>400</v>
      </c>
      <c r="O151" s="113" t="s">
        <v>85</v>
      </c>
      <c r="P151">
        <v>0.92561283708228403</v>
      </c>
      <c r="Q151">
        <v>0.91659930653022703</v>
      </c>
      <c r="R151">
        <v>2.51928781620794E-2</v>
      </c>
      <c r="S151">
        <v>1.93592088123206E-3</v>
      </c>
      <c r="T151">
        <v>0.38550736832131</v>
      </c>
      <c r="U151">
        <v>0.38550736832131</v>
      </c>
      <c r="V151">
        <v>1.1200000000000001</v>
      </c>
      <c r="W151">
        <v>8.15</v>
      </c>
      <c r="X151">
        <v>-69216</v>
      </c>
      <c r="Y151">
        <v>-4072</v>
      </c>
      <c r="Z151">
        <v>-0.4</v>
      </c>
      <c r="AA151">
        <v>17</v>
      </c>
      <c r="AB151">
        <v>4</v>
      </c>
      <c r="AC151">
        <v>13</v>
      </c>
      <c r="AD151">
        <v>23.53</v>
      </c>
      <c r="AE151">
        <v>14</v>
      </c>
      <c r="AF151">
        <v>4</v>
      </c>
      <c r="AG151">
        <v>3</v>
      </c>
      <c r="AH151">
        <v>10</v>
      </c>
    </row>
    <row r="152" spans="1:34">
      <c r="A152" s="109">
        <v>111</v>
      </c>
      <c r="B152">
        <v>3231</v>
      </c>
      <c r="C152" s="113" t="s">
        <v>998</v>
      </c>
      <c r="D152" s="113" t="s">
        <v>139</v>
      </c>
      <c r="E152">
        <v>2678</v>
      </c>
      <c r="F152">
        <v>2690</v>
      </c>
      <c r="G152">
        <v>300</v>
      </c>
      <c r="H152" s="113" t="s">
        <v>85</v>
      </c>
      <c r="I152">
        <v>6951</v>
      </c>
      <c r="J152" s="113" t="s">
        <v>354</v>
      </c>
      <c r="K152" s="113" t="s">
        <v>112</v>
      </c>
      <c r="L152">
        <v>3130</v>
      </c>
      <c r="M152">
        <v>3135</v>
      </c>
      <c r="N152">
        <v>300</v>
      </c>
      <c r="O152" s="113" t="s">
        <v>87</v>
      </c>
      <c r="P152">
        <v>0.93765773695342702</v>
      </c>
      <c r="Q152">
        <v>0.91642967540513098</v>
      </c>
      <c r="R152" s="20">
        <v>6.7299159330366704E-2</v>
      </c>
      <c r="S152" s="20">
        <v>0.11204656929958599</v>
      </c>
      <c r="T152">
        <v>-1.13926319013486</v>
      </c>
      <c r="U152">
        <v>1.13926319013486</v>
      </c>
      <c r="V152">
        <v>-5.51</v>
      </c>
      <c r="W152">
        <v>14.19</v>
      </c>
      <c r="X152">
        <v>-74636</v>
      </c>
      <c r="Y152">
        <v>-4665</v>
      </c>
      <c r="Z152">
        <v>-0.19</v>
      </c>
      <c r="AA152">
        <v>16</v>
      </c>
      <c r="AB152">
        <v>9</v>
      </c>
      <c r="AC152">
        <v>7</v>
      </c>
      <c r="AD152">
        <v>56.25</v>
      </c>
      <c r="AE152">
        <v>8</v>
      </c>
      <c r="AF152">
        <v>7</v>
      </c>
      <c r="AG152">
        <v>6</v>
      </c>
      <c r="AH152">
        <v>3</v>
      </c>
    </row>
    <row r="153" spans="1:34">
      <c r="A153" s="109">
        <v>108</v>
      </c>
      <c r="B153">
        <v>6752</v>
      </c>
      <c r="C153" s="113" t="s">
        <v>130</v>
      </c>
      <c r="D153" s="113" t="s">
        <v>112</v>
      </c>
      <c r="E153">
        <v>1057.5</v>
      </c>
      <c r="F153">
        <v>1057.5</v>
      </c>
      <c r="G153">
        <v>1000</v>
      </c>
      <c r="H153" s="113" t="s">
        <v>87</v>
      </c>
      <c r="I153">
        <v>8795</v>
      </c>
      <c r="J153" s="113" t="s">
        <v>160</v>
      </c>
      <c r="K153" s="113" t="s">
        <v>135</v>
      </c>
      <c r="L153">
        <v>1362</v>
      </c>
      <c r="M153">
        <v>1362</v>
      </c>
      <c r="N153">
        <v>800</v>
      </c>
      <c r="O153" s="113" t="s">
        <v>85</v>
      </c>
      <c r="P153">
        <v>0.93019967614696597</v>
      </c>
      <c r="Q153">
        <v>0.91674214782104602</v>
      </c>
      <c r="R153" s="113">
        <v>2.76011425771567E-2</v>
      </c>
      <c r="S153" s="20">
        <v>2.4985988680619901E-2</v>
      </c>
      <c r="T153">
        <v>0.186079324604777</v>
      </c>
      <c r="U153">
        <v>0.186079324604777</v>
      </c>
      <c r="V153">
        <v>0.48</v>
      </c>
      <c r="W153">
        <v>2.95</v>
      </c>
      <c r="X153">
        <v>-86216</v>
      </c>
      <c r="Y153">
        <v>-5388</v>
      </c>
      <c r="Z153">
        <v>-0.22</v>
      </c>
      <c r="AA153">
        <v>16</v>
      </c>
      <c r="AB153">
        <v>6</v>
      </c>
      <c r="AC153">
        <v>10</v>
      </c>
      <c r="AD153">
        <v>37.5</v>
      </c>
      <c r="AE153">
        <v>14</v>
      </c>
      <c r="AF153">
        <v>4</v>
      </c>
      <c r="AG153">
        <v>5</v>
      </c>
      <c r="AH153">
        <v>7</v>
      </c>
    </row>
    <row r="154" spans="1:34">
      <c r="A154" s="109">
        <v>160</v>
      </c>
      <c r="B154">
        <v>1911</v>
      </c>
      <c r="C154" s="113" t="s">
        <v>128</v>
      </c>
      <c r="D154" s="113" t="s">
        <v>103</v>
      </c>
      <c r="E154">
        <v>1661</v>
      </c>
      <c r="F154">
        <v>1644</v>
      </c>
      <c r="G154">
        <v>700</v>
      </c>
      <c r="H154" s="113" t="s">
        <v>87</v>
      </c>
      <c r="I154">
        <v>4634</v>
      </c>
      <c r="J154" s="113" t="s">
        <v>165</v>
      </c>
      <c r="K154" s="113" t="s">
        <v>86</v>
      </c>
      <c r="L154">
        <v>2713</v>
      </c>
      <c r="M154">
        <v>2709</v>
      </c>
      <c r="N154">
        <v>400</v>
      </c>
      <c r="O154" s="113" t="s">
        <v>85</v>
      </c>
      <c r="P154">
        <v>0.93395561123146598</v>
      </c>
      <c r="Q154">
        <v>0.90551333384216404</v>
      </c>
      <c r="R154">
        <v>4.1168751648262898E-2</v>
      </c>
      <c r="S154" s="20">
        <v>0.17575330330414199</v>
      </c>
      <c r="T154">
        <v>1.6509462281118701</v>
      </c>
      <c r="U154">
        <v>1.6509462281118701</v>
      </c>
      <c r="V154">
        <v>2.79</v>
      </c>
      <c r="W154">
        <v>6.2</v>
      </c>
      <c r="X154">
        <v>-107878</v>
      </c>
      <c r="Y154">
        <v>-6742</v>
      </c>
      <c r="Z154">
        <v>-0.39</v>
      </c>
      <c r="AA154">
        <v>16</v>
      </c>
      <c r="AB154">
        <v>6</v>
      </c>
      <c r="AC154">
        <v>10</v>
      </c>
      <c r="AD154">
        <v>37.5</v>
      </c>
      <c r="AE154">
        <v>15</v>
      </c>
      <c r="AF154">
        <v>2</v>
      </c>
      <c r="AG154">
        <v>2</v>
      </c>
      <c r="AH154">
        <v>12</v>
      </c>
    </row>
    <row r="155" spans="1:34">
      <c r="A155" s="109">
        <v>168</v>
      </c>
      <c r="B155">
        <v>4202</v>
      </c>
      <c r="C155" s="113" t="s">
        <v>114</v>
      </c>
      <c r="D155" s="113" t="s">
        <v>86</v>
      </c>
      <c r="E155">
        <v>1091</v>
      </c>
      <c r="F155">
        <v>1087</v>
      </c>
      <c r="G155">
        <v>700</v>
      </c>
      <c r="H155" s="113" t="s">
        <v>87</v>
      </c>
      <c r="I155">
        <v>6371</v>
      </c>
      <c r="J155" s="113" t="s">
        <v>133</v>
      </c>
      <c r="K155" s="113" t="s">
        <v>124</v>
      </c>
      <c r="L155">
        <v>3910</v>
      </c>
      <c r="M155">
        <v>3900</v>
      </c>
      <c r="N155">
        <v>200</v>
      </c>
      <c r="O155" s="113" t="s">
        <v>85</v>
      </c>
      <c r="P155">
        <v>0.94073991783783895</v>
      </c>
      <c r="Q155">
        <v>0.90369741611661303</v>
      </c>
      <c r="R155">
        <v>0.194166805921511</v>
      </c>
      <c r="S155">
        <v>0.20027722933553499</v>
      </c>
      <c r="T155">
        <v>0.65461095121215396</v>
      </c>
      <c r="U155">
        <v>0.65461095121215396</v>
      </c>
      <c r="V155">
        <v>3.07</v>
      </c>
      <c r="W155">
        <v>2.4500000000000002</v>
      </c>
      <c r="X155">
        <v>-110166</v>
      </c>
      <c r="Y155">
        <v>-6885</v>
      </c>
      <c r="Z155">
        <v>-0.47</v>
      </c>
      <c r="AA155">
        <v>16</v>
      </c>
      <c r="AB155">
        <v>5</v>
      </c>
      <c r="AC155">
        <v>11</v>
      </c>
      <c r="AD155">
        <v>31.25</v>
      </c>
      <c r="AE155">
        <v>14</v>
      </c>
      <c r="AF155">
        <v>3</v>
      </c>
      <c r="AG155">
        <v>5</v>
      </c>
      <c r="AH155">
        <v>8</v>
      </c>
    </row>
    <row r="156" spans="1:34">
      <c r="A156" s="109">
        <v>106</v>
      </c>
      <c r="B156">
        <v>4204</v>
      </c>
      <c r="C156" s="113" t="s">
        <v>355</v>
      </c>
      <c r="D156" s="113" t="s">
        <v>86</v>
      </c>
      <c r="E156">
        <v>1909</v>
      </c>
      <c r="F156">
        <v>1912</v>
      </c>
      <c r="G156">
        <v>400</v>
      </c>
      <c r="H156" s="113" t="s">
        <v>85</v>
      </c>
      <c r="I156">
        <v>5947</v>
      </c>
      <c r="J156" s="113" t="s">
        <v>356</v>
      </c>
      <c r="K156" s="113" t="s">
        <v>141</v>
      </c>
      <c r="L156">
        <v>8460</v>
      </c>
      <c r="M156">
        <v>8500</v>
      </c>
      <c r="N156">
        <v>100</v>
      </c>
      <c r="O156" s="113" t="s">
        <v>87</v>
      </c>
      <c r="P156">
        <v>0.93185967573518202</v>
      </c>
      <c r="Q156">
        <v>0.91743131583706305</v>
      </c>
      <c r="R156">
        <v>9.6855889079867696E-2</v>
      </c>
      <c r="S156" s="20">
        <v>3.8048633613210802E-3</v>
      </c>
      <c r="T156">
        <v>-0.81011375996991597</v>
      </c>
      <c r="U156">
        <v>0.81011375996991597</v>
      </c>
      <c r="V156">
        <v>-1.96</v>
      </c>
      <c r="W156">
        <v>10.02</v>
      </c>
      <c r="X156">
        <v>-110401</v>
      </c>
      <c r="Y156">
        <v>-7886</v>
      </c>
      <c r="Z156">
        <v>-0.25</v>
      </c>
      <c r="AA156">
        <v>14</v>
      </c>
      <c r="AB156">
        <v>7</v>
      </c>
      <c r="AC156">
        <v>7</v>
      </c>
      <c r="AD156">
        <v>50</v>
      </c>
      <c r="AE156">
        <v>16</v>
      </c>
      <c r="AF156">
        <v>4</v>
      </c>
      <c r="AG156">
        <v>2</v>
      </c>
      <c r="AH156">
        <v>8</v>
      </c>
    </row>
    <row r="157" spans="1:34">
      <c r="A157" s="109">
        <v>81</v>
      </c>
      <c r="B157">
        <v>6702</v>
      </c>
      <c r="C157" s="113" t="s">
        <v>363</v>
      </c>
      <c r="D157" s="113" t="s">
        <v>112</v>
      </c>
      <c r="E157">
        <v>10130</v>
      </c>
      <c r="F157">
        <v>10215</v>
      </c>
      <c r="G157">
        <v>100</v>
      </c>
      <c r="H157" s="113" t="s">
        <v>87</v>
      </c>
      <c r="I157">
        <v>6845</v>
      </c>
      <c r="J157" s="113" t="s">
        <v>338</v>
      </c>
      <c r="K157" s="113" t="s">
        <v>112</v>
      </c>
      <c r="L157">
        <v>3205</v>
      </c>
      <c r="M157">
        <v>3205</v>
      </c>
      <c r="N157">
        <v>300</v>
      </c>
      <c r="O157" s="113" t="s">
        <v>85</v>
      </c>
      <c r="P157">
        <v>0.91686528847779203</v>
      </c>
      <c r="Q157">
        <v>0.92537946896861101</v>
      </c>
      <c r="R157" s="113">
        <v>0.13741414852637199</v>
      </c>
      <c r="S157">
        <v>2.4795524560781101E-2</v>
      </c>
      <c r="T157">
        <v>1.5647587430834899</v>
      </c>
      <c r="U157">
        <v>1.5647587430834899</v>
      </c>
      <c r="V157">
        <v>4.13</v>
      </c>
      <c r="W157">
        <v>5.87</v>
      </c>
      <c r="X157">
        <v>-115725</v>
      </c>
      <c r="Y157">
        <v>-9644</v>
      </c>
      <c r="Z157">
        <v>-0.71</v>
      </c>
      <c r="AA157">
        <v>12</v>
      </c>
      <c r="AB157">
        <v>5</v>
      </c>
      <c r="AC157">
        <v>7</v>
      </c>
      <c r="AD157">
        <v>41.67</v>
      </c>
      <c r="AE157">
        <v>13</v>
      </c>
      <c r="AF157">
        <v>4</v>
      </c>
      <c r="AG157">
        <v>3</v>
      </c>
      <c r="AH157">
        <v>5</v>
      </c>
    </row>
    <row r="158" spans="1:34">
      <c r="A158" s="109">
        <v>43</v>
      </c>
      <c r="B158">
        <v>4062</v>
      </c>
      <c r="C158" s="113" t="s">
        <v>357</v>
      </c>
      <c r="D158" s="113" t="s">
        <v>112</v>
      </c>
      <c r="E158">
        <v>2586</v>
      </c>
      <c r="F158">
        <v>2613</v>
      </c>
      <c r="G158">
        <v>400</v>
      </c>
      <c r="H158" s="113" t="s">
        <v>85</v>
      </c>
      <c r="I158">
        <v>6951</v>
      </c>
      <c r="J158" s="113" t="s">
        <v>354</v>
      </c>
      <c r="K158" s="113" t="s">
        <v>112</v>
      </c>
      <c r="L158">
        <v>3130</v>
      </c>
      <c r="M158">
        <v>3135</v>
      </c>
      <c r="N158">
        <v>300</v>
      </c>
      <c r="O158" s="113" t="s">
        <v>87</v>
      </c>
      <c r="P158">
        <v>0.94243697973015295</v>
      </c>
      <c r="Q158">
        <v>0.93834848191229303</v>
      </c>
      <c r="R158" s="20">
        <v>1.78021660771054E-2</v>
      </c>
      <c r="S158" s="20">
        <v>8.1018150429433E-2</v>
      </c>
      <c r="T158">
        <v>-0.80671155755947499</v>
      </c>
      <c r="U158">
        <v>0.80671155755947499</v>
      </c>
      <c r="V158">
        <v>-2.33</v>
      </c>
      <c r="W158">
        <v>11.13</v>
      </c>
      <c r="X158">
        <v>-118052</v>
      </c>
      <c r="Y158">
        <v>-7870</v>
      </c>
      <c r="Z158">
        <v>-0.41</v>
      </c>
      <c r="AA158">
        <v>15</v>
      </c>
      <c r="AB158">
        <v>7</v>
      </c>
      <c r="AC158">
        <v>8</v>
      </c>
      <c r="AD158">
        <v>46.67</v>
      </c>
      <c r="AE158">
        <v>12</v>
      </c>
      <c r="AF158">
        <v>5</v>
      </c>
      <c r="AG158">
        <v>6</v>
      </c>
      <c r="AH158">
        <v>4</v>
      </c>
    </row>
    <row r="159" spans="1:34">
      <c r="A159" s="109">
        <v>13</v>
      </c>
      <c r="B159">
        <v>9501</v>
      </c>
      <c r="C159" s="113" t="s">
        <v>1323</v>
      </c>
      <c r="D159" s="113" t="s">
        <v>149</v>
      </c>
      <c r="E159">
        <v>490</v>
      </c>
      <c r="F159">
        <v>478</v>
      </c>
      <c r="G159">
        <v>2200</v>
      </c>
      <c r="H159" s="113" t="s">
        <v>87</v>
      </c>
      <c r="I159">
        <v>9508</v>
      </c>
      <c r="J159" s="113" t="s">
        <v>1324</v>
      </c>
      <c r="K159" s="113" t="s">
        <v>149</v>
      </c>
      <c r="L159">
        <v>955</v>
      </c>
      <c r="M159">
        <v>935</v>
      </c>
      <c r="N159">
        <v>1100</v>
      </c>
      <c r="O159" s="113" t="s">
        <v>85</v>
      </c>
      <c r="P159">
        <v>0.91790315359049102</v>
      </c>
      <c r="Q159">
        <v>0.953609319031263</v>
      </c>
      <c r="R159">
        <v>0.137863362970118</v>
      </c>
      <c r="S159">
        <v>9.6941580068223093E-2</v>
      </c>
      <c r="T159">
        <v>0.91691768276157504</v>
      </c>
      <c r="U159">
        <v>0.91691768276157504</v>
      </c>
      <c r="V159">
        <v>2.3199999999999998</v>
      </c>
      <c r="W159">
        <v>2.25</v>
      </c>
      <c r="X159">
        <v>-124320</v>
      </c>
      <c r="Y159">
        <v>-9563</v>
      </c>
      <c r="Z159">
        <v>-0.48</v>
      </c>
      <c r="AA159">
        <v>13</v>
      </c>
      <c r="AB159">
        <v>5</v>
      </c>
      <c r="AC159">
        <v>8</v>
      </c>
      <c r="AD159">
        <v>38.46</v>
      </c>
      <c r="AE159">
        <v>14</v>
      </c>
      <c r="AF159">
        <v>3</v>
      </c>
      <c r="AG159">
        <v>4</v>
      </c>
      <c r="AH159">
        <v>6</v>
      </c>
    </row>
    <row r="160" spans="1:34">
      <c r="A160" s="109">
        <v>96</v>
      </c>
      <c r="B160">
        <v>7189</v>
      </c>
      <c r="C160" s="113" t="s">
        <v>106</v>
      </c>
      <c r="D160" s="113" t="s">
        <v>107</v>
      </c>
      <c r="E160">
        <v>884</v>
      </c>
      <c r="F160">
        <v>870</v>
      </c>
      <c r="G160">
        <v>1200</v>
      </c>
      <c r="H160" s="113" t="s">
        <v>87</v>
      </c>
      <c r="I160">
        <v>8377</v>
      </c>
      <c r="J160" s="113" t="s">
        <v>119</v>
      </c>
      <c r="K160" s="113" t="s">
        <v>107</v>
      </c>
      <c r="L160">
        <v>1145</v>
      </c>
      <c r="M160">
        <v>1138</v>
      </c>
      <c r="N160">
        <v>900</v>
      </c>
      <c r="O160" s="113" t="s">
        <v>85</v>
      </c>
      <c r="P160">
        <v>0.95533130399102195</v>
      </c>
      <c r="Q160">
        <v>0.91879680728023705</v>
      </c>
      <c r="R160">
        <v>0.18146364727400099</v>
      </c>
      <c r="S160" s="20">
        <v>0.27678721975105502</v>
      </c>
      <c r="T160">
        <v>1.10103504353</v>
      </c>
      <c r="U160">
        <v>1.10103504353</v>
      </c>
      <c r="V160">
        <v>4.66</v>
      </c>
      <c r="W160">
        <v>1.93</v>
      </c>
      <c r="X160">
        <v>-129434</v>
      </c>
      <c r="Y160">
        <v>-6812</v>
      </c>
      <c r="Z160">
        <v>-0.3</v>
      </c>
      <c r="AA160">
        <v>19</v>
      </c>
      <c r="AB160">
        <v>9</v>
      </c>
      <c r="AC160">
        <v>10</v>
      </c>
      <c r="AD160">
        <v>47.37</v>
      </c>
      <c r="AE160">
        <v>15</v>
      </c>
      <c r="AF160">
        <v>3</v>
      </c>
      <c r="AG160">
        <v>4</v>
      </c>
      <c r="AH160">
        <v>12</v>
      </c>
    </row>
    <row r="161" spans="1:34">
      <c r="A161" s="109">
        <v>162</v>
      </c>
      <c r="B161">
        <v>5333</v>
      </c>
      <c r="C161" s="113" t="s">
        <v>365</v>
      </c>
      <c r="D161" s="113" t="s">
        <v>131</v>
      </c>
      <c r="E161">
        <v>1900</v>
      </c>
      <c r="F161">
        <v>1896</v>
      </c>
      <c r="G161">
        <v>500</v>
      </c>
      <c r="H161" s="113" t="s">
        <v>85</v>
      </c>
      <c r="I161">
        <v>8253</v>
      </c>
      <c r="J161" s="113" t="s">
        <v>1317</v>
      </c>
      <c r="K161" s="113" t="s">
        <v>329</v>
      </c>
      <c r="L161">
        <v>1805</v>
      </c>
      <c r="M161">
        <v>1823</v>
      </c>
      <c r="N161">
        <v>500</v>
      </c>
      <c r="O161" s="113" t="s">
        <v>87</v>
      </c>
      <c r="P161">
        <v>0.91493249793271703</v>
      </c>
      <c r="Q161">
        <v>0.90545533492563002</v>
      </c>
      <c r="R161">
        <v>0.194708309969401</v>
      </c>
      <c r="S161">
        <v>3.6993905289603901E-3</v>
      </c>
      <c r="T161">
        <v>-0.69037248725826805</v>
      </c>
      <c r="U161">
        <v>0.69037248725826805</v>
      </c>
      <c r="V161">
        <v>-5.39</v>
      </c>
      <c r="W161">
        <v>3.85</v>
      </c>
      <c r="X161">
        <v>-129824</v>
      </c>
      <c r="Y161">
        <v>-7637</v>
      </c>
      <c r="Z161">
        <v>-0.39</v>
      </c>
      <c r="AA161">
        <v>17</v>
      </c>
      <c r="AB161">
        <v>7</v>
      </c>
      <c r="AC161">
        <v>10</v>
      </c>
      <c r="AD161">
        <v>41.18</v>
      </c>
      <c r="AE161">
        <v>13</v>
      </c>
      <c r="AF161">
        <v>4</v>
      </c>
      <c r="AG161">
        <v>6</v>
      </c>
      <c r="AH161">
        <v>7</v>
      </c>
    </row>
    <row r="162" spans="1:34">
      <c r="A162" s="109">
        <v>107</v>
      </c>
      <c r="B162">
        <v>1928</v>
      </c>
      <c r="C162" s="113" t="s">
        <v>333</v>
      </c>
      <c r="D162" s="113" t="s">
        <v>103</v>
      </c>
      <c r="E162">
        <v>2392</v>
      </c>
      <c r="F162">
        <v>2402</v>
      </c>
      <c r="G162">
        <v>400</v>
      </c>
      <c r="H162" s="113" t="s">
        <v>87</v>
      </c>
      <c r="I162">
        <v>2281</v>
      </c>
      <c r="J162" s="113" t="s">
        <v>1325</v>
      </c>
      <c r="K162" s="113" t="s">
        <v>122</v>
      </c>
      <c r="L162">
        <v>2607</v>
      </c>
      <c r="M162">
        <v>2593</v>
      </c>
      <c r="N162">
        <v>400</v>
      </c>
      <c r="O162" s="113" t="s">
        <v>85</v>
      </c>
      <c r="P162">
        <v>0.94648490361745097</v>
      </c>
      <c r="Q162">
        <v>0.91690173495027405</v>
      </c>
      <c r="R162" s="20">
        <v>5.71159575703616E-2</v>
      </c>
      <c r="S162">
        <v>0.100180885675138</v>
      </c>
      <c r="T162">
        <v>0.40556279476511398</v>
      </c>
      <c r="U162">
        <v>0.40556279476511398</v>
      </c>
      <c r="V162">
        <v>0.97</v>
      </c>
      <c r="W162">
        <v>7.37</v>
      </c>
      <c r="X162">
        <v>-134357</v>
      </c>
      <c r="Y162">
        <v>-7903</v>
      </c>
      <c r="Z162">
        <v>-0.27</v>
      </c>
      <c r="AA162">
        <v>17</v>
      </c>
      <c r="AB162">
        <v>8</v>
      </c>
      <c r="AC162">
        <v>9</v>
      </c>
      <c r="AD162">
        <v>47.06</v>
      </c>
      <c r="AE162">
        <v>12</v>
      </c>
      <c r="AF162">
        <v>7</v>
      </c>
      <c r="AG162">
        <v>5</v>
      </c>
      <c r="AH162">
        <v>5</v>
      </c>
    </row>
    <row r="163" spans="1:34">
      <c r="A163" s="109">
        <v>98</v>
      </c>
      <c r="B163">
        <v>3635</v>
      </c>
      <c r="C163" s="113" t="s">
        <v>110</v>
      </c>
      <c r="D163" s="113" t="s">
        <v>104</v>
      </c>
      <c r="E163">
        <v>2647</v>
      </c>
      <c r="F163">
        <v>2693</v>
      </c>
      <c r="G163">
        <v>300</v>
      </c>
      <c r="H163" s="113" t="s">
        <v>85</v>
      </c>
      <c r="I163">
        <v>6588</v>
      </c>
      <c r="J163" s="113" t="s">
        <v>989</v>
      </c>
      <c r="K163" s="113" t="s">
        <v>112</v>
      </c>
      <c r="L163">
        <v>4700</v>
      </c>
      <c r="M163">
        <v>4685</v>
      </c>
      <c r="N163">
        <v>200</v>
      </c>
      <c r="O163" s="113" t="s">
        <v>87</v>
      </c>
      <c r="P163">
        <v>0.96053778584626903</v>
      </c>
      <c r="Q163">
        <v>0.91872929389281499</v>
      </c>
      <c r="R163">
        <v>1.1272170444246899E-2</v>
      </c>
      <c r="S163" s="20">
        <v>0.13471438148397499</v>
      </c>
      <c r="T163">
        <v>-1.6209852822248101</v>
      </c>
      <c r="U163">
        <v>1.6209852822248101</v>
      </c>
      <c r="V163">
        <v>-14.3</v>
      </c>
      <c r="W163">
        <v>13.78</v>
      </c>
      <c r="X163">
        <v>-149155</v>
      </c>
      <c r="Y163">
        <v>-16573</v>
      </c>
      <c r="Z163">
        <v>-0.94</v>
      </c>
      <c r="AA163">
        <v>9</v>
      </c>
      <c r="AB163">
        <v>4</v>
      </c>
      <c r="AC163">
        <v>5</v>
      </c>
      <c r="AD163">
        <v>44.44</v>
      </c>
      <c r="AE163">
        <v>12</v>
      </c>
      <c r="AF163">
        <v>1</v>
      </c>
      <c r="AG163">
        <v>3</v>
      </c>
      <c r="AH163">
        <v>5</v>
      </c>
    </row>
    <row r="164" spans="1:34">
      <c r="A164" s="109">
        <v>64</v>
      </c>
      <c r="B164">
        <v>4182</v>
      </c>
      <c r="C164" s="113" t="s">
        <v>113</v>
      </c>
      <c r="D164" s="113" t="s">
        <v>86</v>
      </c>
      <c r="E164">
        <v>1696</v>
      </c>
      <c r="F164">
        <v>1677</v>
      </c>
      <c r="G164">
        <v>500</v>
      </c>
      <c r="H164" s="113" t="s">
        <v>87</v>
      </c>
      <c r="I164">
        <v>9072</v>
      </c>
      <c r="J164" s="113" t="s">
        <v>151</v>
      </c>
      <c r="K164" s="113" t="s">
        <v>144</v>
      </c>
      <c r="L164">
        <v>2751</v>
      </c>
      <c r="M164">
        <v>2752</v>
      </c>
      <c r="N164">
        <v>300</v>
      </c>
      <c r="O164" s="113" t="s">
        <v>85</v>
      </c>
      <c r="P164">
        <v>0.95304942370753598</v>
      </c>
      <c r="Q164">
        <v>0.931462700488493</v>
      </c>
      <c r="R164">
        <v>8.5585013246279908E-3</v>
      </c>
      <c r="S164">
        <v>1.08160284183756E-4</v>
      </c>
      <c r="T164">
        <v>0.88814281689109897</v>
      </c>
      <c r="U164">
        <v>0.88814281689109897</v>
      </c>
      <c r="V164">
        <v>4.51</v>
      </c>
      <c r="W164">
        <v>1.56</v>
      </c>
      <c r="X164">
        <v>-153106</v>
      </c>
      <c r="Y164">
        <v>-9006</v>
      </c>
      <c r="Z164">
        <v>-0.41</v>
      </c>
      <c r="AA164">
        <v>17</v>
      </c>
      <c r="AB164">
        <v>6</v>
      </c>
      <c r="AC164">
        <v>11</v>
      </c>
      <c r="AD164">
        <v>35.29</v>
      </c>
      <c r="AE164">
        <v>13</v>
      </c>
      <c r="AF164">
        <v>6</v>
      </c>
      <c r="AG164">
        <v>5</v>
      </c>
      <c r="AH164">
        <v>6</v>
      </c>
    </row>
    <row r="165" spans="1:34">
      <c r="A165" s="109">
        <v>148</v>
      </c>
      <c r="B165">
        <v>4519</v>
      </c>
      <c r="C165" s="113" t="s">
        <v>988</v>
      </c>
      <c r="D165" s="113" t="s">
        <v>161</v>
      </c>
      <c r="E165">
        <v>9835</v>
      </c>
      <c r="F165">
        <v>9939</v>
      </c>
      <c r="G165">
        <v>100</v>
      </c>
      <c r="H165" s="113" t="s">
        <v>87</v>
      </c>
      <c r="I165">
        <v>4613</v>
      </c>
      <c r="J165" s="113" t="s">
        <v>351</v>
      </c>
      <c r="K165" s="113" t="s">
        <v>86</v>
      </c>
      <c r="L165">
        <v>2792</v>
      </c>
      <c r="M165">
        <v>2805</v>
      </c>
      <c r="N165">
        <v>400</v>
      </c>
      <c r="O165" s="113" t="s">
        <v>85</v>
      </c>
      <c r="P165">
        <v>0.93860666454557795</v>
      </c>
      <c r="Q165">
        <v>0.90792139748094203</v>
      </c>
      <c r="R165">
        <v>9.39183196930862E-2</v>
      </c>
      <c r="S165">
        <v>7.2029806951719203E-3</v>
      </c>
      <c r="T165">
        <v>1.55284156986054</v>
      </c>
      <c r="U165">
        <v>1.55284156986054</v>
      </c>
      <c r="V165">
        <v>4.84</v>
      </c>
      <c r="W165">
        <v>12.89</v>
      </c>
      <c r="X165">
        <v>-169869</v>
      </c>
      <c r="Y165">
        <v>-14156</v>
      </c>
      <c r="Z165">
        <v>-0.56000000000000005</v>
      </c>
      <c r="AA165">
        <v>12</v>
      </c>
      <c r="AB165">
        <v>5</v>
      </c>
      <c r="AC165">
        <v>7</v>
      </c>
      <c r="AD165">
        <v>41.67</v>
      </c>
      <c r="AE165">
        <v>11</v>
      </c>
      <c r="AF165">
        <v>5</v>
      </c>
      <c r="AG165">
        <v>5</v>
      </c>
      <c r="AH165">
        <v>2</v>
      </c>
    </row>
    <row r="166" spans="1:34">
      <c r="A166" s="109">
        <v>33</v>
      </c>
      <c r="B166">
        <v>7267</v>
      </c>
      <c r="C166" s="113" t="s">
        <v>143</v>
      </c>
      <c r="D166" s="113" t="s">
        <v>109</v>
      </c>
      <c r="E166">
        <v>3141</v>
      </c>
      <c r="F166">
        <v>3135</v>
      </c>
      <c r="G166">
        <v>300</v>
      </c>
      <c r="H166" s="113" t="s">
        <v>85</v>
      </c>
      <c r="I166">
        <v>8002</v>
      </c>
      <c r="J166" s="113" t="s">
        <v>55</v>
      </c>
      <c r="K166" s="113" t="s">
        <v>126</v>
      </c>
      <c r="L166">
        <v>835</v>
      </c>
      <c r="M166">
        <v>829.2</v>
      </c>
      <c r="N166">
        <v>1100</v>
      </c>
      <c r="O166" s="113" t="s">
        <v>87</v>
      </c>
      <c r="P166">
        <v>0.95006371033588799</v>
      </c>
      <c r="Q166">
        <v>0.94299464774854203</v>
      </c>
      <c r="R166">
        <v>4.0471854695249103E-2</v>
      </c>
      <c r="S166">
        <v>3.3795818853735301E-4</v>
      </c>
      <c r="T166">
        <v>-0.94821771689766299</v>
      </c>
      <c r="U166">
        <v>0.94821771689766299</v>
      </c>
      <c r="V166">
        <v>-1.98</v>
      </c>
      <c r="W166">
        <v>3.02</v>
      </c>
      <c r="X166">
        <v>-183458</v>
      </c>
      <c r="Y166">
        <v>-12231</v>
      </c>
      <c r="Z166">
        <v>-0.72</v>
      </c>
      <c r="AA166">
        <v>15</v>
      </c>
      <c r="AB166">
        <v>6</v>
      </c>
      <c r="AC166">
        <v>9</v>
      </c>
      <c r="AD166">
        <v>40</v>
      </c>
      <c r="AE166">
        <v>16</v>
      </c>
      <c r="AF166">
        <v>0</v>
      </c>
      <c r="AG166">
        <v>3</v>
      </c>
      <c r="AH166">
        <v>12</v>
      </c>
    </row>
    <row r="167" spans="1:34">
      <c r="A167" s="109">
        <v>145</v>
      </c>
      <c r="B167">
        <v>4626</v>
      </c>
      <c r="C167" s="113" t="s">
        <v>982</v>
      </c>
      <c r="D167" s="113" t="s">
        <v>86</v>
      </c>
      <c r="E167">
        <v>4240</v>
      </c>
      <c r="F167">
        <v>4215</v>
      </c>
      <c r="G167">
        <v>200</v>
      </c>
      <c r="H167" s="113" t="s">
        <v>87</v>
      </c>
      <c r="I167">
        <v>5947</v>
      </c>
      <c r="J167" s="113" t="s">
        <v>356</v>
      </c>
      <c r="K167" s="113" t="s">
        <v>141</v>
      </c>
      <c r="L167">
        <v>8460</v>
      </c>
      <c r="M167">
        <v>8500</v>
      </c>
      <c r="N167">
        <v>100</v>
      </c>
      <c r="O167" s="113" t="s">
        <v>85</v>
      </c>
      <c r="P167">
        <v>0.95054152347992404</v>
      </c>
      <c r="Q167">
        <v>0.908260486210554</v>
      </c>
      <c r="R167">
        <v>3.8230799446929802E-2</v>
      </c>
      <c r="S167">
        <v>0.21907467890721799</v>
      </c>
      <c r="T167">
        <v>0.206447026917185</v>
      </c>
      <c r="U167">
        <v>0.206447026917185</v>
      </c>
      <c r="V167">
        <v>0.56000000000000005</v>
      </c>
      <c r="W167">
        <v>0.82</v>
      </c>
      <c r="X167">
        <v>-185019</v>
      </c>
      <c r="Y167">
        <v>-11564</v>
      </c>
      <c r="Z167">
        <v>-0.52</v>
      </c>
      <c r="AA167">
        <v>16</v>
      </c>
      <c r="AB167">
        <v>6</v>
      </c>
      <c r="AC167">
        <v>10</v>
      </c>
      <c r="AD167">
        <v>37.5</v>
      </c>
      <c r="AE167">
        <v>14</v>
      </c>
      <c r="AF167">
        <v>3</v>
      </c>
      <c r="AG167">
        <v>4</v>
      </c>
      <c r="AH167">
        <v>9</v>
      </c>
    </row>
    <row r="168" spans="1:34">
      <c r="A168" s="109">
        <v>67</v>
      </c>
      <c r="B168">
        <v>3038</v>
      </c>
      <c r="C168" s="113" t="s">
        <v>369</v>
      </c>
      <c r="D168" s="113" t="s">
        <v>126</v>
      </c>
      <c r="E168">
        <v>3445</v>
      </c>
      <c r="F168">
        <v>3580</v>
      </c>
      <c r="G168">
        <v>200</v>
      </c>
      <c r="H168" s="113" t="s">
        <v>87</v>
      </c>
      <c r="I168">
        <v>6098</v>
      </c>
      <c r="J168" s="113" t="s">
        <v>370</v>
      </c>
      <c r="K168" s="113" t="s">
        <v>145</v>
      </c>
      <c r="L168">
        <v>3965</v>
      </c>
      <c r="M168">
        <v>4010</v>
      </c>
      <c r="N168">
        <v>200</v>
      </c>
      <c r="O168" s="113" t="s">
        <v>85</v>
      </c>
      <c r="P168">
        <v>0.92991577827016902</v>
      </c>
      <c r="Q168">
        <v>0.92991587445883295</v>
      </c>
      <c r="R168">
        <v>0.19559332825945999</v>
      </c>
      <c r="S168">
        <v>7.4347591771817004E-2</v>
      </c>
      <c r="T168">
        <v>1.75054642976471</v>
      </c>
      <c r="U168">
        <v>1.75054642976471</v>
      </c>
      <c r="V168">
        <v>7.45</v>
      </c>
      <c r="W168">
        <v>10.72</v>
      </c>
      <c r="X168">
        <v>-187710</v>
      </c>
      <c r="Y168">
        <v>-8161</v>
      </c>
      <c r="Z168">
        <v>-0.37</v>
      </c>
      <c r="AA168">
        <v>23</v>
      </c>
      <c r="AB168">
        <v>11</v>
      </c>
      <c r="AC168">
        <v>12</v>
      </c>
      <c r="AD168">
        <v>47.83</v>
      </c>
      <c r="AE168">
        <v>10</v>
      </c>
      <c r="AF168">
        <v>10</v>
      </c>
      <c r="AG168">
        <v>12</v>
      </c>
      <c r="AH168">
        <v>1</v>
      </c>
    </row>
    <row r="169" spans="1:34">
      <c r="A169" s="109">
        <v>133</v>
      </c>
      <c r="B169">
        <v>5471</v>
      </c>
      <c r="C169" s="113" t="s">
        <v>334</v>
      </c>
      <c r="D169" s="113" t="s">
        <v>117</v>
      </c>
      <c r="E169">
        <v>4995</v>
      </c>
      <c r="F169">
        <v>4945</v>
      </c>
      <c r="G169">
        <v>200</v>
      </c>
      <c r="H169" s="113" t="s">
        <v>85</v>
      </c>
      <c r="I169">
        <v>6770</v>
      </c>
      <c r="J169" s="113" t="s">
        <v>50</v>
      </c>
      <c r="K169" s="113" t="s">
        <v>112</v>
      </c>
      <c r="L169">
        <v>2603</v>
      </c>
      <c r="M169">
        <v>2584</v>
      </c>
      <c r="N169">
        <v>400</v>
      </c>
      <c r="O169" s="113" t="s">
        <v>87</v>
      </c>
      <c r="P169">
        <v>0.90475850703573601</v>
      </c>
      <c r="Q169">
        <v>0.91064529851128095</v>
      </c>
      <c r="R169">
        <v>0.22439875737765499</v>
      </c>
      <c r="S169">
        <v>0.108923816793166</v>
      </c>
      <c r="T169">
        <v>-2.6199484316663</v>
      </c>
      <c r="U169">
        <v>2.6199484316663</v>
      </c>
      <c r="V169">
        <v>-10.24</v>
      </c>
      <c r="W169">
        <v>4.51</v>
      </c>
      <c r="X169">
        <v>-195697</v>
      </c>
      <c r="Y169">
        <v>-13978</v>
      </c>
      <c r="Z169">
        <v>-0.9</v>
      </c>
      <c r="AA169">
        <v>14</v>
      </c>
      <c r="AB169">
        <v>4</v>
      </c>
      <c r="AC169">
        <v>10</v>
      </c>
      <c r="AD169">
        <v>28.57</v>
      </c>
      <c r="AE169">
        <v>13</v>
      </c>
      <c r="AF169">
        <v>3</v>
      </c>
      <c r="AG169">
        <v>5</v>
      </c>
      <c r="AH169">
        <v>6</v>
      </c>
    </row>
    <row r="170" spans="1:34">
      <c r="A170" s="109">
        <v>154</v>
      </c>
      <c r="B170">
        <v>4183</v>
      </c>
      <c r="C170" s="113" t="s">
        <v>331</v>
      </c>
      <c r="D170" s="113" t="s">
        <v>86</v>
      </c>
      <c r="E170">
        <v>2669</v>
      </c>
      <c r="F170">
        <v>2671</v>
      </c>
      <c r="G170">
        <v>400</v>
      </c>
      <c r="H170" s="113" t="s">
        <v>87</v>
      </c>
      <c r="I170">
        <v>6473</v>
      </c>
      <c r="J170" s="113" t="s">
        <v>158</v>
      </c>
      <c r="K170" s="113" t="s">
        <v>124</v>
      </c>
      <c r="L170">
        <v>1360</v>
      </c>
      <c r="M170">
        <v>1353</v>
      </c>
      <c r="N170">
        <v>800</v>
      </c>
      <c r="O170" s="113" t="s">
        <v>85</v>
      </c>
      <c r="P170">
        <v>0.95864029963588804</v>
      </c>
      <c r="Q170">
        <v>0.90653324044261296</v>
      </c>
      <c r="R170" s="20">
        <v>2.22854230517904E-3</v>
      </c>
      <c r="S170">
        <v>5.8351191049354101E-2</v>
      </c>
      <c r="T170">
        <v>0.90507912198569995</v>
      </c>
      <c r="U170">
        <v>0.90507912198569995</v>
      </c>
      <c r="V170">
        <v>1.62</v>
      </c>
      <c r="W170">
        <v>1.31</v>
      </c>
      <c r="X170">
        <v>-201641</v>
      </c>
      <c r="Y170">
        <v>-11861</v>
      </c>
      <c r="Z170">
        <v>-0.67</v>
      </c>
      <c r="AA170">
        <v>17</v>
      </c>
      <c r="AB170">
        <v>5</v>
      </c>
      <c r="AC170">
        <v>12</v>
      </c>
      <c r="AD170">
        <v>29.41</v>
      </c>
      <c r="AE170">
        <v>15</v>
      </c>
      <c r="AF170">
        <v>4</v>
      </c>
      <c r="AG170">
        <v>5</v>
      </c>
      <c r="AH170">
        <v>8</v>
      </c>
    </row>
    <row r="171" spans="1:34">
      <c r="A171" s="109">
        <v>174</v>
      </c>
      <c r="B171">
        <v>4634</v>
      </c>
      <c r="C171" s="113" t="s">
        <v>165</v>
      </c>
      <c r="D171" s="113" t="s">
        <v>86</v>
      </c>
      <c r="E171">
        <v>2713</v>
      </c>
      <c r="F171">
        <v>2709</v>
      </c>
      <c r="G171">
        <v>400</v>
      </c>
      <c r="H171" s="113" t="s">
        <v>85</v>
      </c>
      <c r="I171">
        <v>5803</v>
      </c>
      <c r="J171" s="113" t="s">
        <v>52</v>
      </c>
      <c r="K171" s="113" t="s">
        <v>157</v>
      </c>
      <c r="L171">
        <v>478</v>
      </c>
      <c r="M171">
        <v>475</v>
      </c>
      <c r="N171">
        <v>2300</v>
      </c>
      <c r="O171" s="113" t="s">
        <v>87</v>
      </c>
      <c r="P171">
        <v>0.92369797813547305</v>
      </c>
      <c r="Q171">
        <v>0.90200039432289003</v>
      </c>
      <c r="R171">
        <v>0.102957908788184</v>
      </c>
      <c r="S171">
        <v>1.3081138548877999E-2</v>
      </c>
      <c r="T171">
        <v>-0.66885067713005597</v>
      </c>
      <c r="U171">
        <v>0.66885067713005597</v>
      </c>
      <c r="V171">
        <v>-3.73</v>
      </c>
      <c r="W171">
        <v>0.82</v>
      </c>
      <c r="X171">
        <v>-201900</v>
      </c>
      <c r="Y171">
        <v>-11876</v>
      </c>
      <c r="Z171">
        <v>-0.71</v>
      </c>
      <c r="AA171">
        <v>17</v>
      </c>
      <c r="AB171">
        <v>8</v>
      </c>
      <c r="AC171">
        <v>9</v>
      </c>
      <c r="AD171">
        <v>47.06</v>
      </c>
      <c r="AE171">
        <v>12</v>
      </c>
      <c r="AF171">
        <v>4</v>
      </c>
      <c r="AG171">
        <v>6</v>
      </c>
      <c r="AH171">
        <v>7</v>
      </c>
    </row>
    <row r="172" spans="1:34">
      <c r="A172" s="109">
        <v>5</v>
      </c>
      <c r="B172">
        <v>6951</v>
      </c>
      <c r="C172" s="113" t="s">
        <v>354</v>
      </c>
      <c r="D172" s="113" t="s">
        <v>112</v>
      </c>
      <c r="E172">
        <v>3130</v>
      </c>
      <c r="F172">
        <v>3135</v>
      </c>
      <c r="G172">
        <v>200</v>
      </c>
      <c r="H172" s="113" t="s">
        <v>87</v>
      </c>
      <c r="I172">
        <v>8036</v>
      </c>
      <c r="J172" s="113" t="s">
        <v>352</v>
      </c>
      <c r="K172" s="113" t="s">
        <v>126</v>
      </c>
      <c r="L172">
        <v>7500</v>
      </c>
      <c r="M172">
        <v>7440</v>
      </c>
      <c r="N172">
        <v>100</v>
      </c>
      <c r="O172" s="113" t="s">
        <v>85</v>
      </c>
      <c r="P172">
        <v>0.91648864996170898</v>
      </c>
      <c r="Q172">
        <v>0.96310756670187003</v>
      </c>
      <c r="R172">
        <v>0.23336474661076301</v>
      </c>
      <c r="S172">
        <v>2.6593853762540198E-2</v>
      </c>
      <c r="T172">
        <v>8.63042668773417E-3</v>
      </c>
      <c r="U172">
        <v>8.63042668773417E-3</v>
      </c>
      <c r="V172">
        <v>0.03</v>
      </c>
      <c r="W172">
        <v>15.73</v>
      </c>
      <c r="X172">
        <v>-220595</v>
      </c>
      <c r="Y172">
        <v>-11030</v>
      </c>
      <c r="Z172">
        <v>-0.46</v>
      </c>
      <c r="AA172">
        <v>20</v>
      </c>
      <c r="AB172">
        <v>9</v>
      </c>
      <c r="AC172">
        <v>11</v>
      </c>
      <c r="AD172">
        <v>45</v>
      </c>
      <c r="AE172">
        <v>10</v>
      </c>
      <c r="AF172">
        <v>8</v>
      </c>
      <c r="AG172">
        <v>8</v>
      </c>
      <c r="AH172">
        <v>4</v>
      </c>
    </row>
    <row r="173" spans="1:34">
      <c r="A173" s="109">
        <v>58</v>
      </c>
      <c r="B173">
        <v>3038</v>
      </c>
      <c r="C173" s="113" t="s">
        <v>369</v>
      </c>
      <c r="D173" s="113" t="s">
        <v>126</v>
      </c>
      <c r="E173">
        <v>3445</v>
      </c>
      <c r="F173">
        <v>3580</v>
      </c>
      <c r="G173">
        <v>200</v>
      </c>
      <c r="H173" s="113" t="s">
        <v>87</v>
      </c>
      <c r="I173">
        <v>8036</v>
      </c>
      <c r="J173" s="113" t="s">
        <v>352</v>
      </c>
      <c r="K173" s="113" t="s">
        <v>126</v>
      </c>
      <c r="L173">
        <v>7500</v>
      </c>
      <c r="M173">
        <v>7440</v>
      </c>
      <c r="N173">
        <v>100</v>
      </c>
      <c r="O173" s="113" t="s">
        <v>85</v>
      </c>
      <c r="P173">
        <v>0.903429864681638</v>
      </c>
      <c r="Q173">
        <v>0.93326384369940296</v>
      </c>
      <c r="R173">
        <v>0.32901275038366701</v>
      </c>
      <c r="S173">
        <v>0.158519408581167</v>
      </c>
      <c r="T173">
        <v>1.04798270266798</v>
      </c>
      <c r="U173">
        <v>1.04798270266798</v>
      </c>
      <c r="V173">
        <v>5.63</v>
      </c>
      <c r="W173">
        <v>3.76</v>
      </c>
      <c r="X173">
        <v>-242996</v>
      </c>
      <c r="Y173">
        <v>-13500</v>
      </c>
      <c r="Z173">
        <v>-0.93</v>
      </c>
      <c r="AA173">
        <v>18</v>
      </c>
      <c r="AB173">
        <v>6</v>
      </c>
      <c r="AC173">
        <v>12</v>
      </c>
      <c r="AD173">
        <v>33.33</v>
      </c>
      <c r="AE173">
        <v>8</v>
      </c>
      <c r="AF173">
        <v>6</v>
      </c>
      <c r="AG173">
        <v>8</v>
      </c>
      <c r="AH173">
        <v>4</v>
      </c>
    </row>
    <row r="174" spans="1:34">
      <c r="A174" s="109">
        <v>57</v>
      </c>
      <c r="B174">
        <v>2413</v>
      </c>
      <c r="C174" s="113" t="s">
        <v>1314</v>
      </c>
      <c r="D174" s="113" t="s">
        <v>145</v>
      </c>
      <c r="E174">
        <v>3075</v>
      </c>
      <c r="F174">
        <v>3085</v>
      </c>
      <c r="G174">
        <v>300</v>
      </c>
      <c r="H174" s="113" t="s">
        <v>85</v>
      </c>
      <c r="I174">
        <v>6920</v>
      </c>
      <c r="J174" s="113" t="s">
        <v>111</v>
      </c>
      <c r="K174" s="113" t="s">
        <v>112</v>
      </c>
      <c r="L174">
        <v>9410</v>
      </c>
      <c r="M174">
        <v>9620</v>
      </c>
      <c r="N174">
        <v>100</v>
      </c>
      <c r="O174" s="113" t="s">
        <v>87</v>
      </c>
      <c r="P174">
        <v>0.92195099515516599</v>
      </c>
      <c r="Q174">
        <v>0.93350686010250805</v>
      </c>
      <c r="R174">
        <v>0.106776286338714</v>
      </c>
      <c r="S174" s="20">
        <v>0.160483296849905</v>
      </c>
      <c r="T174">
        <v>-1.1642858432880501</v>
      </c>
      <c r="U174">
        <v>1.1642858432880501</v>
      </c>
      <c r="V174">
        <v>-9.3000000000000007</v>
      </c>
      <c r="W174">
        <v>3.79</v>
      </c>
      <c r="X174">
        <v>-245378</v>
      </c>
      <c r="Y174">
        <v>-16359</v>
      </c>
      <c r="Z174">
        <v>-0.61</v>
      </c>
      <c r="AA174">
        <v>15</v>
      </c>
      <c r="AB174">
        <v>8</v>
      </c>
      <c r="AC174">
        <v>7</v>
      </c>
      <c r="AD174">
        <v>53.33</v>
      </c>
      <c r="AE174">
        <v>9</v>
      </c>
      <c r="AF174">
        <v>7</v>
      </c>
      <c r="AG174">
        <v>6</v>
      </c>
      <c r="AH174">
        <v>2</v>
      </c>
    </row>
    <row r="175" spans="1:34">
      <c r="A175" s="109">
        <v>171</v>
      </c>
      <c r="B175">
        <v>6471</v>
      </c>
      <c r="C175" s="113" t="s">
        <v>163</v>
      </c>
      <c r="D175" s="113" t="s">
        <v>124</v>
      </c>
      <c r="E175">
        <v>1067</v>
      </c>
      <c r="F175">
        <v>1067</v>
      </c>
      <c r="G175">
        <v>600</v>
      </c>
      <c r="H175" s="113" t="s">
        <v>85</v>
      </c>
      <c r="I175">
        <v>6988</v>
      </c>
      <c r="J175" s="113" t="s">
        <v>164</v>
      </c>
      <c r="K175" s="113" t="s">
        <v>86</v>
      </c>
      <c r="L175">
        <v>6120</v>
      </c>
      <c r="M175">
        <v>6170</v>
      </c>
      <c r="N175">
        <v>100</v>
      </c>
      <c r="O175" s="113" t="s">
        <v>87</v>
      </c>
      <c r="P175">
        <v>0.96992726538624796</v>
      </c>
      <c r="Q175">
        <v>0.90282313244243795</v>
      </c>
      <c r="R175">
        <v>8.6967064200674307E-3</v>
      </c>
      <c r="S175" s="20">
        <v>0.184383745342341</v>
      </c>
      <c r="T175">
        <v>-0.43002195010523803</v>
      </c>
      <c r="U175">
        <v>0.43002195010523803</v>
      </c>
      <c r="V175">
        <v>-0.83</v>
      </c>
      <c r="W175">
        <v>3.76</v>
      </c>
      <c r="X175">
        <v>-260430</v>
      </c>
      <c r="Y175">
        <v>-14468</v>
      </c>
      <c r="Z175">
        <v>-0.98</v>
      </c>
      <c r="AA175">
        <v>18</v>
      </c>
      <c r="AB175">
        <v>5</v>
      </c>
      <c r="AC175">
        <v>13</v>
      </c>
      <c r="AD175">
        <v>27.78</v>
      </c>
      <c r="AE175">
        <v>14</v>
      </c>
      <c r="AF175">
        <v>3</v>
      </c>
      <c r="AG175">
        <v>4</v>
      </c>
      <c r="AH175">
        <v>11</v>
      </c>
    </row>
    <row r="176" spans="1:34">
      <c r="A176" s="109">
        <v>118</v>
      </c>
      <c r="B176">
        <v>5110</v>
      </c>
      <c r="C176" s="113" t="s">
        <v>153</v>
      </c>
      <c r="D176" s="113" t="s">
        <v>154</v>
      </c>
      <c r="E176">
        <v>1410</v>
      </c>
      <c r="F176">
        <v>1420</v>
      </c>
      <c r="G176">
        <v>700</v>
      </c>
      <c r="H176" s="113" t="s">
        <v>85</v>
      </c>
      <c r="I176">
        <v>5803</v>
      </c>
      <c r="J176" s="113" t="s">
        <v>52</v>
      </c>
      <c r="K176" s="113" t="s">
        <v>157</v>
      </c>
      <c r="L176">
        <v>478</v>
      </c>
      <c r="M176">
        <v>475</v>
      </c>
      <c r="N176">
        <v>2100</v>
      </c>
      <c r="O176" s="113" t="s">
        <v>87</v>
      </c>
      <c r="P176">
        <v>0.93520729321112195</v>
      </c>
      <c r="Q176">
        <v>0.91562493390259903</v>
      </c>
      <c r="R176">
        <v>4.2576300068228302E-2</v>
      </c>
      <c r="S176">
        <v>3.7408656605445699E-2</v>
      </c>
      <c r="T176">
        <v>-0.63828805515683995</v>
      </c>
      <c r="U176">
        <v>0.63828805515683995</v>
      </c>
      <c r="V176">
        <v>-4.58</v>
      </c>
      <c r="W176">
        <v>0.35</v>
      </c>
      <c r="X176">
        <v>-308037</v>
      </c>
      <c r="Y176">
        <v>-17113</v>
      </c>
      <c r="Z176">
        <v>-0.84</v>
      </c>
      <c r="AA176">
        <v>18</v>
      </c>
      <c r="AB176">
        <v>6</v>
      </c>
      <c r="AC176">
        <v>12</v>
      </c>
      <c r="AD176">
        <v>33.33</v>
      </c>
      <c r="AE176">
        <v>12</v>
      </c>
      <c r="AF176">
        <v>5</v>
      </c>
      <c r="AG176">
        <v>6</v>
      </c>
      <c r="AH176">
        <v>7</v>
      </c>
    </row>
    <row r="177" spans="1:34">
      <c r="A177" s="109">
        <v>158</v>
      </c>
      <c r="B177">
        <v>4686</v>
      </c>
      <c r="C177" s="113" t="s">
        <v>1315</v>
      </c>
      <c r="D177" s="113" t="s">
        <v>104</v>
      </c>
      <c r="E177">
        <v>5820</v>
      </c>
      <c r="F177">
        <v>6050</v>
      </c>
      <c r="G177">
        <v>200</v>
      </c>
      <c r="H177" s="113" t="s">
        <v>87</v>
      </c>
      <c r="I177">
        <v>6702</v>
      </c>
      <c r="J177" s="113" t="s">
        <v>363</v>
      </c>
      <c r="K177" s="113" t="s">
        <v>112</v>
      </c>
      <c r="L177">
        <v>10130</v>
      </c>
      <c r="M177">
        <v>10215</v>
      </c>
      <c r="N177">
        <v>100</v>
      </c>
      <c r="O177" s="113" t="s">
        <v>85</v>
      </c>
      <c r="P177">
        <v>0.93468716474810298</v>
      </c>
      <c r="Q177">
        <v>0.90611664635476297</v>
      </c>
      <c r="R177">
        <v>1.19595612709605E-3</v>
      </c>
      <c r="S177">
        <v>0.156469388993692</v>
      </c>
      <c r="T177">
        <v>1.8607156953016499</v>
      </c>
      <c r="U177">
        <v>1.8607156953016499</v>
      </c>
      <c r="V177">
        <v>15.73</v>
      </c>
      <c r="W177">
        <v>18.45</v>
      </c>
      <c r="X177">
        <v>-319315</v>
      </c>
      <c r="Y177">
        <v>-21288</v>
      </c>
      <c r="Z177">
        <v>-1.34</v>
      </c>
      <c r="AA177">
        <v>15</v>
      </c>
      <c r="AB177">
        <v>6</v>
      </c>
      <c r="AC177">
        <v>9</v>
      </c>
      <c r="AD177">
        <v>40</v>
      </c>
      <c r="AE177">
        <v>11</v>
      </c>
      <c r="AF177">
        <v>5</v>
      </c>
      <c r="AG177">
        <v>8</v>
      </c>
      <c r="AH177">
        <v>2</v>
      </c>
    </row>
    <row r="178" spans="1:34">
      <c r="A178" s="109">
        <v>77</v>
      </c>
      <c r="B178">
        <v>1824</v>
      </c>
      <c r="C178" s="113" t="s">
        <v>343</v>
      </c>
      <c r="D178" s="113" t="s">
        <v>103</v>
      </c>
      <c r="E178">
        <v>1060</v>
      </c>
      <c r="F178">
        <v>1054</v>
      </c>
      <c r="G178">
        <v>1000</v>
      </c>
      <c r="H178" s="113" t="s">
        <v>85</v>
      </c>
      <c r="I178">
        <v>1860</v>
      </c>
      <c r="J178" s="113" t="s">
        <v>136</v>
      </c>
      <c r="K178" s="113" t="s">
        <v>103</v>
      </c>
      <c r="L178">
        <v>724</v>
      </c>
      <c r="M178">
        <v>722</v>
      </c>
      <c r="N178">
        <v>1500</v>
      </c>
      <c r="O178" s="113" t="s">
        <v>87</v>
      </c>
      <c r="P178">
        <v>0.93040952753594497</v>
      </c>
      <c r="Q178">
        <v>0.92652145975615197</v>
      </c>
      <c r="R178">
        <v>0.28270442216663</v>
      </c>
      <c r="S178">
        <v>4.8472421198781902E-2</v>
      </c>
      <c r="T178">
        <v>-0.98029482931315104</v>
      </c>
      <c r="U178">
        <v>0.98029482931315104</v>
      </c>
      <c r="V178">
        <v>-1.91</v>
      </c>
      <c r="W178">
        <v>2.75</v>
      </c>
      <c r="X178">
        <v>-347677</v>
      </c>
      <c r="Y178">
        <v>-18299</v>
      </c>
      <c r="Z178">
        <v>-0.89</v>
      </c>
      <c r="AA178">
        <v>19</v>
      </c>
      <c r="AB178">
        <v>7</v>
      </c>
      <c r="AC178">
        <v>12</v>
      </c>
      <c r="AD178">
        <v>36.840000000000003</v>
      </c>
      <c r="AE178">
        <v>12</v>
      </c>
      <c r="AF178">
        <v>3</v>
      </c>
      <c r="AG178">
        <v>8</v>
      </c>
      <c r="AH178">
        <v>8</v>
      </c>
    </row>
    <row r="179" spans="1:34">
      <c r="A179" s="109">
        <v>76</v>
      </c>
      <c r="B179">
        <v>6588</v>
      </c>
      <c r="C179" s="113" t="s">
        <v>989</v>
      </c>
      <c r="D179" s="113" t="s">
        <v>112</v>
      </c>
      <c r="E179">
        <v>4700</v>
      </c>
      <c r="F179">
        <v>4685</v>
      </c>
      <c r="G179">
        <v>200</v>
      </c>
      <c r="H179" s="113" t="s">
        <v>87</v>
      </c>
      <c r="I179">
        <v>6920</v>
      </c>
      <c r="J179" s="113" t="s">
        <v>111</v>
      </c>
      <c r="K179" s="113" t="s">
        <v>112</v>
      </c>
      <c r="L179">
        <v>9410</v>
      </c>
      <c r="M179">
        <v>9620</v>
      </c>
      <c r="N179">
        <v>100</v>
      </c>
      <c r="O179" s="113" t="s">
        <v>85</v>
      </c>
      <c r="P179">
        <v>0.95786199072784906</v>
      </c>
      <c r="Q179">
        <v>0.92656485827025703</v>
      </c>
      <c r="R179">
        <v>0.103427178120305</v>
      </c>
      <c r="S179">
        <v>0.196280610557415</v>
      </c>
      <c r="T179">
        <v>3.8864240326045699E-2</v>
      </c>
      <c r="U179">
        <v>3.8864240326045699E-2</v>
      </c>
      <c r="V179">
        <v>0.17</v>
      </c>
      <c r="W179">
        <v>2.6</v>
      </c>
      <c r="X179">
        <v>-349103</v>
      </c>
      <c r="Y179">
        <v>-21819</v>
      </c>
      <c r="Z179">
        <v>-1.37</v>
      </c>
      <c r="AA179">
        <v>16</v>
      </c>
      <c r="AB179">
        <v>5</v>
      </c>
      <c r="AC179">
        <v>11</v>
      </c>
      <c r="AD179">
        <v>31.25</v>
      </c>
      <c r="AE179">
        <v>9</v>
      </c>
      <c r="AF179">
        <v>3</v>
      </c>
      <c r="AG179">
        <v>10</v>
      </c>
      <c r="AH179">
        <v>3</v>
      </c>
    </row>
    <row r="180" spans="1:34">
      <c r="A180" s="109">
        <v>152</v>
      </c>
      <c r="B180">
        <v>3635</v>
      </c>
      <c r="C180" s="113" t="s">
        <v>110</v>
      </c>
      <c r="D180" s="113" t="s">
        <v>104</v>
      </c>
      <c r="E180">
        <v>2647</v>
      </c>
      <c r="F180">
        <v>2693</v>
      </c>
      <c r="G180">
        <v>200</v>
      </c>
      <c r="H180" s="113" t="s">
        <v>85</v>
      </c>
      <c r="I180">
        <v>4686</v>
      </c>
      <c r="J180" s="113" t="s">
        <v>1315</v>
      </c>
      <c r="K180" s="113" t="s">
        <v>104</v>
      </c>
      <c r="L180">
        <v>5820</v>
      </c>
      <c r="M180">
        <v>6050</v>
      </c>
      <c r="N180">
        <v>100</v>
      </c>
      <c r="O180" s="113" t="s">
        <v>87</v>
      </c>
      <c r="P180">
        <v>0.91384435831049904</v>
      </c>
      <c r="Q180">
        <v>0.90745929764057798</v>
      </c>
      <c r="R180">
        <v>0.265381870831776</v>
      </c>
      <c r="S180">
        <v>0.130222656243763</v>
      </c>
      <c r="T180">
        <v>-1.6437984408436901</v>
      </c>
      <c r="U180">
        <v>1.6437984408436901</v>
      </c>
      <c r="V180">
        <v>-20.3</v>
      </c>
      <c r="W180">
        <v>10.98</v>
      </c>
      <c r="X180">
        <v>-359580</v>
      </c>
      <c r="Y180">
        <v>-17123</v>
      </c>
      <c r="Z180">
        <v>-0.72</v>
      </c>
      <c r="AA180">
        <v>21</v>
      </c>
      <c r="AB180">
        <v>10</v>
      </c>
      <c r="AC180">
        <v>11</v>
      </c>
      <c r="AD180">
        <v>47.62</v>
      </c>
      <c r="AE180">
        <v>10</v>
      </c>
      <c r="AF180">
        <v>8</v>
      </c>
      <c r="AG180">
        <v>8</v>
      </c>
      <c r="AH180">
        <v>5</v>
      </c>
    </row>
    <row r="181" spans="1:34">
      <c r="C181" s="113"/>
      <c r="D181" s="113"/>
      <c r="H181" s="113"/>
      <c r="J181" s="113"/>
      <c r="K181" s="113"/>
      <c r="O181" s="113"/>
      <c r="S181" s="20"/>
    </row>
    <row r="182" spans="1:34">
      <c r="C182" s="113"/>
      <c r="D182" s="113"/>
      <c r="H182" s="113"/>
      <c r="J182" s="113"/>
      <c r="K182" s="113"/>
      <c r="O182" s="113"/>
      <c r="R182" s="20"/>
    </row>
    <row r="183" spans="1:34">
      <c r="C183" s="113"/>
      <c r="D183" s="113"/>
      <c r="H183" s="113"/>
      <c r="J183" s="113"/>
      <c r="K183" s="113"/>
      <c r="O183" s="113"/>
    </row>
    <row r="184" spans="1:34">
      <c r="C184" s="113"/>
      <c r="D184" s="113"/>
      <c r="H184" s="113"/>
      <c r="J184" s="113"/>
      <c r="K184" s="113"/>
      <c r="O184" s="113"/>
      <c r="R184" s="20"/>
    </row>
    <row r="185" spans="1:34">
      <c r="C185" s="113"/>
      <c r="D185" s="113"/>
      <c r="H185" s="113"/>
      <c r="J185" s="113"/>
      <c r="K185" s="113"/>
      <c r="O185" s="113"/>
    </row>
    <row r="186" spans="1:34">
      <c r="C186" s="113"/>
      <c r="D186" s="113"/>
      <c r="H186" s="113"/>
      <c r="J186" s="113"/>
      <c r="K186" s="113"/>
      <c r="O186" s="113"/>
    </row>
    <row r="187" spans="1:34">
      <c r="C187" s="113"/>
      <c r="D187" s="113"/>
      <c r="H187" s="113"/>
      <c r="J187" s="113"/>
      <c r="K187" s="113"/>
      <c r="O187" s="113"/>
    </row>
    <row r="188" spans="1:34">
      <c r="C188" s="113"/>
      <c r="D188" s="113"/>
      <c r="H188" s="113"/>
      <c r="J188" s="113"/>
      <c r="K188" s="113"/>
      <c r="O188" s="113"/>
    </row>
    <row r="189" spans="1:34">
      <c r="C189" s="113"/>
      <c r="D189" s="113"/>
      <c r="H189" s="113"/>
      <c r="J189" s="113"/>
      <c r="K189" s="113"/>
      <c r="O189" s="113"/>
    </row>
    <row r="190" spans="1:34">
      <c r="C190" s="113"/>
      <c r="D190" s="113"/>
      <c r="H190" s="113"/>
      <c r="J190" s="113"/>
      <c r="K190" s="113"/>
      <c r="O190" s="113"/>
      <c r="S190" s="20"/>
    </row>
    <row r="191" spans="1:34">
      <c r="C191" s="113"/>
      <c r="D191" s="113"/>
      <c r="H191" s="113"/>
      <c r="J191" s="113"/>
      <c r="K191" s="113"/>
      <c r="O191" s="113"/>
      <c r="S191" s="20"/>
    </row>
    <row r="192" spans="1:34">
      <c r="C192" s="113"/>
      <c r="D192" s="113"/>
      <c r="H192" s="113"/>
      <c r="J192" s="113"/>
      <c r="K192" s="113"/>
      <c r="O192" s="113"/>
    </row>
    <row r="193" spans="3:19">
      <c r="C193" s="113"/>
      <c r="D193" s="113"/>
      <c r="H193" s="113"/>
      <c r="J193" s="113"/>
      <c r="K193" s="113"/>
      <c r="O193" s="113"/>
    </row>
    <row r="194" spans="3:19">
      <c r="C194" s="113"/>
      <c r="D194" s="113"/>
      <c r="H194" s="113"/>
      <c r="J194" s="113"/>
      <c r="K194" s="113"/>
      <c r="O194" s="113"/>
    </row>
    <row r="195" spans="3:19">
      <c r="C195" s="113"/>
      <c r="D195" s="113"/>
      <c r="H195" s="113"/>
      <c r="J195" s="113"/>
      <c r="K195" s="113"/>
      <c r="O195" s="113"/>
    </row>
    <row r="196" spans="3:19">
      <c r="C196" s="113"/>
      <c r="D196" s="113"/>
      <c r="H196" s="113"/>
      <c r="J196" s="113"/>
      <c r="K196" s="113"/>
      <c r="O196" s="113"/>
    </row>
    <row r="197" spans="3:19">
      <c r="C197" s="113"/>
      <c r="D197" s="113"/>
      <c r="H197" s="113"/>
      <c r="J197" s="113"/>
      <c r="K197" s="113"/>
      <c r="O197" s="113"/>
      <c r="R197" s="20"/>
      <c r="S197" s="20"/>
    </row>
    <row r="198" spans="3:19">
      <c r="C198" s="113"/>
      <c r="D198" s="113"/>
      <c r="H198" s="113"/>
      <c r="J198" s="113"/>
      <c r="K198" s="113"/>
      <c r="O198" s="113"/>
    </row>
    <row r="199" spans="3:19">
      <c r="C199" s="113"/>
      <c r="D199" s="113"/>
      <c r="H199" s="113"/>
      <c r="J199" s="113"/>
      <c r="K199" s="113"/>
      <c r="O199" s="113"/>
    </row>
    <row r="200" spans="3:19">
      <c r="C200" s="113"/>
      <c r="D200" s="113"/>
      <c r="H200" s="113"/>
      <c r="J200" s="113"/>
      <c r="K200" s="113"/>
      <c r="O200" s="113"/>
    </row>
    <row r="201" spans="3:19">
      <c r="C201" s="113"/>
      <c r="D201" s="113"/>
      <c r="H201" s="113"/>
      <c r="J201" s="113"/>
      <c r="K201" s="113"/>
      <c r="O201" s="113"/>
    </row>
    <row r="202" spans="3:19">
      <c r="C202" s="113"/>
      <c r="D202" s="113"/>
      <c r="H202" s="113"/>
      <c r="J202" s="113"/>
      <c r="K202" s="113"/>
      <c r="O202" s="113"/>
    </row>
    <row r="203" spans="3:19">
      <c r="C203" s="113"/>
      <c r="D203" s="113"/>
      <c r="H203" s="113"/>
      <c r="J203" s="113"/>
      <c r="K203" s="113"/>
      <c r="O203" s="113"/>
    </row>
    <row r="204" spans="3:19">
      <c r="C204" s="113"/>
      <c r="D204" s="113"/>
      <c r="H204" s="113"/>
      <c r="J204" s="113"/>
      <c r="K204" s="113"/>
      <c r="O204" s="113"/>
    </row>
    <row r="205" spans="3:19">
      <c r="C205" s="113"/>
      <c r="D205" s="113"/>
      <c r="H205" s="113"/>
      <c r="J205" s="113"/>
      <c r="K205" s="113"/>
      <c r="O205" s="113"/>
    </row>
    <row r="206" spans="3:19">
      <c r="C206" s="113"/>
      <c r="D206" s="113"/>
      <c r="H206" s="113"/>
      <c r="J206" s="113"/>
      <c r="K206" s="113"/>
      <c r="O206" s="113"/>
      <c r="R206" s="20"/>
    </row>
    <row r="207" spans="3:19">
      <c r="C207" s="113"/>
      <c r="D207" s="113"/>
      <c r="H207" s="113"/>
      <c r="J207" s="113"/>
      <c r="K207" s="113"/>
      <c r="O207" s="113"/>
    </row>
    <row r="208" spans="3:19">
      <c r="C208" s="113"/>
      <c r="D208" s="113"/>
      <c r="H208" s="113"/>
      <c r="J208" s="113"/>
      <c r="K208" s="113"/>
      <c r="O208" s="113"/>
    </row>
    <row r="209" spans="3:19">
      <c r="C209" s="113"/>
      <c r="D209" s="113"/>
      <c r="H209" s="113"/>
      <c r="J209" s="113"/>
      <c r="K209" s="113"/>
      <c r="O209" s="113"/>
    </row>
    <row r="210" spans="3:19">
      <c r="C210" s="113"/>
      <c r="D210" s="113"/>
      <c r="H210" s="113"/>
      <c r="J210" s="113"/>
      <c r="K210" s="113"/>
      <c r="O210" s="113"/>
    </row>
    <row r="211" spans="3:19">
      <c r="C211" s="113"/>
      <c r="D211" s="113"/>
      <c r="H211" s="113"/>
      <c r="J211" s="113"/>
      <c r="K211" s="113"/>
      <c r="O211" s="113"/>
    </row>
    <row r="212" spans="3:19">
      <c r="C212" s="113"/>
      <c r="D212" s="113"/>
      <c r="H212" s="113"/>
      <c r="J212" s="113"/>
      <c r="K212" s="113"/>
      <c r="O212" s="113"/>
    </row>
    <row r="213" spans="3:19">
      <c r="C213" s="113"/>
      <c r="D213" s="113"/>
      <c r="H213" s="113"/>
      <c r="J213" s="113"/>
      <c r="K213" s="113"/>
      <c r="O213" s="113"/>
      <c r="S213" s="20"/>
    </row>
    <row r="214" spans="3:19">
      <c r="C214" s="113"/>
      <c r="D214" s="113"/>
      <c r="H214" s="113"/>
      <c r="J214" s="113"/>
      <c r="K214" s="113"/>
      <c r="O214" s="113"/>
    </row>
    <row r="215" spans="3:19">
      <c r="C215" s="113"/>
      <c r="D215" s="113"/>
      <c r="H215" s="113"/>
      <c r="J215" s="113"/>
      <c r="K215" s="113"/>
      <c r="O215" s="113"/>
      <c r="R215" s="20"/>
    </row>
    <row r="216" spans="3:19">
      <c r="C216" s="113"/>
      <c r="D216" s="113"/>
      <c r="H216" s="113"/>
      <c r="J216" s="113"/>
      <c r="K216" s="113"/>
      <c r="O216" s="113"/>
    </row>
    <row r="217" spans="3:19">
      <c r="C217" s="113"/>
      <c r="D217" s="113"/>
      <c r="H217" s="113"/>
      <c r="J217" s="113"/>
      <c r="K217" s="113"/>
      <c r="O217" s="113"/>
    </row>
    <row r="218" spans="3:19">
      <c r="C218" s="113"/>
      <c r="D218" s="113"/>
      <c r="H218" s="113"/>
      <c r="J218" s="113"/>
      <c r="K218" s="113"/>
      <c r="O218" s="113"/>
    </row>
    <row r="219" spans="3:19">
      <c r="C219" s="113"/>
      <c r="D219" s="113"/>
      <c r="H219" s="113"/>
      <c r="J219" s="113"/>
      <c r="K219" s="113"/>
      <c r="O219" s="113"/>
    </row>
    <row r="220" spans="3:19">
      <c r="C220" s="113"/>
      <c r="D220" s="113"/>
      <c r="H220" s="113"/>
      <c r="J220" s="113"/>
      <c r="K220" s="113"/>
      <c r="O220" s="113"/>
    </row>
    <row r="221" spans="3:19">
      <c r="C221" s="113"/>
      <c r="D221" s="113"/>
      <c r="H221" s="113"/>
      <c r="J221" s="113"/>
      <c r="K221" s="113"/>
      <c r="O221" s="113"/>
      <c r="R221" s="20"/>
    </row>
    <row r="222" spans="3:19">
      <c r="C222" s="113"/>
      <c r="D222" s="113"/>
      <c r="H222" s="113"/>
      <c r="J222" s="113"/>
      <c r="K222" s="113"/>
      <c r="O222" s="113"/>
      <c r="R222" s="20"/>
    </row>
    <row r="223" spans="3:19">
      <c r="C223" s="113"/>
      <c r="D223" s="113"/>
      <c r="H223" s="113"/>
      <c r="J223" s="113"/>
      <c r="K223" s="113"/>
      <c r="O223" s="113"/>
    </row>
    <row r="224" spans="3:19">
      <c r="C224" s="113"/>
      <c r="D224" s="113"/>
      <c r="H224" s="113"/>
      <c r="J224" s="113"/>
      <c r="K224" s="113"/>
      <c r="O224" s="113"/>
    </row>
    <row r="225" spans="3:19">
      <c r="C225" s="113"/>
      <c r="D225" s="113"/>
      <c r="H225" s="113"/>
      <c r="J225" s="113"/>
      <c r="K225" s="113"/>
      <c r="O225" s="113"/>
      <c r="R225" s="20"/>
    </row>
    <row r="226" spans="3:19">
      <c r="C226" s="113"/>
      <c r="D226" s="113"/>
      <c r="H226" s="113"/>
      <c r="J226" s="113"/>
      <c r="K226" s="113"/>
      <c r="O226" s="113"/>
    </row>
    <row r="227" spans="3:19">
      <c r="C227" s="113"/>
      <c r="D227" s="113"/>
      <c r="H227" s="113"/>
      <c r="J227" s="113"/>
      <c r="K227" s="113"/>
      <c r="O227" s="113"/>
    </row>
    <row r="228" spans="3:19">
      <c r="C228" s="113"/>
      <c r="D228" s="113"/>
      <c r="H228" s="113"/>
      <c r="J228" s="113"/>
      <c r="K228" s="113"/>
      <c r="O228" s="113"/>
    </row>
    <row r="229" spans="3:19">
      <c r="C229" s="113"/>
      <c r="D229" s="113"/>
      <c r="H229" s="113"/>
      <c r="J229" s="113"/>
      <c r="K229" s="113"/>
      <c r="O229" s="113"/>
    </row>
    <row r="230" spans="3:19">
      <c r="C230" s="113"/>
      <c r="D230" s="113"/>
      <c r="H230" s="113"/>
      <c r="J230" s="113"/>
      <c r="K230" s="113"/>
      <c r="O230" s="113"/>
    </row>
    <row r="231" spans="3:19">
      <c r="C231" s="113"/>
      <c r="D231" s="113"/>
      <c r="H231" s="113"/>
      <c r="J231" s="113"/>
      <c r="K231" s="113"/>
      <c r="O231" s="113"/>
    </row>
    <row r="232" spans="3:19">
      <c r="C232" s="113"/>
      <c r="D232" s="113"/>
      <c r="H232" s="113"/>
      <c r="J232" s="113"/>
      <c r="K232" s="113"/>
      <c r="O232" s="113"/>
    </row>
    <row r="233" spans="3:19">
      <c r="C233" s="113"/>
      <c r="D233" s="113"/>
      <c r="H233" s="113"/>
      <c r="J233" s="113"/>
      <c r="K233" s="113"/>
      <c r="O233" s="113"/>
      <c r="R233" s="20"/>
    </row>
    <row r="234" spans="3:19">
      <c r="C234" s="113"/>
      <c r="D234" s="113"/>
      <c r="H234" s="113"/>
      <c r="J234" s="113"/>
      <c r="K234" s="113"/>
      <c r="O234" s="113"/>
    </row>
    <row r="235" spans="3:19">
      <c r="C235" s="113"/>
      <c r="D235" s="113"/>
      <c r="H235" s="113"/>
      <c r="J235" s="113"/>
      <c r="K235" s="113"/>
      <c r="O235" s="113"/>
    </row>
    <row r="236" spans="3:19">
      <c r="C236" s="113"/>
      <c r="D236" s="113"/>
      <c r="H236" s="113"/>
      <c r="J236" s="113"/>
      <c r="K236" s="113"/>
      <c r="O236" s="113"/>
    </row>
    <row r="237" spans="3:19">
      <c r="C237" s="113"/>
      <c r="D237" s="113"/>
      <c r="H237" s="113"/>
      <c r="J237" s="113"/>
      <c r="K237" s="113"/>
      <c r="O237" s="113"/>
      <c r="R237" s="20"/>
      <c r="S237" s="20"/>
    </row>
    <row r="238" spans="3:19">
      <c r="C238" s="113"/>
      <c r="D238" s="113"/>
      <c r="H238" s="113"/>
      <c r="J238" s="113"/>
      <c r="K238" s="113"/>
      <c r="O238" s="113"/>
    </row>
    <row r="239" spans="3:19">
      <c r="C239" s="113"/>
      <c r="D239" s="113"/>
      <c r="H239" s="113"/>
      <c r="J239" s="113"/>
      <c r="K239" s="113"/>
      <c r="O239" s="113"/>
    </row>
    <row r="240" spans="3:19">
      <c r="C240" s="113"/>
      <c r="D240" s="113"/>
      <c r="H240" s="113"/>
      <c r="J240" s="113"/>
      <c r="K240" s="113"/>
      <c r="O240" s="113"/>
      <c r="R240" s="20"/>
    </row>
    <row r="241" spans="3:19">
      <c r="C241" s="113"/>
      <c r="D241" s="113"/>
      <c r="H241" s="113"/>
      <c r="J241" s="113"/>
      <c r="K241" s="113"/>
      <c r="O241" s="113"/>
    </row>
    <row r="242" spans="3:19">
      <c r="C242" s="113"/>
      <c r="D242" s="113"/>
      <c r="H242" s="113"/>
      <c r="J242" s="113"/>
      <c r="K242" s="113"/>
      <c r="O242" s="113"/>
    </row>
    <row r="243" spans="3:19">
      <c r="C243" s="113"/>
      <c r="D243" s="113"/>
      <c r="H243" s="113"/>
      <c r="J243" s="113"/>
      <c r="K243" s="113"/>
      <c r="O243" s="113"/>
      <c r="R243" s="20"/>
    </row>
    <row r="244" spans="3:19">
      <c r="C244" s="113"/>
      <c r="D244" s="113"/>
      <c r="H244" s="113"/>
      <c r="J244" s="113"/>
      <c r="K244" s="113"/>
      <c r="O244" s="113"/>
      <c r="R244" s="20"/>
      <c r="S244" s="20"/>
    </row>
    <row r="245" spans="3:19">
      <c r="C245" s="113"/>
      <c r="D245" s="113"/>
      <c r="H245" s="113"/>
      <c r="J245" s="113"/>
      <c r="K245" s="113"/>
      <c r="O245" s="113"/>
    </row>
    <row r="246" spans="3:19">
      <c r="C246" s="113"/>
      <c r="D246" s="113"/>
      <c r="H246" s="113"/>
      <c r="J246" s="113"/>
      <c r="K246" s="113"/>
      <c r="O246" s="113"/>
    </row>
    <row r="247" spans="3:19">
      <c r="C247" s="113"/>
      <c r="D247" s="113"/>
      <c r="H247" s="113"/>
      <c r="J247" s="113"/>
      <c r="K247" s="113"/>
      <c r="O247" s="113"/>
    </row>
    <row r="248" spans="3:19">
      <c r="C248" s="113"/>
      <c r="D248" s="113"/>
      <c r="H248" s="113"/>
      <c r="J248" s="113"/>
      <c r="K248" s="113"/>
      <c r="O248" s="113"/>
    </row>
    <row r="249" spans="3:19">
      <c r="C249" s="113"/>
      <c r="D249" s="113"/>
      <c r="H249" s="113"/>
      <c r="J249" s="113"/>
      <c r="K249" s="113"/>
      <c r="O249" s="113"/>
    </row>
    <row r="250" spans="3:19">
      <c r="C250" s="113"/>
      <c r="D250" s="113"/>
      <c r="H250" s="113"/>
      <c r="J250" s="113"/>
      <c r="K250" s="113"/>
      <c r="O250" s="113"/>
    </row>
    <row r="251" spans="3:19">
      <c r="C251" s="113"/>
      <c r="D251" s="113"/>
      <c r="H251" s="113"/>
      <c r="J251" s="113"/>
      <c r="K251" s="113"/>
      <c r="O251" s="113"/>
    </row>
    <row r="252" spans="3:19">
      <c r="C252" s="113"/>
      <c r="D252" s="113"/>
      <c r="H252" s="113"/>
      <c r="J252" s="113"/>
      <c r="K252" s="113"/>
      <c r="O252" s="113"/>
    </row>
    <row r="253" spans="3:19">
      <c r="C253" s="113"/>
      <c r="D253" s="113"/>
      <c r="H253" s="113"/>
      <c r="J253" s="113"/>
      <c r="K253" s="113"/>
      <c r="O253" s="113"/>
    </row>
    <row r="254" spans="3:19">
      <c r="C254" s="113"/>
      <c r="D254" s="113"/>
      <c r="H254" s="113"/>
      <c r="J254" s="113"/>
      <c r="K254" s="113"/>
      <c r="O254" s="113"/>
    </row>
    <row r="255" spans="3:19">
      <c r="C255" s="113"/>
      <c r="D255" s="113"/>
      <c r="H255" s="113"/>
      <c r="J255" s="113"/>
      <c r="K255" s="113"/>
      <c r="O255" s="113"/>
    </row>
    <row r="256" spans="3:19">
      <c r="C256" s="113"/>
      <c r="D256" s="113"/>
      <c r="H256" s="113"/>
      <c r="J256" s="113"/>
      <c r="K256" s="113"/>
      <c r="O256" s="113"/>
    </row>
    <row r="257" spans="3:18">
      <c r="C257" s="113"/>
      <c r="D257" s="113"/>
      <c r="H257" s="113"/>
      <c r="J257" s="113"/>
      <c r="K257" s="113"/>
      <c r="O257" s="113"/>
      <c r="R257" s="20"/>
    </row>
    <row r="258" spans="3:18">
      <c r="C258" s="113"/>
      <c r="D258" s="113"/>
      <c r="H258" s="113"/>
      <c r="J258" s="113"/>
      <c r="K258" s="113"/>
      <c r="O258" s="113"/>
    </row>
    <row r="259" spans="3:18">
      <c r="C259" s="113"/>
      <c r="D259" s="113"/>
      <c r="H259" s="113"/>
      <c r="J259" s="113"/>
      <c r="K259" s="113"/>
      <c r="O259" s="113"/>
      <c r="R259" s="20"/>
    </row>
    <row r="260" spans="3:18">
      <c r="C260" s="113"/>
      <c r="D260" s="113"/>
      <c r="H260" s="113"/>
      <c r="J260" s="113"/>
      <c r="K260" s="113"/>
      <c r="O260" s="113"/>
    </row>
    <row r="261" spans="3:18">
      <c r="C261" s="113"/>
      <c r="D261" s="113"/>
      <c r="H261" s="113"/>
      <c r="J261" s="113"/>
      <c r="K261" s="113"/>
      <c r="O261" s="113"/>
    </row>
    <row r="262" spans="3:18">
      <c r="C262" s="113"/>
      <c r="D262" s="113"/>
      <c r="H262" s="113"/>
      <c r="J262" s="113"/>
      <c r="K262" s="113"/>
      <c r="O262" s="113"/>
      <c r="R262" s="20"/>
    </row>
    <row r="263" spans="3:18">
      <c r="C263" s="113"/>
      <c r="D263" s="113"/>
      <c r="H263" s="113"/>
      <c r="J263" s="113"/>
      <c r="K263" s="113"/>
      <c r="O263" s="113"/>
    </row>
    <row r="264" spans="3:18">
      <c r="C264" s="113"/>
      <c r="D264" s="113"/>
      <c r="H264" s="113"/>
      <c r="J264" s="113"/>
      <c r="K264" s="113"/>
      <c r="O264" s="113"/>
    </row>
    <row r="265" spans="3:18">
      <c r="C265" s="113"/>
      <c r="D265" s="113"/>
      <c r="H265" s="113"/>
      <c r="J265" s="113"/>
      <c r="K265" s="113"/>
      <c r="O265" s="113"/>
    </row>
    <row r="266" spans="3:18">
      <c r="C266" s="113"/>
      <c r="D266" s="113"/>
      <c r="H266" s="113"/>
      <c r="J266" s="113"/>
      <c r="K266" s="113"/>
      <c r="O266" s="113"/>
    </row>
    <row r="267" spans="3:18">
      <c r="C267" s="113"/>
      <c r="D267" s="113"/>
      <c r="H267" s="113"/>
      <c r="J267" s="113"/>
      <c r="K267" s="113"/>
      <c r="O267" s="113"/>
    </row>
    <row r="268" spans="3:18">
      <c r="C268" s="113"/>
      <c r="D268" s="113"/>
      <c r="H268" s="113"/>
      <c r="J268" s="113"/>
      <c r="K268" s="113"/>
      <c r="O268" s="113"/>
    </row>
    <row r="269" spans="3:18">
      <c r="C269" s="113"/>
      <c r="D269" s="113"/>
      <c r="H269" s="113"/>
      <c r="J269" s="113"/>
      <c r="K269" s="113"/>
      <c r="O269" s="113"/>
    </row>
    <row r="270" spans="3:18">
      <c r="C270" s="113"/>
      <c r="D270" s="113"/>
      <c r="H270" s="113"/>
      <c r="J270" s="113"/>
      <c r="K270" s="113"/>
      <c r="O270" s="113"/>
    </row>
    <row r="271" spans="3:18">
      <c r="C271" s="113"/>
      <c r="D271" s="113"/>
      <c r="H271" s="113"/>
      <c r="J271" s="113"/>
      <c r="K271" s="113"/>
      <c r="O271" s="113"/>
    </row>
    <row r="272" spans="3:18">
      <c r="C272" s="113"/>
      <c r="D272" s="113"/>
      <c r="H272" s="113"/>
      <c r="J272" s="113"/>
      <c r="K272" s="113"/>
      <c r="O272" s="113"/>
    </row>
    <row r="273" spans="3:18">
      <c r="C273" s="113"/>
      <c r="D273" s="113"/>
      <c r="H273" s="113"/>
      <c r="J273" s="113"/>
      <c r="K273" s="113"/>
      <c r="O273" s="113"/>
    </row>
    <row r="274" spans="3:18">
      <c r="C274" s="113"/>
      <c r="D274" s="113"/>
      <c r="H274" s="113"/>
      <c r="J274" s="113"/>
      <c r="K274" s="113"/>
      <c r="O274" s="113"/>
    </row>
    <row r="275" spans="3:18">
      <c r="C275" s="113"/>
      <c r="D275" s="113"/>
      <c r="H275" s="113"/>
      <c r="J275" s="113"/>
      <c r="K275" s="113"/>
      <c r="O275" s="113"/>
    </row>
    <row r="276" spans="3:18">
      <c r="C276" s="113"/>
      <c r="D276" s="113"/>
      <c r="H276" s="113"/>
      <c r="J276" s="113"/>
      <c r="K276" s="113"/>
      <c r="O276" s="113"/>
    </row>
    <row r="277" spans="3:18">
      <c r="C277" s="113"/>
      <c r="D277" s="113"/>
      <c r="H277" s="113"/>
      <c r="J277" s="113"/>
      <c r="K277" s="113"/>
      <c r="O277" s="113"/>
    </row>
    <row r="278" spans="3:18">
      <c r="C278" s="113"/>
      <c r="D278" s="113"/>
      <c r="H278" s="113"/>
      <c r="J278" s="113"/>
      <c r="K278" s="113"/>
      <c r="O278" s="113"/>
    </row>
    <row r="279" spans="3:18">
      <c r="C279" s="113"/>
      <c r="D279" s="113"/>
      <c r="H279" s="113"/>
      <c r="J279" s="113"/>
      <c r="K279" s="113"/>
      <c r="O279" s="113"/>
    </row>
    <row r="280" spans="3:18">
      <c r="C280" s="113"/>
      <c r="D280" s="113"/>
      <c r="H280" s="113"/>
      <c r="J280" s="113"/>
      <c r="K280" s="113"/>
      <c r="O280" s="113"/>
    </row>
    <row r="281" spans="3:18">
      <c r="C281" s="113"/>
      <c r="D281" s="113"/>
      <c r="H281" s="113"/>
      <c r="J281" s="113"/>
      <c r="K281" s="113"/>
      <c r="O281" s="113"/>
      <c r="R281" s="20"/>
    </row>
    <row r="282" spans="3:18">
      <c r="C282" s="113"/>
      <c r="D282" s="113"/>
      <c r="H282" s="113"/>
      <c r="J282" s="113"/>
      <c r="K282" s="113"/>
      <c r="O282" s="113"/>
    </row>
    <row r="283" spans="3:18">
      <c r="C283" s="113"/>
      <c r="D283" s="113"/>
      <c r="H283" s="113"/>
      <c r="J283" s="113"/>
      <c r="K283" s="113"/>
      <c r="O283" s="113"/>
    </row>
    <row r="284" spans="3:18">
      <c r="C284" s="113"/>
      <c r="D284" s="113"/>
      <c r="H284" s="113"/>
      <c r="J284" s="113"/>
      <c r="K284" s="113"/>
      <c r="O284" s="113"/>
    </row>
    <row r="285" spans="3:18">
      <c r="C285" s="113"/>
      <c r="D285" s="113"/>
      <c r="H285" s="113"/>
      <c r="J285" s="113"/>
      <c r="K285" s="113"/>
      <c r="O285" s="113"/>
    </row>
    <row r="286" spans="3:18">
      <c r="C286" s="113"/>
      <c r="D286" s="113"/>
      <c r="H286" s="113"/>
      <c r="J286" s="113"/>
      <c r="K286" s="113"/>
      <c r="O286" s="113"/>
    </row>
    <row r="287" spans="3:18">
      <c r="C287" s="113"/>
      <c r="D287" s="113"/>
      <c r="H287" s="113"/>
      <c r="J287" s="113"/>
      <c r="K287" s="113"/>
      <c r="O287" s="113"/>
    </row>
    <row r="288" spans="3:18">
      <c r="C288" s="113"/>
      <c r="D288" s="113"/>
      <c r="H288" s="113"/>
      <c r="J288" s="113"/>
      <c r="K288" s="113"/>
      <c r="O288" s="113"/>
    </row>
    <row r="289" spans="3:19">
      <c r="C289" s="113"/>
      <c r="D289" s="113"/>
      <c r="H289" s="113"/>
      <c r="J289" s="113"/>
      <c r="K289" s="113"/>
      <c r="O289" s="113"/>
    </row>
    <row r="290" spans="3:19">
      <c r="C290" s="113"/>
      <c r="D290" s="113"/>
      <c r="H290" s="113"/>
      <c r="J290" s="113"/>
      <c r="K290" s="113"/>
      <c r="O290" s="113"/>
    </row>
    <row r="291" spans="3:19">
      <c r="C291" s="113"/>
      <c r="D291" s="113"/>
      <c r="H291" s="113"/>
      <c r="J291" s="113"/>
      <c r="K291" s="113"/>
      <c r="O291" s="113"/>
    </row>
    <row r="292" spans="3:19">
      <c r="C292" s="113"/>
      <c r="D292" s="113"/>
      <c r="H292" s="113"/>
      <c r="J292" s="113"/>
      <c r="K292" s="113"/>
      <c r="O292" s="113"/>
    </row>
    <row r="293" spans="3:19">
      <c r="C293" s="113"/>
      <c r="D293" s="113"/>
      <c r="H293" s="113"/>
      <c r="J293" s="113"/>
      <c r="K293" s="113"/>
      <c r="O293" s="113"/>
    </row>
    <row r="294" spans="3:19">
      <c r="C294" s="113"/>
      <c r="D294" s="113"/>
      <c r="H294" s="113"/>
      <c r="J294" s="113"/>
      <c r="K294" s="113"/>
      <c r="O294" s="113"/>
    </row>
    <row r="295" spans="3:19">
      <c r="C295" s="113"/>
      <c r="D295" s="113"/>
      <c r="H295" s="113"/>
      <c r="J295" s="113"/>
      <c r="K295" s="113"/>
      <c r="O295" s="113"/>
    </row>
    <row r="296" spans="3:19">
      <c r="C296" s="113"/>
      <c r="D296" s="113"/>
      <c r="H296" s="113"/>
      <c r="J296" s="113"/>
      <c r="K296" s="113"/>
      <c r="O296" s="113"/>
      <c r="R296" s="20"/>
    </row>
    <row r="297" spans="3:19">
      <c r="C297" s="113"/>
      <c r="D297" s="113"/>
      <c r="H297" s="113"/>
      <c r="J297" s="113"/>
      <c r="K297" s="113"/>
      <c r="O297" s="113"/>
      <c r="R297" s="20"/>
    </row>
    <row r="298" spans="3:19">
      <c r="C298" s="113"/>
      <c r="D298" s="113"/>
      <c r="H298" s="113"/>
      <c r="J298" s="113"/>
      <c r="K298" s="113"/>
      <c r="O298" s="113"/>
    </row>
    <row r="299" spans="3:19">
      <c r="C299" s="113"/>
      <c r="D299" s="113"/>
      <c r="H299" s="113"/>
      <c r="J299" s="113"/>
      <c r="K299" s="113"/>
      <c r="O299" s="113"/>
    </row>
    <row r="300" spans="3:19">
      <c r="C300" s="113"/>
      <c r="D300" s="113"/>
      <c r="H300" s="113"/>
      <c r="J300" s="113"/>
      <c r="K300" s="113"/>
      <c r="O300" s="113"/>
    </row>
    <row r="301" spans="3:19">
      <c r="C301" s="113"/>
      <c r="D301" s="113"/>
      <c r="H301" s="113"/>
      <c r="J301" s="113"/>
      <c r="K301" s="113"/>
      <c r="O301" s="113"/>
      <c r="S301" s="20"/>
    </row>
    <row r="302" spans="3:19">
      <c r="C302" s="113"/>
      <c r="D302" s="113"/>
      <c r="H302" s="113"/>
      <c r="J302" s="113"/>
      <c r="K302" s="113"/>
      <c r="O302" s="113"/>
    </row>
    <row r="303" spans="3:19">
      <c r="C303" s="113"/>
      <c r="D303" s="113"/>
      <c r="H303" s="113"/>
      <c r="J303" s="113"/>
      <c r="K303" s="113"/>
      <c r="O303" s="113"/>
    </row>
    <row r="304" spans="3:19">
      <c r="C304" s="113"/>
      <c r="D304" s="113"/>
      <c r="H304" s="113"/>
      <c r="J304" s="113"/>
      <c r="K304" s="113"/>
      <c r="O304" s="113"/>
    </row>
    <row r="305" spans="3:19">
      <c r="C305" s="113"/>
      <c r="D305" s="113"/>
      <c r="H305" s="113"/>
      <c r="J305" s="113"/>
      <c r="K305" s="113"/>
      <c r="O305" s="113"/>
    </row>
    <row r="306" spans="3:19">
      <c r="C306" s="113"/>
      <c r="D306" s="113"/>
      <c r="H306" s="113"/>
      <c r="J306" s="113"/>
      <c r="K306" s="113"/>
      <c r="O306" s="113"/>
      <c r="S306" s="20"/>
    </row>
    <row r="307" spans="3:19">
      <c r="C307" s="113"/>
      <c r="D307" s="113"/>
      <c r="H307" s="113"/>
      <c r="J307" s="113"/>
      <c r="K307" s="113"/>
      <c r="O307" s="113"/>
    </row>
    <row r="308" spans="3:19">
      <c r="C308" s="113"/>
      <c r="D308" s="113"/>
      <c r="H308" s="113"/>
      <c r="J308" s="113"/>
      <c r="K308" s="113"/>
      <c r="O308" s="113"/>
    </row>
    <row r="309" spans="3:19">
      <c r="C309" s="113"/>
      <c r="D309" s="113"/>
      <c r="H309" s="113"/>
      <c r="J309" s="113"/>
      <c r="K309" s="113"/>
      <c r="O309" s="113"/>
    </row>
    <row r="310" spans="3:19">
      <c r="C310" s="113"/>
      <c r="D310" s="113"/>
      <c r="H310" s="113"/>
      <c r="J310" s="113"/>
      <c r="K310" s="113"/>
      <c r="O310" s="113"/>
    </row>
    <row r="311" spans="3:19">
      <c r="C311" s="113"/>
      <c r="D311" s="113"/>
      <c r="H311" s="113"/>
      <c r="J311" s="113"/>
      <c r="K311" s="113"/>
      <c r="O311" s="113"/>
    </row>
    <row r="312" spans="3:19">
      <c r="C312" s="113"/>
      <c r="D312" s="113"/>
      <c r="H312" s="113"/>
      <c r="J312" s="113"/>
      <c r="K312" s="113"/>
      <c r="O312" s="113"/>
    </row>
    <row r="313" spans="3:19">
      <c r="C313" s="113"/>
      <c r="D313" s="113"/>
      <c r="H313" s="113"/>
      <c r="J313" s="113"/>
      <c r="K313" s="113"/>
      <c r="O313" s="113"/>
    </row>
    <row r="314" spans="3:19">
      <c r="C314" s="113"/>
      <c r="D314" s="113"/>
      <c r="H314" s="113"/>
      <c r="J314" s="113"/>
      <c r="K314" s="113"/>
      <c r="O314" s="113"/>
    </row>
    <row r="315" spans="3:19">
      <c r="C315" s="113"/>
      <c r="D315" s="113"/>
      <c r="H315" s="113"/>
      <c r="J315" s="113"/>
      <c r="K315" s="113"/>
      <c r="O315" s="113"/>
    </row>
    <row r="316" spans="3:19">
      <c r="C316" s="113"/>
      <c r="D316" s="113"/>
      <c r="H316" s="113"/>
      <c r="J316" s="113"/>
      <c r="K316" s="113"/>
      <c r="O316" s="113"/>
    </row>
    <row r="317" spans="3:19">
      <c r="C317" s="113"/>
      <c r="D317" s="113"/>
      <c r="H317" s="113"/>
      <c r="J317" s="113"/>
      <c r="K317" s="113"/>
      <c r="O317" s="113"/>
    </row>
    <row r="318" spans="3:19">
      <c r="C318" s="113"/>
      <c r="D318" s="113"/>
      <c r="H318" s="113"/>
      <c r="J318" s="113"/>
      <c r="K318" s="113"/>
      <c r="O318" s="113"/>
    </row>
    <row r="319" spans="3:19">
      <c r="C319" s="113"/>
      <c r="D319" s="113"/>
      <c r="H319" s="113"/>
      <c r="J319" s="113"/>
      <c r="K319" s="113"/>
      <c r="O319" s="113"/>
    </row>
    <row r="320" spans="3:19">
      <c r="C320" s="113"/>
      <c r="D320" s="113"/>
      <c r="H320" s="113"/>
      <c r="J320" s="113"/>
      <c r="K320" s="113"/>
      <c r="O320" s="113"/>
    </row>
    <row r="321" spans="3:18">
      <c r="C321" s="113"/>
      <c r="D321" s="113"/>
      <c r="H321" s="113"/>
      <c r="J321" s="113"/>
      <c r="K321" s="113"/>
      <c r="O321" s="113"/>
      <c r="R321" s="20"/>
    </row>
    <row r="322" spans="3:18">
      <c r="C322" s="113"/>
      <c r="D322" s="113"/>
      <c r="H322" s="113"/>
      <c r="J322" s="113"/>
      <c r="K322" s="113"/>
      <c r="O322" s="113"/>
    </row>
    <row r="323" spans="3:18">
      <c r="C323" s="113"/>
      <c r="D323" s="113"/>
      <c r="H323" s="113"/>
      <c r="J323" s="113"/>
      <c r="K323" s="113"/>
      <c r="O323" s="113"/>
    </row>
    <row r="324" spans="3:18">
      <c r="C324" s="113"/>
      <c r="D324" s="113"/>
      <c r="H324" s="113"/>
      <c r="J324" s="113"/>
      <c r="K324" s="113"/>
      <c r="O324" s="113"/>
    </row>
    <row r="325" spans="3:18">
      <c r="C325" s="113"/>
      <c r="D325" s="113"/>
      <c r="H325" s="113"/>
      <c r="J325" s="113"/>
      <c r="K325" s="113"/>
      <c r="O325" s="113"/>
    </row>
    <row r="326" spans="3:18">
      <c r="C326" s="113"/>
      <c r="D326" s="113"/>
      <c r="H326" s="113"/>
      <c r="J326" s="113"/>
      <c r="K326" s="113"/>
      <c r="O326" s="113"/>
    </row>
    <row r="327" spans="3:18">
      <c r="C327" s="113"/>
      <c r="D327" s="113"/>
      <c r="H327" s="113"/>
      <c r="J327" s="113"/>
      <c r="K327" s="113"/>
      <c r="O327" s="113"/>
    </row>
    <row r="328" spans="3:18">
      <c r="C328" s="113"/>
      <c r="D328" s="113"/>
      <c r="H328" s="113"/>
      <c r="J328" s="113"/>
      <c r="K328" s="113"/>
      <c r="O328" s="113"/>
    </row>
    <row r="329" spans="3:18">
      <c r="C329" s="113"/>
      <c r="D329" s="113"/>
      <c r="H329" s="113"/>
      <c r="J329" s="113"/>
      <c r="K329" s="113"/>
      <c r="O329" s="113"/>
    </row>
    <row r="330" spans="3:18">
      <c r="C330" s="113"/>
      <c r="D330" s="113"/>
      <c r="H330" s="113"/>
      <c r="J330" s="113"/>
      <c r="K330" s="113"/>
      <c r="O330" s="113"/>
    </row>
    <row r="331" spans="3:18">
      <c r="C331" s="113"/>
      <c r="D331" s="113"/>
      <c r="H331" s="113"/>
      <c r="J331" s="113"/>
      <c r="K331" s="113"/>
      <c r="O331" s="113"/>
    </row>
    <row r="332" spans="3:18">
      <c r="C332" s="113"/>
      <c r="D332" s="113"/>
      <c r="H332" s="113"/>
      <c r="J332" s="113"/>
      <c r="K332" s="113"/>
      <c r="O332" s="113"/>
    </row>
    <row r="333" spans="3:18">
      <c r="C333" s="113"/>
      <c r="D333" s="113"/>
      <c r="H333" s="113"/>
      <c r="J333" s="113"/>
      <c r="K333" s="113"/>
      <c r="O333" s="113"/>
    </row>
    <row r="334" spans="3:18">
      <c r="C334" s="113"/>
      <c r="D334" s="113"/>
      <c r="H334" s="113"/>
      <c r="J334" s="113"/>
      <c r="K334" s="113"/>
      <c r="O334" s="113"/>
    </row>
    <row r="335" spans="3:18">
      <c r="C335" s="113"/>
      <c r="D335" s="113"/>
      <c r="H335" s="113"/>
      <c r="J335" s="113"/>
      <c r="K335" s="113"/>
      <c r="O335" s="113"/>
    </row>
    <row r="336" spans="3:18">
      <c r="C336" s="113"/>
      <c r="D336" s="113"/>
      <c r="H336" s="113"/>
      <c r="J336" s="113"/>
      <c r="K336" s="113"/>
      <c r="O336" s="113"/>
      <c r="R336" s="20"/>
    </row>
    <row r="337" spans="3:18">
      <c r="C337" s="113"/>
      <c r="D337" s="113"/>
      <c r="H337" s="113"/>
      <c r="J337" s="113"/>
      <c r="K337" s="113"/>
      <c r="O337" s="113"/>
    </row>
    <row r="338" spans="3:18">
      <c r="C338" s="113"/>
      <c r="D338" s="113"/>
      <c r="H338" s="113"/>
      <c r="J338" s="113"/>
      <c r="K338" s="113"/>
      <c r="O338" s="113"/>
    </row>
    <row r="339" spans="3:18">
      <c r="C339" s="113"/>
      <c r="D339" s="113"/>
      <c r="H339" s="113"/>
      <c r="J339" s="113"/>
      <c r="K339" s="113"/>
      <c r="O339" s="113"/>
    </row>
    <row r="340" spans="3:18">
      <c r="C340" s="113"/>
      <c r="D340" s="113"/>
      <c r="H340" s="113"/>
      <c r="J340" s="113"/>
      <c r="K340" s="113"/>
      <c r="O340" s="113"/>
    </row>
    <row r="341" spans="3:18">
      <c r="C341" s="113"/>
      <c r="D341" s="113"/>
      <c r="H341" s="113"/>
      <c r="J341" s="113"/>
      <c r="K341" s="113"/>
      <c r="O341" s="113"/>
      <c r="R341" s="20"/>
    </row>
    <row r="342" spans="3:18">
      <c r="C342" s="113"/>
      <c r="D342" s="113"/>
      <c r="H342" s="113"/>
      <c r="J342" s="113"/>
      <c r="K342" s="113"/>
      <c r="O342" s="113"/>
    </row>
    <row r="343" spans="3:18">
      <c r="C343" s="113"/>
      <c r="D343" s="113"/>
      <c r="H343" s="113"/>
      <c r="J343" s="113"/>
      <c r="K343" s="113"/>
      <c r="O343" s="113"/>
    </row>
    <row r="344" spans="3:18">
      <c r="C344" s="113"/>
      <c r="D344" s="113"/>
      <c r="H344" s="113"/>
      <c r="J344" s="113"/>
      <c r="K344" s="113"/>
      <c r="O344" s="113"/>
    </row>
    <row r="345" spans="3:18">
      <c r="C345" s="113"/>
      <c r="D345" s="113"/>
      <c r="H345" s="113"/>
      <c r="J345" s="113"/>
      <c r="K345" s="113"/>
      <c r="O345" s="113"/>
    </row>
    <row r="346" spans="3:18">
      <c r="C346" s="113"/>
      <c r="D346" s="113"/>
      <c r="H346" s="113"/>
      <c r="J346" s="113"/>
      <c r="K346" s="113"/>
      <c r="O346" s="113"/>
    </row>
    <row r="347" spans="3:18">
      <c r="C347" s="113"/>
      <c r="D347" s="113"/>
      <c r="H347" s="113"/>
      <c r="J347" s="113"/>
      <c r="K347" s="113"/>
      <c r="O347" s="113"/>
    </row>
    <row r="348" spans="3:18">
      <c r="C348" s="113"/>
      <c r="D348" s="113"/>
      <c r="H348" s="113"/>
      <c r="J348" s="113"/>
      <c r="K348" s="113"/>
      <c r="O348" s="113"/>
    </row>
    <row r="349" spans="3:18">
      <c r="C349" s="113"/>
      <c r="D349" s="113"/>
      <c r="H349" s="113"/>
      <c r="J349" s="113"/>
      <c r="K349" s="113"/>
      <c r="O349" s="113"/>
    </row>
    <row r="350" spans="3:18">
      <c r="C350" s="113"/>
      <c r="D350" s="113"/>
      <c r="H350" s="113"/>
      <c r="J350" s="113"/>
      <c r="K350" s="113"/>
      <c r="O350" s="113"/>
    </row>
    <row r="351" spans="3:18">
      <c r="C351" s="113"/>
      <c r="D351" s="113"/>
      <c r="H351" s="113"/>
      <c r="J351" s="113"/>
      <c r="K351" s="113"/>
      <c r="O351" s="113"/>
    </row>
    <row r="352" spans="3:18">
      <c r="C352" s="113"/>
      <c r="D352" s="113"/>
      <c r="H352" s="113"/>
      <c r="J352" s="113"/>
      <c r="K352" s="113"/>
      <c r="O352" s="113"/>
    </row>
    <row r="353" spans="3:15">
      <c r="C353" s="113"/>
      <c r="D353" s="113"/>
      <c r="H353" s="113"/>
      <c r="J353" s="113"/>
      <c r="K353" s="113"/>
      <c r="O353" s="113"/>
    </row>
    <row r="354" spans="3:15">
      <c r="C354" s="113"/>
      <c r="D354" s="113"/>
      <c r="H354" s="113"/>
      <c r="J354" s="113"/>
      <c r="K354" s="113"/>
      <c r="O354" s="113"/>
    </row>
    <row r="355" spans="3:15">
      <c r="C355" s="113"/>
      <c r="D355" s="113"/>
      <c r="H355" s="113"/>
      <c r="J355" s="113"/>
      <c r="K355" s="113"/>
      <c r="O355" s="113"/>
    </row>
    <row r="356" spans="3:15">
      <c r="C356" s="113"/>
      <c r="D356" s="113"/>
      <c r="H356" s="113"/>
      <c r="J356" s="113"/>
      <c r="K356" s="113"/>
      <c r="O356" s="113"/>
    </row>
    <row r="357" spans="3:15">
      <c r="C357" s="113"/>
      <c r="D357" s="113"/>
      <c r="H357" s="113"/>
      <c r="J357" s="113"/>
      <c r="K357" s="113"/>
      <c r="O357" s="113"/>
    </row>
    <row r="358" spans="3:15">
      <c r="C358" s="113"/>
      <c r="D358" s="113"/>
      <c r="H358" s="113"/>
      <c r="J358" s="113"/>
      <c r="K358" s="113"/>
      <c r="O358" s="113"/>
    </row>
    <row r="359" spans="3:15">
      <c r="C359" s="113"/>
      <c r="D359" s="113"/>
      <c r="H359" s="113"/>
      <c r="J359" s="113"/>
      <c r="K359" s="113"/>
      <c r="O359" s="113"/>
    </row>
    <row r="360" spans="3:15">
      <c r="C360" s="113"/>
      <c r="D360" s="113"/>
      <c r="H360" s="113"/>
      <c r="J360" s="113"/>
      <c r="K360" s="113"/>
      <c r="O360" s="113"/>
    </row>
    <row r="361" spans="3:15">
      <c r="C361" s="113"/>
      <c r="D361" s="113"/>
      <c r="H361" s="113"/>
      <c r="J361" s="113"/>
      <c r="K361" s="113"/>
      <c r="O361" s="113"/>
    </row>
    <row r="362" spans="3:15">
      <c r="C362" s="113"/>
      <c r="D362" s="113"/>
      <c r="H362" s="113"/>
      <c r="J362" s="113"/>
      <c r="K362" s="113"/>
      <c r="O362" s="113"/>
    </row>
    <row r="363" spans="3:15">
      <c r="C363" s="113"/>
      <c r="D363" s="113"/>
      <c r="H363" s="113"/>
      <c r="J363" s="113"/>
      <c r="K363" s="113"/>
      <c r="O363" s="113"/>
    </row>
    <row r="364" spans="3:15">
      <c r="C364" s="113"/>
      <c r="D364" s="113"/>
      <c r="H364" s="113"/>
      <c r="J364" s="113"/>
      <c r="K364" s="113"/>
      <c r="O364" s="113"/>
    </row>
    <row r="365" spans="3:15">
      <c r="C365" s="113"/>
      <c r="D365" s="113"/>
      <c r="H365" s="113"/>
      <c r="J365" s="113"/>
      <c r="K365" s="113"/>
      <c r="O365" s="113"/>
    </row>
    <row r="366" spans="3:15">
      <c r="C366" s="113"/>
      <c r="D366" s="113"/>
      <c r="H366" s="113"/>
      <c r="J366" s="113"/>
      <c r="K366" s="113"/>
      <c r="O366" s="113"/>
    </row>
    <row r="367" spans="3:15">
      <c r="C367" s="113"/>
      <c r="D367" s="113"/>
      <c r="H367" s="113"/>
      <c r="J367" s="113"/>
      <c r="K367" s="113"/>
      <c r="O367" s="113"/>
    </row>
    <row r="368" spans="3:15">
      <c r="C368" s="113"/>
      <c r="D368" s="113"/>
      <c r="H368" s="113"/>
      <c r="J368" s="113"/>
      <c r="K368" s="113"/>
      <c r="O368" s="113"/>
    </row>
    <row r="369" spans="3:19">
      <c r="C369" s="113"/>
      <c r="D369" s="113"/>
      <c r="H369" s="113"/>
      <c r="J369" s="113"/>
      <c r="K369" s="113"/>
      <c r="O369" s="113"/>
    </row>
    <row r="370" spans="3:19">
      <c r="C370" s="113"/>
      <c r="D370" s="113"/>
      <c r="H370" s="113"/>
      <c r="J370" s="113"/>
      <c r="K370" s="113"/>
      <c r="O370" s="113"/>
    </row>
    <row r="371" spans="3:19">
      <c r="C371" s="113"/>
      <c r="D371" s="113"/>
      <c r="H371" s="113"/>
      <c r="J371" s="113"/>
      <c r="K371" s="113"/>
      <c r="O371" s="113"/>
    </row>
    <row r="372" spans="3:19">
      <c r="C372" s="113"/>
      <c r="D372" s="113"/>
      <c r="H372" s="113"/>
      <c r="J372" s="113"/>
      <c r="K372" s="113"/>
      <c r="O372" s="113"/>
    </row>
    <row r="373" spans="3:19">
      <c r="C373" s="113"/>
      <c r="D373" s="113"/>
      <c r="H373" s="113"/>
      <c r="J373" s="113"/>
      <c r="K373" s="113"/>
      <c r="O373" s="113"/>
    </row>
    <row r="374" spans="3:19">
      <c r="C374" s="113"/>
      <c r="D374" s="113"/>
      <c r="H374" s="113"/>
      <c r="J374" s="113"/>
      <c r="K374" s="113"/>
      <c r="O374" s="113"/>
    </row>
    <row r="375" spans="3:19">
      <c r="C375" s="113"/>
      <c r="D375" s="113"/>
      <c r="H375" s="113"/>
      <c r="J375" s="113"/>
      <c r="K375" s="113"/>
      <c r="O375" s="113"/>
    </row>
    <row r="376" spans="3:19">
      <c r="C376" s="113"/>
      <c r="D376" s="113"/>
      <c r="H376" s="113"/>
      <c r="J376" s="113"/>
      <c r="K376" s="113"/>
      <c r="O376" s="113"/>
    </row>
    <row r="377" spans="3:19">
      <c r="C377" s="113"/>
      <c r="D377" s="113"/>
      <c r="H377" s="113"/>
      <c r="J377" s="113"/>
      <c r="K377" s="113"/>
      <c r="O377" s="113"/>
      <c r="S377" s="20"/>
    </row>
    <row r="378" spans="3:19">
      <c r="C378" s="113"/>
      <c r="D378" s="113"/>
      <c r="H378" s="113"/>
      <c r="J378" s="113"/>
      <c r="K378" s="113"/>
      <c r="O378" s="113"/>
    </row>
    <row r="379" spans="3:19">
      <c r="C379" s="113"/>
      <c r="D379" s="113"/>
      <c r="H379" s="113"/>
      <c r="J379" s="113"/>
      <c r="K379" s="113"/>
      <c r="O379" s="113"/>
      <c r="R379" s="20"/>
    </row>
    <row r="380" spans="3:19">
      <c r="C380" s="113"/>
      <c r="D380" s="113"/>
      <c r="H380" s="113"/>
      <c r="J380" s="113"/>
      <c r="K380" s="113"/>
      <c r="O380" s="113"/>
    </row>
    <row r="381" spans="3:19">
      <c r="C381" s="113"/>
      <c r="D381" s="113"/>
      <c r="H381" s="113"/>
      <c r="J381" s="113"/>
      <c r="K381" s="113"/>
      <c r="O381" s="113"/>
    </row>
    <row r="382" spans="3:19">
      <c r="C382" s="113"/>
      <c r="D382" s="113"/>
      <c r="H382" s="113"/>
      <c r="J382" s="113"/>
      <c r="K382" s="113"/>
      <c r="O382" s="113"/>
    </row>
    <row r="383" spans="3:19">
      <c r="C383" s="113"/>
      <c r="D383" s="113"/>
      <c r="H383" s="113"/>
      <c r="J383" s="113"/>
      <c r="K383" s="113"/>
      <c r="O383" s="113"/>
    </row>
    <row r="384" spans="3:19">
      <c r="C384" s="113"/>
      <c r="D384" s="113"/>
      <c r="H384" s="113"/>
      <c r="J384" s="113"/>
      <c r="K384" s="113"/>
      <c r="O384" s="113"/>
    </row>
    <row r="385" spans="3:19">
      <c r="C385" s="113"/>
      <c r="D385" s="113"/>
      <c r="H385" s="113"/>
      <c r="J385" s="113"/>
      <c r="K385" s="113"/>
      <c r="O385" s="113"/>
    </row>
    <row r="386" spans="3:19">
      <c r="C386" s="113"/>
      <c r="D386" s="113"/>
      <c r="H386" s="113"/>
      <c r="J386" s="113"/>
      <c r="K386" s="113"/>
      <c r="O386" s="113"/>
    </row>
    <row r="387" spans="3:19">
      <c r="C387" s="113"/>
      <c r="D387" s="113"/>
      <c r="H387" s="113"/>
      <c r="J387" s="113"/>
      <c r="K387" s="113"/>
      <c r="O387" s="113"/>
    </row>
    <row r="388" spans="3:19">
      <c r="C388" s="113"/>
      <c r="D388" s="113"/>
      <c r="H388" s="113"/>
      <c r="J388" s="113"/>
      <c r="K388" s="113"/>
      <c r="O388" s="113"/>
    </row>
    <row r="389" spans="3:19">
      <c r="C389" s="113"/>
      <c r="D389" s="113"/>
      <c r="H389" s="113"/>
      <c r="J389" s="113"/>
      <c r="K389" s="113"/>
      <c r="O389" s="113"/>
    </row>
    <row r="390" spans="3:19">
      <c r="C390" s="113"/>
      <c r="D390" s="113"/>
      <c r="H390" s="113"/>
      <c r="J390" s="113"/>
      <c r="K390" s="113"/>
      <c r="O390" s="113"/>
      <c r="R390" s="20"/>
    </row>
    <row r="391" spans="3:19">
      <c r="C391" s="113"/>
      <c r="D391" s="113"/>
      <c r="H391" s="113"/>
      <c r="J391" s="113"/>
      <c r="K391" s="113"/>
      <c r="O391" s="113"/>
    </row>
    <row r="392" spans="3:19">
      <c r="C392" s="113"/>
      <c r="D392" s="113"/>
      <c r="H392" s="113"/>
      <c r="J392" s="113"/>
      <c r="K392" s="113"/>
      <c r="O392" s="113"/>
    </row>
    <row r="393" spans="3:19">
      <c r="C393" s="113"/>
      <c r="D393" s="113"/>
      <c r="H393" s="113"/>
      <c r="J393" s="113"/>
      <c r="K393" s="113"/>
      <c r="O393" s="113"/>
    </row>
    <row r="394" spans="3:19">
      <c r="C394" s="113"/>
      <c r="D394" s="113"/>
      <c r="H394" s="113"/>
      <c r="J394" s="113"/>
      <c r="K394" s="113"/>
      <c r="O394" s="113"/>
    </row>
    <row r="395" spans="3:19">
      <c r="C395" s="113"/>
      <c r="D395" s="113"/>
      <c r="H395" s="113"/>
      <c r="J395" s="113"/>
      <c r="K395" s="113"/>
      <c r="O395" s="113"/>
    </row>
    <row r="396" spans="3:19">
      <c r="C396" s="113"/>
      <c r="D396" s="113"/>
      <c r="H396" s="113"/>
      <c r="J396" s="113"/>
      <c r="K396" s="113"/>
      <c r="O396" s="113"/>
    </row>
    <row r="397" spans="3:19">
      <c r="C397" s="113"/>
      <c r="D397" s="113"/>
      <c r="H397" s="113"/>
      <c r="J397" s="113"/>
      <c r="K397" s="113"/>
      <c r="O397" s="113"/>
    </row>
    <row r="398" spans="3:19">
      <c r="C398" s="113"/>
      <c r="D398" s="113"/>
      <c r="H398" s="113"/>
      <c r="J398" s="113"/>
      <c r="K398" s="113"/>
      <c r="O398" s="113"/>
      <c r="S398" s="20"/>
    </row>
    <row r="399" spans="3:19">
      <c r="C399" s="113"/>
      <c r="D399" s="113"/>
      <c r="H399" s="113"/>
      <c r="J399" s="113"/>
      <c r="K399" s="113"/>
      <c r="O399" s="113"/>
    </row>
    <row r="400" spans="3:19">
      <c r="C400" s="113"/>
      <c r="D400" s="113"/>
      <c r="H400" s="113"/>
      <c r="J400" s="113"/>
      <c r="K400" s="113"/>
      <c r="O400" s="113"/>
    </row>
    <row r="401" spans="3:15">
      <c r="C401" s="113"/>
      <c r="D401" s="113"/>
      <c r="H401" s="113"/>
      <c r="J401" s="113"/>
      <c r="K401" s="113"/>
      <c r="O401" s="113"/>
    </row>
    <row r="402" spans="3:15">
      <c r="C402" s="113"/>
      <c r="D402" s="113"/>
      <c r="H402" s="113"/>
      <c r="J402" s="113"/>
      <c r="K402" s="113"/>
      <c r="O402" s="113"/>
    </row>
    <row r="403" spans="3:15">
      <c r="C403" s="113"/>
      <c r="D403" s="113"/>
      <c r="H403" s="113"/>
      <c r="J403" s="113"/>
      <c r="K403" s="113"/>
      <c r="O403" s="113"/>
    </row>
    <row r="404" spans="3:15">
      <c r="C404" s="113"/>
      <c r="D404" s="113"/>
      <c r="H404" s="113"/>
      <c r="J404" s="113"/>
      <c r="K404" s="113"/>
      <c r="O404" s="113"/>
    </row>
    <row r="405" spans="3:15">
      <c r="C405" s="113"/>
      <c r="D405" s="113"/>
      <c r="H405" s="113"/>
      <c r="J405" s="113"/>
      <c r="K405" s="113"/>
      <c r="O405" s="113"/>
    </row>
    <row r="406" spans="3:15">
      <c r="C406" s="113"/>
      <c r="D406" s="113"/>
      <c r="H406" s="113"/>
      <c r="J406" s="113"/>
      <c r="K406" s="113"/>
      <c r="O406" s="113"/>
    </row>
    <row r="407" spans="3:15">
      <c r="C407" s="113"/>
      <c r="D407" s="113"/>
      <c r="H407" s="113"/>
      <c r="J407" s="113"/>
      <c r="K407" s="113"/>
      <c r="O407" s="113"/>
    </row>
    <row r="408" spans="3:15">
      <c r="C408" s="113"/>
      <c r="D408" s="113"/>
      <c r="H408" s="113"/>
      <c r="J408" s="113"/>
      <c r="K408" s="113"/>
      <c r="O408" s="113"/>
    </row>
    <row r="409" spans="3:15">
      <c r="C409" s="113"/>
      <c r="D409" s="113"/>
      <c r="H409" s="113"/>
      <c r="J409" s="113"/>
      <c r="K409" s="113"/>
      <c r="O409" s="113"/>
    </row>
    <row r="410" spans="3:15">
      <c r="C410" s="113"/>
      <c r="D410" s="113"/>
      <c r="H410" s="113"/>
      <c r="J410" s="113"/>
      <c r="K410" s="113"/>
      <c r="O410" s="113"/>
    </row>
    <row r="411" spans="3:15">
      <c r="C411" s="113"/>
      <c r="D411" s="113"/>
      <c r="H411" s="113"/>
      <c r="J411" s="113"/>
      <c r="K411" s="113"/>
      <c r="O411" s="113"/>
    </row>
    <row r="412" spans="3:15">
      <c r="C412" s="113"/>
      <c r="D412" s="113"/>
      <c r="H412" s="113"/>
      <c r="J412" s="113"/>
      <c r="K412" s="113"/>
      <c r="O412" s="113"/>
    </row>
    <row r="413" spans="3:15">
      <c r="C413" s="113"/>
      <c r="D413" s="113"/>
      <c r="H413" s="113"/>
      <c r="J413" s="113"/>
      <c r="K413" s="113"/>
      <c r="O413" s="113"/>
    </row>
    <row r="414" spans="3:15">
      <c r="C414" s="113"/>
      <c r="D414" s="113"/>
      <c r="H414" s="113"/>
      <c r="J414" s="113"/>
      <c r="K414" s="113"/>
      <c r="O414" s="113"/>
    </row>
    <row r="415" spans="3:15">
      <c r="C415" s="113"/>
      <c r="D415" s="113"/>
      <c r="H415" s="113"/>
      <c r="J415" s="113"/>
      <c r="K415" s="113"/>
      <c r="O415" s="113"/>
    </row>
    <row r="416" spans="3:15">
      <c r="C416" s="113"/>
      <c r="D416" s="113"/>
      <c r="H416" s="113"/>
      <c r="J416" s="113"/>
      <c r="K416" s="113"/>
      <c r="O416" s="113"/>
    </row>
    <row r="417" spans="3:15">
      <c r="C417" s="113"/>
      <c r="D417" s="113"/>
      <c r="H417" s="113"/>
      <c r="J417" s="113"/>
      <c r="K417" s="113"/>
      <c r="O417" s="113"/>
    </row>
    <row r="418" spans="3:15">
      <c r="C418" s="113"/>
      <c r="D418" s="113"/>
      <c r="H418" s="113"/>
      <c r="J418" s="113"/>
      <c r="K418" s="113"/>
      <c r="O418" s="113"/>
    </row>
    <row r="419" spans="3:15">
      <c r="C419" s="113"/>
      <c r="D419" s="113"/>
      <c r="H419" s="113"/>
      <c r="J419" s="113"/>
      <c r="K419" s="113"/>
      <c r="O419" s="113"/>
    </row>
    <row r="420" spans="3:15">
      <c r="C420" s="113"/>
      <c r="D420" s="113"/>
      <c r="H420" s="113"/>
      <c r="J420" s="113"/>
      <c r="K420" s="113"/>
      <c r="O420" s="113"/>
    </row>
    <row r="421" spans="3:15">
      <c r="C421" s="113"/>
      <c r="D421" s="113"/>
      <c r="H421" s="113"/>
      <c r="J421" s="113"/>
      <c r="K421" s="113"/>
      <c r="O421" s="113"/>
    </row>
    <row r="422" spans="3:15">
      <c r="C422" s="113"/>
      <c r="D422" s="113"/>
      <c r="H422" s="113"/>
      <c r="J422" s="113"/>
      <c r="K422" s="113"/>
      <c r="O422" s="113"/>
    </row>
    <row r="423" spans="3:15">
      <c r="C423" s="113"/>
      <c r="D423" s="113"/>
      <c r="H423" s="113"/>
      <c r="J423" s="113"/>
      <c r="K423" s="113"/>
      <c r="O423" s="113"/>
    </row>
    <row r="424" spans="3:15">
      <c r="C424" s="113"/>
      <c r="D424" s="113"/>
      <c r="H424" s="113"/>
      <c r="J424" s="113"/>
      <c r="K424" s="113"/>
      <c r="O424" s="113"/>
    </row>
    <row r="425" spans="3:15">
      <c r="C425" s="113"/>
      <c r="D425" s="113"/>
      <c r="H425" s="113"/>
      <c r="J425" s="113"/>
      <c r="K425" s="113"/>
      <c r="O425" s="113"/>
    </row>
    <row r="426" spans="3:15">
      <c r="C426" s="113"/>
      <c r="D426" s="113"/>
      <c r="H426" s="113"/>
      <c r="J426" s="113"/>
      <c r="K426" s="113"/>
      <c r="O426" s="113"/>
    </row>
    <row r="427" spans="3:15">
      <c r="C427" s="113"/>
      <c r="D427" s="113"/>
      <c r="H427" s="113"/>
      <c r="J427" s="113"/>
      <c r="K427" s="113"/>
      <c r="O427" s="113"/>
    </row>
    <row r="428" spans="3:15">
      <c r="C428" s="113"/>
      <c r="D428" s="113"/>
      <c r="H428" s="113"/>
      <c r="J428" s="113"/>
      <c r="K428" s="113"/>
      <c r="O428" s="113"/>
    </row>
    <row r="429" spans="3:15">
      <c r="C429" s="113"/>
      <c r="D429" s="113"/>
      <c r="H429" s="113"/>
      <c r="J429" s="113"/>
      <c r="K429" s="113"/>
      <c r="O429" s="113"/>
    </row>
    <row r="430" spans="3:15">
      <c r="C430" s="113"/>
      <c r="D430" s="113"/>
      <c r="H430" s="113"/>
      <c r="J430" s="113"/>
      <c r="K430" s="113"/>
      <c r="O430" s="113"/>
    </row>
    <row r="431" spans="3:15">
      <c r="C431" s="113"/>
      <c r="D431" s="113"/>
      <c r="H431" s="113"/>
      <c r="J431" s="113"/>
      <c r="K431" s="113"/>
      <c r="O431" s="113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42" sqref="K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H71"/>
  <sheetViews>
    <sheetView workbookViewId="0">
      <selection activeCell="C4" sqref="C4"/>
    </sheetView>
  </sheetViews>
  <sheetFormatPr defaultRowHeight="14.25"/>
  <cols>
    <col min="1" max="1" width="27.125" customWidth="1"/>
    <col min="2" max="2" width="34.625" customWidth="1"/>
  </cols>
  <sheetData>
    <row r="1" spans="1:4" s="113" customFormat="1">
      <c r="C1" s="1" t="s">
        <v>1057</v>
      </c>
      <c r="D1" s="148">
        <v>0.1</v>
      </c>
    </row>
    <row r="2" spans="1:4" s="113" customFormat="1">
      <c r="A2" s="18" t="s">
        <v>1055</v>
      </c>
      <c r="B2" s="1" t="s">
        <v>1064</v>
      </c>
      <c r="C2" s="1" t="s">
        <v>1056</v>
      </c>
    </row>
    <row r="3" spans="1:4" s="113" customFormat="1">
      <c r="A3" s="113">
        <v>500000</v>
      </c>
      <c r="B3" s="113">
        <v>250</v>
      </c>
      <c r="C3" s="113">
        <f>B3*(1+$D$1)</f>
        <v>275</v>
      </c>
    </row>
    <row r="4" spans="1:4" s="113" customFormat="1">
      <c r="A4" s="113">
        <v>1000000</v>
      </c>
      <c r="B4" s="113">
        <v>487</v>
      </c>
      <c r="C4" s="113">
        <f t="shared" ref="C4:C6" si="0">B4*(1+$D$1)</f>
        <v>535.70000000000005</v>
      </c>
    </row>
    <row r="5" spans="1:4" s="113" customFormat="1">
      <c r="A5" s="113">
        <v>1500000</v>
      </c>
      <c r="B5" s="113">
        <v>582</v>
      </c>
      <c r="C5" s="113">
        <f t="shared" si="0"/>
        <v>640.20000000000005</v>
      </c>
    </row>
    <row r="6" spans="1:4" s="113" customFormat="1">
      <c r="A6" s="113">
        <v>30000000</v>
      </c>
      <c r="B6" s="113">
        <v>921</v>
      </c>
      <c r="C6" s="113">
        <f t="shared" si="0"/>
        <v>1013.1000000000001</v>
      </c>
    </row>
    <row r="7" spans="1:4" s="113" customFormat="1"/>
    <row r="8" spans="1:4" s="113" customFormat="1">
      <c r="A8" s="18" t="s">
        <v>1058</v>
      </c>
      <c r="B8" s="1" t="s">
        <v>1065</v>
      </c>
    </row>
    <row r="9" spans="1:4" s="113" customFormat="1">
      <c r="A9" s="149" t="s">
        <v>1059</v>
      </c>
      <c r="B9" s="151">
        <v>198</v>
      </c>
    </row>
    <row r="10" spans="1:4" s="113" customFormat="1">
      <c r="A10" s="149" t="s">
        <v>1060</v>
      </c>
      <c r="B10" s="151">
        <v>385</v>
      </c>
    </row>
    <row r="11" spans="1:4" s="113" customFormat="1">
      <c r="A11" s="1" t="s">
        <v>1061</v>
      </c>
      <c r="B11" s="152">
        <v>2.8000000000000001E-2</v>
      </c>
    </row>
    <row r="12" spans="1:4" s="113" customFormat="1">
      <c r="A12" s="1" t="s">
        <v>267</v>
      </c>
      <c r="B12" s="152">
        <v>1.0999999999999999E-2</v>
      </c>
    </row>
    <row r="15" spans="1:4" ht="15">
      <c r="A15" s="84" t="s">
        <v>199</v>
      </c>
    </row>
    <row r="16" spans="1:4">
      <c r="B16" s="1"/>
    </row>
    <row r="17" spans="1:2" ht="15.75" thickBot="1">
      <c r="A17" s="75" t="s">
        <v>200</v>
      </c>
    </row>
    <row r="18" spans="1:2" ht="15.75" thickBot="1">
      <c r="A18" s="77" t="s">
        <v>201</v>
      </c>
      <c r="B18" s="78" t="s">
        <v>202</v>
      </c>
    </row>
    <row r="19" spans="1:2" ht="15.75" thickBot="1">
      <c r="A19" s="79" t="s">
        <v>203</v>
      </c>
      <c r="B19" s="76" t="s">
        <v>204</v>
      </c>
    </row>
    <row r="20" spans="1:2" ht="15.75" thickBot="1">
      <c r="A20" s="79" t="s">
        <v>205</v>
      </c>
      <c r="B20" s="76" t="s">
        <v>206</v>
      </c>
    </row>
    <row r="21" spans="1:2" ht="15.75" thickBot="1">
      <c r="A21" s="79" t="s">
        <v>207</v>
      </c>
      <c r="B21" s="76" t="s">
        <v>208</v>
      </c>
    </row>
    <row r="22" spans="1:2" ht="15.75" thickBot="1">
      <c r="A22" s="79" t="s">
        <v>209</v>
      </c>
      <c r="B22" s="76" t="s">
        <v>210</v>
      </c>
    </row>
    <row r="23" spans="1:2" ht="15.75" thickBot="1">
      <c r="A23" s="80" t="s">
        <v>211</v>
      </c>
      <c r="B23" s="81" t="s">
        <v>212</v>
      </c>
    </row>
    <row r="24" spans="1:2" ht="15.75" thickBot="1">
      <c r="A24" s="82" t="s">
        <v>213</v>
      </c>
      <c r="B24" s="83" t="s">
        <v>214</v>
      </c>
    </row>
    <row r="25" spans="1:2" ht="15.75" thickBot="1">
      <c r="A25" s="79" t="s">
        <v>215</v>
      </c>
      <c r="B25" s="76" t="s">
        <v>216</v>
      </c>
    </row>
    <row r="26" spans="1:2" ht="15.75" thickBot="1">
      <c r="A26" s="79" t="s">
        <v>217</v>
      </c>
      <c r="B26" s="76" t="s">
        <v>218</v>
      </c>
    </row>
    <row r="27" spans="1:2" ht="15.75" thickBot="1">
      <c r="A27" s="75" t="s">
        <v>219</v>
      </c>
    </row>
    <row r="28" spans="1:2" ht="15.75" thickBot="1">
      <c r="A28" s="77" t="s">
        <v>201</v>
      </c>
      <c r="B28" s="78" t="s">
        <v>202</v>
      </c>
    </row>
    <row r="29" spans="1:2" ht="15.75" thickBot="1">
      <c r="A29" s="79" t="s">
        <v>205</v>
      </c>
      <c r="B29" s="76" t="s">
        <v>206</v>
      </c>
    </row>
    <row r="30" spans="1:2" ht="15.75" thickBot="1">
      <c r="A30" s="79" t="s">
        <v>207</v>
      </c>
      <c r="B30" s="76" t="s">
        <v>220</v>
      </c>
    </row>
    <row r="31" spans="1:2" ht="15.75" thickBot="1">
      <c r="A31" s="79" t="s">
        <v>209</v>
      </c>
      <c r="B31" s="76" t="s">
        <v>221</v>
      </c>
    </row>
    <row r="32" spans="1:2" ht="15.75" thickBot="1">
      <c r="A32" s="80" t="s">
        <v>222</v>
      </c>
      <c r="B32" s="81" t="s">
        <v>223</v>
      </c>
    </row>
    <row r="35" spans="1:8" ht="15">
      <c r="A35" s="84" t="s">
        <v>224</v>
      </c>
    </row>
    <row r="36" spans="1:8" ht="15" thickBot="1"/>
    <row r="37" spans="1:8" ht="15.75" thickBot="1">
      <c r="A37" s="77" t="s">
        <v>225</v>
      </c>
      <c r="B37" s="78" t="s">
        <v>191</v>
      </c>
    </row>
    <row r="38" spans="1:8" ht="15.75" thickBot="1">
      <c r="A38" s="79" t="s">
        <v>205</v>
      </c>
      <c r="B38" s="76" t="s">
        <v>226</v>
      </c>
    </row>
    <row r="39" spans="1:8" ht="15.75" thickBot="1">
      <c r="A39" s="79" t="s">
        <v>207</v>
      </c>
      <c r="B39" s="76" t="s">
        <v>227</v>
      </c>
    </row>
    <row r="40" spans="1:8" ht="15.75" thickBot="1">
      <c r="A40" s="79" t="s">
        <v>228</v>
      </c>
      <c r="B40" s="76" t="s">
        <v>229</v>
      </c>
    </row>
    <row r="41" spans="1:8" ht="15.75" thickBot="1">
      <c r="A41" s="79" t="s">
        <v>209</v>
      </c>
      <c r="B41" s="76" t="s">
        <v>230</v>
      </c>
    </row>
    <row r="42" spans="1:8" ht="15.75" thickBot="1">
      <c r="A42" s="79" t="s">
        <v>211</v>
      </c>
      <c r="B42" s="76" t="s">
        <v>231</v>
      </c>
    </row>
    <row r="43" spans="1:8" ht="15.75" thickBot="1">
      <c r="A43" s="79" t="s">
        <v>232</v>
      </c>
      <c r="B43" s="76" t="s">
        <v>233</v>
      </c>
    </row>
    <row r="44" spans="1:8" ht="15">
      <c r="A44" s="86" t="s">
        <v>234</v>
      </c>
      <c r="B44" s="258" t="s">
        <v>236</v>
      </c>
    </row>
    <row r="45" spans="1:8" ht="30.75" thickBot="1">
      <c r="A45" s="79" t="s">
        <v>235</v>
      </c>
      <c r="B45" s="259"/>
    </row>
    <row r="47" spans="1:8" ht="15" thickBot="1"/>
    <row r="48" spans="1:8" ht="15" thickBot="1">
      <c r="A48" s="260" t="s">
        <v>185</v>
      </c>
      <c r="B48" s="261"/>
      <c r="C48" s="264" t="s">
        <v>237</v>
      </c>
      <c r="D48" s="265"/>
      <c r="E48" s="265"/>
      <c r="F48" s="265"/>
      <c r="G48" s="266"/>
      <c r="H48" s="92"/>
    </row>
    <row r="49" spans="1:8" ht="15" thickBot="1">
      <c r="A49" s="262"/>
      <c r="B49" s="263"/>
      <c r="C49" s="267" t="s">
        <v>238</v>
      </c>
      <c r="D49" s="268"/>
      <c r="E49" s="87" t="s">
        <v>239</v>
      </c>
      <c r="F49" s="269" t="s">
        <v>240</v>
      </c>
      <c r="G49" s="270"/>
    </row>
    <row r="50" spans="1:8" ht="15" thickBot="1">
      <c r="A50" s="93" t="s">
        <v>241</v>
      </c>
      <c r="B50" s="88" t="s">
        <v>242</v>
      </c>
      <c r="C50" s="88" t="s">
        <v>243</v>
      </c>
      <c r="D50" s="89" t="s">
        <v>242</v>
      </c>
      <c r="E50" s="89" t="s">
        <v>243</v>
      </c>
      <c r="F50" s="87" t="s">
        <v>243</v>
      </c>
      <c r="G50" s="90" t="s">
        <v>242</v>
      </c>
      <c r="H50" s="90" t="s">
        <v>243</v>
      </c>
    </row>
    <row r="51" spans="1:8" ht="28.5" customHeight="1" thickBot="1">
      <c r="A51" s="94" t="s">
        <v>244</v>
      </c>
      <c r="B51" s="255" t="s">
        <v>245</v>
      </c>
      <c r="C51" s="256"/>
      <c r="D51" s="255" t="s">
        <v>246</v>
      </c>
      <c r="E51" s="257"/>
      <c r="F51" s="257"/>
      <c r="G51" s="257"/>
      <c r="H51" s="256"/>
    </row>
    <row r="52" spans="1:8" ht="43.5" thickBot="1">
      <c r="A52" s="94" t="s">
        <v>247</v>
      </c>
      <c r="B52" s="255" t="s">
        <v>248</v>
      </c>
      <c r="C52" s="256"/>
      <c r="D52" s="91" t="s">
        <v>249</v>
      </c>
      <c r="E52" s="91" t="s">
        <v>250</v>
      </c>
      <c r="F52" s="91" t="s">
        <v>250</v>
      </c>
      <c r="G52" s="91" t="s">
        <v>249</v>
      </c>
      <c r="H52" s="91" t="s">
        <v>250</v>
      </c>
    </row>
    <row r="53" spans="1:8" ht="15" thickBot="1">
      <c r="A53" s="94" t="s">
        <v>251</v>
      </c>
      <c r="B53" s="255" t="s">
        <v>252</v>
      </c>
      <c r="C53" s="256"/>
      <c r="D53" s="255" t="s">
        <v>238</v>
      </c>
      <c r="E53" s="256"/>
      <c r="F53" s="91" t="s">
        <v>253</v>
      </c>
      <c r="G53" s="255" t="s">
        <v>254</v>
      </c>
      <c r="H53" s="256"/>
    </row>
    <row r="54" spans="1:8" ht="15" thickBot="1">
      <c r="A54" s="94" t="s">
        <v>191</v>
      </c>
      <c r="B54" s="255" t="s">
        <v>255</v>
      </c>
      <c r="C54" s="257"/>
      <c r="D54" s="257"/>
      <c r="E54" s="257"/>
      <c r="F54" s="256"/>
      <c r="G54" s="255" t="s">
        <v>256</v>
      </c>
      <c r="H54" s="256"/>
    </row>
    <row r="55" spans="1:8" ht="42.75">
      <c r="A55" s="150" t="s">
        <v>1061</v>
      </c>
      <c r="B55" s="85" t="s">
        <v>258</v>
      </c>
      <c r="C55" s="258" t="s">
        <v>261</v>
      </c>
      <c r="D55" s="85" t="s">
        <v>258</v>
      </c>
      <c r="E55" s="258" t="s">
        <v>261</v>
      </c>
      <c r="F55" s="258" t="s">
        <v>261</v>
      </c>
      <c r="G55" s="85" t="s">
        <v>264</v>
      </c>
      <c r="H55" s="258" t="s">
        <v>261</v>
      </c>
    </row>
    <row r="56" spans="1:8" ht="42.75">
      <c r="A56" s="95" t="s">
        <v>257</v>
      </c>
      <c r="B56" s="96" t="s">
        <v>1063</v>
      </c>
      <c r="C56" s="271"/>
      <c r="D56" s="85" t="s">
        <v>262</v>
      </c>
      <c r="E56" s="271"/>
      <c r="F56" s="271"/>
      <c r="G56" s="85" t="s">
        <v>265</v>
      </c>
      <c r="H56" s="271"/>
    </row>
    <row r="57" spans="1:8" ht="42.75">
      <c r="A57" s="95"/>
      <c r="B57" s="85" t="s">
        <v>259</v>
      </c>
      <c r="C57" s="271"/>
      <c r="D57" s="85" t="s">
        <v>259</v>
      </c>
      <c r="E57" s="271"/>
      <c r="F57" s="271"/>
      <c r="G57" s="85" t="s">
        <v>266</v>
      </c>
      <c r="H57" s="271"/>
    </row>
    <row r="58" spans="1:8" ht="15" thickBot="1">
      <c r="A58" s="94"/>
      <c r="B58" s="91" t="s">
        <v>260</v>
      </c>
      <c r="C58" s="259"/>
      <c r="D58" s="91" t="s">
        <v>263</v>
      </c>
      <c r="E58" s="259"/>
      <c r="F58" s="259"/>
      <c r="G58" s="91"/>
      <c r="H58" s="259"/>
    </row>
    <row r="59" spans="1:8" ht="42.75">
      <c r="A59" s="150" t="s">
        <v>1062</v>
      </c>
      <c r="B59" s="258" t="s">
        <v>261</v>
      </c>
      <c r="C59" s="272">
        <v>1.0999999999999999E-2</v>
      </c>
      <c r="D59" s="258" t="s">
        <v>261</v>
      </c>
      <c r="E59" s="275">
        <v>1.0999999999999999E-2</v>
      </c>
      <c r="F59" s="275">
        <v>3.9E-2</v>
      </c>
      <c r="G59" s="258" t="s">
        <v>261</v>
      </c>
      <c r="H59" s="85" t="s">
        <v>264</v>
      </c>
    </row>
    <row r="60" spans="1:8" ht="42.75">
      <c r="A60" s="95" t="s">
        <v>257</v>
      </c>
      <c r="B60" s="271"/>
      <c r="C60" s="273"/>
      <c r="D60" s="271"/>
      <c r="E60" s="276"/>
      <c r="F60" s="276"/>
      <c r="G60" s="271"/>
      <c r="H60" s="85" t="s">
        <v>265</v>
      </c>
    </row>
    <row r="61" spans="1:8" ht="43.5" thickBot="1">
      <c r="A61" s="94"/>
      <c r="B61" s="259"/>
      <c r="C61" s="274"/>
      <c r="D61" s="259"/>
      <c r="E61" s="277"/>
      <c r="F61" s="277"/>
      <c r="G61" s="259"/>
      <c r="H61" s="91" t="s">
        <v>266</v>
      </c>
    </row>
    <row r="62" spans="1:8" ht="127.5" customHeight="1">
      <c r="A62" s="95" t="s">
        <v>268</v>
      </c>
      <c r="B62" s="258" t="s">
        <v>261</v>
      </c>
      <c r="C62" s="286" t="s">
        <v>270</v>
      </c>
      <c r="D62" s="258" t="s">
        <v>261</v>
      </c>
      <c r="E62" s="258" t="s">
        <v>261</v>
      </c>
      <c r="F62" s="258" t="s">
        <v>261</v>
      </c>
      <c r="G62" s="258" t="s">
        <v>261</v>
      </c>
      <c r="H62" s="258" t="s">
        <v>271</v>
      </c>
    </row>
    <row r="63" spans="1:8" ht="15" thickBot="1">
      <c r="A63" s="94" t="s">
        <v>269</v>
      </c>
      <c r="B63" s="259"/>
      <c r="C63" s="287"/>
      <c r="D63" s="259"/>
      <c r="E63" s="259"/>
      <c r="F63" s="259"/>
      <c r="G63" s="259"/>
      <c r="H63" s="259"/>
    </row>
    <row r="64" spans="1:8" ht="15" thickBot="1">
      <c r="A64" s="94" t="s">
        <v>272</v>
      </c>
      <c r="B64" s="255" t="s">
        <v>273</v>
      </c>
      <c r="C64" s="257"/>
      <c r="D64" s="257"/>
      <c r="E64" s="257"/>
      <c r="F64" s="257"/>
      <c r="G64" s="257"/>
      <c r="H64" s="256"/>
    </row>
    <row r="65" spans="1:8" ht="14.25" customHeight="1">
      <c r="A65" s="278" t="s">
        <v>274</v>
      </c>
      <c r="B65" s="280" t="s">
        <v>275</v>
      </c>
      <c r="C65" s="281"/>
      <c r="D65" s="281"/>
      <c r="E65" s="281"/>
      <c r="F65" s="281"/>
      <c r="G65" s="281"/>
      <c r="H65" s="282"/>
    </row>
    <row r="66" spans="1:8" ht="15" thickBot="1">
      <c r="A66" s="279"/>
      <c r="B66" s="283" t="s">
        <v>276</v>
      </c>
      <c r="C66" s="284"/>
      <c r="D66" s="284"/>
      <c r="E66" s="284"/>
      <c r="F66" s="284"/>
      <c r="G66" s="284"/>
      <c r="H66" s="285"/>
    </row>
    <row r="67" spans="1:8" ht="14.25" customHeight="1">
      <c r="A67" s="278" t="s">
        <v>277</v>
      </c>
      <c r="B67" s="280" t="s">
        <v>278</v>
      </c>
      <c r="C67" s="281"/>
      <c r="D67" s="281"/>
      <c r="E67" s="281"/>
      <c r="F67" s="281"/>
      <c r="G67" s="281"/>
      <c r="H67" s="282"/>
    </row>
    <row r="68" spans="1:8" ht="15" thickBot="1">
      <c r="A68" s="279"/>
      <c r="B68" s="283" t="s">
        <v>279</v>
      </c>
      <c r="C68" s="284"/>
      <c r="D68" s="284"/>
      <c r="E68" s="284"/>
      <c r="F68" s="284"/>
      <c r="G68" s="284"/>
      <c r="H68" s="285"/>
    </row>
    <row r="69" spans="1:8" ht="28.5" customHeight="1">
      <c r="A69" s="278" t="s">
        <v>280</v>
      </c>
      <c r="B69" s="280" t="s">
        <v>281</v>
      </c>
      <c r="C69" s="281"/>
      <c r="D69" s="282"/>
      <c r="E69" s="280" t="s">
        <v>282</v>
      </c>
      <c r="F69" s="281"/>
      <c r="G69" s="281"/>
      <c r="H69" s="282"/>
    </row>
    <row r="70" spans="1:8" ht="28.5" customHeight="1">
      <c r="A70" s="288"/>
      <c r="B70" s="289"/>
      <c r="C70" s="290"/>
      <c r="D70" s="291"/>
      <c r="E70" s="289" t="s">
        <v>283</v>
      </c>
      <c r="F70" s="290"/>
      <c r="G70" s="290"/>
      <c r="H70" s="291"/>
    </row>
    <row r="71" spans="1:8" ht="28.5" customHeight="1" thickBot="1">
      <c r="A71" s="279"/>
      <c r="B71" s="283"/>
      <c r="C71" s="284"/>
      <c r="D71" s="285"/>
      <c r="E71" s="283" t="s">
        <v>284</v>
      </c>
      <c r="F71" s="284"/>
      <c r="G71" s="284"/>
      <c r="H71" s="285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T42" sqref="T42"/>
    </sheetView>
  </sheetViews>
  <sheetFormatPr defaultRowHeight="14.25"/>
  <sheetData/>
  <phoneticPr fontId="1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J598"/>
  <sheetViews>
    <sheetView showGridLines="0" zoomScaleNormal="100" workbookViewId="0">
      <selection activeCell="K37" sqref="K37"/>
    </sheetView>
  </sheetViews>
  <sheetFormatPr defaultRowHeight="14.25"/>
  <cols>
    <col min="5" max="5" width="7" customWidth="1"/>
    <col min="8" max="8" width="26.5" customWidth="1"/>
  </cols>
  <sheetData>
    <row r="1" spans="1:10">
      <c r="A1" s="113" t="s">
        <v>376</v>
      </c>
      <c r="B1" s="113" t="s">
        <v>377</v>
      </c>
      <c r="C1" s="113" t="s">
        <v>378</v>
      </c>
      <c r="D1" s="113" t="s">
        <v>379</v>
      </c>
      <c r="E1" s="113" t="s">
        <v>380</v>
      </c>
      <c r="F1" s="113" t="s">
        <v>381</v>
      </c>
      <c r="G1" s="113" t="s">
        <v>382</v>
      </c>
      <c r="H1" s="113" t="s">
        <v>383</v>
      </c>
      <c r="I1" s="113" t="s">
        <v>384</v>
      </c>
    </row>
    <row r="2" spans="1:10">
      <c r="A2" s="113" t="s">
        <v>415</v>
      </c>
      <c r="B2" s="113" t="s">
        <v>385</v>
      </c>
      <c r="C2" s="113" t="s">
        <v>390</v>
      </c>
      <c r="D2" s="113" t="s">
        <v>387</v>
      </c>
      <c r="E2">
        <v>2929</v>
      </c>
      <c r="F2" s="113" t="s">
        <v>416</v>
      </c>
      <c r="G2" s="113" t="s">
        <v>396</v>
      </c>
      <c r="H2" s="113" t="s">
        <v>389</v>
      </c>
      <c r="I2">
        <v>144</v>
      </c>
    </row>
    <row r="3" spans="1:10">
      <c r="A3" s="113" t="s">
        <v>415</v>
      </c>
      <c r="B3" s="113" t="s">
        <v>385</v>
      </c>
      <c r="C3" s="113" t="s">
        <v>397</v>
      </c>
      <c r="D3" s="113" t="s">
        <v>387</v>
      </c>
      <c r="E3">
        <v>3031</v>
      </c>
      <c r="F3" s="113" t="s">
        <v>417</v>
      </c>
      <c r="G3" s="113" t="s">
        <v>388</v>
      </c>
      <c r="H3" s="113" t="s">
        <v>394</v>
      </c>
      <c r="I3">
        <v>150</v>
      </c>
    </row>
    <row r="4" spans="1:10">
      <c r="A4" s="113" t="s">
        <v>415</v>
      </c>
      <c r="B4" s="113" t="s">
        <v>385</v>
      </c>
      <c r="C4" s="113" t="s">
        <v>390</v>
      </c>
      <c r="D4" s="113" t="s">
        <v>387</v>
      </c>
      <c r="E4">
        <v>6778</v>
      </c>
      <c r="F4" s="113" t="s">
        <v>418</v>
      </c>
      <c r="G4" s="113" t="s">
        <v>396</v>
      </c>
      <c r="H4" s="113" t="s">
        <v>413</v>
      </c>
      <c r="I4">
        <v>149</v>
      </c>
    </row>
    <row r="5" spans="1:10">
      <c r="A5" s="113" t="s">
        <v>415</v>
      </c>
      <c r="B5" s="113" t="s">
        <v>385</v>
      </c>
      <c r="C5" s="113" t="s">
        <v>386</v>
      </c>
      <c r="D5" s="113" t="s">
        <v>387</v>
      </c>
      <c r="E5">
        <v>9632</v>
      </c>
      <c r="F5" s="113" t="s">
        <v>419</v>
      </c>
      <c r="G5" s="113" t="s">
        <v>388</v>
      </c>
      <c r="H5" s="113" t="s">
        <v>393</v>
      </c>
      <c r="I5">
        <v>213</v>
      </c>
    </row>
    <row r="6" spans="1:10">
      <c r="A6" s="113" t="s">
        <v>420</v>
      </c>
      <c r="B6" s="113" t="s">
        <v>608</v>
      </c>
      <c r="C6" s="113" t="s">
        <v>390</v>
      </c>
      <c r="D6" s="113" t="s">
        <v>387</v>
      </c>
      <c r="E6">
        <v>3662</v>
      </c>
      <c r="F6" s="113" t="s">
        <v>428</v>
      </c>
      <c r="G6" s="113" t="s">
        <v>388</v>
      </c>
      <c r="H6" s="113" t="s">
        <v>399</v>
      </c>
      <c r="I6">
        <v>224</v>
      </c>
    </row>
    <row r="7" spans="1:10">
      <c r="A7" s="113" t="s">
        <v>420</v>
      </c>
      <c r="B7" s="113" t="s">
        <v>385</v>
      </c>
      <c r="C7" s="113" t="s">
        <v>386</v>
      </c>
      <c r="D7" s="113" t="s">
        <v>387</v>
      </c>
      <c r="E7">
        <v>1928</v>
      </c>
      <c r="F7" s="113" t="s">
        <v>421</v>
      </c>
      <c r="G7" s="113" t="s">
        <v>388</v>
      </c>
      <c r="H7" s="113" t="s">
        <v>422</v>
      </c>
      <c r="I7" s="113" t="s">
        <v>423</v>
      </c>
      <c r="J7" s="113" t="s">
        <v>1073</v>
      </c>
    </row>
    <row r="8" spans="1:10">
      <c r="A8" s="113" t="s">
        <v>420</v>
      </c>
      <c r="B8" s="113" t="s">
        <v>385</v>
      </c>
      <c r="C8" s="113" t="s">
        <v>390</v>
      </c>
      <c r="D8" s="113" t="s">
        <v>387</v>
      </c>
      <c r="E8">
        <v>2353</v>
      </c>
      <c r="F8" s="113" t="s">
        <v>424</v>
      </c>
      <c r="G8" s="113" t="s">
        <v>388</v>
      </c>
      <c r="H8" s="113" t="s">
        <v>414</v>
      </c>
      <c r="I8">
        <v>585</v>
      </c>
    </row>
    <row r="9" spans="1:10">
      <c r="A9" s="113" t="s">
        <v>420</v>
      </c>
      <c r="B9" s="113" t="s">
        <v>385</v>
      </c>
      <c r="C9" s="113" t="s">
        <v>395</v>
      </c>
      <c r="D9" s="113" t="s">
        <v>387</v>
      </c>
      <c r="E9">
        <v>2373</v>
      </c>
      <c r="F9" s="113" t="s">
        <v>425</v>
      </c>
      <c r="G9" s="113" t="s">
        <v>392</v>
      </c>
      <c r="H9" s="113" t="s">
        <v>393</v>
      </c>
      <c r="I9">
        <v>87</v>
      </c>
    </row>
    <row r="10" spans="1:10">
      <c r="A10" s="113" t="s">
        <v>420</v>
      </c>
      <c r="B10" s="113" t="s">
        <v>385</v>
      </c>
      <c r="C10" s="113" t="s">
        <v>390</v>
      </c>
      <c r="D10" s="113" t="s">
        <v>391</v>
      </c>
      <c r="E10">
        <v>3193</v>
      </c>
      <c r="F10" s="113" t="s">
        <v>426</v>
      </c>
      <c r="G10" s="113" t="s">
        <v>388</v>
      </c>
      <c r="H10" s="113" t="s">
        <v>398</v>
      </c>
      <c r="I10">
        <v>223</v>
      </c>
    </row>
    <row r="11" spans="1:10">
      <c r="A11" s="113" t="s">
        <v>420</v>
      </c>
      <c r="B11" s="113" t="s">
        <v>385</v>
      </c>
      <c r="C11" s="113" t="s">
        <v>386</v>
      </c>
      <c r="D11" s="113" t="s">
        <v>387</v>
      </c>
      <c r="E11">
        <v>3657</v>
      </c>
      <c r="F11" s="113" t="s">
        <v>427</v>
      </c>
      <c r="G11" s="113" t="s">
        <v>388</v>
      </c>
      <c r="H11" s="113" t="s">
        <v>399</v>
      </c>
      <c r="I11">
        <v>419</v>
      </c>
    </row>
    <row r="12" spans="1:10">
      <c r="A12" s="113" t="s">
        <v>420</v>
      </c>
      <c r="B12" s="113" t="s">
        <v>385</v>
      </c>
      <c r="C12" s="113" t="s">
        <v>395</v>
      </c>
      <c r="D12" s="113" t="s">
        <v>391</v>
      </c>
      <c r="E12">
        <v>3733</v>
      </c>
      <c r="F12" s="113" t="s">
        <v>429</v>
      </c>
      <c r="G12" s="113" t="s">
        <v>392</v>
      </c>
      <c r="H12" s="113" t="s">
        <v>399</v>
      </c>
      <c r="I12">
        <v>645</v>
      </c>
    </row>
    <row r="13" spans="1:10">
      <c r="A13" s="113" t="s">
        <v>420</v>
      </c>
      <c r="B13" s="113" t="s">
        <v>385</v>
      </c>
      <c r="C13" s="113" t="s">
        <v>390</v>
      </c>
      <c r="D13" s="113" t="s">
        <v>387</v>
      </c>
      <c r="E13">
        <v>3854</v>
      </c>
      <c r="F13" s="113" t="s">
        <v>430</v>
      </c>
      <c r="G13" s="113" t="s">
        <v>388</v>
      </c>
      <c r="H13" s="113" t="s">
        <v>399</v>
      </c>
      <c r="I13">
        <v>397</v>
      </c>
    </row>
    <row r="14" spans="1:10">
      <c r="A14" s="113" t="s">
        <v>420</v>
      </c>
      <c r="B14" s="113" t="s">
        <v>385</v>
      </c>
      <c r="C14" s="113" t="s">
        <v>397</v>
      </c>
      <c r="D14" s="113" t="s">
        <v>387</v>
      </c>
      <c r="E14">
        <v>3903</v>
      </c>
      <c r="F14" s="113" t="s">
        <v>431</v>
      </c>
      <c r="G14" s="113" t="s">
        <v>388</v>
      </c>
      <c r="H14" s="113" t="s">
        <v>399</v>
      </c>
      <c r="I14">
        <v>233</v>
      </c>
    </row>
    <row r="15" spans="1:10">
      <c r="A15" s="113" t="s">
        <v>420</v>
      </c>
      <c r="B15" s="113" t="s">
        <v>385</v>
      </c>
      <c r="C15" s="113" t="s">
        <v>386</v>
      </c>
      <c r="D15" s="113" t="s">
        <v>387</v>
      </c>
      <c r="E15">
        <v>4334</v>
      </c>
      <c r="F15" s="113" t="s">
        <v>432</v>
      </c>
      <c r="G15" s="113" t="s">
        <v>392</v>
      </c>
      <c r="H15" s="113" t="s">
        <v>399</v>
      </c>
      <c r="I15">
        <v>62</v>
      </c>
    </row>
    <row r="16" spans="1:10">
      <c r="A16" s="113" t="s">
        <v>420</v>
      </c>
      <c r="B16" s="113" t="s">
        <v>385</v>
      </c>
      <c r="C16" s="113" t="s">
        <v>397</v>
      </c>
      <c r="D16" s="113" t="s">
        <v>391</v>
      </c>
      <c r="E16">
        <v>4382</v>
      </c>
      <c r="F16" s="113" t="s">
        <v>433</v>
      </c>
      <c r="G16" s="113" t="s">
        <v>400</v>
      </c>
      <c r="H16" s="113" t="s">
        <v>399</v>
      </c>
      <c r="I16" s="113">
        <v>844</v>
      </c>
      <c r="J16" s="113"/>
    </row>
    <row r="17" spans="1:10">
      <c r="A17" s="113" t="s">
        <v>420</v>
      </c>
      <c r="B17" s="113" t="s">
        <v>385</v>
      </c>
      <c r="C17" s="113" t="s">
        <v>390</v>
      </c>
      <c r="D17" s="113" t="s">
        <v>387</v>
      </c>
      <c r="E17">
        <v>6040</v>
      </c>
      <c r="F17" s="113" t="s">
        <v>434</v>
      </c>
      <c r="G17" s="113" t="s">
        <v>400</v>
      </c>
      <c r="H17" s="113" t="s">
        <v>393</v>
      </c>
      <c r="I17" s="113">
        <v>138</v>
      </c>
      <c r="J17" s="113"/>
    </row>
    <row r="18" spans="1:10">
      <c r="A18" s="113" t="s">
        <v>420</v>
      </c>
      <c r="B18" s="113" t="s">
        <v>385</v>
      </c>
      <c r="C18" s="113" t="s">
        <v>395</v>
      </c>
      <c r="D18" s="113" t="s">
        <v>387</v>
      </c>
      <c r="E18">
        <v>6309</v>
      </c>
      <c r="F18" s="113" t="s">
        <v>435</v>
      </c>
      <c r="G18" s="113" t="s">
        <v>388</v>
      </c>
      <c r="H18" s="113" t="s">
        <v>409</v>
      </c>
      <c r="I18">
        <v>238</v>
      </c>
    </row>
    <row r="19" spans="1:10">
      <c r="A19" s="113" t="s">
        <v>420</v>
      </c>
      <c r="B19" s="113" t="s">
        <v>385</v>
      </c>
      <c r="C19" s="113" t="s">
        <v>397</v>
      </c>
      <c r="D19" s="113" t="s">
        <v>387</v>
      </c>
      <c r="E19">
        <v>6656</v>
      </c>
      <c r="F19" s="113" t="s">
        <v>436</v>
      </c>
      <c r="G19" s="113" t="s">
        <v>396</v>
      </c>
      <c r="H19" s="113" t="s">
        <v>413</v>
      </c>
      <c r="I19">
        <v>49</v>
      </c>
    </row>
    <row r="20" spans="1:10">
      <c r="A20" s="113" t="s">
        <v>420</v>
      </c>
      <c r="B20" s="113" t="s">
        <v>385</v>
      </c>
      <c r="C20" s="113" t="s">
        <v>386</v>
      </c>
      <c r="D20" s="113" t="s">
        <v>387</v>
      </c>
      <c r="E20">
        <v>6898</v>
      </c>
      <c r="F20" s="113" t="s">
        <v>437</v>
      </c>
      <c r="G20" s="113" t="s">
        <v>392</v>
      </c>
      <c r="H20" s="113" t="s">
        <v>413</v>
      </c>
      <c r="I20">
        <v>14</v>
      </c>
    </row>
    <row r="21" spans="1:10">
      <c r="A21" s="113" t="s">
        <v>420</v>
      </c>
      <c r="B21" s="113" t="s">
        <v>385</v>
      </c>
      <c r="C21" s="113" t="s">
        <v>395</v>
      </c>
      <c r="D21" s="113" t="s">
        <v>391</v>
      </c>
      <c r="E21">
        <v>7265</v>
      </c>
      <c r="F21" s="113" t="s">
        <v>438</v>
      </c>
      <c r="G21" s="113" t="s">
        <v>392</v>
      </c>
      <c r="H21" s="113" t="s">
        <v>439</v>
      </c>
      <c r="I21" s="113">
        <v>32</v>
      </c>
      <c r="J21" s="113"/>
    </row>
    <row r="22" spans="1:10">
      <c r="A22" s="113" t="s">
        <v>420</v>
      </c>
      <c r="B22" s="113" t="s">
        <v>385</v>
      </c>
      <c r="C22" s="113" t="s">
        <v>395</v>
      </c>
      <c r="D22" s="113" t="s">
        <v>387</v>
      </c>
      <c r="E22">
        <v>7640</v>
      </c>
      <c r="F22" s="113" t="s">
        <v>440</v>
      </c>
      <c r="G22" s="113" t="s">
        <v>388</v>
      </c>
      <c r="H22" s="113" t="s">
        <v>398</v>
      </c>
      <c r="I22" s="113">
        <v>43</v>
      </c>
      <c r="J22" s="113"/>
    </row>
    <row r="23" spans="1:10">
      <c r="A23" s="113" t="s">
        <v>420</v>
      </c>
      <c r="B23" s="113" t="s">
        <v>385</v>
      </c>
      <c r="C23" s="113" t="s">
        <v>386</v>
      </c>
      <c r="D23" s="113" t="s">
        <v>391</v>
      </c>
      <c r="E23">
        <v>7878</v>
      </c>
      <c r="F23" s="113" t="s">
        <v>441</v>
      </c>
      <c r="G23" s="113" t="s">
        <v>392</v>
      </c>
      <c r="H23" s="113" t="s">
        <v>410</v>
      </c>
      <c r="I23">
        <v>10</v>
      </c>
    </row>
    <row r="24" spans="1:10">
      <c r="A24" s="113" t="s">
        <v>420</v>
      </c>
      <c r="B24" s="113" t="s">
        <v>385</v>
      </c>
      <c r="C24" s="113" t="s">
        <v>395</v>
      </c>
      <c r="D24" s="113" t="s">
        <v>387</v>
      </c>
      <c r="E24">
        <v>9678</v>
      </c>
      <c r="F24" s="113" t="s">
        <v>442</v>
      </c>
      <c r="G24" s="113" t="s">
        <v>388</v>
      </c>
      <c r="H24" s="113" t="s">
        <v>393</v>
      </c>
      <c r="I24" s="113" t="s">
        <v>443</v>
      </c>
      <c r="J24" s="113" t="s">
        <v>1046</v>
      </c>
    </row>
    <row r="25" spans="1:10">
      <c r="A25" s="113" t="s">
        <v>420</v>
      </c>
      <c r="B25" s="113" t="s">
        <v>385</v>
      </c>
      <c r="C25" s="113" t="s">
        <v>386</v>
      </c>
      <c r="D25" s="113" t="s">
        <v>391</v>
      </c>
      <c r="E25">
        <v>9734</v>
      </c>
      <c r="F25" s="113" t="s">
        <v>444</v>
      </c>
      <c r="G25" s="113" t="s">
        <v>392</v>
      </c>
      <c r="H25" s="113" t="s">
        <v>393</v>
      </c>
      <c r="I25">
        <v>30</v>
      </c>
    </row>
    <row r="26" spans="1:10">
      <c r="A26" s="113" t="s">
        <v>420</v>
      </c>
      <c r="B26" s="113" t="s">
        <v>385</v>
      </c>
      <c r="C26" s="113" t="s">
        <v>386</v>
      </c>
      <c r="D26" s="113" t="s">
        <v>387</v>
      </c>
      <c r="E26">
        <v>9743</v>
      </c>
      <c r="F26" s="113" t="s">
        <v>445</v>
      </c>
      <c r="G26" s="113" t="s">
        <v>388</v>
      </c>
      <c r="H26" s="113" t="s">
        <v>393</v>
      </c>
      <c r="I26">
        <v>616</v>
      </c>
    </row>
    <row r="27" spans="1:10">
      <c r="A27" s="113" t="s">
        <v>446</v>
      </c>
      <c r="B27" s="113" t="s">
        <v>447</v>
      </c>
      <c r="C27" s="113" t="s">
        <v>386</v>
      </c>
      <c r="D27" s="113" t="s">
        <v>391</v>
      </c>
      <c r="E27">
        <v>2163</v>
      </c>
      <c r="F27" s="113" t="s">
        <v>448</v>
      </c>
      <c r="G27" s="113" t="s">
        <v>388</v>
      </c>
      <c r="H27" s="113" t="s">
        <v>393</v>
      </c>
      <c r="I27">
        <v>82</v>
      </c>
    </row>
    <row r="28" spans="1:10">
      <c r="A28" s="113" t="s">
        <v>446</v>
      </c>
      <c r="B28" s="113" t="s">
        <v>385</v>
      </c>
      <c r="C28" s="113" t="s">
        <v>395</v>
      </c>
      <c r="D28" s="113" t="s">
        <v>391</v>
      </c>
      <c r="E28">
        <v>2301</v>
      </c>
      <c r="F28" s="113" t="s">
        <v>449</v>
      </c>
      <c r="G28" s="113" t="s">
        <v>388</v>
      </c>
      <c r="H28" s="113" t="s">
        <v>393</v>
      </c>
      <c r="I28">
        <v>248</v>
      </c>
    </row>
    <row r="29" spans="1:10">
      <c r="A29" s="113" t="s">
        <v>446</v>
      </c>
      <c r="B29" s="113" t="s">
        <v>385</v>
      </c>
      <c r="C29" s="113" t="s">
        <v>386</v>
      </c>
      <c r="D29" s="113" t="s">
        <v>387</v>
      </c>
      <c r="E29">
        <v>3071</v>
      </c>
      <c r="F29" s="113" t="s">
        <v>450</v>
      </c>
      <c r="G29" s="113" t="s">
        <v>396</v>
      </c>
      <c r="H29" s="113" t="s">
        <v>398</v>
      </c>
      <c r="I29">
        <v>25</v>
      </c>
    </row>
    <row r="30" spans="1:10">
      <c r="A30" s="113" t="s">
        <v>446</v>
      </c>
      <c r="B30" s="113" t="s">
        <v>385</v>
      </c>
      <c r="C30" s="113" t="s">
        <v>397</v>
      </c>
      <c r="D30" s="113" t="s">
        <v>387</v>
      </c>
      <c r="E30">
        <v>3180</v>
      </c>
      <c r="F30" s="113" t="s">
        <v>451</v>
      </c>
      <c r="G30" s="113" t="s">
        <v>388</v>
      </c>
      <c r="H30" s="113" t="s">
        <v>394</v>
      </c>
      <c r="I30">
        <v>139</v>
      </c>
    </row>
    <row r="31" spans="1:10">
      <c r="A31" s="113" t="s">
        <v>446</v>
      </c>
      <c r="B31" s="113" t="s">
        <v>385</v>
      </c>
      <c r="C31" s="113" t="s">
        <v>395</v>
      </c>
      <c r="D31" s="113" t="s">
        <v>387</v>
      </c>
      <c r="E31">
        <v>3491</v>
      </c>
      <c r="F31" s="113" t="s">
        <v>452</v>
      </c>
      <c r="G31" s="113" t="s">
        <v>400</v>
      </c>
      <c r="H31" s="113" t="s">
        <v>414</v>
      </c>
      <c r="I31">
        <v>397</v>
      </c>
    </row>
    <row r="32" spans="1:10">
      <c r="A32" s="113" t="s">
        <v>446</v>
      </c>
      <c r="B32" s="113" t="s">
        <v>385</v>
      </c>
      <c r="C32" s="113" t="s">
        <v>397</v>
      </c>
      <c r="D32" s="113" t="s">
        <v>387</v>
      </c>
      <c r="E32">
        <v>3524</v>
      </c>
      <c r="F32" s="113" t="s">
        <v>453</v>
      </c>
      <c r="G32" s="113" t="s">
        <v>388</v>
      </c>
      <c r="H32" s="113" t="s">
        <v>454</v>
      </c>
      <c r="I32">
        <v>43</v>
      </c>
    </row>
    <row r="33" spans="1:10">
      <c r="A33" s="113" t="s">
        <v>446</v>
      </c>
      <c r="B33" s="113" t="s">
        <v>385</v>
      </c>
      <c r="C33" s="113" t="s">
        <v>386</v>
      </c>
      <c r="D33" s="113" t="s">
        <v>387</v>
      </c>
      <c r="E33">
        <v>3955</v>
      </c>
      <c r="F33" s="113" t="s">
        <v>455</v>
      </c>
      <c r="G33" s="113" t="s">
        <v>396</v>
      </c>
      <c r="H33" s="113" t="s">
        <v>456</v>
      </c>
      <c r="I33" s="113">
        <v>63</v>
      </c>
      <c r="J33" s="113"/>
    </row>
    <row r="34" spans="1:10">
      <c r="A34" s="113" t="s">
        <v>446</v>
      </c>
      <c r="B34" s="113" t="s">
        <v>385</v>
      </c>
      <c r="C34" s="113" t="s">
        <v>386</v>
      </c>
      <c r="D34" s="113" t="s">
        <v>387</v>
      </c>
      <c r="E34">
        <v>4238</v>
      </c>
      <c r="F34" s="113" t="s">
        <v>457</v>
      </c>
      <c r="G34" s="113" t="s">
        <v>388</v>
      </c>
      <c r="H34" s="113" t="s">
        <v>401</v>
      </c>
      <c r="I34">
        <v>136</v>
      </c>
    </row>
    <row r="35" spans="1:10">
      <c r="A35" s="113" t="s">
        <v>446</v>
      </c>
      <c r="B35" s="113" t="s">
        <v>385</v>
      </c>
      <c r="C35" s="113" t="s">
        <v>397</v>
      </c>
      <c r="D35" s="113" t="s">
        <v>387</v>
      </c>
      <c r="E35">
        <v>6065</v>
      </c>
      <c r="F35" s="113" t="s">
        <v>458</v>
      </c>
      <c r="G35" s="113" t="s">
        <v>388</v>
      </c>
      <c r="H35" s="113" t="s">
        <v>393</v>
      </c>
      <c r="I35">
        <v>93</v>
      </c>
    </row>
    <row r="36" spans="1:10">
      <c r="A36" s="113" t="s">
        <v>446</v>
      </c>
      <c r="B36" s="113" t="s">
        <v>385</v>
      </c>
      <c r="C36" s="113" t="s">
        <v>386</v>
      </c>
      <c r="D36" s="113" t="s">
        <v>387</v>
      </c>
      <c r="E36">
        <v>7196</v>
      </c>
      <c r="F36" s="113" t="s">
        <v>459</v>
      </c>
      <c r="G36" s="113" t="s">
        <v>388</v>
      </c>
      <c r="H36" s="113" t="s">
        <v>460</v>
      </c>
      <c r="I36">
        <v>137</v>
      </c>
    </row>
    <row r="37" spans="1:10">
      <c r="A37" s="113" t="s">
        <v>446</v>
      </c>
      <c r="B37" s="113" t="s">
        <v>385</v>
      </c>
      <c r="C37" s="113" t="s">
        <v>395</v>
      </c>
      <c r="D37" s="113" t="s">
        <v>391</v>
      </c>
      <c r="E37">
        <v>7804</v>
      </c>
      <c r="F37" s="113" t="s">
        <v>461</v>
      </c>
      <c r="G37" s="113" t="s">
        <v>400</v>
      </c>
      <c r="H37" s="113" t="s">
        <v>410</v>
      </c>
      <c r="I37">
        <v>42</v>
      </c>
    </row>
    <row r="38" spans="1:10">
      <c r="A38" s="113" t="s">
        <v>446</v>
      </c>
      <c r="B38" s="113" t="s">
        <v>385</v>
      </c>
      <c r="C38" s="113" t="s">
        <v>395</v>
      </c>
      <c r="D38" s="113" t="s">
        <v>387</v>
      </c>
      <c r="E38">
        <v>7856</v>
      </c>
      <c r="F38" s="113" t="s">
        <v>462</v>
      </c>
      <c r="G38" s="113" t="s">
        <v>388</v>
      </c>
      <c r="H38" s="113" t="s">
        <v>410</v>
      </c>
      <c r="I38">
        <v>243</v>
      </c>
    </row>
    <row r="39" spans="1:10">
      <c r="A39" s="113" t="s">
        <v>446</v>
      </c>
      <c r="B39" s="113" t="s">
        <v>385</v>
      </c>
      <c r="C39" s="113" t="s">
        <v>395</v>
      </c>
      <c r="D39" s="113" t="s">
        <v>387</v>
      </c>
      <c r="E39">
        <v>9824</v>
      </c>
      <c r="F39" s="113" t="s">
        <v>463</v>
      </c>
      <c r="G39" s="113" t="s">
        <v>388</v>
      </c>
      <c r="H39" s="113" t="s">
        <v>394</v>
      </c>
      <c r="I39">
        <v>310</v>
      </c>
    </row>
    <row r="40" spans="1:10">
      <c r="A40" s="113" t="s">
        <v>464</v>
      </c>
      <c r="B40" s="113" t="s">
        <v>385</v>
      </c>
      <c r="C40" s="113" t="s">
        <v>386</v>
      </c>
      <c r="D40" s="113" t="s">
        <v>387</v>
      </c>
      <c r="E40">
        <v>1433</v>
      </c>
      <c r="F40" s="113" t="s">
        <v>465</v>
      </c>
      <c r="G40" s="113" t="s">
        <v>388</v>
      </c>
      <c r="H40" s="113" t="s">
        <v>422</v>
      </c>
      <c r="I40">
        <v>106</v>
      </c>
    </row>
    <row r="41" spans="1:10">
      <c r="A41" s="113" t="s">
        <v>464</v>
      </c>
      <c r="B41" s="113" t="s">
        <v>385</v>
      </c>
      <c r="C41" s="113" t="s">
        <v>390</v>
      </c>
      <c r="D41" s="113" t="s">
        <v>387</v>
      </c>
      <c r="E41">
        <v>1844</v>
      </c>
      <c r="F41" s="113" t="s">
        <v>466</v>
      </c>
      <c r="G41" s="113" t="s">
        <v>396</v>
      </c>
      <c r="H41" s="113" t="s">
        <v>422</v>
      </c>
      <c r="I41">
        <v>32</v>
      </c>
    </row>
    <row r="42" spans="1:10">
      <c r="A42" s="113" t="s">
        <v>464</v>
      </c>
      <c r="B42" s="113" t="s">
        <v>385</v>
      </c>
      <c r="C42" s="113" t="s">
        <v>397</v>
      </c>
      <c r="D42" s="113" t="s">
        <v>391</v>
      </c>
      <c r="E42">
        <v>2438</v>
      </c>
      <c r="F42" s="113" t="s">
        <v>467</v>
      </c>
      <c r="G42" s="113" t="s">
        <v>400</v>
      </c>
      <c r="H42" s="113" t="s">
        <v>393</v>
      </c>
      <c r="I42">
        <v>270</v>
      </c>
    </row>
    <row r="43" spans="1:10">
      <c r="A43" s="113" t="s">
        <v>464</v>
      </c>
      <c r="B43" s="113" t="s">
        <v>385</v>
      </c>
      <c r="C43" s="113" t="s">
        <v>397</v>
      </c>
      <c r="D43" s="113" t="s">
        <v>387</v>
      </c>
      <c r="E43">
        <v>2751</v>
      </c>
      <c r="F43" s="113" t="s">
        <v>468</v>
      </c>
      <c r="G43" s="113" t="s">
        <v>392</v>
      </c>
      <c r="H43" s="113" t="s">
        <v>394</v>
      </c>
      <c r="I43">
        <v>317</v>
      </c>
    </row>
    <row r="44" spans="1:10">
      <c r="A44" s="113" t="s">
        <v>464</v>
      </c>
      <c r="B44" s="113" t="s">
        <v>385</v>
      </c>
      <c r="C44" s="113" t="s">
        <v>397</v>
      </c>
      <c r="D44" s="113" t="s">
        <v>387</v>
      </c>
      <c r="E44">
        <v>2923</v>
      </c>
      <c r="F44" s="113" t="s">
        <v>469</v>
      </c>
      <c r="G44" s="113" t="s">
        <v>396</v>
      </c>
      <c r="H44" s="113" t="s">
        <v>389</v>
      </c>
      <c r="I44">
        <v>183</v>
      </c>
    </row>
    <row r="45" spans="1:10">
      <c r="A45" s="113" t="s">
        <v>464</v>
      </c>
      <c r="B45" s="113" t="s">
        <v>385</v>
      </c>
      <c r="C45" s="113" t="s">
        <v>386</v>
      </c>
      <c r="D45" s="113" t="s">
        <v>387</v>
      </c>
      <c r="E45">
        <v>3070</v>
      </c>
      <c r="F45" s="113" t="s">
        <v>470</v>
      </c>
      <c r="G45" s="113" t="s">
        <v>392</v>
      </c>
      <c r="H45" s="113" t="s">
        <v>394</v>
      </c>
      <c r="I45">
        <v>7</v>
      </c>
    </row>
    <row r="46" spans="1:10">
      <c r="A46" s="113" t="s">
        <v>464</v>
      </c>
      <c r="B46" s="113" t="s">
        <v>385</v>
      </c>
      <c r="C46" s="113" t="s">
        <v>395</v>
      </c>
      <c r="D46" s="113" t="s">
        <v>387</v>
      </c>
      <c r="E46">
        <v>3248</v>
      </c>
      <c r="F46" s="113" t="s">
        <v>471</v>
      </c>
      <c r="G46" s="113" t="s">
        <v>396</v>
      </c>
      <c r="H46" s="113" t="s">
        <v>414</v>
      </c>
      <c r="I46">
        <v>22</v>
      </c>
    </row>
    <row r="47" spans="1:10">
      <c r="A47" s="113" t="s">
        <v>464</v>
      </c>
      <c r="B47" s="113" t="s">
        <v>385</v>
      </c>
      <c r="C47" s="113" t="s">
        <v>386</v>
      </c>
      <c r="D47" s="113" t="s">
        <v>391</v>
      </c>
      <c r="E47">
        <v>3399</v>
      </c>
      <c r="F47" s="113" t="s">
        <v>472</v>
      </c>
      <c r="G47" s="113" t="s">
        <v>392</v>
      </c>
      <c r="H47" s="113" t="s">
        <v>398</v>
      </c>
      <c r="I47">
        <v>47</v>
      </c>
    </row>
    <row r="48" spans="1:10">
      <c r="A48" s="113" t="s">
        <v>464</v>
      </c>
      <c r="B48" s="113" t="s">
        <v>385</v>
      </c>
      <c r="C48" s="113" t="s">
        <v>395</v>
      </c>
      <c r="D48" s="113" t="s">
        <v>387</v>
      </c>
      <c r="E48">
        <v>3475</v>
      </c>
      <c r="F48" s="113" t="s">
        <v>473</v>
      </c>
      <c r="G48" s="113" t="s">
        <v>388</v>
      </c>
      <c r="H48" s="113" t="s">
        <v>414</v>
      </c>
      <c r="I48">
        <v>137</v>
      </c>
    </row>
    <row r="49" spans="1:10">
      <c r="A49" s="113" t="s">
        <v>464</v>
      </c>
      <c r="B49" s="113" t="s">
        <v>385</v>
      </c>
      <c r="C49" s="113" t="s">
        <v>395</v>
      </c>
      <c r="D49" s="113" t="s">
        <v>391</v>
      </c>
      <c r="E49">
        <v>3476</v>
      </c>
      <c r="F49" s="113" t="s">
        <v>474</v>
      </c>
      <c r="G49" s="113" t="s">
        <v>475</v>
      </c>
      <c r="H49" s="113" t="s">
        <v>476</v>
      </c>
      <c r="I49">
        <v>951</v>
      </c>
    </row>
    <row r="50" spans="1:10">
      <c r="A50" s="113" t="s">
        <v>464</v>
      </c>
      <c r="B50" s="113" t="s">
        <v>385</v>
      </c>
      <c r="C50" s="113" t="s">
        <v>390</v>
      </c>
      <c r="D50" s="113" t="s">
        <v>387</v>
      </c>
      <c r="E50">
        <v>3988</v>
      </c>
      <c r="F50" s="113" t="s">
        <v>477</v>
      </c>
      <c r="G50" s="113" t="s">
        <v>392</v>
      </c>
      <c r="H50" s="113" t="s">
        <v>399</v>
      </c>
      <c r="I50" s="113">
        <v>29</v>
      </c>
      <c r="J50" s="113"/>
    </row>
    <row r="51" spans="1:10">
      <c r="A51" s="113" t="s">
        <v>464</v>
      </c>
      <c r="B51" s="113" t="s">
        <v>385</v>
      </c>
      <c r="C51" s="113" t="s">
        <v>395</v>
      </c>
      <c r="D51" s="113" t="s">
        <v>391</v>
      </c>
      <c r="E51">
        <v>4441</v>
      </c>
      <c r="F51" s="113" t="s">
        <v>478</v>
      </c>
      <c r="G51" s="113" t="s">
        <v>400</v>
      </c>
      <c r="H51" s="113" t="s">
        <v>399</v>
      </c>
      <c r="I51" s="113">
        <v>249</v>
      </c>
      <c r="J51" s="113"/>
    </row>
    <row r="52" spans="1:10">
      <c r="A52" s="113" t="s">
        <v>464</v>
      </c>
      <c r="B52" s="113" t="s">
        <v>385</v>
      </c>
      <c r="C52" s="113" t="s">
        <v>390</v>
      </c>
      <c r="D52" s="113" t="s">
        <v>391</v>
      </c>
      <c r="E52">
        <v>6387</v>
      </c>
      <c r="F52" s="113" t="s">
        <v>479</v>
      </c>
      <c r="G52" s="113" t="s">
        <v>388</v>
      </c>
      <c r="H52" s="113" t="s">
        <v>409</v>
      </c>
      <c r="I52">
        <v>96</v>
      </c>
    </row>
    <row r="53" spans="1:10">
      <c r="A53" s="113" t="s">
        <v>464</v>
      </c>
      <c r="B53" s="113" t="s">
        <v>385</v>
      </c>
      <c r="C53" s="113" t="s">
        <v>386</v>
      </c>
      <c r="D53" s="113" t="s">
        <v>387</v>
      </c>
      <c r="E53">
        <v>6696</v>
      </c>
      <c r="F53" s="113" t="s">
        <v>480</v>
      </c>
      <c r="G53" s="113" t="s">
        <v>400</v>
      </c>
      <c r="H53" s="113" t="s">
        <v>413</v>
      </c>
      <c r="I53">
        <v>40</v>
      </c>
    </row>
    <row r="54" spans="1:10">
      <c r="A54" s="113" t="s">
        <v>464</v>
      </c>
      <c r="B54" s="113" t="s">
        <v>385</v>
      </c>
      <c r="C54" s="113" t="s">
        <v>397</v>
      </c>
      <c r="D54" s="113" t="s">
        <v>391</v>
      </c>
      <c r="E54">
        <v>7901</v>
      </c>
      <c r="F54" s="113" t="s">
        <v>481</v>
      </c>
      <c r="G54" s="113" t="s">
        <v>392</v>
      </c>
      <c r="H54" s="113" t="s">
        <v>410</v>
      </c>
      <c r="I54">
        <v>9</v>
      </c>
    </row>
    <row r="55" spans="1:10">
      <c r="A55" s="113" t="s">
        <v>464</v>
      </c>
      <c r="B55" s="113" t="s">
        <v>385</v>
      </c>
      <c r="C55" s="113" t="s">
        <v>386</v>
      </c>
      <c r="D55" s="113" t="s">
        <v>387</v>
      </c>
      <c r="E55">
        <v>8142</v>
      </c>
      <c r="F55" s="113" t="s">
        <v>482</v>
      </c>
      <c r="G55" s="113" t="s">
        <v>388</v>
      </c>
      <c r="H55" s="113" t="s">
        <v>394</v>
      </c>
      <c r="I55">
        <v>206</v>
      </c>
    </row>
    <row r="56" spans="1:10">
      <c r="A56" s="113" t="s">
        <v>464</v>
      </c>
      <c r="B56" s="113" t="s">
        <v>385</v>
      </c>
      <c r="C56" s="113" t="s">
        <v>390</v>
      </c>
      <c r="D56" s="113" t="s">
        <v>391</v>
      </c>
      <c r="E56">
        <v>9262</v>
      </c>
      <c r="F56" s="113" t="s">
        <v>483</v>
      </c>
      <c r="G56" s="113" t="s">
        <v>400</v>
      </c>
      <c r="H56" s="113" t="s">
        <v>398</v>
      </c>
      <c r="I56">
        <v>323</v>
      </c>
    </row>
    <row r="57" spans="1:10">
      <c r="A57" s="113" t="s">
        <v>464</v>
      </c>
      <c r="B57" s="113" t="s">
        <v>385</v>
      </c>
      <c r="C57" s="113" t="s">
        <v>386</v>
      </c>
      <c r="D57" s="113" t="s">
        <v>391</v>
      </c>
      <c r="E57">
        <v>9636</v>
      </c>
      <c r="F57" s="113" t="s">
        <v>484</v>
      </c>
      <c r="G57" s="113" t="s">
        <v>396</v>
      </c>
      <c r="H57" s="113" t="s">
        <v>393</v>
      </c>
      <c r="I57">
        <v>97</v>
      </c>
    </row>
    <row r="58" spans="1:10">
      <c r="A58" s="113" t="s">
        <v>464</v>
      </c>
      <c r="B58" s="113" t="s">
        <v>385</v>
      </c>
      <c r="C58" s="113" t="s">
        <v>386</v>
      </c>
      <c r="D58" s="113" t="s">
        <v>387</v>
      </c>
      <c r="E58">
        <v>9692</v>
      </c>
      <c r="F58" s="113" t="s">
        <v>485</v>
      </c>
      <c r="G58" s="113" t="s">
        <v>388</v>
      </c>
      <c r="H58" s="113" t="s">
        <v>399</v>
      </c>
      <c r="I58">
        <v>859</v>
      </c>
    </row>
    <row r="59" spans="1:10">
      <c r="A59" s="113" t="s">
        <v>486</v>
      </c>
      <c r="B59" s="113" t="s">
        <v>385</v>
      </c>
      <c r="C59" s="113" t="s">
        <v>386</v>
      </c>
      <c r="D59" s="113" t="s">
        <v>391</v>
      </c>
      <c r="E59">
        <v>1758</v>
      </c>
      <c r="F59" s="113" t="s">
        <v>487</v>
      </c>
      <c r="G59" s="113" t="s">
        <v>392</v>
      </c>
      <c r="H59" s="113" t="s">
        <v>422</v>
      </c>
      <c r="I59">
        <v>44</v>
      </c>
    </row>
    <row r="60" spans="1:10">
      <c r="A60" s="113" t="s">
        <v>486</v>
      </c>
      <c r="B60" s="113" t="s">
        <v>385</v>
      </c>
      <c r="C60" s="113" t="s">
        <v>397</v>
      </c>
      <c r="D60" s="113" t="s">
        <v>387</v>
      </c>
      <c r="E60">
        <v>3134</v>
      </c>
      <c r="F60" s="113" t="s">
        <v>488</v>
      </c>
      <c r="G60" s="113" t="s">
        <v>388</v>
      </c>
      <c r="H60" s="113" t="s">
        <v>398</v>
      </c>
      <c r="I60">
        <v>215</v>
      </c>
    </row>
    <row r="61" spans="1:10">
      <c r="A61" s="113" t="s">
        <v>486</v>
      </c>
      <c r="B61" s="113" t="s">
        <v>385</v>
      </c>
      <c r="C61" s="113" t="s">
        <v>397</v>
      </c>
      <c r="D61" s="113" t="s">
        <v>387</v>
      </c>
      <c r="E61">
        <v>3161</v>
      </c>
      <c r="F61" s="113" t="s">
        <v>489</v>
      </c>
      <c r="G61" s="113" t="s">
        <v>396</v>
      </c>
      <c r="H61" s="113" t="s">
        <v>394</v>
      </c>
      <c r="I61">
        <v>36</v>
      </c>
    </row>
    <row r="62" spans="1:10">
      <c r="A62" s="113" t="s">
        <v>486</v>
      </c>
      <c r="B62" s="113" t="s">
        <v>385</v>
      </c>
      <c r="C62" s="113" t="s">
        <v>386</v>
      </c>
      <c r="D62" s="113" t="s">
        <v>387</v>
      </c>
      <c r="E62">
        <v>3320</v>
      </c>
      <c r="F62" s="113" t="s">
        <v>490</v>
      </c>
      <c r="G62" s="113" t="s">
        <v>396</v>
      </c>
      <c r="H62" s="113" t="s">
        <v>394</v>
      </c>
      <c r="I62">
        <v>57</v>
      </c>
    </row>
    <row r="63" spans="1:10">
      <c r="A63" s="113" t="s">
        <v>486</v>
      </c>
      <c r="B63" s="113" t="s">
        <v>385</v>
      </c>
      <c r="C63" s="113" t="s">
        <v>397</v>
      </c>
      <c r="D63" s="113" t="s">
        <v>387</v>
      </c>
      <c r="E63">
        <v>3444</v>
      </c>
      <c r="F63" s="113" t="s">
        <v>491</v>
      </c>
      <c r="G63" s="113" t="s">
        <v>392</v>
      </c>
      <c r="H63" s="113" t="s">
        <v>403</v>
      </c>
      <c r="I63">
        <v>96</v>
      </c>
    </row>
    <row r="64" spans="1:10">
      <c r="A64" s="113" t="s">
        <v>486</v>
      </c>
      <c r="B64" s="113" t="s">
        <v>385</v>
      </c>
      <c r="C64" s="113" t="s">
        <v>390</v>
      </c>
      <c r="D64" s="113" t="s">
        <v>387</v>
      </c>
      <c r="E64">
        <v>3458</v>
      </c>
      <c r="F64" s="113" t="s">
        <v>492</v>
      </c>
      <c r="G64" s="113" t="s">
        <v>388</v>
      </c>
      <c r="H64" s="113" t="s">
        <v>414</v>
      </c>
      <c r="I64">
        <v>278</v>
      </c>
    </row>
    <row r="65" spans="1:10">
      <c r="A65" s="113" t="s">
        <v>486</v>
      </c>
      <c r="B65" s="113" t="s">
        <v>385</v>
      </c>
      <c r="C65" s="113" t="s">
        <v>390</v>
      </c>
      <c r="D65" s="113" t="s">
        <v>387</v>
      </c>
      <c r="E65">
        <v>3539</v>
      </c>
      <c r="F65" s="113" t="s">
        <v>493</v>
      </c>
      <c r="G65" s="113" t="s">
        <v>388</v>
      </c>
      <c r="H65" s="113" t="s">
        <v>398</v>
      </c>
      <c r="I65">
        <v>580</v>
      </c>
    </row>
    <row r="66" spans="1:10">
      <c r="A66" s="113" t="s">
        <v>486</v>
      </c>
      <c r="B66" s="113" t="s">
        <v>385</v>
      </c>
      <c r="C66" s="113" t="s">
        <v>386</v>
      </c>
      <c r="D66" s="113" t="s">
        <v>391</v>
      </c>
      <c r="E66">
        <v>3565</v>
      </c>
      <c r="F66" s="113" t="s">
        <v>494</v>
      </c>
      <c r="G66" s="113" t="s">
        <v>388</v>
      </c>
      <c r="H66" s="113" t="s">
        <v>394</v>
      </c>
      <c r="I66">
        <v>131</v>
      </c>
    </row>
    <row r="67" spans="1:10">
      <c r="A67" s="113" t="s">
        <v>486</v>
      </c>
      <c r="B67" s="113" t="s">
        <v>385</v>
      </c>
      <c r="C67" s="113" t="s">
        <v>397</v>
      </c>
      <c r="D67" s="113" t="s">
        <v>391</v>
      </c>
      <c r="E67">
        <v>4026</v>
      </c>
      <c r="F67" s="113" t="s">
        <v>495</v>
      </c>
      <c r="G67" s="113" t="s">
        <v>396</v>
      </c>
      <c r="H67" s="113" t="s">
        <v>496</v>
      </c>
      <c r="I67">
        <v>78</v>
      </c>
    </row>
    <row r="68" spans="1:10">
      <c r="A68" s="113" t="s">
        <v>486</v>
      </c>
      <c r="B68" s="113" t="s">
        <v>385</v>
      </c>
      <c r="C68" s="113" t="s">
        <v>386</v>
      </c>
      <c r="D68" s="113" t="s">
        <v>391</v>
      </c>
      <c r="E68">
        <v>7064</v>
      </c>
      <c r="F68" s="113" t="s">
        <v>497</v>
      </c>
      <c r="G68" s="113" t="s">
        <v>400</v>
      </c>
      <c r="H68" s="113" t="s">
        <v>393</v>
      </c>
      <c r="I68">
        <v>37</v>
      </c>
    </row>
    <row r="69" spans="1:10">
      <c r="A69" s="113" t="s">
        <v>498</v>
      </c>
      <c r="B69" s="113" t="s">
        <v>385</v>
      </c>
      <c r="C69" s="113" t="s">
        <v>395</v>
      </c>
      <c r="D69" s="113" t="s">
        <v>387</v>
      </c>
      <c r="E69">
        <v>2695</v>
      </c>
      <c r="F69" s="113" t="s">
        <v>499</v>
      </c>
      <c r="G69" s="113" t="s">
        <v>388</v>
      </c>
      <c r="H69" s="113" t="s">
        <v>398</v>
      </c>
      <c r="I69" s="113" t="s">
        <v>443</v>
      </c>
      <c r="J69" s="113" t="s">
        <v>1074</v>
      </c>
    </row>
    <row r="70" spans="1:10">
      <c r="A70" s="113" t="s">
        <v>498</v>
      </c>
      <c r="B70" s="113" t="s">
        <v>385</v>
      </c>
      <c r="C70" s="113" t="s">
        <v>397</v>
      </c>
      <c r="D70" s="113" t="s">
        <v>391</v>
      </c>
      <c r="E70">
        <v>3075</v>
      </c>
      <c r="F70" s="113" t="s">
        <v>500</v>
      </c>
      <c r="G70" s="113" t="s">
        <v>392</v>
      </c>
      <c r="H70" s="113" t="s">
        <v>398</v>
      </c>
      <c r="I70">
        <v>184</v>
      </c>
    </row>
    <row r="71" spans="1:10">
      <c r="A71" s="113" t="s">
        <v>498</v>
      </c>
      <c r="B71" s="113" t="s">
        <v>385</v>
      </c>
      <c r="C71" s="113" t="s">
        <v>386</v>
      </c>
      <c r="D71" s="113" t="s">
        <v>387</v>
      </c>
      <c r="E71">
        <v>3169</v>
      </c>
      <c r="F71" s="113" t="s">
        <v>501</v>
      </c>
      <c r="G71" s="113" t="s">
        <v>388</v>
      </c>
      <c r="H71" s="113" t="s">
        <v>398</v>
      </c>
      <c r="I71">
        <v>60</v>
      </c>
    </row>
    <row r="72" spans="1:10">
      <c r="A72" s="113" t="s">
        <v>498</v>
      </c>
      <c r="B72" s="113" t="s">
        <v>385</v>
      </c>
      <c r="C72" s="113" t="s">
        <v>397</v>
      </c>
      <c r="D72" s="113" t="s">
        <v>387</v>
      </c>
      <c r="E72">
        <v>3361</v>
      </c>
      <c r="F72" s="113" t="s">
        <v>502</v>
      </c>
      <c r="G72" s="113" t="s">
        <v>388</v>
      </c>
      <c r="H72" s="113" t="s">
        <v>398</v>
      </c>
      <c r="I72">
        <v>158</v>
      </c>
    </row>
    <row r="73" spans="1:10">
      <c r="A73" s="113" t="s">
        <v>498</v>
      </c>
      <c r="B73" s="113" t="s">
        <v>385</v>
      </c>
      <c r="C73" s="113" t="s">
        <v>390</v>
      </c>
      <c r="D73" s="113" t="s">
        <v>387</v>
      </c>
      <c r="E73">
        <v>3418</v>
      </c>
      <c r="F73" s="113" t="s">
        <v>503</v>
      </c>
      <c r="G73" s="113" t="s">
        <v>400</v>
      </c>
      <c r="H73" s="113" t="s">
        <v>398</v>
      </c>
      <c r="I73">
        <v>109</v>
      </c>
    </row>
    <row r="74" spans="1:10">
      <c r="A74" s="113" t="s">
        <v>498</v>
      </c>
      <c r="B74" s="113" t="s">
        <v>385</v>
      </c>
      <c r="C74" s="113" t="s">
        <v>397</v>
      </c>
      <c r="D74" s="113" t="s">
        <v>387</v>
      </c>
      <c r="E74">
        <v>3549</v>
      </c>
      <c r="F74" s="113" t="s">
        <v>504</v>
      </c>
      <c r="G74" s="113" t="s">
        <v>388</v>
      </c>
      <c r="H74" s="113" t="s">
        <v>398</v>
      </c>
      <c r="I74" s="113" t="s">
        <v>411</v>
      </c>
      <c r="J74" s="113" t="s">
        <v>1075</v>
      </c>
    </row>
    <row r="75" spans="1:10">
      <c r="A75" s="113" t="s">
        <v>498</v>
      </c>
      <c r="B75" s="113" t="s">
        <v>385</v>
      </c>
      <c r="C75" s="113" t="s">
        <v>395</v>
      </c>
      <c r="D75" s="113" t="s">
        <v>387</v>
      </c>
      <c r="E75">
        <v>3974</v>
      </c>
      <c r="F75" s="113" t="s">
        <v>505</v>
      </c>
      <c r="G75" s="113" t="s">
        <v>392</v>
      </c>
      <c r="H75" s="113" t="s">
        <v>399</v>
      </c>
      <c r="I75">
        <v>24</v>
      </c>
    </row>
    <row r="76" spans="1:10">
      <c r="A76" s="113" t="s">
        <v>498</v>
      </c>
      <c r="B76" s="113" t="s">
        <v>385</v>
      </c>
      <c r="C76" s="113" t="s">
        <v>395</v>
      </c>
      <c r="D76" s="113" t="s">
        <v>387</v>
      </c>
      <c r="E76">
        <v>3976</v>
      </c>
      <c r="F76" s="113" t="s">
        <v>506</v>
      </c>
      <c r="G76" s="113" t="s">
        <v>400</v>
      </c>
      <c r="H76" s="113" t="s">
        <v>399</v>
      </c>
      <c r="I76">
        <v>20</v>
      </c>
    </row>
    <row r="77" spans="1:10">
      <c r="A77" s="113" t="s">
        <v>498</v>
      </c>
      <c r="B77" s="113" t="s">
        <v>385</v>
      </c>
      <c r="C77" s="113" t="s">
        <v>390</v>
      </c>
      <c r="D77" s="113" t="s">
        <v>391</v>
      </c>
      <c r="E77">
        <v>4384</v>
      </c>
      <c r="F77" s="113" t="s">
        <v>507</v>
      </c>
      <c r="G77" s="113" t="s">
        <v>388</v>
      </c>
      <c r="H77" s="113" t="s">
        <v>399</v>
      </c>
      <c r="I77">
        <v>989</v>
      </c>
    </row>
    <row r="78" spans="1:10">
      <c r="A78" s="113" t="s">
        <v>498</v>
      </c>
      <c r="B78" s="113" t="s">
        <v>385</v>
      </c>
      <c r="C78" s="113" t="s">
        <v>390</v>
      </c>
      <c r="D78" s="113" t="s">
        <v>387</v>
      </c>
      <c r="E78">
        <v>4422</v>
      </c>
      <c r="F78" s="113" t="s">
        <v>508</v>
      </c>
      <c r="G78" s="113" t="s">
        <v>400</v>
      </c>
      <c r="H78" s="113" t="s">
        <v>399</v>
      </c>
      <c r="I78">
        <v>64</v>
      </c>
    </row>
    <row r="79" spans="1:10">
      <c r="A79" s="113" t="s">
        <v>498</v>
      </c>
      <c r="B79" s="113" t="s">
        <v>385</v>
      </c>
      <c r="C79" s="113" t="s">
        <v>395</v>
      </c>
      <c r="D79" s="113" t="s">
        <v>391</v>
      </c>
      <c r="E79">
        <v>4880</v>
      </c>
      <c r="F79" s="113" t="s">
        <v>509</v>
      </c>
      <c r="G79" s="113" t="s">
        <v>400</v>
      </c>
      <c r="H79" s="113" t="s">
        <v>510</v>
      </c>
      <c r="I79">
        <v>230</v>
      </c>
    </row>
    <row r="80" spans="1:10">
      <c r="A80" s="113" t="s">
        <v>498</v>
      </c>
      <c r="B80" s="113" t="s">
        <v>385</v>
      </c>
      <c r="C80" s="113" t="s">
        <v>395</v>
      </c>
      <c r="D80" s="113" t="s">
        <v>387</v>
      </c>
      <c r="E80">
        <v>5218</v>
      </c>
      <c r="F80" s="113" t="s">
        <v>511</v>
      </c>
      <c r="G80" s="113" t="s">
        <v>388</v>
      </c>
      <c r="H80" s="113" t="s">
        <v>496</v>
      </c>
      <c r="I80">
        <v>371</v>
      </c>
    </row>
    <row r="81" spans="1:10">
      <c r="A81" s="113" t="s">
        <v>498</v>
      </c>
      <c r="B81" s="113" t="s">
        <v>385</v>
      </c>
      <c r="C81" s="113" t="s">
        <v>390</v>
      </c>
      <c r="D81" s="113" t="s">
        <v>391</v>
      </c>
      <c r="E81">
        <v>6037</v>
      </c>
      <c r="F81" s="113" t="s">
        <v>512</v>
      </c>
      <c r="G81" s="113" t="s">
        <v>388</v>
      </c>
      <c r="H81" s="113" t="s">
        <v>393</v>
      </c>
      <c r="I81">
        <v>73</v>
      </c>
    </row>
    <row r="82" spans="1:10">
      <c r="A82" s="113" t="s">
        <v>498</v>
      </c>
      <c r="B82" s="113" t="s">
        <v>385</v>
      </c>
      <c r="C82" s="113" t="s">
        <v>386</v>
      </c>
      <c r="D82" s="113" t="s">
        <v>387</v>
      </c>
      <c r="E82">
        <v>6184</v>
      </c>
      <c r="F82" s="113" t="s">
        <v>513</v>
      </c>
      <c r="G82" s="113" t="s">
        <v>388</v>
      </c>
      <c r="H82" s="113" t="s">
        <v>393</v>
      </c>
      <c r="I82">
        <v>793</v>
      </c>
    </row>
    <row r="83" spans="1:10">
      <c r="A83" s="113" t="s">
        <v>498</v>
      </c>
      <c r="B83" s="113" t="s">
        <v>385</v>
      </c>
      <c r="C83" s="113" t="s">
        <v>386</v>
      </c>
      <c r="D83" s="113" t="s">
        <v>387</v>
      </c>
      <c r="E83">
        <v>6336</v>
      </c>
      <c r="F83" s="113" t="s">
        <v>514</v>
      </c>
      <c r="G83" s="113" t="s">
        <v>396</v>
      </c>
      <c r="H83" s="113" t="s">
        <v>409</v>
      </c>
      <c r="I83">
        <v>65</v>
      </c>
    </row>
    <row r="84" spans="1:10">
      <c r="A84" s="113" t="s">
        <v>498</v>
      </c>
      <c r="B84" s="113" t="s">
        <v>385</v>
      </c>
      <c r="C84" s="113" t="s">
        <v>390</v>
      </c>
      <c r="D84" s="113" t="s">
        <v>387</v>
      </c>
      <c r="E84">
        <v>6535</v>
      </c>
      <c r="F84" s="113" t="s">
        <v>515</v>
      </c>
      <c r="G84" s="113" t="s">
        <v>388</v>
      </c>
      <c r="H84" s="113" t="s">
        <v>393</v>
      </c>
      <c r="I84">
        <v>173</v>
      </c>
    </row>
    <row r="85" spans="1:10">
      <c r="A85" s="113" t="s">
        <v>498</v>
      </c>
      <c r="B85" s="113" t="s">
        <v>385</v>
      </c>
      <c r="C85" s="113" t="s">
        <v>386</v>
      </c>
      <c r="D85" s="113" t="s">
        <v>387</v>
      </c>
      <c r="E85">
        <v>6966</v>
      </c>
      <c r="F85" s="113" t="s">
        <v>516</v>
      </c>
      <c r="G85" s="113" t="s">
        <v>388</v>
      </c>
      <c r="H85" s="113" t="s">
        <v>413</v>
      </c>
      <c r="I85">
        <v>814</v>
      </c>
    </row>
    <row r="86" spans="1:10">
      <c r="A86" s="113" t="s">
        <v>498</v>
      </c>
      <c r="B86" s="113" t="s">
        <v>385</v>
      </c>
      <c r="C86" s="113" t="s">
        <v>397</v>
      </c>
      <c r="D86" s="113" t="s">
        <v>387</v>
      </c>
      <c r="E86">
        <v>7050</v>
      </c>
      <c r="F86" s="113" t="s">
        <v>517</v>
      </c>
      <c r="G86" s="113" t="s">
        <v>400</v>
      </c>
      <c r="H86" s="113" t="s">
        <v>393</v>
      </c>
      <c r="I86">
        <v>106</v>
      </c>
    </row>
    <row r="87" spans="1:10">
      <c r="A87" s="113" t="s">
        <v>498</v>
      </c>
      <c r="B87" s="113" t="s">
        <v>385</v>
      </c>
      <c r="C87" s="113" t="s">
        <v>386</v>
      </c>
      <c r="D87" s="113" t="s">
        <v>387</v>
      </c>
      <c r="E87">
        <v>7614</v>
      </c>
      <c r="F87" s="113" t="s">
        <v>518</v>
      </c>
      <c r="G87" s="113" t="s">
        <v>392</v>
      </c>
      <c r="H87" s="113" t="s">
        <v>398</v>
      </c>
      <c r="I87">
        <v>87</v>
      </c>
    </row>
    <row r="88" spans="1:10">
      <c r="A88" s="113" t="s">
        <v>498</v>
      </c>
      <c r="B88" s="113" t="s">
        <v>385</v>
      </c>
      <c r="C88" s="113" t="s">
        <v>397</v>
      </c>
      <c r="D88" s="113" t="s">
        <v>387</v>
      </c>
      <c r="E88">
        <v>7623</v>
      </c>
      <c r="F88" s="113" t="s">
        <v>519</v>
      </c>
      <c r="G88" s="113" t="s">
        <v>392</v>
      </c>
      <c r="H88" s="113" t="s">
        <v>398</v>
      </c>
      <c r="I88">
        <v>11</v>
      </c>
    </row>
    <row r="89" spans="1:10">
      <c r="A89" s="113" t="s">
        <v>498</v>
      </c>
      <c r="B89" s="113" t="s">
        <v>385</v>
      </c>
      <c r="C89" s="113" t="s">
        <v>395</v>
      </c>
      <c r="D89" s="113" t="s">
        <v>387</v>
      </c>
      <c r="E89">
        <v>8077</v>
      </c>
      <c r="F89" s="113" t="s">
        <v>520</v>
      </c>
      <c r="G89" s="113" t="s">
        <v>388</v>
      </c>
      <c r="H89" s="113" t="s">
        <v>394</v>
      </c>
      <c r="I89">
        <v>83</v>
      </c>
    </row>
    <row r="90" spans="1:10">
      <c r="A90" s="113" t="s">
        <v>498</v>
      </c>
      <c r="B90" s="113" t="s">
        <v>385</v>
      </c>
      <c r="C90" s="113" t="s">
        <v>395</v>
      </c>
      <c r="D90" s="113" t="s">
        <v>391</v>
      </c>
      <c r="E90">
        <v>8894</v>
      </c>
      <c r="F90" s="113" t="s">
        <v>521</v>
      </c>
      <c r="G90" s="113" t="s">
        <v>396</v>
      </c>
      <c r="H90" s="113" t="s">
        <v>414</v>
      </c>
      <c r="I90">
        <v>85</v>
      </c>
    </row>
    <row r="91" spans="1:10">
      <c r="A91" s="113" t="s">
        <v>498</v>
      </c>
      <c r="B91" s="113" t="s">
        <v>385</v>
      </c>
      <c r="C91" s="113" t="s">
        <v>397</v>
      </c>
      <c r="D91" s="113" t="s">
        <v>391</v>
      </c>
      <c r="E91">
        <v>9425</v>
      </c>
      <c r="F91" s="113" t="s">
        <v>522</v>
      </c>
      <c r="G91" s="113" t="s">
        <v>392</v>
      </c>
      <c r="H91" s="113" t="s">
        <v>399</v>
      </c>
      <c r="I91">
        <v>18</v>
      </c>
    </row>
    <row r="92" spans="1:10">
      <c r="A92" s="113" t="s">
        <v>498</v>
      </c>
      <c r="B92" s="113" t="s">
        <v>385</v>
      </c>
      <c r="C92" s="113" t="s">
        <v>395</v>
      </c>
      <c r="D92" s="113" t="s">
        <v>387</v>
      </c>
      <c r="E92">
        <v>9603</v>
      </c>
      <c r="F92" s="113" t="s">
        <v>523</v>
      </c>
      <c r="G92" s="113" t="s">
        <v>388</v>
      </c>
      <c r="H92" s="113" t="s">
        <v>393</v>
      </c>
      <c r="I92" s="113" t="s">
        <v>411</v>
      </c>
      <c r="J92" s="113" t="s">
        <v>1076</v>
      </c>
    </row>
    <row r="93" spans="1:10">
      <c r="A93" s="113" t="s">
        <v>498</v>
      </c>
      <c r="B93" s="113" t="s">
        <v>385</v>
      </c>
      <c r="C93" s="113" t="s">
        <v>386</v>
      </c>
      <c r="D93" s="113" t="s">
        <v>387</v>
      </c>
      <c r="E93">
        <v>9681</v>
      </c>
      <c r="F93" s="113" t="s">
        <v>524</v>
      </c>
      <c r="G93" s="113" t="s">
        <v>388</v>
      </c>
      <c r="H93" s="113" t="s">
        <v>393</v>
      </c>
      <c r="I93">
        <v>980</v>
      </c>
    </row>
    <row r="94" spans="1:10">
      <c r="A94" s="113" t="s">
        <v>525</v>
      </c>
      <c r="B94" s="113" t="s">
        <v>412</v>
      </c>
      <c r="C94" s="113" t="s">
        <v>386</v>
      </c>
      <c r="D94" s="113" t="s">
        <v>391</v>
      </c>
      <c r="E94">
        <v>4380</v>
      </c>
      <c r="F94" s="113" t="s">
        <v>526</v>
      </c>
      <c r="G94" s="113" t="s">
        <v>400</v>
      </c>
      <c r="H94" s="113" t="s">
        <v>399</v>
      </c>
      <c r="I94">
        <v>40</v>
      </c>
    </row>
    <row r="95" spans="1:10">
      <c r="A95" s="113" t="s">
        <v>525</v>
      </c>
      <c r="B95" s="113" t="s">
        <v>385</v>
      </c>
      <c r="C95" s="113" t="s">
        <v>395</v>
      </c>
      <c r="D95" s="113" t="s">
        <v>387</v>
      </c>
      <c r="E95">
        <v>1383</v>
      </c>
      <c r="F95" s="113" t="s">
        <v>527</v>
      </c>
      <c r="G95" s="113" t="s">
        <v>392</v>
      </c>
      <c r="H95" s="113" t="s">
        <v>528</v>
      </c>
      <c r="I95" s="113">
        <v>31</v>
      </c>
      <c r="J95" s="113"/>
    </row>
    <row r="96" spans="1:10">
      <c r="A96" s="113" t="s">
        <v>525</v>
      </c>
      <c r="B96" s="113" t="s">
        <v>385</v>
      </c>
      <c r="C96" s="113" t="s">
        <v>397</v>
      </c>
      <c r="D96" s="113" t="s">
        <v>391</v>
      </c>
      <c r="E96">
        <v>1436</v>
      </c>
      <c r="F96" s="113" t="s">
        <v>529</v>
      </c>
      <c r="G96" s="113" t="s">
        <v>400</v>
      </c>
      <c r="H96" s="113" t="s">
        <v>422</v>
      </c>
      <c r="I96">
        <v>24</v>
      </c>
    </row>
    <row r="97" spans="1:10">
      <c r="A97" s="113" t="s">
        <v>525</v>
      </c>
      <c r="B97" s="113" t="s">
        <v>385</v>
      </c>
      <c r="C97" s="113" t="s">
        <v>395</v>
      </c>
      <c r="D97" s="113" t="s">
        <v>387</v>
      </c>
      <c r="E97">
        <v>1840</v>
      </c>
      <c r="F97" s="113" t="s">
        <v>530</v>
      </c>
      <c r="G97" s="113" t="s">
        <v>396</v>
      </c>
      <c r="H97" s="113" t="s">
        <v>422</v>
      </c>
      <c r="I97">
        <v>63</v>
      </c>
    </row>
    <row r="98" spans="1:10">
      <c r="A98" s="113" t="s">
        <v>525</v>
      </c>
      <c r="B98" s="113" t="s">
        <v>385</v>
      </c>
      <c r="C98" s="113" t="s">
        <v>395</v>
      </c>
      <c r="D98" s="113" t="s">
        <v>387</v>
      </c>
      <c r="E98">
        <v>1873</v>
      </c>
      <c r="F98" s="113" t="s">
        <v>531</v>
      </c>
      <c r="G98" s="113" t="s">
        <v>388</v>
      </c>
      <c r="H98" s="113" t="s">
        <v>422</v>
      </c>
      <c r="I98">
        <v>222</v>
      </c>
    </row>
    <row r="99" spans="1:10">
      <c r="A99" s="113" t="s">
        <v>525</v>
      </c>
      <c r="B99" s="113" t="s">
        <v>385</v>
      </c>
      <c r="C99" s="113" t="s">
        <v>397</v>
      </c>
      <c r="D99" s="113" t="s">
        <v>387</v>
      </c>
      <c r="E99">
        <v>2159</v>
      </c>
      <c r="F99" s="113" t="s">
        <v>532</v>
      </c>
      <c r="G99" s="113" t="s">
        <v>396</v>
      </c>
      <c r="H99" s="113" t="s">
        <v>393</v>
      </c>
      <c r="I99">
        <v>82</v>
      </c>
    </row>
    <row r="100" spans="1:10">
      <c r="A100" s="113" t="s">
        <v>525</v>
      </c>
      <c r="B100" s="113" t="s">
        <v>385</v>
      </c>
      <c r="C100" s="113" t="s">
        <v>395</v>
      </c>
      <c r="D100" s="113" t="s">
        <v>387</v>
      </c>
      <c r="E100">
        <v>2198</v>
      </c>
      <c r="F100" s="113" t="s">
        <v>533</v>
      </c>
      <c r="G100" s="113" t="s">
        <v>388</v>
      </c>
      <c r="H100" s="113" t="s">
        <v>393</v>
      </c>
      <c r="I100" s="113">
        <v>215</v>
      </c>
      <c r="J100" s="113"/>
    </row>
    <row r="101" spans="1:10">
      <c r="A101" s="113" t="s">
        <v>525</v>
      </c>
      <c r="B101" s="113" t="s">
        <v>385</v>
      </c>
      <c r="C101" s="113" t="s">
        <v>395</v>
      </c>
      <c r="D101" s="113" t="s">
        <v>391</v>
      </c>
      <c r="E101">
        <v>2345</v>
      </c>
      <c r="F101" s="113" t="s">
        <v>534</v>
      </c>
      <c r="G101" s="113" t="s">
        <v>396</v>
      </c>
      <c r="H101" s="113" t="s">
        <v>399</v>
      </c>
      <c r="I101" s="113">
        <v>35</v>
      </c>
      <c r="J101" s="113"/>
    </row>
    <row r="102" spans="1:10">
      <c r="A102" s="113" t="s">
        <v>525</v>
      </c>
      <c r="B102" s="113" t="s">
        <v>385</v>
      </c>
      <c r="C102" s="113" t="s">
        <v>390</v>
      </c>
      <c r="D102" s="113" t="s">
        <v>391</v>
      </c>
      <c r="E102">
        <v>2424</v>
      </c>
      <c r="F102" s="113" t="s">
        <v>535</v>
      </c>
      <c r="G102" s="113" t="s">
        <v>388</v>
      </c>
      <c r="H102" s="113" t="s">
        <v>393</v>
      </c>
      <c r="I102">
        <v>43</v>
      </c>
    </row>
    <row r="103" spans="1:10">
      <c r="A103" s="113" t="s">
        <v>525</v>
      </c>
      <c r="B103" s="113" t="s">
        <v>385</v>
      </c>
      <c r="C103" s="113" t="s">
        <v>386</v>
      </c>
      <c r="D103" s="113" t="s">
        <v>387</v>
      </c>
      <c r="E103">
        <v>2776</v>
      </c>
      <c r="F103" s="113" t="s">
        <v>536</v>
      </c>
      <c r="G103" s="113" t="s">
        <v>392</v>
      </c>
      <c r="H103" s="113" t="s">
        <v>394</v>
      </c>
      <c r="I103" s="113">
        <v>20</v>
      </c>
      <c r="J103" s="113"/>
    </row>
    <row r="104" spans="1:10">
      <c r="A104" s="113" t="s">
        <v>525</v>
      </c>
      <c r="B104" s="113" t="s">
        <v>385</v>
      </c>
      <c r="C104" s="113" t="s">
        <v>390</v>
      </c>
      <c r="D104" s="113" t="s">
        <v>391</v>
      </c>
      <c r="E104">
        <v>2978</v>
      </c>
      <c r="F104" s="113" t="s">
        <v>537</v>
      </c>
      <c r="G104" s="113" t="s">
        <v>400</v>
      </c>
      <c r="H104" s="113" t="s">
        <v>414</v>
      </c>
      <c r="I104" s="113">
        <v>159</v>
      </c>
      <c r="J104" s="113"/>
    </row>
    <row r="105" spans="1:10">
      <c r="A105" s="113" t="s">
        <v>525</v>
      </c>
      <c r="B105" s="113" t="s">
        <v>385</v>
      </c>
      <c r="C105" s="113" t="s">
        <v>395</v>
      </c>
      <c r="D105" s="113" t="s">
        <v>387</v>
      </c>
      <c r="E105">
        <v>3038</v>
      </c>
      <c r="F105" s="113" t="s">
        <v>538</v>
      </c>
      <c r="G105" s="113" t="s">
        <v>388</v>
      </c>
      <c r="H105" s="113" t="s">
        <v>394</v>
      </c>
      <c r="I105" s="113" t="s">
        <v>539</v>
      </c>
      <c r="J105" s="113" t="s">
        <v>1077</v>
      </c>
    </row>
    <row r="106" spans="1:10">
      <c r="A106" s="113" t="s">
        <v>525</v>
      </c>
      <c r="B106" s="113" t="s">
        <v>385</v>
      </c>
      <c r="C106" s="113" t="s">
        <v>386</v>
      </c>
      <c r="D106" s="113" t="s">
        <v>387</v>
      </c>
      <c r="E106">
        <v>3159</v>
      </c>
      <c r="F106" s="113" t="s">
        <v>540</v>
      </c>
      <c r="G106" s="113" t="s">
        <v>388</v>
      </c>
      <c r="H106" s="113" t="s">
        <v>398</v>
      </c>
      <c r="I106">
        <v>348</v>
      </c>
    </row>
    <row r="107" spans="1:10">
      <c r="A107" s="113" t="s">
        <v>525</v>
      </c>
      <c r="B107" s="113" t="s">
        <v>385</v>
      </c>
      <c r="C107" s="113" t="s">
        <v>395</v>
      </c>
      <c r="D107" s="113" t="s">
        <v>387</v>
      </c>
      <c r="E107">
        <v>3195</v>
      </c>
      <c r="F107" s="113" t="s">
        <v>541</v>
      </c>
      <c r="G107" s="113" t="s">
        <v>400</v>
      </c>
      <c r="H107" s="113" t="s">
        <v>398</v>
      </c>
      <c r="I107">
        <v>47</v>
      </c>
    </row>
    <row r="108" spans="1:10">
      <c r="A108" s="113" t="s">
        <v>525</v>
      </c>
      <c r="B108" s="113" t="s">
        <v>385</v>
      </c>
      <c r="C108" s="113" t="s">
        <v>395</v>
      </c>
      <c r="D108" s="113" t="s">
        <v>391</v>
      </c>
      <c r="E108">
        <v>3309</v>
      </c>
      <c r="F108" s="113" t="s">
        <v>542</v>
      </c>
      <c r="G108" s="113" t="s">
        <v>475</v>
      </c>
      <c r="H108" s="113" t="s">
        <v>476</v>
      </c>
      <c r="I108" s="113" t="s">
        <v>539</v>
      </c>
      <c r="J108" s="113" t="s">
        <v>1078</v>
      </c>
    </row>
    <row r="109" spans="1:10">
      <c r="A109" s="113" t="s">
        <v>525</v>
      </c>
      <c r="B109" s="113" t="s">
        <v>385</v>
      </c>
      <c r="C109" s="113" t="s">
        <v>390</v>
      </c>
      <c r="D109" s="113" t="s">
        <v>387</v>
      </c>
      <c r="E109">
        <v>3421</v>
      </c>
      <c r="F109" s="113" t="s">
        <v>543</v>
      </c>
      <c r="G109" s="113" t="s">
        <v>388</v>
      </c>
      <c r="H109" s="113" t="s">
        <v>403</v>
      </c>
      <c r="I109">
        <v>260</v>
      </c>
    </row>
    <row r="110" spans="1:10">
      <c r="A110" s="113" t="s">
        <v>525</v>
      </c>
      <c r="B110" s="113" t="s">
        <v>385</v>
      </c>
      <c r="C110" s="113" t="s">
        <v>395</v>
      </c>
      <c r="D110" s="113" t="s">
        <v>387</v>
      </c>
      <c r="E110">
        <v>3480</v>
      </c>
      <c r="F110" s="113" t="s">
        <v>544</v>
      </c>
      <c r="G110" s="113" t="s">
        <v>388</v>
      </c>
      <c r="H110" s="113" t="s">
        <v>414</v>
      </c>
      <c r="I110">
        <v>229</v>
      </c>
    </row>
    <row r="111" spans="1:10">
      <c r="A111" s="113" t="s">
        <v>525</v>
      </c>
      <c r="B111" s="113" t="s">
        <v>385</v>
      </c>
      <c r="C111" s="113" t="s">
        <v>390</v>
      </c>
      <c r="D111" s="113" t="s">
        <v>391</v>
      </c>
      <c r="E111">
        <v>3497</v>
      </c>
      <c r="F111" s="113" t="s">
        <v>545</v>
      </c>
      <c r="G111" s="113" t="s">
        <v>400</v>
      </c>
      <c r="H111" s="113" t="s">
        <v>414</v>
      </c>
      <c r="I111">
        <v>37</v>
      </c>
    </row>
    <row r="112" spans="1:10">
      <c r="A112" s="113" t="s">
        <v>525</v>
      </c>
      <c r="B112" s="113" t="s">
        <v>385</v>
      </c>
      <c r="C112" s="113" t="s">
        <v>395</v>
      </c>
      <c r="D112" s="113" t="s">
        <v>387</v>
      </c>
      <c r="E112">
        <v>3653</v>
      </c>
      <c r="F112" s="113" t="s">
        <v>546</v>
      </c>
      <c r="G112" s="113" t="s">
        <v>400</v>
      </c>
      <c r="H112" s="113" t="s">
        <v>399</v>
      </c>
      <c r="I112">
        <v>165</v>
      </c>
    </row>
    <row r="113" spans="1:10">
      <c r="A113" s="113" t="s">
        <v>525</v>
      </c>
      <c r="B113" s="113" t="s">
        <v>385</v>
      </c>
      <c r="C113" s="113" t="s">
        <v>386</v>
      </c>
      <c r="D113" s="113" t="s">
        <v>391</v>
      </c>
      <c r="E113">
        <v>3665</v>
      </c>
      <c r="F113" s="113" t="s">
        <v>547</v>
      </c>
      <c r="G113" s="113" t="s">
        <v>388</v>
      </c>
      <c r="H113" s="113" t="s">
        <v>399</v>
      </c>
      <c r="I113">
        <v>442</v>
      </c>
    </row>
    <row r="114" spans="1:10">
      <c r="A114" s="113" t="s">
        <v>525</v>
      </c>
      <c r="B114" s="113" t="s">
        <v>385</v>
      </c>
      <c r="C114" s="113" t="s">
        <v>397</v>
      </c>
      <c r="D114" s="113" t="s">
        <v>387</v>
      </c>
      <c r="E114">
        <v>3843</v>
      </c>
      <c r="F114" s="113" t="s">
        <v>548</v>
      </c>
      <c r="G114" s="113" t="s">
        <v>388</v>
      </c>
      <c r="H114" s="113" t="s">
        <v>399</v>
      </c>
      <c r="I114">
        <v>215</v>
      </c>
    </row>
    <row r="115" spans="1:10">
      <c r="A115" s="113" t="s">
        <v>525</v>
      </c>
      <c r="B115" s="113" t="s">
        <v>385</v>
      </c>
      <c r="C115" s="113" t="s">
        <v>386</v>
      </c>
      <c r="D115" s="113" t="s">
        <v>391</v>
      </c>
      <c r="E115">
        <v>3921</v>
      </c>
      <c r="F115" s="113" t="s">
        <v>549</v>
      </c>
      <c r="G115" s="113" t="s">
        <v>388</v>
      </c>
      <c r="H115" s="113" t="s">
        <v>399</v>
      </c>
      <c r="I115">
        <v>154</v>
      </c>
    </row>
    <row r="116" spans="1:10">
      <c r="A116" s="113" t="s">
        <v>525</v>
      </c>
      <c r="B116" s="113" t="s">
        <v>385</v>
      </c>
      <c r="C116" s="113" t="s">
        <v>386</v>
      </c>
      <c r="D116" s="113" t="s">
        <v>387</v>
      </c>
      <c r="E116">
        <v>3931</v>
      </c>
      <c r="F116" s="113" t="s">
        <v>550</v>
      </c>
      <c r="G116" s="113" t="s">
        <v>400</v>
      </c>
      <c r="H116" s="113" t="s">
        <v>399</v>
      </c>
      <c r="I116">
        <v>23</v>
      </c>
    </row>
    <row r="117" spans="1:10">
      <c r="A117" s="113" t="s">
        <v>525</v>
      </c>
      <c r="B117" s="113" t="s">
        <v>385</v>
      </c>
      <c r="C117" s="113" t="s">
        <v>386</v>
      </c>
      <c r="D117" s="113" t="s">
        <v>387</v>
      </c>
      <c r="E117">
        <v>3995</v>
      </c>
      <c r="F117" s="113" t="s">
        <v>551</v>
      </c>
      <c r="G117" s="113" t="s">
        <v>400</v>
      </c>
      <c r="H117" s="113" t="s">
        <v>399</v>
      </c>
      <c r="I117">
        <v>76</v>
      </c>
    </row>
    <row r="118" spans="1:10">
      <c r="A118" s="113" t="s">
        <v>525</v>
      </c>
      <c r="B118" s="113" t="s">
        <v>385</v>
      </c>
      <c r="C118" s="113" t="s">
        <v>386</v>
      </c>
      <c r="D118" s="113" t="s">
        <v>387</v>
      </c>
      <c r="E118">
        <v>4287</v>
      </c>
      <c r="F118" s="113" t="s">
        <v>552</v>
      </c>
      <c r="G118" s="113" t="s">
        <v>392</v>
      </c>
      <c r="H118" s="113" t="s">
        <v>399</v>
      </c>
      <c r="I118" s="113">
        <v>66</v>
      </c>
      <c r="J118" s="113"/>
    </row>
    <row r="119" spans="1:10">
      <c r="A119" s="113" t="s">
        <v>525</v>
      </c>
      <c r="B119" s="113" t="s">
        <v>385</v>
      </c>
      <c r="C119" s="113" t="s">
        <v>397</v>
      </c>
      <c r="D119" s="113" t="s">
        <v>391</v>
      </c>
      <c r="E119">
        <v>4431</v>
      </c>
      <c r="F119" s="113" t="s">
        <v>553</v>
      </c>
      <c r="G119" s="113" t="s">
        <v>400</v>
      </c>
      <c r="H119" s="113" t="s">
        <v>399</v>
      </c>
      <c r="I119" s="113">
        <v>287</v>
      </c>
      <c r="J119" s="113"/>
    </row>
    <row r="120" spans="1:10">
      <c r="A120" s="113" t="s">
        <v>525</v>
      </c>
      <c r="B120" s="113" t="s">
        <v>385</v>
      </c>
      <c r="C120" s="113" t="s">
        <v>386</v>
      </c>
      <c r="D120" s="113" t="s">
        <v>387</v>
      </c>
      <c r="E120">
        <v>4592</v>
      </c>
      <c r="F120" s="113" t="s">
        <v>554</v>
      </c>
      <c r="G120" s="113" t="s">
        <v>400</v>
      </c>
      <c r="H120" s="113" t="s">
        <v>510</v>
      </c>
      <c r="I120" s="113" t="s">
        <v>411</v>
      </c>
      <c r="J120" s="113" t="s">
        <v>1079</v>
      </c>
    </row>
    <row r="121" spans="1:10">
      <c r="A121" s="113" t="s">
        <v>525</v>
      </c>
      <c r="B121" s="113" t="s">
        <v>385</v>
      </c>
      <c r="C121" s="113" t="s">
        <v>390</v>
      </c>
      <c r="D121" s="113" t="s">
        <v>391</v>
      </c>
      <c r="E121">
        <v>4599</v>
      </c>
      <c r="F121" s="113" t="s">
        <v>555</v>
      </c>
      <c r="G121" s="113" t="s">
        <v>400</v>
      </c>
      <c r="H121" s="113" t="s">
        <v>510</v>
      </c>
      <c r="I121">
        <v>483</v>
      </c>
    </row>
    <row r="122" spans="1:10">
      <c r="A122" s="113" t="s">
        <v>525</v>
      </c>
      <c r="B122" s="113" t="s">
        <v>385</v>
      </c>
      <c r="C122" s="113" t="s">
        <v>395</v>
      </c>
      <c r="D122" s="113" t="s">
        <v>387</v>
      </c>
      <c r="E122">
        <v>4627</v>
      </c>
      <c r="F122" s="113" t="s">
        <v>556</v>
      </c>
      <c r="G122" s="113" t="s">
        <v>392</v>
      </c>
      <c r="H122" s="113" t="s">
        <v>401</v>
      </c>
      <c r="I122">
        <v>99</v>
      </c>
    </row>
    <row r="123" spans="1:10">
      <c r="A123" s="113" t="s">
        <v>525</v>
      </c>
      <c r="B123" s="113" t="s">
        <v>385</v>
      </c>
      <c r="C123" s="113" t="s">
        <v>395</v>
      </c>
      <c r="D123" s="113" t="s">
        <v>387</v>
      </c>
      <c r="E123">
        <v>4996</v>
      </c>
      <c r="F123" s="113" t="s">
        <v>557</v>
      </c>
      <c r="G123" s="113" t="s">
        <v>388</v>
      </c>
      <c r="H123" s="113" t="s">
        <v>401</v>
      </c>
      <c r="I123" s="113" t="s">
        <v>443</v>
      </c>
      <c r="J123" s="113" t="s">
        <v>1080</v>
      </c>
    </row>
    <row r="124" spans="1:10">
      <c r="A124" s="113" t="s">
        <v>525</v>
      </c>
      <c r="B124" s="113" t="s">
        <v>385</v>
      </c>
      <c r="C124" s="113" t="s">
        <v>395</v>
      </c>
      <c r="D124" s="113" t="s">
        <v>391</v>
      </c>
      <c r="E124">
        <v>6049</v>
      </c>
      <c r="F124" s="113" t="s">
        <v>558</v>
      </c>
      <c r="G124" s="113" t="s">
        <v>400</v>
      </c>
      <c r="H124" s="113" t="s">
        <v>393</v>
      </c>
      <c r="I124">
        <v>418</v>
      </c>
    </row>
    <row r="125" spans="1:10">
      <c r="A125" s="113" t="s">
        <v>525</v>
      </c>
      <c r="B125" s="113" t="s">
        <v>385</v>
      </c>
      <c r="C125" s="113" t="s">
        <v>390</v>
      </c>
      <c r="D125" s="113" t="s">
        <v>387</v>
      </c>
      <c r="E125">
        <v>6091</v>
      </c>
      <c r="F125" s="113" t="s">
        <v>559</v>
      </c>
      <c r="G125" s="113" t="s">
        <v>396</v>
      </c>
      <c r="H125" s="113" t="s">
        <v>393</v>
      </c>
      <c r="I125">
        <v>74</v>
      </c>
    </row>
    <row r="126" spans="1:10">
      <c r="A126" s="113" t="s">
        <v>525</v>
      </c>
      <c r="B126" s="113" t="s">
        <v>385</v>
      </c>
      <c r="C126" s="113" t="s">
        <v>397</v>
      </c>
      <c r="D126" s="113" t="s">
        <v>387</v>
      </c>
      <c r="E126">
        <v>6192</v>
      </c>
      <c r="F126" s="113" t="s">
        <v>560</v>
      </c>
      <c r="G126" s="113" t="s">
        <v>400</v>
      </c>
      <c r="H126" s="113" t="s">
        <v>393</v>
      </c>
      <c r="I126">
        <v>80</v>
      </c>
    </row>
    <row r="127" spans="1:10">
      <c r="A127" s="113" t="s">
        <v>525</v>
      </c>
      <c r="B127" s="113" t="s">
        <v>385</v>
      </c>
      <c r="C127" s="113" t="s">
        <v>390</v>
      </c>
      <c r="D127" s="113" t="s">
        <v>387</v>
      </c>
      <c r="E127">
        <v>6577</v>
      </c>
      <c r="F127" s="113" t="s">
        <v>561</v>
      </c>
      <c r="G127" s="113" t="s">
        <v>400</v>
      </c>
      <c r="H127" s="113" t="s">
        <v>393</v>
      </c>
      <c r="I127">
        <v>42</v>
      </c>
    </row>
    <row r="128" spans="1:10">
      <c r="A128" s="113" t="s">
        <v>525</v>
      </c>
      <c r="B128" s="113" t="s">
        <v>385</v>
      </c>
      <c r="C128" s="113" t="s">
        <v>397</v>
      </c>
      <c r="D128" s="113" t="s">
        <v>387</v>
      </c>
      <c r="E128">
        <v>6630</v>
      </c>
      <c r="F128" s="113" t="s">
        <v>562</v>
      </c>
      <c r="G128" s="113" t="s">
        <v>388</v>
      </c>
      <c r="H128" s="113" t="s">
        <v>413</v>
      </c>
      <c r="I128">
        <v>403</v>
      </c>
    </row>
    <row r="129" spans="1:10">
      <c r="A129" s="113" t="s">
        <v>525</v>
      </c>
      <c r="B129" s="113" t="s">
        <v>385</v>
      </c>
      <c r="C129" s="113" t="s">
        <v>390</v>
      </c>
      <c r="D129" s="113" t="s">
        <v>387</v>
      </c>
      <c r="E129">
        <v>6721</v>
      </c>
      <c r="F129" s="113" t="s">
        <v>563</v>
      </c>
      <c r="G129" s="113" t="s">
        <v>396</v>
      </c>
      <c r="H129" s="113" t="s">
        <v>413</v>
      </c>
      <c r="I129">
        <v>81</v>
      </c>
    </row>
    <row r="130" spans="1:10">
      <c r="A130" s="113" t="s">
        <v>525</v>
      </c>
      <c r="B130" s="113" t="s">
        <v>385</v>
      </c>
      <c r="C130" s="113" t="s">
        <v>395</v>
      </c>
      <c r="D130" s="113" t="s">
        <v>387</v>
      </c>
      <c r="E130">
        <v>7033</v>
      </c>
      <c r="F130" s="113" t="s">
        <v>564</v>
      </c>
      <c r="G130" s="113" t="s">
        <v>388</v>
      </c>
      <c r="H130" s="113" t="s">
        <v>393</v>
      </c>
      <c r="I130">
        <v>121</v>
      </c>
    </row>
    <row r="131" spans="1:10">
      <c r="A131" s="113" t="s">
        <v>525</v>
      </c>
      <c r="B131" s="113" t="s">
        <v>385</v>
      </c>
      <c r="C131" s="113" t="s">
        <v>386</v>
      </c>
      <c r="D131" s="113" t="s">
        <v>387</v>
      </c>
      <c r="E131">
        <v>7073</v>
      </c>
      <c r="F131" s="113" t="s">
        <v>565</v>
      </c>
      <c r="G131" s="113" t="s">
        <v>400</v>
      </c>
      <c r="H131" s="113" t="s">
        <v>393</v>
      </c>
      <c r="I131" s="113">
        <v>83</v>
      </c>
      <c r="J131" s="113"/>
    </row>
    <row r="132" spans="1:10">
      <c r="A132" s="113" t="s">
        <v>525</v>
      </c>
      <c r="B132" s="113" t="s">
        <v>385</v>
      </c>
      <c r="C132" s="113" t="s">
        <v>395</v>
      </c>
      <c r="D132" s="113" t="s">
        <v>387</v>
      </c>
      <c r="E132">
        <v>7279</v>
      </c>
      <c r="F132" s="113" t="s">
        <v>566</v>
      </c>
      <c r="G132" s="113" t="s">
        <v>396</v>
      </c>
      <c r="H132" s="113" t="s">
        <v>439</v>
      </c>
      <c r="I132" s="113">
        <v>709</v>
      </c>
      <c r="J132" s="113"/>
    </row>
    <row r="133" spans="1:10">
      <c r="A133" s="113" t="s">
        <v>525</v>
      </c>
      <c r="B133" s="113" t="s">
        <v>385</v>
      </c>
      <c r="C133" s="113" t="s">
        <v>397</v>
      </c>
      <c r="D133" s="113" t="s">
        <v>387</v>
      </c>
      <c r="E133">
        <v>7604</v>
      </c>
      <c r="F133" s="113" t="s">
        <v>567</v>
      </c>
      <c r="G133" s="113" t="s">
        <v>396</v>
      </c>
      <c r="H133" s="113" t="s">
        <v>398</v>
      </c>
      <c r="I133">
        <v>206</v>
      </c>
    </row>
    <row r="134" spans="1:10">
      <c r="A134" s="113" t="s">
        <v>525</v>
      </c>
      <c r="B134" s="113" t="s">
        <v>385</v>
      </c>
      <c r="C134" s="113" t="s">
        <v>395</v>
      </c>
      <c r="D134" s="113" t="s">
        <v>391</v>
      </c>
      <c r="E134">
        <v>7605</v>
      </c>
      <c r="F134" s="113" t="s">
        <v>568</v>
      </c>
      <c r="G134" s="113" t="s">
        <v>388</v>
      </c>
      <c r="H134" s="113" t="s">
        <v>398</v>
      </c>
      <c r="I134" s="113">
        <v>250</v>
      </c>
      <c r="J134" s="113"/>
    </row>
    <row r="135" spans="1:10">
      <c r="A135" s="113" t="s">
        <v>525</v>
      </c>
      <c r="B135" s="113" t="s">
        <v>385</v>
      </c>
      <c r="C135" s="113" t="s">
        <v>390</v>
      </c>
      <c r="D135" s="113" t="s">
        <v>391</v>
      </c>
      <c r="E135">
        <v>7682</v>
      </c>
      <c r="F135" s="113" t="s">
        <v>569</v>
      </c>
      <c r="G135" s="113" t="s">
        <v>392</v>
      </c>
      <c r="H135" s="113" t="s">
        <v>398</v>
      </c>
      <c r="I135" s="113">
        <v>26</v>
      </c>
      <c r="J135" s="113"/>
    </row>
    <row r="136" spans="1:10">
      <c r="A136" s="113" t="s">
        <v>525</v>
      </c>
      <c r="B136" s="113" t="s">
        <v>385</v>
      </c>
      <c r="C136" s="113" t="s">
        <v>386</v>
      </c>
      <c r="D136" s="113" t="s">
        <v>387</v>
      </c>
      <c r="E136">
        <v>7683</v>
      </c>
      <c r="F136" s="113" t="s">
        <v>570</v>
      </c>
      <c r="G136" s="113" t="s">
        <v>400</v>
      </c>
      <c r="H136" s="113" t="s">
        <v>398</v>
      </c>
      <c r="I136">
        <v>210</v>
      </c>
    </row>
    <row r="137" spans="1:10">
      <c r="A137" s="113" t="s">
        <v>525</v>
      </c>
      <c r="B137" s="113" t="s">
        <v>385</v>
      </c>
      <c r="C137" s="113" t="s">
        <v>390</v>
      </c>
      <c r="D137" s="113" t="s">
        <v>387</v>
      </c>
      <c r="E137">
        <v>7803</v>
      </c>
      <c r="F137" s="113" t="s">
        <v>571</v>
      </c>
      <c r="G137" s="113" t="s">
        <v>400</v>
      </c>
      <c r="H137" s="113" t="s">
        <v>410</v>
      </c>
      <c r="I137">
        <v>652</v>
      </c>
    </row>
    <row r="138" spans="1:10">
      <c r="A138" s="113" t="s">
        <v>525</v>
      </c>
      <c r="B138" s="113" t="s">
        <v>385</v>
      </c>
      <c r="C138" s="113" t="s">
        <v>395</v>
      </c>
      <c r="D138" s="113" t="s">
        <v>391</v>
      </c>
      <c r="E138">
        <v>7805</v>
      </c>
      <c r="F138" s="113" t="s">
        <v>572</v>
      </c>
      <c r="G138" s="113" t="s">
        <v>392</v>
      </c>
      <c r="H138" s="113" t="s">
        <v>410</v>
      </c>
      <c r="I138">
        <v>32</v>
      </c>
    </row>
    <row r="139" spans="1:10">
      <c r="A139" s="113" t="s">
        <v>525</v>
      </c>
      <c r="B139" s="113" t="s">
        <v>385</v>
      </c>
      <c r="C139" s="113" t="s">
        <v>390</v>
      </c>
      <c r="D139" s="113" t="s">
        <v>387</v>
      </c>
      <c r="E139">
        <v>7810</v>
      </c>
      <c r="F139" s="113" t="s">
        <v>573</v>
      </c>
      <c r="G139" s="113" t="s">
        <v>392</v>
      </c>
      <c r="H139" s="113" t="s">
        <v>410</v>
      </c>
      <c r="I139">
        <v>63</v>
      </c>
    </row>
    <row r="140" spans="1:10">
      <c r="A140" s="113" t="s">
        <v>525</v>
      </c>
      <c r="B140" s="113" t="s">
        <v>385</v>
      </c>
      <c r="C140" s="113" t="s">
        <v>395</v>
      </c>
      <c r="D140" s="113" t="s">
        <v>391</v>
      </c>
      <c r="E140">
        <v>7827</v>
      </c>
      <c r="F140" s="113" t="s">
        <v>574</v>
      </c>
      <c r="G140" s="113" t="s">
        <v>392</v>
      </c>
      <c r="H140" s="113" t="s">
        <v>410</v>
      </c>
      <c r="I140">
        <v>14</v>
      </c>
    </row>
    <row r="141" spans="1:10">
      <c r="A141" s="113" t="s">
        <v>525</v>
      </c>
      <c r="B141" s="113" t="s">
        <v>385</v>
      </c>
      <c r="C141" s="113" t="s">
        <v>390</v>
      </c>
      <c r="D141" s="113" t="s">
        <v>387</v>
      </c>
      <c r="E141">
        <v>7850</v>
      </c>
      <c r="F141" s="113" t="s">
        <v>575</v>
      </c>
      <c r="G141" s="113" t="s">
        <v>392</v>
      </c>
      <c r="H141" s="113" t="s">
        <v>410</v>
      </c>
      <c r="I141">
        <v>22</v>
      </c>
    </row>
    <row r="142" spans="1:10">
      <c r="A142" s="113" t="s">
        <v>525</v>
      </c>
      <c r="B142" s="113" t="s">
        <v>385</v>
      </c>
      <c r="C142" s="113" t="s">
        <v>397</v>
      </c>
      <c r="D142" s="113" t="s">
        <v>387</v>
      </c>
      <c r="E142">
        <v>7899</v>
      </c>
      <c r="F142" s="113" t="s">
        <v>576</v>
      </c>
      <c r="G142" s="113" t="s">
        <v>392</v>
      </c>
      <c r="H142" s="113" t="s">
        <v>401</v>
      </c>
      <c r="I142">
        <v>19</v>
      </c>
    </row>
    <row r="143" spans="1:10">
      <c r="A143" s="113" t="s">
        <v>525</v>
      </c>
      <c r="B143" s="113" t="s">
        <v>385</v>
      </c>
      <c r="C143" s="113" t="s">
        <v>395</v>
      </c>
      <c r="D143" s="113" t="s">
        <v>387</v>
      </c>
      <c r="E143">
        <v>7983</v>
      </c>
      <c r="F143" s="113" t="s">
        <v>577</v>
      </c>
      <c r="G143" s="113" t="s">
        <v>396</v>
      </c>
      <c r="H143" s="113" t="s">
        <v>410</v>
      </c>
      <c r="I143">
        <v>63</v>
      </c>
    </row>
    <row r="144" spans="1:10">
      <c r="A144" s="113" t="s">
        <v>525</v>
      </c>
      <c r="B144" s="113" t="s">
        <v>385</v>
      </c>
      <c r="C144" s="113" t="s">
        <v>386</v>
      </c>
      <c r="D144" s="113" t="s">
        <v>387</v>
      </c>
      <c r="E144">
        <v>8013</v>
      </c>
      <c r="F144" s="113" t="s">
        <v>578</v>
      </c>
      <c r="G144" s="113" t="s">
        <v>388</v>
      </c>
      <c r="H144" s="113" t="s">
        <v>454</v>
      </c>
      <c r="I144">
        <v>36</v>
      </c>
    </row>
    <row r="145" spans="1:10">
      <c r="A145" s="113" t="s">
        <v>525</v>
      </c>
      <c r="B145" s="113" t="s">
        <v>385</v>
      </c>
      <c r="C145" s="113" t="s">
        <v>395</v>
      </c>
      <c r="D145" s="113" t="s">
        <v>387</v>
      </c>
      <c r="E145">
        <v>8079</v>
      </c>
      <c r="F145" s="113" t="s">
        <v>579</v>
      </c>
      <c r="G145" s="113" t="s">
        <v>388</v>
      </c>
      <c r="H145" s="113" t="s">
        <v>394</v>
      </c>
      <c r="I145">
        <v>581</v>
      </c>
    </row>
    <row r="146" spans="1:10">
      <c r="A146" s="113" t="s">
        <v>525</v>
      </c>
      <c r="B146" s="113" t="s">
        <v>385</v>
      </c>
      <c r="C146" s="113" t="s">
        <v>395</v>
      </c>
      <c r="D146" s="113" t="s">
        <v>387</v>
      </c>
      <c r="E146">
        <v>8917</v>
      </c>
      <c r="F146" s="113" t="s">
        <v>580</v>
      </c>
      <c r="G146" s="113" t="s">
        <v>388</v>
      </c>
      <c r="H146" s="113" t="s">
        <v>414</v>
      </c>
      <c r="I146" s="113">
        <v>221</v>
      </c>
      <c r="J146" s="113"/>
    </row>
    <row r="147" spans="1:10">
      <c r="A147" s="113" t="s">
        <v>525</v>
      </c>
      <c r="B147" s="113" t="s">
        <v>385</v>
      </c>
      <c r="C147" s="113" t="s">
        <v>390</v>
      </c>
      <c r="D147" s="113" t="s">
        <v>387</v>
      </c>
      <c r="E147">
        <v>8925</v>
      </c>
      <c r="F147" s="113" t="s">
        <v>581</v>
      </c>
      <c r="G147" s="113" t="s">
        <v>396</v>
      </c>
      <c r="H147" s="113" t="s">
        <v>414</v>
      </c>
      <c r="I147" s="113">
        <v>202</v>
      </c>
      <c r="J147" s="113"/>
    </row>
    <row r="148" spans="1:10">
      <c r="A148" s="113" t="s">
        <v>525</v>
      </c>
      <c r="B148" s="113" t="s">
        <v>385</v>
      </c>
      <c r="C148" s="113" t="s">
        <v>390</v>
      </c>
      <c r="D148" s="113" t="s">
        <v>387</v>
      </c>
      <c r="E148">
        <v>8927</v>
      </c>
      <c r="F148" s="113" t="s">
        <v>582</v>
      </c>
      <c r="G148" s="113" t="s">
        <v>392</v>
      </c>
      <c r="H148" s="113" t="s">
        <v>414</v>
      </c>
      <c r="I148">
        <v>66</v>
      </c>
    </row>
    <row r="149" spans="1:10">
      <c r="A149" s="113" t="s">
        <v>525</v>
      </c>
      <c r="B149" s="113" t="s">
        <v>385</v>
      </c>
      <c r="C149" s="113" t="s">
        <v>395</v>
      </c>
      <c r="D149" s="113" t="s">
        <v>391</v>
      </c>
      <c r="E149">
        <v>8975</v>
      </c>
      <c r="F149" s="113" t="s">
        <v>583</v>
      </c>
      <c r="G149" s="113" t="s">
        <v>475</v>
      </c>
      <c r="H149" s="113" t="s">
        <v>476</v>
      </c>
      <c r="I149" s="113" t="s">
        <v>443</v>
      </c>
      <c r="J149" s="113" t="s">
        <v>999</v>
      </c>
    </row>
    <row r="150" spans="1:10">
      <c r="A150" s="113" t="s">
        <v>525</v>
      </c>
      <c r="B150" s="113" t="s">
        <v>385</v>
      </c>
      <c r="C150" s="113" t="s">
        <v>395</v>
      </c>
      <c r="D150" s="113" t="s">
        <v>391</v>
      </c>
      <c r="E150">
        <v>8979</v>
      </c>
      <c r="F150" s="113" t="s">
        <v>584</v>
      </c>
      <c r="G150" s="113" t="s">
        <v>475</v>
      </c>
      <c r="H150" s="113" t="s">
        <v>476</v>
      </c>
      <c r="I150" s="113">
        <v>511</v>
      </c>
      <c r="J150" s="113"/>
    </row>
    <row r="151" spans="1:10">
      <c r="A151" s="113" t="s">
        <v>525</v>
      </c>
      <c r="B151" s="113" t="s">
        <v>385</v>
      </c>
      <c r="C151" s="113" t="s">
        <v>395</v>
      </c>
      <c r="D151" s="113" t="s">
        <v>387</v>
      </c>
      <c r="E151">
        <v>9279</v>
      </c>
      <c r="F151" s="113" t="s">
        <v>585</v>
      </c>
      <c r="G151" s="113" t="s">
        <v>400</v>
      </c>
      <c r="H151" s="113" t="s">
        <v>398</v>
      </c>
      <c r="I151">
        <v>232</v>
      </c>
    </row>
    <row r="152" spans="1:10">
      <c r="A152" s="113" t="s">
        <v>525</v>
      </c>
      <c r="B152" s="113" t="s">
        <v>385</v>
      </c>
      <c r="C152" s="113" t="s">
        <v>386</v>
      </c>
      <c r="D152" s="113" t="s">
        <v>387</v>
      </c>
      <c r="E152">
        <v>9637</v>
      </c>
      <c r="F152" s="113" t="s">
        <v>586</v>
      </c>
      <c r="G152" s="113" t="s">
        <v>396</v>
      </c>
      <c r="H152" s="113" t="s">
        <v>393</v>
      </c>
      <c r="I152">
        <v>113</v>
      </c>
    </row>
    <row r="153" spans="1:10">
      <c r="A153" s="113" t="s">
        <v>587</v>
      </c>
      <c r="B153" s="113" t="s">
        <v>447</v>
      </c>
      <c r="C153" s="113" t="s">
        <v>395</v>
      </c>
      <c r="D153" s="113" t="s">
        <v>391</v>
      </c>
      <c r="E153">
        <v>7034</v>
      </c>
      <c r="F153" s="113" t="s">
        <v>588</v>
      </c>
      <c r="G153" s="113" t="s">
        <v>400</v>
      </c>
      <c r="H153" s="113" t="s">
        <v>393</v>
      </c>
      <c r="I153">
        <v>448</v>
      </c>
    </row>
    <row r="154" spans="1:10">
      <c r="A154" s="113" t="s">
        <v>587</v>
      </c>
      <c r="B154" s="113" t="s">
        <v>385</v>
      </c>
      <c r="C154" s="113" t="s">
        <v>395</v>
      </c>
      <c r="D154" s="113" t="s">
        <v>391</v>
      </c>
      <c r="E154">
        <v>3287</v>
      </c>
      <c r="F154" s="113" t="s">
        <v>589</v>
      </c>
      <c r="G154" s="113" t="s">
        <v>475</v>
      </c>
      <c r="H154" s="113" t="s">
        <v>476</v>
      </c>
      <c r="I154" s="113" t="s">
        <v>443</v>
      </c>
      <c r="J154" s="113" t="s">
        <v>1079</v>
      </c>
    </row>
    <row r="155" spans="1:10">
      <c r="A155" s="113" t="s">
        <v>587</v>
      </c>
      <c r="B155" s="113" t="s">
        <v>385</v>
      </c>
      <c r="C155" s="113" t="s">
        <v>395</v>
      </c>
      <c r="D155" s="113" t="s">
        <v>391</v>
      </c>
      <c r="E155">
        <v>3298</v>
      </c>
      <c r="F155" s="113" t="s">
        <v>590</v>
      </c>
      <c r="G155" s="113" t="s">
        <v>475</v>
      </c>
      <c r="H155" s="113" t="s">
        <v>476</v>
      </c>
      <c r="I155" s="113" t="s">
        <v>443</v>
      </c>
      <c r="J155" s="113" t="s">
        <v>1081</v>
      </c>
    </row>
    <row r="156" spans="1:10">
      <c r="A156" s="113" t="s">
        <v>587</v>
      </c>
      <c r="B156" s="113" t="s">
        <v>385</v>
      </c>
      <c r="C156" s="113" t="s">
        <v>395</v>
      </c>
      <c r="D156" s="113" t="s">
        <v>391</v>
      </c>
      <c r="E156">
        <v>3451</v>
      </c>
      <c r="F156" s="113" t="s">
        <v>591</v>
      </c>
      <c r="G156" s="113" t="s">
        <v>475</v>
      </c>
      <c r="H156" s="113" t="s">
        <v>476</v>
      </c>
      <c r="I156">
        <v>444</v>
      </c>
    </row>
    <row r="157" spans="1:10">
      <c r="A157" s="113" t="s">
        <v>587</v>
      </c>
      <c r="B157" s="113" t="s">
        <v>385</v>
      </c>
      <c r="C157" s="113" t="s">
        <v>395</v>
      </c>
      <c r="D157" s="113" t="s">
        <v>387</v>
      </c>
      <c r="E157">
        <v>3804</v>
      </c>
      <c r="F157" s="113" t="s">
        <v>592</v>
      </c>
      <c r="G157" s="113" t="s">
        <v>392</v>
      </c>
      <c r="H157" s="113" t="s">
        <v>399</v>
      </c>
      <c r="I157">
        <v>54</v>
      </c>
    </row>
    <row r="158" spans="1:10">
      <c r="A158" s="113" t="s">
        <v>587</v>
      </c>
      <c r="B158" s="113" t="s">
        <v>385</v>
      </c>
      <c r="C158" s="113" t="s">
        <v>395</v>
      </c>
      <c r="D158" s="113" t="s">
        <v>387</v>
      </c>
      <c r="E158">
        <v>4666</v>
      </c>
      <c r="F158" s="113" t="s">
        <v>593</v>
      </c>
      <c r="G158" s="113" t="s">
        <v>388</v>
      </c>
      <c r="H158" s="113" t="s">
        <v>414</v>
      </c>
      <c r="I158" s="113" t="s">
        <v>628</v>
      </c>
      <c r="J158" s="113" t="s">
        <v>1082</v>
      </c>
    </row>
    <row r="159" spans="1:10">
      <c r="A159" s="113" t="s">
        <v>587</v>
      </c>
      <c r="B159" s="113" t="s">
        <v>385</v>
      </c>
      <c r="C159" s="113" t="s">
        <v>395</v>
      </c>
      <c r="D159" s="113" t="s">
        <v>387</v>
      </c>
      <c r="E159">
        <v>7831</v>
      </c>
      <c r="F159" s="113" t="s">
        <v>594</v>
      </c>
      <c r="G159" s="113" t="s">
        <v>396</v>
      </c>
      <c r="H159" s="113" t="s">
        <v>410</v>
      </c>
      <c r="I159">
        <v>38</v>
      </c>
    </row>
    <row r="160" spans="1:10">
      <c r="A160" s="113" t="s">
        <v>595</v>
      </c>
      <c r="B160" s="113" t="s">
        <v>385</v>
      </c>
      <c r="C160" s="113" t="s">
        <v>397</v>
      </c>
      <c r="D160" s="113" t="s">
        <v>387</v>
      </c>
      <c r="E160">
        <v>2678</v>
      </c>
      <c r="F160" s="113" t="s">
        <v>596</v>
      </c>
      <c r="G160" s="113" t="s">
        <v>388</v>
      </c>
      <c r="H160" s="113" t="s">
        <v>398</v>
      </c>
      <c r="I160" s="113" t="s">
        <v>443</v>
      </c>
      <c r="J160" s="113" t="s">
        <v>1040</v>
      </c>
    </row>
    <row r="161" spans="1:10">
      <c r="A161" s="113" t="s">
        <v>595</v>
      </c>
      <c r="B161" s="113" t="s">
        <v>385</v>
      </c>
      <c r="C161" s="113" t="s">
        <v>397</v>
      </c>
      <c r="D161" s="113" t="s">
        <v>387</v>
      </c>
      <c r="E161">
        <v>3391</v>
      </c>
      <c r="F161" s="113" t="s">
        <v>597</v>
      </c>
      <c r="G161" s="113" t="s">
        <v>388</v>
      </c>
      <c r="H161" s="113" t="s">
        <v>398</v>
      </c>
      <c r="I161" s="113" t="s">
        <v>598</v>
      </c>
      <c r="J161" s="113" t="s">
        <v>1000</v>
      </c>
    </row>
    <row r="162" spans="1:10">
      <c r="A162" s="113" t="s">
        <v>595</v>
      </c>
      <c r="B162" s="113" t="s">
        <v>385</v>
      </c>
      <c r="C162" s="113" t="s">
        <v>395</v>
      </c>
      <c r="D162" s="113" t="s">
        <v>391</v>
      </c>
      <c r="E162">
        <v>8956</v>
      </c>
      <c r="F162" s="113" t="s">
        <v>599</v>
      </c>
      <c r="G162" s="113" t="s">
        <v>475</v>
      </c>
      <c r="H162" s="113" t="s">
        <v>476</v>
      </c>
      <c r="I162" s="113" t="s">
        <v>411</v>
      </c>
      <c r="J162" s="113" t="s">
        <v>1083</v>
      </c>
    </row>
    <row r="163" spans="1:10">
      <c r="A163" s="113" t="s">
        <v>600</v>
      </c>
      <c r="B163" s="113" t="s">
        <v>385</v>
      </c>
      <c r="C163" s="113" t="s">
        <v>395</v>
      </c>
      <c r="D163" s="113" t="s">
        <v>387</v>
      </c>
      <c r="E163">
        <v>2315</v>
      </c>
      <c r="F163" s="113" t="s">
        <v>601</v>
      </c>
      <c r="G163" s="113" t="s">
        <v>392</v>
      </c>
      <c r="H163" s="113" t="s">
        <v>399</v>
      </c>
      <c r="I163">
        <v>97</v>
      </c>
    </row>
    <row r="164" spans="1:10">
      <c r="A164" s="113" t="s">
        <v>602</v>
      </c>
      <c r="B164" s="113" t="s">
        <v>385</v>
      </c>
      <c r="C164" s="113" t="s">
        <v>395</v>
      </c>
      <c r="D164" s="113" t="s">
        <v>391</v>
      </c>
      <c r="E164">
        <v>3308</v>
      </c>
      <c r="F164" s="113" t="s">
        <v>603</v>
      </c>
      <c r="G164" s="113" t="s">
        <v>475</v>
      </c>
      <c r="H164" s="113" t="s">
        <v>476</v>
      </c>
      <c r="I164">
        <v>160</v>
      </c>
    </row>
    <row r="165" spans="1:10">
      <c r="A165" s="113" t="s">
        <v>1084</v>
      </c>
      <c r="B165" s="113" t="s">
        <v>385</v>
      </c>
      <c r="C165" s="113" t="s">
        <v>386</v>
      </c>
      <c r="D165" s="113" t="s">
        <v>387</v>
      </c>
      <c r="E165">
        <v>8227</v>
      </c>
      <c r="F165" s="113" t="s">
        <v>977</v>
      </c>
      <c r="G165" s="113" t="s">
        <v>388</v>
      </c>
      <c r="H165" s="113" t="s">
        <v>398</v>
      </c>
      <c r="I165" s="113" t="s">
        <v>628</v>
      </c>
      <c r="J165" s="113" t="s">
        <v>1085</v>
      </c>
    </row>
    <row r="166" spans="1:10">
      <c r="A166" s="113" t="s">
        <v>604</v>
      </c>
      <c r="B166" s="113" t="s">
        <v>412</v>
      </c>
      <c r="C166" s="113" t="s">
        <v>395</v>
      </c>
      <c r="D166" s="113" t="s">
        <v>387</v>
      </c>
      <c r="E166">
        <v>7965</v>
      </c>
      <c r="F166" s="113" t="s">
        <v>1001</v>
      </c>
      <c r="G166" s="113" t="s">
        <v>388</v>
      </c>
      <c r="H166" s="113" t="s">
        <v>413</v>
      </c>
      <c r="I166" s="113" t="s">
        <v>443</v>
      </c>
      <c r="J166" s="113" t="s">
        <v>1086</v>
      </c>
    </row>
    <row r="167" spans="1:10">
      <c r="A167" s="113" t="s">
        <v>604</v>
      </c>
      <c r="B167" s="113" t="s">
        <v>385</v>
      </c>
      <c r="C167" s="113" t="s">
        <v>390</v>
      </c>
      <c r="D167" s="113" t="s">
        <v>387</v>
      </c>
      <c r="E167">
        <v>3035</v>
      </c>
      <c r="F167" s="113" t="s">
        <v>605</v>
      </c>
      <c r="G167" s="113" t="s">
        <v>392</v>
      </c>
      <c r="H167" s="113" t="s">
        <v>394</v>
      </c>
      <c r="I167">
        <v>21</v>
      </c>
    </row>
    <row r="168" spans="1:10">
      <c r="A168" s="113" t="s">
        <v>604</v>
      </c>
      <c r="B168" s="113" t="s">
        <v>385</v>
      </c>
      <c r="C168" s="113" t="s">
        <v>386</v>
      </c>
      <c r="D168" s="113" t="s">
        <v>387</v>
      </c>
      <c r="E168">
        <v>7624</v>
      </c>
      <c r="F168" s="113" t="s">
        <v>606</v>
      </c>
      <c r="G168" s="113" t="s">
        <v>392</v>
      </c>
      <c r="H168" s="113" t="s">
        <v>394</v>
      </c>
      <c r="I168">
        <v>119</v>
      </c>
    </row>
    <row r="169" spans="1:10">
      <c r="A169" s="113" t="s">
        <v>607</v>
      </c>
      <c r="B169" s="113" t="s">
        <v>608</v>
      </c>
      <c r="C169" s="113" t="s">
        <v>395</v>
      </c>
      <c r="D169" s="113" t="s">
        <v>387</v>
      </c>
      <c r="E169">
        <v>6664</v>
      </c>
      <c r="F169" s="113" t="s">
        <v>609</v>
      </c>
      <c r="G169" s="113" t="s">
        <v>392</v>
      </c>
      <c r="H169" s="113" t="s">
        <v>413</v>
      </c>
      <c r="I169">
        <v>43</v>
      </c>
    </row>
    <row r="170" spans="1:10">
      <c r="A170" s="113" t="s">
        <v>607</v>
      </c>
      <c r="B170" s="113" t="s">
        <v>608</v>
      </c>
      <c r="C170" s="113" t="s">
        <v>386</v>
      </c>
      <c r="D170" s="113" t="s">
        <v>391</v>
      </c>
      <c r="E170">
        <v>7611</v>
      </c>
      <c r="F170" s="113" t="s">
        <v>610</v>
      </c>
      <c r="G170" s="113" t="s">
        <v>388</v>
      </c>
      <c r="H170" s="113" t="s">
        <v>398</v>
      </c>
      <c r="I170">
        <v>832</v>
      </c>
    </row>
    <row r="171" spans="1:10">
      <c r="A171" s="113" t="s">
        <v>607</v>
      </c>
      <c r="B171" s="113" t="s">
        <v>385</v>
      </c>
      <c r="C171" s="113" t="s">
        <v>386</v>
      </c>
      <c r="D171" s="113" t="s">
        <v>387</v>
      </c>
      <c r="E171">
        <v>6279</v>
      </c>
      <c r="F171" s="113" t="s">
        <v>611</v>
      </c>
      <c r="G171" s="113" t="s">
        <v>396</v>
      </c>
      <c r="H171" s="113" t="s">
        <v>409</v>
      </c>
      <c r="I171">
        <v>280</v>
      </c>
    </row>
    <row r="172" spans="1:10">
      <c r="A172" s="113" t="s">
        <v>607</v>
      </c>
      <c r="B172" s="113" t="s">
        <v>385</v>
      </c>
      <c r="C172" s="113" t="s">
        <v>397</v>
      </c>
      <c r="D172" s="113" t="s">
        <v>391</v>
      </c>
      <c r="E172">
        <v>7068</v>
      </c>
      <c r="F172" s="113" t="s">
        <v>612</v>
      </c>
      <c r="G172" s="113" t="s">
        <v>400</v>
      </c>
      <c r="H172" s="113" t="s">
        <v>393</v>
      </c>
      <c r="I172">
        <v>121</v>
      </c>
    </row>
    <row r="173" spans="1:10">
      <c r="A173" s="113" t="s">
        <v>607</v>
      </c>
      <c r="B173" s="113" t="s">
        <v>385</v>
      </c>
      <c r="C173" s="113" t="s">
        <v>397</v>
      </c>
      <c r="D173" s="113" t="s">
        <v>387</v>
      </c>
      <c r="E173">
        <v>7921</v>
      </c>
      <c r="F173" s="113" t="s">
        <v>1087</v>
      </c>
      <c r="G173" s="113" t="s">
        <v>388</v>
      </c>
      <c r="H173" s="113" t="s">
        <v>410</v>
      </c>
      <c r="I173">
        <v>217</v>
      </c>
    </row>
    <row r="174" spans="1:10">
      <c r="A174" s="113" t="s">
        <v>607</v>
      </c>
      <c r="B174" s="113" t="s">
        <v>385</v>
      </c>
      <c r="C174" s="113" t="s">
        <v>386</v>
      </c>
      <c r="D174" s="113" t="s">
        <v>387</v>
      </c>
      <c r="E174">
        <v>9982</v>
      </c>
      <c r="F174" s="113" t="s">
        <v>613</v>
      </c>
      <c r="G174" s="113" t="s">
        <v>388</v>
      </c>
      <c r="H174" s="113" t="s">
        <v>394</v>
      </c>
      <c r="I174">
        <v>184</v>
      </c>
    </row>
    <row r="175" spans="1:10">
      <c r="A175" s="113" t="s">
        <v>614</v>
      </c>
      <c r="B175" s="113" t="s">
        <v>385</v>
      </c>
      <c r="C175" s="113" t="s">
        <v>386</v>
      </c>
      <c r="D175" s="113" t="s">
        <v>387</v>
      </c>
      <c r="E175">
        <v>2186</v>
      </c>
      <c r="F175" s="113" t="s">
        <v>615</v>
      </c>
      <c r="G175" s="113" t="s">
        <v>392</v>
      </c>
      <c r="H175" s="113" t="s">
        <v>393</v>
      </c>
      <c r="I175" s="113">
        <v>95</v>
      </c>
      <c r="J175" s="113"/>
    </row>
    <row r="176" spans="1:10">
      <c r="A176" s="113" t="s">
        <v>614</v>
      </c>
      <c r="B176" s="113" t="s">
        <v>385</v>
      </c>
      <c r="C176" s="113" t="s">
        <v>386</v>
      </c>
      <c r="D176" s="113" t="s">
        <v>387</v>
      </c>
      <c r="E176">
        <v>2685</v>
      </c>
      <c r="F176" s="113" t="s">
        <v>616</v>
      </c>
      <c r="G176" s="113" t="s">
        <v>388</v>
      </c>
      <c r="H176" s="113" t="s">
        <v>398</v>
      </c>
      <c r="I176" s="113" t="s">
        <v>443</v>
      </c>
      <c r="J176" s="113" t="s">
        <v>1088</v>
      </c>
    </row>
    <row r="177" spans="1:10">
      <c r="A177" s="113" t="s">
        <v>614</v>
      </c>
      <c r="B177" s="113" t="s">
        <v>385</v>
      </c>
      <c r="C177" s="113" t="s">
        <v>386</v>
      </c>
      <c r="D177" s="113" t="s">
        <v>387</v>
      </c>
      <c r="E177">
        <v>3919</v>
      </c>
      <c r="F177" s="113" t="s">
        <v>617</v>
      </c>
      <c r="G177" s="113" t="s">
        <v>388</v>
      </c>
      <c r="H177" s="113" t="s">
        <v>399</v>
      </c>
      <c r="I177">
        <v>149</v>
      </c>
    </row>
    <row r="178" spans="1:10">
      <c r="A178" s="113" t="s">
        <v>614</v>
      </c>
      <c r="B178" s="113" t="s">
        <v>385</v>
      </c>
      <c r="C178" s="113" t="s">
        <v>390</v>
      </c>
      <c r="D178" s="113" t="s">
        <v>387</v>
      </c>
      <c r="E178">
        <v>7514</v>
      </c>
      <c r="F178" s="113" t="s">
        <v>1003</v>
      </c>
      <c r="G178" s="113" t="s">
        <v>388</v>
      </c>
      <c r="H178" s="113" t="s">
        <v>398</v>
      </c>
      <c r="I178">
        <v>103</v>
      </c>
    </row>
    <row r="179" spans="1:10">
      <c r="A179" s="113" t="s">
        <v>614</v>
      </c>
      <c r="B179" s="113" t="s">
        <v>385</v>
      </c>
      <c r="C179" s="113" t="s">
        <v>397</v>
      </c>
      <c r="D179" s="113" t="s">
        <v>387</v>
      </c>
      <c r="E179">
        <v>9651</v>
      </c>
      <c r="F179" s="113" t="s">
        <v>618</v>
      </c>
      <c r="G179" s="113" t="s">
        <v>392</v>
      </c>
      <c r="H179" s="113" t="s">
        <v>399</v>
      </c>
      <c r="I179">
        <v>92</v>
      </c>
    </row>
    <row r="180" spans="1:10">
      <c r="A180" s="113" t="s">
        <v>619</v>
      </c>
      <c r="B180" s="113" t="s">
        <v>385</v>
      </c>
      <c r="C180" s="113" t="s">
        <v>386</v>
      </c>
      <c r="D180" s="113" t="s">
        <v>387</v>
      </c>
      <c r="E180">
        <v>1712</v>
      </c>
      <c r="F180" s="113" t="s">
        <v>620</v>
      </c>
      <c r="G180" s="113" t="s">
        <v>388</v>
      </c>
      <c r="H180" s="113" t="s">
        <v>422</v>
      </c>
      <c r="I180" s="113">
        <v>168</v>
      </c>
      <c r="J180" s="113"/>
    </row>
    <row r="181" spans="1:10">
      <c r="A181" s="113" t="s">
        <v>619</v>
      </c>
      <c r="B181" s="113" t="s">
        <v>385</v>
      </c>
      <c r="C181" s="113" t="s">
        <v>386</v>
      </c>
      <c r="D181" s="113" t="s">
        <v>387</v>
      </c>
      <c r="E181">
        <v>9793</v>
      </c>
      <c r="F181" s="113" t="s">
        <v>621</v>
      </c>
      <c r="G181" s="113" t="s">
        <v>388</v>
      </c>
      <c r="H181" s="113" t="s">
        <v>393</v>
      </c>
      <c r="I181" s="113" t="s">
        <v>443</v>
      </c>
      <c r="J181" s="113" t="s">
        <v>1089</v>
      </c>
    </row>
    <row r="182" spans="1:10">
      <c r="A182" s="113" t="s">
        <v>622</v>
      </c>
      <c r="B182" s="113" t="s">
        <v>385</v>
      </c>
      <c r="C182" s="113" t="s">
        <v>397</v>
      </c>
      <c r="D182" s="113" t="s">
        <v>387</v>
      </c>
      <c r="E182">
        <v>2792</v>
      </c>
      <c r="F182" s="113" t="s">
        <v>623</v>
      </c>
      <c r="G182" s="113" t="s">
        <v>388</v>
      </c>
      <c r="H182" s="113" t="s">
        <v>398</v>
      </c>
      <c r="I182" s="113">
        <v>395</v>
      </c>
      <c r="J182" s="113"/>
    </row>
    <row r="183" spans="1:10">
      <c r="A183" s="113" t="s">
        <v>624</v>
      </c>
      <c r="B183" s="113" t="s">
        <v>385</v>
      </c>
      <c r="C183" s="113" t="s">
        <v>386</v>
      </c>
      <c r="D183" s="113" t="s">
        <v>387</v>
      </c>
      <c r="E183">
        <v>4714</v>
      </c>
      <c r="F183" s="113" t="s">
        <v>625</v>
      </c>
      <c r="G183" s="113" t="s">
        <v>388</v>
      </c>
      <c r="H183" s="113" t="s">
        <v>393</v>
      </c>
      <c r="I183">
        <v>636</v>
      </c>
    </row>
    <row r="184" spans="1:10">
      <c r="A184" s="113" t="s">
        <v>626</v>
      </c>
      <c r="B184" s="113" t="s">
        <v>385</v>
      </c>
      <c r="C184" s="113" t="s">
        <v>395</v>
      </c>
      <c r="D184" s="113" t="s">
        <v>387</v>
      </c>
      <c r="E184">
        <v>2809</v>
      </c>
      <c r="F184" s="113" t="s">
        <v>627</v>
      </c>
      <c r="G184" s="113" t="s">
        <v>388</v>
      </c>
      <c r="H184" s="113" t="s">
        <v>389</v>
      </c>
      <c r="I184" s="113" t="s">
        <v>628</v>
      </c>
      <c r="J184" s="113" t="s">
        <v>1090</v>
      </c>
    </row>
    <row r="185" spans="1:10">
      <c r="A185" s="113" t="s">
        <v>626</v>
      </c>
      <c r="B185" s="113" t="s">
        <v>385</v>
      </c>
      <c r="C185" s="113" t="s">
        <v>390</v>
      </c>
      <c r="D185" s="113" t="s">
        <v>387</v>
      </c>
      <c r="E185">
        <v>2927</v>
      </c>
      <c r="F185" s="113" t="s">
        <v>629</v>
      </c>
      <c r="G185" s="113" t="s">
        <v>392</v>
      </c>
      <c r="H185" s="113" t="s">
        <v>389</v>
      </c>
      <c r="I185" s="113">
        <v>94</v>
      </c>
      <c r="J185" s="113"/>
    </row>
    <row r="186" spans="1:10">
      <c r="A186" s="113" t="s">
        <v>626</v>
      </c>
      <c r="B186" s="113" t="s">
        <v>385</v>
      </c>
      <c r="C186" s="113" t="s">
        <v>386</v>
      </c>
      <c r="D186" s="113" t="s">
        <v>387</v>
      </c>
      <c r="E186">
        <v>3396</v>
      </c>
      <c r="F186" s="113" t="s">
        <v>630</v>
      </c>
      <c r="G186" s="113" t="s">
        <v>388</v>
      </c>
      <c r="H186" s="113" t="s">
        <v>398</v>
      </c>
      <c r="I186" s="113">
        <v>103</v>
      </c>
      <c r="J186" s="113"/>
    </row>
    <row r="187" spans="1:10">
      <c r="A187" s="113" t="s">
        <v>626</v>
      </c>
      <c r="B187" s="113" t="s">
        <v>385</v>
      </c>
      <c r="C187" s="113" t="s">
        <v>397</v>
      </c>
      <c r="D187" s="113" t="s">
        <v>387</v>
      </c>
      <c r="E187">
        <v>8908</v>
      </c>
      <c r="F187" s="113" t="s">
        <v>631</v>
      </c>
      <c r="G187" s="113" t="s">
        <v>388</v>
      </c>
      <c r="H187" s="113" t="s">
        <v>414</v>
      </c>
      <c r="I187" s="113">
        <v>151</v>
      </c>
      <c r="J187" s="113"/>
    </row>
    <row r="188" spans="1:10">
      <c r="A188" s="113" t="s">
        <v>626</v>
      </c>
      <c r="B188" s="113" t="s">
        <v>385</v>
      </c>
      <c r="C188" s="113" t="s">
        <v>390</v>
      </c>
      <c r="D188" s="113" t="s">
        <v>387</v>
      </c>
      <c r="E188">
        <v>9983</v>
      </c>
      <c r="F188" s="113" t="s">
        <v>632</v>
      </c>
      <c r="G188" s="113" t="s">
        <v>388</v>
      </c>
      <c r="H188" s="113" t="s">
        <v>398</v>
      </c>
      <c r="I188" s="113" t="s">
        <v>1091</v>
      </c>
      <c r="J188" s="113" t="s">
        <v>1092</v>
      </c>
    </row>
    <row r="189" spans="1:10">
      <c r="A189" s="113" t="s">
        <v>633</v>
      </c>
      <c r="B189" s="113" t="s">
        <v>608</v>
      </c>
      <c r="C189" s="113" t="s">
        <v>386</v>
      </c>
      <c r="D189" s="113" t="s">
        <v>387</v>
      </c>
      <c r="E189">
        <v>3093</v>
      </c>
      <c r="F189" s="113" t="s">
        <v>1093</v>
      </c>
      <c r="G189" s="113" t="s">
        <v>388</v>
      </c>
      <c r="H189" s="113" t="s">
        <v>398</v>
      </c>
      <c r="I189" s="113">
        <v>131</v>
      </c>
      <c r="J189" s="113"/>
    </row>
    <row r="190" spans="1:10">
      <c r="A190" s="113" t="s">
        <v>633</v>
      </c>
      <c r="B190" s="113" t="s">
        <v>608</v>
      </c>
      <c r="C190" s="113" t="s">
        <v>397</v>
      </c>
      <c r="D190" s="113" t="s">
        <v>387</v>
      </c>
      <c r="E190">
        <v>6567</v>
      </c>
      <c r="F190" s="113" t="s">
        <v>634</v>
      </c>
      <c r="G190" s="113" t="s">
        <v>400</v>
      </c>
      <c r="H190" s="113" t="s">
        <v>393</v>
      </c>
      <c r="I190">
        <v>22</v>
      </c>
    </row>
    <row r="191" spans="1:10">
      <c r="A191" s="113" t="s">
        <v>633</v>
      </c>
      <c r="B191" s="113" t="s">
        <v>385</v>
      </c>
      <c r="C191" s="113" t="s">
        <v>386</v>
      </c>
      <c r="D191" s="113" t="s">
        <v>387</v>
      </c>
      <c r="E191">
        <v>2337</v>
      </c>
      <c r="F191" s="113" t="s">
        <v>1094</v>
      </c>
      <c r="G191" s="113" t="s">
        <v>388</v>
      </c>
      <c r="H191" s="113" t="s">
        <v>414</v>
      </c>
      <c r="I191" s="113" t="s">
        <v>411</v>
      </c>
      <c r="J191" s="113" t="s">
        <v>1095</v>
      </c>
    </row>
    <row r="192" spans="1:10">
      <c r="A192" s="113" t="s">
        <v>633</v>
      </c>
      <c r="B192" s="113" t="s">
        <v>385</v>
      </c>
      <c r="C192" s="113" t="s">
        <v>386</v>
      </c>
      <c r="D192" s="113" t="s">
        <v>387</v>
      </c>
      <c r="E192">
        <v>2338</v>
      </c>
      <c r="F192" s="113" t="s">
        <v>635</v>
      </c>
      <c r="G192" s="113" t="s">
        <v>396</v>
      </c>
      <c r="H192" s="113" t="s">
        <v>399</v>
      </c>
      <c r="I192">
        <v>26</v>
      </c>
    </row>
    <row r="193" spans="1:10">
      <c r="A193" s="113" t="s">
        <v>633</v>
      </c>
      <c r="B193" s="113" t="s">
        <v>385</v>
      </c>
      <c r="C193" s="113" t="s">
        <v>386</v>
      </c>
      <c r="D193" s="113" t="s">
        <v>387</v>
      </c>
      <c r="E193">
        <v>2651</v>
      </c>
      <c r="F193" s="113" t="s">
        <v>636</v>
      </c>
      <c r="G193" s="113" t="s">
        <v>388</v>
      </c>
      <c r="H193" s="113" t="s">
        <v>398</v>
      </c>
      <c r="I193" s="113" t="s">
        <v>598</v>
      </c>
      <c r="J193" s="113" t="s">
        <v>1005</v>
      </c>
    </row>
    <row r="194" spans="1:10">
      <c r="A194" s="113" t="s">
        <v>633</v>
      </c>
      <c r="B194" s="113" t="s">
        <v>385</v>
      </c>
      <c r="C194" s="113" t="s">
        <v>386</v>
      </c>
      <c r="D194" s="113" t="s">
        <v>391</v>
      </c>
      <c r="E194">
        <v>2706</v>
      </c>
      <c r="F194" s="113" t="s">
        <v>637</v>
      </c>
      <c r="G194" s="113" t="s">
        <v>392</v>
      </c>
      <c r="H194" s="113" t="s">
        <v>410</v>
      </c>
      <c r="I194">
        <v>117</v>
      </c>
    </row>
    <row r="195" spans="1:10">
      <c r="A195" s="113" t="s">
        <v>633</v>
      </c>
      <c r="B195" s="113" t="s">
        <v>385</v>
      </c>
      <c r="C195" s="113" t="s">
        <v>397</v>
      </c>
      <c r="D195" s="113" t="s">
        <v>387</v>
      </c>
      <c r="E195">
        <v>3349</v>
      </c>
      <c r="F195" s="113" t="s">
        <v>1096</v>
      </c>
      <c r="G195" s="113" t="s">
        <v>388</v>
      </c>
      <c r="H195" s="113" t="s">
        <v>398</v>
      </c>
      <c r="I195" s="113" t="s">
        <v>539</v>
      </c>
      <c r="J195" s="113" t="s">
        <v>1097</v>
      </c>
    </row>
    <row r="196" spans="1:10">
      <c r="A196" s="113" t="s">
        <v>633</v>
      </c>
      <c r="B196" s="113" t="s">
        <v>385</v>
      </c>
      <c r="C196" s="113" t="s">
        <v>386</v>
      </c>
      <c r="D196" s="113" t="s">
        <v>387</v>
      </c>
      <c r="E196">
        <v>3546</v>
      </c>
      <c r="F196" s="113" t="s">
        <v>638</v>
      </c>
      <c r="G196" s="113" t="s">
        <v>388</v>
      </c>
      <c r="H196" s="113" t="s">
        <v>398</v>
      </c>
      <c r="I196">
        <v>266</v>
      </c>
    </row>
    <row r="197" spans="1:10">
      <c r="A197" s="113" t="s">
        <v>633</v>
      </c>
      <c r="B197" s="113" t="s">
        <v>385</v>
      </c>
      <c r="C197" s="113" t="s">
        <v>386</v>
      </c>
      <c r="D197" s="113" t="s">
        <v>387</v>
      </c>
      <c r="E197">
        <v>3922</v>
      </c>
      <c r="F197" s="113" t="s">
        <v>639</v>
      </c>
      <c r="G197" s="113" t="s">
        <v>388</v>
      </c>
      <c r="H197" s="113" t="s">
        <v>399</v>
      </c>
      <c r="I197">
        <v>157</v>
      </c>
    </row>
    <row r="198" spans="1:10">
      <c r="A198" s="113" t="s">
        <v>633</v>
      </c>
      <c r="B198" s="113" t="s">
        <v>385</v>
      </c>
      <c r="C198" s="113" t="s">
        <v>386</v>
      </c>
      <c r="D198" s="113" t="s">
        <v>387</v>
      </c>
      <c r="E198">
        <v>4530</v>
      </c>
      <c r="F198" s="113" t="s">
        <v>1098</v>
      </c>
      <c r="G198" s="113" t="s">
        <v>388</v>
      </c>
      <c r="H198" s="113" t="s">
        <v>510</v>
      </c>
      <c r="I198" s="113" t="s">
        <v>539</v>
      </c>
      <c r="J198" s="113" t="s">
        <v>1099</v>
      </c>
    </row>
    <row r="199" spans="1:10">
      <c r="A199" s="113" t="s">
        <v>633</v>
      </c>
      <c r="B199" s="113" t="s">
        <v>385</v>
      </c>
      <c r="C199" s="113" t="s">
        <v>397</v>
      </c>
      <c r="D199" s="113" t="s">
        <v>387</v>
      </c>
      <c r="E199">
        <v>4829</v>
      </c>
      <c r="F199" s="113" t="s">
        <v>640</v>
      </c>
      <c r="G199" s="113" t="s">
        <v>388</v>
      </c>
      <c r="H199" s="113" t="s">
        <v>399</v>
      </c>
      <c r="I199">
        <v>92</v>
      </c>
    </row>
    <row r="200" spans="1:10">
      <c r="A200" s="113" t="s">
        <v>633</v>
      </c>
      <c r="B200" s="113" t="s">
        <v>385</v>
      </c>
      <c r="C200" s="113" t="s">
        <v>386</v>
      </c>
      <c r="D200" s="113" t="s">
        <v>387</v>
      </c>
      <c r="E200">
        <v>6058</v>
      </c>
      <c r="F200" s="113" t="s">
        <v>641</v>
      </c>
      <c r="G200" s="113" t="s">
        <v>388</v>
      </c>
      <c r="H200" s="113" t="s">
        <v>393</v>
      </c>
      <c r="I200">
        <v>551</v>
      </c>
    </row>
    <row r="201" spans="1:10">
      <c r="A201" s="113" t="s">
        <v>633</v>
      </c>
      <c r="B201" s="113" t="s">
        <v>385</v>
      </c>
      <c r="C201" s="113" t="s">
        <v>395</v>
      </c>
      <c r="D201" s="113" t="s">
        <v>387</v>
      </c>
      <c r="E201">
        <v>6492</v>
      </c>
      <c r="F201" s="113" t="s">
        <v>642</v>
      </c>
      <c r="G201" s="113" t="s">
        <v>396</v>
      </c>
      <c r="H201" s="113" t="s">
        <v>409</v>
      </c>
      <c r="I201" s="113">
        <v>35</v>
      </c>
      <c r="J201" s="113"/>
    </row>
    <row r="202" spans="1:10">
      <c r="A202" s="113" t="s">
        <v>633</v>
      </c>
      <c r="B202" s="113" t="s">
        <v>385</v>
      </c>
      <c r="C202" s="113" t="s">
        <v>386</v>
      </c>
      <c r="D202" s="113" t="s">
        <v>391</v>
      </c>
      <c r="E202">
        <v>6532</v>
      </c>
      <c r="F202" s="113" t="s">
        <v>643</v>
      </c>
      <c r="G202" s="113" t="s">
        <v>388</v>
      </c>
      <c r="H202" s="113" t="s">
        <v>393</v>
      </c>
      <c r="I202">
        <v>914</v>
      </c>
    </row>
    <row r="203" spans="1:10">
      <c r="A203" s="113" t="s">
        <v>633</v>
      </c>
      <c r="B203" s="113" t="s">
        <v>385</v>
      </c>
      <c r="C203" s="113" t="s">
        <v>397</v>
      </c>
      <c r="D203" s="113" t="s">
        <v>387</v>
      </c>
      <c r="E203">
        <v>7420</v>
      </c>
      <c r="F203" s="113" t="s">
        <v>1100</v>
      </c>
      <c r="G203" s="113" t="s">
        <v>388</v>
      </c>
      <c r="H203" s="113" t="s">
        <v>394</v>
      </c>
      <c r="I203">
        <v>165</v>
      </c>
    </row>
    <row r="204" spans="1:10">
      <c r="A204" s="113" t="s">
        <v>633</v>
      </c>
      <c r="B204" s="113" t="s">
        <v>385</v>
      </c>
      <c r="C204" s="113" t="s">
        <v>386</v>
      </c>
      <c r="D204" s="113" t="s">
        <v>387</v>
      </c>
      <c r="E204">
        <v>7453</v>
      </c>
      <c r="F204" s="113" t="s">
        <v>1101</v>
      </c>
      <c r="G204" s="113" t="s">
        <v>388</v>
      </c>
      <c r="H204" s="113" t="s">
        <v>398</v>
      </c>
      <c r="I204" s="113" t="s">
        <v>598</v>
      </c>
      <c r="J204" s="113" t="s">
        <v>1102</v>
      </c>
    </row>
    <row r="205" spans="1:10">
      <c r="A205" s="113" t="s">
        <v>633</v>
      </c>
      <c r="B205" s="113" t="s">
        <v>385</v>
      </c>
      <c r="C205" s="113" t="s">
        <v>397</v>
      </c>
      <c r="D205" s="113" t="s">
        <v>387</v>
      </c>
      <c r="E205">
        <v>7713</v>
      </c>
      <c r="F205" s="113" t="s">
        <v>1103</v>
      </c>
      <c r="G205" s="113" t="s">
        <v>392</v>
      </c>
      <c r="H205" s="113" t="s">
        <v>655</v>
      </c>
      <c r="I205" s="113">
        <v>139</v>
      </c>
      <c r="J205" s="113"/>
    </row>
    <row r="206" spans="1:10">
      <c r="A206" s="113" t="s">
        <v>633</v>
      </c>
      <c r="B206" s="113" t="s">
        <v>385</v>
      </c>
      <c r="C206" s="113" t="s">
        <v>395</v>
      </c>
      <c r="D206" s="113" t="s">
        <v>387</v>
      </c>
      <c r="E206">
        <v>8923</v>
      </c>
      <c r="F206" s="113" t="s">
        <v>644</v>
      </c>
      <c r="G206" s="113" t="s">
        <v>388</v>
      </c>
      <c r="H206" s="113" t="s">
        <v>414</v>
      </c>
      <c r="I206" s="113">
        <v>704</v>
      </c>
      <c r="J206" s="113"/>
    </row>
    <row r="207" spans="1:10">
      <c r="A207" s="113" t="s">
        <v>633</v>
      </c>
      <c r="B207" s="113" t="s">
        <v>385</v>
      </c>
      <c r="C207" s="113" t="s">
        <v>386</v>
      </c>
      <c r="D207" s="113" t="s">
        <v>387</v>
      </c>
      <c r="E207">
        <v>9381</v>
      </c>
      <c r="F207" s="113" t="s">
        <v>1104</v>
      </c>
      <c r="G207" s="113" t="s">
        <v>388</v>
      </c>
      <c r="H207" s="113" t="s">
        <v>905</v>
      </c>
      <c r="I207">
        <v>227</v>
      </c>
    </row>
    <row r="208" spans="1:10">
      <c r="A208" s="113" t="s">
        <v>645</v>
      </c>
      <c r="B208" s="113" t="s">
        <v>1105</v>
      </c>
      <c r="C208" s="113" t="s">
        <v>386</v>
      </c>
      <c r="D208" s="113" t="s">
        <v>391</v>
      </c>
      <c r="E208">
        <v>3415</v>
      </c>
      <c r="F208" s="113" t="s">
        <v>1106</v>
      </c>
      <c r="G208" s="113" t="s">
        <v>388</v>
      </c>
      <c r="H208" s="113" t="s">
        <v>398</v>
      </c>
      <c r="I208" s="113">
        <v>339</v>
      </c>
      <c r="J208" s="113"/>
    </row>
    <row r="209" spans="1:10">
      <c r="A209" s="113" t="s">
        <v>645</v>
      </c>
      <c r="B209" s="113" t="s">
        <v>385</v>
      </c>
      <c r="C209" s="113" t="s">
        <v>395</v>
      </c>
      <c r="D209" s="113" t="s">
        <v>387</v>
      </c>
      <c r="E209">
        <v>2471</v>
      </c>
      <c r="F209" s="113" t="s">
        <v>646</v>
      </c>
      <c r="G209" s="113" t="s">
        <v>388</v>
      </c>
      <c r="H209" s="113" t="s">
        <v>393</v>
      </c>
      <c r="I209" s="113">
        <v>576</v>
      </c>
      <c r="J209" s="113"/>
    </row>
    <row r="210" spans="1:10">
      <c r="A210" s="113" t="s">
        <v>645</v>
      </c>
      <c r="B210" s="113" t="s">
        <v>385</v>
      </c>
      <c r="C210" s="113" t="s">
        <v>386</v>
      </c>
      <c r="D210" s="113" t="s">
        <v>391</v>
      </c>
      <c r="E210">
        <v>2930</v>
      </c>
      <c r="F210" s="113" t="s">
        <v>647</v>
      </c>
      <c r="G210" s="113" t="s">
        <v>388</v>
      </c>
      <c r="H210" s="113" t="s">
        <v>389</v>
      </c>
      <c r="I210" s="113" t="s">
        <v>443</v>
      </c>
      <c r="J210" s="113" t="s">
        <v>1107</v>
      </c>
    </row>
    <row r="211" spans="1:10">
      <c r="A211" s="113" t="s">
        <v>645</v>
      </c>
      <c r="B211" s="113" t="s">
        <v>385</v>
      </c>
      <c r="C211" s="113" t="s">
        <v>386</v>
      </c>
      <c r="D211" s="113" t="s">
        <v>391</v>
      </c>
      <c r="E211">
        <v>3030</v>
      </c>
      <c r="F211" s="113" t="s">
        <v>648</v>
      </c>
      <c r="G211" s="113" t="s">
        <v>388</v>
      </c>
      <c r="H211" s="113" t="s">
        <v>398</v>
      </c>
      <c r="I211">
        <v>116</v>
      </c>
    </row>
    <row r="212" spans="1:10">
      <c r="A212" s="113" t="s">
        <v>645</v>
      </c>
      <c r="B212" s="113" t="s">
        <v>385</v>
      </c>
      <c r="C212" s="113" t="s">
        <v>386</v>
      </c>
      <c r="D212" s="113" t="s">
        <v>387</v>
      </c>
      <c r="E212">
        <v>3479</v>
      </c>
      <c r="F212" s="113" t="s">
        <v>649</v>
      </c>
      <c r="G212" s="113" t="s">
        <v>400</v>
      </c>
      <c r="H212" s="113" t="s">
        <v>414</v>
      </c>
      <c r="I212" s="113" t="s">
        <v>443</v>
      </c>
      <c r="J212" s="113" t="s">
        <v>1108</v>
      </c>
    </row>
    <row r="213" spans="1:10">
      <c r="A213" s="113" t="s">
        <v>645</v>
      </c>
      <c r="B213" s="113" t="s">
        <v>385</v>
      </c>
      <c r="C213" s="113" t="s">
        <v>386</v>
      </c>
      <c r="D213" s="113" t="s">
        <v>387</v>
      </c>
      <c r="E213">
        <v>3562</v>
      </c>
      <c r="F213" s="113" t="s">
        <v>650</v>
      </c>
      <c r="G213" s="113" t="s">
        <v>392</v>
      </c>
      <c r="H213" s="113" t="s">
        <v>394</v>
      </c>
      <c r="I213" s="113">
        <v>38</v>
      </c>
      <c r="J213" s="113"/>
    </row>
    <row r="214" spans="1:10">
      <c r="A214" s="113" t="s">
        <v>645</v>
      </c>
      <c r="B214" s="113" t="s">
        <v>385</v>
      </c>
      <c r="C214" s="113" t="s">
        <v>386</v>
      </c>
      <c r="D214" s="113" t="s">
        <v>387</v>
      </c>
      <c r="E214">
        <v>3678</v>
      </c>
      <c r="F214" s="113" t="s">
        <v>651</v>
      </c>
      <c r="G214" s="113" t="s">
        <v>388</v>
      </c>
      <c r="H214" s="113" t="s">
        <v>399</v>
      </c>
      <c r="I214">
        <v>541</v>
      </c>
    </row>
    <row r="215" spans="1:10">
      <c r="A215" s="113" t="s">
        <v>645</v>
      </c>
      <c r="B215" s="113" t="s">
        <v>385</v>
      </c>
      <c r="C215" s="113" t="s">
        <v>390</v>
      </c>
      <c r="D215" s="113" t="s">
        <v>387</v>
      </c>
      <c r="E215">
        <v>4668</v>
      </c>
      <c r="F215" s="113" t="s">
        <v>652</v>
      </c>
      <c r="G215" s="113" t="s">
        <v>388</v>
      </c>
      <c r="H215" s="113" t="s">
        <v>393</v>
      </c>
      <c r="I215" s="113">
        <v>286</v>
      </c>
      <c r="J215" s="113"/>
    </row>
    <row r="216" spans="1:10">
      <c r="A216" s="113" t="s">
        <v>645</v>
      </c>
      <c r="B216" s="113" t="s">
        <v>385</v>
      </c>
      <c r="C216" s="113" t="s">
        <v>386</v>
      </c>
      <c r="D216" s="113" t="s">
        <v>387</v>
      </c>
      <c r="E216">
        <v>6814</v>
      </c>
      <c r="F216" s="113" t="s">
        <v>653</v>
      </c>
      <c r="G216" s="113" t="s">
        <v>388</v>
      </c>
      <c r="H216" s="113" t="s">
        <v>413</v>
      </c>
      <c r="I216" s="113">
        <v>420</v>
      </c>
      <c r="J216" s="113"/>
    </row>
    <row r="217" spans="1:10">
      <c r="A217" s="113" t="s">
        <v>645</v>
      </c>
      <c r="B217" s="113" t="s">
        <v>385</v>
      </c>
      <c r="C217" s="113" t="s">
        <v>386</v>
      </c>
      <c r="D217" s="113" t="s">
        <v>387</v>
      </c>
      <c r="E217">
        <v>7719</v>
      </c>
      <c r="F217" s="113" t="s">
        <v>654</v>
      </c>
      <c r="G217" s="113" t="s">
        <v>396</v>
      </c>
      <c r="H217" s="113" t="s">
        <v>655</v>
      </c>
      <c r="I217">
        <v>18</v>
      </c>
    </row>
    <row r="218" spans="1:10">
      <c r="A218" s="113" t="s">
        <v>645</v>
      </c>
      <c r="B218" s="113" t="s">
        <v>385</v>
      </c>
      <c r="C218" s="113" t="s">
        <v>386</v>
      </c>
      <c r="D218" s="113" t="s">
        <v>387</v>
      </c>
      <c r="E218">
        <v>9602</v>
      </c>
      <c r="F218" s="113" t="s">
        <v>656</v>
      </c>
      <c r="G218" s="113" t="s">
        <v>388</v>
      </c>
      <c r="H218" s="113" t="s">
        <v>399</v>
      </c>
      <c r="I218" s="113" t="s">
        <v>657</v>
      </c>
      <c r="J218" s="113" t="s">
        <v>1035</v>
      </c>
    </row>
    <row r="219" spans="1:10">
      <c r="A219" s="113" t="s">
        <v>645</v>
      </c>
      <c r="B219" s="113" t="s">
        <v>385</v>
      </c>
      <c r="C219" s="113" t="s">
        <v>386</v>
      </c>
      <c r="D219" s="113" t="s">
        <v>387</v>
      </c>
      <c r="E219">
        <v>9945</v>
      </c>
      <c r="F219" s="113" t="s">
        <v>1109</v>
      </c>
      <c r="G219" s="113" t="s">
        <v>388</v>
      </c>
      <c r="H219" s="113" t="s">
        <v>398</v>
      </c>
      <c r="I219">
        <v>854</v>
      </c>
    </row>
    <row r="220" spans="1:10">
      <c r="A220" s="113" t="s">
        <v>658</v>
      </c>
      <c r="B220" s="113" t="s">
        <v>385</v>
      </c>
      <c r="C220" s="113" t="s">
        <v>395</v>
      </c>
      <c r="D220" s="113" t="s">
        <v>387</v>
      </c>
      <c r="E220">
        <v>3907</v>
      </c>
      <c r="F220" s="113" t="s">
        <v>659</v>
      </c>
      <c r="G220" s="113" t="s">
        <v>400</v>
      </c>
      <c r="H220" s="113" t="s">
        <v>399</v>
      </c>
      <c r="I220">
        <v>52</v>
      </c>
    </row>
    <row r="221" spans="1:10">
      <c r="A221" s="113" t="s">
        <v>658</v>
      </c>
      <c r="B221" s="113" t="s">
        <v>385</v>
      </c>
      <c r="C221" s="113" t="s">
        <v>386</v>
      </c>
      <c r="D221" s="113" t="s">
        <v>387</v>
      </c>
      <c r="E221">
        <v>6578</v>
      </c>
      <c r="F221" s="113" t="s">
        <v>660</v>
      </c>
      <c r="G221" s="113" t="s">
        <v>396</v>
      </c>
      <c r="H221" s="113" t="s">
        <v>393</v>
      </c>
      <c r="I221">
        <v>28</v>
      </c>
    </row>
    <row r="222" spans="1:10">
      <c r="A222" s="113" t="s">
        <v>658</v>
      </c>
      <c r="B222" s="113" t="s">
        <v>385</v>
      </c>
      <c r="C222" s="113" t="s">
        <v>386</v>
      </c>
      <c r="D222" s="113" t="s">
        <v>391</v>
      </c>
      <c r="E222">
        <v>7610</v>
      </c>
      <c r="F222" s="113" t="s">
        <v>661</v>
      </c>
      <c r="G222" s="113" t="s">
        <v>392</v>
      </c>
      <c r="H222" s="113" t="s">
        <v>398</v>
      </c>
      <c r="I222">
        <v>24</v>
      </c>
    </row>
    <row r="223" spans="1:10">
      <c r="A223" s="113" t="s">
        <v>662</v>
      </c>
      <c r="B223" s="113" t="s">
        <v>385</v>
      </c>
      <c r="C223" s="113" t="s">
        <v>395</v>
      </c>
      <c r="D223" s="113" t="s">
        <v>391</v>
      </c>
      <c r="E223">
        <v>3279</v>
      </c>
      <c r="F223" s="113" t="s">
        <v>663</v>
      </c>
      <c r="G223" s="113" t="s">
        <v>475</v>
      </c>
      <c r="H223" s="113" t="s">
        <v>476</v>
      </c>
      <c r="I223" s="113" t="s">
        <v>539</v>
      </c>
      <c r="J223" s="113" t="s">
        <v>1110</v>
      </c>
    </row>
    <row r="224" spans="1:10">
      <c r="A224" s="113" t="s">
        <v>662</v>
      </c>
      <c r="B224" s="113" t="s">
        <v>385</v>
      </c>
      <c r="C224" s="113" t="s">
        <v>395</v>
      </c>
      <c r="D224" s="113" t="s">
        <v>387</v>
      </c>
      <c r="E224">
        <v>6634</v>
      </c>
      <c r="F224" s="113" t="s">
        <v>664</v>
      </c>
      <c r="G224" s="113" t="s">
        <v>392</v>
      </c>
      <c r="H224" s="113" t="s">
        <v>413</v>
      </c>
      <c r="I224">
        <v>31</v>
      </c>
    </row>
    <row r="225" spans="1:10">
      <c r="A225" s="113" t="s">
        <v>662</v>
      </c>
      <c r="B225" s="113" t="s">
        <v>385</v>
      </c>
      <c r="C225" s="113" t="s">
        <v>395</v>
      </c>
      <c r="D225" s="113" t="s">
        <v>391</v>
      </c>
      <c r="E225">
        <v>7501</v>
      </c>
      <c r="F225" s="113" t="s">
        <v>665</v>
      </c>
      <c r="G225" s="113" t="s">
        <v>392</v>
      </c>
      <c r="H225" s="113" t="s">
        <v>394</v>
      </c>
      <c r="I225">
        <v>19</v>
      </c>
    </row>
    <row r="226" spans="1:10">
      <c r="A226" s="113" t="s">
        <v>666</v>
      </c>
      <c r="B226" s="113" t="s">
        <v>385</v>
      </c>
      <c r="C226" s="113" t="s">
        <v>386</v>
      </c>
      <c r="D226" s="113" t="s">
        <v>387</v>
      </c>
      <c r="E226">
        <v>6146</v>
      </c>
      <c r="F226" s="113" t="s">
        <v>667</v>
      </c>
      <c r="G226" s="113" t="s">
        <v>388</v>
      </c>
      <c r="H226" s="113" t="s">
        <v>409</v>
      </c>
      <c r="I226" s="113" t="s">
        <v>657</v>
      </c>
      <c r="J226" s="113" t="s">
        <v>1111</v>
      </c>
    </row>
    <row r="227" spans="1:10">
      <c r="A227" s="113" t="s">
        <v>666</v>
      </c>
      <c r="B227" s="113" t="s">
        <v>385</v>
      </c>
      <c r="C227" s="113" t="s">
        <v>395</v>
      </c>
      <c r="D227" s="113" t="s">
        <v>391</v>
      </c>
      <c r="E227">
        <v>8977</v>
      </c>
      <c r="F227" s="113" t="s">
        <v>1112</v>
      </c>
      <c r="G227" s="113" t="s">
        <v>475</v>
      </c>
      <c r="H227" s="113" t="s">
        <v>476</v>
      </c>
      <c r="I227" s="113" t="s">
        <v>443</v>
      </c>
      <c r="J227" s="113" t="s">
        <v>1113</v>
      </c>
    </row>
    <row r="228" spans="1:10">
      <c r="A228" s="113" t="s">
        <v>668</v>
      </c>
      <c r="B228" s="113" t="s">
        <v>385</v>
      </c>
      <c r="C228" s="113" t="s">
        <v>386</v>
      </c>
      <c r="D228" s="113" t="s">
        <v>387</v>
      </c>
      <c r="E228">
        <v>9433</v>
      </c>
      <c r="F228" s="113" t="s">
        <v>669</v>
      </c>
      <c r="G228" s="113" t="s">
        <v>388</v>
      </c>
      <c r="H228" s="113" t="s">
        <v>399</v>
      </c>
      <c r="I228" s="113" t="s">
        <v>670</v>
      </c>
      <c r="J228" s="113" t="s">
        <v>1114</v>
      </c>
    </row>
    <row r="229" spans="1:10">
      <c r="A229" s="113" t="s">
        <v>671</v>
      </c>
      <c r="B229" s="113" t="s">
        <v>608</v>
      </c>
      <c r="C229" s="113" t="s">
        <v>386</v>
      </c>
      <c r="D229" s="113" t="s">
        <v>391</v>
      </c>
      <c r="E229">
        <v>4973</v>
      </c>
      <c r="F229" s="113" t="s">
        <v>672</v>
      </c>
      <c r="G229" s="113" t="s">
        <v>388</v>
      </c>
      <c r="H229" s="113" t="s">
        <v>401</v>
      </c>
      <c r="I229">
        <v>165</v>
      </c>
    </row>
    <row r="230" spans="1:10">
      <c r="A230" s="113" t="s">
        <v>673</v>
      </c>
      <c r="B230" s="113" t="s">
        <v>385</v>
      </c>
      <c r="C230" s="113" t="s">
        <v>386</v>
      </c>
      <c r="D230" s="113" t="s">
        <v>387</v>
      </c>
      <c r="E230">
        <v>4462</v>
      </c>
      <c r="F230" s="113" t="s">
        <v>674</v>
      </c>
      <c r="G230" s="113" t="s">
        <v>388</v>
      </c>
      <c r="H230" s="113" t="s">
        <v>401</v>
      </c>
      <c r="I230">
        <v>155</v>
      </c>
    </row>
    <row r="231" spans="1:10">
      <c r="A231" s="113" t="s">
        <v>675</v>
      </c>
      <c r="B231" s="113" t="s">
        <v>385</v>
      </c>
      <c r="C231" s="113" t="s">
        <v>386</v>
      </c>
      <c r="D231" s="113" t="s">
        <v>387</v>
      </c>
      <c r="E231">
        <v>9039</v>
      </c>
      <c r="F231" s="113" t="s">
        <v>676</v>
      </c>
      <c r="G231" s="113" t="s">
        <v>388</v>
      </c>
      <c r="H231" s="113" t="s">
        <v>677</v>
      </c>
      <c r="I231" s="113" t="s">
        <v>443</v>
      </c>
      <c r="J231" s="113" t="s">
        <v>1115</v>
      </c>
    </row>
    <row r="232" spans="1:10">
      <c r="A232" s="113" t="s">
        <v>678</v>
      </c>
      <c r="B232" s="113" t="s">
        <v>1116</v>
      </c>
      <c r="C232" s="113" t="s">
        <v>386</v>
      </c>
      <c r="D232" s="113" t="s">
        <v>387</v>
      </c>
      <c r="E232">
        <v>6470</v>
      </c>
      <c r="F232" s="113" t="s">
        <v>1117</v>
      </c>
      <c r="G232" s="113" t="s">
        <v>388</v>
      </c>
      <c r="H232" s="113" t="s">
        <v>409</v>
      </c>
      <c r="I232">
        <v>249</v>
      </c>
    </row>
    <row r="233" spans="1:10">
      <c r="A233" s="113" t="s">
        <v>678</v>
      </c>
      <c r="B233" s="113" t="s">
        <v>608</v>
      </c>
      <c r="C233" s="113" t="s">
        <v>386</v>
      </c>
      <c r="D233" s="113" t="s">
        <v>387</v>
      </c>
      <c r="E233">
        <v>2802</v>
      </c>
      <c r="F233" s="113" t="s">
        <v>1118</v>
      </c>
      <c r="G233" s="113" t="s">
        <v>388</v>
      </c>
      <c r="H233" s="113" t="s">
        <v>389</v>
      </c>
      <c r="I233" s="113" t="s">
        <v>680</v>
      </c>
      <c r="J233" s="113" t="s">
        <v>1119</v>
      </c>
    </row>
    <row r="234" spans="1:10">
      <c r="A234" s="113" t="s">
        <v>678</v>
      </c>
      <c r="B234" s="113" t="s">
        <v>385</v>
      </c>
      <c r="C234" s="113" t="s">
        <v>386</v>
      </c>
      <c r="D234" s="113" t="s">
        <v>387</v>
      </c>
      <c r="E234">
        <v>1878</v>
      </c>
      <c r="F234" s="113" t="s">
        <v>679</v>
      </c>
      <c r="G234" s="113" t="s">
        <v>388</v>
      </c>
      <c r="H234" s="113" t="s">
        <v>422</v>
      </c>
      <c r="I234" s="113" t="s">
        <v>680</v>
      </c>
      <c r="J234" s="113" t="s">
        <v>1039</v>
      </c>
    </row>
    <row r="235" spans="1:10">
      <c r="A235" s="113" t="s">
        <v>678</v>
      </c>
      <c r="B235" s="113" t="s">
        <v>385</v>
      </c>
      <c r="C235" s="113" t="s">
        <v>386</v>
      </c>
      <c r="D235" s="113" t="s">
        <v>387</v>
      </c>
      <c r="E235">
        <v>2127</v>
      </c>
      <c r="F235" s="113" t="s">
        <v>1008</v>
      </c>
      <c r="G235" s="113" t="s">
        <v>388</v>
      </c>
      <c r="H235" s="113" t="s">
        <v>393</v>
      </c>
      <c r="I235" s="113" t="s">
        <v>598</v>
      </c>
      <c r="J235" s="113" t="s">
        <v>1120</v>
      </c>
    </row>
    <row r="236" spans="1:10">
      <c r="A236" s="113" t="s">
        <v>678</v>
      </c>
      <c r="B236" s="113" t="s">
        <v>385</v>
      </c>
      <c r="C236" s="113" t="s">
        <v>386</v>
      </c>
      <c r="D236" s="113" t="s">
        <v>387</v>
      </c>
      <c r="E236">
        <v>2412</v>
      </c>
      <c r="F236" s="113" t="s">
        <v>1009</v>
      </c>
      <c r="G236" s="113" t="s">
        <v>388</v>
      </c>
      <c r="H236" s="113" t="s">
        <v>393</v>
      </c>
      <c r="I236" s="113" t="s">
        <v>628</v>
      </c>
      <c r="J236" s="113" t="s">
        <v>1121</v>
      </c>
    </row>
    <row r="237" spans="1:10">
      <c r="A237" s="113" t="s">
        <v>678</v>
      </c>
      <c r="B237" s="113" t="s">
        <v>385</v>
      </c>
      <c r="C237" s="113" t="s">
        <v>386</v>
      </c>
      <c r="D237" s="113" t="s">
        <v>387</v>
      </c>
      <c r="E237">
        <v>2737</v>
      </c>
      <c r="F237" s="113" t="s">
        <v>681</v>
      </c>
      <c r="G237" s="113" t="s">
        <v>388</v>
      </c>
      <c r="H237" s="113" t="s">
        <v>394</v>
      </c>
      <c r="I237" s="113">
        <v>193</v>
      </c>
      <c r="J237" s="113"/>
    </row>
    <row r="238" spans="1:10">
      <c r="A238" s="113" t="s">
        <v>678</v>
      </c>
      <c r="B238" s="113" t="s">
        <v>385</v>
      </c>
      <c r="C238" s="113" t="s">
        <v>395</v>
      </c>
      <c r="D238" s="113" t="s">
        <v>387</v>
      </c>
      <c r="E238">
        <v>3003</v>
      </c>
      <c r="F238" s="113" t="s">
        <v>1122</v>
      </c>
      <c r="G238" s="113" t="s">
        <v>388</v>
      </c>
      <c r="H238" s="113" t="s">
        <v>414</v>
      </c>
      <c r="I238" s="113" t="s">
        <v>657</v>
      </c>
      <c r="J238" s="113" t="s">
        <v>1006</v>
      </c>
    </row>
    <row r="239" spans="1:10">
      <c r="A239" s="113" t="s">
        <v>678</v>
      </c>
      <c r="B239" s="113" t="s">
        <v>385</v>
      </c>
      <c r="C239" s="113" t="s">
        <v>386</v>
      </c>
      <c r="D239" s="113" t="s">
        <v>387</v>
      </c>
      <c r="E239">
        <v>3167</v>
      </c>
      <c r="F239" s="113" t="s">
        <v>1123</v>
      </c>
      <c r="G239" s="113" t="s">
        <v>388</v>
      </c>
      <c r="H239" s="113" t="s">
        <v>394</v>
      </c>
      <c r="I239" s="113" t="s">
        <v>443</v>
      </c>
      <c r="J239" s="113" t="s">
        <v>1124</v>
      </c>
    </row>
    <row r="240" spans="1:10">
      <c r="A240" s="113" t="s">
        <v>678</v>
      </c>
      <c r="B240" s="113" t="s">
        <v>385</v>
      </c>
      <c r="C240" s="113" t="s">
        <v>386</v>
      </c>
      <c r="D240" s="113" t="s">
        <v>387</v>
      </c>
      <c r="E240">
        <v>3388</v>
      </c>
      <c r="F240" s="113" t="s">
        <v>1125</v>
      </c>
      <c r="G240" s="113" t="s">
        <v>388</v>
      </c>
      <c r="H240" s="113" t="s">
        <v>394</v>
      </c>
      <c r="I240" s="113">
        <v>190</v>
      </c>
      <c r="J240" s="113"/>
    </row>
    <row r="241" spans="1:10">
      <c r="A241" s="113" t="s">
        <v>678</v>
      </c>
      <c r="B241" s="113" t="s">
        <v>385</v>
      </c>
      <c r="C241" s="113" t="s">
        <v>386</v>
      </c>
      <c r="D241" s="113" t="s">
        <v>387</v>
      </c>
      <c r="E241">
        <v>3640</v>
      </c>
      <c r="F241" s="113" t="s">
        <v>1126</v>
      </c>
      <c r="G241" s="113" t="s">
        <v>388</v>
      </c>
      <c r="H241" s="113" t="s">
        <v>399</v>
      </c>
      <c r="I241" s="113">
        <v>128</v>
      </c>
      <c r="J241" s="113"/>
    </row>
    <row r="242" spans="1:10">
      <c r="A242" s="113" t="s">
        <v>678</v>
      </c>
      <c r="B242" s="113" t="s">
        <v>385</v>
      </c>
      <c r="C242" s="113" t="s">
        <v>386</v>
      </c>
      <c r="D242" s="113" t="s">
        <v>387</v>
      </c>
      <c r="E242">
        <v>8771</v>
      </c>
      <c r="F242" s="113" t="s">
        <v>682</v>
      </c>
      <c r="G242" s="113" t="s">
        <v>388</v>
      </c>
      <c r="H242" s="113" t="s">
        <v>460</v>
      </c>
      <c r="I242" s="113">
        <v>601</v>
      </c>
      <c r="J242" s="113"/>
    </row>
    <row r="243" spans="1:10">
      <c r="A243" s="113" t="s">
        <v>678</v>
      </c>
      <c r="B243" s="113" t="s">
        <v>385</v>
      </c>
      <c r="C243" s="113" t="s">
        <v>386</v>
      </c>
      <c r="D243" s="113" t="s">
        <v>387</v>
      </c>
      <c r="E243">
        <v>9020</v>
      </c>
      <c r="F243" s="113" t="s">
        <v>1127</v>
      </c>
      <c r="G243" s="113" t="s">
        <v>388</v>
      </c>
      <c r="H243" s="113" t="s">
        <v>677</v>
      </c>
      <c r="I243" s="113" t="s">
        <v>1128</v>
      </c>
      <c r="J243" s="113" t="s">
        <v>1129</v>
      </c>
    </row>
    <row r="244" spans="1:10">
      <c r="A244" s="113" t="s">
        <v>678</v>
      </c>
      <c r="B244" s="113" t="s">
        <v>385</v>
      </c>
      <c r="C244" s="113" t="s">
        <v>386</v>
      </c>
      <c r="D244" s="113" t="s">
        <v>387</v>
      </c>
      <c r="E244">
        <v>9037</v>
      </c>
      <c r="F244" s="113" t="s">
        <v>683</v>
      </c>
      <c r="G244" s="113" t="s">
        <v>388</v>
      </c>
      <c r="H244" s="113" t="s">
        <v>677</v>
      </c>
      <c r="I244" s="113">
        <v>671</v>
      </c>
      <c r="J244" s="113"/>
    </row>
    <row r="245" spans="1:10">
      <c r="A245" s="113" t="s">
        <v>678</v>
      </c>
      <c r="B245" s="113" t="s">
        <v>385</v>
      </c>
      <c r="C245" s="113" t="s">
        <v>386</v>
      </c>
      <c r="D245" s="113" t="s">
        <v>387</v>
      </c>
      <c r="E245">
        <v>9995</v>
      </c>
      <c r="F245" s="113" t="s">
        <v>684</v>
      </c>
      <c r="G245" s="113" t="s">
        <v>388</v>
      </c>
      <c r="H245" s="113" t="s">
        <v>394</v>
      </c>
      <c r="I245" s="113">
        <v>119</v>
      </c>
      <c r="J245" s="113"/>
    </row>
    <row r="246" spans="1:10">
      <c r="A246" s="113" t="s">
        <v>685</v>
      </c>
      <c r="B246" s="113" t="s">
        <v>608</v>
      </c>
      <c r="C246" s="113" t="s">
        <v>386</v>
      </c>
      <c r="D246" s="113" t="s">
        <v>387</v>
      </c>
      <c r="E246">
        <v>3433</v>
      </c>
      <c r="F246" s="113" t="s">
        <v>1130</v>
      </c>
      <c r="G246" s="113" t="s">
        <v>388</v>
      </c>
      <c r="H246" s="113" t="s">
        <v>403</v>
      </c>
      <c r="I246" s="113">
        <v>684</v>
      </c>
      <c r="J246" s="113"/>
    </row>
    <row r="247" spans="1:10">
      <c r="A247" s="113" t="s">
        <v>685</v>
      </c>
      <c r="B247" s="113" t="s">
        <v>385</v>
      </c>
      <c r="C247" s="113" t="s">
        <v>386</v>
      </c>
      <c r="D247" s="113" t="s">
        <v>387</v>
      </c>
      <c r="E247">
        <v>2175</v>
      </c>
      <c r="F247" s="113" t="s">
        <v>1010</v>
      </c>
      <c r="G247" s="113" t="s">
        <v>388</v>
      </c>
      <c r="H247" s="113" t="s">
        <v>393</v>
      </c>
      <c r="I247" s="113" t="s">
        <v>411</v>
      </c>
      <c r="J247" s="113" t="s">
        <v>1131</v>
      </c>
    </row>
    <row r="248" spans="1:10">
      <c r="A248" s="113" t="s">
        <v>685</v>
      </c>
      <c r="B248" s="113" t="s">
        <v>385</v>
      </c>
      <c r="C248" s="113" t="s">
        <v>386</v>
      </c>
      <c r="D248" s="113" t="s">
        <v>387</v>
      </c>
      <c r="E248">
        <v>2220</v>
      </c>
      <c r="F248" s="113" t="s">
        <v>1011</v>
      </c>
      <c r="G248" s="113" t="s">
        <v>388</v>
      </c>
      <c r="H248" s="113" t="s">
        <v>389</v>
      </c>
      <c r="I248" s="113" t="s">
        <v>443</v>
      </c>
      <c r="J248" s="113" t="s">
        <v>1132</v>
      </c>
    </row>
    <row r="249" spans="1:10">
      <c r="A249" s="113" t="s">
        <v>685</v>
      </c>
      <c r="B249" s="113" t="s">
        <v>385</v>
      </c>
      <c r="C249" s="113" t="s">
        <v>386</v>
      </c>
      <c r="D249" s="113" t="s">
        <v>387</v>
      </c>
      <c r="E249">
        <v>2331</v>
      </c>
      <c r="F249" s="113" t="s">
        <v>1012</v>
      </c>
      <c r="G249" s="113" t="s">
        <v>388</v>
      </c>
      <c r="H249" s="113" t="s">
        <v>393</v>
      </c>
      <c r="I249" s="113" t="s">
        <v>405</v>
      </c>
      <c r="J249" s="113" t="s">
        <v>1133</v>
      </c>
    </row>
    <row r="250" spans="1:10">
      <c r="A250" s="113" t="s">
        <v>685</v>
      </c>
      <c r="B250" s="113" t="s">
        <v>385</v>
      </c>
      <c r="C250" s="113" t="s">
        <v>386</v>
      </c>
      <c r="D250" s="113" t="s">
        <v>387</v>
      </c>
      <c r="E250">
        <v>2497</v>
      </c>
      <c r="F250" s="113" t="s">
        <v>1134</v>
      </c>
      <c r="G250" s="113" t="s">
        <v>400</v>
      </c>
      <c r="H250" s="113" t="s">
        <v>393</v>
      </c>
      <c r="I250">
        <v>347</v>
      </c>
    </row>
    <row r="251" spans="1:10">
      <c r="A251" s="113" t="s">
        <v>685</v>
      </c>
      <c r="B251" s="113" t="s">
        <v>385</v>
      </c>
      <c r="C251" s="113" t="s">
        <v>386</v>
      </c>
      <c r="D251" s="113" t="s">
        <v>387</v>
      </c>
      <c r="E251">
        <v>2715</v>
      </c>
      <c r="F251" s="113" t="s">
        <v>686</v>
      </c>
      <c r="G251" s="113" t="s">
        <v>388</v>
      </c>
      <c r="H251" s="113" t="s">
        <v>394</v>
      </c>
      <c r="I251">
        <v>452</v>
      </c>
    </row>
    <row r="252" spans="1:10">
      <c r="A252" s="113" t="s">
        <v>685</v>
      </c>
      <c r="B252" s="113" t="s">
        <v>385</v>
      </c>
      <c r="C252" s="113" t="s">
        <v>386</v>
      </c>
      <c r="D252" s="113" t="s">
        <v>391</v>
      </c>
      <c r="E252">
        <v>2892</v>
      </c>
      <c r="F252" s="113" t="s">
        <v>687</v>
      </c>
      <c r="G252" s="113" t="s">
        <v>396</v>
      </c>
      <c r="H252" s="113" t="s">
        <v>389</v>
      </c>
      <c r="I252">
        <v>85</v>
      </c>
    </row>
    <row r="253" spans="1:10">
      <c r="A253" s="113" t="s">
        <v>685</v>
      </c>
      <c r="B253" s="113" t="s">
        <v>385</v>
      </c>
      <c r="C253" s="113" t="s">
        <v>386</v>
      </c>
      <c r="D253" s="113" t="s">
        <v>387</v>
      </c>
      <c r="E253">
        <v>3023</v>
      </c>
      <c r="F253" s="113" t="s">
        <v>688</v>
      </c>
      <c r="G253" s="113" t="s">
        <v>388</v>
      </c>
      <c r="H253" s="113" t="s">
        <v>394</v>
      </c>
      <c r="I253" s="113">
        <v>114</v>
      </c>
      <c r="J253" s="113"/>
    </row>
    <row r="254" spans="1:10">
      <c r="A254" s="113" t="s">
        <v>685</v>
      </c>
      <c r="B254" s="113" t="s">
        <v>385</v>
      </c>
      <c r="C254" s="113" t="s">
        <v>386</v>
      </c>
      <c r="D254" s="113" t="s">
        <v>387</v>
      </c>
      <c r="E254">
        <v>3092</v>
      </c>
      <c r="F254" s="113" t="s">
        <v>1135</v>
      </c>
      <c r="G254" s="113" t="s">
        <v>388</v>
      </c>
      <c r="H254" s="113" t="s">
        <v>398</v>
      </c>
      <c r="I254" s="113" t="s">
        <v>598</v>
      </c>
      <c r="J254" s="113" t="s">
        <v>1136</v>
      </c>
    </row>
    <row r="255" spans="1:10">
      <c r="A255" s="113" t="s">
        <v>685</v>
      </c>
      <c r="B255" s="113" t="s">
        <v>385</v>
      </c>
      <c r="C255" s="113" t="s">
        <v>386</v>
      </c>
      <c r="D255" s="113" t="s">
        <v>387</v>
      </c>
      <c r="E255">
        <v>3098</v>
      </c>
      <c r="F255" s="113" t="s">
        <v>1137</v>
      </c>
      <c r="G255" s="113" t="s">
        <v>388</v>
      </c>
      <c r="H255" s="113" t="s">
        <v>398</v>
      </c>
      <c r="I255" s="113" t="s">
        <v>443</v>
      </c>
      <c r="J255" s="113" t="s">
        <v>1138</v>
      </c>
    </row>
    <row r="256" spans="1:10">
      <c r="A256" s="113" t="s">
        <v>685</v>
      </c>
      <c r="B256" s="113" t="s">
        <v>385</v>
      </c>
      <c r="C256" s="113" t="s">
        <v>386</v>
      </c>
      <c r="D256" s="113" t="s">
        <v>391</v>
      </c>
      <c r="E256">
        <v>3137</v>
      </c>
      <c r="F256" s="113" t="s">
        <v>1139</v>
      </c>
      <c r="G256" s="113" t="s">
        <v>400</v>
      </c>
      <c r="H256" s="113" t="s">
        <v>398</v>
      </c>
      <c r="I256" s="113">
        <v>74</v>
      </c>
      <c r="J256" s="113"/>
    </row>
    <row r="257" spans="1:10">
      <c r="A257" s="113" t="s">
        <v>685</v>
      </c>
      <c r="B257" s="113" t="s">
        <v>385</v>
      </c>
      <c r="C257" s="113" t="s">
        <v>386</v>
      </c>
      <c r="D257" s="113" t="s">
        <v>387</v>
      </c>
      <c r="E257">
        <v>3513</v>
      </c>
      <c r="F257" s="113" t="s">
        <v>1140</v>
      </c>
      <c r="G257" s="113" t="s">
        <v>388</v>
      </c>
      <c r="H257" s="113" t="s">
        <v>454</v>
      </c>
      <c r="I257">
        <v>73</v>
      </c>
    </row>
    <row r="258" spans="1:10">
      <c r="A258" s="113" t="s">
        <v>685</v>
      </c>
      <c r="B258" s="113" t="s">
        <v>385</v>
      </c>
      <c r="C258" s="113" t="s">
        <v>386</v>
      </c>
      <c r="D258" s="113" t="s">
        <v>387</v>
      </c>
      <c r="E258">
        <v>3591</v>
      </c>
      <c r="F258" s="113" t="s">
        <v>1141</v>
      </c>
      <c r="G258" s="113" t="s">
        <v>388</v>
      </c>
      <c r="H258" s="113" t="s">
        <v>454</v>
      </c>
      <c r="I258" s="113" t="s">
        <v>411</v>
      </c>
      <c r="J258" s="113" t="s">
        <v>1142</v>
      </c>
    </row>
    <row r="259" spans="1:10">
      <c r="A259" s="113" t="s">
        <v>685</v>
      </c>
      <c r="B259" s="113" t="s">
        <v>385</v>
      </c>
      <c r="C259" s="113" t="s">
        <v>386</v>
      </c>
      <c r="D259" s="113" t="s">
        <v>387</v>
      </c>
      <c r="E259">
        <v>3666</v>
      </c>
      <c r="F259" s="113" t="s">
        <v>1143</v>
      </c>
      <c r="G259" s="113" t="s">
        <v>388</v>
      </c>
      <c r="H259" s="113" t="s">
        <v>399</v>
      </c>
      <c r="I259">
        <v>105</v>
      </c>
    </row>
    <row r="260" spans="1:10">
      <c r="A260" s="113" t="s">
        <v>685</v>
      </c>
      <c r="B260" s="113" t="s">
        <v>385</v>
      </c>
      <c r="C260" s="113" t="s">
        <v>386</v>
      </c>
      <c r="D260" s="113" t="s">
        <v>387</v>
      </c>
      <c r="E260">
        <v>3762</v>
      </c>
      <c r="F260" s="113" t="s">
        <v>689</v>
      </c>
      <c r="G260" s="113" t="s">
        <v>388</v>
      </c>
      <c r="H260" s="113" t="s">
        <v>399</v>
      </c>
      <c r="I260" s="113">
        <v>530</v>
      </c>
      <c r="J260" s="113"/>
    </row>
    <row r="261" spans="1:10">
      <c r="A261" s="113" t="s">
        <v>685</v>
      </c>
      <c r="B261" s="113" t="s">
        <v>385</v>
      </c>
      <c r="C261" s="113" t="s">
        <v>386</v>
      </c>
      <c r="D261" s="113" t="s">
        <v>391</v>
      </c>
      <c r="E261">
        <v>3841</v>
      </c>
      <c r="F261" s="113" t="s">
        <v>690</v>
      </c>
      <c r="G261" s="113" t="s">
        <v>392</v>
      </c>
      <c r="H261" s="113" t="s">
        <v>399</v>
      </c>
      <c r="I261" s="113">
        <v>22</v>
      </c>
      <c r="J261" s="113"/>
    </row>
    <row r="262" spans="1:10">
      <c r="A262" s="113" t="s">
        <v>685</v>
      </c>
      <c r="B262" s="113" t="s">
        <v>385</v>
      </c>
      <c r="C262" s="113" t="s">
        <v>386</v>
      </c>
      <c r="D262" s="113" t="s">
        <v>387</v>
      </c>
      <c r="E262">
        <v>4310</v>
      </c>
      <c r="F262" s="113" t="s">
        <v>691</v>
      </c>
      <c r="G262" s="113" t="s">
        <v>388</v>
      </c>
      <c r="H262" s="113" t="s">
        <v>393</v>
      </c>
      <c r="I262" s="113">
        <v>173</v>
      </c>
      <c r="J262" s="113"/>
    </row>
    <row r="263" spans="1:10">
      <c r="A263" s="113" t="s">
        <v>685</v>
      </c>
      <c r="B263" s="113" t="s">
        <v>385</v>
      </c>
      <c r="C263" s="113" t="s">
        <v>386</v>
      </c>
      <c r="D263" s="113" t="s">
        <v>387</v>
      </c>
      <c r="E263">
        <v>4368</v>
      </c>
      <c r="F263" s="113" t="s">
        <v>692</v>
      </c>
      <c r="G263" s="113" t="s">
        <v>388</v>
      </c>
      <c r="H263" s="113" t="s">
        <v>401</v>
      </c>
      <c r="I263" s="113" t="s">
        <v>443</v>
      </c>
      <c r="J263" s="113" t="s">
        <v>1144</v>
      </c>
    </row>
    <row r="264" spans="1:10">
      <c r="A264" s="113" t="s">
        <v>685</v>
      </c>
      <c r="B264" s="113" t="s">
        <v>385</v>
      </c>
      <c r="C264" s="113" t="s">
        <v>386</v>
      </c>
      <c r="D264" s="113" t="s">
        <v>387</v>
      </c>
      <c r="E264">
        <v>4816</v>
      </c>
      <c r="F264" s="113" t="s">
        <v>1145</v>
      </c>
      <c r="G264" s="113" t="s">
        <v>392</v>
      </c>
      <c r="H264" s="113" t="s">
        <v>399</v>
      </c>
      <c r="I264" s="113" t="s">
        <v>411</v>
      </c>
      <c r="J264" s="113" t="s">
        <v>1017</v>
      </c>
    </row>
    <row r="265" spans="1:10">
      <c r="A265" s="113" t="s">
        <v>685</v>
      </c>
      <c r="B265" s="113" t="s">
        <v>385</v>
      </c>
      <c r="C265" s="113" t="s">
        <v>386</v>
      </c>
      <c r="D265" s="113" t="s">
        <v>387</v>
      </c>
      <c r="E265">
        <v>5332</v>
      </c>
      <c r="F265" s="113" t="s">
        <v>1146</v>
      </c>
      <c r="G265" s="113" t="s">
        <v>388</v>
      </c>
      <c r="H265" s="113" t="s">
        <v>496</v>
      </c>
      <c r="I265" s="113" t="s">
        <v>657</v>
      </c>
      <c r="J265" s="113" t="s">
        <v>1042</v>
      </c>
    </row>
    <row r="266" spans="1:10">
      <c r="A266" s="113" t="s">
        <v>685</v>
      </c>
      <c r="B266" s="113" t="s">
        <v>385</v>
      </c>
      <c r="C266" s="113" t="s">
        <v>386</v>
      </c>
      <c r="D266" s="113" t="s">
        <v>387</v>
      </c>
      <c r="E266">
        <v>5727</v>
      </c>
      <c r="F266" s="113" t="s">
        <v>693</v>
      </c>
      <c r="G266" s="113" t="s">
        <v>388</v>
      </c>
      <c r="H266" s="113" t="s">
        <v>694</v>
      </c>
      <c r="I266" s="113">
        <v>682</v>
      </c>
      <c r="J266" s="113"/>
    </row>
    <row r="267" spans="1:10">
      <c r="A267" s="113" t="s">
        <v>685</v>
      </c>
      <c r="B267" s="113" t="s">
        <v>385</v>
      </c>
      <c r="C267" s="113" t="s">
        <v>397</v>
      </c>
      <c r="D267" s="113" t="s">
        <v>387</v>
      </c>
      <c r="E267">
        <v>6028</v>
      </c>
      <c r="F267" s="113" t="s">
        <v>1013</v>
      </c>
      <c r="G267" s="113" t="s">
        <v>388</v>
      </c>
      <c r="H267" s="113" t="s">
        <v>393</v>
      </c>
      <c r="I267" s="113" t="s">
        <v>411</v>
      </c>
      <c r="J267" s="113" t="s">
        <v>1147</v>
      </c>
    </row>
    <row r="268" spans="1:10">
      <c r="A268" s="113" t="s">
        <v>685</v>
      </c>
      <c r="B268" s="113" t="s">
        <v>385</v>
      </c>
      <c r="C268" s="113" t="s">
        <v>386</v>
      </c>
      <c r="D268" s="113" t="s">
        <v>387</v>
      </c>
      <c r="E268">
        <v>6322</v>
      </c>
      <c r="F268" s="113" t="s">
        <v>695</v>
      </c>
      <c r="G268" s="113" t="s">
        <v>396</v>
      </c>
      <c r="H268" s="113" t="s">
        <v>409</v>
      </c>
      <c r="I268" s="113">
        <v>127</v>
      </c>
      <c r="J268" s="113"/>
    </row>
    <row r="269" spans="1:10">
      <c r="A269" s="113" t="s">
        <v>685</v>
      </c>
      <c r="B269" s="113" t="s">
        <v>385</v>
      </c>
      <c r="C269" s="113" t="s">
        <v>386</v>
      </c>
      <c r="D269" s="113" t="s">
        <v>387</v>
      </c>
      <c r="E269">
        <v>6659</v>
      </c>
      <c r="F269" s="113" t="s">
        <v>696</v>
      </c>
      <c r="G269" s="113" t="s">
        <v>392</v>
      </c>
      <c r="H269" s="113" t="s">
        <v>413</v>
      </c>
      <c r="I269">
        <v>18</v>
      </c>
    </row>
    <row r="270" spans="1:10">
      <c r="A270" s="113" t="s">
        <v>685</v>
      </c>
      <c r="B270" s="113" t="s">
        <v>385</v>
      </c>
      <c r="C270" s="113" t="s">
        <v>386</v>
      </c>
      <c r="D270" s="113" t="s">
        <v>387</v>
      </c>
      <c r="E270">
        <v>6925</v>
      </c>
      <c r="F270" s="113" t="s">
        <v>697</v>
      </c>
      <c r="G270" s="113" t="s">
        <v>388</v>
      </c>
      <c r="H270" s="113" t="s">
        <v>413</v>
      </c>
      <c r="I270" s="113" t="s">
        <v>411</v>
      </c>
      <c r="J270" s="113" t="s">
        <v>1148</v>
      </c>
    </row>
    <row r="271" spans="1:10">
      <c r="A271" s="113" t="s">
        <v>685</v>
      </c>
      <c r="B271" s="113" t="s">
        <v>385</v>
      </c>
      <c r="C271" s="113" t="s">
        <v>386</v>
      </c>
      <c r="D271" s="113" t="s">
        <v>387</v>
      </c>
      <c r="E271">
        <v>7282</v>
      </c>
      <c r="F271" s="113" t="s">
        <v>698</v>
      </c>
      <c r="G271" s="113" t="s">
        <v>388</v>
      </c>
      <c r="H271" s="113" t="s">
        <v>439</v>
      </c>
      <c r="I271" s="113" t="s">
        <v>628</v>
      </c>
      <c r="J271" s="113" t="s">
        <v>1149</v>
      </c>
    </row>
    <row r="272" spans="1:10">
      <c r="A272" s="113" t="s">
        <v>685</v>
      </c>
      <c r="B272" s="113" t="s">
        <v>385</v>
      </c>
      <c r="C272" s="113" t="s">
        <v>386</v>
      </c>
      <c r="D272" s="113" t="s">
        <v>387</v>
      </c>
      <c r="E272">
        <v>7510</v>
      </c>
      <c r="F272" s="113" t="s">
        <v>699</v>
      </c>
      <c r="G272" s="113" t="s">
        <v>388</v>
      </c>
      <c r="H272" s="113" t="s">
        <v>394</v>
      </c>
      <c r="I272" s="113">
        <v>212</v>
      </c>
      <c r="J272" s="113"/>
    </row>
    <row r="273" spans="1:10">
      <c r="A273" s="113" t="s">
        <v>685</v>
      </c>
      <c r="B273" s="113" t="s">
        <v>385</v>
      </c>
      <c r="C273" s="113" t="s">
        <v>386</v>
      </c>
      <c r="D273" s="113" t="s">
        <v>387</v>
      </c>
      <c r="E273">
        <v>7600</v>
      </c>
      <c r="F273" s="113" t="s">
        <v>700</v>
      </c>
      <c r="G273" s="113" t="s">
        <v>388</v>
      </c>
      <c r="H273" s="113" t="s">
        <v>655</v>
      </c>
      <c r="I273" s="113">
        <v>616</v>
      </c>
      <c r="J273" s="113"/>
    </row>
    <row r="274" spans="1:10">
      <c r="A274" s="113" t="s">
        <v>685</v>
      </c>
      <c r="B274" s="113" t="s">
        <v>385</v>
      </c>
      <c r="C274" s="113" t="s">
        <v>386</v>
      </c>
      <c r="D274" s="113" t="s">
        <v>387</v>
      </c>
      <c r="E274">
        <v>7838</v>
      </c>
      <c r="F274" s="113" t="s">
        <v>701</v>
      </c>
      <c r="G274" s="113" t="s">
        <v>388</v>
      </c>
      <c r="H274" s="113" t="s">
        <v>410</v>
      </c>
      <c r="I274">
        <v>79</v>
      </c>
    </row>
    <row r="275" spans="1:10">
      <c r="A275" s="113" t="s">
        <v>685</v>
      </c>
      <c r="B275" s="113" t="s">
        <v>385</v>
      </c>
      <c r="C275" s="113" t="s">
        <v>386</v>
      </c>
      <c r="D275" s="113" t="s">
        <v>387</v>
      </c>
      <c r="E275">
        <v>7925</v>
      </c>
      <c r="F275" s="113" t="s">
        <v>702</v>
      </c>
      <c r="G275" s="113" t="s">
        <v>388</v>
      </c>
      <c r="H275" s="113" t="s">
        <v>401</v>
      </c>
      <c r="I275" s="113">
        <v>187</v>
      </c>
      <c r="J275" s="113"/>
    </row>
    <row r="276" spans="1:10">
      <c r="A276" s="113" t="s">
        <v>685</v>
      </c>
      <c r="B276" s="113" t="s">
        <v>385</v>
      </c>
      <c r="C276" s="113" t="s">
        <v>386</v>
      </c>
      <c r="D276" s="113" t="s">
        <v>387</v>
      </c>
      <c r="E276">
        <v>8806</v>
      </c>
      <c r="F276" s="113" t="s">
        <v>703</v>
      </c>
      <c r="G276" s="113" t="s">
        <v>388</v>
      </c>
      <c r="H276" s="113" t="s">
        <v>414</v>
      </c>
      <c r="I276" s="113" t="s">
        <v>443</v>
      </c>
      <c r="J276" s="113" t="s">
        <v>801</v>
      </c>
    </row>
    <row r="277" spans="1:10">
      <c r="A277" s="113" t="s">
        <v>704</v>
      </c>
      <c r="B277" s="113" t="s">
        <v>385</v>
      </c>
      <c r="C277" s="113" t="s">
        <v>386</v>
      </c>
      <c r="D277" s="113" t="s">
        <v>391</v>
      </c>
      <c r="E277">
        <v>1379</v>
      </c>
      <c r="F277" s="113" t="s">
        <v>705</v>
      </c>
      <c r="G277" s="113" t="s">
        <v>388</v>
      </c>
      <c r="H277" s="113" t="s">
        <v>528</v>
      </c>
      <c r="I277" s="113">
        <v>664</v>
      </c>
      <c r="J277" s="113"/>
    </row>
    <row r="278" spans="1:10">
      <c r="A278" s="113" t="s">
        <v>704</v>
      </c>
      <c r="B278" s="113" t="s">
        <v>385</v>
      </c>
      <c r="C278" s="113" t="s">
        <v>386</v>
      </c>
      <c r="D278" s="113" t="s">
        <v>387</v>
      </c>
      <c r="E278">
        <v>2676</v>
      </c>
      <c r="F278" s="113" t="s">
        <v>1150</v>
      </c>
      <c r="G278" s="113" t="s">
        <v>388</v>
      </c>
      <c r="H278" s="113" t="s">
        <v>394</v>
      </c>
      <c r="I278">
        <v>111</v>
      </c>
    </row>
    <row r="279" spans="1:10">
      <c r="A279" s="113" t="s">
        <v>704</v>
      </c>
      <c r="B279" s="113" t="s">
        <v>385</v>
      </c>
      <c r="C279" s="113" t="s">
        <v>386</v>
      </c>
      <c r="D279" s="113" t="s">
        <v>387</v>
      </c>
      <c r="E279">
        <v>2907</v>
      </c>
      <c r="F279" s="113" t="s">
        <v>706</v>
      </c>
      <c r="G279" s="113" t="s">
        <v>396</v>
      </c>
      <c r="H279" s="113" t="s">
        <v>389</v>
      </c>
      <c r="I279">
        <v>63</v>
      </c>
    </row>
    <row r="280" spans="1:10">
      <c r="A280" s="113" t="s">
        <v>704</v>
      </c>
      <c r="B280" s="113" t="s">
        <v>385</v>
      </c>
      <c r="C280" s="113" t="s">
        <v>386</v>
      </c>
      <c r="D280" s="113" t="s">
        <v>387</v>
      </c>
      <c r="E280">
        <v>3024</v>
      </c>
      <c r="F280" s="113" t="s">
        <v>1151</v>
      </c>
      <c r="G280" s="113" t="s">
        <v>392</v>
      </c>
      <c r="H280" s="113" t="s">
        <v>394</v>
      </c>
      <c r="I280" s="113">
        <v>28</v>
      </c>
      <c r="J280" s="113"/>
    </row>
    <row r="281" spans="1:10">
      <c r="A281" s="113" t="s">
        <v>704</v>
      </c>
      <c r="B281" s="113" t="s">
        <v>385</v>
      </c>
      <c r="C281" s="113" t="s">
        <v>386</v>
      </c>
      <c r="D281" s="113" t="s">
        <v>391</v>
      </c>
      <c r="E281">
        <v>3484</v>
      </c>
      <c r="F281" s="113" t="s">
        <v>1152</v>
      </c>
      <c r="G281" s="113" t="s">
        <v>388</v>
      </c>
      <c r="H281" s="113" t="s">
        <v>414</v>
      </c>
      <c r="I281" s="113">
        <v>195</v>
      </c>
      <c r="J281" s="113"/>
    </row>
    <row r="282" spans="1:10">
      <c r="A282" s="113" t="s">
        <v>704</v>
      </c>
      <c r="B282" s="113" t="s">
        <v>385</v>
      </c>
      <c r="C282" s="113" t="s">
        <v>386</v>
      </c>
      <c r="D282" s="113" t="s">
        <v>387</v>
      </c>
      <c r="E282">
        <v>3612</v>
      </c>
      <c r="F282" s="113" t="s">
        <v>707</v>
      </c>
      <c r="G282" s="113" t="s">
        <v>388</v>
      </c>
      <c r="H282" s="113" t="s">
        <v>454</v>
      </c>
      <c r="I282">
        <v>960</v>
      </c>
    </row>
    <row r="283" spans="1:10">
      <c r="A283" s="113" t="s">
        <v>704</v>
      </c>
      <c r="B283" s="113" t="s">
        <v>385</v>
      </c>
      <c r="C283" s="113" t="s">
        <v>386</v>
      </c>
      <c r="D283" s="113" t="s">
        <v>387</v>
      </c>
      <c r="E283">
        <v>4521</v>
      </c>
      <c r="F283" s="113" t="s">
        <v>1153</v>
      </c>
      <c r="G283" s="113" t="s">
        <v>388</v>
      </c>
      <c r="H283" s="113" t="s">
        <v>510</v>
      </c>
      <c r="I283" s="113" t="s">
        <v>411</v>
      </c>
      <c r="J283" s="113" t="s">
        <v>1154</v>
      </c>
    </row>
    <row r="284" spans="1:10">
      <c r="A284" s="113" t="s">
        <v>704</v>
      </c>
      <c r="B284" s="113" t="s">
        <v>385</v>
      </c>
      <c r="C284" s="113" t="s">
        <v>397</v>
      </c>
      <c r="D284" s="113" t="s">
        <v>387</v>
      </c>
      <c r="E284">
        <v>6920</v>
      </c>
      <c r="F284" s="113" t="s">
        <v>1015</v>
      </c>
      <c r="G284" s="113" t="s">
        <v>388</v>
      </c>
      <c r="H284" s="113" t="s">
        <v>413</v>
      </c>
      <c r="I284" s="113" t="s">
        <v>539</v>
      </c>
      <c r="J284" s="113" t="s">
        <v>1155</v>
      </c>
    </row>
    <row r="285" spans="1:10">
      <c r="A285" s="113" t="s">
        <v>704</v>
      </c>
      <c r="B285" s="113" t="s">
        <v>385</v>
      </c>
      <c r="C285" s="113" t="s">
        <v>386</v>
      </c>
      <c r="D285" s="113" t="s">
        <v>391</v>
      </c>
      <c r="E285">
        <v>7506</v>
      </c>
      <c r="F285" s="113" t="s">
        <v>708</v>
      </c>
      <c r="G285" s="113" t="s">
        <v>388</v>
      </c>
      <c r="H285" s="113" t="s">
        <v>398</v>
      </c>
      <c r="I285" s="113">
        <v>78</v>
      </c>
      <c r="J285" s="113"/>
    </row>
    <row r="286" spans="1:10">
      <c r="A286" s="113" t="s">
        <v>704</v>
      </c>
      <c r="B286" s="113" t="s">
        <v>385</v>
      </c>
      <c r="C286" s="113" t="s">
        <v>386</v>
      </c>
      <c r="D286" s="113" t="s">
        <v>387</v>
      </c>
      <c r="E286">
        <v>7859</v>
      </c>
      <c r="F286" s="113" t="s">
        <v>709</v>
      </c>
      <c r="G286" s="113" t="s">
        <v>396</v>
      </c>
      <c r="H286" s="113" t="s">
        <v>410</v>
      </c>
      <c r="I286">
        <v>25</v>
      </c>
    </row>
    <row r="287" spans="1:10">
      <c r="A287" s="113" t="s">
        <v>704</v>
      </c>
      <c r="B287" s="113" t="s">
        <v>385</v>
      </c>
      <c r="C287" s="113" t="s">
        <v>386</v>
      </c>
      <c r="D287" s="113" t="s">
        <v>387</v>
      </c>
      <c r="E287">
        <v>9008</v>
      </c>
      <c r="F287" s="113" t="s">
        <v>1156</v>
      </c>
      <c r="G287" s="113" t="s">
        <v>388</v>
      </c>
      <c r="H287" s="113" t="s">
        <v>677</v>
      </c>
      <c r="I287" s="113" t="s">
        <v>657</v>
      </c>
      <c r="J287" s="113" t="s">
        <v>1157</v>
      </c>
    </row>
    <row r="288" spans="1:10">
      <c r="A288" s="113" t="s">
        <v>710</v>
      </c>
      <c r="B288" s="113" t="s">
        <v>608</v>
      </c>
      <c r="C288" s="113" t="s">
        <v>386</v>
      </c>
      <c r="D288" s="113" t="s">
        <v>387</v>
      </c>
      <c r="E288">
        <v>2607</v>
      </c>
      <c r="F288" s="113" t="s">
        <v>1158</v>
      </c>
      <c r="G288" s="113" t="s">
        <v>388</v>
      </c>
      <c r="H288" s="113" t="s">
        <v>389</v>
      </c>
      <c r="I288" s="113" t="s">
        <v>411</v>
      </c>
      <c r="J288" s="113" t="s">
        <v>1004</v>
      </c>
    </row>
    <row r="289" spans="1:10">
      <c r="A289" s="113" t="s">
        <v>710</v>
      </c>
      <c r="B289" s="113" t="s">
        <v>608</v>
      </c>
      <c r="C289" s="113" t="s">
        <v>386</v>
      </c>
      <c r="D289" s="113" t="s">
        <v>387</v>
      </c>
      <c r="E289">
        <v>4502</v>
      </c>
      <c r="F289" s="113" t="s">
        <v>711</v>
      </c>
      <c r="G289" s="113" t="s">
        <v>388</v>
      </c>
      <c r="H289" s="113" t="s">
        <v>510</v>
      </c>
      <c r="I289" s="113" t="s">
        <v>1159</v>
      </c>
      <c r="J289" s="113" t="s">
        <v>1160</v>
      </c>
    </row>
    <row r="290" spans="1:10">
      <c r="A290" s="113" t="s">
        <v>710</v>
      </c>
      <c r="B290" s="113" t="s">
        <v>385</v>
      </c>
      <c r="C290" s="113" t="s">
        <v>386</v>
      </c>
      <c r="D290" s="113" t="s">
        <v>387</v>
      </c>
      <c r="E290">
        <v>2117</v>
      </c>
      <c r="F290" s="113" t="s">
        <v>1016</v>
      </c>
      <c r="G290" s="113" t="s">
        <v>388</v>
      </c>
      <c r="H290" s="113" t="s">
        <v>389</v>
      </c>
      <c r="I290" s="113">
        <v>458</v>
      </c>
      <c r="J290" s="113"/>
    </row>
    <row r="291" spans="1:10">
      <c r="A291" s="113" t="s">
        <v>710</v>
      </c>
      <c r="B291" s="113" t="s">
        <v>385</v>
      </c>
      <c r="C291" s="113" t="s">
        <v>395</v>
      </c>
      <c r="D291" s="113" t="s">
        <v>391</v>
      </c>
      <c r="E291">
        <v>2268</v>
      </c>
      <c r="F291" s="113" t="s">
        <v>712</v>
      </c>
      <c r="G291" s="113" t="s">
        <v>392</v>
      </c>
      <c r="H291" s="113" t="s">
        <v>389</v>
      </c>
      <c r="I291" s="113">
        <v>388</v>
      </c>
      <c r="J291" s="113"/>
    </row>
    <row r="292" spans="1:10">
      <c r="A292" s="113" t="s">
        <v>710</v>
      </c>
      <c r="B292" s="113" t="s">
        <v>385</v>
      </c>
      <c r="C292" s="113" t="s">
        <v>397</v>
      </c>
      <c r="D292" s="113" t="s">
        <v>391</v>
      </c>
      <c r="E292">
        <v>2428</v>
      </c>
      <c r="F292" s="113" t="s">
        <v>1161</v>
      </c>
      <c r="G292" s="113" t="s">
        <v>388</v>
      </c>
      <c r="H292" s="113" t="s">
        <v>393</v>
      </c>
      <c r="I292" s="113">
        <v>159</v>
      </c>
      <c r="J292" s="113"/>
    </row>
    <row r="293" spans="1:10">
      <c r="A293" s="113" t="s">
        <v>710</v>
      </c>
      <c r="B293" s="113" t="s">
        <v>385</v>
      </c>
      <c r="C293" s="113" t="s">
        <v>386</v>
      </c>
      <c r="D293" s="113" t="s">
        <v>387</v>
      </c>
      <c r="E293">
        <v>2871</v>
      </c>
      <c r="F293" s="113" t="s">
        <v>1162</v>
      </c>
      <c r="G293" s="113" t="s">
        <v>388</v>
      </c>
      <c r="H293" s="113" t="s">
        <v>389</v>
      </c>
      <c r="I293" s="113" t="s">
        <v>628</v>
      </c>
      <c r="J293" s="113" t="s">
        <v>1155</v>
      </c>
    </row>
    <row r="294" spans="1:10">
      <c r="A294" s="113" t="s">
        <v>710</v>
      </c>
      <c r="B294" s="113" t="s">
        <v>385</v>
      </c>
      <c r="C294" s="113" t="s">
        <v>386</v>
      </c>
      <c r="D294" s="113" t="s">
        <v>387</v>
      </c>
      <c r="E294">
        <v>6151</v>
      </c>
      <c r="F294" s="113" t="s">
        <v>713</v>
      </c>
      <c r="G294" s="113" t="s">
        <v>388</v>
      </c>
      <c r="H294" s="113" t="s">
        <v>409</v>
      </c>
      <c r="I294">
        <v>473</v>
      </c>
    </row>
    <row r="295" spans="1:10">
      <c r="A295" s="113" t="s">
        <v>710</v>
      </c>
      <c r="B295" s="113" t="s">
        <v>385</v>
      </c>
      <c r="C295" s="113" t="s">
        <v>386</v>
      </c>
      <c r="D295" s="113" t="s">
        <v>387</v>
      </c>
      <c r="E295">
        <v>7419</v>
      </c>
      <c r="F295" s="113" t="s">
        <v>714</v>
      </c>
      <c r="G295" s="113" t="s">
        <v>388</v>
      </c>
      <c r="H295" s="113" t="s">
        <v>398</v>
      </c>
      <c r="I295" s="113" t="s">
        <v>443</v>
      </c>
      <c r="J295" s="113" t="s">
        <v>1163</v>
      </c>
    </row>
    <row r="296" spans="1:10">
      <c r="A296" s="113" t="s">
        <v>710</v>
      </c>
      <c r="B296" s="113" t="s">
        <v>385</v>
      </c>
      <c r="C296" s="113" t="s">
        <v>397</v>
      </c>
      <c r="D296" s="113" t="s">
        <v>387</v>
      </c>
      <c r="E296">
        <v>8945</v>
      </c>
      <c r="F296" s="113" t="s">
        <v>1018</v>
      </c>
      <c r="G296" s="113" t="s">
        <v>388</v>
      </c>
      <c r="H296" s="113" t="s">
        <v>414</v>
      </c>
      <c r="I296">
        <v>130</v>
      </c>
    </row>
    <row r="297" spans="1:10">
      <c r="A297" s="113" t="s">
        <v>715</v>
      </c>
      <c r="B297" s="113" t="s">
        <v>385</v>
      </c>
      <c r="C297" s="113" t="s">
        <v>386</v>
      </c>
      <c r="D297" s="113" t="s">
        <v>387</v>
      </c>
      <c r="E297">
        <v>2130</v>
      </c>
      <c r="F297" s="113" t="s">
        <v>716</v>
      </c>
      <c r="G297" s="113" t="s">
        <v>388</v>
      </c>
      <c r="H297" s="113" t="s">
        <v>393</v>
      </c>
      <c r="I297" s="113">
        <v>307</v>
      </c>
      <c r="J297" s="113"/>
    </row>
    <row r="298" spans="1:10">
      <c r="A298" s="113" t="s">
        <v>715</v>
      </c>
      <c r="B298" s="113" t="s">
        <v>385</v>
      </c>
      <c r="C298" s="113" t="s">
        <v>386</v>
      </c>
      <c r="D298" s="113" t="s">
        <v>391</v>
      </c>
      <c r="E298">
        <v>3464</v>
      </c>
      <c r="F298" s="113" t="s">
        <v>875</v>
      </c>
      <c r="G298" s="113" t="s">
        <v>388</v>
      </c>
      <c r="H298" s="113" t="s">
        <v>414</v>
      </c>
      <c r="I298" s="113">
        <v>83</v>
      </c>
      <c r="J298" s="113"/>
    </row>
    <row r="299" spans="1:10">
      <c r="A299" s="113" t="s">
        <v>715</v>
      </c>
      <c r="B299" s="113" t="s">
        <v>385</v>
      </c>
      <c r="C299" s="113" t="s">
        <v>386</v>
      </c>
      <c r="D299" s="113" t="s">
        <v>391</v>
      </c>
      <c r="E299">
        <v>6678</v>
      </c>
      <c r="F299" s="113" t="s">
        <v>717</v>
      </c>
      <c r="G299" s="113" t="s">
        <v>388</v>
      </c>
      <c r="H299" s="113" t="s">
        <v>413</v>
      </c>
      <c r="I299" s="113">
        <v>182</v>
      </c>
      <c r="J299" s="113"/>
    </row>
    <row r="300" spans="1:10">
      <c r="A300" s="113" t="s">
        <v>715</v>
      </c>
      <c r="B300" s="113" t="s">
        <v>385</v>
      </c>
      <c r="C300" s="113" t="s">
        <v>386</v>
      </c>
      <c r="D300" s="113" t="s">
        <v>387</v>
      </c>
      <c r="E300">
        <v>6875</v>
      </c>
      <c r="F300" s="113" t="s">
        <v>718</v>
      </c>
      <c r="G300" s="113" t="s">
        <v>388</v>
      </c>
      <c r="H300" s="113" t="s">
        <v>413</v>
      </c>
      <c r="I300">
        <v>555</v>
      </c>
    </row>
    <row r="301" spans="1:10">
      <c r="A301" s="113" t="s">
        <v>715</v>
      </c>
      <c r="B301" s="113" t="s">
        <v>385</v>
      </c>
      <c r="C301" s="113" t="s">
        <v>397</v>
      </c>
      <c r="D301" s="113" t="s">
        <v>387</v>
      </c>
      <c r="E301">
        <v>7532</v>
      </c>
      <c r="F301" s="113" t="s">
        <v>1019</v>
      </c>
      <c r="G301" s="113" t="s">
        <v>388</v>
      </c>
      <c r="H301" s="113" t="s">
        <v>398</v>
      </c>
      <c r="I301" s="113" t="s">
        <v>815</v>
      </c>
      <c r="J301" s="113" t="s">
        <v>1164</v>
      </c>
    </row>
    <row r="302" spans="1:10">
      <c r="A302" s="113" t="s">
        <v>719</v>
      </c>
      <c r="B302" s="113" t="s">
        <v>608</v>
      </c>
      <c r="C302" s="113" t="s">
        <v>395</v>
      </c>
      <c r="D302" s="113" t="s">
        <v>387</v>
      </c>
      <c r="E302">
        <v>2914</v>
      </c>
      <c r="F302" s="113" t="s">
        <v>1020</v>
      </c>
      <c r="G302" s="113" t="s">
        <v>388</v>
      </c>
      <c r="H302" s="113" t="s">
        <v>389</v>
      </c>
      <c r="I302" s="113" t="s">
        <v>1165</v>
      </c>
      <c r="J302" s="113" t="s">
        <v>1166</v>
      </c>
    </row>
    <row r="303" spans="1:10">
      <c r="A303" s="113" t="s">
        <v>719</v>
      </c>
      <c r="B303" s="113" t="s">
        <v>608</v>
      </c>
      <c r="C303" s="113" t="s">
        <v>397</v>
      </c>
      <c r="D303" s="113" t="s">
        <v>387</v>
      </c>
      <c r="E303">
        <v>4385</v>
      </c>
      <c r="F303" s="113" t="s">
        <v>1167</v>
      </c>
      <c r="G303" s="113" t="s">
        <v>400</v>
      </c>
      <c r="H303" s="113" t="s">
        <v>399</v>
      </c>
      <c r="I303" s="113" t="s">
        <v>628</v>
      </c>
      <c r="J303" s="113" t="s">
        <v>820</v>
      </c>
    </row>
    <row r="304" spans="1:10">
      <c r="A304" s="113" t="s">
        <v>719</v>
      </c>
      <c r="B304" s="113" t="s">
        <v>385</v>
      </c>
      <c r="C304" s="113" t="s">
        <v>386</v>
      </c>
      <c r="D304" s="113" t="s">
        <v>387</v>
      </c>
      <c r="E304">
        <v>2372</v>
      </c>
      <c r="F304" s="113" t="s">
        <v>720</v>
      </c>
      <c r="G304" s="113" t="s">
        <v>388</v>
      </c>
      <c r="H304" s="113" t="s">
        <v>393</v>
      </c>
      <c r="I304" s="113">
        <v>177</v>
      </c>
      <c r="J304" s="113"/>
    </row>
    <row r="305" spans="1:10">
      <c r="A305" s="113" t="s">
        <v>719</v>
      </c>
      <c r="B305" s="113" t="s">
        <v>385</v>
      </c>
      <c r="C305" s="113" t="s">
        <v>386</v>
      </c>
      <c r="D305" s="113" t="s">
        <v>387</v>
      </c>
      <c r="E305">
        <v>2487</v>
      </c>
      <c r="F305" s="113" t="s">
        <v>1168</v>
      </c>
      <c r="G305" s="113" t="s">
        <v>388</v>
      </c>
      <c r="H305" s="113" t="s">
        <v>393</v>
      </c>
      <c r="I305">
        <v>88</v>
      </c>
    </row>
    <row r="306" spans="1:10">
      <c r="A306" s="113" t="s">
        <v>719</v>
      </c>
      <c r="B306" s="113" t="s">
        <v>385</v>
      </c>
      <c r="C306" s="113" t="s">
        <v>397</v>
      </c>
      <c r="D306" s="113" t="s">
        <v>387</v>
      </c>
      <c r="E306">
        <v>3242</v>
      </c>
      <c r="F306" s="113" t="s">
        <v>721</v>
      </c>
      <c r="G306" s="113" t="s">
        <v>392</v>
      </c>
      <c r="H306" s="113" t="s">
        <v>414</v>
      </c>
      <c r="I306" s="113">
        <v>89</v>
      </c>
      <c r="J306" s="113"/>
    </row>
    <row r="307" spans="1:10">
      <c r="A307" s="113" t="s">
        <v>719</v>
      </c>
      <c r="B307" s="113" t="s">
        <v>385</v>
      </c>
      <c r="C307" s="113" t="s">
        <v>386</v>
      </c>
      <c r="D307" s="113" t="s">
        <v>391</v>
      </c>
      <c r="E307">
        <v>3634</v>
      </c>
      <c r="F307" s="113" t="s">
        <v>1169</v>
      </c>
      <c r="G307" s="113" t="s">
        <v>400</v>
      </c>
      <c r="H307" s="113" t="s">
        <v>399</v>
      </c>
      <c r="I307" s="113">
        <v>30</v>
      </c>
      <c r="J307" s="113"/>
    </row>
    <row r="308" spans="1:10">
      <c r="A308" s="113" t="s">
        <v>719</v>
      </c>
      <c r="B308" s="113" t="s">
        <v>385</v>
      </c>
      <c r="C308" s="113" t="s">
        <v>386</v>
      </c>
      <c r="D308" s="113" t="s">
        <v>391</v>
      </c>
      <c r="E308">
        <v>3837</v>
      </c>
      <c r="F308" s="113" t="s">
        <v>1170</v>
      </c>
      <c r="G308" s="113" t="s">
        <v>388</v>
      </c>
      <c r="H308" s="113" t="s">
        <v>399</v>
      </c>
      <c r="I308">
        <v>218</v>
      </c>
    </row>
    <row r="309" spans="1:10">
      <c r="A309" s="113" t="s">
        <v>719</v>
      </c>
      <c r="B309" s="113" t="s">
        <v>385</v>
      </c>
      <c r="C309" s="113" t="s">
        <v>386</v>
      </c>
      <c r="D309" s="113" t="s">
        <v>387</v>
      </c>
      <c r="E309">
        <v>4626</v>
      </c>
      <c r="F309" s="113" t="s">
        <v>722</v>
      </c>
      <c r="G309" s="113" t="s">
        <v>388</v>
      </c>
      <c r="H309" s="113" t="s">
        <v>401</v>
      </c>
      <c r="I309" s="113" t="s">
        <v>443</v>
      </c>
      <c r="J309" s="113" t="s">
        <v>1171</v>
      </c>
    </row>
    <row r="310" spans="1:10">
      <c r="A310" s="113" t="s">
        <v>719</v>
      </c>
      <c r="B310" s="113" t="s">
        <v>385</v>
      </c>
      <c r="C310" s="113" t="s">
        <v>386</v>
      </c>
      <c r="D310" s="113" t="s">
        <v>387</v>
      </c>
      <c r="E310">
        <v>6569</v>
      </c>
      <c r="F310" s="113" t="s">
        <v>723</v>
      </c>
      <c r="G310" s="113" t="s">
        <v>388</v>
      </c>
      <c r="H310" s="113" t="s">
        <v>393</v>
      </c>
      <c r="I310" s="113">
        <v>367</v>
      </c>
      <c r="J310" s="113"/>
    </row>
    <row r="311" spans="1:10">
      <c r="A311" s="113" t="s">
        <v>719</v>
      </c>
      <c r="B311" s="113" t="s">
        <v>385</v>
      </c>
      <c r="C311" s="113" t="s">
        <v>386</v>
      </c>
      <c r="D311" s="113" t="s">
        <v>387</v>
      </c>
      <c r="E311">
        <v>7703</v>
      </c>
      <c r="F311" s="113" t="s">
        <v>724</v>
      </c>
      <c r="G311" s="113" t="s">
        <v>396</v>
      </c>
      <c r="H311" s="113" t="s">
        <v>655</v>
      </c>
      <c r="I311">
        <v>209</v>
      </c>
    </row>
    <row r="312" spans="1:10">
      <c r="A312" s="113" t="s">
        <v>719</v>
      </c>
      <c r="B312" s="113" t="s">
        <v>385</v>
      </c>
      <c r="C312" s="113" t="s">
        <v>386</v>
      </c>
      <c r="D312" s="113" t="s">
        <v>387</v>
      </c>
      <c r="E312">
        <v>7952</v>
      </c>
      <c r="F312" s="113" t="s">
        <v>725</v>
      </c>
      <c r="G312" s="113" t="s">
        <v>388</v>
      </c>
      <c r="H312" s="113" t="s">
        <v>410</v>
      </c>
      <c r="I312">
        <v>330</v>
      </c>
    </row>
    <row r="313" spans="1:10">
      <c r="A313" s="113" t="s">
        <v>726</v>
      </c>
      <c r="B313" s="113" t="s">
        <v>608</v>
      </c>
      <c r="C313" s="113" t="s">
        <v>386</v>
      </c>
      <c r="D313" s="113" t="s">
        <v>387</v>
      </c>
      <c r="E313">
        <v>8093</v>
      </c>
      <c r="F313" s="113" t="s">
        <v>1172</v>
      </c>
      <c r="G313" s="113" t="s">
        <v>388</v>
      </c>
      <c r="H313" s="113" t="s">
        <v>394</v>
      </c>
      <c r="I313">
        <v>143</v>
      </c>
    </row>
    <row r="314" spans="1:10">
      <c r="A314" s="113" t="s">
        <v>726</v>
      </c>
      <c r="B314" s="113" t="s">
        <v>385</v>
      </c>
      <c r="C314" s="113" t="s">
        <v>386</v>
      </c>
      <c r="D314" s="113" t="s">
        <v>387</v>
      </c>
      <c r="E314">
        <v>1801</v>
      </c>
      <c r="F314" s="113" t="s">
        <v>727</v>
      </c>
      <c r="G314" s="113" t="s">
        <v>388</v>
      </c>
      <c r="H314" s="113" t="s">
        <v>422</v>
      </c>
      <c r="I314" s="113" t="s">
        <v>728</v>
      </c>
      <c r="J314" s="113" t="s">
        <v>1173</v>
      </c>
    </row>
    <row r="315" spans="1:10">
      <c r="A315" s="113" t="s">
        <v>726</v>
      </c>
      <c r="B315" s="113" t="s">
        <v>385</v>
      </c>
      <c r="C315" s="113" t="s">
        <v>386</v>
      </c>
      <c r="D315" s="113" t="s">
        <v>387</v>
      </c>
      <c r="E315">
        <v>1813</v>
      </c>
      <c r="F315" s="113" t="s">
        <v>729</v>
      </c>
      <c r="G315" s="113" t="s">
        <v>388</v>
      </c>
      <c r="H315" s="113" t="s">
        <v>422</v>
      </c>
      <c r="I315">
        <v>258</v>
      </c>
    </row>
    <row r="316" spans="1:10">
      <c r="A316" s="113" t="s">
        <v>726</v>
      </c>
      <c r="B316" s="113" t="s">
        <v>385</v>
      </c>
      <c r="C316" s="113" t="s">
        <v>386</v>
      </c>
      <c r="D316" s="113" t="s">
        <v>387</v>
      </c>
      <c r="E316">
        <v>1835</v>
      </c>
      <c r="F316" s="113" t="s">
        <v>730</v>
      </c>
      <c r="G316" s="113" t="s">
        <v>388</v>
      </c>
      <c r="H316" s="113" t="s">
        <v>422</v>
      </c>
      <c r="I316" s="113" t="s">
        <v>443</v>
      </c>
      <c r="J316" s="113" t="s">
        <v>1174</v>
      </c>
    </row>
    <row r="317" spans="1:10">
      <c r="A317" s="113" t="s">
        <v>726</v>
      </c>
      <c r="B317" s="113" t="s">
        <v>385</v>
      </c>
      <c r="C317" s="113" t="s">
        <v>386</v>
      </c>
      <c r="D317" s="113" t="s">
        <v>391</v>
      </c>
      <c r="E317">
        <v>1853</v>
      </c>
      <c r="F317" s="113" t="s">
        <v>731</v>
      </c>
      <c r="G317" s="113" t="s">
        <v>396</v>
      </c>
      <c r="H317" s="113" t="s">
        <v>422</v>
      </c>
      <c r="I317" s="113">
        <v>104</v>
      </c>
      <c r="J317" s="113"/>
    </row>
    <row r="318" spans="1:10">
      <c r="A318" s="113" t="s">
        <v>726</v>
      </c>
      <c r="B318" s="113" t="s">
        <v>385</v>
      </c>
      <c r="C318" s="113" t="s">
        <v>386</v>
      </c>
      <c r="D318" s="113" t="s">
        <v>387</v>
      </c>
      <c r="E318">
        <v>1909</v>
      </c>
      <c r="F318" s="113" t="s">
        <v>732</v>
      </c>
      <c r="G318" s="113" t="s">
        <v>388</v>
      </c>
      <c r="H318" s="113" t="s">
        <v>409</v>
      </c>
      <c r="I318">
        <v>113</v>
      </c>
    </row>
    <row r="319" spans="1:10">
      <c r="A319" s="113" t="s">
        <v>726</v>
      </c>
      <c r="B319" s="113" t="s">
        <v>385</v>
      </c>
      <c r="C319" s="113" t="s">
        <v>386</v>
      </c>
      <c r="D319" s="113" t="s">
        <v>387</v>
      </c>
      <c r="E319">
        <v>1961</v>
      </c>
      <c r="F319" s="113" t="s">
        <v>733</v>
      </c>
      <c r="G319" s="113" t="s">
        <v>388</v>
      </c>
      <c r="H319" s="113" t="s">
        <v>422</v>
      </c>
      <c r="I319" s="113">
        <v>904</v>
      </c>
      <c r="J319" s="113"/>
    </row>
    <row r="320" spans="1:10">
      <c r="A320" s="113" t="s">
        <v>726</v>
      </c>
      <c r="B320" s="113" t="s">
        <v>385</v>
      </c>
      <c r="C320" s="113" t="s">
        <v>386</v>
      </c>
      <c r="D320" s="113" t="s">
        <v>387</v>
      </c>
      <c r="E320">
        <v>1969</v>
      </c>
      <c r="F320" s="113" t="s">
        <v>734</v>
      </c>
      <c r="G320" s="113" t="s">
        <v>388</v>
      </c>
      <c r="H320" s="113" t="s">
        <v>422</v>
      </c>
      <c r="I320" s="113" t="s">
        <v>443</v>
      </c>
      <c r="J320" s="113" t="s">
        <v>1175</v>
      </c>
    </row>
    <row r="321" spans="1:10">
      <c r="A321" s="113" t="s">
        <v>726</v>
      </c>
      <c r="B321" s="113" t="s">
        <v>385</v>
      </c>
      <c r="C321" s="113" t="s">
        <v>386</v>
      </c>
      <c r="D321" s="113" t="s">
        <v>387</v>
      </c>
      <c r="E321">
        <v>2307</v>
      </c>
      <c r="F321" s="113" t="s">
        <v>1176</v>
      </c>
      <c r="G321" s="113" t="s">
        <v>388</v>
      </c>
      <c r="H321" s="113" t="s">
        <v>399</v>
      </c>
      <c r="I321">
        <v>96</v>
      </c>
    </row>
    <row r="322" spans="1:10">
      <c r="A322" s="113" t="s">
        <v>726</v>
      </c>
      <c r="B322" s="113" t="s">
        <v>385</v>
      </c>
      <c r="C322" s="113" t="s">
        <v>386</v>
      </c>
      <c r="D322" s="113" t="s">
        <v>387</v>
      </c>
      <c r="E322">
        <v>2475</v>
      </c>
      <c r="F322" s="113" t="s">
        <v>1177</v>
      </c>
      <c r="G322" s="113" t="s">
        <v>388</v>
      </c>
      <c r="H322" s="113" t="s">
        <v>393</v>
      </c>
      <c r="I322" s="113">
        <v>512</v>
      </c>
      <c r="J322" s="113"/>
    </row>
    <row r="323" spans="1:10">
      <c r="A323" s="113" t="s">
        <v>726</v>
      </c>
      <c r="B323" s="113" t="s">
        <v>385</v>
      </c>
      <c r="C323" s="113" t="s">
        <v>386</v>
      </c>
      <c r="D323" s="113" t="s">
        <v>387</v>
      </c>
      <c r="E323">
        <v>2480</v>
      </c>
      <c r="F323" s="113" t="s">
        <v>1178</v>
      </c>
      <c r="G323" s="113" t="s">
        <v>392</v>
      </c>
      <c r="H323" s="113" t="s">
        <v>393</v>
      </c>
      <c r="I323" s="113">
        <v>63</v>
      </c>
      <c r="J323" s="113"/>
    </row>
    <row r="324" spans="1:10">
      <c r="A324" s="113" t="s">
        <v>726</v>
      </c>
      <c r="B324" s="113" t="s">
        <v>385</v>
      </c>
      <c r="C324" s="113" t="s">
        <v>386</v>
      </c>
      <c r="D324" s="113" t="s">
        <v>387</v>
      </c>
      <c r="E324">
        <v>2815</v>
      </c>
      <c r="F324" s="113" t="s">
        <v>735</v>
      </c>
      <c r="G324" s="113" t="s">
        <v>388</v>
      </c>
      <c r="H324" s="113" t="s">
        <v>389</v>
      </c>
      <c r="I324" s="113" t="s">
        <v>411</v>
      </c>
      <c r="J324" s="113" t="s">
        <v>1179</v>
      </c>
    </row>
    <row r="325" spans="1:10">
      <c r="A325" s="113" t="s">
        <v>726</v>
      </c>
      <c r="B325" s="113" t="s">
        <v>385</v>
      </c>
      <c r="C325" s="113" t="s">
        <v>386</v>
      </c>
      <c r="D325" s="113" t="s">
        <v>387</v>
      </c>
      <c r="E325">
        <v>2911</v>
      </c>
      <c r="F325" s="113" t="s">
        <v>1180</v>
      </c>
      <c r="G325" s="113" t="s">
        <v>396</v>
      </c>
      <c r="H325" s="113" t="s">
        <v>389</v>
      </c>
      <c r="I325">
        <v>38</v>
      </c>
    </row>
    <row r="326" spans="1:10">
      <c r="A326" s="113" t="s">
        <v>726</v>
      </c>
      <c r="B326" s="113" t="s">
        <v>385</v>
      </c>
      <c r="C326" s="113" t="s">
        <v>386</v>
      </c>
      <c r="D326" s="113" t="s">
        <v>387</v>
      </c>
      <c r="E326">
        <v>3109</v>
      </c>
      <c r="F326" s="113" t="s">
        <v>736</v>
      </c>
      <c r="G326" s="113" t="s">
        <v>388</v>
      </c>
      <c r="H326" s="113" t="s">
        <v>454</v>
      </c>
      <c r="I326">
        <v>112</v>
      </c>
    </row>
    <row r="327" spans="1:10">
      <c r="A327" s="113" t="s">
        <v>726</v>
      </c>
      <c r="B327" s="113" t="s">
        <v>385</v>
      </c>
      <c r="C327" s="113" t="s">
        <v>395</v>
      </c>
      <c r="D327" s="113" t="s">
        <v>387</v>
      </c>
      <c r="E327">
        <v>3482</v>
      </c>
      <c r="F327" s="113" t="s">
        <v>1181</v>
      </c>
      <c r="G327" s="113" t="s">
        <v>400</v>
      </c>
      <c r="H327" s="113" t="s">
        <v>414</v>
      </c>
      <c r="I327" s="113">
        <v>204</v>
      </c>
      <c r="J327" s="113"/>
    </row>
    <row r="328" spans="1:10">
      <c r="A328" s="113" t="s">
        <v>726</v>
      </c>
      <c r="B328" s="113" t="s">
        <v>385</v>
      </c>
      <c r="C328" s="113" t="s">
        <v>390</v>
      </c>
      <c r="D328" s="113" t="s">
        <v>387</v>
      </c>
      <c r="E328">
        <v>3690</v>
      </c>
      <c r="F328" s="113" t="s">
        <v>1182</v>
      </c>
      <c r="G328" s="113" t="s">
        <v>400</v>
      </c>
      <c r="H328" s="113" t="s">
        <v>399</v>
      </c>
      <c r="I328">
        <v>80</v>
      </c>
    </row>
    <row r="329" spans="1:10">
      <c r="A329" s="113" t="s">
        <v>726</v>
      </c>
      <c r="B329" s="113" t="s">
        <v>385</v>
      </c>
      <c r="C329" s="113" t="s">
        <v>386</v>
      </c>
      <c r="D329" s="113" t="s">
        <v>387</v>
      </c>
      <c r="E329">
        <v>3766</v>
      </c>
      <c r="F329" s="113" t="s">
        <v>737</v>
      </c>
      <c r="G329" s="113" t="s">
        <v>392</v>
      </c>
      <c r="H329" s="113" t="s">
        <v>399</v>
      </c>
      <c r="I329">
        <v>25</v>
      </c>
    </row>
    <row r="330" spans="1:10">
      <c r="A330" s="113" t="s">
        <v>726</v>
      </c>
      <c r="B330" s="113" t="s">
        <v>385</v>
      </c>
      <c r="C330" s="113" t="s">
        <v>386</v>
      </c>
      <c r="D330" s="113" t="s">
        <v>387</v>
      </c>
      <c r="E330">
        <v>4540</v>
      </c>
      <c r="F330" s="113" t="s">
        <v>738</v>
      </c>
      <c r="G330" s="113" t="s">
        <v>388</v>
      </c>
      <c r="H330" s="113" t="s">
        <v>510</v>
      </c>
      <c r="I330" s="113" t="s">
        <v>411</v>
      </c>
      <c r="J330" s="113" t="s">
        <v>1183</v>
      </c>
    </row>
    <row r="331" spans="1:10">
      <c r="A331" s="113" t="s">
        <v>726</v>
      </c>
      <c r="B331" s="113" t="s">
        <v>385</v>
      </c>
      <c r="C331" s="113" t="s">
        <v>395</v>
      </c>
      <c r="D331" s="113" t="s">
        <v>391</v>
      </c>
      <c r="E331">
        <v>4588</v>
      </c>
      <c r="F331" s="113" t="s">
        <v>739</v>
      </c>
      <c r="G331" s="113" t="s">
        <v>400</v>
      </c>
      <c r="H331" s="113" t="s">
        <v>510</v>
      </c>
      <c r="I331">
        <v>274</v>
      </c>
    </row>
    <row r="332" spans="1:10">
      <c r="A332" s="113" t="s">
        <v>726</v>
      </c>
      <c r="B332" s="113" t="s">
        <v>385</v>
      </c>
      <c r="C332" s="113" t="s">
        <v>386</v>
      </c>
      <c r="D332" s="113" t="s">
        <v>387</v>
      </c>
      <c r="E332">
        <v>4777</v>
      </c>
      <c r="F332" s="113" t="s">
        <v>740</v>
      </c>
      <c r="G332" s="113" t="s">
        <v>392</v>
      </c>
      <c r="H332" s="113" t="s">
        <v>399</v>
      </c>
      <c r="I332" s="113">
        <v>52</v>
      </c>
      <c r="J332" s="113"/>
    </row>
    <row r="333" spans="1:10">
      <c r="A333" s="113" t="s">
        <v>726</v>
      </c>
      <c r="B333" s="113" t="s">
        <v>385</v>
      </c>
      <c r="C333" s="113" t="s">
        <v>386</v>
      </c>
      <c r="D333" s="113" t="s">
        <v>391</v>
      </c>
      <c r="E333">
        <v>4970</v>
      </c>
      <c r="F333" s="113" t="s">
        <v>1184</v>
      </c>
      <c r="G333" s="113" t="s">
        <v>392</v>
      </c>
      <c r="H333" s="113" t="s">
        <v>401</v>
      </c>
      <c r="I333">
        <v>287</v>
      </c>
    </row>
    <row r="334" spans="1:10">
      <c r="A334" s="113" t="s">
        <v>726</v>
      </c>
      <c r="B334" s="113" t="s">
        <v>385</v>
      </c>
      <c r="C334" s="113" t="s">
        <v>386</v>
      </c>
      <c r="D334" s="113" t="s">
        <v>387</v>
      </c>
      <c r="E334">
        <v>5602</v>
      </c>
      <c r="F334" s="113" t="s">
        <v>1185</v>
      </c>
      <c r="G334" s="113" t="s">
        <v>388</v>
      </c>
      <c r="H334" s="113" t="s">
        <v>1186</v>
      </c>
      <c r="I334" s="113">
        <v>259</v>
      </c>
      <c r="J334" s="113"/>
    </row>
    <row r="335" spans="1:10">
      <c r="A335" s="113" t="s">
        <v>726</v>
      </c>
      <c r="B335" s="113" t="s">
        <v>385</v>
      </c>
      <c r="C335" s="113" t="s">
        <v>386</v>
      </c>
      <c r="D335" s="113" t="s">
        <v>387</v>
      </c>
      <c r="E335">
        <v>5713</v>
      </c>
      <c r="F335" s="113" t="s">
        <v>741</v>
      </c>
      <c r="G335" s="113" t="s">
        <v>388</v>
      </c>
      <c r="H335" s="113" t="s">
        <v>694</v>
      </c>
      <c r="I335" s="113" t="s">
        <v>728</v>
      </c>
      <c r="J335" s="113" t="s">
        <v>1187</v>
      </c>
    </row>
    <row r="336" spans="1:10">
      <c r="A336" s="113" t="s">
        <v>726</v>
      </c>
      <c r="B336" s="113" t="s">
        <v>385</v>
      </c>
      <c r="C336" s="113" t="s">
        <v>386</v>
      </c>
      <c r="D336" s="113" t="s">
        <v>387</v>
      </c>
      <c r="E336">
        <v>6485</v>
      </c>
      <c r="F336" s="113" t="s">
        <v>742</v>
      </c>
      <c r="G336" s="113" t="s">
        <v>388</v>
      </c>
      <c r="H336" s="113" t="s">
        <v>409</v>
      </c>
      <c r="I336">
        <v>260</v>
      </c>
    </row>
    <row r="337" spans="1:10">
      <c r="A337" s="113" t="s">
        <v>726</v>
      </c>
      <c r="B337" s="113" t="s">
        <v>385</v>
      </c>
      <c r="C337" s="113" t="s">
        <v>395</v>
      </c>
      <c r="D337" s="113" t="s">
        <v>387</v>
      </c>
      <c r="E337">
        <v>6929</v>
      </c>
      <c r="F337" s="113" t="s">
        <v>743</v>
      </c>
      <c r="G337" s="113" t="s">
        <v>388</v>
      </c>
      <c r="H337" s="113" t="s">
        <v>413</v>
      </c>
      <c r="I337" s="113">
        <v>770</v>
      </c>
      <c r="J337" s="113"/>
    </row>
    <row r="338" spans="1:10">
      <c r="A338" s="113" t="s">
        <v>726</v>
      </c>
      <c r="B338" s="113" t="s">
        <v>385</v>
      </c>
      <c r="C338" s="113" t="s">
        <v>386</v>
      </c>
      <c r="D338" s="113" t="s">
        <v>387</v>
      </c>
      <c r="E338">
        <v>7480</v>
      </c>
      <c r="F338" s="113" t="s">
        <v>744</v>
      </c>
      <c r="G338" s="113" t="s">
        <v>388</v>
      </c>
      <c r="H338" s="113" t="s">
        <v>394</v>
      </c>
      <c r="I338">
        <v>214</v>
      </c>
    </row>
    <row r="339" spans="1:10">
      <c r="A339" s="113" t="s">
        <v>726</v>
      </c>
      <c r="B339" s="113" t="s">
        <v>385</v>
      </c>
      <c r="C339" s="113" t="s">
        <v>386</v>
      </c>
      <c r="D339" s="113" t="s">
        <v>387</v>
      </c>
      <c r="E339">
        <v>9880</v>
      </c>
      <c r="F339" s="113" t="s">
        <v>745</v>
      </c>
      <c r="G339" s="113" t="s">
        <v>388</v>
      </c>
      <c r="H339" s="113" t="s">
        <v>394</v>
      </c>
      <c r="I339" s="113">
        <v>167</v>
      </c>
      <c r="J339" s="113"/>
    </row>
    <row r="340" spans="1:10">
      <c r="A340" s="113" t="s">
        <v>726</v>
      </c>
      <c r="B340" s="113" t="s">
        <v>385</v>
      </c>
      <c r="C340" s="113" t="s">
        <v>386</v>
      </c>
      <c r="D340" s="113" t="s">
        <v>387</v>
      </c>
      <c r="E340">
        <v>9994</v>
      </c>
      <c r="F340" s="113" t="s">
        <v>746</v>
      </c>
      <c r="G340" s="113" t="s">
        <v>388</v>
      </c>
      <c r="H340" s="113" t="s">
        <v>398</v>
      </c>
      <c r="I340">
        <v>241</v>
      </c>
    </row>
    <row r="341" spans="1:10">
      <c r="A341" s="113" t="s">
        <v>747</v>
      </c>
      <c r="B341" s="113" t="s">
        <v>385</v>
      </c>
      <c r="C341" s="113" t="s">
        <v>386</v>
      </c>
      <c r="D341" s="113" t="s">
        <v>387</v>
      </c>
      <c r="E341">
        <v>1979</v>
      </c>
      <c r="F341" s="113" t="s">
        <v>748</v>
      </c>
      <c r="G341" s="113" t="s">
        <v>388</v>
      </c>
      <c r="H341" s="113" t="s">
        <v>422</v>
      </c>
      <c r="I341" s="113" t="s">
        <v>443</v>
      </c>
      <c r="J341" s="113" t="s">
        <v>1188</v>
      </c>
    </row>
    <row r="342" spans="1:10">
      <c r="A342" s="113" t="s">
        <v>747</v>
      </c>
      <c r="B342" s="113" t="s">
        <v>385</v>
      </c>
      <c r="C342" s="113" t="s">
        <v>386</v>
      </c>
      <c r="D342" s="113" t="s">
        <v>387</v>
      </c>
      <c r="E342">
        <v>2201</v>
      </c>
      <c r="F342" s="113" t="s">
        <v>1021</v>
      </c>
      <c r="G342" s="113" t="s">
        <v>388</v>
      </c>
      <c r="H342" s="113" t="s">
        <v>389</v>
      </c>
      <c r="I342" s="113" t="s">
        <v>628</v>
      </c>
      <c r="J342" s="113" t="s">
        <v>1189</v>
      </c>
    </row>
    <row r="343" spans="1:10">
      <c r="A343" s="113" t="s">
        <v>747</v>
      </c>
      <c r="B343" s="113" t="s">
        <v>385</v>
      </c>
      <c r="C343" s="113" t="s">
        <v>395</v>
      </c>
      <c r="D343" s="113" t="s">
        <v>387</v>
      </c>
      <c r="E343">
        <v>2384</v>
      </c>
      <c r="F343" s="113" t="s">
        <v>1022</v>
      </c>
      <c r="G343" s="113" t="s">
        <v>388</v>
      </c>
      <c r="H343" s="113" t="s">
        <v>677</v>
      </c>
      <c r="I343">
        <v>778</v>
      </c>
    </row>
    <row r="344" spans="1:10">
      <c r="A344" s="113" t="s">
        <v>747</v>
      </c>
      <c r="B344" s="113" t="s">
        <v>385</v>
      </c>
      <c r="C344" s="113" t="s">
        <v>386</v>
      </c>
      <c r="D344" s="113" t="s">
        <v>387</v>
      </c>
      <c r="E344">
        <v>2398</v>
      </c>
      <c r="F344" s="113" t="s">
        <v>1023</v>
      </c>
      <c r="G344" s="113" t="s">
        <v>388</v>
      </c>
      <c r="H344" s="113" t="s">
        <v>393</v>
      </c>
      <c r="I344" s="113">
        <v>409</v>
      </c>
      <c r="J344" s="113"/>
    </row>
    <row r="345" spans="1:10">
      <c r="A345" s="113" t="s">
        <v>747</v>
      </c>
      <c r="B345" s="113" t="s">
        <v>385</v>
      </c>
      <c r="C345" s="113" t="s">
        <v>386</v>
      </c>
      <c r="D345" s="113" t="s">
        <v>387</v>
      </c>
      <c r="E345">
        <v>6324</v>
      </c>
      <c r="F345" s="113" t="s">
        <v>1190</v>
      </c>
      <c r="G345" s="113" t="s">
        <v>392</v>
      </c>
      <c r="H345" s="113" t="s">
        <v>409</v>
      </c>
      <c r="I345" s="113" t="s">
        <v>539</v>
      </c>
      <c r="J345" s="113" t="s">
        <v>1191</v>
      </c>
    </row>
    <row r="346" spans="1:10">
      <c r="A346" s="113" t="s">
        <v>747</v>
      </c>
      <c r="B346" s="113" t="s">
        <v>385</v>
      </c>
      <c r="C346" s="113" t="s">
        <v>397</v>
      </c>
      <c r="D346" s="113" t="s">
        <v>387</v>
      </c>
      <c r="E346">
        <v>7320</v>
      </c>
      <c r="F346" s="113" t="s">
        <v>1024</v>
      </c>
      <c r="G346" s="113" t="s">
        <v>400</v>
      </c>
      <c r="H346" s="113" t="s">
        <v>460</v>
      </c>
      <c r="I346" s="113">
        <v>59</v>
      </c>
      <c r="J346" s="113"/>
    </row>
    <row r="347" spans="1:10">
      <c r="A347" s="113" t="s">
        <v>747</v>
      </c>
      <c r="B347" s="113" t="s">
        <v>385</v>
      </c>
      <c r="C347" s="113" t="s">
        <v>386</v>
      </c>
      <c r="D347" s="113" t="s">
        <v>387</v>
      </c>
      <c r="E347">
        <v>8108</v>
      </c>
      <c r="F347" s="113" t="s">
        <v>749</v>
      </c>
      <c r="G347" s="113" t="s">
        <v>750</v>
      </c>
      <c r="H347" s="113" t="s">
        <v>394</v>
      </c>
      <c r="I347" s="113">
        <v>267</v>
      </c>
      <c r="J347" s="113"/>
    </row>
    <row r="348" spans="1:10">
      <c r="A348" s="113" t="s">
        <v>751</v>
      </c>
      <c r="B348" s="113" t="s">
        <v>385</v>
      </c>
      <c r="C348" s="113" t="s">
        <v>386</v>
      </c>
      <c r="D348" s="113" t="s">
        <v>387</v>
      </c>
      <c r="E348">
        <v>1762</v>
      </c>
      <c r="F348" s="113" t="s">
        <v>752</v>
      </c>
      <c r="G348" s="113" t="s">
        <v>388</v>
      </c>
      <c r="H348" s="113" t="s">
        <v>422</v>
      </c>
      <c r="I348" s="113" t="s">
        <v>443</v>
      </c>
      <c r="J348" s="113" t="s">
        <v>1192</v>
      </c>
    </row>
    <row r="349" spans="1:10">
      <c r="A349" s="113" t="s">
        <v>751</v>
      </c>
      <c r="B349" s="113" t="s">
        <v>385</v>
      </c>
      <c r="C349" s="113" t="s">
        <v>386</v>
      </c>
      <c r="D349" s="113" t="s">
        <v>387</v>
      </c>
      <c r="E349">
        <v>1821</v>
      </c>
      <c r="F349" s="113" t="s">
        <v>753</v>
      </c>
      <c r="G349" s="113" t="s">
        <v>388</v>
      </c>
      <c r="H349" s="113" t="s">
        <v>422</v>
      </c>
      <c r="I349" s="113">
        <v>992</v>
      </c>
      <c r="J349" s="113"/>
    </row>
    <row r="350" spans="1:10">
      <c r="A350" s="113" t="s">
        <v>751</v>
      </c>
      <c r="B350" s="113" t="s">
        <v>385</v>
      </c>
      <c r="C350" s="113" t="s">
        <v>386</v>
      </c>
      <c r="D350" s="113" t="s">
        <v>387</v>
      </c>
      <c r="E350">
        <v>2196</v>
      </c>
      <c r="F350" s="113" t="s">
        <v>1026</v>
      </c>
      <c r="G350" s="113" t="s">
        <v>388</v>
      </c>
      <c r="H350" s="113" t="s">
        <v>393</v>
      </c>
      <c r="I350" s="113">
        <v>95</v>
      </c>
      <c r="J350" s="113"/>
    </row>
    <row r="351" spans="1:10">
      <c r="A351" s="113" t="s">
        <v>751</v>
      </c>
      <c r="B351" s="113" t="s">
        <v>385</v>
      </c>
      <c r="C351" s="113" t="s">
        <v>395</v>
      </c>
      <c r="D351" s="113" t="s">
        <v>387</v>
      </c>
      <c r="E351">
        <v>2436</v>
      </c>
      <c r="F351" s="113" t="s">
        <v>1027</v>
      </c>
      <c r="G351" s="113" t="s">
        <v>392</v>
      </c>
      <c r="H351" s="113" t="s">
        <v>393</v>
      </c>
      <c r="I351" s="113">
        <v>60</v>
      </c>
      <c r="J351" s="113"/>
    </row>
    <row r="352" spans="1:10">
      <c r="A352" s="113" t="s">
        <v>751</v>
      </c>
      <c r="B352" s="113" t="s">
        <v>385</v>
      </c>
      <c r="C352" s="113" t="s">
        <v>386</v>
      </c>
      <c r="D352" s="113" t="s">
        <v>387</v>
      </c>
      <c r="E352">
        <v>2705</v>
      </c>
      <c r="F352" s="113" t="s">
        <v>754</v>
      </c>
      <c r="G352" s="113" t="s">
        <v>392</v>
      </c>
      <c r="H352" s="113" t="s">
        <v>398</v>
      </c>
      <c r="I352" s="113">
        <v>175</v>
      </c>
      <c r="J352" s="113"/>
    </row>
    <row r="353" spans="1:10">
      <c r="A353" s="113" t="s">
        <v>751</v>
      </c>
      <c r="B353" s="113" t="s">
        <v>385</v>
      </c>
      <c r="C353" s="113" t="s">
        <v>395</v>
      </c>
      <c r="D353" s="113" t="s">
        <v>387</v>
      </c>
      <c r="E353">
        <v>3784</v>
      </c>
      <c r="F353" s="113" t="s">
        <v>1193</v>
      </c>
      <c r="G353" s="113" t="s">
        <v>388</v>
      </c>
      <c r="H353" s="113" t="s">
        <v>399</v>
      </c>
      <c r="I353" s="113">
        <v>224</v>
      </c>
      <c r="J353" s="113"/>
    </row>
    <row r="354" spans="1:10">
      <c r="A354" s="113" t="s">
        <v>751</v>
      </c>
      <c r="B354" s="113" t="s">
        <v>385</v>
      </c>
      <c r="C354" s="113" t="s">
        <v>386</v>
      </c>
      <c r="D354" s="113" t="s">
        <v>387</v>
      </c>
      <c r="E354">
        <v>5714</v>
      </c>
      <c r="F354" s="113" t="s">
        <v>755</v>
      </c>
      <c r="G354" s="113" t="s">
        <v>388</v>
      </c>
      <c r="H354" s="113" t="s">
        <v>694</v>
      </c>
      <c r="I354" s="113" t="s">
        <v>411</v>
      </c>
      <c r="J354" s="113" t="s">
        <v>1194</v>
      </c>
    </row>
    <row r="355" spans="1:10">
      <c r="A355" s="113" t="s">
        <v>751</v>
      </c>
      <c r="B355" s="113" t="s">
        <v>385</v>
      </c>
      <c r="C355" s="113" t="s">
        <v>395</v>
      </c>
      <c r="D355" s="113" t="s">
        <v>387</v>
      </c>
      <c r="E355">
        <v>6627</v>
      </c>
      <c r="F355" s="113" t="s">
        <v>1195</v>
      </c>
      <c r="G355" s="113" t="s">
        <v>400</v>
      </c>
      <c r="H355" s="113" t="s">
        <v>413</v>
      </c>
      <c r="I355" s="113">
        <v>72</v>
      </c>
      <c r="J355" s="113"/>
    </row>
    <row r="356" spans="1:10">
      <c r="A356" s="113" t="s">
        <v>751</v>
      </c>
      <c r="B356" s="113" t="s">
        <v>385</v>
      </c>
      <c r="C356" s="113" t="s">
        <v>386</v>
      </c>
      <c r="D356" s="113" t="s">
        <v>387</v>
      </c>
      <c r="E356">
        <v>7294</v>
      </c>
      <c r="F356" s="113" t="s">
        <v>756</v>
      </c>
      <c r="G356" s="113" t="s">
        <v>388</v>
      </c>
      <c r="H356" s="113" t="s">
        <v>439</v>
      </c>
      <c r="I356" s="113">
        <v>364</v>
      </c>
      <c r="J356" s="113"/>
    </row>
    <row r="357" spans="1:10">
      <c r="A357" s="113" t="s">
        <v>751</v>
      </c>
      <c r="B357" s="113" t="s">
        <v>385</v>
      </c>
      <c r="C357" s="113" t="s">
        <v>386</v>
      </c>
      <c r="D357" s="113" t="s">
        <v>387</v>
      </c>
      <c r="E357">
        <v>9964</v>
      </c>
      <c r="F357" s="113" t="s">
        <v>757</v>
      </c>
      <c r="G357" s="113" t="s">
        <v>392</v>
      </c>
      <c r="H357" s="113" t="s">
        <v>394</v>
      </c>
      <c r="I357" s="113">
        <v>201</v>
      </c>
      <c r="J357" s="113"/>
    </row>
    <row r="358" spans="1:10">
      <c r="A358" s="113" t="s">
        <v>758</v>
      </c>
      <c r="B358" s="113" t="s">
        <v>385</v>
      </c>
      <c r="C358" s="113" t="s">
        <v>386</v>
      </c>
      <c r="D358" s="113" t="s">
        <v>387</v>
      </c>
      <c r="E358">
        <v>1384</v>
      </c>
      <c r="F358" s="113" t="s">
        <v>759</v>
      </c>
      <c r="G358" s="113" t="s">
        <v>388</v>
      </c>
      <c r="H358" s="113" t="s">
        <v>528</v>
      </c>
      <c r="I358" s="113">
        <v>56</v>
      </c>
      <c r="J358" s="113"/>
    </row>
    <row r="359" spans="1:10">
      <c r="A359" s="113" t="s">
        <v>758</v>
      </c>
      <c r="B359" s="113" t="s">
        <v>385</v>
      </c>
      <c r="C359" s="113" t="s">
        <v>395</v>
      </c>
      <c r="D359" s="113" t="s">
        <v>387</v>
      </c>
      <c r="E359">
        <v>2150</v>
      </c>
      <c r="F359" s="113" t="s">
        <v>760</v>
      </c>
      <c r="G359" s="113" t="s">
        <v>400</v>
      </c>
      <c r="H359" s="113" t="s">
        <v>393</v>
      </c>
      <c r="I359" s="113">
        <v>88</v>
      </c>
      <c r="J359" s="113"/>
    </row>
    <row r="360" spans="1:10">
      <c r="A360" s="113" t="s">
        <v>758</v>
      </c>
      <c r="B360" s="113" t="s">
        <v>385</v>
      </c>
      <c r="C360" s="113" t="s">
        <v>395</v>
      </c>
      <c r="D360" s="113" t="s">
        <v>387</v>
      </c>
      <c r="E360">
        <v>2170</v>
      </c>
      <c r="F360" s="113" t="s">
        <v>761</v>
      </c>
      <c r="G360" s="113" t="s">
        <v>388</v>
      </c>
      <c r="H360" s="113" t="s">
        <v>393</v>
      </c>
      <c r="I360">
        <v>755</v>
      </c>
    </row>
    <row r="361" spans="1:10">
      <c r="A361" s="113" t="s">
        <v>758</v>
      </c>
      <c r="B361" s="113" t="s">
        <v>385</v>
      </c>
      <c r="C361" s="113" t="s">
        <v>390</v>
      </c>
      <c r="D361" s="113" t="s">
        <v>387</v>
      </c>
      <c r="E361">
        <v>2185</v>
      </c>
      <c r="F361" s="113" t="s">
        <v>1028</v>
      </c>
      <c r="G361" s="113" t="s">
        <v>392</v>
      </c>
      <c r="H361" s="113" t="s">
        <v>393</v>
      </c>
      <c r="I361">
        <v>166</v>
      </c>
    </row>
    <row r="362" spans="1:10">
      <c r="A362" s="113" t="s">
        <v>758</v>
      </c>
      <c r="B362" s="113" t="s">
        <v>385</v>
      </c>
      <c r="C362" s="113" t="s">
        <v>386</v>
      </c>
      <c r="D362" s="113" t="s">
        <v>387</v>
      </c>
      <c r="E362">
        <v>2323</v>
      </c>
      <c r="F362" s="113" t="s">
        <v>1029</v>
      </c>
      <c r="G362" s="113" t="s">
        <v>392</v>
      </c>
      <c r="H362" s="113" t="s">
        <v>399</v>
      </c>
      <c r="I362" s="113">
        <v>14</v>
      </c>
      <c r="J362" s="113"/>
    </row>
    <row r="363" spans="1:10">
      <c r="A363" s="113" t="s">
        <v>758</v>
      </c>
      <c r="B363" s="113" t="s">
        <v>385</v>
      </c>
      <c r="C363" s="113" t="s">
        <v>386</v>
      </c>
      <c r="D363" s="113" t="s">
        <v>387</v>
      </c>
      <c r="E363">
        <v>2654</v>
      </c>
      <c r="F363" s="113" t="s">
        <v>762</v>
      </c>
      <c r="G363" s="113" t="s">
        <v>396</v>
      </c>
      <c r="H363" s="113" t="s">
        <v>398</v>
      </c>
      <c r="I363">
        <v>84</v>
      </c>
    </row>
    <row r="364" spans="1:10">
      <c r="A364" s="113" t="s">
        <v>758</v>
      </c>
      <c r="B364" s="113" t="s">
        <v>385</v>
      </c>
      <c r="C364" s="113" t="s">
        <v>386</v>
      </c>
      <c r="D364" s="113" t="s">
        <v>387</v>
      </c>
      <c r="E364">
        <v>3182</v>
      </c>
      <c r="F364" s="113" t="s">
        <v>763</v>
      </c>
      <c r="G364" s="113" t="s">
        <v>400</v>
      </c>
      <c r="H364" s="113" t="s">
        <v>398</v>
      </c>
      <c r="I364">
        <v>447</v>
      </c>
    </row>
    <row r="365" spans="1:10">
      <c r="A365" s="113" t="s">
        <v>758</v>
      </c>
      <c r="B365" s="113" t="s">
        <v>385</v>
      </c>
      <c r="C365" s="113" t="s">
        <v>386</v>
      </c>
      <c r="D365" s="113" t="s">
        <v>391</v>
      </c>
      <c r="E365">
        <v>3477</v>
      </c>
      <c r="F365" s="113" t="s">
        <v>1196</v>
      </c>
      <c r="G365" s="113" t="s">
        <v>400</v>
      </c>
      <c r="H365" s="113" t="s">
        <v>414</v>
      </c>
      <c r="I365" s="113">
        <v>20</v>
      </c>
      <c r="J365" s="113"/>
    </row>
    <row r="366" spans="1:10">
      <c r="A366" s="113" t="s">
        <v>758</v>
      </c>
      <c r="B366" s="113" t="s">
        <v>385</v>
      </c>
      <c r="C366" s="113" t="s">
        <v>395</v>
      </c>
      <c r="D366" s="113" t="s">
        <v>387</v>
      </c>
      <c r="E366">
        <v>3649</v>
      </c>
      <c r="F366" s="113" t="s">
        <v>1197</v>
      </c>
      <c r="G366" s="113" t="s">
        <v>388</v>
      </c>
      <c r="H366" s="113" t="s">
        <v>399</v>
      </c>
      <c r="I366" s="113">
        <v>348</v>
      </c>
      <c r="J366" s="113"/>
    </row>
    <row r="367" spans="1:10">
      <c r="A367" s="113" t="s">
        <v>758</v>
      </c>
      <c r="B367" s="113" t="s">
        <v>385</v>
      </c>
      <c r="C367" s="113" t="s">
        <v>395</v>
      </c>
      <c r="D367" s="113" t="s">
        <v>387</v>
      </c>
      <c r="E367">
        <v>3664</v>
      </c>
      <c r="F367" s="113" t="s">
        <v>1198</v>
      </c>
      <c r="G367" s="113" t="s">
        <v>400</v>
      </c>
      <c r="H367" s="113" t="s">
        <v>399</v>
      </c>
      <c r="I367" s="113">
        <v>60</v>
      </c>
      <c r="J367" s="113"/>
    </row>
    <row r="368" spans="1:10">
      <c r="A368" s="113" t="s">
        <v>758</v>
      </c>
      <c r="B368" s="113" t="s">
        <v>385</v>
      </c>
      <c r="C368" s="113" t="s">
        <v>386</v>
      </c>
      <c r="D368" s="113" t="s">
        <v>387</v>
      </c>
      <c r="E368">
        <v>3934</v>
      </c>
      <c r="F368" s="113" t="s">
        <v>764</v>
      </c>
      <c r="G368" s="113" t="s">
        <v>388</v>
      </c>
      <c r="H368" s="113" t="s">
        <v>399</v>
      </c>
      <c r="I368">
        <v>88</v>
      </c>
    </row>
    <row r="369" spans="1:10">
      <c r="A369" s="113" t="s">
        <v>758</v>
      </c>
      <c r="B369" s="113" t="s">
        <v>385</v>
      </c>
      <c r="C369" s="113" t="s">
        <v>397</v>
      </c>
      <c r="D369" s="113" t="s">
        <v>387</v>
      </c>
      <c r="E369">
        <v>3960</v>
      </c>
      <c r="F369" s="113" t="s">
        <v>765</v>
      </c>
      <c r="G369" s="113" t="s">
        <v>400</v>
      </c>
      <c r="H369" s="113" t="s">
        <v>399</v>
      </c>
      <c r="I369" s="113">
        <v>27</v>
      </c>
      <c r="J369" s="113"/>
    </row>
    <row r="370" spans="1:10">
      <c r="A370" s="113" t="s">
        <v>758</v>
      </c>
      <c r="B370" s="113" t="s">
        <v>385</v>
      </c>
      <c r="C370" s="113" t="s">
        <v>395</v>
      </c>
      <c r="D370" s="113" t="s">
        <v>387</v>
      </c>
      <c r="E370">
        <v>4755</v>
      </c>
      <c r="F370" s="113" t="s">
        <v>766</v>
      </c>
      <c r="G370" s="113" t="s">
        <v>388</v>
      </c>
      <c r="H370" s="113" t="s">
        <v>393</v>
      </c>
      <c r="I370" s="113" t="s">
        <v>767</v>
      </c>
      <c r="J370" s="113" t="s">
        <v>1199</v>
      </c>
    </row>
    <row r="371" spans="1:10">
      <c r="A371" s="113" t="s">
        <v>758</v>
      </c>
      <c r="B371" s="113" t="s">
        <v>385</v>
      </c>
      <c r="C371" s="113" t="s">
        <v>386</v>
      </c>
      <c r="D371" s="113" t="s">
        <v>387</v>
      </c>
      <c r="E371">
        <v>5304</v>
      </c>
      <c r="F371" s="113" t="s">
        <v>768</v>
      </c>
      <c r="G371" s="113" t="s">
        <v>396</v>
      </c>
      <c r="H371" s="113" t="s">
        <v>496</v>
      </c>
      <c r="I371" s="113">
        <v>373</v>
      </c>
      <c r="J371" s="113"/>
    </row>
    <row r="372" spans="1:10">
      <c r="A372" s="113" t="s">
        <v>758</v>
      </c>
      <c r="B372" s="113" t="s">
        <v>385</v>
      </c>
      <c r="C372" s="113" t="s">
        <v>386</v>
      </c>
      <c r="D372" s="113" t="s">
        <v>387</v>
      </c>
      <c r="E372">
        <v>6033</v>
      </c>
      <c r="F372" s="113" t="s">
        <v>769</v>
      </c>
      <c r="G372" s="113" t="s">
        <v>400</v>
      </c>
      <c r="H372" s="113" t="s">
        <v>393</v>
      </c>
      <c r="I372" s="113">
        <v>112</v>
      </c>
      <c r="J372" s="113"/>
    </row>
    <row r="373" spans="1:10">
      <c r="A373" s="113" t="s">
        <v>758</v>
      </c>
      <c r="B373" s="113" t="s">
        <v>385</v>
      </c>
      <c r="C373" s="113" t="s">
        <v>386</v>
      </c>
      <c r="D373" s="113" t="s">
        <v>387</v>
      </c>
      <c r="E373">
        <v>6125</v>
      </c>
      <c r="F373" s="113" t="s">
        <v>1030</v>
      </c>
      <c r="G373" s="113" t="s">
        <v>396</v>
      </c>
      <c r="H373" s="113" t="s">
        <v>409</v>
      </c>
      <c r="I373">
        <v>148</v>
      </c>
    </row>
    <row r="374" spans="1:10">
      <c r="A374" s="113" t="s">
        <v>758</v>
      </c>
      <c r="B374" s="113" t="s">
        <v>385</v>
      </c>
      <c r="C374" s="113" t="s">
        <v>386</v>
      </c>
      <c r="D374" s="113" t="s">
        <v>387</v>
      </c>
      <c r="E374">
        <v>6303</v>
      </c>
      <c r="F374" s="113" t="s">
        <v>1200</v>
      </c>
      <c r="G374" s="113" t="s">
        <v>396</v>
      </c>
      <c r="H374" s="113" t="s">
        <v>409</v>
      </c>
      <c r="I374" s="113">
        <v>74</v>
      </c>
      <c r="J374" s="113"/>
    </row>
    <row r="375" spans="1:10">
      <c r="A375" s="113" t="s">
        <v>758</v>
      </c>
      <c r="B375" s="113" t="s">
        <v>385</v>
      </c>
      <c r="C375" s="113" t="s">
        <v>386</v>
      </c>
      <c r="D375" s="113" t="s">
        <v>387</v>
      </c>
      <c r="E375">
        <v>7070</v>
      </c>
      <c r="F375" s="113" t="s">
        <v>770</v>
      </c>
      <c r="G375" s="113" t="s">
        <v>392</v>
      </c>
      <c r="H375" s="113" t="s">
        <v>393</v>
      </c>
      <c r="I375">
        <v>42</v>
      </c>
    </row>
    <row r="376" spans="1:10">
      <c r="A376" s="113" t="s">
        <v>758</v>
      </c>
      <c r="B376" s="113" t="s">
        <v>385</v>
      </c>
      <c r="C376" s="113" t="s">
        <v>386</v>
      </c>
      <c r="D376" s="113" t="s">
        <v>387</v>
      </c>
      <c r="E376">
        <v>7780</v>
      </c>
      <c r="F376" s="113" t="s">
        <v>771</v>
      </c>
      <c r="G376" s="113" t="s">
        <v>388</v>
      </c>
      <c r="H376" s="113" t="s">
        <v>655</v>
      </c>
      <c r="I376" s="113" t="s">
        <v>443</v>
      </c>
      <c r="J376" s="113" t="s">
        <v>1201</v>
      </c>
    </row>
    <row r="377" spans="1:10">
      <c r="A377" s="113" t="s">
        <v>758</v>
      </c>
      <c r="B377" s="113" t="s">
        <v>385</v>
      </c>
      <c r="C377" s="113" t="s">
        <v>386</v>
      </c>
      <c r="D377" s="113" t="s">
        <v>387</v>
      </c>
      <c r="E377">
        <v>9707</v>
      </c>
      <c r="F377" s="113" t="s">
        <v>772</v>
      </c>
      <c r="G377" s="113" t="s">
        <v>392</v>
      </c>
      <c r="H377" s="113" t="s">
        <v>393</v>
      </c>
      <c r="I377" s="113">
        <v>131</v>
      </c>
      <c r="J377" s="113"/>
    </row>
    <row r="378" spans="1:10">
      <c r="A378" s="113" t="s">
        <v>773</v>
      </c>
      <c r="B378" s="113" t="s">
        <v>385</v>
      </c>
      <c r="C378" s="113" t="s">
        <v>386</v>
      </c>
      <c r="D378" s="113" t="s">
        <v>387</v>
      </c>
      <c r="E378">
        <v>2181</v>
      </c>
      <c r="F378" s="113" t="s">
        <v>1031</v>
      </c>
      <c r="G378" s="113" t="s">
        <v>388</v>
      </c>
      <c r="H378" s="113" t="s">
        <v>393</v>
      </c>
      <c r="I378" s="113" t="s">
        <v>539</v>
      </c>
      <c r="J378" s="113" t="s">
        <v>1202</v>
      </c>
    </row>
    <row r="379" spans="1:10">
      <c r="A379" s="113" t="s">
        <v>773</v>
      </c>
      <c r="B379" s="113" t="s">
        <v>385</v>
      </c>
      <c r="C379" s="113" t="s">
        <v>386</v>
      </c>
      <c r="D379" s="113" t="s">
        <v>391</v>
      </c>
      <c r="E379">
        <v>2334</v>
      </c>
      <c r="F379" s="113" t="s">
        <v>1032</v>
      </c>
      <c r="G379" s="113" t="s">
        <v>400</v>
      </c>
      <c r="H379" s="113" t="s">
        <v>393</v>
      </c>
      <c r="I379" s="113">
        <v>53</v>
      </c>
      <c r="J379" s="113"/>
    </row>
    <row r="380" spans="1:10">
      <c r="A380" s="113" t="s">
        <v>773</v>
      </c>
      <c r="B380" s="113" t="s">
        <v>385</v>
      </c>
      <c r="C380" s="113" t="s">
        <v>395</v>
      </c>
      <c r="D380" s="113" t="s">
        <v>387</v>
      </c>
      <c r="E380">
        <v>2492</v>
      </c>
      <c r="F380" s="113" t="s">
        <v>1203</v>
      </c>
      <c r="G380" s="113" t="s">
        <v>388</v>
      </c>
      <c r="H380" s="113" t="s">
        <v>393</v>
      </c>
      <c r="I380" s="113" t="s">
        <v>411</v>
      </c>
      <c r="J380" s="113" t="s">
        <v>1204</v>
      </c>
    </row>
    <row r="381" spans="1:10">
      <c r="A381" s="113" t="s">
        <v>773</v>
      </c>
      <c r="B381" s="113" t="s">
        <v>385</v>
      </c>
      <c r="C381" s="113" t="s">
        <v>397</v>
      </c>
      <c r="D381" s="113" t="s">
        <v>387</v>
      </c>
      <c r="E381">
        <v>3135</v>
      </c>
      <c r="F381" s="113" t="s">
        <v>774</v>
      </c>
      <c r="G381" s="113" t="s">
        <v>400</v>
      </c>
      <c r="H381" s="113" t="s">
        <v>398</v>
      </c>
      <c r="I381" s="113">
        <v>171</v>
      </c>
      <c r="J381" s="113"/>
    </row>
    <row r="382" spans="1:10">
      <c r="A382" s="113" t="s">
        <v>773</v>
      </c>
      <c r="B382" s="113" t="s">
        <v>385</v>
      </c>
      <c r="C382" s="113" t="s">
        <v>386</v>
      </c>
      <c r="D382" s="113" t="s">
        <v>387</v>
      </c>
      <c r="E382">
        <v>3184</v>
      </c>
      <c r="F382" s="113" t="s">
        <v>1205</v>
      </c>
      <c r="G382" s="113" t="s">
        <v>396</v>
      </c>
      <c r="H382" s="113" t="s">
        <v>398</v>
      </c>
      <c r="I382" s="113">
        <v>34</v>
      </c>
      <c r="J382" s="113"/>
    </row>
    <row r="383" spans="1:10">
      <c r="A383" s="113" t="s">
        <v>773</v>
      </c>
      <c r="B383" s="113" t="s">
        <v>385</v>
      </c>
      <c r="C383" s="113" t="s">
        <v>386</v>
      </c>
      <c r="D383" s="113" t="s">
        <v>391</v>
      </c>
      <c r="E383">
        <v>3489</v>
      </c>
      <c r="F383" s="113" t="s">
        <v>1206</v>
      </c>
      <c r="G383" s="113" t="s">
        <v>400</v>
      </c>
      <c r="H383" s="113" t="s">
        <v>414</v>
      </c>
      <c r="I383" s="113">
        <v>64</v>
      </c>
      <c r="J383" s="113"/>
    </row>
    <row r="384" spans="1:10">
      <c r="A384" s="113" t="s">
        <v>773</v>
      </c>
      <c r="B384" s="113" t="s">
        <v>385</v>
      </c>
      <c r="C384" s="113" t="s">
        <v>386</v>
      </c>
      <c r="D384" s="113" t="s">
        <v>387</v>
      </c>
      <c r="E384">
        <v>4620</v>
      </c>
      <c r="F384" s="113" t="s">
        <v>775</v>
      </c>
      <c r="G384" s="113" t="s">
        <v>388</v>
      </c>
      <c r="H384" s="113" t="s">
        <v>401</v>
      </c>
      <c r="I384" s="113">
        <v>186</v>
      </c>
      <c r="J384" s="113"/>
    </row>
    <row r="385" spans="1:10">
      <c r="A385" s="113" t="s">
        <v>773</v>
      </c>
      <c r="B385" s="113" t="s">
        <v>385</v>
      </c>
      <c r="C385" s="113" t="s">
        <v>395</v>
      </c>
      <c r="D385" s="113" t="s">
        <v>387</v>
      </c>
      <c r="E385">
        <v>6141</v>
      </c>
      <c r="F385" s="113" t="s">
        <v>776</v>
      </c>
      <c r="G385" s="113" t="s">
        <v>388</v>
      </c>
      <c r="H385" s="113" t="s">
        <v>409</v>
      </c>
      <c r="I385" s="113" t="s">
        <v>411</v>
      </c>
      <c r="J385" s="113" t="s">
        <v>1207</v>
      </c>
    </row>
    <row r="386" spans="1:10">
      <c r="A386" s="113" t="s">
        <v>773</v>
      </c>
      <c r="B386" s="113" t="s">
        <v>385</v>
      </c>
      <c r="C386" s="113" t="s">
        <v>386</v>
      </c>
      <c r="D386" s="113" t="s">
        <v>387</v>
      </c>
      <c r="E386">
        <v>6247</v>
      </c>
      <c r="F386" s="113" t="s">
        <v>777</v>
      </c>
      <c r="G386" s="113" t="s">
        <v>388</v>
      </c>
      <c r="H386" s="113" t="s">
        <v>409</v>
      </c>
      <c r="I386">
        <v>326</v>
      </c>
    </row>
    <row r="387" spans="1:10">
      <c r="A387" s="113" t="s">
        <v>773</v>
      </c>
      <c r="B387" s="113" t="s">
        <v>385</v>
      </c>
      <c r="C387" s="113" t="s">
        <v>386</v>
      </c>
      <c r="D387" s="113" t="s">
        <v>387</v>
      </c>
      <c r="E387">
        <v>7199</v>
      </c>
      <c r="F387" s="113" t="s">
        <v>778</v>
      </c>
      <c r="G387" s="113" t="s">
        <v>388</v>
      </c>
      <c r="H387" s="113" t="s">
        <v>460</v>
      </c>
      <c r="I387">
        <v>308</v>
      </c>
    </row>
    <row r="388" spans="1:10">
      <c r="A388" s="113" t="s">
        <v>779</v>
      </c>
      <c r="B388" s="113" t="s">
        <v>385</v>
      </c>
      <c r="C388" s="113" t="s">
        <v>395</v>
      </c>
      <c r="D388" s="113" t="s">
        <v>391</v>
      </c>
      <c r="E388">
        <v>8985</v>
      </c>
      <c r="F388" s="113" t="s">
        <v>780</v>
      </c>
      <c r="G388" s="113" t="s">
        <v>475</v>
      </c>
      <c r="H388" s="113" t="s">
        <v>476</v>
      </c>
      <c r="I388" s="113" t="s">
        <v>628</v>
      </c>
      <c r="J388" s="113" t="s">
        <v>1208</v>
      </c>
    </row>
    <row r="389" spans="1:10">
      <c r="A389" s="113" t="s">
        <v>1209</v>
      </c>
      <c r="B389" s="113" t="s">
        <v>385</v>
      </c>
      <c r="C389" s="113" t="s">
        <v>386</v>
      </c>
      <c r="D389" s="113" t="s">
        <v>387</v>
      </c>
      <c r="E389">
        <v>2593</v>
      </c>
      <c r="F389" s="113" t="s">
        <v>404</v>
      </c>
      <c r="G389" s="113" t="s">
        <v>388</v>
      </c>
      <c r="H389" s="113" t="s">
        <v>389</v>
      </c>
      <c r="I389" s="113" t="s">
        <v>539</v>
      </c>
      <c r="J389" s="113" t="s">
        <v>1210</v>
      </c>
    </row>
    <row r="390" spans="1:10">
      <c r="A390" s="113" t="s">
        <v>1209</v>
      </c>
      <c r="B390" s="113" t="s">
        <v>385</v>
      </c>
      <c r="C390" s="113" t="s">
        <v>397</v>
      </c>
      <c r="D390" s="113" t="s">
        <v>387</v>
      </c>
      <c r="E390">
        <v>6267</v>
      </c>
      <c r="F390" s="113" t="s">
        <v>408</v>
      </c>
      <c r="G390" s="113" t="s">
        <v>392</v>
      </c>
      <c r="H390" s="113" t="s">
        <v>409</v>
      </c>
      <c r="I390" s="113">
        <v>36</v>
      </c>
      <c r="J390" s="113"/>
    </row>
    <row r="391" spans="1:10">
      <c r="A391" s="113" t="s">
        <v>1211</v>
      </c>
      <c r="B391" s="113" t="s">
        <v>385</v>
      </c>
      <c r="C391" s="113" t="s">
        <v>386</v>
      </c>
      <c r="D391" s="113" t="s">
        <v>387</v>
      </c>
      <c r="E391">
        <v>4750</v>
      </c>
      <c r="F391" s="113" t="s">
        <v>402</v>
      </c>
      <c r="G391" s="113" t="s">
        <v>396</v>
      </c>
      <c r="H391" s="113" t="s">
        <v>393</v>
      </c>
      <c r="I391">
        <v>52</v>
      </c>
    </row>
    <row r="392" spans="1:10">
      <c r="A392" s="113" t="s">
        <v>781</v>
      </c>
      <c r="B392" s="113" t="s">
        <v>385</v>
      </c>
      <c r="C392" s="113" t="s">
        <v>386</v>
      </c>
      <c r="D392" s="113" t="s">
        <v>391</v>
      </c>
      <c r="E392">
        <v>1723</v>
      </c>
      <c r="F392" s="113" t="s">
        <v>782</v>
      </c>
      <c r="G392" s="113" t="s">
        <v>392</v>
      </c>
      <c r="H392" s="113" t="s">
        <v>422</v>
      </c>
      <c r="I392">
        <v>250</v>
      </c>
    </row>
    <row r="393" spans="1:10">
      <c r="A393" s="113" t="s">
        <v>781</v>
      </c>
      <c r="B393" s="113" t="s">
        <v>385</v>
      </c>
      <c r="C393" s="113" t="s">
        <v>386</v>
      </c>
      <c r="D393" s="113" t="s">
        <v>387</v>
      </c>
      <c r="E393">
        <v>1941</v>
      </c>
      <c r="F393" s="113" t="s">
        <v>783</v>
      </c>
      <c r="G393" s="113" t="s">
        <v>388</v>
      </c>
      <c r="H393" s="113" t="s">
        <v>422</v>
      </c>
      <c r="I393" s="113" t="s">
        <v>443</v>
      </c>
      <c r="J393" s="113" t="s">
        <v>1212</v>
      </c>
    </row>
    <row r="394" spans="1:10">
      <c r="A394" s="113" t="s">
        <v>781</v>
      </c>
      <c r="B394" s="113" t="s">
        <v>385</v>
      </c>
      <c r="C394" s="113" t="s">
        <v>386</v>
      </c>
      <c r="D394" s="113" t="s">
        <v>387</v>
      </c>
      <c r="E394">
        <v>1946</v>
      </c>
      <c r="F394" s="113" t="s">
        <v>784</v>
      </c>
      <c r="G394" s="113" t="s">
        <v>388</v>
      </c>
      <c r="H394" s="113" t="s">
        <v>422</v>
      </c>
      <c r="I394" s="113">
        <v>703</v>
      </c>
      <c r="J394" s="113"/>
    </row>
    <row r="395" spans="1:10">
      <c r="A395" s="113" t="s">
        <v>781</v>
      </c>
      <c r="B395" s="113" t="s">
        <v>385</v>
      </c>
      <c r="C395" s="113" t="s">
        <v>386</v>
      </c>
      <c r="D395" s="113" t="s">
        <v>387</v>
      </c>
      <c r="E395">
        <v>1959</v>
      </c>
      <c r="F395" s="113" t="s">
        <v>785</v>
      </c>
      <c r="G395" s="113" t="s">
        <v>388</v>
      </c>
      <c r="H395" s="113" t="s">
        <v>422</v>
      </c>
      <c r="I395" s="113" t="s">
        <v>411</v>
      </c>
      <c r="J395" s="113" t="s">
        <v>1006</v>
      </c>
    </row>
    <row r="396" spans="1:10">
      <c r="A396" s="113" t="s">
        <v>781</v>
      </c>
      <c r="B396" s="113" t="s">
        <v>385</v>
      </c>
      <c r="C396" s="113" t="s">
        <v>386</v>
      </c>
      <c r="D396" s="113" t="s">
        <v>387</v>
      </c>
      <c r="E396">
        <v>2148</v>
      </c>
      <c r="F396" s="113" t="s">
        <v>1033</v>
      </c>
      <c r="G396" s="113" t="s">
        <v>388</v>
      </c>
      <c r="H396" s="113" t="s">
        <v>393</v>
      </c>
      <c r="I396">
        <v>157</v>
      </c>
    </row>
    <row r="397" spans="1:10">
      <c r="A397" s="113" t="s">
        <v>781</v>
      </c>
      <c r="B397" s="113" t="s">
        <v>385</v>
      </c>
      <c r="C397" s="113" t="s">
        <v>386</v>
      </c>
      <c r="D397" s="113" t="s">
        <v>387</v>
      </c>
      <c r="E397">
        <v>2326</v>
      </c>
      <c r="F397" s="113" t="s">
        <v>1034</v>
      </c>
      <c r="G397" s="113" t="s">
        <v>388</v>
      </c>
      <c r="H397" s="113" t="s">
        <v>399</v>
      </c>
      <c r="I397">
        <v>832</v>
      </c>
    </row>
    <row r="398" spans="1:10">
      <c r="A398" s="113" t="s">
        <v>781</v>
      </c>
      <c r="B398" s="113" t="s">
        <v>385</v>
      </c>
      <c r="C398" s="113" t="s">
        <v>386</v>
      </c>
      <c r="D398" s="113" t="s">
        <v>391</v>
      </c>
      <c r="E398">
        <v>2332</v>
      </c>
      <c r="F398" s="113" t="s">
        <v>786</v>
      </c>
      <c r="G398" s="113" t="s">
        <v>392</v>
      </c>
      <c r="H398" s="113" t="s">
        <v>399</v>
      </c>
      <c r="I398" s="113">
        <v>62</v>
      </c>
      <c r="J398" s="113"/>
    </row>
    <row r="399" spans="1:10">
      <c r="A399" s="113" t="s">
        <v>781</v>
      </c>
      <c r="B399" s="113" t="s">
        <v>385</v>
      </c>
      <c r="C399" s="113" t="s">
        <v>386</v>
      </c>
      <c r="D399" s="113" t="s">
        <v>387</v>
      </c>
      <c r="E399">
        <v>3116</v>
      </c>
      <c r="F399" s="113" t="s">
        <v>1213</v>
      </c>
      <c r="G399" s="113" t="s">
        <v>388</v>
      </c>
      <c r="H399" s="113" t="s">
        <v>439</v>
      </c>
      <c r="I399" s="113" t="s">
        <v>628</v>
      </c>
      <c r="J399" s="113" t="s">
        <v>1214</v>
      </c>
    </row>
    <row r="400" spans="1:10">
      <c r="A400" s="113" t="s">
        <v>781</v>
      </c>
      <c r="B400" s="113" t="s">
        <v>385</v>
      </c>
      <c r="C400" s="113" t="s">
        <v>386</v>
      </c>
      <c r="D400" s="113" t="s">
        <v>387</v>
      </c>
      <c r="E400">
        <v>3132</v>
      </c>
      <c r="F400" s="113" t="s">
        <v>1215</v>
      </c>
      <c r="G400" s="113" t="s">
        <v>388</v>
      </c>
      <c r="H400" s="113" t="s">
        <v>394</v>
      </c>
      <c r="I400" s="113" t="s">
        <v>443</v>
      </c>
      <c r="J400" s="113" t="s">
        <v>1216</v>
      </c>
    </row>
    <row r="401" spans="1:10">
      <c r="A401" s="113" t="s">
        <v>781</v>
      </c>
      <c r="B401" s="113" t="s">
        <v>385</v>
      </c>
      <c r="C401" s="113" t="s">
        <v>386</v>
      </c>
      <c r="D401" s="113" t="s">
        <v>391</v>
      </c>
      <c r="E401">
        <v>3177</v>
      </c>
      <c r="F401" s="113" t="s">
        <v>787</v>
      </c>
      <c r="G401" s="113" t="s">
        <v>392</v>
      </c>
      <c r="H401" s="113" t="s">
        <v>398</v>
      </c>
      <c r="I401" s="113">
        <v>22</v>
      </c>
      <c r="J401" s="113"/>
    </row>
    <row r="402" spans="1:10">
      <c r="A402" s="113" t="s">
        <v>781</v>
      </c>
      <c r="B402" s="113" t="s">
        <v>385</v>
      </c>
      <c r="C402" s="113" t="s">
        <v>386</v>
      </c>
      <c r="D402" s="113" t="s">
        <v>387</v>
      </c>
      <c r="E402">
        <v>3231</v>
      </c>
      <c r="F402" s="113" t="s">
        <v>788</v>
      </c>
      <c r="G402" s="113" t="s">
        <v>388</v>
      </c>
      <c r="H402" s="113" t="s">
        <v>414</v>
      </c>
      <c r="I402" s="113" t="s">
        <v>405</v>
      </c>
      <c r="J402" s="113" t="s">
        <v>1217</v>
      </c>
    </row>
    <row r="403" spans="1:10">
      <c r="A403" s="113" t="s">
        <v>781</v>
      </c>
      <c r="B403" s="113" t="s">
        <v>385</v>
      </c>
      <c r="C403" s="113" t="s">
        <v>386</v>
      </c>
      <c r="D403" s="113" t="s">
        <v>391</v>
      </c>
      <c r="E403">
        <v>3564</v>
      </c>
      <c r="F403" s="113" t="s">
        <v>1218</v>
      </c>
      <c r="G403" s="113" t="s">
        <v>388</v>
      </c>
      <c r="H403" s="113" t="s">
        <v>398</v>
      </c>
      <c r="I403">
        <v>867</v>
      </c>
    </row>
    <row r="404" spans="1:10">
      <c r="A404" s="113" t="s">
        <v>781</v>
      </c>
      <c r="B404" s="113" t="s">
        <v>385</v>
      </c>
      <c r="C404" s="113" t="s">
        <v>386</v>
      </c>
      <c r="D404" s="113" t="s">
        <v>391</v>
      </c>
      <c r="E404">
        <v>3658</v>
      </c>
      <c r="F404" s="113" t="s">
        <v>1219</v>
      </c>
      <c r="G404" s="113" t="s">
        <v>388</v>
      </c>
      <c r="H404" s="113" t="s">
        <v>399</v>
      </c>
      <c r="I404">
        <v>112</v>
      </c>
    </row>
    <row r="405" spans="1:10">
      <c r="A405" s="113" t="s">
        <v>781</v>
      </c>
      <c r="B405" s="113" t="s">
        <v>385</v>
      </c>
      <c r="C405" s="113" t="s">
        <v>386</v>
      </c>
      <c r="D405" s="113" t="s">
        <v>387</v>
      </c>
      <c r="E405">
        <v>3778</v>
      </c>
      <c r="F405" s="113" t="s">
        <v>1220</v>
      </c>
      <c r="G405" s="113" t="s">
        <v>388</v>
      </c>
      <c r="H405" s="113" t="s">
        <v>399</v>
      </c>
      <c r="I405">
        <v>251</v>
      </c>
    </row>
    <row r="406" spans="1:10">
      <c r="A406" s="113" t="s">
        <v>781</v>
      </c>
      <c r="B406" s="113" t="s">
        <v>385</v>
      </c>
      <c r="C406" s="113" t="s">
        <v>386</v>
      </c>
      <c r="D406" s="113" t="s">
        <v>391</v>
      </c>
      <c r="E406">
        <v>4333</v>
      </c>
      <c r="F406" s="113" t="s">
        <v>789</v>
      </c>
      <c r="G406" s="113" t="s">
        <v>388</v>
      </c>
      <c r="H406" s="113" t="s">
        <v>399</v>
      </c>
      <c r="I406">
        <v>133</v>
      </c>
    </row>
    <row r="407" spans="1:10">
      <c r="A407" s="113" t="s">
        <v>781</v>
      </c>
      <c r="B407" s="113" t="s">
        <v>385</v>
      </c>
      <c r="C407" s="113" t="s">
        <v>390</v>
      </c>
      <c r="D407" s="113" t="s">
        <v>391</v>
      </c>
      <c r="E407">
        <v>4393</v>
      </c>
      <c r="F407" s="113" t="s">
        <v>790</v>
      </c>
      <c r="G407" s="113" t="s">
        <v>400</v>
      </c>
      <c r="H407" s="113" t="s">
        <v>399</v>
      </c>
      <c r="I407" s="113">
        <v>115</v>
      </c>
      <c r="J407" s="113"/>
    </row>
    <row r="408" spans="1:10">
      <c r="A408" s="113" t="s">
        <v>781</v>
      </c>
      <c r="B408" s="113" t="s">
        <v>385</v>
      </c>
      <c r="C408" s="113" t="s">
        <v>386</v>
      </c>
      <c r="D408" s="113" t="s">
        <v>387</v>
      </c>
      <c r="E408">
        <v>4557</v>
      </c>
      <c r="F408" s="113" t="s">
        <v>791</v>
      </c>
      <c r="G408" s="113" t="s">
        <v>392</v>
      </c>
      <c r="H408" s="113" t="s">
        <v>510</v>
      </c>
      <c r="I408">
        <v>234</v>
      </c>
    </row>
    <row r="409" spans="1:10">
      <c r="A409" s="113" t="s">
        <v>781</v>
      </c>
      <c r="B409" s="113" t="s">
        <v>385</v>
      </c>
      <c r="C409" s="113" t="s">
        <v>386</v>
      </c>
      <c r="D409" s="113" t="s">
        <v>387</v>
      </c>
      <c r="E409">
        <v>4684</v>
      </c>
      <c r="F409" s="113" t="s">
        <v>792</v>
      </c>
      <c r="G409" s="113" t="s">
        <v>388</v>
      </c>
      <c r="H409" s="113" t="s">
        <v>399</v>
      </c>
      <c r="I409" s="113" t="s">
        <v>793</v>
      </c>
      <c r="J409" s="113" t="s">
        <v>1221</v>
      </c>
    </row>
    <row r="410" spans="1:10">
      <c r="A410" s="113" t="s">
        <v>781</v>
      </c>
      <c r="B410" s="113" t="s">
        <v>385</v>
      </c>
      <c r="C410" s="113" t="s">
        <v>386</v>
      </c>
      <c r="D410" s="113" t="s">
        <v>387</v>
      </c>
      <c r="E410">
        <v>4689</v>
      </c>
      <c r="F410" s="113" t="s">
        <v>794</v>
      </c>
      <c r="G410" s="113" t="s">
        <v>388</v>
      </c>
      <c r="H410" s="113" t="s">
        <v>399</v>
      </c>
      <c r="I410" s="113" t="s">
        <v>795</v>
      </c>
      <c r="J410" s="113" t="s">
        <v>1222</v>
      </c>
    </row>
    <row r="411" spans="1:10">
      <c r="A411" s="113" t="s">
        <v>781</v>
      </c>
      <c r="B411" s="113" t="s">
        <v>385</v>
      </c>
      <c r="C411" s="113" t="s">
        <v>386</v>
      </c>
      <c r="D411" s="113" t="s">
        <v>391</v>
      </c>
      <c r="E411">
        <v>6022</v>
      </c>
      <c r="F411" s="113" t="s">
        <v>796</v>
      </c>
      <c r="G411" s="113" t="s">
        <v>396</v>
      </c>
      <c r="H411" s="113" t="s">
        <v>409</v>
      </c>
      <c r="I411">
        <v>28</v>
      </c>
    </row>
    <row r="412" spans="1:10">
      <c r="A412" s="113" t="s">
        <v>781</v>
      </c>
      <c r="B412" s="113" t="s">
        <v>385</v>
      </c>
      <c r="C412" s="113" t="s">
        <v>386</v>
      </c>
      <c r="D412" s="113" t="s">
        <v>387</v>
      </c>
      <c r="E412">
        <v>6201</v>
      </c>
      <c r="F412" s="113" t="s">
        <v>797</v>
      </c>
      <c r="G412" s="113" t="s">
        <v>388</v>
      </c>
      <c r="H412" s="113" t="s">
        <v>439</v>
      </c>
      <c r="I412" s="113" t="s">
        <v>1223</v>
      </c>
      <c r="J412" s="113" t="s">
        <v>1224</v>
      </c>
    </row>
    <row r="413" spans="1:10">
      <c r="A413" s="113" t="s">
        <v>781</v>
      </c>
      <c r="B413" s="113" t="s">
        <v>385</v>
      </c>
      <c r="C413" s="113" t="s">
        <v>386</v>
      </c>
      <c r="D413" s="113" t="s">
        <v>387</v>
      </c>
      <c r="E413">
        <v>6301</v>
      </c>
      <c r="F413" s="113" t="s">
        <v>799</v>
      </c>
      <c r="G413" s="113" t="s">
        <v>388</v>
      </c>
      <c r="H413" s="113" t="s">
        <v>409</v>
      </c>
      <c r="I413" s="113" t="s">
        <v>1225</v>
      </c>
      <c r="J413" s="113" t="s">
        <v>1226</v>
      </c>
    </row>
    <row r="414" spans="1:10">
      <c r="A414" s="113" t="s">
        <v>781</v>
      </c>
      <c r="B414" s="113" t="s">
        <v>385</v>
      </c>
      <c r="C414" s="113" t="s">
        <v>386</v>
      </c>
      <c r="D414" s="113" t="s">
        <v>387</v>
      </c>
      <c r="E414">
        <v>6395</v>
      </c>
      <c r="F414" s="113" t="s">
        <v>800</v>
      </c>
      <c r="G414" s="113" t="s">
        <v>388</v>
      </c>
      <c r="H414" s="113" t="s">
        <v>409</v>
      </c>
      <c r="I414" s="113" t="s">
        <v>443</v>
      </c>
      <c r="J414" s="113" t="s">
        <v>1227</v>
      </c>
    </row>
    <row r="415" spans="1:10">
      <c r="A415" s="113" t="s">
        <v>781</v>
      </c>
      <c r="B415" s="113" t="s">
        <v>385</v>
      </c>
      <c r="C415" s="113" t="s">
        <v>386</v>
      </c>
      <c r="D415" s="113" t="s">
        <v>387</v>
      </c>
      <c r="E415">
        <v>6645</v>
      </c>
      <c r="F415" s="113" t="s">
        <v>802</v>
      </c>
      <c r="G415" s="113" t="s">
        <v>388</v>
      </c>
      <c r="H415" s="113" t="s">
        <v>413</v>
      </c>
      <c r="I415" s="113" t="s">
        <v>767</v>
      </c>
      <c r="J415" s="113" t="s">
        <v>809</v>
      </c>
    </row>
    <row r="416" spans="1:10">
      <c r="A416" s="113" t="s">
        <v>781</v>
      </c>
      <c r="B416" s="113" t="s">
        <v>385</v>
      </c>
      <c r="C416" s="113" t="s">
        <v>386</v>
      </c>
      <c r="D416" s="113" t="s">
        <v>387</v>
      </c>
      <c r="E416">
        <v>6788</v>
      </c>
      <c r="F416" s="113" t="s">
        <v>803</v>
      </c>
      <c r="G416" s="113" t="s">
        <v>388</v>
      </c>
      <c r="H416" s="113" t="s">
        <v>413</v>
      </c>
      <c r="I416">
        <v>419</v>
      </c>
    </row>
    <row r="417" spans="1:10">
      <c r="A417" s="113" t="s">
        <v>781</v>
      </c>
      <c r="B417" s="113" t="s">
        <v>385</v>
      </c>
      <c r="C417" s="113" t="s">
        <v>386</v>
      </c>
      <c r="D417" s="113" t="s">
        <v>387</v>
      </c>
      <c r="E417">
        <v>7278</v>
      </c>
      <c r="F417" s="113" t="s">
        <v>804</v>
      </c>
      <c r="G417" s="113" t="s">
        <v>388</v>
      </c>
      <c r="H417" s="113" t="s">
        <v>439</v>
      </c>
      <c r="I417" s="113" t="s">
        <v>443</v>
      </c>
      <c r="J417" s="113" t="s">
        <v>1228</v>
      </c>
    </row>
    <row r="418" spans="1:10">
      <c r="A418" s="113" t="s">
        <v>781</v>
      </c>
      <c r="B418" s="113" t="s">
        <v>385</v>
      </c>
      <c r="C418" s="113" t="s">
        <v>397</v>
      </c>
      <c r="D418" s="113" t="s">
        <v>391</v>
      </c>
      <c r="E418">
        <v>7500</v>
      </c>
      <c r="F418" s="113" t="s">
        <v>1229</v>
      </c>
      <c r="G418" s="113" t="s">
        <v>392</v>
      </c>
      <c r="H418" s="113" t="s">
        <v>394</v>
      </c>
      <c r="I418">
        <v>147</v>
      </c>
    </row>
    <row r="419" spans="1:10">
      <c r="A419" s="113" t="s">
        <v>781</v>
      </c>
      <c r="B419" s="113" t="s">
        <v>385</v>
      </c>
      <c r="C419" s="113" t="s">
        <v>386</v>
      </c>
      <c r="D419" s="113" t="s">
        <v>387</v>
      </c>
      <c r="E419">
        <v>7995</v>
      </c>
      <c r="F419" s="113" t="s">
        <v>805</v>
      </c>
      <c r="G419" s="113" t="s">
        <v>388</v>
      </c>
      <c r="H419" s="113" t="s">
        <v>401</v>
      </c>
      <c r="I419">
        <v>488</v>
      </c>
    </row>
    <row r="420" spans="1:10">
      <c r="A420" s="113" t="s">
        <v>781</v>
      </c>
      <c r="B420" s="113" t="s">
        <v>385</v>
      </c>
      <c r="C420" s="113" t="s">
        <v>386</v>
      </c>
      <c r="D420" s="113" t="s">
        <v>387</v>
      </c>
      <c r="E420">
        <v>8242</v>
      </c>
      <c r="F420" s="113" t="s">
        <v>806</v>
      </c>
      <c r="G420" s="113" t="s">
        <v>388</v>
      </c>
      <c r="H420" s="113" t="s">
        <v>398</v>
      </c>
      <c r="I420" s="113" t="s">
        <v>443</v>
      </c>
      <c r="J420" s="113" t="s">
        <v>1230</v>
      </c>
    </row>
    <row r="421" spans="1:10">
      <c r="A421" s="113" t="s">
        <v>781</v>
      </c>
      <c r="B421" s="113" t="s">
        <v>385</v>
      </c>
      <c r="C421" s="113" t="s">
        <v>386</v>
      </c>
      <c r="D421" s="113" t="s">
        <v>387</v>
      </c>
      <c r="E421">
        <v>8304</v>
      </c>
      <c r="F421" s="113" t="s">
        <v>807</v>
      </c>
      <c r="G421" s="113" t="s">
        <v>388</v>
      </c>
      <c r="H421" s="113" t="s">
        <v>808</v>
      </c>
      <c r="I421" s="113" t="s">
        <v>628</v>
      </c>
      <c r="J421" s="113" t="s">
        <v>1231</v>
      </c>
    </row>
    <row r="422" spans="1:10">
      <c r="A422" s="113" t="s">
        <v>781</v>
      </c>
      <c r="B422" s="113" t="s">
        <v>385</v>
      </c>
      <c r="C422" s="113" t="s">
        <v>386</v>
      </c>
      <c r="D422" s="113" t="s">
        <v>387</v>
      </c>
      <c r="E422">
        <v>9202</v>
      </c>
      <c r="F422" s="113" t="s">
        <v>810</v>
      </c>
      <c r="G422" s="113" t="s">
        <v>388</v>
      </c>
      <c r="H422" s="113" t="s">
        <v>811</v>
      </c>
      <c r="I422" s="113" t="s">
        <v>894</v>
      </c>
      <c r="J422" s="113" t="s">
        <v>1232</v>
      </c>
    </row>
    <row r="423" spans="1:10">
      <c r="A423" s="113" t="s">
        <v>781</v>
      </c>
      <c r="B423" s="113" t="s">
        <v>385</v>
      </c>
      <c r="C423" s="113" t="s">
        <v>386</v>
      </c>
      <c r="D423" s="113" t="s">
        <v>387</v>
      </c>
      <c r="E423">
        <v>9474</v>
      </c>
      <c r="F423" s="113" t="s">
        <v>812</v>
      </c>
      <c r="G423" s="113" t="s">
        <v>388</v>
      </c>
      <c r="H423" s="113" t="s">
        <v>399</v>
      </c>
      <c r="I423" s="113" t="s">
        <v>443</v>
      </c>
      <c r="J423" s="113" t="s">
        <v>1025</v>
      </c>
    </row>
    <row r="424" spans="1:10">
      <c r="A424" s="113" t="s">
        <v>781</v>
      </c>
      <c r="B424" s="113" t="s">
        <v>385</v>
      </c>
      <c r="C424" s="113" t="s">
        <v>386</v>
      </c>
      <c r="D424" s="113" t="s">
        <v>387</v>
      </c>
      <c r="E424">
        <v>9502</v>
      </c>
      <c r="F424" s="113" t="s">
        <v>813</v>
      </c>
      <c r="G424" s="113" t="s">
        <v>388</v>
      </c>
      <c r="H424" s="113" t="s">
        <v>814</v>
      </c>
      <c r="I424" s="113" t="s">
        <v>815</v>
      </c>
      <c r="J424" s="113" t="s">
        <v>1233</v>
      </c>
    </row>
    <row r="425" spans="1:10">
      <c r="A425" s="113" t="s">
        <v>781</v>
      </c>
      <c r="B425" s="113" t="s">
        <v>385</v>
      </c>
      <c r="C425" s="113" t="s">
        <v>386</v>
      </c>
      <c r="D425" s="113" t="s">
        <v>387</v>
      </c>
      <c r="E425">
        <v>9504</v>
      </c>
      <c r="F425" s="113" t="s">
        <v>816</v>
      </c>
      <c r="G425" s="113" t="s">
        <v>388</v>
      </c>
      <c r="H425" s="113" t="s">
        <v>814</v>
      </c>
      <c r="I425" s="113" t="s">
        <v>405</v>
      </c>
      <c r="J425" s="113" t="s">
        <v>1199</v>
      </c>
    </row>
    <row r="426" spans="1:10">
      <c r="A426" s="113" t="s">
        <v>781</v>
      </c>
      <c r="B426" s="113" t="s">
        <v>385</v>
      </c>
      <c r="C426" s="113" t="s">
        <v>386</v>
      </c>
      <c r="D426" s="113" t="s">
        <v>387</v>
      </c>
      <c r="E426">
        <v>9531</v>
      </c>
      <c r="F426" s="113" t="s">
        <v>817</v>
      </c>
      <c r="G426" s="113" t="s">
        <v>388</v>
      </c>
      <c r="H426" s="113" t="s">
        <v>814</v>
      </c>
      <c r="I426" s="113" t="s">
        <v>815</v>
      </c>
      <c r="J426" s="113" t="s">
        <v>1234</v>
      </c>
    </row>
    <row r="427" spans="1:10">
      <c r="A427" s="113" t="s">
        <v>781</v>
      </c>
      <c r="B427" s="113" t="s">
        <v>385</v>
      </c>
      <c r="C427" s="113" t="s">
        <v>386</v>
      </c>
      <c r="D427" s="113" t="s">
        <v>387</v>
      </c>
      <c r="E427">
        <v>9719</v>
      </c>
      <c r="F427" s="113" t="s">
        <v>818</v>
      </c>
      <c r="G427" s="113" t="s">
        <v>388</v>
      </c>
      <c r="H427" s="113" t="s">
        <v>399</v>
      </c>
      <c r="I427" s="113" t="s">
        <v>598</v>
      </c>
      <c r="J427" s="113" t="s">
        <v>1235</v>
      </c>
    </row>
    <row r="428" spans="1:10">
      <c r="A428" s="113" t="s">
        <v>781</v>
      </c>
      <c r="B428" s="113" t="s">
        <v>385</v>
      </c>
      <c r="C428" s="113" t="s">
        <v>386</v>
      </c>
      <c r="D428" s="113" t="s">
        <v>387</v>
      </c>
      <c r="E428">
        <v>9936</v>
      </c>
      <c r="F428" s="113" t="s">
        <v>819</v>
      </c>
      <c r="G428" s="113" t="s">
        <v>388</v>
      </c>
      <c r="H428" s="113" t="s">
        <v>398</v>
      </c>
      <c r="I428" s="113" t="s">
        <v>443</v>
      </c>
      <c r="J428" s="113" t="s">
        <v>1236</v>
      </c>
    </row>
    <row r="429" spans="1:10">
      <c r="A429" s="113" t="s">
        <v>821</v>
      </c>
      <c r="B429" s="113" t="s">
        <v>385</v>
      </c>
      <c r="C429" s="113" t="s">
        <v>397</v>
      </c>
      <c r="D429" s="113" t="s">
        <v>391</v>
      </c>
      <c r="E429">
        <v>1430</v>
      </c>
      <c r="F429" s="113" t="s">
        <v>822</v>
      </c>
      <c r="G429" s="113" t="s">
        <v>388</v>
      </c>
      <c r="H429" s="113" t="s">
        <v>422</v>
      </c>
      <c r="I429">
        <v>87</v>
      </c>
    </row>
    <row r="430" spans="1:10">
      <c r="A430" s="113" t="s">
        <v>821</v>
      </c>
      <c r="B430" s="113" t="s">
        <v>385</v>
      </c>
      <c r="C430" s="113" t="s">
        <v>395</v>
      </c>
      <c r="D430" s="113" t="s">
        <v>387</v>
      </c>
      <c r="E430">
        <v>2734</v>
      </c>
      <c r="F430" s="113" t="s">
        <v>823</v>
      </c>
      <c r="G430" s="113" t="s">
        <v>388</v>
      </c>
      <c r="H430" s="113" t="s">
        <v>398</v>
      </c>
      <c r="I430">
        <v>411</v>
      </c>
    </row>
    <row r="431" spans="1:10">
      <c r="A431" s="113" t="s">
        <v>821</v>
      </c>
      <c r="B431" s="113" t="s">
        <v>385</v>
      </c>
      <c r="C431" s="113" t="s">
        <v>390</v>
      </c>
      <c r="D431" s="113" t="s">
        <v>387</v>
      </c>
      <c r="E431">
        <v>3168</v>
      </c>
      <c r="F431" s="113" t="s">
        <v>824</v>
      </c>
      <c r="G431" s="113" t="s">
        <v>388</v>
      </c>
      <c r="H431" s="113" t="s">
        <v>394</v>
      </c>
      <c r="I431">
        <v>65</v>
      </c>
    </row>
    <row r="432" spans="1:10">
      <c r="A432" s="113" t="s">
        <v>821</v>
      </c>
      <c r="B432" s="113" t="s">
        <v>385</v>
      </c>
      <c r="C432" s="113" t="s">
        <v>395</v>
      </c>
      <c r="D432" s="113" t="s">
        <v>387</v>
      </c>
      <c r="E432">
        <v>3186</v>
      </c>
      <c r="F432" s="113" t="s">
        <v>825</v>
      </c>
      <c r="G432" s="113" t="s">
        <v>388</v>
      </c>
      <c r="H432" s="113" t="s">
        <v>398</v>
      </c>
      <c r="I432">
        <v>893</v>
      </c>
    </row>
    <row r="433" spans="1:10">
      <c r="A433" s="113" t="s">
        <v>821</v>
      </c>
      <c r="B433" s="113" t="s">
        <v>385</v>
      </c>
      <c r="C433" s="113" t="s">
        <v>386</v>
      </c>
      <c r="D433" s="113" t="s">
        <v>387</v>
      </c>
      <c r="E433">
        <v>3353</v>
      </c>
      <c r="F433" s="113" t="s">
        <v>826</v>
      </c>
      <c r="G433" s="113" t="s">
        <v>392</v>
      </c>
      <c r="H433" s="113" t="s">
        <v>398</v>
      </c>
      <c r="I433" s="113">
        <v>183</v>
      </c>
      <c r="J433" s="113"/>
    </row>
    <row r="434" spans="1:10">
      <c r="A434" s="113" t="s">
        <v>821</v>
      </c>
      <c r="B434" s="113" t="s">
        <v>385</v>
      </c>
      <c r="C434" s="113" t="s">
        <v>386</v>
      </c>
      <c r="D434" s="113" t="s">
        <v>387</v>
      </c>
      <c r="E434">
        <v>3382</v>
      </c>
      <c r="F434" s="113" t="s">
        <v>827</v>
      </c>
      <c r="G434" s="113" t="s">
        <v>388</v>
      </c>
      <c r="H434" s="113" t="s">
        <v>398</v>
      </c>
      <c r="I434" s="113" t="s">
        <v>828</v>
      </c>
      <c r="J434" s="113" t="s">
        <v>1007</v>
      </c>
    </row>
    <row r="435" spans="1:10">
      <c r="A435" s="113" t="s">
        <v>821</v>
      </c>
      <c r="B435" s="113" t="s">
        <v>385</v>
      </c>
      <c r="C435" s="113" t="s">
        <v>395</v>
      </c>
      <c r="D435" s="113" t="s">
        <v>387</v>
      </c>
      <c r="E435">
        <v>3454</v>
      </c>
      <c r="F435" s="113" t="s">
        <v>829</v>
      </c>
      <c r="G435" s="113" t="s">
        <v>388</v>
      </c>
      <c r="H435" s="113" t="s">
        <v>414</v>
      </c>
      <c r="I435" s="113">
        <v>184</v>
      </c>
      <c r="J435" s="113"/>
    </row>
    <row r="436" spans="1:10">
      <c r="A436" s="113" t="s">
        <v>821</v>
      </c>
      <c r="B436" s="113" t="s">
        <v>385</v>
      </c>
      <c r="C436" s="113" t="s">
        <v>386</v>
      </c>
      <c r="D436" s="113" t="s">
        <v>387</v>
      </c>
      <c r="E436">
        <v>4429</v>
      </c>
      <c r="F436" s="113" t="s">
        <v>830</v>
      </c>
      <c r="G436" s="113" t="s">
        <v>400</v>
      </c>
      <c r="H436" s="113" t="s">
        <v>399</v>
      </c>
      <c r="I436">
        <v>242</v>
      </c>
    </row>
    <row r="437" spans="1:10">
      <c r="A437" s="113" t="s">
        <v>821</v>
      </c>
      <c r="B437" s="113" t="s">
        <v>385</v>
      </c>
      <c r="C437" s="113" t="s">
        <v>397</v>
      </c>
      <c r="D437" s="113" t="s">
        <v>391</v>
      </c>
      <c r="E437">
        <v>4430</v>
      </c>
      <c r="F437" s="113" t="s">
        <v>831</v>
      </c>
      <c r="G437" s="113" t="s">
        <v>396</v>
      </c>
      <c r="H437" s="113" t="s">
        <v>399</v>
      </c>
      <c r="I437">
        <v>54</v>
      </c>
    </row>
    <row r="438" spans="1:10">
      <c r="A438" s="113" t="s">
        <v>821</v>
      </c>
      <c r="B438" s="113" t="s">
        <v>385</v>
      </c>
      <c r="C438" s="113" t="s">
        <v>397</v>
      </c>
      <c r="D438" s="113" t="s">
        <v>387</v>
      </c>
      <c r="E438">
        <v>4443</v>
      </c>
      <c r="F438" s="113" t="s">
        <v>832</v>
      </c>
      <c r="G438" s="113" t="s">
        <v>400</v>
      </c>
      <c r="H438" s="113" t="s">
        <v>399</v>
      </c>
      <c r="I438" s="113" t="s">
        <v>443</v>
      </c>
      <c r="J438" s="113" t="s">
        <v>1237</v>
      </c>
    </row>
    <row r="439" spans="1:10">
      <c r="A439" s="113" t="s">
        <v>821</v>
      </c>
      <c r="B439" s="113" t="s">
        <v>385</v>
      </c>
      <c r="C439" s="113" t="s">
        <v>390</v>
      </c>
      <c r="D439" s="113" t="s">
        <v>391</v>
      </c>
      <c r="E439">
        <v>6264</v>
      </c>
      <c r="F439" s="113" t="s">
        <v>834</v>
      </c>
      <c r="G439" s="113" t="s">
        <v>388</v>
      </c>
      <c r="H439" s="113" t="s">
        <v>409</v>
      </c>
      <c r="I439">
        <v>134</v>
      </c>
    </row>
    <row r="440" spans="1:10">
      <c r="A440" s="113" t="s">
        <v>821</v>
      </c>
      <c r="B440" s="113" t="s">
        <v>385</v>
      </c>
      <c r="C440" s="113" t="s">
        <v>390</v>
      </c>
      <c r="D440" s="113" t="s">
        <v>387</v>
      </c>
      <c r="E440">
        <v>6289</v>
      </c>
      <c r="F440" s="113" t="s">
        <v>1238</v>
      </c>
      <c r="G440" s="113" t="s">
        <v>388</v>
      </c>
      <c r="H440" s="113" t="s">
        <v>409</v>
      </c>
      <c r="I440" s="113" t="s">
        <v>443</v>
      </c>
      <c r="J440" s="113" t="s">
        <v>1002</v>
      </c>
    </row>
    <row r="441" spans="1:10">
      <c r="A441" s="113" t="s">
        <v>821</v>
      </c>
      <c r="B441" s="113" t="s">
        <v>385</v>
      </c>
      <c r="C441" s="113" t="s">
        <v>397</v>
      </c>
      <c r="D441" s="113" t="s">
        <v>391</v>
      </c>
      <c r="E441">
        <v>6496</v>
      </c>
      <c r="F441" s="113" t="s">
        <v>835</v>
      </c>
      <c r="G441" s="113" t="s">
        <v>396</v>
      </c>
      <c r="H441" s="113" t="s">
        <v>409</v>
      </c>
      <c r="I441" s="113">
        <v>103</v>
      </c>
      <c r="J441" s="113"/>
    </row>
    <row r="442" spans="1:10">
      <c r="A442" s="113" t="s">
        <v>821</v>
      </c>
      <c r="B442" s="113" t="s">
        <v>385</v>
      </c>
      <c r="C442" s="113" t="s">
        <v>386</v>
      </c>
      <c r="D442" s="113" t="s">
        <v>387</v>
      </c>
      <c r="E442">
        <v>8008</v>
      </c>
      <c r="F442" s="113" t="s">
        <v>836</v>
      </c>
      <c r="G442" s="113" t="s">
        <v>388</v>
      </c>
      <c r="H442" s="113" t="s">
        <v>398</v>
      </c>
      <c r="I442">
        <v>627</v>
      </c>
    </row>
    <row r="443" spans="1:10">
      <c r="A443" s="113" t="s">
        <v>821</v>
      </c>
      <c r="B443" s="113" t="s">
        <v>385</v>
      </c>
      <c r="C443" s="113" t="s">
        <v>386</v>
      </c>
      <c r="D443" s="113" t="s">
        <v>387</v>
      </c>
      <c r="E443">
        <v>8125</v>
      </c>
      <c r="F443" s="113" t="s">
        <v>837</v>
      </c>
      <c r="G443" s="113" t="s">
        <v>388</v>
      </c>
      <c r="H443" s="113" t="s">
        <v>394</v>
      </c>
      <c r="I443">
        <v>563</v>
      </c>
    </row>
    <row r="444" spans="1:10">
      <c r="A444" s="113" t="s">
        <v>838</v>
      </c>
      <c r="B444" s="113" t="s">
        <v>385</v>
      </c>
      <c r="C444" s="113" t="s">
        <v>397</v>
      </c>
      <c r="D444" s="113" t="s">
        <v>387</v>
      </c>
      <c r="E444">
        <v>1377</v>
      </c>
      <c r="F444" s="113" t="s">
        <v>839</v>
      </c>
      <c r="G444" s="113" t="s">
        <v>388</v>
      </c>
      <c r="H444" s="113" t="s">
        <v>528</v>
      </c>
      <c r="I444" s="113" t="s">
        <v>443</v>
      </c>
      <c r="J444" s="113" t="s">
        <v>1239</v>
      </c>
    </row>
    <row r="445" spans="1:10">
      <c r="A445" s="113" t="s">
        <v>838</v>
      </c>
      <c r="B445" s="113" t="s">
        <v>385</v>
      </c>
      <c r="C445" s="113" t="s">
        <v>397</v>
      </c>
      <c r="D445" s="113" t="s">
        <v>387</v>
      </c>
      <c r="E445">
        <v>1887</v>
      </c>
      <c r="F445" s="113" t="s">
        <v>840</v>
      </c>
      <c r="G445" s="113" t="s">
        <v>388</v>
      </c>
      <c r="H445" s="113" t="s">
        <v>422</v>
      </c>
      <c r="I445">
        <v>608</v>
      </c>
    </row>
    <row r="446" spans="1:10">
      <c r="A446" s="113" t="s">
        <v>838</v>
      </c>
      <c r="B446" s="113" t="s">
        <v>385</v>
      </c>
      <c r="C446" s="113" t="s">
        <v>386</v>
      </c>
      <c r="D446" s="113" t="s">
        <v>391</v>
      </c>
      <c r="E446">
        <v>2294</v>
      </c>
      <c r="F446" s="113" t="s">
        <v>841</v>
      </c>
      <c r="G446" s="113" t="s">
        <v>388</v>
      </c>
      <c r="H446" s="113" t="s">
        <v>389</v>
      </c>
      <c r="I446">
        <v>373</v>
      </c>
    </row>
    <row r="447" spans="1:10">
      <c r="A447" s="113" t="s">
        <v>838</v>
      </c>
      <c r="B447" s="113" t="s">
        <v>385</v>
      </c>
      <c r="C447" s="113" t="s">
        <v>397</v>
      </c>
      <c r="D447" s="113" t="s">
        <v>391</v>
      </c>
      <c r="E447">
        <v>2303</v>
      </c>
      <c r="F447" s="113" t="s">
        <v>842</v>
      </c>
      <c r="G447" s="113" t="s">
        <v>392</v>
      </c>
      <c r="H447" s="113" t="s">
        <v>399</v>
      </c>
      <c r="I447">
        <v>51</v>
      </c>
    </row>
    <row r="448" spans="1:10">
      <c r="A448" s="113" t="s">
        <v>838</v>
      </c>
      <c r="B448" s="113" t="s">
        <v>385</v>
      </c>
      <c r="C448" s="113" t="s">
        <v>397</v>
      </c>
      <c r="D448" s="113" t="s">
        <v>387</v>
      </c>
      <c r="E448">
        <v>2462</v>
      </c>
      <c r="F448" s="113" t="s">
        <v>843</v>
      </c>
      <c r="G448" s="113" t="s">
        <v>388</v>
      </c>
      <c r="H448" s="113" t="s">
        <v>393</v>
      </c>
      <c r="I448">
        <v>343</v>
      </c>
    </row>
    <row r="449" spans="1:10">
      <c r="A449" s="113" t="s">
        <v>838</v>
      </c>
      <c r="B449" s="113" t="s">
        <v>385</v>
      </c>
      <c r="C449" s="113" t="s">
        <v>395</v>
      </c>
      <c r="D449" s="113" t="s">
        <v>387</v>
      </c>
      <c r="E449">
        <v>2698</v>
      </c>
      <c r="F449" s="113" t="s">
        <v>844</v>
      </c>
      <c r="G449" s="113" t="s">
        <v>388</v>
      </c>
      <c r="H449" s="113" t="s">
        <v>398</v>
      </c>
      <c r="I449">
        <v>276</v>
      </c>
    </row>
    <row r="450" spans="1:10">
      <c r="A450" s="113" t="s">
        <v>838</v>
      </c>
      <c r="B450" s="113" t="s">
        <v>385</v>
      </c>
      <c r="C450" s="113" t="s">
        <v>397</v>
      </c>
      <c r="D450" s="113" t="s">
        <v>391</v>
      </c>
      <c r="E450">
        <v>3297</v>
      </c>
      <c r="F450" s="113" t="s">
        <v>845</v>
      </c>
      <c r="G450" s="113" t="s">
        <v>392</v>
      </c>
      <c r="H450" s="113" t="s">
        <v>414</v>
      </c>
      <c r="I450" s="113">
        <v>29</v>
      </c>
      <c r="J450" s="113"/>
    </row>
    <row r="451" spans="1:10">
      <c r="A451" s="113" t="s">
        <v>838</v>
      </c>
      <c r="B451" s="113" t="s">
        <v>385</v>
      </c>
      <c r="C451" s="113" t="s">
        <v>395</v>
      </c>
      <c r="D451" s="113" t="s">
        <v>391</v>
      </c>
      <c r="E451">
        <v>3377</v>
      </c>
      <c r="F451" s="113" t="s">
        <v>846</v>
      </c>
      <c r="G451" s="113" t="s">
        <v>396</v>
      </c>
      <c r="H451" s="113" t="s">
        <v>394</v>
      </c>
      <c r="I451" s="113">
        <v>29</v>
      </c>
      <c r="J451" s="113"/>
    </row>
    <row r="452" spans="1:10">
      <c r="A452" s="113" t="s">
        <v>838</v>
      </c>
      <c r="B452" s="113" t="s">
        <v>385</v>
      </c>
      <c r="C452" s="113" t="s">
        <v>386</v>
      </c>
      <c r="D452" s="113" t="s">
        <v>387</v>
      </c>
      <c r="E452">
        <v>3387</v>
      </c>
      <c r="F452" s="113" t="s">
        <v>847</v>
      </c>
      <c r="G452" s="113" t="s">
        <v>388</v>
      </c>
      <c r="H452" s="113" t="s">
        <v>398</v>
      </c>
      <c r="I452" s="113" t="s">
        <v>443</v>
      </c>
      <c r="J452" s="113" t="s">
        <v>1240</v>
      </c>
    </row>
    <row r="453" spans="1:10">
      <c r="A453" s="113" t="s">
        <v>838</v>
      </c>
      <c r="B453" s="113" t="s">
        <v>385</v>
      </c>
      <c r="C453" s="113" t="s">
        <v>386</v>
      </c>
      <c r="D453" s="113" t="s">
        <v>387</v>
      </c>
      <c r="E453">
        <v>3548</v>
      </c>
      <c r="F453" s="113" t="s">
        <v>848</v>
      </c>
      <c r="G453" s="113" t="s">
        <v>388</v>
      </c>
      <c r="H453" s="113" t="s">
        <v>398</v>
      </c>
      <c r="I453">
        <v>346</v>
      </c>
    </row>
    <row r="454" spans="1:10">
      <c r="A454" s="113" t="s">
        <v>838</v>
      </c>
      <c r="B454" s="113" t="s">
        <v>385</v>
      </c>
      <c r="C454" s="113" t="s">
        <v>386</v>
      </c>
      <c r="D454" s="113" t="s">
        <v>391</v>
      </c>
      <c r="E454">
        <v>3557</v>
      </c>
      <c r="F454" s="113" t="s">
        <v>849</v>
      </c>
      <c r="G454" s="113" t="s">
        <v>400</v>
      </c>
      <c r="H454" s="113" t="s">
        <v>398</v>
      </c>
      <c r="I454">
        <v>48</v>
      </c>
    </row>
    <row r="455" spans="1:10">
      <c r="A455" s="113" t="s">
        <v>838</v>
      </c>
      <c r="B455" s="113" t="s">
        <v>385</v>
      </c>
      <c r="C455" s="113" t="s">
        <v>386</v>
      </c>
      <c r="D455" s="113" t="s">
        <v>391</v>
      </c>
      <c r="E455">
        <v>3996</v>
      </c>
      <c r="F455" s="113" t="s">
        <v>850</v>
      </c>
      <c r="G455" s="113" t="s">
        <v>388</v>
      </c>
      <c r="H455" s="113" t="s">
        <v>399</v>
      </c>
      <c r="I455">
        <v>244</v>
      </c>
    </row>
    <row r="456" spans="1:10">
      <c r="A456" s="113" t="s">
        <v>838</v>
      </c>
      <c r="B456" s="113" t="s">
        <v>385</v>
      </c>
      <c r="C456" s="113" t="s">
        <v>390</v>
      </c>
      <c r="D456" s="113" t="s">
        <v>387</v>
      </c>
      <c r="E456">
        <v>4433</v>
      </c>
      <c r="F456" s="113" t="s">
        <v>851</v>
      </c>
      <c r="G456" s="113" t="s">
        <v>388</v>
      </c>
      <c r="H456" s="113" t="s">
        <v>399</v>
      </c>
      <c r="I456">
        <v>285</v>
      </c>
    </row>
    <row r="457" spans="1:10">
      <c r="A457" s="113" t="s">
        <v>838</v>
      </c>
      <c r="B457" s="113" t="s">
        <v>385</v>
      </c>
      <c r="C457" s="113" t="s">
        <v>386</v>
      </c>
      <c r="D457" s="113" t="s">
        <v>391</v>
      </c>
      <c r="E457">
        <v>4434</v>
      </c>
      <c r="F457" s="113" t="s">
        <v>852</v>
      </c>
      <c r="G457" s="113" t="s">
        <v>400</v>
      </c>
      <c r="H457" s="113" t="s">
        <v>399</v>
      </c>
      <c r="I457">
        <v>292</v>
      </c>
    </row>
    <row r="458" spans="1:10">
      <c r="A458" s="113" t="s">
        <v>838</v>
      </c>
      <c r="B458" s="113" t="s">
        <v>385</v>
      </c>
      <c r="C458" s="113" t="s">
        <v>390</v>
      </c>
      <c r="D458" s="113" t="s">
        <v>387</v>
      </c>
      <c r="E458">
        <v>4440</v>
      </c>
      <c r="F458" s="113" t="s">
        <v>853</v>
      </c>
      <c r="G458" s="113" t="s">
        <v>400</v>
      </c>
      <c r="H458" s="113" t="s">
        <v>399</v>
      </c>
      <c r="I458">
        <v>97</v>
      </c>
    </row>
    <row r="459" spans="1:10">
      <c r="A459" s="113" t="s">
        <v>838</v>
      </c>
      <c r="B459" s="113" t="s">
        <v>385</v>
      </c>
      <c r="C459" s="113" t="s">
        <v>397</v>
      </c>
      <c r="D459" s="113" t="s">
        <v>387</v>
      </c>
      <c r="E459">
        <v>5967</v>
      </c>
      <c r="F459" s="113" t="s">
        <v>854</v>
      </c>
      <c r="G459" s="113" t="s">
        <v>396</v>
      </c>
      <c r="H459" s="113" t="s">
        <v>403</v>
      </c>
      <c r="I459">
        <v>61</v>
      </c>
    </row>
    <row r="460" spans="1:10">
      <c r="A460" s="113" t="s">
        <v>838</v>
      </c>
      <c r="B460" s="113" t="s">
        <v>385</v>
      </c>
      <c r="C460" s="113" t="s">
        <v>386</v>
      </c>
      <c r="D460" s="113" t="s">
        <v>387</v>
      </c>
      <c r="E460">
        <v>6173</v>
      </c>
      <c r="F460" s="113" t="s">
        <v>855</v>
      </c>
      <c r="G460" s="113" t="s">
        <v>400</v>
      </c>
      <c r="H460" s="113" t="s">
        <v>393</v>
      </c>
      <c r="I460">
        <v>25</v>
      </c>
    </row>
    <row r="461" spans="1:10">
      <c r="A461" s="113" t="s">
        <v>838</v>
      </c>
      <c r="B461" s="113" t="s">
        <v>385</v>
      </c>
      <c r="C461" s="113" t="s">
        <v>397</v>
      </c>
      <c r="D461" s="113" t="s">
        <v>387</v>
      </c>
      <c r="E461">
        <v>6489</v>
      </c>
      <c r="F461" s="113" t="s">
        <v>856</v>
      </c>
      <c r="G461" s="113" t="s">
        <v>388</v>
      </c>
      <c r="H461" s="113" t="s">
        <v>409</v>
      </c>
      <c r="I461" s="113">
        <v>84</v>
      </c>
      <c r="J461" s="113"/>
    </row>
    <row r="462" spans="1:10">
      <c r="A462" s="113" t="s">
        <v>838</v>
      </c>
      <c r="B462" s="113" t="s">
        <v>385</v>
      </c>
      <c r="C462" s="113" t="s">
        <v>386</v>
      </c>
      <c r="D462" s="113" t="s">
        <v>387</v>
      </c>
      <c r="E462">
        <v>6543</v>
      </c>
      <c r="F462" s="113" t="s">
        <v>857</v>
      </c>
      <c r="G462" s="113" t="s">
        <v>392</v>
      </c>
      <c r="H462" s="113" t="s">
        <v>393</v>
      </c>
      <c r="I462">
        <v>26</v>
      </c>
    </row>
    <row r="463" spans="1:10">
      <c r="A463" s="113" t="s">
        <v>838</v>
      </c>
      <c r="B463" s="113" t="s">
        <v>385</v>
      </c>
      <c r="C463" s="113" t="s">
        <v>386</v>
      </c>
      <c r="D463" s="113" t="s">
        <v>387</v>
      </c>
      <c r="E463">
        <v>7049</v>
      </c>
      <c r="F463" s="113" t="s">
        <v>858</v>
      </c>
      <c r="G463" s="113" t="s">
        <v>400</v>
      </c>
      <c r="H463" s="113" t="s">
        <v>393</v>
      </c>
      <c r="I463" s="113">
        <v>129</v>
      </c>
      <c r="J463" s="113"/>
    </row>
    <row r="464" spans="1:10">
      <c r="A464" s="113" t="s">
        <v>838</v>
      </c>
      <c r="B464" s="113" t="s">
        <v>385</v>
      </c>
      <c r="C464" s="113" t="s">
        <v>386</v>
      </c>
      <c r="D464" s="113" t="s">
        <v>387</v>
      </c>
      <c r="E464">
        <v>7058</v>
      </c>
      <c r="F464" s="113" t="s">
        <v>859</v>
      </c>
      <c r="G464" s="113" t="s">
        <v>392</v>
      </c>
      <c r="H464" s="113" t="s">
        <v>393</v>
      </c>
      <c r="I464" s="113">
        <v>75</v>
      </c>
      <c r="J464" s="113"/>
    </row>
    <row r="465" spans="1:10">
      <c r="A465" s="113" t="s">
        <v>838</v>
      </c>
      <c r="B465" s="113" t="s">
        <v>385</v>
      </c>
      <c r="C465" s="113" t="s">
        <v>390</v>
      </c>
      <c r="D465" s="113" t="s">
        <v>387</v>
      </c>
      <c r="E465">
        <v>7065</v>
      </c>
      <c r="F465" s="113" t="s">
        <v>860</v>
      </c>
      <c r="G465" s="113" t="s">
        <v>396</v>
      </c>
      <c r="H465" s="113" t="s">
        <v>393</v>
      </c>
      <c r="I465">
        <v>190</v>
      </c>
    </row>
    <row r="466" spans="1:10">
      <c r="A466" s="113" t="s">
        <v>838</v>
      </c>
      <c r="B466" s="113" t="s">
        <v>385</v>
      </c>
      <c r="C466" s="113" t="s">
        <v>397</v>
      </c>
      <c r="D466" s="113" t="s">
        <v>391</v>
      </c>
      <c r="E466">
        <v>7673</v>
      </c>
      <c r="F466" s="113" t="s">
        <v>861</v>
      </c>
      <c r="G466" s="113" t="s">
        <v>396</v>
      </c>
      <c r="H466" s="113" t="s">
        <v>394</v>
      </c>
      <c r="I466">
        <v>53</v>
      </c>
    </row>
    <row r="467" spans="1:10">
      <c r="A467" s="113" t="s">
        <v>838</v>
      </c>
      <c r="B467" s="113" t="s">
        <v>385</v>
      </c>
      <c r="C467" s="113" t="s">
        <v>386</v>
      </c>
      <c r="D467" s="113" t="s">
        <v>387</v>
      </c>
      <c r="E467">
        <v>7811</v>
      </c>
      <c r="F467" s="113" t="s">
        <v>862</v>
      </c>
      <c r="G467" s="113" t="s">
        <v>388</v>
      </c>
      <c r="H467" s="113" t="s">
        <v>410</v>
      </c>
      <c r="I467">
        <v>123</v>
      </c>
    </row>
    <row r="468" spans="1:10">
      <c r="A468" s="113" t="s">
        <v>863</v>
      </c>
      <c r="B468" s="113" t="s">
        <v>385</v>
      </c>
      <c r="C468" s="113" t="s">
        <v>386</v>
      </c>
      <c r="D468" s="113" t="s">
        <v>387</v>
      </c>
      <c r="E468">
        <v>1719</v>
      </c>
      <c r="F468" s="113" t="s">
        <v>864</v>
      </c>
      <c r="G468" s="113" t="s">
        <v>388</v>
      </c>
      <c r="H468" s="113" t="s">
        <v>422</v>
      </c>
      <c r="I468" s="113" t="s">
        <v>443</v>
      </c>
      <c r="J468" s="113" t="s">
        <v>1241</v>
      </c>
    </row>
    <row r="469" spans="1:10">
      <c r="A469" s="113" t="s">
        <v>863</v>
      </c>
      <c r="B469" s="113" t="s">
        <v>385</v>
      </c>
      <c r="C469" s="113" t="s">
        <v>386</v>
      </c>
      <c r="D469" s="113" t="s">
        <v>387</v>
      </c>
      <c r="E469">
        <v>1812</v>
      </c>
      <c r="F469" s="113" t="s">
        <v>865</v>
      </c>
      <c r="G469" s="113" t="s">
        <v>388</v>
      </c>
      <c r="H469" s="113" t="s">
        <v>422</v>
      </c>
      <c r="I469" s="113" t="s">
        <v>866</v>
      </c>
      <c r="J469" s="113" t="s">
        <v>1242</v>
      </c>
    </row>
    <row r="470" spans="1:10">
      <c r="A470" s="113" t="s">
        <v>863</v>
      </c>
      <c r="B470" s="113" t="s">
        <v>385</v>
      </c>
      <c r="C470" s="113" t="s">
        <v>386</v>
      </c>
      <c r="D470" s="113" t="s">
        <v>387</v>
      </c>
      <c r="E470">
        <v>1824</v>
      </c>
      <c r="F470" s="113" t="s">
        <v>867</v>
      </c>
      <c r="G470" s="113" t="s">
        <v>388</v>
      </c>
      <c r="H470" s="113" t="s">
        <v>422</v>
      </c>
      <c r="I470" s="113" t="s">
        <v>443</v>
      </c>
      <c r="J470" s="113" t="s">
        <v>1243</v>
      </c>
    </row>
    <row r="471" spans="1:10">
      <c r="A471" s="113" t="s">
        <v>863</v>
      </c>
      <c r="B471" s="113" t="s">
        <v>385</v>
      </c>
      <c r="C471" s="113" t="s">
        <v>386</v>
      </c>
      <c r="D471" s="113" t="s">
        <v>387</v>
      </c>
      <c r="E471">
        <v>1860</v>
      </c>
      <c r="F471" s="113" t="s">
        <v>868</v>
      </c>
      <c r="G471" s="113" t="s">
        <v>388</v>
      </c>
      <c r="H471" s="113" t="s">
        <v>422</v>
      </c>
      <c r="I471" s="113" t="s">
        <v>411</v>
      </c>
      <c r="J471" s="113" t="s">
        <v>1110</v>
      </c>
    </row>
    <row r="472" spans="1:10">
      <c r="A472" s="113" t="s">
        <v>863</v>
      </c>
      <c r="B472" s="113" t="s">
        <v>385</v>
      </c>
      <c r="C472" s="113" t="s">
        <v>386</v>
      </c>
      <c r="D472" s="113" t="s">
        <v>387</v>
      </c>
      <c r="E472">
        <v>1964</v>
      </c>
      <c r="F472" s="113" t="s">
        <v>869</v>
      </c>
      <c r="G472" s="113" t="s">
        <v>388</v>
      </c>
      <c r="H472" s="113" t="s">
        <v>422</v>
      </c>
      <c r="I472">
        <v>134</v>
      </c>
    </row>
    <row r="473" spans="1:10">
      <c r="A473" s="113" t="s">
        <v>863</v>
      </c>
      <c r="B473" s="113" t="s">
        <v>385</v>
      </c>
      <c r="C473" s="113" t="s">
        <v>386</v>
      </c>
      <c r="D473" s="113" t="s">
        <v>387</v>
      </c>
      <c r="E473">
        <v>2108</v>
      </c>
      <c r="F473" s="113" t="s">
        <v>870</v>
      </c>
      <c r="G473" s="113" t="s">
        <v>388</v>
      </c>
      <c r="H473" s="113" t="s">
        <v>389</v>
      </c>
      <c r="I473">
        <v>310</v>
      </c>
    </row>
    <row r="474" spans="1:10">
      <c r="A474" s="113" t="s">
        <v>863</v>
      </c>
      <c r="B474" s="113" t="s">
        <v>385</v>
      </c>
      <c r="C474" s="113" t="s">
        <v>386</v>
      </c>
      <c r="D474" s="113" t="s">
        <v>387</v>
      </c>
      <c r="E474">
        <v>2173</v>
      </c>
      <c r="F474" s="113" t="s">
        <v>1036</v>
      </c>
      <c r="G474" s="113" t="s">
        <v>392</v>
      </c>
      <c r="H474" s="113" t="s">
        <v>393</v>
      </c>
      <c r="I474">
        <v>58</v>
      </c>
    </row>
    <row r="475" spans="1:10">
      <c r="A475" s="113" t="s">
        <v>863</v>
      </c>
      <c r="B475" s="113" t="s">
        <v>385</v>
      </c>
      <c r="C475" s="113" t="s">
        <v>397</v>
      </c>
      <c r="D475" s="113" t="s">
        <v>387</v>
      </c>
      <c r="E475">
        <v>2180</v>
      </c>
      <c r="F475" s="113" t="s">
        <v>871</v>
      </c>
      <c r="G475" s="113" t="s">
        <v>388</v>
      </c>
      <c r="H475" s="113" t="s">
        <v>393</v>
      </c>
      <c r="I475">
        <v>176</v>
      </c>
    </row>
    <row r="476" spans="1:10">
      <c r="A476" s="113" t="s">
        <v>863</v>
      </c>
      <c r="B476" s="113" t="s">
        <v>385</v>
      </c>
      <c r="C476" s="113" t="s">
        <v>386</v>
      </c>
      <c r="D476" s="113" t="s">
        <v>387</v>
      </c>
      <c r="E476">
        <v>2288</v>
      </c>
      <c r="F476" s="113" t="s">
        <v>872</v>
      </c>
      <c r="G476" s="113" t="s">
        <v>388</v>
      </c>
      <c r="H476" s="113" t="s">
        <v>389</v>
      </c>
      <c r="I476">
        <v>626</v>
      </c>
    </row>
    <row r="477" spans="1:10">
      <c r="A477" s="113" t="s">
        <v>863</v>
      </c>
      <c r="B477" s="113" t="s">
        <v>385</v>
      </c>
      <c r="C477" s="113" t="s">
        <v>386</v>
      </c>
      <c r="D477" s="113" t="s">
        <v>387</v>
      </c>
      <c r="E477">
        <v>2349</v>
      </c>
      <c r="F477" s="113" t="s">
        <v>1037</v>
      </c>
      <c r="G477" s="113" t="s">
        <v>392</v>
      </c>
      <c r="H477" s="113" t="s">
        <v>399</v>
      </c>
      <c r="I477">
        <v>177</v>
      </c>
    </row>
    <row r="478" spans="1:10">
      <c r="A478" s="113" t="s">
        <v>863</v>
      </c>
      <c r="B478" s="113" t="s">
        <v>385</v>
      </c>
      <c r="C478" s="113" t="s">
        <v>386</v>
      </c>
      <c r="D478" s="113" t="s">
        <v>387</v>
      </c>
      <c r="E478">
        <v>2454</v>
      </c>
      <c r="F478" s="113" t="s">
        <v>1244</v>
      </c>
      <c r="G478" s="113" t="s">
        <v>392</v>
      </c>
      <c r="H478" s="113" t="s">
        <v>393</v>
      </c>
      <c r="I478">
        <v>96</v>
      </c>
    </row>
    <row r="479" spans="1:10">
      <c r="A479" s="113" t="s">
        <v>863</v>
      </c>
      <c r="B479" s="113" t="s">
        <v>385</v>
      </c>
      <c r="C479" s="113" t="s">
        <v>395</v>
      </c>
      <c r="D479" s="113" t="s">
        <v>387</v>
      </c>
      <c r="E479">
        <v>2675</v>
      </c>
      <c r="F479" s="113" t="s">
        <v>873</v>
      </c>
      <c r="G479" s="113" t="s">
        <v>396</v>
      </c>
      <c r="H479" s="113" t="s">
        <v>398</v>
      </c>
      <c r="I479">
        <v>117</v>
      </c>
    </row>
    <row r="480" spans="1:10">
      <c r="A480" s="113" t="s">
        <v>863</v>
      </c>
      <c r="B480" s="113" t="s">
        <v>385</v>
      </c>
      <c r="C480" s="113" t="s">
        <v>386</v>
      </c>
      <c r="D480" s="113" t="s">
        <v>387</v>
      </c>
      <c r="E480">
        <v>2733</v>
      </c>
      <c r="F480" s="113" t="s">
        <v>1245</v>
      </c>
      <c r="G480" s="113" t="s">
        <v>388</v>
      </c>
      <c r="H480" s="113" t="s">
        <v>394</v>
      </c>
      <c r="I480">
        <v>779</v>
      </c>
    </row>
    <row r="481" spans="1:10">
      <c r="A481" s="113" t="s">
        <v>863</v>
      </c>
      <c r="B481" s="113" t="s">
        <v>385</v>
      </c>
      <c r="C481" s="113" t="s">
        <v>386</v>
      </c>
      <c r="D481" s="113" t="s">
        <v>387</v>
      </c>
      <c r="E481">
        <v>2768</v>
      </c>
      <c r="F481" s="113" t="s">
        <v>1246</v>
      </c>
      <c r="G481" s="113" t="s">
        <v>388</v>
      </c>
      <c r="H481" s="113" t="s">
        <v>394</v>
      </c>
      <c r="I481" s="113" t="s">
        <v>539</v>
      </c>
      <c r="J481" s="113" t="s">
        <v>1247</v>
      </c>
    </row>
    <row r="482" spans="1:10">
      <c r="A482" s="113" t="s">
        <v>863</v>
      </c>
      <c r="B482" s="113" t="s">
        <v>385</v>
      </c>
      <c r="C482" s="113" t="s">
        <v>386</v>
      </c>
      <c r="D482" s="113" t="s">
        <v>387</v>
      </c>
      <c r="E482">
        <v>2812</v>
      </c>
      <c r="F482" s="113" t="s">
        <v>1248</v>
      </c>
      <c r="G482" s="113" t="s">
        <v>388</v>
      </c>
      <c r="H482" s="113" t="s">
        <v>389</v>
      </c>
      <c r="I482">
        <v>136</v>
      </c>
    </row>
    <row r="483" spans="1:10">
      <c r="A483" s="113" t="s">
        <v>863</v>
      </c>
      <c r="B483" s="113" t="s">
        <v>385</v>
      </c>
      <c r="C483" s="113" t="s">
        <v>386</v>
      </c>
      <c r="D483" s="113" t="s">
        <v>387</v>
      </c>
      <c r="E483">
        <v>2903</v>
      </c>
      <c r="F483" s="113" t="s">
        <v>1249</v>
      </c>
      <c r="G483" s="113" t="s">
        <v>396</v>
      </c>
      <c r="H483" s="113" t="s">
        <v>389</v>
      </c>
      <c r="I483">
        <v>94</v>
      </c>
    </row>
    <row r="484" spans="1:10">
      <c r="A484" s="113" t="s">
        <v>863</v>
      </c>
      <c r="B484" s="113" t="s">
        <v>385</v>
      </c>
      <c r="C484" s="113" t="s">
        <v>386</v>
      </c>
      <c r="D484" s="113" t="s">
        <v>387</v>
      </c>
      <c r="E484">
        <v>2915</v>
      </c>
      <c r="F484" s="113" t="s">
        <v>1250</v>
      </c>
      <c r="G484" s="113" t="s">
        <v>388</v>
      </c>
      <c r="H484" s="113" t="s">
        <v>389</v>
      </c>
      <c r="I484">
        <v>424</v>
      </c>
    </row>
    <row r="485" spans="1:10">
      <c r="A485" s="113" t="s">
        <v>863</v>
      </c>
      <c r="B485" s="113" t="s">
        <v>385</v>
      </c>
      <c r="C485" s="113" t="s">
        <v>386</v>
      </c>
      <c r="D485" s="113" t="s">
        <v>387</v>
      </c>
      <c r="E485">
        <v>3284</v>
      </c>
      <c r="F485" s="113" t="s">
        <v>1251</v>
      </c>
      <c r="G485" s="113" t="s">
        <v>388</v>
      </c>
      <c r="H485" s="113" t="s">
        <v>414</v>
      </c>
      <c r="I485">
        <v>413</v>
      </c>
    </row>
    <row r="486" spans="1:10">
      <c r="A486" s="113" t="s">
        <v>863</v>
      </c>
      <c r="B486" s="113" t="s">
        <v>385</v>
      </c>
      <c r="C486" s="113" t="s">
        <v>386</v>
      </c>
      <c r="D486" s="113" t="s">
        <v>387</v>
      </c>
      <c r="E486">
        <v>3289</v>
      </c>
      <c r="F486" s="113" t="s">
        <v>1252</v>
      </c>
      <c r="G486" s="113" t="s">
        <v>388</v>
      </c>
      <c r="H486" s="113" t="s">
        <v>414</v>
      </c>
      <c r="I486" s="113" t="s">
        <v>405</v>
      </c>
      <c r="J486" s="113" t="s">
        <v>1253</v>
      </c>
    </row>
    <row r="487" spans="1:10">
      <c r="A487" s="113" t="s">
        <v>863</v>
      </c>
      <c r="B487" s="113" t="s">
        <v>385</v>
      </c>
      <c r="C487" s="113" t="s">
        <v>386</v>
      </c>
      <c r="D487" s="113" t="s">
        <v>387</v>
      </c>
      <c r="E487">
        <v>3401</v>
      </c>
      <c r="F487" s="113" t="s">
        <v>1254</v>
      </c>
      <c r="G487" s="113" t="s">
        <v>388</v>
      </c>
      <c r="H487" s="113" t="s">
        <v>454</v>
      </c>
      <c r="I487" s="113" t="s">
        <v>539</v>
      </c>
      <c r="J487" s="113" t="s">
        <v>1255</v>
      </c>
    </row>
    <row r="488" spans="1:10">
      <c r="A488" s="113" t="s">
        <v>863</v>
      </c>
      <c r="B488" s="113" t="s">
        <v>385</v>
      </c>
      <c r="C488" s="113" t="s">
        <v>386</v>
      </c>
      <c r="D488" s="113" t="s">
        <v>387</v>
      </c>
      <c r="E488">
        <v>3447</v>
      </c>
      <c r="F488" s="113" t="s">
        <v>874</v>
      </c>
      <c r="G488" s="113" t="s">
        <v>388</v>
      </c>
      <c r="H488" s="113" t="s">
        <v>403</v>
      </c>
      <c r="I488">
        <v>151</v>
      </c>
    </row>
    <row r="489" spans="1:10">
      <c r="A489" s="113" t="s">
        <v>863</v>
      </c>
      <c r="B489" s="113" t="s">
        <v>385</v>
      </c>
      <c r="C489" s="113" t="s">
        <v>386</v>
      </c>
      <c r="D489" s="113" t="s">
        <v>391</v>
      </c>
      <c r="E489">
        <v>3467</v>
      </c>
      <c r="F489" s="113" t="s">
        <v>876</v>
      </c>
      <c r="G489" s="113" t="s">
        <v>388</v>
      </c>
      <c r="H489" s="113" t="s">
        <v>414</v>
      </c>
      <c r="I489">
        <v>30</v>
      </c>
    </row>
    <row r="490" spans="1:10">
      <c r="A490" s="113" t="s">
        <v>863</v>
      </c>
      <c r="B490" s="113" t="s">
        <v>385</v>
      </c>
      <c r="C490" s="113" t="s">
        <v>386</v>
      </c>
      <c r="D490" s="113" t="s">
        <v>387</v>
      </c>
      <c r="E490">
        <v>3571</v>
      </c>
      <c r="F490" s="113" t="s">
        <v>1256</v>
      </c>
      <c r="G490" s="113" t="s">
        <v>388</v>
      </c>
      <c r="H490" s="113" t="s">
        <v>454</v>
      </c>
      <c r="I490" s="113">
        <v>135</v>
      </c>
      <c r="J490" s="113"/>
    </row>
    <row r="491" spans="1:10">
      <c r="A491" s="113" t="s">
        <v>863</v>
      </c>
      <c r="B491" s="113" t="s">
        <v>385</v>
      </c>
      <c r="C491" s="113" t="s">
        <v>386</v>
      </c>
      <c r="D491" s="113" t="s">
        <v>387</v>
      </c>
      <c r="E491">
        <v>3600</v>
      </c>
      <c r="F491" s="113" t="s">
        <v>1257</v>
      </c>
      <c r="G491" s="113" t="s">
        <v>396</v>
      </c>
      <c r="H491" s="113" t="s">
        <v>454</v>
      </c>
      <c r="I491">
        <v>26</v>
      </c>
    </row>
    <row r="492" spans="1:10">
      <c r="A492" s="113" t="s">
        <v>863</v>
      </c>
      <c r="B492" s="113" t="s">
        <v>385</v>
      </c>
      <c r="C492" s="113" t="s">
        <v>386</v>
      </c>
      <c r="D492" s="113" t="s">
        <v>387</v>
      </c>
      <c r="E492">
        <v>3622</v>
      </c>
      <c r="F492" s="113" t="s">
        <v>1258</v>
      </c>
      <c r="G492" s="113" t="s">
        <v>400</v>
      </c>
      <c r="H492" s="113" t="s">
        <v>399</v>
      </c>
      <c r="I492" s="113">
        <v>43</v>
      </c>
      <c r="J492" s="113"/>
    </row>
    <row r="493" spans="1:10">
      <c r="A493" s="113" t="s">
        <v>863</v>
      </c>
      <c r="B493" s="113" t="s">
        <v>385</v>
      </c>
      <c r="C493" s="113" t="s">
        <v>386</v>
      </c>
      <c r="D493" s="113" t="s">
        <v>387</v>
      </c>
      <c r="E493">
        <v>3626</v>
      </c>
      <c r="F493" s="113" t="s">
        <v>1259</v>
      </c>
      <c r="G493" s="113" t="s">
        <v>388</v>
      </c>
      <c r="H493" s="113" t="s">
        <v>399</v>
      </c>
      <c r="I493" s="113" t="s">
        <v>405</v>
      </c>
      <c r="J493" s="113" t="s">
        <v>1260</v>
      </c>
    </row>
    <row r="494" spans="1:10">
      <c r="A494" s="113" t="s">
        <v>863</v>
      </c>
      <c r="B494" s="113" t="s">
        <v>385</v>
      </c>
      <c r="C494" s="113" t="s">
        <v>386</v>
      </c>
      <c r="D494" s="113" t="s">
        <v>391</v>
      </c>
      <c r="E494">
        <v>3741</v>
      </c>
      <c r="F494" s="113" t="s">
        <v>1261</v>
      </c>
      <c r="G494" s="113" t="s">
        <v>388</v>
      </c>
      <c r="H494" s="113" t="s">
        <v>399</v>
      </c>
      <c r="I494">
        <v>199</v>
      </c>
    </row>
    <row r="495" spans="1:10">
      <c r="A495" s="113" t="s">
        <v>863</v>
      </c>
      <c r="B495" s="113" t="s">
        <v>385</v>
      </c>
      <c r="C495" s="113" t="s">
        <v>386</v>
      </c>
      <c r="D495" s="113" t="s">
        <v>387</v>
      </c>
      <c r="E495">
        <v>3943</v>
      </c>
      <c r="F495" s="113" t="s">
        <v>877</v>
      </c>
      <c r="G495" s="113" t="s">
        <v>750</v>
      </c>
      <c r="H495" s="113" t="s">
        <v>456</v>
      </c>
      <c r="I495">
        <v>79</v>
      </c>
    </row>
    <row r="496" spans="1:10">
      <c r="A496" s="113" t="s">
        <v>863</v>
      </c>
      <c r="B496" s="113" t="s">
        <v>385</v>
      </c>
      <c r="C496" s="113" t="s">
        <v>386</v>
      </c>
      <c r="D496" s="113" t="s">
        <v>387</v>
      </c>
      <c r="E496">
        <v>4046</v>
      </c>
      <c r="F496" s="113" t="s">
        <v>878</v>
      </c>
      <c r="G496" s="113" t="s">
        <v>388</v>
      </c>
      <c r="H496" s="113" t="s">
        <v>401</v>
      </c>
      <c r="I496" s="113">
        <v>829</v>
      </c>
      <c r="J496" s="113"/>
    </row>
    <row r="497" spans="1:10">
      <c r="A497" s="113" t="s">
        <v>863</v>
      </c>
      <c r="B497" s="113" t="s">
        <v>385</v>
      </c>
      <c r="C497" s="113" t="s">
        <v>386</v>
      </c>
      <c r="D497" s="113" t="s">
        <v>391</v>
      </c>
      <c r="E497">
        <v>4080</v>
      </c>
      <c r="F497" s="113" t="s">
        <v>879</v>
      </c>
      <c r="G497" s="113" t="s">
        <v>392</v>
      </c>
      <c r="H497" s="113" t="s">
        <v>401</v>
      </c>
      <c r="I497">
        <v>316</v>
      </c>
    </row>
    <row r="498" spans="1:10">
      <c r="A498" s="113" t="s">
        <v>863</v>
      </c>
      <c r="B498" s="113" t="s">
        <v>385</v>
      </c>
      <c r="C498" s="113" t="s">
        <v>390</v>
      </c>
      <c r="D498" s="113" t="s">
        <v>391</v>
      </c>
      <c r="E498">
        <v>4447</v>
      </c>
      <c r="F498" s="113" t="s">
        <v>880</v>
      </c>
      <c r="G498" s="113" t="s">
        <v>750</v>
      </c>
      <c r="H498" s="113" t="s">
        <v>399</v>
      </c>
      <c r="I498">
        <v>25</v>
      </c>
    </row>
    <row r="499" spans="1:10">
      <c r="A499" s="113" t="s">
        <v>863</v>
      </c>
      <c r="B499" s="113" t="s">
        <v>385</v>
      </c>
      <c r="C499" s="113" t="s">
        <v>386</v>
      </c>
      <c r="D499" s="113" t="s">
        <v>387</v>
      </c>
      <c r="E499">
        <v>4548</v>
      </c>
      <c r="F499" s="113" t="s">
        <v>881</v>
      </c>
      <c r="G499" s="113" t="s">
        <v>388</v>
      </c>
      <c r="H499" s="113" t="s">
        <v>510</v>
      </c>
      <c r="I499" s="113">
        <v>715</v>
      </c>
      <c r="J499" s="113"/>
    </row>
    <row r="500" spans="1:10">
      <c r="A500" s="113" t="s">
        <v>863</v>
      </c>
      <c r="B500" s="113" t="s">
        <v>385</v>
      </c>
      <c r="C500" s="113" t="s">
        <v>386</v>
      </c>
      <c r="D500" s="113" t="s">
        <v>387</v>
      </c>
      <c r="E500">
        <v>5192</v>
      </c>
      <c r="F500" s="113" t="s">
        <v>882</v>
      </c>
      <c r="G500" s="113" t="s">
        <v>388</v>
      </c>
      <c r="H500" s="113" t="s">
        <v>883</v>
      </c>
      <c r="I500">
        <v>687</v>
      </c>
    </row>
    <row r="501" spans="1:10">
      <c r="A501" s="113" t="s">
        <v>863</v>
      </c>
      <c r="B501" s="113" t="s">
        <v>385</v>
      </c>
      <c r="C501" s="113" t="s">
        <v>386</v>
      </c>
      <c r="D501" s="113" t="s">
        <v>387</v>
      </c>
      <c r="E501">
        <v>5964</v>
      </c>
      <c r="F501" s="113" t="s">
        <v>884</v>
      </c>
      <c r="G501" s="113" t="s">
        <v>396</v>
      </c>
      <c r="H501" s="113" t="s">
        <v>403</v>
      </c>
      <c r="I501">
        <v>22</v>
      </c>
    </row>
    <row r="502" spans="1:10">
      <c r="A502" s="113" t="s">
        <v>863</v>
      </c>
      <c r="B502" s="113" t="s">
        <v>385</v>
      </c>
      <c r="C502" s="113" t="s">
        <v>386</v>
      </c>
      <c r="D502" s="113" t="s">
        <v>387</v>
      </c>
      <c r="E502">
        <v>5989</v>
      </c>
      <c r="F502" s="113" t="s">
        <v>885</v>
      </c>
      <c r="G502" s="113" t="s">
        <v>388</v>
      </c>
      <c r="H502" s="113" t="s">
        <v>403</v>
      </c>
      <c r="I502">
        <v>245</v>
      </c>
    </row>
    <row r="503" spans="1:10">
      <c r="A503" s="113" t="s">
        <v>863</v>
      </c>
      <c r="B503" s="113" t="s">
        <v>385</v>
      </c>
      <c r="C503" s="113" t="s">
        <v>386</v>
      </c>
      <c r="D503" s="113" t="s">
        <v>387</v>
      </c>
      <c r="E503">
        <v>6240</v>
      </c>
      <c r="F503" s="113" t="s">
        <v>886</v>
      </c>
      <c r="G503" s="113" t="s">
        <v>388</v>
      </c>
      <c r="H503" s="113" t="s">
        <v>409</v>
      </c>
      <c r="I503">
        <v>601</v>
      </c>
    </row>
    <row r="504" spans="1:10">
      <c r="A504" s="113" t="s">
        <v>863</v>
      </c>
      <c r="B504" s="113" t="s">
        <v>385</v>
      </c>
      <c r="C504" s="113" t="s">
        <v>395</v>
      </c>
      <c r="D504" s="113" t="s">
        <v>387</v>
      </c>
      <c r="E504">
        <v>6537</v>
      </c>
      <c r="F504" s="113" t="s">
        <v>887</v>
      </c>
      <c r="G504" s="113" t="s">
        <v>400</v>
      </c>
      <c r="H504" s="113" t="s">
        <v>393</v>
      </c>
      <c r="I504">
        <v>68</v>
      </c>
    </row>
    <row r="505" spans="1:10">
      <c r="A505" s="113" t="s">
        <v>863</v>
      </c>
      <c r="B505" s="113" t="s">
        <v>385</v>
      </c>
      <c r="C505" s="113" t="s">
        <v>397</v>
      </c>
      <c r="D505" s="113" t="s">
        <v>387</v>
      </c>
      <c r="E505">
        <v>6662</v>
      </c>
      <c r="F505" s="113" t="s">
        <v>1038</v>
      </c>
      <c r="G505" s="113" t="s">
        <v>392</v>
      </c>
      <c r="H505" s="113" t="s">
        <v>413</v>
      </c>
      <c r="I505">
        <v>43</v>
      </c>
    </row>
    <row r="506" spans="1:10">
      <c r="A506" s="113" t="s">
        <v>863</v>
      </c>
      <c r="B506" s="113" t="s">
        <v>385</v>
      </c>
      <c r="C506" s="113" t="s">
        <v>386</v>
      </c>
      <c r="D506" s="113" t="s">
        <v>387</v>
      </c>
      <c r="E506">
        <v>6832</v>
      </c>
      <c r="F506" s="113" t="s">
        <v>888</v>
      </c>
      <c r="G506" s="113" t="s">
        <v>396</v>
      </c>
      <c r="H506" s="113" t="s">
        <v>413</v>
      </c>
      <c r="I506">
        <v>301</v>
      </c>
    </row>
    <row r="507" spans="1:10">
      <c r="A507" s="113" t="s">
        <v>863</v>
      </c>
      <c r="B507" s="113" t="s">
        <v>385</v>
      </c>
      <c r="C507" s="113" t="s">
        <v>386</v>
      </c>
      <c r="D507" s="113" t="s">
        <v>387</v>
      </c>
      <c r="E507">
        <v>7057</v>
      </c>
      <c r="F507" s="113" t="s">
        <v>889</v>
      </c>
      <c r="G507" s="113" t="s">
        <v>392</v>
      </c>
      <c r="H507" s="113" t="s">
        <v>393</v>
      </c>
      <c r="I507">
        <v>40</v>
      </c>
    </row>
    <row r="508" spans="1:10">
      <c r="A508" s="113" t="s">
        <v>863</v>
      </c>
      <c r="B508" s="113" t="s">
        <v>385</v>
      </c>
      <c r="C508" s="113" t="s">
        <v>386</v>
      </c>
      <c r="D508" s="113" t="s">
        <v>391</v>
      </c>
      <c r="E508">
        <v>7164</v>
      </c>
      <c r="F508" s="113" t="s">
        <v>890</v>
      </c>
      <c r="G508" s="113" t="s">
        <v>388</v>
      </c>
      <c r="H508" s="113" t="s">
        <v>460</v>
      </c>
      <c r="I508" s="113" t="s">
        <v>628</v>
      </c>
      <c r="J508" s="113" t="s">
        <v>1262</v>
      </c>
    </row>
    <row r="509" spans="1:10">
      <c r="A509" s="113" t="s">
        <v>863</v>
      </c>
      <c r="B509" s="113" t="s">
        <v>385</v>
      </c>
      <c r="C509" s="113" t="s">
        <v>386</v>
      </c>
      <c r="D509" s="113" t="s">
        <v>387</v>
      </c>
      <c r="E509">
        <v>7230</v>
      </c>
      <c r="F509" s="113" t="s">
        <v>891</v>
      </c>
      <c r="G509" s="113" t="s">
        <v>388</v>
      </c>
      <c r="H509" s="113" t="s">
        <v>439</v>
      </c>
      <c r="I509" s="113" t="s">
        <v>443</v>
      </c>
      <c r="J509" s="113" t="s">
        <v>1263</v>
      </c>
    </row>
    <row r="510" spans="1:10">
      <c r="A510" s="113" t="s">
        <v>863</v>
      </c>
      <c r="B510" s="113" t="s">
        <v>385</v>
      </c>
      <c r="C510" s="113" t="s">
        <v>386</v>
      </c>
      <c r="D510" s="113" t="s">
        <v>387</v>
      </c>
      <c r="E510">
        <v>7259</v>
      </c>
      <c r="F510" s="113" t="s">
        <v>893</v>
      </c>
      <c r="G510" s="113" t="s">
        <v>388</v>
      </c>
      <c r="H510" s="113" t="s">
        <v>439</v>
      </c>
      <c r="I510" s="113" t="s">
        <v>894</v>
      </c>
      <c r="J510" s="113" t="s">
        <v>1264</v>
      </c>
    </row>
    <row r="511" spans="1:10">
      <c r="A511" s="113" t="s">
        <v>863</v>
      </c>
      <c r="B511" s="113" t="s">
        <v>385</v>
      </c>
      <c r="C511" s="113" t="s">
        <v>386</v>
      </c>
      <c r="D511" s="113" t="s">
        <v>391</v>
      </c>
      <c r="E511">
        <v>7481</v>
      </c>
      <c r="F511" s="113" t="s">
        <v>895</v>
      </c>
      <c r="G511" s="113" t="s">
        <v>388</v>
      </c>
      <c r="H511" s="113" t="s">
        <v>394</v>
      </c>
      <c r="I511">
        <v>126</v>
      </c>
    </row>
    <row r="512" spans="1:10">
      <c r="A512" s="113" t="s">
        <v>863</v>
      </c>
      <c r="B512" s="113" t="s">
        <v>385</v>
      </c>
      <c r="C512" s="113" t="s">
        <v>386</v>
      </c>
      <c r="D512" s="113" t="s">
        <v>387</v>
      </c>
      <c r="E512">
        <v>7702</v>
      </c>
      <c r="F512" s="113" t="s">
        <v>896</v>
      </c>
      <c r="G512" s="113" t="s">
        <v>388</v>
      </c>
      <c r="H512" s="113" t="s">
        <v>655</v>
      </c>
      <c r="I512">
        <v>190</v>
      </c>
    </row>
    <row r="513" spans="1:10">
      <c r="A513" s="113" t="s">
        <v>863</v>
      </c>
      <c r="B513" s="113" t="s">
        <v>385</v>
      </c>
      <c r="C513" s="113" t="s">
        <v>397</v>
      </c>
      <c r="D513" s="113" t="s">
        <v>387</v>
      </c>
      <c r="E513">
        <v>7813</v>
      </c>
      <c r="F513" s="113" t="s">
        <v>897</v>
      </c>
      <c r="G513" s="113" t="s">
        <v>400</v>
      </c>
      <c r="H513" s="113" t="s">
        <v>410</v>
      </c>
      <c r="I513">
        <v>51</v>
      </c>
    </row>
    <row r="514" spans="1:10">
      <c r="A514" s="113" t="s">
        <v>863</v>
      </c>
      <c r="B514" s="113" t="s">
        <v>385</v>
      </c>
      <c r="C514" s="113" t="s">
        <v>395</v>
      </c>
      <c r="D514" s="113" t="s">
        <v>387</v>
      </c>
      <c r="E514">
        <v>7963</v>
      </c>
      <c r="F514" s="113" t="s">
        <v>898</v>
      </c>
      <c r="G514" s="113" t="s">
        <v>392</v>
      </c>
      <c r="H514" s="113" t="s">
        <v>410</v>
      </c>
      <c r="I514">
        <v>68</v>
      </c>
    </row>
    <row r="515" spans="1:10">
      <c r="A515" s="113" t="s">
        <v>863</v>
      </c>
      <c r="B515" s="113" t="s">
        <v>385</v>
      </c>
      <c r="C515" s="113" t="s">
        <v>386</v>
      </c>
      <c r="D515" s="113" t="s">
        <v>387</v>
      </c>
      <c r="E515">
        <v>8138</v>
      </c>
      <c r="F515" s="113" t="s">
        <v>899</v>
      </c>
      <c r="G515" s="113" t="s">
        <v>396</v>
      </c>
      <c r="H515" s="113" t="s">
        <v>394</v>
      </c>
      <c r="I515">
        <v>43</v>
      </c>
    </row>
    <row r="516" spans="1:10">
      <c r="A516" s="113" t="s">
        <v>863</v>
      </c>
      <c r="B516" s="113" t="s">
        <v>385</v>
      </c>
      <c r="C516" s="113" t="s">
        <v>386</v>
      </c>
      <c r="D516" s="113" t="s">
        <v>387</v>
      </c>
      <c r="E516">
        <v>8153</v>
      </c>
      <c r="F516" s="113" t="s">
        <v>900</v>
      </c>
      <c r="G516" s="113" t="s">
        <v>388</v>
      </c>
      <c r="H516" s="113" t="s">
        <v>394</v>
      </c>
      <c r="I516">
        <v>978</v>
      </c>
    </row>
    <row r="517" spans="1:10">
      <c r="A517" s="113" t="s">
        <v>863</v>
      </c>
      <c r="B517" s="113" t="s">
        <v>385</v>
      </c>
      <c r="C517" s="113" t="s">
        <v>386</v>
      </c>
      <c r="D517" s="113" t="s">
        <v>387</v>
      </c>
      <c r="E517">
        <v>8226</v>
      </c>
      <c r="F517" s="113" t="s">
        <v>901</v>
      </c>
      <c r="G517" s="113" t="s">
        <v>396</v>
      </c>
      <c r="H517" s="113" t="s">
        <v>394</v>
      </c>
      <c r="I517">
        <v>30</v>
      </c>
    </row>
    <row r="518" spans="1:10">
      <c r="A518" s="113" t="s">
        <v>863</v>
      </c>
      <c r="B518" s="113" t="s">
        <v>385</v>
      </c>
      <c r="C518" s="113" t="s">
        <v>386</v>
      </c>
      <c r="D518" s="113" t="s">
        <v>387</v>
      </c>
      <c r="E518">
        <v>8281</v>
      </c>
      <c r="F518" s="113" t="s">
        <v>902</v>
      </c>
      <c r="G518" s="113" t="s">
        <v>388</v>
      </c>
      <c r="H518" s="113" t="s">
        <v>398</v>
      </c>
      <c r="I518">
        <v>629</v>
      </c>
    </row>
    <row r="519" spans="1:10">
      <c r="A519" s="113" t="s">
        <v>863</v>
      </c>
      <c r="B519" s="113" t="s">
        <v>385</v>
      </c>
      <c r="C519" s="113" t="s">
        <v>386</v>
      </c>
      <c r="D519" s="113" t="s">
        <v>387</v>
      </c>
      <c r="E519">
        <v>9001</v>
      </c>
      <c r="F519" s="113" t="s">
        <v>903</v>
      </c>
      <c r="G519" s="113" t="s">
        <v>388</v>
      </c>
      <c r="H519" s="113" t="s">
        <v>677</v>
      </c>
      <c r="I519" s="113" t="s">
        <v>657</v>
      </c>
      <c r="J519" s="113" t="s">
        <v>1265</v>
      </c>
    </row>
    <row r="520" spans="1:10">
      <c r="A520" s="113" t="s">
        <v>863</v>
      </c>
      <c r="B520" s="113" t="s">
        <v>385</v>
      </c>
      <c r="C520" s="113" t="s">
        <v>395</v>
      </c>
      <c r="D520" s="113" t="s">
        <v>391</v>
      </c>
      <c r="E520">
        <v>9284</v>
      </c>
      <c r="F520" s="113" t="s">
        <v>1041</v>
      </c>
      <c r="G520" s="113" t="s">
        <v>475</v>
      </c>
      <c r="H520" s="113" t="s">
        <v>476</v>
      </c>
      <c r="I520">
        <v>286</v>
      </c>
    </row>
    <row r="521" spans="1:10">
      <c r="A521" s="113" t="s">
        <v>863</v>
      </c>
      <c r="B521" s="113" t="s">
        <v>385</v>
      </c>
      <c r="C521" s="113" t="s">
        <v>386</v>
      </c>
      <c r="D521" s="113" t="s">
        <v>387</v>
      </c>
      <c r="E521">
        <v>9364</v>
      </c>
      <c r="F521" s="113" t="s">
        <v>904</v>
      </c>
      <c r="G521" s="113" t="s">
        <v>388</v>
      </c>
      <c r="H521" s="113" t="s">
        <v>905</v>
      </c>
      <c r="I521" s="113" t="s">
        <v>628</v>
      </c>
      <c r="J521" s="113" t="s">
        <v>1266</v>
      </c>
    </row>
    <row r="522" spans="1:10">
      <c r="A522" s="113" t="s">
        <v>863</v>
      </c>
      <c r="B522" s="113" t="s">
        <v>385</v>
      </c>
      <c r="C522" s="113" t="s">
        <v>386</v>
      </c>
      <c r="D522" s="113" t="s">
        <v>387</v>
      </c>
      <c r="E522">
        <v>9613</v>
      </c>
      <c r="F522" s="113" t="s">
        <v>906</v>
      </c>
      <c r="G522" s="113" t="s">
        <v>388</v>
      </c>
      <c r="H522" s="113" t="s">
        <v>399</v>
      </c>
      <c r="I522" s="113" t="s">
        <v>798</v>
      </c>
      <c r="J522" s="113" t="s">
        <v>1080</v>
      </c>
    </row>
    <row r="523" spans="1:10">
      <c r="A523" s="113" t="s">
        <v>863</v>
      </c>
      <c r="B523" s="113" t="s">
        <v>385</v>
      </c>
      <c r="C523" s="113" t="s">
        <v>386</v>
      </c>
      <c r="D523" s="113" t="s">
        <v>387</v>
      </c>
      <c r="E523">
        <v>9671</v>
      </c>
      <c r="F523" s="113" t="s">
        <v>907</v>
      </c>
      <c r="G523" s="113" t="s">
        <v>388</v>
      </c>
      <c r="H523" s="113" t="s">
        <v>393</v>
      </c>
      <c r="I523" s="113">
        <v>382</v>
      </c>
      <c r="J523" s="113"/>
    </row>
    <row r="524" spans="1:10">
      <c r="A524" s="113" t="s">
        <v>863</v>
      </c>
      <c r="B524" s="113" t="s">
        <v>385</v>
      </c>
      <c r="C524" s="113" t="s">
        <v>386</v>
      </c>
      <c r="D524" s="113" t="s">
        <v>387</v>
      </c>
      <c r="E524">
        <v>9887</v>
      </c>
      <c r="F524" s="113" t="s">
        <v>908</v>
      </c>
      <c r="G524" s="113" t="s">
        <v>388</v>
      </c>
      <c r="H524" s="113" t="s">
        <v>398</v>
      </c>
      <c r="I524" s="113">
        <v>871</v>
      </c>
      <c r="J524" s="113"/>
    </row>
    <row r="525" spans="1:10">
      <c r="A525" s="113" t="s">
        <v>863</v>
      </c>
      <c r="B525" s="113" t="s">
        <v>385</v>
      </c>
      <c r="C525" s="113" t="s">
        <v>386</v>
      </c>
      <c r="D525" s="113" t="s">
        <v>387</v>
      </c>
      <c r="E525">
        <v>9896</v>
      </c>
      <c r="F525" s="113" t="s">
        <v>909</v>
      </c>
      <c r="G525" s="113" t="s">
        <v>388</v>
      </c>
      <c r="H525" s="113" t="s">
        <v>394</v>
      </c>
      <c r="I525">
        <v>205</v>
      </c>
    </row>
    <row r="526" spans="1:10">
      <c r="A526" s="113" t="s">
        <v>910</v>
      </c>
      <c r="B526" s="113" t="s">
        <v>385</v>
      </c>
      <c r="C526" s="113" t="s">
        <v>386</v>
      </c>
      <c r="D526" s="113" t="s">
        <v>391</v>
      </c>
      <c r="E526">
        <v>1450</v>
      </c>
      <c r="F526" s="113" t="s">
        <v>911</v>
      </c>
      <c r="G526" s="113" t="s">
        <v>392</v>
      </c>
      <c r="H526" s="113" t="s">
        <v>422</v>
      </c>
      <c r="I526">
        <v>53</v>
      </c>
    </row>
    <row r="527" spans="1:10">
      <c r="A527" s="113" t="s">
        <v>910</v>
      </c>
      <c r="B527" s="113" t="s">
        <v>385</v>
      </c>
      <c r="C527" s="113" t="s">
        <v>386</v>
      </c>
      <c r="D527" s="113" t="s">
        <v>387</v>
      </c>
      <c r="E527">
        <v>1451</v>
      </c>
      <c r="F527" s="113" t="s">
        <v>912</v>
      </c>
      <c r="G527" s="113" t="s">
        <v>396</v>
      </c>
      <c r="H527" s="113" t="s">
        <v>422</v>
      </c>
      <c r="I527" s="113">
        <v>31</v>
      </c>
      <c r="J527" s="113"/>
    </row>
    <row r="528" spans="1:10">
      <c r="A528" s="113" t="s">
        <v>910</v>
      </c>
      <c r="B528" s="113" t="s">
        <v>385</v>
      </c>
      <c r="C528" s="113" t="s">
        <v>395</v>
      </c>
      <c r="D528" s="113" t="s">
        <v>387</v>
      </c>
      <c r="E528">
        <v>1605</v>
      </c>
      <c r="F528" s="113" t="s">
        <v>913</v>
      </c>
      <c r="G528" s="113" t="s">
        <v>388</v>
      </c>
      <c r="H528" s="113" t="s">
        <v>914</v>
      </c>
      <c r="I528" s="113" t="s">
        <v>915</v>
      </c>
      <c r="J528" s="113" t="s">
        <v>892</v>
      </c>
    </row>
    <row r="529" spans="1:10">
      <c r="A529" s="113" t="s">
        <v>910</v>
      </c>
      <c r="B529" s="113" t="s">
        <v>385</v>
      </c>
      <c r="C529" s="113" t="s">
        <v>386</v>
      </c>
      <c r="D529" s="113" t="s">
        <v>387</v>
      </c>
      <c r="E529">
        <v>1866</v>
      </c>
      <c r="F529" s="113" t="s">
        <v>916</v>
      </c>
      <c r="G529" s="113" t="s">
        <v>388</v>
      </c>
      <c r="H529" s="113" t="s">
        <v>422</v>
      </c>
      <c r="I529">
        <v>179</v>
      </c>
    </row>
    <row r="530" spans="1:10">
      <c r="A530" s="113" t="s">
        <v>910</v>
      </c>
      <c r="B530" s="113" t="s">
        <v>385</v>
      </c>
      <c r="C530" s="113" t="s">
        <v>395</v>
      </c>
      <c r="D530" s="113" t="s">
        <v>387</v>
      </c>
      <c r="E530">
        <v>1899</v>
      </c>
      <c r="F530" s="113" t="s">
        <v>917</v>
      </c>
      <c r="G530" s="113" t="s">
        <v>388</v>
      </c>
      <c r="H530" s="113" t="s">
        <v>422</v>
      </c>
      <c r="I530" s="113">
        <v>442</v>
      </c>
      <c r="J530" s="113"/>
    </row>
    <row r="531" spans="1:10">
      <c r="A531" s="113" t="s">
        <v>910</v>
      </c>
      <c r="B531" s="113" t="s">
        <v>385</v>
      </c>
      <c r="C531" s="113" t="s">
        <v>386</v>
      </c>
      <c r="D531" s="113" t="s">
        <v>387</v>
      </c>
      <c r="E531">
        <v>1952</v>
      </c>
      <c r="F531" s="113" t="s">
        <v>918</v>
      </c>
      <c r="G531" s="113" t="s">
        <v>388</v>
      </c>
      <c r="H531" s="113" t="s">
        <v>422</v>
      </c>
      <c r="I531">
        <v>543</v>
      </c>
    </row>
    <row r="532" spans="1:10">
      <c r="A532" s="113" t="s">
        <v>910</v>
      </c>
      <c r="B532" s="113" t="s">
        <v>385</v>
      </c>
      <c r="C532" s="113" t="s">
        <v>386</v>
      </c>
      <c r="D532" s="113" t="s">
        <v>387</v>
      </c>
      <c r="E532">
        <v>2134</v>
      </c>
      <c r="F532" s="113" t="s">
        <v>919</v>
      </c>
      <c r="G532" s="113" t="s">
        <v>392</v>
      </c>
      <c r="H532" s="113" t="s">
        <v>393</v>
      </c>
      <c r="I532">
        <v>45</v>
      </c>
    </row>
    <row r="533" spans="1:10">
      <c r="A533" s="113" t="s">
        <v>910</v>
      </c>
      <c r="B533" s="113" t="s">
        <v>385</v>
      </c>
      <c r="C533" s="113" t="s">
        <v>386</v>
      </c>
      <c r="D533" s="113" t="s">
        <v>387</v>
      </c>
      <c r="E533">
        <v>2831</v>
      </c>
      <c r="F533" s="113" t="s">
        <v>1267</v>
      </c>
      <c r="G533" s="113" t="s">
        <v>396</v>
      </c>
      <c r="H533" s="113" t="s">
        <v>389</v>
      </c>
      <c r="I533">
        <v>270</v>
      </c>
    </row>
    <row r="534" spans="1:10">
      <c r="A534" s="113" t="s">
        <v>910</v>
      </c>
      <c r="B534" s="113" t="s">
        <v>385</v>
      </c>
      <c r="C534" s="113" t="s">
        <v>390</v>
      </c>
      <c r="D534" s="113" t="s">
        <v>387</v>
      </c>
      <c r="E534">
        <v>2974</v>
      </c>
      <c r="F534" s="113" t="s">
        <v>920</v>
      </c>
      <c r="G534" s="113" t="s">
        <v>750</v>
      </c>
      <c r="H534" s="113" t="s">
        <v>414</v>
      </c>
      <c r="I534">
        <v>35</v>
      </c>
    </row>
    <row r="535" spans="1:10">
      <c r="A535" s="113" t="s">
        <v>910</v>
      </c>
      <c r="B535" s="113" t="s">
        <v>385</v>
      </c>
      <c r="C535" s="113" t="s">
        <v>386</v>
      </c>
      <c r="D535" s="113" t="s">
        <v>387</v>
      </c>
      <c r="E535">
        <v>2976</v>
      </c>
      <c r="F535" s="113" t="s">
        <v>921</v>
      </c>
      <c r="G535" s="113" t="s">
        <v>922</v>
      </c>
      <c r="H535" s="113" t="s">
        <v>414</v>
      </c>
      <c r="I535">
        <v>14</v>
      </c>
    </row>
    <row r="536" spans="1:10">
      <c r="A536" s="113" t="s">
        <v>910</v>
      </c>
      <c r="B536" s="113" t="s">
        <v>385</v>
      </c>
      <c r="C536" s="113" t="s">
        <v>386</v>
      </c>
      <c r="D536" s="113" t="s">
        <v>387</v>
      </c>
      <c r="E536">
        <v>3291</v>
      </c>
      <c r="F536" s="113" t="s">
        <v>1268</v>
      </c>
      <c r="G536" s="113" t="s">
        <v>388</v>
      </c>
      <c r="H536" s="113" t="s">
        <v>414</v>
      </c>
      <c r="I536" s="113" t="s">
        <v>405</v>
      </c>
      <c r="J536" s="113" t="s">
        <v>1269</v>
      </c>
    </row>
    <row r="537" spans="1:10">
      <c r="A537" s="113" t="s">
        <v>910</v>
      </c>
      <c r="B537" s="113" t="s">
        <v>385</v>
      </c>
      <c r="C537" s="113" t="s">
        <v>386</v>
      </c>
      <c r="D537" s="113" t="s">
        <v>387</v>
      </c>
      <c r="E537">
        <v>3372</v>
      </c>
      <c r="F537" s="113" t="s">
        <v>1270</v>
      </c>
      <c r="G537" s="113" t="s">
        <v>396</v>
      </c>
      <c r="H537" s="113" t="s">
        <v>398</v>
      </c>
      <c r="I537">
        <v>52</v>
      </c>
    </row>
    <row r="538" spans="1:10">
      <c r="A538" s="113" t="s">
        <v>910</v>
      </c>
      <c r="B538" s="113" t="s">
        <v>385</v>
      </c>
      <c r="C538" s="113" t="s">
        <v>395</v>
      </c>
      <c r="D538" s="113" t="s">
        <v>387</v>
      </c>
      <c r="E538">
        <v>3606</v>
      </c>
      <c r="F538" s="113" t="s">
        <v>923</v>
      </c>
      <c r="G538" s="113" t="s">
        <v>388</v>
      </c>
      <c r="H538" s="113" t="s">
        <v>454</v>
      </c>
      <c r="I538">
        <v>114</v>
      </c>
    </row>
    <row r="539" spans="1:10">
      <c r="A539" s="113" t="s">
        <v>910</v>
      </c>
      <c r="B539" s="113" t="s">
        <v>385</v>
      </c>
      <c r="C539" s="113" t="s">
        <v>386</v>
      </c>
      <c r="D539" s="113" t="s">
        <v>391</v>
      </c>
      <c r="E539">
        <v>3652</v>
      </c>
      <c r="F539" s="113" t="s">
        <v>1271</v>
      </c>
      <c r="G539" s="113" t="s">
        <v>400</v>
      </c>
      <c r="H539" s="113" t="s">
        <v>399</v>
      </c>
      <c r="I539">
        <v>132</v>
      </c>
    </row>
    <row r="540" spans="1:10">
      <c r="A540" s="113" t="s">
        <v>910</v>
      </c>
      <c r="B540" s="113" t="s">
        <v>385</v>
      </c>
      <c r="C540" s="113" t="s">
        <v>395</v>
      </c>
      <c r="D540" s="113" t="s">
        <v>391</v>
      </c>
      <c r="E540">
        <v>3719</v>
      </c>
      <c r="F540" s="113" t="s">
        <v>1272</v>
      </c>
      <c r="G540" s="113" t="s">
        <v>392</v>
      </c>
      <c r="H540" s="113" t="s">
        <v>399</v>
      </c>
      <c r="I540">
        <v>26</v>
      </c>
    </row>
    <row r="541" spans="1:10">
      <c r="A541" s="113" t="s">
        <v>910</v>
      </c>
      <c r="B541" s="113" t="s">
        <v>385</v>
      </c>
      <c r="C541" s="113" t="s">
        <v>397</v>
      </c>
      <c r="D541" s="113" t="s">
        <v>387</v>
      </c>
      <c r="E541">
        <v>3856</v>
      </c>
      <c r="F541" s="113" t="s">
        <v>924</v>
      </c>
      <c r="G541" s="113" t="s">
        <v>396</v>
      </c>
      <c r="H541" s="113" t="s">
        <v>413</v>
      </c>
      <c r="I541">
        <v>30</v>
      </c>
    </row>
    <row r="542" spans="1:10">
      <c r="A542" s="113" t="s">
        <v>910</v>
      </c>
      <c r="B542" s="113" t="s">
        <v>385</v>
      </c>
      <c r="C542" s="113" t="s">
        <v>386</v>
      </c>
      <c r="D542" s="113" t="s">
        <v>387</v>
      </c>
      <c r="E542">
        <v>3896</v>
      </c>
      <c r="F542" s="113" t="s">
        <v>925</v>
      </c>
      <c r="G542" s="113" t="s">
        <v>388</v>
      </c>
      <c r="H542" s="113" t="s">
        <v>456</v>
      </c>
      <c r="I542">
        <v>71</v>
      </c>
    </row>
    <row r="543" spans="1:10">
      <c r="A543" s="113" t="s">
        <v>910</v>
      </c>
      <c r="B543" s="113" t="s">
        <v>385</v>
      </c>
      <c r="C543" s="113" t="s">
        <v>395</v>
      </c>
      <c r="D543" s="113" t="s">
        <v>387</v>
      </c>
      <c r="E543">
        <v>3902</v>
      </c>
      <c r="F543" s="113" t="s">
        <v>926</v>
      </c>
      <c r="G543" s="113" t="s">
        <v>388</v>
      </c>
      <c r="H543" s="113" t="s">
        <v>399</v>
      </c>
      <c r="I543">
        <v>387</v>
      </c>
    </row>
    <row r="544" spans="1:10">
      <c r="A544" s="113" t="s">
        <v>910</v>
      </c>
      <c r="B544" s="113" t="s">
        <v>385</v>
      </c>
      <c r="C544" s="113" t="s">
        <v>386</v>
      </c>
      <c r="D544" s="113" t="s">
        <v>387</v>
      </c>
      <c r="E544">
        <v>3963</v>
      </c>
      <c r="F544" s="113" t="s">
        <v>927</v>
      </c>
      <c r="G544" s="113" t="s">
        <v>388</v>
      </c>
      <c r="H544" s="113" t="s">
        <v>399</v>
      </c>
      <c r="I544">
        <v>143</v>
      </c>
    </row>
    <row r="545" spans="1:10">
      <c r="A545" s="113" t="s">
        <v>910</v>
      </c>
      <c r="B545" s="113" t="s">
        <v>385</v>
      </c>
      <c r="C545" s="113" t="s">
        <v>395</v>
      </c>
      <c r="D545" s="113" t="s">
        <v>387</v>
      </c>
      <c r="E545">
        <v>4245</v>
      </c>
      <c r="F545" s="113" t="s">
        <v>928</v>
      </c>
      <c r="G545" s="113" t="s">
        <v>388</v>
      </c>
      <c r="H545" s="113" t="s">
        <v>401</v>
      </c>
      <c r="I545">
        <v>129</v>
      </c>
    </row>
    <row r="546" spans="1:10">
      <c r="A546" s="113" t="s">
        <v>910</v>
      </c>
      <c r="B546" s="113" t="s">
        <v>385</v>
      </c>
      <c r="C546" s="113" t="s">
        <v>395</v>
      </c>
      <c r="D546" s="113" t="s">
        <v>387</v>
      </c>
      <c r="E546">
        <v>4251</v>
      </c>
      <c r="F546" s="113" t="s">
        <v>929</v>
      </c>
      <c r="G546" s="113" t="s">
        <v>396</v>
      </c>
      <c r="H546" s="113" t="s">
        <v>401</v>
      </c>
      <c r="I546">
        <v>81</v>
      </c>
    </row>
    <row r="547" spans="1:10">
      <c r="A547" s="113" t="s">
        <v>910</v>
      </c>
      <c r="B547" s="113" t="s">
        <v>385</v>
      </c>
      <c r="C547" s="113" t="s">
        <v>386</v>
      </c>
      <c r="D547" s="113" t="s">
        <v>387</v>
      </c>
      <c r="E547">
        <v>4425</v>
      </c>
      <c r="F547" s="113" t="s">
        <v>930</v>
      </c>
      <c r="G547" s="113" t="s">
        <v>400</v>
      </c>
      <c r="H547" s="113" t="s">
        <v>399</v>
      </c>
      <c r="I547">
        <v>622</v>
      </c>
    </row>
    <row r="548" spans="1:10">
      <c r="A548" s="113" t="s">
        <v>910</v>
      </c>
      <c r="B548" s="113" t="s">
        <v>385</v>
      </c>
      <c r="C548" s="113" t="s">
        <v>386</v>
      </c>
      <c r="D548" s="113" t="s">
        <v>391</v>
      </c>
      <c r="E548">
        <v>4435</v>
      </c>
      <c r="F548" s="113" t="s">
        <v>931</v>
      </c>
      <c r="G548" s="113" t="s">
        <v>400</v>
      </c>
      <c r="H548" s="113" t="s">
        <v>399</v>
      </c>
      <c r="I548">
        <v>450</v>
      </c>
    </row>
    <row r="549" spans="1:10">
      <c r="A549" s="113" t="s">
        <v>910</v>
      </c>
      <c r="B549" s="113" t="s">
        <v>385</v>
      </c>
      <c r="C549" s="113" t="s">
        <v>386</v>
      </c>
      <c r="D549" s="113" t="s">
        <v>387</v>
      </c>
      <c r="E549">
        <v>4442</v>
      </c>
      <c r="F549" s="113" t="s">
        <v>932</v>
      </c>
      <c r="G549" s="113" t="s">
        <v>400</v>
      </c>
      <c r="H549" s="113" t="s">
        <v>399</v>
      </c>
      <c r="I549">
        <v>117</v>
      </c>
    </row>
    <row r="550" spans="1:10">
      <c r="A550" s="113" t="s">
        <v>910</v>
      </c>
      <c r="B550" s="113" t="s">
        <v>385</v>
      </c>
      <c r="C550" s="113" t="s">
        <v>395</v>
      </c>
      <c r="D550" s="113" t="s">
        <v>391</v>
      </c>
      <c r="E550">
        <v>4448</v>
      </c>
      <c r="F550" s="113" t="s">
        <v>933</v>
      </c>
      <c r="G550" s="113" t="s">
        <v>400</v>
      </c>
      <c r="H550" s="113" t="s">
        <v>399</v>
      </c>
      <c r="I550">
        <v>422</v>
      </c>
    </row>
    <row r="551" spans="1:10">
      <c r="A551" s="113" t="s">
        <v>910</v>
      </c>
      <c r="B551" s="113" t="s">
        <v>385</v>
      </c>
      <c r="C551" s="113" t="s">
        <v>395</v>
      </c>
      <c r="D551" s="113" t="s">
        <v>387</v>
      </c>
      <c r="E551">
        <v>4449</v>
      </c>
      <c r="F551" s="113" t="s">
        <v>934</v>
      </c>
      <c r="G551" s="113" t="s">
        <v>400</v>
      </c>
      <c r="H551" s="113" t="s">
        <v>399</v>
      </c>
      <c r="I551">
        <v>457</v>
      </c>
    </row>
    <row r="552" spans="1:10">
      <c r="A552" s="113" t="s">
        <v>910</v>
      </c>
      <c r="B552" s="113" t="s">
        <v>385</v>
      </c>
      <c r="C552" s="113" t="s">
        <v>395</v>
      </c>
      <c r="D552" s="113" t="s">
        <v>391</v>
      </c>
      <c r="E552">
        <v>4450</v>
      </c>
      <c r="F552" s="113" t="s">
        <v>935</v>
      </c>
      <c r="G552" s="113" t="s">
        <v>400</v>
      </c>
      <c r="H552" s="113" t="s">
        <v>399</v>
      </c>
      <c r="I552">
        <v>59</v>
      </c>
    </row>
    <row r="553" spans="1:10">
      <c r="A553" s="113" t="s">
        <v>910</v>
      </c>
      <c r="B553" s="113" t="s">
        <v>385</v>
      </c>
      <c r="C553" s="113" t="s">
        <v>390</v>
      </c>
      <c r="D553" s="113" t="s">
        <v>387</v>
      </c>
      <c r="E553">
        <v>4475</v>
      </c>
      <c r="F553" s="113" t="s">
        <v>936</v>
      </c>
      <c r="G553" s="113" t="s">
        <v>400</v>
      </c>
      <c r="H553" s="113" t="s">
        <v>399</v>
      </c>
      <c r="I553">
        <v>269</v>
      </c>
    </row>
    <row r="554" spans="1:10">
      <c r="A554" s="113" t="s">
        <v>910</v>
      </c>
      <c r="B554" s="113" t="s">
        <v>385</v>
      </c>
      <c r="C554" s="113" t="s">
        <v>395</v>
      </c>
      <c r="D554" s="113" t="s">
        <v>391</v>
      </c>
      <c r="E554">
        <v>4476</v>
      </c>
      <c r="F554" s="113" t="s">
        <v>937</v>
      </c>
      <c r="G554" s="113" t="s">
        <v>400</v>
      </c>
      <c r="H554" s="113" t="s">
        <v>399</v>
      </c>
      <c r="I554">
        <v>101</v>
      </c>
    </row>
    <row r="555" spans="1:10">
      <c r="A555" s="113" t="s">
        <v>910</v>
      </c>
      <c r="B555" s="113" t="s">
        <v>385</v>
      </c>
      <c r="C555" s="113" t="s">
        <v>395</v>
      </c>
      <c r="D555" s="113" t="s">
        <v>387</v>
      </c>
      <c r="E555">
        <v>4477</v>
      </c>
      <c r="F555" s="113" t="s">
        <v>938</v>
      </c>
      <c r="G555" s="113" t="s">
        <v>400</v>
      </c>
      <c r="H555" s="113" t="s">
        <v>399</v>
      </c>
      <c r="I555">
        <v>393</v>
      </c>
    </row>
    <row r="556" spans="1:10">
      <c r="A556" s="113" t="s">
        <v>910</v>
      </c>
      <c r="B556" s="113" t="s">
        <v>385</v>
      </c>
      <c r="C556" s="113" t="s">
        <v>395</v>
      </c>
      <c r="D556" s="113" t="s">
        <v>387</v>
      </c>
      <c r="E556">
        <v>4631</v>
      </c>
      <c r="F556" s="113" t="s">
        <v>939</v>
      </c>
      <c r="G556" s="113" t="s">
        <v>388</v>
      </c>
      <c r="H556" s="113" t="s">
        <v>401</v>
      </c>
      <c r="I556" s="113" t="s">
        <v>411</v>
      </c>
      <c r="J556" s="113" t="s">
        <v>1273</v>
      </c>
    </row>
    <row r="557" spans="1:10">
      <c r="A557" s="113" t="s">
        <v>910</v>
      </c>
      <c r="B557" s="113" t="s">
        <v>385</v>
      </c>
      <c r="C557" s="113" t="s">
        <v>386</v>
      </c>
      <c r="D557" s="113" t="s">
        <v>387</v>
      </c>
      <c r="E557">
        <v>4691</v>
      </c>
      <c r="F557" s="113" t="s">
        <v>940</v>
      </c>
      <c r="G557" s="113" t="s">
        <v>396</v>
      </c>
      <c r="H557" s="113" t="s">
        <v>393</v>
      </c>
      <c r="I557">
        <v>167</v>
      </c>
    </row>
    <row r="558" spans="1:10">
      <c r="A558" s="113" t="s">
        <v>910</v>
      </c>
      <c r="B558" s="113" t="s">
        <v>385</v>
      </c>
      <c r="C558" s="113" t="s">
        <v>397</v>
      </c>
      <c r="D558" s="113" t="s">
        <v>387</v>
      </c>
      <c r="E558">
        <v>4845</v>
      </c>
      <c r="F558" s="113" t="s">
        <v>941</v>
      </c>
      <c r="G558" s="113" t="s">
        <v>388</v>
      </c>
      <c r="H558" s="113" t="s">
        <v>399</v>
      </c>
      <c r="I558">
        <v>136</v>
      </c>
    </row>
    <row r="559" spans="1:10">
      <c r="A559" s="113" t="s">
        <v>910</v>
      </c>
      <c r="B559" s="113" t="s">
        <v>385</v>
      </c>
      <c r="C559" s="113" t="s">
        <v>386</v>
      </c>
      <c r="D559" s="113" t="s">
        <v>387</v>
      </c>
      <c r="E559">
        <v>6082</v>
      </c>
      <c r="F559" s="113" t="s">
        <v>942</v>
      </c>
      <c r="G559" s="113" t="s">
        <v>388</v>
      </c>
      <c r="H559" s="113" t="s">
        <v>393</v>
      </c>
      <c r="I559">
        <v>218</v>
      </c>
    </row>
    <row r="560" spans="1:10">
      <c r="A560" s="113" t="s">
        <v>910</v>
      </c>
      <c r="B560" s="113" t="s">
        <v>385</v>
      </c>
      <c r="C560" s="113" t="s">
        <v>386</v>
      </c>
      <c r="D560" s="113" t="s">
        <v>387</v>
      </c>
      <c r="E560">
        <v>6408</v>
      </c>
      <c r="F560" s="113" t="s">
        <v>943</v>
      </c>
      <c r="G560" s="113" t="s">
        <v>392</v>
      </c>
      <c r="H560" s="113" t="s">
        <v>409</v>
      </c>
      <c r="I560">
        <v>48</v>
      </c>
    </row>
    <row r="561" spans="1:9">
      <c r="A561" s="113" t="s">
        <v>910</v>
      </c>
      <c r="B561" s="113" t="s">
        <v>385</v>
      </c>
      <c r="C561" s="113" t="s">
        <v>386</v>
      </c>
      <c r="D561" s="113" t="s">
        <v>387</v>
      </c>
      <c r="E561">
        <v>6424</v>
      </c>
      <c r="F561" s="113" t="s">
        <v>944</v>
      </c>
      <c r="G561" s="113" t="s">
        <v>392</v>
      </c>
      <c r="H561" s="113" t="s">
        <v>409</v>
      </c>
      <c r="I561">
        <v>61</v>
      </c>
    </row>
    <row r="562" spans="1:9">
      <c r="A562" s="113" t="s">
        <v>910</v>
      </c>
      <c r="B562" s="113" t="s">
        <v>385</v>
      </c>
      <c r="C562" s="113" t="s">
        <v>386</v>
      </c>
      <c r="D562" s="113" t="s">
        <v>387</v>
      </c>
      <c r="E562">
        <v>6517</v>
      </c>
      <c r="F562" s="113" t="s">
        <v>945</v>
      </c>
      <c r="G562" s="113" t="s">
        <v>388</v>
      </c>
      <c r="H562" s="113" t="s">
        <v>413</v>
      </c>
      <c r="I562">
        <v>507</v>
      </c>
    </row>
    <row r="563" spans="1:9">
      <c r="A563" s="113" t="s">
        <v>910</v>
      </c>
      <c r="B563" s="113" t="s">
        <v>385</v>
      </c>
      <c r="C563" s="113" t="s">
        <v>386</v>
      </c>
      <c r="D563" s="113" t="s">
        <v>387</v>
      </c>
      <c r="E563">
        <v>6574</v>
      </c>
      <c r="F563" s="113" t="s">
        <v>946</v>
      </c>
      <c r="G563" s="113" t="s">
        <v>400</v>
      </c>
      <c r="H563" s="113" t="s">
        <v>393</v>
      </c>
      <c r="I563">
        <v>32</v>
      </c>
    </row>
    <row r="564" spans="1:9">
      <c r="A564" s="113" t="s">
        <v>910</v>
      </c>
      <c r="B564" s="113" t="s">
        <v>385</v>
      </c>
      <c r="C564" s="113" t="s">
        <v>397</v>
      </c>
      <c r="D564" s="113" t="s">
        <v>391</v>
      </c>
      <c r="E564">
        <v>6597</v>
      </c>
      <c r="F564" s="113" t="s">
        <v>947</v>
      </c>
      <c r="G564" s="113" t="s">
        <v>400</v>
      </c>
      <c r="H564" s="113" t="s">
        <v>413</v>
      </c>
      <c r="I564">
        <v>78</v>
      </c>
    </row>
    <row r="565" spans="1:9">
      <c r="A565" s="113" t="s">
        <v>910</v>
      </c>
      <c r="B565" s="113" t="s">
        <v>385</v>
      </c>
      <c r="C565" s="113" t="s">
        <v>386</v>
      </c>
      <c r="D565" s="113" t="s">
        <v>387</v>
      </c>
      <c r="E565">
        <v>6706</v>
      </c>
      <c r="F565" s="113" t="s">
        <v>948</v>
      </c>
      <c r="G565" s="113" t="s">
        <v>388</v>
      </c>
      <c r="H565" s="113" t="s">
        <v>413</v>
      </c>
      <c r="I565">
        <v>446</v>
      </c>
    </row>
    <row r="566" spans="1:9">
      <c r="A566" s="113" t="s">
        <v>910</v>
      </c>
      <c r="B566" s="113" t="s">
        <v>385</v>
      </c>
      <c r="C566" s="113" t="s">
        <v>386</v>
      </c>
      <c r="D566" s="113" t="s">
        <v>387</v>
      </c>
      <c r="E566">
        <v>6819</v>
      </c>
      <c r="F566" s="113" t="s">
        <v>949</v>
      </c>
      <c r="G566" s="113" t="s">
        <v>392</v>
      </c>
      <c r="H566" s="113" t="s">
        <v>393</v>
      </c>
      <c r="I566">
        <v>36</v>
      </c>
    </row>
    <row r="567" spans="1:9">
      <c r="A567" s="113" t="s">
        <v>910</v>
      </c>
      <c r="B567" s="113" t="s">
        <v>385</v>
      </c>
      <c r="C567" s="113" t="s">
        <v>395</v>
      </c>
      <c r="D567" s="113" t="s">
        <v>387</v>
      </c>
      <c r="E567">
        <v>6870</v>
      </c>
      <c r="F567" s="113" t="s">
        <v>950</v>
      </c>
      <c r="G567" s="113" t="s">
        <v>396</v>
      </c>
      <c r="H567" s="113" t="s">
        <v>413</v>
      </c>
      <c r="I567">
        <v>90</v>
      </c>
    </row>
    <row r="568" spans="1:9">
      <c r="A568" s="113" t="s">
        <v>910</v>
      </c>
      <c r="B568" s="113" t="s">
        <v>385</v>
      </c>
      <c r="C568" s="113" t="s">
        <v>386</v>
      </c>
      <c r="D568" s="113" t="s">
        <v>387</v>
      </c>
      <c r="E568">
        <v>7059</v>
      </c>
      <c r="F568" s="113" t="s">
        <v>1274</v>
      </c>
      <c r="G568" s="113" t="s">
        <v>400</v>
      </c>
      <c r="H568" s="113" t="s">
        <v>393</v>
      </c>
      <c r="I568">
        <v>141</v>
      </c>
    </row>
    <row r="569" spans="1:9">
      <c r="A569" s="113" t="s">
        <v>910</v>
      </c>
      <c r="B569" s="113" t="s">
        <v>385</v>
      </c>
      <c r="C569" s="113" t="s">
        <v>386</v>
      </c>
      <c r="D569" s="113" t="s">
        <v>387</v>
      </c>
      <c r="E569">
        <v>7060</v>
      </c>
      <c r="F569" s="113" t="s">
        <v>951</v>
      </c>
      <c r="G569" s="113" t="s">
        <v>400</v>
      </c>
      <c r="H569" s="113" t="s">
        <v>393</v>
      </c>
      <c r="I569">
        <v>176</v>
      </c>
    </row>
    <row r="570" spans="1:9">
      <c r="A570" s="113" t="s">
        <v>910</v>
      </c>
      <c r="B570" s="113" t="s">
        <v>385</v>
      </c>
      <c r="C570" s="113" t="s">
        <v>397</v>
      </c>
      <c r="D570" s="113" t="s">
        <v>387</v>
      </c>
      <c r="E570">
        <v>7063</v>
      </c>
      <c r="F570" s="113" t="s">
        <v>952</v>
      </c>
      <c r="G570" s="113" t="s">
        <v>400</v>
      </c>
      <c r="H570" s="113" t="s">
        <v>393</v>
      </c>
      <c r="I570">
        <v>67</v>
      </c>
    </row>
    <row r="571" spans="1:9">
      <c r="A571" s="113" t="s">
        <v>910</v>
      </c>
      <c r="B571" s="113" t="s">
        <v>385</v>
      </c>
      <c r="C571" s="113" t="s">
        <v>386</v>
      </c>
      <c r="D571" s="113" t="s">
        <v>387</v>
      </c>
      <c r="E571">
        <v>7067</v>
      </c>
      <c r="F571" s="113" t="s">
        <v>953</v>
      </c>
      <c r="G571" s="113" t="s">
        <v>400</v>
      </c>
      <c r="H571" s="113" t="s">
        <v>393</v>
      </c>
      <c r="I571">
        <v>37</v>
      </c>
    </row>
    <row r="572" spans="1:9">
      <c r="A572" s="113" t="s">
        <v>910</v>
      </c>
      <c r="B572" s="113" t="s">
        <v>385</v>
      </c>
      <c r="C572" s="113" t="s">
        <v>390</v>
      </c>
      <c r="D572" s="113" t="s">
        <v>391</v>
      </c>
      <c r="E572">
        <v>7072</v>
      </c>
      <c r="F572" s="113" t="s">
        <v>954</v>
      </c>
      <c r="G572" s="113" t="s">
        <v>400</v>
      </c>
      <c r="H572" s="113" t="s">
        <v>393</v>
      </c>
      <c r="I572">
        <v>78</v>
      </c>
    </row>
    <row r="573" spans="1:9">
      <c r="A573" s="113" t="s">
        <v>910</v>
      </c>
      <c r="B573" s="113" t="s">
        <v>385</v>
      </c>
      <c r="C573" s="113" t="s">
        <v>386</v>
      </c>
      <c r="D573" s="113" t="s">
        <v>387</v>
      </c>
      <c r="E573">
        <v>7239</v>
      </c>
      <c r="F573" s="113" t="s">
        <v>955</v>
      </c>
      <c r="G573" s="113" t="s">
        <v>388</v>
      </c>
      <c r="H573" s="113" t="s">
        <v>439</v>
      </c>
      <c r="I573">
        <v>513</v>
      </c>
    </row>
    <row r="574" spans="1:9">
      <c r="A574" s="113" t="s">
        <v>910</v>
      </c>
      <c r="B574" s="113" t="s">
        <v>385</v>
      </c>
      <c r="C574" s="113" t="s">
        <v>386</v>
      </c>
      <c r="D574" s="113" t="s">
        <v>387</v>
      </c>
      <c r="E574">
        <v>7242</v>
      </c>
      <c r="F574" s="113" t="s">
        <v>956</v>
      </c>
      <c r="G574" s="113" t="s">
        <v>388</v>
      </c>
      <c r="H574" s="113" t="s">
        <v>439</v>
      </c>
      <c r="I574">
        <v>855</v>
      </c>
    </row>
    <row r="575" spans="1:9">
      <c r="A575" s="113" t="s">
        <v>910</v>
      </c>
      <c r="B575" s="113" t="s">
        <v>385</v>
      </c>
      <c r="C575" s="113" t="s">
        <v>397</v>
      </c>
      <c r="D575" s="113" t="s">
        <v>387</v>
      </c>
      <c r="E575">
        <v>7325</v>
      </c>
      <c r="F575" s="113" t="s">
        <v>1043</v>
      </c>
      <c r="G575" s="113" t="s">
        <v>400</v>
      </c>
      <c r="H575" s="113" t="s">
        <v>1044</v>
      </c>
      <c r="I575">
        <v>116</v>
      </c>
    </row>
    <row r="576" spans="1:9">
      <c r="A576" s="113" t="s">
        <v>910</v>
      </c>
      <c r="B576" s="113" t="s">
        <v>385</v>
      </c>
      <c r="C576" s="113" t="s">
        <v>386</v>
      </c>
      <c r="D576" s="113" t="s">
        <v>387</v>
      </c>
      <c r="E576">
        <v>7593</v>
      </c>
      <c r="F576" s="113" t="s">
        <v>1275</v>
      </c>
      <c r="G576" s="113" t="s">
        <v>388</v>
      </c>
      <c r="H576" s="113" t="s">
        <v>398</v>
      </c>
      <c r="I576">
        <v>566</v>
      </c>
    </row>
    <row r="577" spans="1:10">
      <c r="A577" s="113" t="s">
        <v>910</v>
      </c>
      <c r="B577" s="113" t="s">
        <v>385</v>
      </c>
      <c r="C577" s="113" t="s">
        <v>397</v>
      </c>
      <c r="D577" s="113" t="s">
        <v>391</v>
      </c>
      <c r="E577">
        <v>7674</v>
      </c>
      <c r="F577" s="113" t="s">
        <v>957</v>
      </c>
      <c r="G577" s="113" t="s">
        <v>400</v>
      </c>
      <c r="H577" s="113" t="s">
        <v>398</v>
      </c>
      <c r="I577">
        <v>74</v>
      </c>
    </row>
    <row r="578" spans="1:10">
      <c r="A578" s="113" t="s">
        <v>910</v>
      </c>
      <c r="B578" s="113" t="s">
        <v>385</v>
      </c>
      <c r="C578" s="113" t="s">
        <v>390</v>
      </c>
      <c r="D578" s="113" t="s">
        <v>391</v>
      </c>
      <c r="E578">
        <v>7676</v>
      </c>
      <c r="F578" s="113" t="s">
        <v>958</v>
      </c>
      <c r="G578" s="113" t="s">
        <v>400</v>
      </c>
      <c r="H578" s="113" t="s">
        <v>398</v>
      </c>
      <c r="I578">
        <v>45</v>
      </c>
    </row>
    <row r="579" spans="1:10">
      <c r="A579" s="113" t="s">
        <v>910</v>
      </c>
      <c r="B579" s="113" t="s">
        <v>385</v>
      </c>
      <c r="C579" s="113" t="s">
        <v>386</v>
      </c>
      <c r="D579" s="113" t="s">
        <v>387</v>
      </c>
      <c r="E579">
        <v>7677</v>
      </c>
      <c r="F579" s="113" t="s">
        <v>959</v>
      </c>
      <c r="G579" s="113" t="s">
        <v>396</v>
      </c>
      <c r="H579" s="113" t="s">
        <v>394</v>
      </c>
      <c r="I579">
        <v>52</v>
      </c>
    </row>
    <row r="580" spans="1:10">
      <c r="A580" s="113" t="s">
        <v>910</v>
      </c>
      <c r="B580" s="113" t="s">
        <v>385</v>
      </c>
      <c r="C580" s="113" t="s">
        <v>390</v>
      </c>
      <c r="D580" s="113" t="s">
        <v>387</v>
      </c>
      <c r="E580">
        <v>7681</v>
      </c>
      <c r="F580" s="113" t="s">
        <v>960</v>
      </c>
      <c r="G580" s="113" t="s">
        <v>396</v>
      </c>
      <c r="H580" s="113" t="s">
        <v>394</v>
      </c>
      <c r="I580">
        <v>66</v>
      </c>
    </row>
    <row r="581" spans="1:10">
      <c r="A581" s="113" t="s">
        <v>910</v>
      </c>
      <c r="B581" s="113" t="s">
        <v>385</v>
      </c>
      <c r="C581" s="113" t="s">
        <v>386</v>
      </c>
      <c r="D581" s="113" t="s">
        <v>387</v>
      </c>
      <c r="E581">
        <v>7749</v>
      </c>
      <c r="F581" s="113" t="s">
        <v>961</v>
      </c>
      <c r="G581" s="113" t="s">
        <v>392</v>
      </c>
      <c r="H581" s="113" t="s">
        <v>655</v>
      </c>
      <c r="I581">
        <v>661</v>
      </c>
    </row>
    <row r="582" spans="1:10">
      <c r="A582" s="113" t="s">
        <v>910</v>
      </c>
      <c r="B582" s="113" t="s">
        <v>385</v>
      </c>
      <c r="C582" s="113" t="s">
        <v>390</v>
      </c>
      <c r="D582" s="113" t="s">
        <v>391</v>
      </c>
      <c r="E582">
        <v>7800</v>
      </c>
      <c r="F582" s="113" t="s">
        <v>962</v>
      </c>
      <c r="G582" s="113" t="s">
        <v>392</v>
      </c>
      <c r="H582" s="113" t="s">
        <v>410</v>
      </c>
      <c r="I582">
        <v>33</v>
      </c>
    </row>
    <row r="583" spans="1:10">
      <c r="A583" s="113" t="s">
        <v>910</v>
      </c>
      <c r="B583" s="113" t="s">
        <v>385</v>
      </c>
      <c r="C583" s="113" t="s">
        <v>386</v>
      </c>
      <c r="D583" s="113" t="s">
        <v>387</v>
      </c>
      <c r="E583">
        <v>8152</v>
      </c>
      <c r="F583" s="113" t="s">
        <v>963</v>
      </c>
      <c r="G583" s="113" t="s">
        <v>396</v>
      </c>
      <c r="H583" s="113" t="s">
        <v>394</v>
      </c>
      <c r="I583">
        <v>35</v>
      </c>
    </row>
    <row r="584" spans="1:10">
      <c r="A584" s="113" t="s">
        <v>910</v>
      </c>
      <c r="B584" s="113" t="s">
        <v>385</v>
      </c>
      <c r="C584" s="113" t="s">
        <v>397</v>
      </c>
      <c r="D584" s="113" t="s">
        <v>387</v>
      </c>
      <c r="E584">
        <v>8928</v>
      </c>
      <c r="F584" s="113" t="s">
        <v>1045</v>
      </c>
      <c r="G584" s="113" t="s">
        <v>388</v>
      </c>
      <c r="H584" s="113" t="s">
        <v>414</v>
      </c>
      <c r="I584">
        <v>194</v>
      </c>
    </row>
    <row r="585" spans="1:10">
      <c r="A585" s="113" t="s">
        <v>910</v>
      </c>
      <c r="B585" s="113" t="s">
        <v>385</v>
      </c>
      <c r="C585" s="113" t="s">
        <v>395</v>
      </c>
      <c r="D585" s="113" t="s">
        <v>387</v>
      </c>
      <c r="E585">
        <v>9672</v>
      </c>
      <c r="F585" s="113" t="s">
        <v>964</v>
      </c>
      <c r="G585" s="113" t="s">
        <v>388</v>
      </c>
      <c r="H585" s="113" t="s">
        <v>393</v>
      </c>
      <c r="I585">
        <v>998</v>
      </c>
    </row>
    <row r="586" spans="1:10">
      <c r="A586" s="113" t="s">
        <v>1276</v>
      </c>
      <c r="B586" s="113" t="s">
        <v>385</v>
      </c>
      <c r="C586" s="113" t="s">
        <v>386</v>
      </c>
      <c r="D586" s="113" t="s">
        <v>387</v>
      </c>
      <c r="E586">
        <v>2910</v>
      </c>
      <c r="F586" s="113" t="s">
        <v>406</v>
      </c>
      <c r="G586" s="113" t="s">
        <v>388</v>
      </c>
      <c r="H586" s="113" t="s">
        <v>389</v>
      </c>
      <c r="I586">
        <v>407</v>
      </c>
    </row>
    <row r="587" spans="1:10">
      <c r="A587" s="113" t="s">
        <v>1276</v>
      </c>
      <c r="B587" s="113" t="s">
        <v>385</v>
      </c>
      <c r="C587" s="113" t="s">
        <v>386</v>
      </c>
      <c r="D587" s="113" t="s">
        <v>387</v>
      </c>
      <c r="E587">
        <v>3770</v>
      </c>
      <c r="F587" s="113" t="s">
        <v>407</v>
      </c>
      <c r="G587" s="113" t="s">
        <v>388</v>
      </c>
      <c r="H587" s="113" t="s">
        <v>399</v>
      </c>
      <c r="I587">
        <v>56</v>
      </c>
    </row>
    <row r="588" spans="1:10">
      <c r="A588" s="113" t="s">
        <v>965</v>
      </c>
      <c r="B588" s="113" t="s">
        <v>385</v>
      </c>
      <c r="C588" s="113" t="s">
        <v>395</v>
      </c>
      <c r="D588" s="113" t="s">
        <v>391</v>
      </c>
      <c r="E588">
        <v>3282</v>
      </c>
      <c r="F588" s="113" t="s">
        <v>966</v>
      </c>
      <c r="G588" s="113" t="s">
        <v>475</v>
      </c>
      <c r="H588" s="113" t="s">
        <v>476</v>
      </c>
      <c r="I588" s="113" t="s">
        <v>411</v>
      </c>
      <c r="J588" s="113" t="s">
        <v>1014</v>
      </c>
    </row>
    <row r="589" spans="1:10">
      <c r="A589" s="113" t="s">
        <v>965</v>
      </c>
      <c r="B589" s="113" t="s">
        <v>385</v>
      </c>
      <c r="C589" s="113" t="s">
        <v>395</v>
      </c>
      <c r="D589" s="113" t="s">
        <v>391</v>
      </c>
      <c r="E589">
        <v>3463</v>
      </c>
      <c r="F589" s="113" t="s">
        <v>967</v>
      </c>
      <c r="G589" s="113" t="s">
        <v>475</v>
      </c>
      <c r="H589" s="113" t="s">
        <v>476</v>
      </c>
      <c r="I589">
        <v>338</v>
      </c>
    </row>
    <row r="590" spans="1:10">
      <c r="A590" s="113" t="s">
        <v>968</v>
      </c>
      <c r="B590" s="113" t="s">
        <v>385</v>
      </c>
      <c r="C590" s="113" t="s">
        <v>395</v>
      </c>
      <c r="D590" s="113" t="s">
        <v>391</v>
      </c>
      <c r="E590">
        <v>3281</v>
      </c>
      <c r="F590" s="113" t="s">
        <v>969</v>
      </c>
      <c r="G590" s="113" t="s">
        <v>475</v>
      </c>
      <c r="H590" s="113" t="s">
        <v>476</v>
      </c>
      <c r="I590" s="113" t="s">
        <v>405</v>
      </c>
      <c r="J590" s="113" t="s">
        <v>833</v>
      </c>
    </row>
    <row r="591" spans="1:10">
      <c r="A591" s="113" t="s">
        <v>968</v>
      </c>
      <c r="B591" s="113" t="s">
        <v>385</v>
      </c>
      <c r="C591" s="113" t="s">
        <v>395</v>
      </c>
      <c r="D591" s="113" t="s">
        <v>391</v>
      </c>
      <c r="E591">
        <v>3466</v>
      </c>
      <c r="F591" s="113" t="s">
        <v>970</v>
      </c>
      <c r="G591" s="113" t="s">
        <v>475</v>
      </c>
      <c r="H591" s="113" t="s">
        <v>476</v>
      </c>
      <c r="I591" s="113" t="s">
        <v>411</v>
      </c>
      <c r="J591" s="113" t="s">
        <v>1277</v>
      </c>
    </row>
    <row r="592" spans="1:10">
      <c r="A592" s="113" t="s">
        <v>971</v>
      </c>
      <c r="B592" s="113" t="s">
        <v>385</v>
      </c>
      <c r="C592" s="113" t="s">
        <v>386</v>
      </c>
      <c r="D592" s="113" t="s">
        <v>387</v>
      </c>
      <c r="E592">
        <v>2354</v>
      </c>
      <c r="F592" s="113" t="s">
        <v>972</v>
      </c>
      <c r="G592" s="113" t="s">
        <v>396</v>
      </c>
      <c r="H592" s="113" t="s">
        <v>399</v>
      </c>
      <c r="I592">
        <v>103</v>
      </c>
    </row>
    <row r="593" spans="1:10">
      <c r="A593" s="113" t="s">
        <v>971</v>
      </c>
      <c r="B593" s="113" t="s">
        <v>385</v>
      </c>
      <c r="C593" s="113" t="s">
        <v>397</v>
      </c>
      <c r="D593" s="113" t="s">
        <v>387</v>
      </c>
      <c r="E593">
        <v>3160</v>
      </c>
      <c r="F593" s="113" t="s">
        <v>973</v>
      </c>
      <c r="G593" s="113" t="s">
        <v>388</v>
      </c>
      <c r="H593" s="113" t="s">
        <v>394</v>
      </c>
      <c r="I593">
        <v>91</v>
      </c>
    </row>
    <row r="594" spans="1:10">
      <c r="A594" s="113" t="s">
        <v>971</v>
      </c>
      <c r="B594" s="113" t="s">
        <v>385</v>
      </c>
      <c r="C594" s="113" t="s">
        <v>386</v>
      </c>
      <c r="D594" s="113" t="s">
        <v>387</v>
      </c>
      <c r="E594">
        <v>7630</v>
      </c>
      <c r="F594" s="113" t="s">
        <v>974</v>
      </c>
      <c r="G594" s="113" t="s">
        <v>388</v>
      </c>
      <c r="H594" s="113" t="s">
        <v>398</v>
      </c>
      <c r="I594" s="113" t="s">
        <v>443</v>
      </c>
      <c r="J594" s="113" t="s">
        <v>1278</v>
      </c>
    </row>
    <row r="595" spans="1:10">
      <c r="A595" s="113" t="s">
        <v>971</v>
      </c>
      <c r="B595" s="113" t="s">
        <v>385</v>
      </c>
      <c r="C595" s="113" t="s">
        <v>397</v>
      </c>
      <c r="D595" s="113" t="s">
        <v>391</v>
      </c>
      <c r="E595">
        <v>8155</v>
      </c>
      <c r="F595" s="113" t="s">
        <v>975</v>
      </c>
      <c r="G595" s="113" t="s">
        <v>388</v>
      </c>
      <c r="H595" s="113" t="s">
        <v>403</v>
      </c>
      <c r="I595">
        <v>709</v>
      </c>
    </row>
    <row r="596" spans="1:10">
      <c r="A596" s="113" t="s">
        <v>971</v>
      </c>
      <c r="B596" s="113" t="s">
        <v>385</v>
      </c>
      <c r="C596" s="113" t="s">
        <v>386</v>
      </c>
      <c r="D596" s="113" t="s">
        <v>387</v>
      </c>
      <c r="E596">
        <v>8217</v>
      </c>
      <c r="F596" s="113" t="s">
        <v>976</v>
      </c>
      <c r="G596" s="113" t="s">
        <v>388</v>
      </c>
      <c r="H596" s="113" t="s">
        <v>398</v>
      </c>
      <c r="I596">
        <v>637</v>
      </c>
    </row>
    <row r="597" spans="1:10">
      <c r="A597" s="113" t="s">
        <v>978</v>
      </c>
      <c r="B597" s="113" t="s">
        <v>385</v>
      </c>
      <c r="C597" s="113" t="s">
        <v>386</v>
      </c>
      <c r="D597" s="113" t="s">
        <v>387</v>
      </c>
      <c r="E597">
        <v>6757</v>
      </c>
      <c r="F597" s="113" t="s">
        <v>979</v>
      </c>
      <c r="G597" s="113" t="s">
        <v>392</v>
      </c>
      <c r="H597" s="113" t="s">
        <v>413</v>
      </c>
      <c r="I597">
        <v>127</v>
      </c>
    </row>
    <row r="598" spans="1:10">
      <c r="A598" s="113" t="s">
        <v>980</v>
      </c>
      <c r="B598" s="113" t="s">
        <v>385</v>
      </c>
      <c r="C598" s="113" t="s">
        <v>397</v>
      </c>
      <c r="D598" s="113" t="s">
        <v>387</v>
      </c>
      <c r="E598">
        <v>6905</v>
      </c>
      <c r="F598" s="113" t="s">
        <v>981</v>
      </c>
      <c r="G598" s="113" t="s">
        <v>388</v>
      </c>
      <c r="H598" s="113" t="s">
        <v>413</v>
      </c>
      <c r="I598">
        <v>444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表紙-</vt:lpstr>
      <vt:lpstr>建玉管理</vt:lpstr>
      <vt:lpstr>取引履歴</vt:lpstr>
      <vt:lpstr>資産状況</vt:lpstr>
      <vt:lpstr>損益分析</vt:lpstr>
      <vt:lpstr>監視</vt:lpstr>
      <vt:lpstr>シミュレーション</vt:lpstr>
      <vt:lpstr>Search Result</vt:lpstr>
      <vt:lpstr>個別計算</vt:lpstr>
      <vt:lpstr>日経サヤ計算</vt:lpstr>
      <vt:lpstr>グラフ</vt:lpstr>
      <vt:lpstr>code</vt:lpstr>
      <vt:lpstr>元データ</vt:lpstr>
      <vt:lpstr>改訂欄</vt:lpstr>
      <vt:lpstr>Fee_Refer</vt:lpstr>
      <vt:lpstr>Faiue</vt:lpstr>
      <vt:lpstr>Fiscal_date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2019-12-10T12:16:46Z</dcterms:modified>
</cp:coreProperties>
</file>