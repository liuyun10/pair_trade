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9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O3" i="6" l="1"/>
  <c r="P3" i="6"/>
  <c r="P2" i="6"/>
  <c r="A5" i="7"/>
  <c r="O2" i="6" l="1"/>
  <c r="A40" i="23" l="1"/>
  <c r="A39" i="23"/>
  <c r="AB34" i="13"/>
  <c r="AA34" i="13"/>
  <c r="J35" i="13"/>
  <c r="V34" i="13"/>
  <c r="J34" i="13"/>
  <c r="A36" i="23"/>
  <c r="A35" i="23"/>
  <c r="H4" i="23"/>
  <c r="L4" i="23" s="1"/>
  <c r="H3" i="23"/>
  <c r="L3" i="23" s="1"/>
  <c r="C21" i="4"/>
  <c r="C20" i="4"/>
  <c r="J9" i="2"/>
  <c r="J8" i="2"/>
  <c r="C8" i="2"/>
  <c r="J7" i="2"/>
  <c r="J6" i="2"/>
  <c r="C6" i="2"/>
  <c r="AB32" i="13"/>
  <c r="AA32" i="13"/>
  <c r="AB30" i="13"/>
  <c r="AA30" i="13"/>
  <c r="P4" i="3"/>
  <c r="J4" i="3"/>
  <c r="N4" i="3" s="1"/>
  <c r="V3" i="3"/>
  <c r="U3" i="3"/>
  <c r="P3" i="3"/>
  <c r="J3" i="3"/>
  <c r="N3" i="3" s="1"/>
  <c r="C3" i="3"/>
  <c r="J5" i="2"/>
  <c r="J4" i="2"/>
  <c r="C4" i="2"/>
  <c r="M33" i="13"/>
  <c r="P33" i="13" s="1"/>
  <c r="M31" i="13"/>
  <c r="P31" i="13" s="1"/>
  <c r="M23" i="13"/>
  <c r="P23" i="13" s="1"/>
  <c r="M21" i="13"/>
  <c r="P21" i="13" s="1"/>
  <c r="M17" i="13"/>
  <c r="P17" i="13" s="1"/>
  <c r="M15" i="13"/>
  <c r="P15" i="13" s="1"/>
  <c r="M13" i="13"/>
  <c r="P13" i="13" s="1"/>
  <c r="M32" i="13"/>
  <c r="M30" i="13"/>
  <c r="M29" i="13"/>
  <c r="P29" i="13" s="1"/>
  <c r="Q29" i="13" s="1"/>
  <c r="M28" i="13"/>
  <c r="P28" i="13" s="1"/>
  <c r="Q28" i="13" s="1"/>
  <c r="M27" i="13"/>
  <c r="P27" i="13" s="1"/>
  <c r="M26" i="13"/>
  <c r="P26" i="13" s="1"/>
  <c r="M25" i="13"/>
  <c r="P25" i="13" s="1"/>
  <c r="M24" i="13"/>
  <c r="P24" i="13" s="1"/>
  <c r="M22" i="13"/>
  <c r="P22" i="13" s="1"/>
  <c r="M20" i="13"/>
  <c r="P20" i="13" s="1"/>
  <c r="M19" i="13"/>
  <c r="P19" i="13" s="1"/>
  <c r="M18" i="13"/>
  <c r="P18" i="13" s="1"/>
  <c r="M16" i="13"/>
  <c r="P16" i="13" s="1"/>
  <c r="M14" i="13"/>
  <c r="M12" i="13"/>
  <c r="P12" i="13" s="1"/>
  <c r="M11" i="13"/>
  <c r="P11" i="13" s="1"/>
  <c r="M10" i="13"/>
  <c r="P10" i="13" s="1"/>
  <c r="M9" i="13"/>
  <c r="P9" i="13" s="1"/>
  <c r="M8" i="13"/>
  <c r="P8" i="13" s="1"/>
  <c r="M7" i="13"/>
  <c r="P7" i="13" s="1"/>
  <c r="Q7" i="13" s="1"/>
  <c r="M6" i="13"/>
  <c r="P6" i="13" s="1"/>
  <c r="Q6" i="13" s="1"/>
  <c r="P14" i="13"/>
  <c r="M5" i="13"/>
  <c r="O5" i="13"/>
  <c r="M4" i="13"/>
  <c r="P4" i="13" s="1"/>
  <c r="Q4" i="13" s="1"/>
  <c r="J33" i="13"/>
  <c r="V32" i="13"/>
  <c r="J32" i="13"/>
  <c r="J31" i="13"/>
  <c r="V30" i="13"/>
  <c r="J30" i="13"/>
  <c r="C4" i="20"/>
  <c r="C5" i="20" s="1"/>
  <c r="AC28" i="13"/>
  <c r="AB28" i="13"/>
  <c r="AA28" i="13"/>
  <c r="C19" i="4"/>
  <c r="C18" i="4"/>
  <c r="C4" i="17"/>
  <c r="C5" i="17"/>
  <c r="C6" i="17"/>
  <c r="C3" i="17"/>
  <c r="C26" i="13"/>
  <c r="J26" i="13"/>
  <c r="J27" i="13"/>
  <c r="C24" i="13"/>
  <c r="J24" i="13"/>
  <c r="J25" i="13"/>
  <c r="AB22" i="13"/>
  <c r="AA22" i="13"/>
  <c r="C22" i="13"/>
  <c r="J22" i="13"/>
  <c r="J23" i="13"/>
  <c r="C20" i="13"/>
  <c r="J20" i="13"/>
  <c r="J21" i="13"/>
  <c r="AB18" i="13"/>
  <c r="AA18" i="13"/>
  <c r="J19" i="13"/>
  <c r="V18" i="13"/>
  <c r="J18" i="13"/>
  <c r="C18" i="13"/>
  <c r="AA14" i="13"/>
  <c r="AB14" i="13"/>
  <c r="AA16" i="13"/>
  <c r="AB16" i="13"/>
  <c r="J17" i="13"/>
  <c r="V16" i="13"/>
  <c r="J16" i="13"/>
  <c r="C16" i="13"/>
  <c r="J15" i="13"/>
  <c r="V14" i="13"/>
  <c r="J14" i="13"/>
  <c r="C14" i="13"/>
  <c r="C12" i="13"/>
  <c r="J12" i="13"/>
  <c r="J13" i="13"/>
  <c r="AA10" i="13"/>
  <c r="AB10" i="13"/>
  <c r="V10" i="13"/>
  <c r="J11" i="13"/>
  <c r="J10" i="13"/>
  <c r="C10" i="13"/>
  <c r="AB6" i="13"/>
  <c r="AB8" i="13"/>
  <c r="AB4" i="13"/>
  <c r="AA6" i="13"/>
  <c r="AA8" i="13"/>
  <c r="AA4" i="13"/>
  <c r="J9" i="13"/>
  <c r="V8" i="13"/>
  <c r="J8" i="13"/>
  <c r="C8" i="13"/>
  <c r="V6" i="13"/>
  <c r="V4" i="13"/>
  <c r="P1" i="2"/>
  <c r="Q33" i="13" l="1"/>
  <c r="V24" i="13"/>
  <c r="N32" i="13"/>
  <c r="Q19" i="13"/>
  <c r="N35" i="13"/>
  <c r="P5" i="13"/>
  <c r="Q5" i="13" s="1"/>
  <c r="Q9" i="13"/>
  <c r="Q18" i="13"/>
  <c r="N30" i="13"/>
  <c r="P30" i="13" s="1"/>
  <c r="Q30" i="13" s="1"/>
  <c r="Q11" i="13"/>
  <c r="Q24" i="13"/>
  <c r="Q31" i="13"/>
  <c r="P32" i="13"/>
  <c r="Q32" i="13" s="1"/>
  <c r="Q16" i="13"/>
  <c r="Q27" i="13"/>
  <c r="N34" i="13"/>
  <c r="P34" i="13" s="1"/>
  <c r="Q34" i="13" s="1"/>
  <c r="Q14" i="13"/>
  <c r="Q17" i="13"/>
  <c r="Q20" i="13"/>
  <c r="Q8" i="13"/>
  <c r="Q23" i="13"/>
  <c r="Q21" i="13"/>
  <c r="Q26" i="13"/>
  <c r="Q15" i="13"/>
  <c r="Q12" i="13"/>
  <c r="Q25" i="13"/>
  <c r="Q13" i="13"/>
  <c r="Q10" i="13"/>
  <c r="Q22" i="13"/>
  <c r="P35" i="13"/>
  <c r="U8" i="2"/>
  <c r="V8" i="2" s="1"/>
  <c r="U6" i="2"/>
  <c r="V6" i="2" s="1"/>
  <c r="Q4" i="3"/>
  <c r="R3" i="3"/>
  <c r="S3" i="3" s="1"/>
  <c r="Q3" i="3"/>
  <c r="U4" i="2"/>
  <c r="V4" i="2" s="1"/>
  <c r="R26" i="13"/>
  <c r="AB24" i="13"/>
  <c r="AA24" i="13"/>
  <c r="R24" i="13"/>
  <c r="R22" i="13"/>
  <c r="V22" i="13"/>
  <c r="R16" i="13"/>
  <c r="R20" i="13"/>
  <c r="R18" i="13"/>
  <c r="R14" i="13"/>
  <c r="R12" i="13"/>
  <c r="R8" i="13"/>
  <c r="S8" i="13" s="1"/>
  <c r="R10" i="13"/>
  <c r="J2" i="2"/>
  <c r="R6" i="13"/>
  <c r="R4" i="13" l="1"/>
  <c r="S4" i="13" s="1"/>
  <c r="R30" i="13"/>
  <c r="R34" i="13"/>
  <c r="AC34" i="13" s="1"/>
  <c r="R32" i="13"/>
  <c r="AC32" i="13" s="1"/>
  <c r="S30" i="13"/>
  <c r="AC30" i="13"/>
  <c r="Q35" i="13"/>
  <c r="N9" i="2"/>
  <c r="P9" i="2" s="1"/>
  <c r="Q9" i="2" s="1"/>
  <c r="N8" i="2"/>
  <c r="P8" i="2" s="1"/>
  <c r="N7" i="2"/>
  <c r="P7" i="2" s="1"/>
  <c r="Q7" i="2" s="1"/>
  <c r="N6" i="2"/>
  <c r="P6" i="2" s="1"/>
  <c r="N4" i="2"/>
  <c r="P4" i="2" s="1"/>
  <c r="N5" i="2"/>
  <c r="P5" i="2" s="1"/>
  <c r="Q5" i="2" s="1"/>
  <c r="S26" i="13"/>
  <c r="AC26" i="13"/>
  <c r="V26" i="13"/>
  <c r="AA26" i="13"/>
  <c r="AB26" i="13"/>
  <c r="S24" i="13"/>
  <c r="AC24" i="13"/>
  <c r="S22" i="13"/>
  <c r="AC22" i="13"/>
  <c r="S20" i="13"/>
  <c r="AC20" i="13"/>
  <c r="V20" i="13"/>
  <c r="AA20" i="13"/>
  <c r="AB20" i="13"/>
  <c r="S14" i="13"/>
  <c r="AC14" i="13"/>
  <c r="S18" i="13"/>
  <c r="AC18" i="13"/>
  <c r="S16" i="13"/>
  <c r="AC16" i="13"/>
  <c r="S12" i="13"/>
  <c r="AC12" i="13"/>
  <c r="V12" i="13"/>
  <c r="AA12" i="13"/>
  <c r="AB12" i="13"/>
  <c r="AC4" i="13"/>
  <c r="S6" i="13"/>
  <c r="AC6" i="13"/>
  <c r="AC8" i="13"/>
  <c r="S10" i="13"/>
  <c r="AC10" i="13"/>
  <c r="S34" i="13" l="1"/>
  <c r="S32" i="13"/>
  <c r="R2" i="13"/>
  <c r="R8" i="2"/>
  <c r="S8" i="2" s="1"/>
  <c r="Q8" i="2"/>
  <c r="R6" i="2"/>
  <c r="S6" i="2" s="1"/>
  <c r="Q6" i="2"/>
  <c r="Q4" i="2"/>
  <c r="R4" i="2"/>
  <c r="S4" i="2" s="1"/>
  <c r="L5" i="20"/>
  <c r="M4" i="20" l="1"/>
  <c r="V4" i="20"/>
  <c r="V3" i="20"/>
  <c r="V5" i="20"/>
  <c r="K4" i="20"/>
  <c r="K5" i="20"/>
  <c r="K3" i="20"/>
  <c r="M3" i="20"/>
  <c r="M5" i="20"/>
  <c r="L4" i="20"/>
  <c r="L3" i="20"/>
  <c r="S2" i="2"/>
  <c r="R2" i="2"/>
  <c r="P3" i="20" l="1"/>
  <c r="E3" i="20"/>
  <c r="P4" i="20" l="1"/>
  <c r="E4" i="20"/>
  <c r="P5" i="20" l="1"/>
  <c r="E5" i="20"/>
</calcChain>
</file>

<file path=xl/sharedStrings.xml><?xml version="1.0" encoding="utf-8"?>
<sst xmlns="http://schemas.openxmlformats.org/spreadsheetml/2006/main" count="9242" uniqueCount="2642">
  <si>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</si>
  <si>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</si>
  <si>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</si>
  <si>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</si>
  <si>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</si>
  <si>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</si>
  <si>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</si>
  <si>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</si>
  <si>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</si>
  <si>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</si>
  <si>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</si>
  <si>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</si>
  <si>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</si>
  <si>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</si>
  <si>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</si>
  <si>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</si>
  <si>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</si>
  <si>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</si>
  <si>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</si>
  <si>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</si>
  <si>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</si>
  <si>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</si>
  <si>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</si>
  <si>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</si>
  <si>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</si>
  <si>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</si>
  <si>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</si>
  <si>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</si>
  <si>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</si>
  <si>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</si>
  <si>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</si>
  <si>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</si>
  <si>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</si>
  <si>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</si>
  <si>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</si>
  <si>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</si>
  <si>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</si>
  <si>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</si>
  <si>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</si>
  <si>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</si>
  <si>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</si>
  <si>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</si>
  <si>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</si>
  <si>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</si>
  <si>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</si>
  <si>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</si>
  <si>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</si>
  <si>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</si>
  <si>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</si>
  <si>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</si>
  <si>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</si>
  <si>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</si>
  <si>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</si>
  <si>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</si>
  <si>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</si>
  <si>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</si>
  <si>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</si>
  <si>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</si>
  <si>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</si>
  <si>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</si>
  <si>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</si>
  <si>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</si>
  <si>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</si>
  <si>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</si>
  <si>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</si>
  <si>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</si>
  <si>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</si>
  <si>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</si>
  <si>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</si>
  <si>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</si>
  <si>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</si>
  <si>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</si>
  <si>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</si>
  <si>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</si>
  <si>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</si>
  <si>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</si>
  <si>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</si>
  <si>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</si>
  <si>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</si>
  <si>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</si>
  <si>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</si>
  <si>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</si>
  <si>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</si>
  <si>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</si>
  <si>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</si>
  <si>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</si>
  <si>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</si>
  <si>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</si>
  <si>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</si>
  <si>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</si>
  <si>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</si>
  <si>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</si>
  <si>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</si>
  <si>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</si>
  <si>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</si>
  <si>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</si>
  <si>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</si>
  <si>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</si>
  <si>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</si>
  <si>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</si>
  <si>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</si>
  <si>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</si>
  <si>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</si>
  <si>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</si>
  <si>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</si>
  <si>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</si>
  <si>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</si>
  <si>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</si>
  <si>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</si>
  <si>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</si>
  <si>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</si>
  <si>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</si>
  <si>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</si>
  <si>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</si>
  <si>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</si>
  <si>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</si>
  <si>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</si>
  <si>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</si>
  <si>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</si>
  <si>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</si>
  <si>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</si>
  <si>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</si>
  <si>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</si>
  <si>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</si>
  <si>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</si>
  <si>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</si>
  <si>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</si>
  <si>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</si>
  <si>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</si>
  <si>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</si>
  <si>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</si>
  <si>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</si>
  <si>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</si>
  <si>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</si>
  <si>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</si>
  <si>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</si>
  <si>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</si>
  <si>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</si>
  <si>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</si>
  <si>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</si>
  <si>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</si>
  <si>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</si>
  <si>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</si>
  <si>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</si>
  <si>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</si>
  <si>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</si>
  <si>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</si>
  <si>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</si>
  <si>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</si>
  <si>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</si>
  <si>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</si>
  <si>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</si>
  <si>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</si>
  <si>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</si>
  <si>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</si>
  <si>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</si>
  <si>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</si>
  <si>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</si>
  <si>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</si>
  <si>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</si>
  <si>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</si>
  <si>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</si>
  <si>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</si>
  <si>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</si>
  <si>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</si>
  <si>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</si>
  <si>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</si>
  <si>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</si>
  <si>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</si>
  <si>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</si>
  <si>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</si>
  <si>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</si>
  <si>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</si>
  <si>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</si>
  <si>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</si>
  <si>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</si>
  <si>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</si>
  <si>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</si>
  <si>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</si>
  <si>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</si>
  <si>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</si>
  <si>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</si>
  <si>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</si>
  <si>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</si>
  <si>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</si>
  <si>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</si>
  <si>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</si>
  <si>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</si>
  <si>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</si>
  <si>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</si>
  <si>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</si>
  <si>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</si>
  <si>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</si>
  <si>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</si>
  <si>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</si>
  <si>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</si>
  <si>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</si>
  <si>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</si>
  <si>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</si>
  <si>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</si>
  <si>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</si>
  <si>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</si>
  <si>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</si>
  <si>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</si>
  <si>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</si>
  <si>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</si>
  <si>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</si>
  <si>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</si>
  <si>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</si>
  <si>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</si>
  <si>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</si>
  <si>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</si>
  <si>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</si>
  <si>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</si>
  <si>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</si>
  <si>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</si>
  <si>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</si>
  <si>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</si>
  <si>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</si>
  <si>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</si>
  <si>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</si>
  <si>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</si>
  <si>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</si>
  <si>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</si>
  <si>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</si>
  <si>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</si>
  <si>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</si>
  <si>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</si>
  <si>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</si>
  <si>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</si>
  <si>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</si>
  <si>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</si>
  <si>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</si>
  <si>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</si>
  <si>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</si>
  <si>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</si>
  <si>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</si>
  <si>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</si>
  <si>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</si>
  <si>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</si>
  <si>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</si>
  <si>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</si>
  <si>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</si>
  <si>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</si>
  <si>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</si>
  <si>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</si>
  <si>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</si>
  <si>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</si>
  <si>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</si>
  <si>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</si>
  <si>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</si>
  <si>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</si>
  <si>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</si>
  <si>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</si>
  <si>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</si>
  <si>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</si>
  <si>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</si>
  <si>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</si>
  <si>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</si>
  <si>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</si>
  <si>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</si>
  <si>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</si>
  <si>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</si>
  <si>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</si>
  <si>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</si>
  <si>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</si>
  <si>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</si>
  <si>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</si>
  <si>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</si>
  <si>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</si>
  <si>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</si>
  <si>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</si>
  <si>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</si>
  <si>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</si>
  <si>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</si>
  <si>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</si>
  <si>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</si>
  <si>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</si>
  <si>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</si>
  <si>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</si>
  <si>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</si>
  <si>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</si>
  <si>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</si>
  <si>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</si>
  <si>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</si>
  <si>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</si>
  <si>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</si>
  <si>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</si>
  <si>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</si>
  <si>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</si>
  <si>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</si>
  <si>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</si>
  <si>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</si>
  <si>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</si>
  <si>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</si>
  <si>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</si>
  <si>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</si>
  <si>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</si>
  <si>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</si>
  <si>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</si>
  <si>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</si>
  <si>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</si>
  <si>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</si>
  <si>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</si>
  <si>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</si>
  <si>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</si>
  <si>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</si>
  <si>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</si>
  <si>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</si>
  <si>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</si>
  <si>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</si>
  <si>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</si>
  <si>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</si>
  <si>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</si>
  <si>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</si>
  <si>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</si>
  <si>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</si>
  <si>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</si>
  <si>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</si>
  <si>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</si>
  <si>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</si>
  <si>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</si>
  <si>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</si>
  <si>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</si>
  <si>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</si>
  <si>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</si>
  <si>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</si>
  <si>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</si>
  <si>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</si>
  <si>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</si>
  <si>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</si>
  <si>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</si>
  <si>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</si>
  <si>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</si>
  <si>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</si>
  <si>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</si>
  <si>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</si>
  <si>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</si>
  <si>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</si>
  <si>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</si>
  <si>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</si>
  <si>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</si>
  <si>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</si>
  <si>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</si>
  <si>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</si>
  <si>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</si>
  <si>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</si>
  <si>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</si>
  <si>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</si>
  <si>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</si>
  <si>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</si>
  <si>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</si>
  <si>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</si>
  <si>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</si>
  <si>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</si>
  <si>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</si>
  <si>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</si>
  <si>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</si>
  <si>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</si>
  <si>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</si>
  <si>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</si>
  <si>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</si>
  <si>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</si>
  <si>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</si>
  <si>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</si>
  <si>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</si>
  <si>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</si>
  <si>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</si>
  <si>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</si>
  <si>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</si>
  <si>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</si>
  <si>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</si>
  <si>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</si>
  <si>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</si>
  <si>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</si>
  <si>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</si>
  <si>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</si>
  <si>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</si>
  <si>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</si>
  <si>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</si>
  <si>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</si>
  <si>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</si>
  <si>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</si>
  <si>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</si>
  <si>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</si>
  <si>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</si>
  <si>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</si>
  <si>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</si>
  <si>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</si>
  <si>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</si>
  <si>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</si>
  <si>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</si>
  <si>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</si>
  <si>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</si>
  <si>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</si>
  <si>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</si>
  <si>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</si>
  <si>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</si>
  <si>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</si>
  <si>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</si>
  <si>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</si>
  <si>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</si>
  <si>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</si>
  <si>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</si>
  <si>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</si>
  <si>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</si>
  <si>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</si>
  <si>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</si>
  <si>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</si>
  <si>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</si>
  <si>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</si>
  <si>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</si>
  <si>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</si>
  <si>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</si>
  <si>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</si>
  <si>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</si>
  <si>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</si>
  <si>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</si>
  <si>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</si>
  <si>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</si>
  <si>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</si>
  <si>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</si>
  <si>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</si>
  <si>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</si>
  <si>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</si>
  <si>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</si>
  <si>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</si>
  <si>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</si>
  <si>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</si>
  <si>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</si>
  <si>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</si>
  <si>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</si>
  <si>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</si>
  <si>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</si>
  <si>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</si>
  <si>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</si>
  <si>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</si>
  <si>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</si>
  <si>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</si>
  <si>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</si>
  <si>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</si>
  <si>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</si>
  <si>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</si>
  <si>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</si>
  <si>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</si>
  <si>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</si>
  <si>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</si>
  <si>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</si>
  <si>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</si>
  <si>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</si>
  <si>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</si>
  <si>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</si>
  <si>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</si>
  <si>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</si>
  <si>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</si>
  <si>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</si>
  <si>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</si>
  <si>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</si>
  <si>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</si>
  <si>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</si>
  <si>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</si>
  <si>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</si>
  <si>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</si>
  <si>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</si>
  <si>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</si>
  <si>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</si>
  <si>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</si>
  <si>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</si>
  <si>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</si>
  <si>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</si>
  <si>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</si>
  <si>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</si>
  <si>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</si>
  <si>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</si>
  <si>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</si>
  <si>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</si>
  <si>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</si>
  <si>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</si>
  <si>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</si>
  <si>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</si>
  <si>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</si>
  <si>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</si>
  <si>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</si>
  <si>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</si>
  <si>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</si>
  <si>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</si>
  <si>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</si>
  <si>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</si>
  <si>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</si>
  <si>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</si>
  <si>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</si>
  <si>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</si>
  <si>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</si>
  <si>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</si>
  <si>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</si>
  <si>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</si>
  <si>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</si>
  <si>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</si>
  <si>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</si>
  <si>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</si>
  <si>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</si>
  <si>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</si>
  <si>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</si>
  <si>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</si>
  <si>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</si>
  <si>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</si>
  <si>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</si>
  <si>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</si>
  <si>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</si>
  <si>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</si>
  <si>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</si>
  <si>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</si>
  <si>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</si>
  <si>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</si>
  <si>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</si>
  <si>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</si>
  <si>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</si>
  <si>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</si>
  <si>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</si>
  <si>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</si>
  <si>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</si>
  <si>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</si>
  <si>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</si>
  <si>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</si>
  <si>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</si>
  <si>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</si>
  <si>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</si>
  <si>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</si>
  <si>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</si>
  <si>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</si>
  <si>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</si>
  <si>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</si>
  <si>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</si>
  <si>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</si>
  <si>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</si>
  <si>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</si>
  <si>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</si>
  <si>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</si>
  <si>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</si>
  <si>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</si>
  <si>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</si>
  <si>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</si>
  <si>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</si>
  <si>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</si>
  <si>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</si>
  <si>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</si>
  <si>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</si>
  <si>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</si>
  <si>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</si>
  <si>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</si>
  <si>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</si>
  <si>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</si>
  <si>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</si>
  <si>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</si>
  <si>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</si>
  <si>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</si>
  <si>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</si>
  <si>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</si>
  <si>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</si>
  <si>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</si>
  <si>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</si>
  <si>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</si>
  <si>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</si>
  <si>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</si>
  <si>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</si>
  <si>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</si>
  <si>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</si>
  <si>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</si>
  <si>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</si>
  <si>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</si>
  <si>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</si>
  <si>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</si>
  <si>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</si>
  <si>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</si>
  <si>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</si>
  <si>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</si>
  <si>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</si>
  <si>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</si>
  <si>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</si>
  <si>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</si>
  <si>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</si>
  <si>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</si>
  <si>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</si>
  <si>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</si>
  <si>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</si>
  <si>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</si>
  <si>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</si>
  <si>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</si>
  <si>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</si>
  <si>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</si>
  <si>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</si>
  <si>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</si>
  <si>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</si>
  <si>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</si>
  <si>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</si>
  <si>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</si>
  <si>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</si>
  <si>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</si>
  <si>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</si>
  <si>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</si>
  <si>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</si>
  <si>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</si>
  <si>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</si>
  <si>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</si>
  <si>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</si>
  <si>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</si>
  <si>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</si>
  <si>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</si>
  <si>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</si>
  <si>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</si>
  <si>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</si>
  <si>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</si>
  <si>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</si>
  <si>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</si>
  <si>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</si>
  <si>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</si>
  <si>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</si>
  <si>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</si>
  <si>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</si>
  <si>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</si>
  <si>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</si>
  <si>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</si>
  <si>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</si>
  <si>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</si>
  <si>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</si>
  <si>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</si>
  <si>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</si>
  <si>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</si>
  <si>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</si>
  <si>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</si>
  <si>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</si>
  <si>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</si>
  <si>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</si>
  <si>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</si>
  <si>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</si>
  <si>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</si>
  <si>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</si>
  <si>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</si>
  <si>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</si>
  <si>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</si>
  <si>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</si>
  <si>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</si>
  <si>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</si>
  <si>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</si>
  <si>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</si>
  <si>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</si>
  <si>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</si>
  <si>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</si>
  <si>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</si>
  <si>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</si>
  <si>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</si>
  <si>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</si>
  <si>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</si>
  <si>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</si>
  <si>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</si>
  <si>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</si>
  <si>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</si>
  <si>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</si>
  <si>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</si>
  <si>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</si>
  <si>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</si>
  <si>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</si>
  <si>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</si>
  <si>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</si>
  <si>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</si>
  <si>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</si>
  <si>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</si>
  <si>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</si>
  <si>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</si>
  <si>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</si>
  <si>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</si>
  <si>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</si>
  <si>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</si>
  <si>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</si>
  <si>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</si>
  <si>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</si>
  <si>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</si>
  <si>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</si>
  <si>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</si>
  <si>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</si>
  <si>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</si>
  <si>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</si>
  <si>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</si>
  <si>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</si>
  <si>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</si>
  <si>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</si>
  <si>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</si>
  <si>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</si>
  <si>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</si>
  <si>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</si>
  <si>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</si>
  <si>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</si>
  <si>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</si>
  <si>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</si>
  <si>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</si>
  <si>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</si>
  <si>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</si>
  <si>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</si>
  <si>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</si>
  <si>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</si>
  <si>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</si>
  <si>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</si>
  <si>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</si>
  <si>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</si>
  <si>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</si>
  <si>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</si>
  <si>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</si>
  <si>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</si>
  <si>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</si>
  <si>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</si>
  <si>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</si>
  <si>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</si>
  <si>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</si>
  <si>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</si>
  <si>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</si>
  <si>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</si>
  <si>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</si>
  <si>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</si>
  <si>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</si>
  <si>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</si>
  <si>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</si>
  <si>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</si>
  <si>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</si>
  <si>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</si>
  <si>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</si>
  <si>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</si>
  <si>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</si>
  <si>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</si>
  <si>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</si>
  <si>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</si>
  <si>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</si>
  <si>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</si>
  <si>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</si>
  <si>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</si>
  <si>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</si>
  <si>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</si>
  <si>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</si>
  <si>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</si>
  <si>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</si>
  <si>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</si>
  <si>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</si>
  <si>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</si>
  <si>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</si>
  <si>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</si>
  <si>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</si>
  <si>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</si>
  <si>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</si>
  <si>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</si>
  <si>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</si>
  <si>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</si>
  <si>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</si>
  <si>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</si>
  <si>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</si>
  <si>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</si>
  <si>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</si>
  <si>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</si>
  <si>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</si>
  <si>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</si>
  <si>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</si>
  <si>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</si>
  <si>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</si>
  <si>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</si>
  <si>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</si>
  <si>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</si>
  <si>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</si>
  <si>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</si>
  <si>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</si>
  <si>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</si>
  <si>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</si>
  <si>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</si>
  <si>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</si>
  <si>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</si>
  <si>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</si>
  <si>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</si>
  <si>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</si>
  <si>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OSGコーポ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</si>
  <si>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</si>
  <si>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</si>
  <si>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</si>
  <si>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</si>
  <si>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</si>
  <si>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</si>
  <si>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</si>
  <si>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</si>
  <si>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</si>
  <si>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</si>
  <si>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</si>
  <si>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</si>
  <si>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</si>
  <si>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</si>
  <si>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</si>
  <si>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</si>
  <si>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</si>
  <si>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</si>
  <si>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</si>
  <si>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</si>
  <si>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</si>
  <si>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</si>
  <si>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</si>
  <si>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</si>
  <si>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</si>
  <si>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</si>
  <si>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</si>
  <si>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</si>
  <si>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</si>
  <si>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</si>
  <si>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</si>
  <si>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</si>
  <si>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</si>
  <si>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</si>
  <si>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</si>
  <si>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</si>
  <si>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</si>
  <si>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</si>
  <si>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</si>
  <si>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</si>
  <si>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</si>
  <si>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</si>
  <si>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</si>
  <si>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</si>
  <si>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</si>
  <si>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</si>
  <si>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</si>
  <si>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</si>
  <si>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</si>
  <si>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</si>
  <si>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</si>
  <si>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</si>
  <si>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</si>
  <si>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</si>
  <si>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</si>
  <si>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</si>
  <si>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</si>
  <si>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</si>
  <si>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</si>
  <si>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</si>
  <si>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</si>
  <si>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</si>
  <si>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</si>
  <si>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</si>
  <si>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</si>
  <si>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</si>
  <si>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12/24</t>
  </si>
  <si>
    <t xml:space="preserve"> TAKARA&amp;C</t>
  </si>
  <si>
    <t>389"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</si>
  <si>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</si>
  <si>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</si>
  <si>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</si>
  <si>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</si>
  <si>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</si>
  <si>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</si>
  <si>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</si>
  <si>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</si>
  <si>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</si>
  <si>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</si>
  <si>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</si>
  <si>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 xml:space="preserve"> プレナス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</si>
  <si>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</si>
  <si>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</si>
  <si>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</si>
  <si>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</si>
  <si>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</si>
  <si>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</si>
  <si>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</si>
  <si>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</si>
  <si>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</si>
  <si>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</si>
  <si>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</si>
  <si>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</si>
  <si>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</si>
  <si>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</si>
  <si>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</si>
  <si>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</si>
  <si>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</si>
  <si>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</si>
  <si>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</si>
  <si>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</si>
  <si>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</si>
  <si>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</si>
  <si>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</si>
  <si>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</si>
  <si>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</si>
  <si>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</si>
  <si>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</si>
  <si>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</si>
  <si>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</si>
  <si>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</si>
  <si>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</si>
  <si>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</si>
  <si>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</si>
  <si>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</si>
  <si>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</si>
  <si>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</si>
  <si>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</si>
  <si>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</si>
  <si>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</si>
  <si>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</si>
  <si>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</si>
  <si>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</si>
  <si>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</si>
  <si>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</si>
  <si>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</si>
  <si>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</si>
  <si>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</si>
  <si>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</si>
  <si>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</si>
  <si>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</si>
  <si>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</si>
  <si>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</si>
  <si>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</si>
  <si>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</si>
  <si>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</si>
  <si>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</si>
  <si>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</si>
  <si>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</si>
  <si>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</si>
  <si>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</si>
  <si>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</si>
  <si>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</si>
  <si>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</si>
  <si>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</si>
  <si>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</si>
  <si>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</si>
  <si>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</si>
  <si>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</si>
  <si>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</si>
  <si>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</si>
  <si>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</si>
  <si>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</si>
  <si>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</si>
  <si>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</si>
  <si>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</si>
  <si>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</si>
  <si>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</si>
  <si>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</si>
  <si>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</si>
  <si>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</si>
  <si>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</si>
  <si>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</si>
  <si>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</si>
  <si>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</si>
  <si>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</si>
  <si>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</si>
  <si>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</si>
  <si>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</si>
  <si>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</si>
  <si>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</si>
  <si>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</si>
  <si>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</si>
  <si>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</si>
  <si>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</si>
  <si>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</si>
  <si>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</si>
  <si>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</si>
  <si>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</si>
  <si>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</si>
  <si>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</si>
  <si>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</si>
  <si>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</si>
  <si>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</si>
  <si>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</si>
  <si>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</si>
  <si>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</si>
  <si>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</si>
  <si>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</si>
  <si>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</si>
  <si>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</si>
  <si>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</si>
  <si>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</si>
  <si>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</si>
  <si>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</si>
  <si>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</si>
  <si>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</si>
  <si>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</si>
  <si>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</si>
  <si>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</si>
  <si>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</si>
  <si>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</si>
  <si>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</si>
  <si>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</si>
  <si>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</si>
  <si>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</si>
  <si>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</si>
  <si>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</si>
  <si>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</si>
  <si>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</si>
  <si>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</si>
  <si>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</si>
  <si>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</si>
  <si>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</si>
  <si>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</si>
  <si>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</si>
  <si>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</si>
  <si>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</si>
  <si>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</si>
  <si>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</si>
  <si>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</si>
  <si>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</si>
  <si>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</si>
  <si>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</si>
  <si>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</si>
  <si>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</si>
  <si>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</si>
  <si>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</si>
  <si>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</si>
  <si>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</si>
  <si>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</si>
  <si>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</si>
  <si>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</si>
  <si>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</si>
  <si>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</si>
  <si>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</si>
  <si>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</si>
  <si>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</si>
  <si>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</si>
  <si>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</si>
  <si>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</si>
  <si>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</si>
  <si>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</si>
  <si>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</si>
  <si>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</si>
  <si>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</si>
  <si>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</si>
  <si>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</si>
  <si>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</si>
  <si>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</si>
  <si>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</si>
  <si>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</si>
  <si>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</si>
  <si>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</si>
  <si>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</si>
  <si>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</si>
  <si>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</si>
  <si>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エイチ・アイ・エス</t>
  </si>
  <si>
    <t>三菱商事</t>
  </si>
  <si>
    <t>旭化成</t>
  </si>
  <si>
    <t>八十二銀行</t>
  </si>
  <si>
    <t>ダイフク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</si>
  <si>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</si>
  <si>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</si>
  <si>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</si>
  <si>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</si>
  <si>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</si>
  <si>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</si>
  <si>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</si>
  <si>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</si>
  <si>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</si>
  <si>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</si>
  <si>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</si>
  <si>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</si>
  <si>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</si>
  <si>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</si>
  <si>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</si>
  <si>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</si>
  <si>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</si>
  <si>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</si>
  <si>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</si>
  <si>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</si>
  <si>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長谷工コーポレーション</t>
  </si>
  <si>
    <t>松井建設</t>
  </si>
  <si>
    <t>佐田建設</t>
  </si>
  <si>
    <t>富士ピー・エス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</si>
  <si>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</si>
  <si>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</si>
  <si>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</si>
  <si>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</si>
  <si>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</si>
  <si>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</si>
  <si>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</si>
  <si>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</si>
  <si>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</si>
  <si>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</si>
  <si>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</si>
  <si>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</si>
  <si>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</si>
  <si>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</si>
  <si>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</si>
  <si>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</si>
  <si>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</si>
  <si>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</si>
  <si>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</si>
  <si>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</si>
  <si>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</si>
  <si>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</si>
  <si>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</si>
  <si>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</si>
  <si>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</si>
  <si>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</si>
  <si>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</si>
  <si>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</si>
  <si>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</si>
  <si>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</si>
  <si>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</si>
  <si>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</si>
  <si>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</si>
  <si>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</si>
  <si>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</si>
  <si>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</si>
  <si>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</si>
  <si>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伊藤ハム米久ホールディングス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</si>
  <si>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</si>
  <si>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</si>
  <si>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</si>
  <si>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</si>
  <si>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</si>
  <si>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</si>
  <si>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</si>
  <si>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</si>
  <si>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</si>
  <si>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</si>
  <si>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</si>
  <si>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</si>
  <si>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</si>
  <si>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</si>
  <si>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</si>
  <si>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</si>
  <si>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</si>
  <si>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</si>
  <si>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</si>
  <si>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</si>
  <si>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</si>
  <si>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</si>
  <si>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</si>
  <si>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</si>
  <si>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</si>
  <si>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</si>
  <si>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</si>
  <si>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</si>
  <si>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</si>
  <si>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</si>
  <si>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</si>
  <si>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</si>
  <si>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</si>
  <si>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</si>
  <si>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</si>
  <si>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</si>
  <si>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</si>
  <si>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</si>
  <si>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</si>
  <si>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</si>
  <si>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</si>
  <si>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</si>
  <si>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</si>
  <si>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</si>
  <si>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</si>
  <si>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</si>
  <si>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</si>
  <si>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</si>
  <si>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</si>
  <si>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</si>
  <si>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</si>
  <si>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</si>
  <si>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</si>
  <si>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</si>
  <si>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</si>
  <si>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</si>
  <si>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</si>
  <si>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</si>
  <si>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</si>
  <si>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</si>
  <si>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</si>
  <si>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</si>
  <si>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</si>
  <si>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</si>
  <si>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</si>
  <si>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</si>
  <si>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</si>
  <si>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</si>
  <si>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</si>
  <si>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</si>
  <si>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</si>
  <si>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</si>
  <si>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</si>
  <si>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</si>
  <si>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</si>
  <si>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</si>
  <si>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</si>
  <si>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</si>
  <si>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</si>
  <si>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</si>
  <si>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</si>
  <si>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</si>
  <si>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</si>
  <si>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</si>
  <si>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</si>
  <si>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</si>
  <si>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</si>
  <si>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</si>
  <si>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</si>
  <si>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</si>
  <si>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</si>
  <si>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</si>
  <si>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</si>
  <si>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</si>
  <si>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</si>
  <si>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</si>
  <si>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</si>
  <si>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</si>
  <si>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</si>
  <si>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</si>
  <si>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</si>
  <si>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</si>
  <si>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</si>
  <si>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</si>
  <si>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</si>
  <si>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</si>
  <si>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</si>
  <si>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</si>
  <si>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</si>
  <si>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</si>
  <si>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</si>
  <si>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</si>
  <si>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</si>
  <si>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</si>
  <si>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</si>
  <si>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</si>
  <si>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</si>
  <si>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</si>
  <si>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</si>
  <si>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</si>
  <si>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</si>
  <si>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</si>
  <si>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</si>
  <si>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</si>
  <si>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</si>
  <si>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</si>
  <si>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</si>
  <si>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</si>
  <si>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</si>
  <si>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</si>
  <si>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北越コーポレーション</t>
  </si>
  <si>
    <t>中越パルプ工業</t>
  </si>
  <si>
    <t>巴川製紙所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</si>
  <si>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</si>
  <si>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</si>
  <si>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</si>
  <si>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</si>
  <si>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</si>
  <si>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</si>
  <si>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</si>
  <si>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</si>
  <si>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</si>
  <si>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</si>
  <si>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</si>
  <si>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</si>
  <si>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</si>
  <si>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</si>
  <si>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</si>
  <si>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</si>
  <si>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</si>
  <si>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</si>
  <si>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</si>
  <si>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</si>
  <si>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</si>
  <si>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</si>
  <si>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</si>
  <si>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</si>
  <si>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</si>
  <si>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</si>
  <si>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</si>
  <si>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</si>
  <si>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</si>
  <si>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</si>
  <si>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</si>
  <si>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</si>
  <si>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</si>
  <si>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</si>
  <si>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</si>
  <si>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</si>
  <si>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</si>
  <si>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</si>
  <si>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</si>
  <si>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</si>
  <si>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</si>
  <si>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</si>
  <si>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</si>
  <si>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</si>
  <si>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</si>
  <si>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</si>
  <si>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</si>
  <si>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</si>
  <si>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</si>
  <si>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</si>
  <si>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</si>
  <si>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</si>
  <si>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</si>
  <si>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</si>
  <si>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</si>
  <si>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</si>
  <si>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</si>
  <si>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</si>
  <si>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</si>
  <si>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</si>
  <si>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</si>
  <si>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</si>
  <si>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</si>
  <si>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</si>
  <si>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</si>
  <si>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</si>
  <si>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</si>
  <si>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</si>
  <si>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</si>
  <si>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</si>
  <si>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</si>
  <si>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</si>
  <si>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</si>
  <si>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</si>
  <si>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</si>
  <si>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</si>
  <si>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</si>
  <si>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</si>
  <si>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</si>
  <si>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</si>
  <si>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</si>
  <si>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</si>
  <si>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エステー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</si>
  <si>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</si>
  <si>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</si>
  <si>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</si>
  <si>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</si>
  <si>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</si>
  <si>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</si>
  <si>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</si>
  <si>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</si>
  <si>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ＴＯＹＯ　ＴＩＲＥ</t>
  </si>
  <si>
    <t>ブリヂストン</t>
  </si>
  <si>
    <t>藤倉コンポジット</t>
  </si>
  <si>
    <t>フコク</t>
  </si>
  <si>
    <t>ニッタ</t>
  </si>
  <si>
    <t>住友理工</t>
  </si>
  <si>
    <t>三ツ星ベルト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</si>
  <si>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</si>
  <si>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</si>
  <si>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</si>
  <si>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</si>
  <si>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</si>
  <si>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</si>
  <si>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</si>
  <si>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</si>
  <si>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</si>
  <si>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</si>
  <si>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</si>
  <si>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</si>
  <si>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日本製鉄</t>
  </si>
  <si>
    <t>中山製鋼所</t>
  </si>
  <si>
    <t>合同製鐵</t>
  </si>
  <si>
    <t>ジェイ　エフ　イー　ホールディングス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</si>
  <si>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</si>
  <si>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</si>
  <si>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</si>
  <si>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</si>
  <si>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</si>
  <si>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</si>
  <si>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</si>
  <si>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</si>
  <si>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</si>
  <si>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</si>
  <si>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</si>
  <si>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</si>
  <si>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</si>
  <si>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</si>
  <si>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</si>
  <si>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</si>
  <si>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</si>
  <si>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</si>
  <si>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</si>
  <si>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</si>
  <si>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</si>
  <si>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</si>
  <si>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</si>
  <si>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</si>
  <si>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</si>
  <si>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</si>
  <si>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</si>
  <si>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</si>
  <si>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</si>
  <si>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</si>
  <si>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</si>
  <si>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</si>
  <si>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</si>
  <si>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</si>
  <si>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</si>
  <si>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</si>
  <si>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</si>
  <si>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</si>
  <si>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</si>
  <si>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</si>
  <si>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</si>
  <si>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</si>
  <si>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</si>
  <si>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</si>
  <si>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</si>
  <si>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</si>
  <si>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</si>
  <si>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</si>
  <si>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</si>
  <si>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</si>
  <si>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</si>
  <si>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</si>
  <si>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</si>
  <si>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</si>
  <si>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</si>
  <si>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</si>
  <si>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</si>
  <si>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</si>
  <si>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</si>
  <si>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</si>
  <si>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</si>
  <si>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</si>
  <si>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</si>
  <si>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</si>
  <si>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</si>
  <si>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</si>
  <si>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</si>
  <si>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</si>
  <si>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</si>
  <si>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</si>
  <si>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</si>
  <si>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</si>
  <si>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</si>
  <si>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</si>
  <si>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</si>
  <si>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</si>
  <si>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</si>
  <si>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</si>
  <si>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</si>
  <si>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</si>
  <si>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</si>
  <si>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</si>
  <si>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</si>
  <si>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</si>
  <si>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</si>
  <si>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</si>
  <si>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</si>
  <si>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</si>
  <si>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</si>
  <si>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</si>
  <si>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</si>
  <si>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</si>
  <si>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</si>
  <si>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</si>
  <si>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</si>
  <si>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</si>
  <si>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</si>
  <si>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</si>
  <si>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</si>
  <si>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</si>
  <si>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</si>
  <si>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</si>
  <si>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</si>
  <si>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</si>
  <si>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</si>
  <si>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</si>
  <si>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</si>
  <si>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</si>
  <si>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</si>
  <si>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ＧａｍｅＷｉｔｈ</t>
  </si>
  <si>
    <t>マキタ</t>
  </si>
  <si>
    <t>ダイヘン</t>
  </si>
  <si>
    <t>第一精工</t>
  </si>
  <si>
    <t>日新電機</t>
  </si>
  <si>
    <t>オムロン</t>
  </si>
  <si>
    <t>ＩＤＥＣ</t>
  </si>
  <si>
    <t>正興電機製作所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</si>
  <si>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</si>
  <si>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</si>
  <si>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</si>
  <si>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</si>
  <si>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</si>
  <si>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</si>
  <si>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</si>
  <si>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</si>
  <si>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</si>
  <si>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</si>
  <si>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</si>
  <si>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</si>
  <si>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</si>
  <si>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</si>
  <si>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</si>
  <si>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</si>
  <si>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</si>
  <si>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</si>
  <si>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</si>
  <si>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</si>
  <si>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</si>
  <si>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</si>
  <si>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</si>
  <si>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</si>
  <si>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</si>
  <si>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</si>
  <si>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</si>
  <si>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</si>
  <si>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</si>
  <si>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デンソー</t>
  </si>
  <si>
    <t>千代田インテグレ</t>
  </si>
  <si>
    <t>アイ・オー・データ機器</t>
  </si>
  <si>
    <t>岡谷電機産業</t>
  </si>
  <si>
    <t>山一電機</t>
  </si>
  <si>
    <t>図研</t>
  </si>
  <si>
    <t>ファナック</t>
  </si>
  <si>
    <t>日本シイエムケイ</t>
  </si>
  <si>
    <t>エンプラス</t>
  </si>
  <si>
    <t>大真空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</si>
  <si>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</si>
  <si>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</si>
  <si>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</si>
  <si>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</si>
  <si>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</si>
  <si>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</si>
  <si>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川崎重工業</t>
  </si>
  <si>
    <t>名村造船所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</si>
  <si>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</si>
  <si>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</si>
  <si>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</si>
  <si>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</si>
  <si>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</si>
  <si>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</si>
  <si>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富山第一銀行</t>
  </si>
  <si>
    <t>マーキュリアインベストメント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</si>
  <si>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</si>
  <si>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</si>
  <si>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</si>
  <si>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</si>
  <si>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</si>
  <si>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</si>
  <si>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</si>
  <si>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</si>
  <si>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</si>
  <si>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</si>
  <si>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</si>
  <si>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</si>
  <si>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</si>
  <si>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</si>
  <si>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</si>
  <si>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</si>
  <si>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</si>
  <si>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</si>
  <si>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</si>
  <si>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</si>
  <si>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</si>
  <si>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</si>
  <si>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</si>
  <si>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</si>
  <si>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</si>
  <si>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</si>
  <si>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</si>
  <si>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</si>
  <si>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</si>
  <si>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</si>
  <si>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</si>
  <si>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</si>
  <si>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</si>
  <si>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</si>
  <si>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</si>
  <si>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</si>
  <si>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</si>
  <si>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</si>
  <si>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</si>
  <si>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</si>
  <si>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</si>
  <si>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</si>
  <si>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</si>
  <si>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</si>
  <si>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</si>
  <si>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</si>
  <si>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</si>
  <si>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</si>
  <si>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</si>
  <si>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</si>
  <si>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</si>
  <si>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</si>
  <si>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</si>
  <si>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</si>
  <si>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</si>
  <si>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</si>
  <si>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</si>
  <si>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</si>
  <si>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</si>
  <si>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</si>
  <si>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</si>
  <si>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</si>
  <si>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</si>
  <si>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</si>
  <si>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</si>
  <si>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</si>
  <si>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</si>
  <si>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</si>
  <si>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</si>
  <si>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</si>
  <si>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</si>
  <si>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</si>
  <si>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</si>
  <si>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</si>
  <si>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</si>
  <si>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アシックス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</si>
  <si>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</si>
  <si>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</si>
  <si>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</si>
  <si>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</si>
  <si>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</si>
  <si>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</si>
  <si>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信越ポリマー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</si>
  <si>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</si>
  <si>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</si>
  <si>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</si>
  <si>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</si>
  <si>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</si>
  <si>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</si>
  <si>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</si>
  <si>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</si>
  <si>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</si>
  <si>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</si>
  <si>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</si>
  <si>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</si>
  <si>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</si>
  <si>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</si>
  <si>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</si>
  <si>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</si>
  <si>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</si>
  <si>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</si>
  <si>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</si>
  <si>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</si>
  <si>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</si>
  <si>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</si>
  <si>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</si>
  <si>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</si>
  <si>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</si>
  <si>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</si>
  <si>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</si>
  <si>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</si>
  <si>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</si>
  <si>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</si>
  <si>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</si>
  <si>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</si>
  <si>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</si>
  <si>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</si>
  <si>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</si>
  <si>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</si>
  <si>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</si>
  <si>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</si>
  <si>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</si>
  <si>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</si>
  <si>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</si>
  <si>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</si>
  <si>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</si>
  <si>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</si>
  <si>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</si>
  <si>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</si>
  <si>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</si>
  <si>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</si>
  <si>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</si>
  <si>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</si>
  <si>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</si>
  <si>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</si>
  <si>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</si>
  <si>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</si>
  <si>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</si>
  <si>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</si>
  <si>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</si>
  <si>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</si>
  <si>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</si>
  <si>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</si>
  <si>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</si>
  <si>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</si>
  <si>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</si>
  <si>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</si>
  <si>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</si>
  <si>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</si>
  <si>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</si>
  <si>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</si>
  <si>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</si>
  <si>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</si>
  <si>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</si>
  <si>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</si>
  <si>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</si>
  <si>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</si>
  <si>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</si>
  <si>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</si>
  <si>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</si>
  <si>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</si>
  <si>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</si>
  <si>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</si>
  <si>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</si>
  <si>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</si>
  <si>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</si>
  <si>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</si>
  <si>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</si>
  <si>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</si>
  <si>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</si>
  <si>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</si>
  <si>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</si>
  <si>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</si>
  <si>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</si>
  <si>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</si>
  <si>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</si>
  <si>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</si>
  <si>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</si>
  <si>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</si>
  <si>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</si>
  <si>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</si>
  <si>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</si>
  <si>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</si>
  <si>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</si>
  <si>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</si>
  <si>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</si>
  <si>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</si>
  <si>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</si>
  <si>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</si>
  <si>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</si>
  <si>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</si>
  <si>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</si>
  <si>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</si>
  <si>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</si>
  <si>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</si>
  <si>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</si>
  <si>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</si>
  <si>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</si>
  <si>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</si>
  <si>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</si>
  <si>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</si>
  <si>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</si>
  <si>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</si>
  <si>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</si>
  <si>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</si>
  <si>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</si>
  <si>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</si>
  <si>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</si>
  <si>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</si>
  <si>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</si>
  <si>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</si>
  <si>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</si>
  <si>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</si>
  <si>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</si>
  <si>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</si>
  <si>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</si>
  <si>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</si>
  <si>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</si>
  <si>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</si>
  <si>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</si>
  <si>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</si>
  <si>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</si>
  <si>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</si>
  <si>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</si>
  <si>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</si>
  <si>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</si>
  <si>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</si>
  <si>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</si>
  <si>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</si>
  <si>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</si>
  <si>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</si>
  <si>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</si>
  <si>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</si>
  <si>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</si>
  <si>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</si>
  <si>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</si>
  <si>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</si>
  <si>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</si>
  <si>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</si>
  <si>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</si>
  <si>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</si>
  <si>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</si>
  <si>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</si>
  <si>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</si>
  <si>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</si>
  <si>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</si>
  <si>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</si>
  <si>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</si>
  <si>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</si>
  <si>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</si>
  <si>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</si>
  <si>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</si>
  <si>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</si>
  <si>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</si>
  <si>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</si>
  <si>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</si>
  <si>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</si>
  <si>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</si>
  <si>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</si>
  <si>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</si>
  <si>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</si>
  <si>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</si>
  <si>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</si>
  <si>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</si>
  <si>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</si>
  <si>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</si>
  <si>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</si>
  <si>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</si>
  <si>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</si>
  <si>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</si>
  <si>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</si>
  <si>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</si>
  <si>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</si>
  <si>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</si>
  <si>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</si>
  <si>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</si>
  <si>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</si>
  <si>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</si>
  <si>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</si>
  <si>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</si>
  <si>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</si>
  <si>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</si>
  <si>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</si>
  <si>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</si>
  <si>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</si>
  <si>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</si>
  <si>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</si>
  <si>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</si>
  <si>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</si>
  <si>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東北電力</t>
  </si>
  <si>
    <t>電源開発</t>
  </si>
  <si>
    <t>イーレックス</t>
  </si>
  <si>
    <t>レノバ</t>
  </si>
  <si>
    <t>大阪瓦斯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</si>
  <si>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</si>
  <si>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</si>
  <si>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</si>
  <si>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</si>
  <si>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</si>
  <si>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</si>
  <si>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</si>
  <si>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</si>
  <si>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</si>
  <si>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</si>
  <si>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</si>
  <si>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</si>
  <si>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</si>
  <si>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トランス・コスモス</t>
  </si>
  <si>
    <t>ジャステック</t>
  </si>
  <si>
    <t>ＫＮＴ－ＣＴホールディングス</t>
  </si>
  <si>
    <t>トーカイ</t>
  </si>
  <si>
    <t>セントラル警備保障</t>
  </si>
  <si>
    <t>メイテック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</si>
  <si>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</si>
  <si>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</si>
  <si>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</si>
  <si>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</si>
  <si>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</si>
  <si>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</si>
  <si>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</si>
  <si>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</si>
  <si>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</si>
  <si>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</si>
  <si>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</si>
  <si>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</si>
  <si>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</si>
  <si>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</si>
  <si>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</si>
  <si>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</si>
  <si>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</si>
  <si>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</si>
  <si>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</si>
  <si>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</si>
  <si>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</si>
  <si>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</si>
  <si>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</si>
  <si>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</si>
  <si>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</si>
  <si>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</si>
  <si>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</si>
  <si>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</si>
  <si>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</si>
  <si>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</si>
  <si>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</si>
  <si>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</si>
  <si>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</si>
  <si>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</si>
  <si>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</si>
  <si>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</si>
  <si>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</si>
  <si>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</si>
  <si>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</si>
  <si>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</si>
  <si>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</si>
  <si>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</si>
  <si>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</si>
  <si>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</si>
  <si>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</si>
  <si>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</si>
  <si>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</si>
  <si>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</si>
  <si>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</si>
  <si>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</si>
  <si>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</si>
  <si>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</si>
  <si>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</si>
  <si>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</si>
  <si>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</si>
  <si>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</si>
  <si>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</si>
  <si>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</si>
  <si>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</si>
  <si>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12/20</t>
  </si>
  <si>
    <t xml:space="preserve"> サツドラHD</t>
  </si>
  <si>
    <t xml:space="preserve"> 12/23</t>
  </si>
  <si>
    <t xml:space="preserve"> あさひ</t>
  </si>
  <si>
    <t xml:space="preserve"> ピックルス</t>
  </si>
  <si>
    <t xml:space="preserve"> ハピネス&amp;D</t>
  </si>
  <si>
    <t xml:space="preserve"> ストライク</t>
  </si>
  <si>
    <t xml:space="preserve"> パルコ</t>
  </si>
  <si>
    <t xml:space="preserve"> ミタチ</t>
  </si>
  <si>
    <t xml:space="preserve"> 出前館</t>
  </si>
  <si>
    <t xml:space="preserve"> パレモ・HD</t>
  </si>
  <si>
    <t xml:space="preserve"> Jフロント</t>
  </si>
  <si>
    <t xml:space="preserve"> ニイタカ</t>
  </si>
  <si>
    <t xml:space="preserve"> WNIウェザー</t>
  </si>
  <si>
    <t xml:space="preserve"> ナガイレーベ</t>
  </si>
  <si>
    <t xml:space="preserve"> スギＨＤ</t>
  </si>
  <si>
    <t xml:space="preserve"> 高島屋</t>
  </si>
  <si>
    <t xml:space="preserve"> 平和堂</t>
  </si>
  <si>
    <t xml:space="preserve"> セキチュー</t>
  </si>
  <si>
    <t>276"</t>
  </si>
  <si>
    <t xml:space="preserve"> ハローズ</t>
  </si>
  <si>
    <t xml:space="preserve"> トシンＧ</t>
  </si>
  <si>
    <t xml:space="preserve"> ＤＣＭ</t>
  </si>
  <si>
    <t>526"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</si>
  <si>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</si>
  <si>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</si>
  <si>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</si>
  <si>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</si>
  <si>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</si>
  <si>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 xml:space="preserve"> 北  恵</t>
  </si>
  <si>
    <t xml:space="preserve"> カネコ種</t>
  </si>
  <si>
    <t xml:space="preserve"> スタジオアリス</t>
  </si>
  <si>
    <t xml:space="preserve"> アオキスーパー</t>
  </si>
  <si>
    <t xml:space="preserve"> 暁飯島</t>
  </si>
  <si>
    <t xml:space="preserve"> サンエー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</si>
  <si>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</si>
  <si>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</si>
  <si>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</si>
  <si>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</si>
  <si>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</si>
  <si>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 xml:space="preserve"> トライステージ</t>
  </si>
  <si>
    <t xml:space="preserve"> ABC マート</t>
  </si>
  <si>
    <t xml:space="preserve"> ウエルシアHD</t>
  </si>
  <si>
    <t xml:space="preserve"> スタジオアタオ</t>
  </si>
  <si>
    <t xml:space="preserve"> ベル24HD</t>
  </si>
  <si>
    <t xml:space="preserve"> 放電精密</t>
  </si>
  <si>
    <t xml:space="preserve"> GameWith</t>
  </si>
  <si>
    <t xml:space="preserve"> サイゼリヤ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</si>
  <si>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</si>
  <si>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</si>
  <si>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</si>
  <si>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</si>
  <si>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</si>
  <si>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</si>
  <si>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</si>
  <si>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</si>
  <si>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</si>
  <si>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</si>
  <si>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</si>
  <si>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>096"</t>
  </si>
  <si>
    <t xml:space="preserve"> SHIFT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</si>
  <si>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</si>
  <si>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</si>
  <si>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</si>
  <si>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</si>
  <si>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</si>
  <si>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</si>
  <si>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</si>
  <si>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</si>
  <si>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</si>
  <si>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</si>
  <si>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</si>
  <si>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</si>
  <si>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</si>
  <si>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</si>
  <si>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</si>
  <si>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 xml:space="preserve"> 松　屋</t>
  </si>
  <si>
    <t xml:space="preserve"> 井筒屋</t>
  </si>
  <si>
    <t xml:space="preserve"> イズミ</t>
  </si>
  <si>
    <t xml:space="preserve"> リベレステ</t>
  </si>
  <si>
    <t xml:space="preserve"> イオンモール</t>
  </si>
  <si>
    <t xml:space="preserve"> キユソー流通</t>
  </si>
  <si>
    <t xml:space="preserve"> 乃村工</t>
  </si>
  <si>
    <t xml:space="preserve"> オオバ</t>
  </si>
  <si>
    <t xml:space="preserve"> 昴</t>
  </si>
  <si>
    <t xml:space="preserve"> カンセキ</t>
  </si>
  <si>
    <t xml:space="preserve"> ＯＳＧ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</si>
  <si>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</si>
  <si>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</si>
  <si>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</si>
  <si>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</si>
  <si>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</si>
  <si>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</si>
  <si>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</si>
  <si>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</si>
  <si>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</si>
  <si>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</si>
  <si>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</si>
  <si>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</si>
  <si>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</si>
  <si>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</si>
  <si>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</si>
  <si>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</si>
  <si>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</si>
  <si>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</si>
  <si>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</si>
  <si>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</si>
  <si>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</si>
  <si>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>753"</t>
  </si>
  <si>
    <t xml:space="preserve"> ビックカメラ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</si>
  <si>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</si>
  <si>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</si>
  <si>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</si>
  <si>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</si>
  <si>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</si>
  <si>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</si>
  <si>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</si>
  <si>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</si>
  <si>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</si>
  <si>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</si>
  <si>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</si>
  <si>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</si>
  <si>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</si>
  <si>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</si>
  <si>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</si>
  <si>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</si>
  <si>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</si>
  <si>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</si>
  <si>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</si>
  <si>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</si>
  <si>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</si>
  <si>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</si>
  <si>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</si>
  <si>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</si>
  <si>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</si>
  <si>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</si>
  <si>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</si>
  <si>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</si>
  <si>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</si>
  <si>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</si>
  <si>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>372"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</si>
  <si>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</si>
  <si>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</si>
  <si>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</si>
  <si>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</si>
  <si>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</si>
  <si>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</si>
  <si>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</si>
  <si>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</si>
  <si>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</si>
  <si>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</si>
  <si>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</si>
  <si>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</si>
  <si>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</si>
  <si>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</si>
  <si>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</si>
  <si>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</si>
  <si>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</si>
  <si>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</si>
  <si>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</si>
  <si>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</si>
  <si>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</si>
  <si>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</si>
  <si>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</si>
  <si>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</si>
  <si>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</si>
  <si>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</si>
  <si>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</si>
  <si>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</si>
  <si>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</si>
  <si>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</si>
  <si>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</si>
  <si>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</si>
  <si>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</si>
  <si>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</si>
  <si>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</si>
  <si>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</si>
  <si>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 xml:space="preserve"> アークス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</si>
  <si>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</si>
  <si>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</si>
  <si>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</si>
  <si>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</si>
  <si>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</si>
  <si>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</si>
  <si>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</si>
  <si>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</si>
  <si>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</si>
  <si>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</si>
  <si>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</si>
  <si>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</si>
  <si>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</si>
  <si>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</si>
  <si>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</si>
  <si>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</si>
  <si>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</si>
  <si>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</si>
  <si>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</si>
  <si>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</si>
  <si>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</si>
  <si>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</si>
  <si>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</si>
  <si>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</si>
  <si>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 xml:space="preserve"> 日創プロ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</si>
  <si>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</si>
  <si>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</si>
  <si>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</si>
  <si>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</si>
  <si>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</si>
  <si>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</si>
  <si>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</si>
  <si>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</si>
  <si>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</si>
  <si>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</si>
  <si>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</si>
  <si>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</si>
  <si>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</si>
  <si>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 xml:space="preserve"> チームスピリト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</si>
  <si>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</si>
  <si>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</si>
  <si>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</si>
  <si>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</si>
  <si>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</si>
  <si>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</si>
  <si>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</si>
  <si>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</si>
  <si>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</si>
  <si>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</si>
  <si>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</si>
  <si>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</si>
  <si>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</si>
  <si>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</si>
  <si>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</si>
  <si>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</si>
  <si>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</si>
  <si>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</si>
  <si>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</si>
  <si>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</si>
  <si>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</si>
  <si>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</si>
  <si>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</si>
  <si>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</si>
  <si>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</si>
  <si>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</si>
  <si>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</si>
  <si>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</si>
  <si>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</si>
  <si>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</si>
  <si>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</si>
  <si>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</si>
  <si>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</si>
  <si>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</si>
  <si>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</si>
  <si>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</si>
  <si>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</si>
  <si>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</si>
  <si>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</si>
  <si>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</si>
  <si>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</si>
  <si>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</si>
  <si>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</si>
  <si>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</si>
  <si>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</si>
  <si>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</si>
  <si>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</si>
  <si>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</si>
  <si>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</si>
  <si>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</si>
  <si>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</si>
  <si>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</si>
  <si>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</si>
  <si>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</si>
  <si>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</si>
  <si>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</si>
  <si>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</si>
  <si>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</si>
  <si>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</si>
  <si>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</si>
  <si>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</si>
  <si>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</si>
  <si>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</si>
  <si>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</si>
  <si>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</si>
  <si>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</si>
  <si>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</si>
  <si>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>370"</t>
  </si>
  <si>
    <t xml:space="preserve"> ステップ</t>
  </si>
  <si>
    <t>442"</t>
  </si>
  <si>
    <t xml:space="preserve"> 京　写</t>
  </si>
  <si>
    <t xml:space="preserve"> フラベッドH</t>
  </si>
  <si>
    <t xml:space="preserve"> 沖縄電</t>
  </si>
  <si>
    <t>128"</t>
  </si>
  <si>
    <t xml:space="preserve"> ＮＳＤ</t>
  </si>
  <si>
    <t xml:space="preserve"> 日鉄鉱</t>
  </si>
  <si>
    <t xml:space="preserve"> カワニシHD</t>
  </si>
  <si>
    <t xml:space="preserve"> セ硝子</t>
  </si>
  <si>
    <t>163"</t>
  </si>
  <si>
    <t xml:space="preserve"> 三浦工</t>
  </si>
  <si>
    <t>" 70</t>
  </si>
  <si>
    <t xml:space="preserve"> キッコーマン</t>
  </si>
  <si>
    <t xml:space="preserve"> 大陽日酸</t>
  </si>
  <si>
    <t>598"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</si>
  <si>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</si>
  <si>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</si>
  <si>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</si>
  <si>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</si>
  <si>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</si>
  <si>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</si>
  <si>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>171"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</si>
  <si>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</si>
  <si>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</si>
  <si>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</si>
  <si>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</si>
  <si>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</si>
  <si>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</si>
  <si>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</si>
  <si>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</si>
  <si>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</si>
  <si>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</si>
  <si>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>953"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</si>
  <si>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</si>
  <si>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</si>
  <si>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</si>
  <si>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</si>
  <si>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</si>
  <si>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</si>
  <si>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</si>
  <si>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</si>
  <si>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</si>
  <si>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</si>
  <si>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</si>
  <si>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</si>
  <si>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</si>
  <si>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</si>
  <si>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</si>
  <si>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</si>
  <si>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</si>
  <si>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</si>
  <si>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</si>
  <si>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>673"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</si>
  <si>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</si>
  <si>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</si>
  <si>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</si>
  <si>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</si>
  <si>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</si>
  <si>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</si>
  <si>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</si>
  <si>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</si>
  <si>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</si>
  <si>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</si>
  <si>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>074"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</si>
  <si>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</si>
  <si>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</si>
  <si>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</si>
  <si>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</si>
  <si>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</si>
  <si>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>031"</t>
  </si>
  <si>
    <t>" 26</t>
  </si>
  <si>
    <t>571"</t>
  </si>
  <si>
    <t>220"</t>
  </si>
  <si>
    <t xml:space="preserve"> 中山福</t>
  </si>
  <si>
    <t>634"</t>
  </si>
  <si>
    <t xml:space="preserve"> 三住トラスト</t>
  </si>
  <si>
    <t xml:space="preserve"> アルプス物</t>
  </si>
  <si>
    <t xml:space="preserve"> 沖縄セルラー</t>
  </si>
  <si>
    <t>469"</t>
  </si>
  <si>
    <t>888"</t>
  </si>
  <si>
    <t xml:space="preserve"> 五洋建</t>
  </si>
  <si>
    <t>480"</t>
  </si>
  <si>
    <t xml:space="preserve"> 永谷園HD</t>
  </si>
  <si>
    <t>155"</t>
  </si>
  <si>
    <t xml:space="preserve"> テクノフレックス</t>
  </si>
  <si>
    <t>750"</t>
  </si>
  <si>
    <t xml:space="preserve"> 住友ベ</t>
  </si>
  <si>
    <t xml:space="preserve"> オイレス工</t>
  </si>
  <si>
    <t xml:space="preserve"> 東　リ</t>
  </si>
  <si>
    <t>283"</t>
  </si>
  <si>
    <t>656"</t>
  </si>
  <si>
    <t xml:space="preserve"> 総医研</t>
  </si>
  <si>
    <t>727"</t>
  </si>
  <si>
    <t xml:space="preserve"> ｉｐｓ</t>
  </si>
  <si>
    <t xml:space="preserve"> ウィルズ</t>
  </si>
  <si>
    <t xml:space="preserve"> ランサーズ</t>
  </si>
  <si>
    <t>940"</t>
  </si>
  <si>
    <t xml:space="preserve"> ウチヤマHD</t>
  </si>
  <si>
    <t xml:space="preserve"> アンビス</t>
  </si>
  <si>
    <t xml:space="preserve"> 応用地</t>
  </si>
  <si>
    <t>279"</t>
  </si>
  <si>
    <t xml:space="preserve"> ALiNK</t>
  </si>
  <si>
    <t>ユアテック</t>
  </si>
  <si>
    <t>ＣＤＳ</t>
  </si>
  <si>
    <t>ツクイ</t>
  </si>
  <si>
    <t>アウトソーシング</t>
  </si>
  <si>
    <t>高千穂交易</t>
  </si>
  <si>
    <t>あらた</t>
  </si>
  <si>
    <t>ＪＰホールディングス</t>
  </si>
  <si>
    <t>アルフレッサ　ホールディングス</t>
  </si>
  <si>
    <t>横浜冷凍</t>
  </si>
  <si>
    <t>ココカラファイン</t>
  </si>
  <si>
    <t>Ｈａｍｅｅ</t>
  </si>
  <si>
    <t>ホットランド</t>
  </si>
  <si>
    <t>オープンハウス</t>
  </si>
  <si>
    <t>帝国繊維</t>
  </si>
  <si>
    <t>シップヘルスケアホールディングス</t>
  </si>
  <si>
    <t>明治電機工業</t>
  </si>
  <si>
    <t>ケイアイスター不動産</t>
  </si>
  <si>
    <t>グッドコムアセット</t>
  </si>
  <si>
    <t>芦森工業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</si>
  <si>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</si>
  <si>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</si>
  <si>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</si>
  <si>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</si>
  <si>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</si>
  <si>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</si>
  <si>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</si>
  <si>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日産化学</t>
  </si>
  <si>
    <t>四国化成工業</t>
  </si>
  <si>
    <t>ＪＳＲ</t>
  </si>
  <si>
    <t>大阪有機化学工業</t>
  </si>
  <si>
    <t>大倉工業</t>
  </si>
  <si>
    <t>日本精化</t>
  </si>
  <si>
    <t>久光製薬</t>
  </si>
  <si>
    <t>日医工</t>
  </si>
  <si>
    <t>日水製薬</t>
  </si>
  <si>
    <t>秀英予備校</t>
  </si>
  <si>
    <t>ビー・エム・エル</t>
  </si>
  <si>
    <t>トレンドマイクロ</t>
  </si>
  <si>
    <t>ＳＢテクノロジー</t>
  </si>
  <si>
    <t>横浜ゴム</t>
  </si>
  <si>
    <t>住友金属鉱山</t>
  </si>
  <si>
    <t>アマダホールディングス</t>
  </si>
  <si>
    <t>タツモ</t>
  </si>
  <si>
    <t>ワイエイシイホールディングス</t>
  </si>
  <si>
    <t>新東工業</t>
  </si>
  <si>
    <t>レイズネクスト</t>
  </si>
  <si>
    <t>前澤給装工業</t>
  </si>
  <si>
    <t>日立製作所</t>
  </si>
  <si>
    <t>ミマキエンジニアリング</t>
  </si>
  <si>
    <t>日本信号</t>
  </si>
  <si>
    <t>ティアック</t>
  </si>
  <si>
    <t>チノー</t>
  </si>
  <si>
    <t>イリソ電子工業</t>
  </si>
  <si>
    <t>村田製作所</t>
  </si>
  <si>
    <t>ゆうちょ銀行</t>
  </si>
  <si>
    <t>エフテック</t>
  </si>
  <si>
    <t>スズキ</t>
  </si>
  <si>
    <t>ヨロズ</t>
  </si>
  <si>
    <t>三十三フィナンシャルグループ</t>
  </si>
  <si>
    <t>イオン北海道</t>
  </si>
  <si>
    <t>スギホールディングス</t>
  </si>
  <si>
    <t>ＨＯＹＡ</t>
  </si>
  <si>
    <t>ＮＩＳＳＨＡ</t>
  </si>
  <si>
    <t>ＪＳＰ</t>
  </si>
  <si>
    <t>立川ブラインド工業</t>
  </si>
  <si>
    <t>山善</t>
  </si>
  <si>
    <t>兼松エレクトロニクス</t>
  </si>
  <si>
    <t>ゴールドウイン</t>
  </si>
  <si>
    <t>イズミ</t>
  </si>
  <si>
    <t>ふくおかフィナンシャルグループ</t>
  </si>
  <si>
    <t>百五銀行</t>
  </si>
  <si>
    <t>山口フィナンシャルグループ</t>
  </si>
  <si>
    <t>東洋証券</t>
  </si>
  <si>
    <t>スターツコーポレーション</t>
  </si>
  <si>
    <t>東祥</t>
  </si>
  <si>
    <t>朝日放送グループホールディングス</t>
  </si>
  <si>
    <t>ワイヤレスゲート</t>
  </si>
  <si>
    <t>クロップス</t>
  </si>
  <si>
    <t>セコム</t>
  </si>
  <si>
    <t>ベネッセホールディングス</t>
  </si>
  <si>
    <t>5/12/4</t>
  </si>
  <si>
    <t>5/10/5</t>
  </si>
  <si>
    <t>4/7/6</t>
  </si>
  <si>
    <t>3/7/9</t>
  </si>
  <si>
    <t>2/5/8</t>
  </si>
  <si>
    <t>6/7/4</t>
  </si>
  <si>
    <t>3/5/9</t>
  </si>
  <si>
    <t>6/5/6</t>
  </si>
  <si>
    <t>5/4/7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</si>
  <si>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</si>
  <si>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</si>
  <si>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</si>
  <si>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</si>
  <si>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</si>
  <si>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OPEN_8002</t>
  </si>
  <si>
    <t>CLOSE_8002</t>
  </si>
  <si>
    <t>buy(8002)</t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</si>
  <si>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</si>
  <si>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</si>
  <si>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</si>
  <si>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</si>
  <si>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</si>
  <si>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</si>
  <si>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</si>
  <si>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</si>
  <si>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</si>
  <si>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</si>
  <si>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</si>
  <si>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</si>
  <si>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</si>
  <si>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</si>
  <si>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</si>
  <si>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</si>
  <si>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>OPEN_7205</t>
  </si>
  <si>
    <t>CLOSE_7205</t>
  </si>
  <si>
    <t>sell(7205)</t>
  </si>
  <si>
    <t>大林組</t>
  </si>
  <si>
    <t>437"</t>
  </si>
  <si>
    <t>363"</t>
  </si>
  <si>
    <t>375"</t>
  </si>
  <si>
    <t>994"</t>
  </si>
  <si>
    <t>901"</t>
  </si>
  <si>
    <t>247"</t>
  </si>
  <si>
    <t>228"</t>
  </si>
  <si>
    <t>285"</t>
  </si>
  <si>
    <t>532"</t>
  </si>
  <si>
    <t>" 19</t>
  </si>
  <si>
    <t>661"</t>
  </si>
  <si>
    <t>572"</t>
  </si>
  <si>
    <t>156"</t>
  </si>
  <si>
    <t>190"</t>
  </si>
  <si>
    <t>086"</t>
  </si>
  <si>
    <t>257"</t>
  </si>
  <si>
    <t>740"</t>
  </si>
  <si>
    <t>693"</t>
  </si>
  <si>
    <t>" 35</t>
  </si>
  <si>
    <t>865"</t>
  </si>
  <si>
    <t>212"</t>
  </si>
  <si>
    <t>281"</t>
  </si>
  <si>
    <t>371"</t>
  </si>
  <si>
    <t>723"</t>
  </si>
  <si>
    <t>454"</t>
  </si>
  <si>
    <t>076"</t>
  </si>
  <si>
    <t>344"</t>
  </si>
  <si>
    <t>012"</t>
  </si>
  <si>
    <t>755"</t>
  </si>
  <si>
    <t>367"</t>
  </si>
  <si>
    <t>510"</t>
  </si>
  <si>
    <t>556"</t>
  </si>
  <si>
    <t>213"</t>
  </si>
  <si>
    <t>042"</t>
  </si>
  <si>
    <t>477"</t>
  </si>
  <si>
    <t>373"</t>
  </si>
  <si>
    <t>782"</t>
  </si>
  <si>
    <t>328"</t>
  </si>
  <si>
    <t>841"</t>
  </si>
  <si>
    <t>466"</t>
  </si>
  <si>
    <t>523"</t>
  </si>
  <si>
    <t>345"</t>
  </si>
  <si>
    <t>157"</t>
  </si>
  <si>
    <t>564"</t>
  </si>
  <si>
    <t>167"</t>
  </si>
  <si>
    <t>393"</t>
  </si>
  <si>
    <t>" 77</t>
  </si>
  <si>
    <t>398"</t>
  </si>
  <si>
    <t>492"</t>
  </si>
  <si>
    <t>984"</t>
  </si>
  <si>
    <t>002"</t>
  </si>
  <si>
    <t>497"</t>
  </si>
  <si>
    <t>019"</t>
  </si>
  <si>
    <t>553"</t>
  </si>
  <si>
    <t>024"</t>
  </si>
  <si>
    <t>585"</t>
  </si>
  <si>
    <t>332"</t>
  </si>
  <si>
    <t xml:space="preserve"> 日本電設</t>
  </si>
  <si>
    <t>412"</t>
  </si>
  <si>
    <t>578"</t>
  </si>
  <si>
    <t>090"</t>
  </si>
  <si>
    <t>071"</t>
  </si>
  <si>
    <t>548"</t>
  </si>
  <si>
    <t>653"</t>
  </si>
  <si>
    <t>103"</t>
  </si>
  <si>
    <t>094"</t>
  </si>
  <si>
    <t>362"</t>
  </si>
  <si>
    <t>824"</t>
  </si>
  <si>
    <t>194"</t>
  </si>
  <si>
    <t>648"</t>
  </si>
  <si>
    <t>430"</t>
  </si>
  <si>
    <t>973"</t>
  </si>
  <si>
    <t>142"</t>
  </si>
  <si>
    <t>685"</t>
  </si>
  <si>
    <t>825"</t>
  </si>
  <si>
    <t>809"</t>
  </si>
  <si>
    <t>626"</t>
  </si>
  <si>
    <t>567"</t>
  </si>
  <si>
    <t>515"</t>
  </si>
  <si>
    <t>450"</t>
  </si>
  <si>
    <t>179"</t>
  </si>
  <si>
    <t xml:space="preserve"> JTOWER</t>
  </si>
  <si>
    <t>792"</t>
  </si>
  <si>
    <t>310"</t>
  </si>
  <si>
    <t>263"</t>
  </si>
  <si>
    <t>038"</t>
  </si>
  <si>
    <t>406"</t>
  </si>
  <si>
    <t>015"</t>
  </si>
  <si>
    <t>170"</t>
  </si>
  <si>
    <t>580"</t>
  </si>
  <si>
    <t>483"</t>
  </si>
  <si>
    <t>309"</t>
  </si>
  <si>
    <t>261"</t>
  </si>
  <si>
    <t>421"</t>
  </si>
  <si>
    <t>835"</t>
  </si>
  <si>
    <t>600"</t>
  </si>
  <si>
    <t xml:space="preserve"> トリドールHD</t>
  </si>
  <si>
    <t>175"</t>
  </si>
  <si>
    <t>399"</t>
  </si>
  <si>
    <t>052"</t>
  </si>
  <si>
    <t>573"</t>
  </si>
  <si>
    <t>467"</t>
  </si>
  <si>
    <t>168"</t>
  </si>
  <si>
    <t>650"</t>
  </si>
  <si>
    <t>972"</t>
  </si>
  <si>
    <t>916"</t>
  </si>
  <si>
    <t>506"</t>
  </si>
  <si>
    <t>339"</t>
  </si>
  <si>
    <t>464"</t>
  </si>
  <si>
    <t>225"</t>
  </si>
  <si>
    <t>112"</t>
  </si>
  <si>
    <t>688"</t>
  </si>
  <si>
    <t>114"</t>
  </si>
  <si>
    <t>085"</t>
  </si>
  <si>
    <t>298"</t>
  </si>
  <si>
    <t>613"</t>
  </si>
  <si>
    <t>692"</t>
  </si>
  <si>
    <t>166"</t>
  </si>
  <si>
    <t>123"</t>
  </si>
  <si>
    <t>417"</t>
  </si>
  <si>
    <t>935"</t>
  </si>
  <si>
    <t>938"</t>
  </si>
  <si>
    <t>903"</t>
  </si>
  <si>
    <t>803"</t>
  </si>
  <si>
    <t>078"</t>
  </si>
  <si>
    <t>355"</t>
  </si>
  <si>
    <t>951"</t>
  </si>
  <si>
    <t>579"</t>
  </si>
  <si>
    <t>149"</t>
  </si>
  <si>
    <t>698"</t>
  </si>
  <si>
    <t>098"</t>
  </si>
  <si>
    <t>240"</t>
  </si>
  <si>
    <t>229"</t>
  </si>
  <si>
    <t>535"</t>
  </si>
  <si>
    <t>271"</t>
  </si>
  <si>
    <t>476"</t>
  </si>
  <si>
    <t>964"</t>
  </si>
  <si>
    <t xml:space="preserve"> BUYSELL</t>
  </si>
  <si>
    <t>304"</t>
  </si>
  <si>
    <t>172"</t>
  </si>
  <si>
    <t xml:space="preserve"> 06月中旬</t>
  </si>
  <si>
    <t xml:space="preserve"> いちごオフ</t>
  </si>
  <si>
    <t>649"</t>
  </si>
  <si>
    <t>ショーボンドホールディングス</t>
  </si>
  <si>
    <t>ダイセキ環境ソリューション</t>
  </si>
  <si>
    <t>植木組</t>
  </si>
  <si>
    <t>日特建設</t>
  </si>
  <si>
    <t>きんでん</t>
  </si>
  <si>
    <t>プリマハム</t>
  </si>
  <si>
    <t>アイロムグループ</t>
  </si>
  <si>
    <t>ジャパンベストレスキューシステム</t>
  </si>
  <si>
    <t>エレマテック</t>
  </si>
  <si>
    <t>ファーマライズホールディングス</t>
  </si>
  <si>
    <t>アルペン</t>
  </si>
  <si>
    <t>ディーブイエックス</t>
  </si>
  <si>
    <t>ＴＯＫＹＯ　ＢＡＳＥ</t>
  </si>
  <si>
    <t>ＳＵＭＣＯ</t>
  </si>
  <si>
    <t>ジェイ・エス・ビー</t>
  </si>
  <si>
    <t>モバイルファクトリー</t>
  </si>
  <si>
    <t>石原ケミカル</t>
  </si>
  <si>
    <t>塩野義製薬</t>
  </si>
  <si>
    <t>エーザイ</t>
  </si>
  <si>
    <t>日本特殊塗料</t>
  </si>
  <si>
    <t>リゾートトラスト</t>
  </si>
  <si>
    <t>早稲田アカデミー</t>
  </si>
  <si>
    <t>メック</t>
  </si>
  <si>
    <t>富士興産</t>
  </si>
  <si>
    <t>ニチレキ</t>
  </si>
  <si>
    <t>日本板硝子</t>
  </si>
  <si>
    <t>日本特殊陶業</t>
  </si>
  <si>
    <t>神戸製鋼所</t>
  </si>
  <si>
    <t>モリ工業</t>
  </si>
  <si>
    <t>大平洋金属</t>
  </si>
  <si>
    <t>ＬＩＸＩＬグループ</t>
  </si>
  <si>
    <t>サンコール</t>
  </si>
  <si>
    <t>ＤＭＧ森精機</t>
  </si>
  <si>
    <t>豊田自動織機</t>
  </si>
  <si>
    <t>マルマエ</t>
  </si>
  <si>
    <t>タダノ</t>
  </si>
  <si>
    <t>日本金銭機械</t>
  </si>
  <si>
    <t>セガサミーホールディングス</t>
  </si>
  <si>
    <t>大豊工業</t>
  </si>
  <si>
    <t>山洋電気</t>
  </si>
  <si>
    <t>ダブル・スコープ</t>
  </si>
  <si>
    <t>ＥＩＺＯ</t>
  </si>
  <si>
    <t>ホーチキ</t>
  </si>
  <si>
    <t>シャープ</t>
  </si>
  <si>
    <t>タムラ製作所</t>
  </si>
  <si>
    <t>カッパ・クリエイト</t>
  </si>
  <si>
    <t>三城ホールディングス</t>
  </si>
  <si>
    <t>リックス</t>
  </si>
  <si>
    <t>サイゼリヤ</t>
  </si>
  <si>
    <t>ピーシーデポコーポレーション</t>
  </si>
  <si>
    <t>オーバル</t>
  </si>
  <si>
    <t>アートネイチャー</t>
  </si>
  <si>
    <t>アーク</t>
  </si>
  <si>
    <t>前澤化成工業</t>
  </si>
  <si>
    <t>キヤノンマーケティングジャパン</t>
  </si>
  <si>
    <t>タカキュー</t>
  </si>
  <si>
    <t>あおぞら銀行</t>
  </si>
  <si>
    <t>栃木銀行</t>
  </si>
  <si>
    <t>アコム</t>
  </si>
  <si>
    <t>ジャックス</t>
  </si>
  <si>
    <t>三井不動産</t>
  </si>
  <si>
    <t>中央倉庫</t>
  </si>
  <si>
    <t>光通信</t>
  </si>
  <si>
    <t>沖縄電力</t>
  </si>
  <si>
    <t>北海道瓦斯</t>
  </si>
  <si>
    <t>共立メンテナンス</t>
  </si>
  <si>
    <t>ＳＣＳＫ</t>
  </si>
  <si>
    <t>船井総研ホールディングス</t>
  </si>
  <si>
    <t>ミロク情報サービス</t>
  </si>
  <si>
    <t>6/8/8</t>
  </si>
  <si>
    <t>4/5/1</t>
  </si>
  <si>
    <t>2/3/10</t>
  </si>
  <si>
    <t>2/3/11</t>
  </si>
  <si>
    <t>SPAN</t>
    <phoneticPr fontId="1" type="noConversion"/>
  </si>
  <si>
    <t>監視</t>
    <rPh sb="0" eb="2">
      <t>ｶﾝｼ</t>
    </rPh>
    <phoneticPr fontId="1" type="noConversion"/>
  </si>
  <si>
    <t>西松建設</t>
    <phoneticPr fontId="1" type="noConversion"/>
  </si>
  <si>
    <t>田辺三菱製薬</t>
    <phoneticPr fontId="1" type="noConversion"/>
  </si>
  <si>
    <t>制度</t>
    <phoneticPr fontId="1" type="noConversion"/>
  </si>
  <si>
    <t>現物</t>
    <phoneticPr fontId="1" type="noConversion"/>
  </si>
  <si>
    <t>History</t>
    <phoneticPr fontId="1" type="noConversion"/>
  </si>
  <si>
    <t>OPEN_1820</t>
  </si>
  <si>
    <t>CLOSE_1820</t>
  </si>
  <si>
    <t>OPEN_4508</t>
  </si>
  <si>
    <t>CLOSE_4508</t>
  </si>
  <si>
    <t>sell(1820)</t>
  </si>
  <si>
    <t>buy(4508)</t>
  </si>
  <si>
    <t>輸送用機器</t>
    <phoneticPr fontId="1" type="noConversion"/>
  </si>
  <si>
    <t>SELL</t>
    <phoneticPr fontId="1" type="noConversion"/>
  </si>
  <si>
    <t>日野自動車</t>
    <phoneticPr fontId="1" type="noConversion"/>
  </si>
  <si>
    <t>BUY</t>
    <phoneticPr fontId="1" type="noConversion"/>
  </si>
  <si>
    <t>丸紅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</si>
  <si>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</si>
  <si>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</si>
  <si>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</si>
  <si>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</si>
  <si>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</si>
  <si>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</si>
  <si>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</si>
  <si>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</si>
  <si>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</si>
  <si>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日野自動車</t>
    <phoneticPr fontId="1" type="noConversion"/>
  </si>
  <si>
    <t>丸紅</t>
    <phoneticPr fontId="1" type="noConversion"/>
  </si>
  <si>
    <t>卸売業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</si>
</sst>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sz val="9"/>
      <color rgb="FF000000"/>
      <name val="Microsoft YaHei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83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0" fontId="15" fillId="8" borderId="1" xfId="0" applyFont="1" applyFill="1" applyBorder="1" applyAlignment="1">
      <alignment horizontal="center" vertical="center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6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7" fillId="0" borderId="36" xfId="0" applyFont="1" applyBorder="1"/>
    <xf numFmtId="0" fontId="47" fillId="0" borderId="7" xfId="0" applyFont="1" applyBorder="1"/>
    <xf numFmtId="0" fontId="0" fillId="0" borderId="51" xfId="0" applyBorder="1"/>
    <xf numFmtId="0" fontId="48" fillId="0" borderId="51" xfId="0" applyFont="1" applyFill="1" applyBorder="1" applyAlignment="1">
      <alignment horizontal="center"/>
    </xf>
    <xf numFmtId="0" fontId="48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9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78" fontId="15" fillId="8" borderId="14" xfId="0" applyNumberFormat="1" applyFont="1" applyFill="1" applyBorder="1" applyAlignment="1">
      <alignment horizontal="right" vertical="center"/>
    </xf>
    <xf numFmtId="178" fontId="15" fillId="8" borderId="6" xfId="0" applyNumberFormat="1" applyFont="1" applyFill="1" applyBorder="1" applyAlignment="1">
      <alignment horizontal="right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center" vertical="center"/>
    </xf>
    <xf numFmtId="178" fontId="15" fillId="8" borderId="6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righ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righ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8" fillId="0" borderId="0" xfId="0" applyFont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1.23629112662013</c:v>
                </c:pt>
                <c:pt idx="1">
                  <c:v>1.22831505483549</c:v>
                </c:pt>
                <c:pt idx="2">
                  <c:v>1.23391521197007</c:v>
                </c:pt>
                <c:pt idx="3">
                  <c:v>1.2407776669990001</c:v>
                </c:pt>
                <c:pt idx="4">
                  <c:v>1.24738154613466</c:v>
                </c:pt>
                <c:pt idx="5">
                  <c:v>1.2490019960079799</c:v>
                </c:pt>
                <c:pt idx="6">
                  <c:v>1.26334164588528</c:v>
                </c:pt>
                <c:pt idx="7">
                  <c:v>1.2626060908637</c:v>
                </c:pt>
                <c:pt idx="8">
                  <c:v>1.2567432567432499</c:v>
                </c:pt>
                <c:pt idx="9">
                  <c:v>1.26709935097353</c:v>
                </c:pt>
                <c:pt idx="10">
                  <c:v>1.2567432567432499</c:v>
                </c:pt>
                <c:pt idx="11">
                  <c:v>1.24275724275724</c:v>
                </c:pt>
                <c:pt idx="12">
                  <c:v>1.22466300549176</c:v>
                </c:pt>
                <c:pt idx="13">
                  <c:v>1.21817274088866</c:v>
                </c:pt>
                <c:pt idx="14">
                  <c:v>1.2151772341487701</c:v>
                </c:pt>
                <c:pt idx="15">
                  <c:v>1.1922116824762801</c:v>
                </c:pt>
                <c:pt idx="16">
                  <c:v>1.1902146779830201</c:v>
                </c:pt>
                <c:pt idx="17">
                  <c:v>1.18871692461308</c:v>
                </c:pt>
                <c:pt idx="18">
                  <c:v>1.1768231768231701</c:v>
                </c:pt>
                <c:pt idx="19">
                  <c:v>1.18931068931068</c:v>
                </c:pt>
                <c:pt idx="20">
                  <c:v>1.17982017982017</c:v>
                </c:pt>
                <c:pt idx="21">
                  <c:v>1.1811377245508901</c:v>
                </c:pt>
                <c:pt idx="22">
                  <c:v>1.18131868131868</c:v>
                </c:pt>
                <c:pt idx="23">
                  <c:v>1.47191697191697</c:v>
                </c:pt>
                <c:pt idx="24">
                  <c:v>1.77653213751868</c:v>
                </c:pt>
                <c:pt idx="25">
                  <c:v>1.8073115003808</c:v>
                </c:pt>
                <c:pt idx="26">
                  <c:v>1.7951070336391399</c:v>
                </c:pt>
                <c:pt idx="27">
                  <c:v>1.8248673237300901</c:v>
                </c:pt>
                <c:pt idx="28">
                  <c:v>1.8251121076233101</c:v>
                </c:pt>
                <c:pt idx="29">
                  <c:v>1.76204595997034</c:v>
                </c:pt>
                <c:pt idx="30">
                  <c:v>1.7829977628635301</c:v>
                </c:pt>
                <c:pt idx="31">
                  <c:v>1.76541353383458</c:v>
                </c:pt>
                <c:pt idx="32">
                  <c:v>1.73513920240782</c:v>
                </c:pt>
                <c:pt idx="33">
                  <c:v>1.7234363225320199</c:v>
                </c:pt>
                <c:pt idx="34">
                  <c:v>1.73135464231354</c:v>
                </c:pt>
                <c:pt idx="35">
                  <c:v>1.74270353302611</c:v>
                </c:pt>
                <c:pt idx="36">
                  <c:v>1.69236583522297</c:v>
                </c:pt>
                <c:pt idx="37">
                  <c:v>1.7158218125960001</c:v>
                </c:pt>
                <c:pt idx="38">
                  <c:v>1.71969111969111</c:v>
                </c:pt>
                <c:pt idx="39">
                  <c:v>1.74842767295597</c:v>
                </c:pt>
                <c:pt idx="40">
                  <c:v>1.7629276054097001</c:v>
                </c:pt>
                <c:pt idx="41">
                  <c:v>1.7305863708399301</c:v>
                </c:pt>
                <c:pt idx="42">
                  <c:v>1.7485760781122801</c:v>
                </c:pt>
                <c:pt idx="43">
                  <c:v>1.73701298701298</c:v>
                </c:pt>
                <c:pt idx="44">
                  <c:v>1.72146847565841</c:v>
                </c:pt>
                <c:pt idx="45">
                  <c:v>1.68117088607594</c:v>
                </c:pt>
                <c:pt idx="46">
                  <c:v>1.66772151898734</c:v>
                </c:pt>
                <c:pt idx="47">
                  <c:v>1.6479099678456499</c:v>
                </c:pt>
                <c:pt idx="48">
                  <c:v>1.671926910299</c:v>
                </c:pt>
                <c:pt idx="49">
                  <c:v>1.7036720751494401</c:v>
                </c:pt>
                <c:pt idx="50">
                  <c:v>1.65604026845637</c:v>
                </c:pt>
                <c:pt idx="51">
                  <c:v>1.67324185248713</c:v>
                </c:pt>
                <c:pt idx="52">
                  <c:v>1.6766981943250201</c:v>
                </c:pt>
                <c:pt idx="53">
                  <c:v>1.6655290102389</c:v>
                </c:pt>
                <c:pt idx="54">
                  <c:v>1.67277268942547</c:v>
                </c:pt>
                <c:pt idx="55">
                  <c:v>1.7030859049207601</c:v>
                </c:pt>
                <c:pt idx="56">
                  <c:v>1.69620253164556</c:v>
                </c:pt>
                <c:pt idx="57">
                  <c:v>1.64749383730484</c:v>
                </c:pt>
                <c:pt idx="58">
                  <c:v>1.6081081081080999</c:v>
                </c:pt>
                <c:pt idx="59">
                  <c:v>1.5829383886255901</c:v>
                </c:pt>
                <c:pt idx="60">
                  <c:v>1.5824</c:v>
                </c:pt>
                <c:pt idx="61">
                  <c:v>1.59807846277021</c:v>
                </c:pt>
                <c:pt idx="62">
                  <c:v>1.6047808764940199</c:v>
                </c:pt>
                <c:pt idx="63">
                  <c:v>1.6091861402095</c:v>
                </c:pt>
                <c:pt idx="64">
                  <c:v>1.6164274322169001</c:v>
                </c:pt>
                <c:pt idx="65">
                  <c:v>1.58623417721518</c:v>
                </c:pt>
                <c:pt idx="66">
                  <c:v>1.5929203539823</c:v>
                </c:pt>
                <c:pt idx="67">
                  <c:v>1.59516129032258</c:v>
                </c:pt>
                <c:pt idx="68">
                  <c:v>1.57318070318887</c:v>
                </c:pt>
                <c:pt idx="69">
                  <c:v>1.5694098088113</c:v>
                </c:pt>
                <c:pt idx="70">
                  <c:v>1.6020495303159601</c:v>
                </c:pt>
                <c:pt idx="71">
                  <c:v>1.59454855195911</c:v>
                </c:pt>
                <c:pt idx="72">
                  <c:v>1.5819742489270301</c:v>
                </c:pt>
                <c:pt idx="73">
                  <c:v>1.59608843537414</c:v>
                </c:pt>
                <c:pt idx="74">
                  <c:v>1.61282051282051</c:v>
                </c:pt>
                <c:pt idx="75">
                  <c:v>1.6183986371379799</c:v>
                </c:pt>
                <c:pt idx="76">
                  <c:v>1.63253012048192</c:v>
                </c:pt>
                <c:pt idx="77">
                  <c:v>1.6176470588235199</c:v>
                </c:pt>
                <c:pt idx="78">
                  <c:v>1.62575107296137</c:v>
                </c:pt>
                <c:pt idx="79">
                  <c:v>1.63406113537117</c:v>
                </c:pt>
                <c:pt idx="80">
                  <c:v>1.62243150684931</c:v>
                </c:pt>
                <c:pt idx="81">
                  <c:v>1.6032702237521499</c:v>
                </c:pt>
                <c:pt idx="82">
                  <c:v>1.5962521294718901</c:v>
                </c:pt>
                <c:pt idx="83">
                  <c:v>1.5865874363327599</c:v>
                </c:pt>
                <c:pt idx="84">
                  <c:v>1.56983718937446</c:v>
                </c:pt>
                <c:pt idx="85">
                  <c:v>1.55488331892826</c:v>
                </c:pt>
                <c:pt idx="86">
                  <c:v>1.5571054925893599</c:v>
                </c:pt>
                <c:pt idx="87">
                  <c:v>1.55699481865284</c:v>
                </c:pt>
                <c:pt idx="88">
                  <c:v>1.5491379310344799</c:v>
                </c:pt>
                <c:pt idx="89">
                  <c:v>1.5181434599156101</c:v>
                </c:pt>
                <c:pt idx="90">
                  <c:v>1.53085376162299</c:v>
                </c:pt>
                <c:pt idx="91">
                  <c:v>1.5290648694186999</c:v>
                </c:pt>
                <c:pt idx="92">
                  <c:v>1.5053852526926199</c:v>
                </c:pt>
                <c:pt idx="93">
                  <c:v>1.5463659147869599</c:v>
                </c:pt>
                <c:pt idx="94">
                  <c:v>1.5603588907014601</c:v>
                </c:pt>
                <c:pt idx="95">
                  <c:v>1.6548100242522199</c:v>
                </c:pt>
                <c:pt idx="96">
                  <c:v>1.6709781729991899</c:v>
                </c:pt>
                <c:pt idx="97">
                  <c:v>1.6452131938857599</c:v>
                </c:pt>
                <c:pt idx="98">
                  <c:v>1.70299500831946</c:v>
                </c:pt>
                <c:pt idx="99">
                  <c:v>1.71818181818181</c:v>
                </c:pt>
                <c:pt idx="100">
                  <c:v>1.7456647398843901</c:v>
                </c:pt>
                <c:pt idx="101">
                  <c:v>1.7449664429530201</c:v>
                </c:pt>
                <c:pt idx="102">
                  <c:v>1.75481171548117</c:v>
                </c:pt>
                <c:pt idx="103">
                  <c:v>1.76101694915254</c:v>
                </c:pt>
                <c:pt idx="104">
                  <c:v>1.7710638297872301</c:v>
                </c:pt>
                <c:pt idx="105">
                  <c:v>1.78211805555555</c:v>
                </c:pt>
                <c:pt idx="106">
                  <c:v>1.7921967769296001</c:v>
                </c:pt>
                <c:pt idx="107">
                  <c:v>1.7646559048428201</c:v>
                </c:pt>
                <c:pt idx="108">
                  <c:v>1.7699335548172701</c:v>
                </c:pt>
                <c:pt idx="109">
                  <c:v>1.73220064724919</c:v>
                </c:pt>
                <c:pt idx="110">
                  <c:v>1.7259498787388801</c:v>
                </c:pt>
                <c:pt idx="111">
                  <c:v>1.7191558441558401</c:v>
                </c:pt>
                <c:pt idx="112">
                  <c:v>1.74878444084278</c:v>
                </c:pt>
                <c:pt idx="113">
                  <c:v>1.7454110135674299</c:v>
                </c:pt>
                <c:pt idx="114">
                  <c:v>1.7309523809523799</c:v>
                </c:pt>
                <c:pt idx="115">
                  <c:v>1.714859437751</c:v>
                </c:pt>
                <c:pt idx="116">
                  <c:v>1.7079010375099699</c:v>
                </c:pt>
                <c:pt idx="117">
                  <c:v>1.7210610932475801</c:v>
                </c:pt>
                <c:pt idx="118">
                  <c:v>1.7308333333333299</c:v>
                </c:pt>
                <c:pt idx="119">
                  <c:v>1.7311203319502</c:v>
                </c:pt>
                <c:pt idx="120">
                  <c:v>1.69377593360995</c:v>
                </c:pt>
                <c:pt idx="121">
                  <c:v>1.6812551610239399</c:v>
                </c:pt>
                <c:pt idx="122">
                  <c:v>1.6949711459192001</c:v>
                </c:pt>
                <c:pt idx="123">
                  <c:v>1.70778145695364</c:v>
                </c:pt>
                <c:pt idx="124">
                  <c:v>1.72593800978792</c:v>
                </c:pt>
                <c:pt idx="125">
                  <c:v>1.7138211382113799</c:v>
                </c:pt>
                <c:pt idx="126">
                  <c:v>1.68872549019607</c:v>
                </c:pt>
                <c:pt idx="127">
                  <c:v>1.7056</c:v>
                </c:pt>
                <c:pt idx="128">
                  <c:v>1.6656322730799</c:v>
                </c:pt>
                <c:pt idx="129">
                  <c:v>1.6875489428347601</c:v>
                </c:pt>
                <c:pt idx="130">
                  <c:v>1.7377567140600301</c:v>
                </c:pt>
                <c:pt idx="131">
                  <c:v>1.7239215686274501</c:v>
                </c:pt>
                <c:pt idx="132">
                  <c:v>1.6635658914728599</c:v>
                </c:pt>
                <c:pt idx="133">
                  <c:v>1.68131868131868</c:v>
                </c:pt>
                <c:pt idx="134">
                  <c:v>1.66116352201257</c:v>
                </c:pt>
                <c:pt idx="135">
                  <c:v>1.65840433772269</c:v>
                </c:pt>
                <c:pt idx="136">
                  <c:v>1.6481191222570499</c:v>
                </c:pt>
                <c:pt idx="137">
                  <c:v>1.61995249406175</c:v>
                </c:pt>
                <c:pt idx="138">
                  <c:v>1.6196414653156599</c:v>
                </c:pt>
                <c:pt idx="139">
                  <c:v>1.66116352201257</c:v>
                </c:pt>
                <c:pt idx="140">
                  <c:v>1.61778471138845</c:v>
                </c:pt>
                <c:pt idx="141">
                  <c:v>1.6161616161616099</c:v>
                </c:pt>
                <c:pt idx="142">
                  <c:v>1.6239316239316199</c:v>
                </c:pt>
                <c:pt idx="143">
                  <c:v>1.61948955916473</c:v>
                </c:pt>
                <c:pt idx="144">
                  <c:v>1.6498054474708099</c:v>
                </c:pt>
                <c:pt idx="145">
                  <c:v>1.70490506329113</c:v>
                </c:pt>
                <c:pt idx="146">
                  <c:v>1.67056074766355</c:v>
                </c:pt>
                <c:pt idx="147">
                  <c:v>1.7118110236220401</c:v>
                </c:pt>
                <c:pt idx="148">
                  <c:v>1.7412420382165601</c:v>
                </c:pt>
                <c:pt idx="149">
                  <c:v>1.7283653846153799</c:v>
                </c:pt>
                <c:pt idx="150">
                  <c:v>1.6881889763779501</c:v>
                </c:pt>
                <c:pt idx="151">
                  <c:v>1.7164179104477599</c:v>
                </c:pt>
                <c:pt idx="152">
                  <c:v>1.78829190056134</c:v>
                </c:pt>
                <c:pt idx="153">
                  <c:v>1.74026946107784</c:v>
                </c:pt>
                <c:pt idx="154">
                  <c:v>1.66029411764705</c:v>
                </c:pt>
                <c:pt idx="155">
                  <c:v>1.6820143884892</c:v>
                </c:pt>
                <c:pt idx="156">
                  <c:v>1.6841359773371101</c:v>
                </c:pt>
                <c:pt idx="157">
                  <c:v>1.7203147353361901</c:v>
                </c:pt>
                <c:pt idx="158">
                  <c:v>1.6962115796997801</c:v>
                </c:pt>
                <c:pt idx="159">
                  <c:v>1.5772357723577199</c:v>
                </c:pt>
                <c:pt idx="160">
                  <c:v>1.5881561238223401</c:v>
                </c:pt>
                <c:pt idx="161">
                  <c:v>1.5894308943089399</c:v>
                </c:pt>
                <c:pt idx="162">
                  <c:v>1.58843537414966</c:v>
                </c:pt>
                <c:pt idx="163">
                  <c:v>1.58423913043478</c:v>
                </c:pt>
                <c:pt idx="164">
                  <c:v>1.58629952988582</c:v>
                </c:pt>
                <c:pt idx="165">
                  <c:v>1.6169052488070801</c:v>
                </c:pt>
                <c:pt idx="166">
                  <c:v>1.62028786840301</c:v>
                </c:pt>
                <c:pt idx="167">
                  <c:v>1.6117647058823501</c:v>
                </c:pt>
                <c:pt idx="168">
                  <c:v>1.5945205479452</c:v>
                </c:pt>
                <c:pt idx="169">
                  <c:v>1.59119064005505</c:v>
                </c:pt>
                <c:pt idx="170">
                  <c:v>1.60298102981029</c:v>
                </c:pt>
                <c:pt idx="171">
                  <c:v>1.6280323450134699</c:v>
                </c:pt>
                <c:pt idx="172">
                  <c:v>1.6180971390552199</c:v>
                </c:pt>
                <c:pt idx="173">
                  <c:v>1.6369127516778501</c:v>
                </c:pt>
                <c:pt idx="174">
                  <c:v>1.64257028112449</c:v>
                </c:pt>
                <c:pt idx="175">
                  <c:v>1.6675639300134499</c:v>
                </c:pt>
                <c:pt idx="176">
                  <c:v>1.6474064346684101</c:v>
                </c:pt>
                <c:pt idx="177">
                  <c:v>1.6585530764029699</c:v>
                </c:pt>
                <c:pt idx="178">
                  <c:v>1.6671204901293299</c:v>
                </c:pt>
                <c:pt idx="179">
                  <c:v>1.6573889993373001</c:v>
                </c:pt>
                <c:pt idx="180">
                  <c:v>1.6860841423948201</c:v>
                </c:pt>
                <c:pt idx="181">
                  <c:v>1.68491321762349</c:v>
                </c:pt>
                <c:pt idx="182">
                  <c:v>1.6718648473034401</c:v>
                </c:pt>
                <c:pt idx="183">
                  <c:v>1.6050314465408799</c:v>
                </c:pt>
                <c:pt idx="184">
                  <c:v>1.5926157697121399</c:v>
                </c:pt>
                <c:pt idx="185">
                  <c:v>1.57338308457711</c:v>
                </c:pt>
                <c:pt idx="186">
                  <c:v>1.5621890547263599</c:v>
                </c:pt>
                <c:pt idx="187">
                  <c:v>1.5679398872886601</c:v>
                </c:pt>
                <c:pt idx="188">
                  <c:v>1.5798107255520499</c:v>
                </c:pt>
                <c:pt idx="189">
                  <c:v>1.5655686761963901</c:v>
                </c:pt>
                <c:pt idx="190">
                  <c:v>1.5607769423558799</c:v>
                </c:pt>
                <c:pt idx="191">
                  <c:v>1.5627376425855499</c:v>
                </c:pt>
                <c:pt idx="192">
                  <c:v>1.55300681959082</c:v>
                </c:pt>
                <c:pt idx="193">
                  <c:v>1.55514250309789</c:v>
                </c:pt>
                <c:pt idx="194">
                  <c:v>1.58798017348203</c:v>
                </c:pt>
                <c:pt idx="195">
                  <c:v>1.5900621118012399</c:v>
                </c:pt>
                <c:pt idx="196">
                  <c:v>1.6072545340838</c:v>
                </c:pt>
                <c:pt idx="197">
                  <c:v>1.6133250311332501</c:v>
                </c:pt>
                <c:pt idx="198">
                  <c:v>1.61557632398753</c:v>
                </c:pt>
                <c:pt idx="199">
                  <c:v>1.6551059730250399</c:v>
                </c:pt>
                <c:pt idx="200">
                  <c:v>1.66103896103896</c:v>
                </c:pt>
                <c:pt idx="201">
                  <c:v>1.65254237288135</c:v>
                </c:pt>
                <c:pt idx="202">
                  <c:v>1.61064785118665</c:v>
                </c:pt>
                <c:pt idx="203">
                  <c:v>1.5626168224299</c:v>
                </c:pt>
                <c:pt idx="204">
                  <c:v>1.5440993788819799</c:v>
                </c:pt>
                <c:pt idx="205">
                  <c:v>1.50981595092024</c:v>
                </c:pt>
                <c:pt idx="206">
                  <c:v>1.5012315270935901</c:v>
                </c:pt>
                <c:pt idx="207">
                  <c:v>1.4822396146899399</c:v>
                </c:pt>
                <c:pt idx="208">
                  <c:v>1.5027590435315701</c:v>
                </c:pt>
                <c:pt idx="209">
                  <c:v>1.53936763794172</c:v>
                </c:pt>
                <c:pt idx="210">
                  <c:v>1.55721393034825</c:v>
                </c:pt>
                <c:pt idx="211">
                  <c:v>1.5903165735567899</c:v>
                </c:pt>
                <c:pt idx="212">
                  <c:v>1.58384710234278</c:v>
                </c:pt>
                <c:pt idx="213">
                  <c:v>1.53896490184414</c:v>
                </c:pt>
                <c:pt idx="214">
                  <c:v>1.48124639353721</c:v>
                </c:pt>
                <c:pt idx="215">
                  <c:v>1.4749558043606299</c:v>
                </c:pt>
                <c:pt idx="216">
                  <c:v>1.4891240446795999</c:v>
                </c:pt>
                <c:pt idx="217">
                  <c:v>1.4967436352871499</c:v>
                </c:pt>
                <c:pt idx="218">
                  <c:v>1.5104477611940299</c:v>
                </c:pt>
                <c:pt idx="219">
                  <c:v>1.5260606060605999</c:v>
                </c:pt>
                <c:pt idx="220">
                  <c:v>1.5002995805871699</c:v>
                </c:pt>
                <c:pt idx="221">
                  <c:v>1.5014997000599799</c:v>
                </c:pt>
                <c:pt idx="222">
                  <c:v>1.5381303813038101</c:v>
                </c:pt>
                <c:pt idx="223">
                  <c:v>1.5467492260061899</c:v>
                </c:pt>
                <c:pt idx="224">
                  <c:v>1.5457897971727099</c:v>
                </c:pt>
                <c:pt idx="225">
                  <c:v>1.5260896255371299</c:v>
                </c:pt>
                <c:pt idx="226">
                  <c:v>1.5403377110694101</c:v>
                </c:pt>
                <c:pt idx="227">
                  <c:v>1.5312693498451999</c:v>
                </c:pt>
                <c:pt idx="228">
                  <c:v>1.5346106304079099</c:v>
                </c:pt>
                <c:pt idx="229">
                  <c:v>1.5205735660847799</c:v>
                </c:pt>
                <c:pt idx="230">
                  <c:v>1.54950495049504</c:v>
                </c:pt>
                <c:pt idx="231">
                  <c:v>1.54001221747098</c:v>
                </c:pt>
                <c:pt idx="232">
                  <c:v>1.59439252336448</c:v>
                </c:pt>
                <c:pt idx="233">
                  <c:v>1.5942211055276301</c:v>
                </c:pt>
                <c:pt idx="234">
                  <c:v>1.5844572896596001</c:v>
                </c:pt>
                <c:pt idx="235">
                  <c:v>1.5831752055660899</c:v>
                </c:pt>
                <c:pt idx="236">
                  <c:v>1.5557644110275599</c:v>
                </c:pt>
                <c:pt idx="237">
                  <c:v>1.5160026126714501</c:v>
                </c:pt>
                <c:pt idx="238">
                  <c:v>1.5170113408939201</c:v>
                </c:pt>
                <c:pt idx="239">
                  <c:v>1.4886075949366999</c:v>
                </c:pt>
                <c:pt idx="240">
                  <c:v>1.49349845201238</c:v>
                </c:pt>
                <c:pt idx="241">
                  <c:v>1.53648068669527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1.53750838428957</c:v>
                </c:pt>
                <c:pt idx="1">
                  <c:v>1.5426031510964799</c:v>
                </c:pt>
                <c:pt idx="2">
                  <c:v>1.5479926853051</c:v>
                </c:pt>
                <c:pt idx="3">
                  <c:v>1.55310910992981</c:v>
                </c:pt>
                <c:pt idx="4">
                  <c:v>1.55824208867597</c:v>
                </c:pt>
                <c:pt idx="5">
                  <c:v>1.56339781653246</c:v>
                </c:pt>
                <c:pt idx="6">
                  <c:v>1.5683768766770101</c:v>
                </c:pt>
                <c:pt idx="7">
                  <c:v>1.5729092577152399</c:v>
                </c:pt>
                <c:pt idx="8">
                  <c:v>1.5773578715633501</c:v>
                </c:pt>
                <c:pt idx="9">
                  <c:v>1.5817557939578699</c:v>
                </c:pt>
                <c:pt idx="10">
                  <c:v>1.58579229846989</c:v>
                </c:pt>
                <c:pt idx="11">
                  <c:v>1.5897674992990201</c:v>
                </c:pt>
                <c:pt idx="12">
                  <c:v>1.59395880929678</c:v>
                </c:pt>
                <c:pt idx="13">
                  <c:v>1.5983899001389299</c:v>
                </c:pt>
                <c:pt idx="14">
                  <c:v>1.60280276934087</c:v>
                </c:pt>
                <c:pt idx="15">
                  <c:v>1.6068423190177601</c:v>
                </c:pt>
                <c:pt idx="16">
                  <c:v>1.6113575467397201</c:v>
                </c:pt>
                <c:pt idx="17">
                  <c:v>1.6158755492921899</c:v>
                </c:pt>
                <c:pt idx="18">
                  <c:v>1.6200977936665899</c:v>
                </c:pt>
                <c:pt idx="19">
                  <c:v>1.62502503017277</c:v>
                </c:pt>
                <c:pt idx="20">
                  <c:v>1.6299723395246499</c:v>
                </c:pt>
                <c:pt idx="21">
                  <c:v>1.6363055374504101</c:v>
                </c:pt>
                <c:pt idx="22">
                  <c:v>1.64283674342972</c:v>
                </c:pt>
                <c:pt idx="23">
                  <c:v>1.64902200359728</c:v>
                </c:pt>
                <c:pt idx="24">
                  <c:v>1.6521030440826501</c:v>
                </c:pt>
                <c:pt idx="25">
                  <c:v>1.65132503982482</c:v>
                </c:pt>
                <c:pt idx="26">
                  <c:v>1.6505030830181999</c:v>
                </c:pt>
                <c:pt idx="27">
                  <c:v>1.6498345418090601</c:v>
                </c:pt>
                <c:pt idx="28">
                  <c:v>1.6489004670323999</c:v>
                </c:pt>
                <c:pt idx="29">
                  <c:v>1.64804586491946</c:v>
                </c:pt>
                <c:pt idx="30">
                  <c:v>1.6481661031836901</c:v>
                </c:pt>
                <c:pt idx="31">
                  <c:v>1.6481543737529101</c:v>
                </c:pt>
                <c:pt idx="32">
                  <c:v>1.6485114836608501</c:v>
                </c:pt>
                <c:pt idx="33">
                  <c:v>1.64890503969331</c:v>
                </c:pt>
                <c:pt idx="34">
                  <c:v>1.64952500279045</c:v>
                </c:pt>
                <c:pt idx="35">
                  <c:v>1.6495362828562601</c:v>
                </c:pt>
                <c:pt idx="36">
                  <c:v>1.6493129007990901</c:v>
                </c:pt>
                <c:pt idx="37">
                  <c:v>1.6496701009182</c:v>
                </c:pt>
                <c:pt idx="38">
                  <c:v>1.6501096026281601</c:v>
                </c:pt>
                <c:pt idx="39">
                  <c:v>1.65045253454651</c:v>
                </c:pt>
                <c:pt idx="40">
                  <c:v>1.65021953065313</c:v>
                </c:pt>
                <c:pt idx="41">
                  <c:v>1.64957862175101</c:v>
                </c:pt>
                <c:pt idx="42">
                  <c:v>1.64927615063994</c:v>
                </c:pt>
                <c:pt idx="43">
                  <c:v>1.6489092841750801</c:v>
                </c:pt>
                <c:pt idx="44">
                  <c:v>1.64882688879269</c:v>
                </c:pt>
                <c:pt idx="45">
                  <c:v>1.6489555802099101</c:v>
                </c:pt>
                <c:pt idx="46">
                  <c:v>1.6491236475103599</c:v>
                </c:pt>
                <c:pt idx="47">
                  <c:v>1.64930409607085</c:v>
                </c:pt>
                <c:pt idx="48">
                  <c:v>1.64993157844517</c:v>
                </c:pt>
                <c:pt idx="49">
                  <c:v>1.65040963906723</c:v>
                </c:pt>
                <c:pt idx="50">
                  <c:v>1.6507065181957401</c:v>
                </c:pt>
                <c:pt idx="51">
                  <c:v>1.6514769297924701</c:v>
                </c:pt>
                <c:pt idx="52">
                  <c:v>1.65168337829526</c:v>
                </c:pt>
                <c:pt idx="53">
                  <c:v>1.65206873570426</c:v>
                </c:pt>
                <c:pt idx="54">
                  <c:v>1.65207011254214</c:v>
                </c:pt>
                <c:pt idx="55">
                  <c:v>1.6522671292542599</c:v>
                </c:pt>
                <c:pt idx="56">
                  <c:v>1.65272940670945</c:v>
                </c:pt>
                <c:pt idx="57">
                  <c:v>1.65309899386921</c:v>
                </c:pt>
                <c:pt idx="58">
                  <c:v>1.6533132879247801</c:v>
                </c:pt>
                <c:pt idx="59">
                  <c:v>1.65428942890093</c:v>
                </c:pt>
                <c:pt idx="60">
                  <c:v>1.6553324306794199</c:v>
                </c:pt>
                <c:pt idx="61">
                  <c:v>1.6563458218490501</c:v>
                </c:pt>
                <c:pt idx="62">
                  <c:v>1.6570130306422099</c:v>
                </c:pt>
                <c:pt idx="63">
                  <c:v>1.65721531887645</c:v>
                </c:pt>
                <c:pt idx="64">
                  <c:v>1.6573547232112</c:v>
                </c:pt>
                <c:pt idx="65">
                  <c:v>1.6579512044084701</c:v>
                </c:pt>
                <c:pt idx="66">
                  <c:v>1.6583718781974499</c:v>
                </c:pt>
                <c:pt idx="67">
                  <c:v>1.6586817616931699</c:v>
                </c:pt>
                <c:pt idx="68">
                  <c:v>1.6590653661413</c:v>
                </c:pt>
                <c:pt idx="69">
                  <c:v>1.6596828175543099</c:v>
                </c:pt>
                <c:pt idx="70">
                  <c:v>1.6607547594031</c:v>
                </c:pt>
                <c:pt idx="71">
                  <c:v>1.66212616650944</c:v>
                </c:pt>
                <c:pt idx="72">
                  <c:v>1.6631396624521599</c:v>
                </c:pt>
                <c:pt idx="73">
                  <c:v>1.6648708194480999</c:v>
                </c:pt>
                <c:pt idx="74">
                  <c:v>1.6668062008193301</c:v>
                </c:pt>
                <c:pt idx="75">
                  <c:v>1.6683467991099299</c:v>
                </c:pt>
                <c:pt idx="76">
                  <c:v>1.66927733696646</c:v>
                </c:pt>
                <c:pt idx="77">
                  <c:v>1.67039584083267</c:v>
                </c:pt>
                <c:pt idx="78">
                  <c:v>1.6726711053891701</c:v>
                </c:pt>
                <c:pt idx="79">
                  <c:v>1.67419801723073</c:v>
                </c:pt>
                <c:pt idx="80">
                  <c:v>1.6745477903277399</c:v>
                </c:pt>
                <c:pt idx="81">
                  <c:v>1.6753422287496</c:v>
                </c:pt>
                <c:pt idx="82">
                  <c:v>1.6764204387974</c:v>
                </c:pt>
                <c:pt idx="83">
                  <c:v>1.6780746068755901</c:v>
                </c:pt>
                <c:pt idx="84">
                  <c:v>1.6795362621204899</c:v>
                </c:pt>
                <c:pt idx="85">
                  <c:v>1.6796349098936001</c:v>
                </c:pt>
                <c:pt idx="86">
                  <c:v>1.68007854729219</c:v>
                </c:pt>
                <c:pt idx="87">
                  <c:v>1.6805095526484499</c:v>
                </c:pt>
                <c:pt idx="88">
                  <c:v>1.68092876005507</c:v>
                </c:pt>
                <c:pt idx="89">
                  <c:v>1.6813967760470701</c:v>
                </c:pt>
                <c:pt idx="90">
                  <c:v>1.68230552364668</c:v>
                </c:pt>
                <c:pt idx="91">
                  <c:v>1.6834528768091299</c:v>
                </c:pt>
                <c:pt idx="92">
                  <c:v>1.68466918346226</c:v>
                </c:pt>
                <c:pt idx="93">
                  <c:v>1.68608757617145</c:v>
                </c:pt>
                <c:pt idx="94">
                  <c:v>1.6867296379468999</c:v>
                </c:pt>
                <c:pt idx="95">
                  <c:v>1.68714072793828</c:v>
                </c:pt>
                <c:pt idx="96">
                  <c:v>1.68644967467905</c:v>
                </c:pt>
                <c:pt idx="97">
                  <c:v>1.6858770636392399</c:v>
                </c:pt>
                <c:pt idx="98">
                  <c:v>1.6855155162415001</c:v>
                </c:pt>
                <c:pt idx="99">
                  <c:v>1.6846344194862799</c:v>
                </c:pt>
                <c:pt idx="100">
                  <c:v>1.6836262656588501</c:v>
                </c:pt>
                <c:pt idx="101">
                  <c:v>1.6825849215272399</c:v>
                </c:pt>
                <c:pt idx="102">
                  <c:v>1.68128412141677</c:v>
                </c:pt>
                <c:pt idx="103">
                  <c:v>1.68000067289573</c:v>
                </c:pt>
                <c:pt idx="104">
                  <c:v>1.6787487201087601</c:v>
                </c:pt>
                <c:pt idx="105">
                  <c:v>1.6772330557027599</c:v>
                </c:pt>
                <c:pt idx="106">
                  <c:v>1.67595260352728</c:v>
                </c:pt>
                <c:pt idx="107">
                  <c:v>1.67452215606987</c:v>
                </c:pt>
                <c:pt idx="108">
                  <c:v>1.6732849419693401</c:v>
                </c:pt>
                <c:pt idx="109">
                  <c:v>1.67108624719232</c:v>
                </c:pt>
                <c:pt idx="110">
                  <c:v>1.6692251154918301</c:v>
                </c:pt>
                <c:pt idx="111">
                  <c:v>1.66719089156967</c:v>
                </c:pt>
                <c:pt idx="112">
                  <c:v>1.66509800104394</c:v>
                </c:pt>
                <c:pt idx="113">
                  <c:v>1.6626867403298899</c:v>
                </c:pt>
                <c:pt idx="114">
                  <c:v>1.66047873648968</c:v>
                </c:pt>
                <c:pt idx="115">
                  <c:v>1.65827362042627</c:v>
                </c:pt>
                <c:pt idx="116">
                  <c:v>1.6562191871543399</c:v>
                </c:pt>
                <c:pt idx="117">
                  <c:v>1.65428367522201</c:v>
                </c:pt>
                <c:pt idx="118">
                  <c:v>1.65204295157325</c:v>
                </c:pt>
                <c:pt idx="119">
                  <c:v>1.64970040717012</c:v>
                </c:pt>
                <c:pt idx="120">
                  <c:v>1.64779187172387</c:v>
                </c:pt>
                <c:pt idx="121">
                  <c:v>1.6464090207664199</c:v>
                </c:pt>
                <c:pt idx="122">
                  <c:v>1.6454223457405499</c:v>
                </c:pt>
                <c:pt idx="123">
                  <c:v>1.6443337308767401</c:v>
                </c:pt>
                <c:pt idx="124">
                  <c:v>1.6431043291038601</c:v>
                </c:pt>
                <c:pt idx="125">
                  <c:v>1.6421599019470201</c:v>
                </c:pt>
                <c:pt idx="126">
                  <c:v>1.64145613958472</c:v>
                </c:pt>
                <c:pt idx="127">
                  <c:v>1.6409736980205301</c:v>
                </c:pt>
                <c:pt idx="128">
                  <c:v>1.6397076693696799</c:v>
                </c:pt>
                <c:pt idx="129">
                  <c:v>1.6383341300276799</c:v>
                </c:pt>
                <c:pt idx="130">
                  <c:v>1.6364214691749801</c:v>
                </c:pt>
                <c:pt idx="131">
                  <c:v>1.63338225899978</c:v>
                </c:pt>
                <c:pt idx="132">
                  <c:v>1.6304130584459999</c:v>
                </c:pt>
                <c:pt idx="133">
                  <c:v>1.62799537475556</c:v>
                </c:pt>
                <c:pt idx="134">
                  <c:v>1.6256145795850601</c:v>
                </c:pt>
                <c:pt idx="135">
                  <c:v>1.62399063446412</c:v>
                </c:pt>
                <c:pt idx="136">
                  <c:v>1.62264142903246</c:v>
                </c:pt>
                <c:pt idx="137">
                  <c:v>1.62187072838312</c:v>
                </c:pt>
                <c:pt idx="138">
                  <c:v>1.6213893231601999</c:v>
                </c:pt>
                <c:pt idx="139">
                  <c:v>1.6203136356472501</c:v>
                </c:pt>
                <c:pt idx="140">
                  <c:v>1.61791474060091</c:v>
                </c:pt>
                <c:pt idx="141">
                  <c:v>1.61601035517387</c:v>
                </c:pt>
                <c:pt idx="142">
                  <c:v>1.6143165208874499</c:v>
                </c:pt>
                <c:pt idx="143">
                  <c:v>1.6126206810388499</c:v>
                </c:pt>
                <c:pt idx="144">
                  <c:v>1.6111667903992399</c:v>
                </c:pt>
                <c:pt idx="145">
                  <c:v>1.6095168591804401</c:v>
                </c:pt>
                <c:pt idx="146">
                  <c:v>1.6067887860777199</c:v>
                </c:pt>
                <c:pt idx="147">
                  <c:v>1.6045346387763399</c:v>
                </c:pt>
                <c:pt idx="148">
                  <c:v>1.6022188968787601</c:v>
                </c:pt>
                <c:pt idx="149">
                  <c:v>1.5996256593826299</c:v>
                </c:pt>
                <c:pt idx="150">
                  <c:v>1.5971913182167199</c:v>
                </c:pt>
                <c:pt idx="151">
                  <c:v>1.5950299935388501</c:v>
                </c:pt>
                <c:pt idx="152">
                  <c:v>1.59268225754713</c:v>
                </c:pt>
                <c:pt idx="153">
                  <c:v>1.58925529020425</c:v>
                </c:pt>
                <c:pt idx="154">
                  <c:v>1.5865131724619901</c:v>
                </c:pt>
                <c:pt idx="155">
                  <c:v>1.5846502317744899</c:v>
                </c:pt>
                <c:pt idx="156">
                  <c:v>1.5828834392679001</c:v>
                </c:pt>
                <c:pt idx="157">
                  <c:v>1.5809617891363501</c:v>
                </c:pt>
                <c:pt idx="158">
                  <c:v>1.57928282631006</c:v>
                </c:pt>
                <c:pt idx="159">
                  <c:v>1.5779229533211001</c:v>
                </c:pt>
                <c:pt idx="160">
                  <c:v>1.5780192402184601</c:v>
                </c:pt>
                <c:pt idx="161">
                  <c:v>1.5779528279750401</c:v>
                </c:pt>
                <c:pt idx="162">
                  <c:v>1.5775039415312899</c:v>
                </c:pt>
                <c:pt idx="163">
                  <c:v>1.57653817137825</c:v>
                </c:pt>
                <c:pt idx="164">
                  <c:v>1.57564180085104</c:v>
                </c:pt>
                <c:pt idx="165">
                  <c:v>1.5743392417183799</c:v>
                </c:pt>
                <c:pt idx="166">
                  <c:v>1.57269381776112</c:v>
                </c:pt>
                <c:pt idx="167">
                  <c:v>1.57157638867168</c:v>
                </c:pt>
                <c:pt idx="168">
                  <c:v>1.56994622058765</c:v>
                </c:pt>
                <c:pt idx="169">
                  <c:v>1.5687811847102899</c:v>
                </c:pt>
                <c:pt idx="170">
                  <c:v>1.5673974438021201</c:v>
                </c:pt>
                <c:pt idx="171">
                  <c:v>1.5663177128119199</c:v>
                </c:pt>
                <c:pt idx="172">
                  <c:v>1.56428928073157</c:v>
                </c:pt>
                <c:pt idx="173">
                  <c:v>1.5627188007277399</c:v>
                </c:pt>
                <c:pt idx="174">
                  <c:v>1.5607271372909799</c:v>
                </c:pt>
                <c:pt idx="175">
                  <c:v>1.5586241800073</c:v>
                </c:pt>
                <c:pt idx="176">
                  <c:v>1.55649771420198</c:v>
                </c:pt>
                <c:pt idx="177">
                  <c:v>1.5541095686817501</c:v>
                </c:pt>
                <c:pt idx="178">
                  <c:v>1.55153816332196</c:v>
                </c:pt>
                <c:pt idx="179">
                  <c:v>1.5495350379927799</c:v>
                </c:pt>
                <c:pt idx="180">
                  <c:v>1.54746329176333</c:v>
                </c:pt>
                <c:pt idx="181">
                  <c:v>1.5452381257615599</c:v>
                </c:pt>
                <c:pt idx="182">
                  <c:v>1.5432287986662401</c:v>
                </c:pt>
                <c:pt idx="183">
                  <c:v>1.54190814115527</c:v>
                </c:pt>
                <c:pt idx="184">
                  <c:v>1.5410881329926001</c:v>
                </c:pt>
                <c:pt idx="185">
                  <c:v>1.54037226632261</c:v>
                </c:pt>
                <c:pt idx="186">
                  <c:v>1.5399500624137299</c:v>
                </c:pt>
                <c:pt idx="187">
                  <c:v>1.5393491032456099</c:v>
                </c:pt>
                <c:pt idx="188">
                  <c:v>1.5381134383173301</c:v>
                </c:pt>
                <c:pt idx="189">
                  <c:v>1.5375565851042601</c:v>
                </c:pt>
                <c:pt idx="190">
                  <c:v>1.53814117879409</c:v>
                </c:pt>
                <c:pt idx="191">
                  <c:v>1.53842534692586</c:v>
                </c:pt>
                <c:pt idx="192">
                  <c:v>1.5386700339335599</c:v>
                </c:pt>
                <c:pt idx="193">
                  <c:v>1.53905489427274</c:v>
                </c:pt>
                <c:pt idx="194">
                  <c:v>1.5396608837777801</c:v>
                </c:pt>
                <c:pt idx="195">
                  <c:v>1.5397724347155199</c:v>
                </c:pt>
                <c:pt idx="196">
                  <c:v>1.5400818675663399</c:v>
                </c:pt>
                <c:pt idx="197">
                  <c:v>1.54027879123888</c:v>
                </c:pt>
                <c:pt idx="198">
                  <c:v>1.5407974837259399</c:v>
                </c:pt>
                <c:pt idx="199">
                  <c:v>1.54098305555074</c:v>
                </c:pt>
                <c:pt idx="200">
                  <c:v>1.5406867105622399</c:v>
                </c:pt>
                <c:pt idx="201">
                  <c:v>1.53953872505454</c:v>
                </c:pt>
                <c:pt idx="202">
                  <c:v>1.5393983423906401</c:v>
                </c:pt>
                <c:pt idx="203">
                  <c:v>1.5388470070472799</c:v>
                </c:pt>
                <c:pt idx="204">
                  <c:v>1.5378685263379599</c:v>
                </c:pt>
                <c:pt idx="205">
                  <c:v>1.5369653831043799</c:v>
                </c:pt>
                <c:pt idx="206">
                  <c:v>1.53804449595238</c:v>
                </c:pt>
                <c:pt idx="207">
                  <c:v>1.53890784098703</c:v>
                </c:pt>
                <c:pt idx="208">
                  <c:v>1.5398987260344501</c:v>
                </c:pt>
                <c:pt idx="209">
                  <c:v>1.5406060199598599</c:v>
                </c:pt>
                <c:pt idx="210">
                  <c:v>1.5409158551597499</c:v>
                </c:pt>
                <c:pt idx="211">
                  <c:v>1.5418196694217801</c:v>
                </c:pt>
                <c:pt idx="212">
                  <c:v>1.54184088196703</c:v>
                </c:pt>
                <c:pt idx="213">
                  <c:v>1.5416863117392601</c:v>
                </c:pt>
                <c:pt idx="214">
                  <c:v>1.54229311152594</c:v>
                </c:pt>
                <c:pt idx="215">
                  <c:v>1.54321019892643</c:v>
                </c:pt>
                <c:pt idx="216">
                  <c:v>1.54438653257345</c:v>
                </c:pt>
                <c:pt idx="217">
                  <c:v>1.54505055115901</c:v>
                </c:pt>
                <c:pt idx="218">
                  <c:v>1.5454582487539399</c:v>
                </c:pt>
                <c:pt idx="219">
                  <c:v>1.54578671888321</c:v>
                </c:pt>
                <c:pt idx="220">
                  <c:v>1.5458024919989799</c:v>
                </c:pt>
                <c:pt idx="221">
                  <c:v>1.5459494542350001</c:v>
                </c:pt>
                <c:pt idx="222">
                  <c:v>1.5464296368694299</c:v>
                </c:pt>
                <c:pt idx="223">
                  <c:v>1.5461036879257299</c:v>
                </c:pt>
                <c:pt idx="224">
                  <c:v>1.5460524102442099</c:v>
                </c:pt>
                <c:pt idx="225">
                  <c:v>1.5458085637430501</c:v>
                </c:pt>
                <c:pt idx="226">
                  <c:v>1.54526924907777</c:v>
                </c:pt>
                <c:pt idx="227">
                  <c:v>1.54490379639544</c:v>
                </c:pt>
                <c:pt idx="228">
                  <c:v>1.5444761248205701</c:v>
                </c:pt>
                <c:pt idx="229">
                  <c:v>1.54360110251139</c:v>
                </c:pt>
                <c:pt idx="230">
                  <c:v>1.54319251139618</c:v>
                </c:pt>
                <c:pt idx="231">
                  <c:v>1.5424506001514899</c:v>
                </c:pt>
                <c:pt idx="232">
                  <c:v>1.54151881618357</c:v>
                </c:pt>
                <c:pt idx="233">
                  <c:v>1.5393750951437499</c:v>
                </c:pt>
                <c:pt idx="234">
                  <c:v>1.5372053699061401</c:v>
                </c:pt>
                <c:pt idx="235">
                  <c:v>1.53526392498886</c:v>
                </c:pt>
                <c:pt idx="236">
                  <c:v>1.5333614480173501</c:v>
                </c:pt>
                <c:pt idx="237">
                  <c:v>1.53214384846291</c:v>
                </c:pt>
                <c:pt idx="238">
                  <c:v>1.53084182200159</c:v>
                </c:pt>
                <c:pt idx="239">
                  <c:v>1.52916417123745</c:v>
                </c:pt>
                <c:pt idx="240">
                  <c:v>1.5279698817909499</c:v>
                </c:pt>
                <c:pt idx="241">
                  <c:v>1.5272038977536799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1.977336691028396</c:v>
                </c:pt>
                <c:pt idx="1">
                  <c:v>1.9771777177362799</c:v>
                </c:pt>
                <c:pt idx="2">
                  <c:v>1.976830717411286</c:v>
                </c:pt>
                <c:pt idx="3">
                  <c:v>1.9759507553598019</c:v>
                </c:pt>
                <c:pt idx="4">
                  <c:v>1.9750974391306579</c:v>
                </c:pt>
                <c:pt idx="5">
                  <c:v>1.974268619989608</c:v>
                </c:pt>
                <c:pt idx="6">
                  <c:v>1.9728886804034942</c:v>
                </c:pt>
                <c:pt idx="7">
                  <c:v>1.9712182905490439</c:v>
                </c:pt>
                <c:pt idx="8">
                  <c:v>1.9691034813739201</c:v>
                </c:pt>
                <c:pt idx="9">
                  <c:v>1.9663457922424699</c:v>
                </c:pt>
                <c:pt idx="10">
                  <c:v>1.9633785888642499</c:v>
                </c:pt>
                <c:pt idx="11">
                  <c:v>1.9596114881765621</c:v>
                </c:pt>
                <c:pt idx="12">
                  <c:v>1.954997603859786</c:v>
                </c:pt>
                <c:pt idx="13">
                  <c:v>1.9492029225546319</c:v>
                </c:pt>
                <c:pt idx="14">
                  <c:v>1.942524889137708</c:v>
                </c:pt>
                <c:pt idx="15">
                  <c:v>1.935041305102408</c:v>
                </c:pt>
                <c:pt idx="16">
                  <c:v>1.9256376698781821</c:v>
                </c:pt>
                <c:pt idx="17">
                  <c:v>1.9151952013080999</c:v>
                </c:pt>
                <c:pt idx="18">
                  <c:v>1.9037183221190019</c:v>
                </c:pt>
                <c:pt idx="19">
                  <c:v>1.8898907327517021</c:v>
                </c:pt>
                <c:pt idx="20">
                  <c:v>1.8752350329860459</c:v>
                </c:pt>
                <c:pt idx="21">
                  <c:v>1.858158976047138</c:v>
                </c:pt>
                <c:pt idx="22">
                  <c:v>1.8379340502913943</c:v>
                </c:pt>
                <c:pt idx="23">
                  <c:v>1.8119645949721523</c:v>
                </c:pt>
                <c:pt idx="24">
                  <c:v>1.8102005386916913</c:v>
                </c:pt>
                <c:pt idx="25">
                  <c:v>1.8075285382196669</c:v>
                </c:pt>
                <c:pt idx="26">
                  <c:v>1.8040407047675624</c:v>
                </c:pt>
                <c:pt idx="27">
                  <c:v>1.8012700333808507</c:v>
                </c:pt>
                <c:pt idx="28">
                  <c:v>1.7968295621351278</c:v>
                </c:pt>
                <c:pt idx="29">
                  <c:v>1.7925950693699388</c:v>
                </c:pt>
                <c:pt idx="30">
                  <c:v>1.7931088823717687</c:v>
                </c:pt>
                <c:pt idx="31">
                  <c:v>1.7930536421201588</c:v>
                </c:pt>
                <c:pt idx="32">
                  <c:v>1.7946913091232266</c:v>
                </c:pt>
                <c:pt idx="33">
                  <c:v>1.7961705503275009</c:v>
                </c:pt>
                <c:pt idx="34">
                  <c:v>1.7984227953780607</c:v>
                </c:pt>
                <c:pt idx="35">
                  <c:v>1.7984589965376199</c:v>
                </c:pt>
                <c:pt idx="36">
                  <c:v>1.7977253321485558</c:v>
                </c:pt>
                <c:pt idx="37">
                  <c:v>1.7986232650179204</c:v>
                </c:pt>
                <c:pt idx="38">
                  <c:v>1.800032287027201</c:v>
                </c:pt>
                <c:pt idx="39">
                  <c:v>1.8011260735751811</c:v>
                </c:pt>
                <c:pt idx="40">
                  <c:v>1.80033933858944</c:v>
                </c:pt>
                <c:pt idx="41">
                  <c:v>1.7981708761809767</c:v>
                </c:pt>
                <c:pt idx="42">
                  <c:v>1.7972988472861693</c:v>
                </c:pt>
                <c:pt idx="43">
                  <c:v>1.7960796587499195</c:v>
                </c:pt>
                <c:pt idx="44">
                  <c:v>1.7958066628771816</c:v>
                </c:pt>
                <c:pt idx="45">
                  <c:v>1.7962061930384141</c:v>
                </c:pt>
                <c:pt idx="46">
                  <c:v>1.7965496245058203</c:v>
                </c:pt>
                <c:pt idx="47">
                  <c:v>1.796853764400935</c:v>
                </c:pt>
                <c:pt idx="48">
                  <c:v>1.7978520016453132</c:v>
                </c:pt>
                <c:pt idx="49">
                  <c:v>1.7988421854834857</c:v>
                </c:pt>
                <c:pt idx="50">
                  <c:v>1.7996521777386842</c:v>
                </c:pt>
                <c:pt idx="51">
                  <c:v>1.8011210711195615</c:v>
                </c:pt>
                <c:pt idx="52">
                  <c:v>1.8014896916819281</c:v>
                </c:pt>
                <c:pt idx="53">
                  <c:v>1.8022786048424422</c:v>
                </c:pt>
                <c:pt idx="54">
                  <c:v>1.8022804770599012</c:v>
                </c:pt>
                <c:pt idx="55">
                  <c:v>1.8026242808989903</c:v>
                </c:pt>
                <c:pt idx="56">
                  <c:v>1.8039195762871552</c:v>
                </c:pt>
                <c:pt idx="57">
                  <c:v>1.8048469304911812</c:v>
                </c:pt>
                <c:pt idx="58">
                  <c:v>1.805074349960055</c:v>
                </c:pt>
                <c:pt idx="59">
                  <c:v>1.8058164920943436</c:v>
                </c:pt>
                <c:pt idx="60">
                  <c:v>1.8059548101153022</c:v>
                </c:pt>
                <c:pt idx="61">
                  <c:v>1.8060114798646416</c:v>
                </c:pt>
                <c:pt idx="62">
                  <c:v>1.8060786767059278</c:v>
                </c:pt>
                <c:pt idx="63">
                  <c:v>1.8060378699610349</c:v>
                </c:pt>
                <c:pt idx="64">
                  <c:v>1.8060165550376945</c:v>
                </c:pt>
                <c:pt idx="65">
                  <c:v>1.8063100772542724</c:v>
                </c:pt>
                <c:pt idx="66">
                  <c:v>1.8060924977088817</c:v>
                </c:pt>
                <c:pt idx="67">
                  <c:v>1.8059486855932774</c:v>
                </c:pt>
                <c:pt idx="68">
                  <c:v>1.8058174362949408</c:v>
                </c:pt>
                <c:pt idx="69">
                  <c:v>1.8053700926734859</c:v>
                </c:pt>
                <c:pt idx="70">
                  <c:v>1.8049447880645686</c:v>
                </c:pt>
                <c:pt idx="71">
                  <c:v>1.8060129220645953</c:v>
                </c:pt>
                <c:pt idx="72">
                  <c:v>1.8061764578250117</c:v>
                </c:pt>
                <c:pt idx="73">
                  <c:v>1.8070767545848332</c:v>
                </c:pt>
                <c:pt idx="74">
                  <c:v>1.8091659364930548</c:v>
                </c:pt>
                <c:pt idx="75">
                  <c:v>1.8108370493989834</c:v>
                </c:pt>
                <c:pt idx="76">
                  <c:v>1.8113616386705067</c:v>
                </c:pt>
                <c:pt idx="77">
                  <c:v>1.8126260929841262</c:v>
                </c:pt>
                <c:pt idx="78">
                  <c:v>1.8168988644359307</c:v>
                </c:pt>
                <c:pt idx="79">
                  <c:v>1.8188307125218184</c:v>
                </c:pt>
                <c:pt idx="80">
                  <c:v>1.8189171746733344</c:v>
                </c:pt>
                <c:pt idx="81">
                  <c:v>1.8192106022878503</c:v>
                </c:pt>
                <c:pt idx="82">
                  <c:v>1.819320927772907</c:v>
                </c:pt>
                <c:pt idx="83">
                  <c:v>1.8200942935575308</c:v>
                </c:pt>
                <c:pt idx="84">
                  <c:v>1.8200075932033097</c:v>
                </c:pt>
                <c:pt idx="85">
                  <c:v>1.8198080271154105</c:v>
                </c:pt>
                <c:pt idx="86">
                  <c:v>1.8188733743112726</c:v>
                </c:pt>
                <c:pt idx="87">
                  <c:v>1.8179685438709401</c:v>
                </c:pt>
                <c:pt idx="88">
                  <c:v>1.8170638600583049</c:v>
                </c:pt>
                <c:pt idx="89">
                  <c:v>1.8159484734090816</c:v>
                </c:pt>
                <c:pt idx="90">
                  <c:v>1.8133084020915484</c:v>
                </c:pt>
                <c:pt idx="91">
                  <c:v>1.8105798409143272</c:v>
                </c:pt>
                <c:pt idx="92">
                  <c:v>1.8075386372456319</c:v>
                </c:pt>
                <c:pt idx="93">
                  <c:v>1.8029552214909601</c:v>
                </c:pt>
                <c:pt idx="94">
                  <c:v>1.8010204557865992</c:v>
                </c:pt>
                <c:pt idx="95">
                  <c:v>1.7998208750879874</c:v>
                </c:pt>
                <c:pt idx="96">
                  <c:v>1.8005413467266616</c:v>
                </c:pt>
                <c:pt idx="97">
                  <c:v>1.8007023062438006</c:v>
                </c:pt>
                <c:pt idx="98">
                  <c:v>1.8010193852662573</c:v>
                </c:pt>
                <c:pt idx="99">
                  <c:v>1.8005987626755382</c:v>
                </c:pt>
                <c:pt idx="100">
                  <c:v>1.7997210895293574</c:v>
                </c:pt>
                <c:pt idx="101">
                  <c:v>1.7978331866365411</c:v>
                </c:pt>
                <c:pt idx="102">
                  <c:v>1.7958871381550563</c:v>
                </c:pt>
                <c:pt idx="103">
                  <c:v>1.7934311955167559</c:v>
                </c:pt>
                <c:pt idx="104">
                  <c:v>1.7906370628009274</c:v>
                </c:pt>
                <c:pt idx="105">
                  <c:v>1.7871404442010437</c:v>
                </c:pt>
                <c:pt idx="106">
                  <c:v>1.7831465461622618</c:v>
                </c:pt>
                <c:pt idx="107">
                  <c:v>1.7782813057299574</c:v>
                </c:pt>
                <c:pt idx="108">
                  <c:v>1.774906445614499</c:v>
                </c:pt>
                <c:pt idx="109">
                  <c:v>1.7713751507797111</c:v>
                </c:pt>
                <c:pt idx="110">
                  <c:v>1.7700874807302567</c:v>
                </c:pt>
                <c:pt idx="111">
                  <c:v>1.7695381317877814</c:v>
                </c:pt>
                <c:pt idx="112">
                  <c:v>1.76950795453285</c:v>
                </c:pt>
                <c:pt idx="113">
                  <c:v>1.7676063121327079</c:v>
                </c:pt>
                <c:pt idx="114">
                  <c:v>1.7653117256060264</c:v>
                </c:pt>
                <c:pt idx="115">
                  <c:v>1.764037725830593</c:v>
                </c:pt>
                <c:pt idx="116">
                  <c:v>1.7634822177925746</c:v>
                </c:pt>
                <c:pt idx="117">
                  <c:v>1.7629758467138277</c:v>
                </c:pt>
                <c:pt idx="118">
                  <c:v>1.7620571306438277</c:v>
                </c:pt>
                <c:pt idx="119">
                  <c:v>1.7603840287279096</c:v>
                </c:pt>
                <c:pt idx="120">
                  <c:v>1.7577277794885002</c:v>
                </c:pt>
                <c:pt idx="121">
                  <c:v>1.7566053224650444</c:v>
                </c:pt>
                <c:pt idx="122">
                  <c:v>1.7556781145189195</c:v>
                </c:pt>
                <c:pt idx="123">
                  <c:v>1.7542227768880152</c:v>
                </c:pt>
                <c:pt idx="124">
                  <c:v>1.7521866987093415</c:v>
                </c:pt>
                <c:pt idx="125">
                  <c:v>1.7495709598702591</c:v>
                </c:pt>
                <c:pt idx="126">
                  <c:v>1.7476647966224885</c:v>
                </c:pt>
                <c:pt idx="127">
                  <c:v>1.7466464721565118</c:v>
                </c:pt>
                <c:pt idx="128">
                  <c:v>1.7445247597872728</c:v>
                </c:pt>
                <c:pt idx="129">
                  <c:v>1.7444481790247206</c:v>
                </c:pt>
                <c:pt idx="130">
                  <c:v>1.7440782841148716</c:v>
                </c:pt>
                <c:pt idx="131">
                  <c:v>1.7422870306898517</c:v>
                </c:pt>
                <c:pt idx="132">
                  <c:v>1.7414049289656237</c:v>
                </c:pt>
                <c:pt idx="133">
                  <c:v>1.7437889339988701</c:v>
                </c:pt>
                <c:pt idx="134">
                  <c:v>1.7442329438752981</c:v>
                </c:pt>
                <c:pt idx="135">
                  <c:v>1.7439451701421889</c:v>
                </c:pt>
                <c:pt idx="136">
                  <c:v>1.7432916116047199</c:v>
                </c:pt>
                <c:pt idx="137">
                  <c:v>1.7425985175881249</c:v>
                </c:pt>
                <c:pt idx="138">
                  <c:v>1.7424314024679286</c:v>
                </c:pt>
                <c:pt idx="139">
                  <c:v>1.7428237528913213</c:v>
                </c:pt>
                <c:pt idx="140">
                  <c:v>1.7441215650995257</c:v>
                </c:pt>
                <c:pt idx="141">
                  <c:v>1.7464083688739176</c:v>
                </c:pt>
                <c:pt idx="142">
                  <c:v>1.7479235505196629</c:v>
                </c:pt>
                <c:pt idx="143">
                  <c:v>1.7488985270537922</c:v>
                </c:pt>
                <c:pt idx="144">
                  <c:v>1.7494326312247783</c:v>
                </c:pt>
                <c:pt idx="145">
                  <c:v>1.7488482143833521</c:v>
                </c:pt>
                <c:pt idx="146">
                  <c:v>1.7465541749112596</c:v>
                </c:pt>
                <c:pt idx="147">
                  <c:v>1.7455608138345979</c:v>
                </c:pt>
                <c:pt idx="148">
                  <c:v>1.7418195208681002</c:v>
                </c:pt>
                <c:pt idx="149">
                  <c:v>1.7359881862189868</c:v>
                </c:pt>
                <c:pt idx="150">
                  <c:v>1.7307640266139885</c:v>
                </c:pt>
                <c:pt idx="151">
                  <c:v>1.7278869713999556</c:v>
                </c:pt>
                <c:pt idx="152">
                  <c:v>1.723076253357462</c:v>
                </c:pt>
                <c:pt idx="153">
                  <c:v>1.712202703373304</c:v>
                </c:pt>
                <c:pt idx="154">
                  <c:v>1.7049570975132933</c:v>
                </c:pt>
                <c:pt idx="155">
                  <c:v>1.7027884956566874</c:v>
                </c:pt>
                <c:pt idx="156">
                  <c:v>1.6990920955655475</c:v>
                </c:pt>
                <c:pt idx="157">
                  <c:v>1.695158667312656</c:v>
                </c:pt>
                <c:pt idx="158">
                  <c:v>1.6888436716925086</c:v>
                </c:pt>
                <c:pt idx="159">
                  <c:v>1.684125082111551</c:v>
                </c:pt>
                <c:pt idx="160">
                  <c:v>1.684231796410065</c:v>
                </c:pt>
                <c:pt idx="161">
                  <c:v>1.6841461748513022</c:v>
                </c:pt>
                <c:pt idx="162">
                  <c:v>1.683784004804783</c:v>
                </c:pt>
                <c:pt idx="163">
                  <c:v>1.683715951664994</c:v>
                </c:pt>
                <c:pt idx="164">
                  <c:v>1.6836681096905308</c:v>
                </c:pt>
                <c:pt idx="165">
                  <c:v>1.6841610804856608</c:v>
                </c:pt>
                <c:pt idx="166">
                  <c:v>1.6836078365655085</c:v>
                </c:pt>
                <c:pt idx="167">
                  <c:v>1.6822382858805447</c:v>
                </c:pt>
                <c:pt idx="168">
                  <c:v>1.6817878514772795</c:v>
                </c:pt>
                <c:pt idx="169">
                  <c:v>1.6813923473899497</c:v>
                </c:pt>
                <c:pt idx="170">
                  <c:v>1.6814148356071423</c:v>
                </c:pt>
                <c:pt idx="171">
                  <c:v>1.6805003842506714</c:v>
                </c:pt>
                <c:pt idx="172">
                  <c:v>1.6794157928961133</c:v>
                </c:pt>
                <c:pt idx="173">
                  <c:v>1.6780797000037206</c:v>
                </c:pt>
                <c:pt idx="174">
                  <c:v>1.676053336082451</c:v>
                </c:pt>
                <c:pt idx="175">
                  <c:v>1.6736557849160612</c:v>
                </c:pt>
                <c:pt idx="176">
                  <c:v>1.6692695481018327</c:v>
                </c:pt>
                <c:pt idx="177">
                  <c:v>1.6666654181277636</c:v>
                </c:pt>
                <c:pt idx="178">
                  <c:v>1.6632407847564075</c:v>
                </c:pt>
                <c:pt idx="179">
                  <c:v>1.6582225341680232</c:v>
                </c:pt>
                <c:pt idx="180">
                  <c:v>1.6537453444574925</c:v>
                </c:pt>
                <c:pt idx="181">
                  <c:v>1.6466967042992047</c:v>
                </c:pt>
                <c:pt idx="182">
                  <c:v>1.639372902059095</c:v>
                </c:pt>
                <c:pt idx="183">
                  <c:v>1.6335644537586098</c:v>
                </c:pt>
                <c:pt idx="184">
                  <c:v>1.6315636600547851</c:v>
                </c:pt>
                <c:pt idx="185">
                  <c:v>1.6300517808278592</c:v>
                </c:pt>
                <c:pt idx="186">
                  <c:v>1.6293015076595541</c:v>
                </c:pt>
                <c:pt idx="187">
                  <c:v>1.6287004542471206</c:v>
                </c:pt>
                <c:pt idx="188">
                  <c:v>1.6284073349334145</c:v>
                </c:pt>
                <c:pt idx="189">
                  <c:v>1.6273286237766706</c:v>
                </c:pt>
                <c:pt idx="190">
                  <c:v>1.6291971088396535</c:v>
                </c:pt>
                <c:pt idx="191">
                  <c:v>1.6298941599149293</c:v>
                </c:pt>
                <c:pt idx="192">
                  <c:v>1.6304951775774692</c:v>
                </c:pt>
                <c:pt idx="193">
                  <c:v>1.631357879387145</c:v>
                </c:pt>
                <c:pt idx="194">
                  <c:v>1.6329696750509044</c:v>
                </c:pt>
                <c:pt idx="195">
                  <c:v>1.6333316904550661</c:v>
                </c:pt>
                <c:pt idx="196">
                  <c:v>1.6344543538730498</c:v>
                </c:pt>
                <c:pt idx="197">
                  <c:v>1.6352707269034195</c:v>
                </c:pt>
                <c:pt idx="198">
                  <c:v>1.6377831142558603</c:v>
                </c:pt>
                <c:pt idx="199">
                  <c:v>1.6385915624498364</c:v>
                </c:pt>
                <c:pt idx="200">
                  <c:v>1.637034296966843</c:v>
                </c:pt>
                <c:pt idx="201">
                  <c:v>1.632100304697097</c:v>
                </c:pt>
                <c:pt idx="202">
                  <c:v>1.6313035618265062</c:v>
                </c:pt>
                <c:pt idx="203">
                  <c:v>1.6295238271061778</c:v>
                </c:pt>
                <c:pt idx="204">
                  <c:v>1.629080460321545</c:v>
                </c:pt>
                <c:pt idx="205">
                  <c:v>1.6292477526113196</c:v>
                </c:pt>
                <c:pt idx="206">
                  <c:v>1.630922613593661</c:v>
                </c:pt>
                <c:pt idx="207">
                  <c:v>1.6316047358737964</c:v>
                </c:pt>
                <c:pt idx="208">
                  <c:v>1.631736241665525</c:v>
                </c:pt>
                <c:pt idx="209">
                  <c:v>1.632104972155874</c:v>
                </c:pt>
                <c:pt idx="210">
                  <c:v>1.6325532059626346</c:v>
                </c:pt>
                <c:pt idx="211">
                  <c:v>1.6353987486529424</c:v>
                </c:pt>
                <c:pt idx="212">
                  <c:v>1.6354646353829017</c:v>
                </c:pt>
                <c:pt idx="213">
                  <c:v>1.6350701215460941</c:v>
                </c:pt>
                <c:pt idx="214">
                  <c:v>1.6361883408876947</c:v>
                </c:pt>
                <c:pt idx="215">
                  <c:v>1.6360400609454373</c:v>
                </c:pt>
                <c:pt idx="216">
                  <c:v>1.6359543051068377</c:v>
                </c:pt>
                <c:pt idx="217">
                  <c:v>1.6357236283992953</c:v>
                </c:pt>
                <c:pt idx="218">
                  <c:v>1.6355318317748486</c:v>
                </c:pt>
                <c:pt idx="219">
                  <c:v>1.6355262719268449</c:v>
                </c:pt>
                <c:pt idx="220">
                  <c:v>1.6355285856650397</c:v>
                </c:pt>
                <c:pt idx="221">
                  <c:v>1.635412671177878</c:v>
                </c:pt>
                <c:pt idx="222">
                  <c:v>1.6353181372087049</c:v>
                </c:pt>
                <c:pt idx="223">
                  <c:v>1.6352903147515063</c:v>
                </c:pt>
                <c:pt idx="224">
                  <c:v>1.6352419157567739</c:v>
                </c:pt>
                <c:pt idx="225">
                  <c:v>1.6350995525503076</c:v>
                </c:pt>
                <c:pt idx="226">
                  <c:v>1.635513656294324</c:v>
                </c:pt>
                <c:pt idx="227">
                  <c:v>1.6354466230603271</c:v>
                </c:pt>
                <c:pt idx="228">
                  <c:v>1.635573826565329</c:v>
                </c:pt>
                <c:pt idx="229">
                  <c:v>1.6363075642122782</c:v>
                </c:pt>
                <c:pt idx="230">
                  <c:v>1.6365690343472989</c:v>
                </c:pt>
                <c:pt idx="231">
                  <c:v>1.6364965295762739</c:v>
                </c:pt>
                <c:pt idx="232">
                  <c:v>1.6370164953799526</c:v>
                </c:pt>
                <c:pt idx="233">
                  <c:v>1.6372184123043056</c:v>
                </c:pt>
                <c:pt idx="234">
                  <c:v>1.6372792924897501</c:v>
                </c:pt>
                <c:pt idx="235">
                  <c:v>1.637227544296725</c:v>
                </c:pt>
                <c:pt idx="236">
                  <c:v>1.6369892759025133</c:v>
                </c:pt>
                <c:pt idx="237">
                  <c:v>1.6368307073218649</c:v>
                </c:pt>
                <c:pt idx="238">
                  <c:v>1.6386809138323337</c:v>
                </c:pt>
                <c:pt idx="239">
                  <c:v>1.6416274409837963</c:v>
                </c:pt>
                <c:pt idx="240">
                  <c:v>1.6439770809038499</c:v>
                </c:pt>
                <c:pt idx="241">
                  <c:v>1.6448583889686734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1.097680077550744</c:v>
                </c:pt>
                <c:pt idx="1">
                  <c:v>1.10802858445668</c:v>
                </c:pt>
                <c:pt idx="2">
                  <c:v>1.1191546531989141</c:v>
                </c:pt>
                <c:pt idx="3">
                  <c:v>1.1302674644998181</c:v>
                </c:pt>
                <c:pt idx="4">
                  <c:v>1.1413867382212821</c:v>
                </c:pt>
                <c:pt idx="5">
                  <c:v>1.152527013075312</c:v>
                </c:pt>
                <c:pt idx="6">
                  <c:v>1.163865072950526</c:v>
                </c:pt>
                <c:pt idx="7">
                  <c:v>1.174600224881436</c:v>
                </c:pt>
                <c:pt idx="8">
                  <c:v>1.18561226175278</c:v>
                </c:pt>
                <c:pt idx="9">
                  <c:v>1.19716579567327</c:v>
                </c:pt>
                <c:pt idx="10">
                  <c:v>1.2082060080755301</c:v>
                </c:pt>
                <c:pt idx="11">
                  <c:v>1.2199235104214781</c:v>
                </c:pt>
                <c:pt idx="12">
                  <c:v>1.232920014733774</c:v>
                </c:pt>
                <c:pt idx="13">
                  <c:v>1.2475768777232279</c:v>
                </c:pt>
                <c:pt idx="14">
                  <c:v>1.2630806495440319</c:v>
                </c:pt>
                <c:pt idx="15">
                  <c:v>1.2786433329331122</c:v>
                </c:pt>
                <c:pt idx="16">
                  <c:v>1.2970774236012581</c:v>
                </c:pt>
                <c:pt idx="17">
                  <c:v>1.3165558972762799</c:v>
                </c:pt>
                <c:pt idx="18">
                  <c:v>1.3364772652141779</c:v>
                </c:pt>
                <c:pt idx="19">
                  <c:v>1.360159327593838</c:v>
                </c:pt>
                <c:pt idx="20">
                  <c:v>1.384709646063254</c:v>
                </c:pt>
                <c:pt idx="21">
                  <c:v>1.4144520988536822</c:v>
                </c:pt>
                <c:pt idx="22">
                  <c:v>1.4477394365680456</c:v>
                </c:pt>
                <c:pt idx="23">
                  <c:v>1.4860794122224077</c:v>
                </c:pt>
                <c:pt idx="24">
                  <c:v>1.4940055494736089</c:v>
                </c:pt>
                <c:pt idx="25">
                  <c:v>1.4951215414299732</c:v>
                </c:pt>
                <c:pt idx="26">
                  <c:v>1.4969654612688374</c:v>
                </c:pt>
                <c:pt idx="27">
                  <c:v>1.4983990502372695</c:v>
                </c:pt>
                <c:pt idx="28">
                  <c:v>1.500971371929672</c:v>
                </c:pt>
                <c:pt idx="29">
                  <c:v>1.5034966604689812</c:v>
                </c:pt>
                <c:pt idx="30">
                  <c:v>1.5032233239956114</c:v>
                </c:pt>
                <c:pt idx="31">
                  <c:v>1.5032551053856613</c:v>
                </c:pt>
                <c:pt idx="32">
                  <c:v>1.5023316581984736</c:v>
                </c:pt>
                <c:pt idx="33">
                  <c:v>1.5016395290591191</c:v>
                </c:pt>
                <c:pt idx="34">
                  <c:v>1.5006272102028393</c:v>
                </c:pt>
                <c:pt idx="35">
                  <c:v>1.5006135691749003</c:v>
                </c:pt>
                <c:pt idx="36">
                  <c:v>1.5009004694496244</c:v>
                </c:pt>
                <c:pt idx="37">
                  <c:v>1.5007169368184796</c:v>
                </c:pt>
                <c:pt idx="38">
                  <c:v>1.5001869182291192</c:v>
                </c:pt>
                <c:pt idx="39">
                  <c:v>1.4997789955178389</c:v>
                </c:pt>
                <c:pt idx="40">
                  <c:v>1.50009972271682</c:v>
                </c:pt>
                <c:pt idx="41">
                  <c:v>1.5009863673210433</c:v>
                </c:pt>
                <c:pt idx="42">
                  <c:v>1.5012534539937108</c:v>
                </c:pt>
                <c:pt idx="43">
                  <c:v>1.5017389096002407</c:v>
                </c:pt>
                <c:pt idx="44">
                  <c:v>1.5018471147081984</c:v>
                </c:pt>
                <c:pt idx="45">
                  <c:v>1.501704967381406</c:v>
                </c:pt>
                <c:pt idx="46">
                  <c:v>1.5016976705148994</c:v>
                </c:pt>
                <c:pt idx="47">
                  <c:v>1.5017544277407651</c:v>
                </c:pt>
                <c:pt idx="48">
                  <c:v>1.5020111552450268</c:v>
                </c:pt>
                <c:pt idx="49">
                  <c:v>1.5019770926509743</c:v>
                </c:pt>
                <c:pt idx="50">
                  <c:v>1.501760858652796</c:v>
                </c:pt>
                <c:pt idx="51">
                  <c:v>1.5018327884653786</c:v>
                </c:pt>
                <c:pt idx="52">
                  <c:v>1.501877064908592</c:v>
                </c:pt>
                <c:pt idx="53">
                  <c:v>1.5018588665660779</c:v>
                </c:pt>
                <c:pt idx="54">
                  <c:v>1.5018597480243787</c:v>
                </c:pt>
                <c:pt idx="55">
                  <c:v>1.5019099776095295</c:v>
                </c:pt>
                <c:pt idx="56">
                  <c:v>1.5015392371317449</c:v>
                </c:pt>
                <c:pt idx="57">
                  <c:v>1.5013510572472388</c:v>
                </c:pt>
                <c:pt idx="58">
                  <c:v>1.5015522258895051</c:v>
                </c:pt>
                <c:pt idx="59">
                  <c:v>1.5027623657075164</c:v>
                </c:pt>
                <c:pt idx="60">
                  <c:v>1.5047100512435376</c:v>
                </c:pt>
                <c:pt idx="61">
                  <c:v>1.5066801638334586</c:v>
                </c:pt>
                <c:pt idx="62">
                  <c:v>1.5079473845784921</c:v>
                </c:pt>
                <c:pt idx="63">
                  <c:v>1.5083927677918652</c:v>
                </c:pt>
                <c:pt idx="64">
                  <c:v>1.5086928913847055</c:v>
                </c:pt>
                <c:pt idx="65">
                  <c:v>1.5095923315626678</c:v>
                </c:pt>
                <c:pt idx="66">
                  <c:v>1.5106512586860181</c:v>
                </c:pt>
                <c:pt idx="67">
                  <c:v>1.5114148377930625</c:v>
                </c:pt>
                <c:pt idx="68">
                  <c:v>1.5123132959876591</c:v>
                </c:pt>
                <c:pt idx="69">
                  <c:v>1.5139955424351339</c:v>
                </c:pt>
                <c:pt idx="70">
                  <c:v>1.5165647307416315</c:v>
                </c:pt>
                <c:pt idx="71">
                  <c:v>1.5182394109542847</c:v>
                </c:pt>
                <c:pt idx="72">
                  <c:v>1.5201028670793082</c:v>
                </c:pt>
                <c:pt idx="73">
                  <c:v>1.5226648843113666</c:v>
                </c:pt>
                <c:pt idx="74">
                  <c:v>1.5244464651456053</c:v>
                </c:pt>
                <c:pt idx="75">
                  <c:v>1.5258565488208764</c:v>
                </c:pt>
                <c:pt idx="76">
                  <c:v>1.5271930352624132</c:v>
                </c:pt>
                <c:pt idx="77">
                  <c:v>1.5281655886812138</c:v>
                </c:pt>
                <c:pt idx="78">
                  <c:v>1.5284433463424094</c:v>
                </c:pt>
                <c:pt idx="79">
                  <c:v>1.5295653219396417</c:v>
                </c:pt>
                <c:pt idx="80">
                  <c:v>1.5301784059821455</c:v>
                </c:pt>
                <c:pt idx="81">
                  <c:v>1.5314738552113498</c:v>
                </c:pt>
                <c:pt idx="82">
                  <c:v>1.533519949821893</c:v>
                </c:pt>
                <c:pt idx="83">
                  <c:v>1.5360549201936493</c:v>
                </c:pt>
                <c:pt idx="84">
                  <c:v>1.5390649310376701</c:v>
                </c:pt>
                <c:pt idx="85">
                  <c:v>1.5394617926717897</c:v>
                </c:pt>
                <c:pt idx="86">
                  <c:v>1.5412837202731073</c:v>
                </c:pt>
                <c:pt idx="87">
                  <c:v>1.5430505614259598</c:v>
                </c:pt>
                <c:pt idx="88">
                  <c:v>1.544793660051835</c:v>
                </c:pt>
                <c:pt idx="89">
                  <c:v>1.5468450786850585</c:v>
                </c:pt>
                <c:pt idx="90">
                  <c:v>1.5513026452018115</c:v>
                </c:pt>
                <c:pt idx="91">
                  <c:v>1.5563259127039326</c:v>
                </c:pt>
                <c:pt idx="92">
                  <c:v>1.5617997296788881</c:v>
                </c:pt>
                <c:pt idx="93">
                  <c:v>1.5692199308519399</c:v>
                </c:pt>
                <c:pt idx="94">
                  <c:v>1.5724388201072006</c:v>
                </c:pt>
                <c:pt idx="95">
                  <c:v>1.5744605807885725</c:v>
                </c:pt>
                <c:pt idx="96">
                  <c:v>1.5723580026314385</c:v>
                </c:pt>
                <c:pt idx="97">
                  <c:v>1.5710518210346793</c:v>
                </c:pt>
                <c:pt idx="98">
                  <c:v>1.5700116472167429</c:v>
                </c:pt>
                <c:pt idx="99">
                  <c:v>1.5686700762970216</c:v>
                </c:pt>
                <c:pt idx="100">
                  <c:v>1.5675314417883428</c:v>
                </c:pt>
                <c:pt idx="101">
                  <c:v>1.5673366564179387</c:v>
                </c:pt>
                <c:pt idx="102">
                  <c:v>1.5666811046784836</c:v>
                </c:pt>
                <c:pt idx="103">
                  <c:v>1.566570150274704</c:v>
                </c:pt>
                <c:pt idx="104">
                  <c:v>1.5668603774165928</c:v>
                </c:pt>
                <c:pt idx="105">
                  <c:v>1.5673256672044762</c:v>
                </c:pt>
                <c:pt idx="106">
                  <c:v>1.5687586608922983</c:v>
                </c:pt>
                <c:pt idx="107">
                  <c:v>1.5707630064097826</c:v>
                </c:pt>
                <c:pt idx="108">
                  <c:v>1.5716634383241812</c:v>
                </c:pt>
                <c:pt idx="109">
                  <c:v>1.570797343604929</c:v>
                </c:pt>
                <c:pt idx="110">
                  <c:v>1.5683627502534034</c:v>
                </c:pt>
                <c:pt idx="111">
                  <c:v>1.5648436513515587</c:v>
                </c:pt>
                <c:pt idx="112">
                  <c:v>1.56068804755503</c:v>
                </c:pt>
                <c:pt idx="113">
                  <c:v>1.557767168527072</c:v>
                </c:pt>
                <c:pt idx="114">
                  <c:v>1.5556457473733336</c:v>
                </c:pt>
                <c:pt idx="115">
                  <c:v>1.552509515021947</c:v>
                </c:pt>
                <c:pt idx="116">
                  <c:v>1.5489561565161052</c:v>
                </c:pt>
                <c:pt idx="117">
                  <c:v>1.5455915037301924</c:v>
                </c:pt>
                <c:pt idx="118">
                  <c:v>1.5420287725026722</c:v>
                </c:pt>
                <c:pt idx="119">
                  <c:v>1.5390167856123305</c:v>
                </c:pt>
                <c:pt idx="120">
                  <c:v>1.5378559639592397</c:v>
                </c:pt>
                <c:pt idx="121">
                  <c:v>1.5362127190677954</c:v>
                </c:pt>
                <c:pt idx="122">
                  <c:v>1.5351665769621803</c:v>
                </c:pt>
                <c:pt idx="123">
                  <c:v>1.5344446848654649</c:v>
                </c:pt>
                <c:pt idx="124">
                  <c:v>1.5340219594983786</c:v>
                </c:pt>
                <c:pt idx="125">
                  <c:v>1.5347488440237811</c:v>
                </c:pt>
                <c:pt idx="126">
                  <c:v>1.5352474825469515</c:v>
                </c:pt>
                <c:pt idx="127">
                  <c:v>1.5353009238845483</c:v>
                </c:pt>
                <c:pt idx="128">
                  <c:v>1.534890578952087</c:v>
                </c:pt>
                <c:pt idx="129">
                  <c:v>1.5322200810306392</c:v>
                </c:pt>
                <c:pt idx="130">
                  <c:v>1.5287646542350886</c:v>
                </c:pt>
                <c:pt idx="131">
                  <c:v>1.5244774873097082</c:v>
                </c:pt>
                <c:pt idx="132">
                  <c:v>1.5194211879263761</c:v>
                </c:pt>
                <c:pt idx="133">
                  <c:v>1.5122018155122499</c:v>
                </c:pt>
                <c:pt idx="134">
                  <c:v>1.506996215294822</c:v>
                </c:pt>
                <c:pt idx="135">
                  <c:v>1.504036098786051</c:v>
                </c:pt>
                <c:pt idx="136">
                  <c:v>1.5019912464602001</c:v>
                </c:pt>
                <c:pt idx="137">
                  <c:v>1.501142939178115</c:v>
                </c:pt>
                <c:pt idx="138">
                  <c:v>1.5003472438524712</c:v>
                </c:pt>
                <c:pt idx="139">
                  <c:v>1.4978035184031788</c:v>
                </c:pt>
                <c:pt idx="140">
                  <c:v>1.4917079161022944</c:v>
                </c:pt>
                <c:pt idx="141">
                  <c:v>1.4856123414738225</c:v>
                </c:pt>
                <c:pt idx="142">
                  <c:v>1.480709491255237</c:v>
                </c:pt>
                <c:pt idx="143">
                  <c:v>1.4763428350239076</c:v>
                </c:pt>
                <c:pt idx="144">
                  <c:v>1.4729009495737015</c:v>
                </c:pt>
                <c:pt idx="145">
                  <c:v>1.470185503977528</c:v>
                </c:pt>
                <c:pt idx="146">
                  <c:v>1.4670233972441802</c:v>
                </c:pt>
                <c:pt idx="147">
                  <c:v>1.463508463718082</c:v>
                </c:pt>
                <c:pt idx="148">
                  <c:v>1.4626182728894199</c:v>
                </c:pt>
                <c:pt idx="149">
                  <c:v>1.463263132546273</c:v>
                </c:pt>
                <c:pt idx="150">
                  <c:v>1.4636186098194512</c:v>
                </c:pt>
                <c:pt idx="151">
                  <c:v>1.4621730156777446</c:v>
                </c:pt>
                <c:pt idx="152">
                  <c:v>1.462288261736798</c:v>
                </c:pt>
                <c:pt idx="153">
                  <c:v>1.4663078770351961</c:v>
                </c:pt>
                <c:pt idx="154">
                  <c:v>1.4680692474106869</c:v>
                </c:pt>
                <c:pt idx="155">
                  <c:v>1.4665119678922924</c:v>
                </c:pt>
                <c:pt idx="156">
                  <c:v>1.4666747829702527</c:v>
                </c:pt>
                <c:pt idx="157">
                  <c:v>1.4667649109600442</c:v>
                </c:pt>
                <c:pt idx="158">
                  <c:v>1.4697219809276114</c:v>
                </c:pt>
                <c:pt idx="159">
                  <c:v>1.4717208245306492</c:v>
                </c:pt>
                <c:pt idx="160">
                  <c:v>1.4718066840268551</c:v>
                </c:pt>
                <c:pt idx="161">
                  <c:v>1.471759481098778</c:v>
                </c:pt>
                <c:pt idx="162">
                  <c:v>1.4712238782577969</c:v>
                </c:pt>
                <c:pt idx="163">
                  <c:v>1.4693603910915061</c:v>
                </c:pt>
                <c:pt idx="164">
                  <c:v>1.4676154920115492</c:v>
                </c:pt>
                <c:pt idx="165">
                  <c:v>1.464517402951099</c:v>
                </c:pt>
                <c:pt idx="166">
                  <c:v>1.4617797989567316</c:v>
                </c:pt>
                <c:pt idx="167">
                  <c:v>1.4609144914628154</c:v>
                </c:pt>
                <c:pt idx="168">
                  <c:v>1.4581045896980205</c:v>
                </c:pt>
                <c:pt idx="169">
                  <c:v>1.4561700220306302</c:v>
                </c:pt>
                <c:pt idx="170">
                  <c:v>1.4533800519970979</c:v>
                </c:pt>
                <c:pt idx="171">
                  <c:v>1.4521350413731684</c:v>
                </c:pt>
                <c:pt idx="172">
                  <c:v>1.4491627685670267</c:v>
                </c:pt>
                <c:pt idx="173">
                  <c:v>1.4473579014517592</c:v>
                </c:pt>
                <c:pt idx="174">
                  <c:v>1.4454009384995088</c:v>
                </c:pt>
                <c:pt idx="175">
                  <c:v>1.4435925750985388</c:v>
                </c:pt>
                <c:pt idx="176">
                  <c:v>1.4437258803021273</c:v>
                </c:pt>
                <c:pt idx="177">
                  <c:v>1.4415537192357366</c:v>
                </c:pt>
                <c:pt idx="178">
                  <c:v>1.4398355418875126</c:v>
                </c:pt>
                <c:pt idx="179">
                  <c:v>1.4408475418175366</c:v>
                </c:pt>
                <c:pt idx="180">
                  <c:v>1.4411812390691674</c:v>
                </c:pt>
                <c:pt idx="181">
                  <c:v>1.4437795472239152</c:v>
                </c:pt>
                <c:pt idx="182">
                  <c:v>1.4470846952733851</c:v>
                </c:pt>
                <c:pt idx="183">
                  <c:v>1.4502518285519301</c:v>
                </c:pt>
                <c:pt idx="184">
                  <c:v>1.450612605930415</c:v>
                </c:pt>
                <c:pt idx="185">
                  <c:v>1.4506927518173609</c:v>
                </c:pt>
                <c:pt idx="186">
                  <c:v>1.4505986171679057</c:v>
                </c:pt>
                <c:pt idx="187">
                  <c:v>1.4499977522440992</c:v>
                </c:pt>
                <c:pt idx="188">
                  <c:v>1.4478195417012456</c:v>
                </c:pt>
                <c:pt idx="189">
                  <c:v>1.4477845464318495</c:v>
                </c:pt>
                <c:pt idx="190">
                  <c:v>1.4470852487485264</c:v>
                </c:pt>
                <c:pt idx="191">
                  <c:v>1.4469565339367907</c:v>
                </c:pt>
                <c:pt idx="192">
                  <c:v>1.4468448902896507</c:v>
                </c:pt>
                <c:pt idx="193">
                  <c:v>1.446751909158335</c:v>
                </c:pt>
                <c:pt idx="194">
                  <c:v>1.4463520925046558</c:v>
                </c:pt>
                <c:pt idx="195">
                  <c:v>1.4462131789759738</c:v>
                </c:pt>
                <c:pt idx="196">
                  <c:v>1.44570938125963</c:v>
                </c:pt>
                <c:pt idx="197">
                  <c:v>1.4452868555743406</c:v>
                </c:pt>
                <c:pt idx="198">
                  <c:v>1.4438118531960196</c:v>
                </c:pt>
                <c:pt idx="199">
                  <c:v>1.4433745486516436</c:v>
                </c:pt>
                <c:pt idx="200">
                  <c:v>1.4443391241576369</c:v>
                </c:pt>
                <c:pt idx="201">
                  <c:v>1.4469771454119831</c:v>
                </c:pt>
                <c:pt idx="202">
                  <c:v>1.4474931229547741</c:v>
                </c:pt>
                <c:pt idx="203">
                  <c:v>1.4481701869883821</c:v>
                </c:pt>
                <c:pt idx="204">
                  <c:v>1.4466565923543748</c:v>
                </c:pt>
                <c:pt idx="205">
                  <c:v>1.4446830135974402</c:v>
                </c:pt>
                <c:pt idx="206">
                  <c:v>1.4451663783110991</c:v>
                </c:pt>
                <c:pt idx="207">
                  <c:v>1.4462109461002637</c:v>
                </c:pt>
                <c:pt idx="208">
                  <c:v>1.4480612104033752</c:v>
                </c:pt>
                <c:pt idx="209">
                  <c:v>1.4491070677638458</c:v>
                </c:pt>
                <c:pt idx="210">
                  <c:v>1.4492785043568652</c:v>
                </c:pt>
                <c:pt idx="211">
                  <c:v>1.4482405901906177</c:v>
                </c:pt>
                <c:pt idx="212">
                  <c:v>1.4482171285511583</c:v>
                </c:pt>
                <c:pt idx="213">
                  <c:v>1.448302501932426</c:v>
                </c:pt>
                <c:pt idx="214">
                  <c:v>1.4483978821641852</c:v>
                </c:pt>
                <c:pt idx="215">
                  <c:v>1.4503803369074226</c:v>
                </c:pt>
                <c:pt idx="216">
                  <c:v>1.4528187600400624</c:v>
                </c:pt>
                <c:pt idx="217">
                  <c:v>1.4543774739187247</c:v>
                </c:pt>
                <c:pt idx="218">
                  <c:v>1.4553846657330312</c:v>
                </c:pt>
                <c:pt idx="219">
                  <c:v>1.4560471658395751</c:v>
                </c:pt>
                <c:pt idx="220">
                  <c:v>1.4560763983329201</c:v>
                </c:pt>
                <c:pt idx="221">
                  <c:v>1.4564862372921221</c:v>
                </c:pt>
                <c:pt idx="222">
                  <c:v>1.4575411365301549</c:v>
                </c:pt>
                <c:pt idx="223">
                  <c:v>1.4569170610999536</c:v>
                </c:pt>
                <c:pt idx="224">
                  <c:v>1.4568629047316459</c:v>
                </c:pt>
                <c:pt idx="225">
                  <c:v>1.4565175749357926</c:v>
                </c:pt>
                <c:pt idx="226">
                  <c:v>1.4550248418612159</c:v>
                </c:pt>
                <c:pt idx="227">
                  <c:v>1.4543609697305528</c:v>
                </c:pt>
                <c:pt idx="228">
                  <c:v>1.4533784230758111</c:v>
                </c:pt>
                <c:pt idx="229">
                  <c:v>1.4508946408105019</c:v>
                </c:pt>
                <c:pt idx="230">
                  <c:v>1.449815988445061</c:v>
                </c:pt>
                <c:pt idx="231">
                  <c:v>1.448404670726706</c:v>
                </c:pt>
                <c:pt idx="232">
                  <c:v>1.4460211369871874</c:v>
                </c:pt>
                <c:pt idx="233">
                  <c:v>1.4415317779831942</c:v>
                </c:pt>
                <c:pt idx="234">
                  <c:v>1.4371314473225301</c:v>
                </c:pt>
                <c:pt idx="235">
                  <c:v>1.433300305680995</c:v>
                </c:pt>
                <c:pt idx="236">
                  <c:v>1.4297336201321869</c:v>
                </c:pt>
                <c:pt idx="237">
                  <c:v>1.4274569896039551</c:v>
                </c:pt>
                <c:pt idx="238">
                  <c:v>1.4230027301708463</c:v>
                </c:pt>
                <c:pt idx="239">
                  <c:v>1.4167009014911036</c:v>
                </c:pt>
                <c:pt idx="240">
                  <c:v>1.41196268267805</c:v>
                </c:pt>
                <c:pt idx="241">
                  <c:v>1.4095494065386864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43782</c:v>
                </c:pt>
                <c:pt idx="1">
                  <c:v>43782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43789</c:v>
                </c:pt>
                <c:pt idx="1">
                  <c:v>43789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1.977336691028396"/>
          <c:min val="1.0976800775507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sell(1820)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2480</c:v>
                </c:pt>
                <c:pt idx="1">
                  <c:v>2464</c:v>
                </c:pt>
                <c:pt idx="2">
                  <c:v>2474</c:v>
                </c:pt>
                <c:pt idx="3">
                  <c:v>2489</c:v>
                </c:pt>
                <c:pt idx="4">
                  <c:v>2501</c:v>
                </c:pt>
                <c:pt idx="5">
                  <c:v>2503</c:v>
                </c:pt>
                <c:pt idx="6">
                  <c:v>2533</c:v>
                </c:pt>
                <c:pt idx="7">
                  <c:v>2529</c:v>
                </c:pt>
                <c:pt idx="8">
                  <c:v>2516</c:v>
                </c:pt>
                <c:pt idx="9">
                  <c:v>2538</c:v>
                </c:pt>
                <c:pt idx="10">
                  <c:v>2516</c:v>
                </c:pt>
                <c:pt idx="11">
                  <c:v>2488</c:v>
                </c:pt>
                <c:pt idx="12">
                  <c:v>2453</c:v>
                </c:pt>
                <c:pt idx="13">
                  <c:v>2440</c:v>
                </c:pt>
                <c:pt idx="14">
                  <c:v>2434</c:v>
                </c:pt>
                <c:pt idx="15">
                  <c:v>2388</c:v>
                </c:pt>
                <c:pt idx="16">
                  <c:v>2384</c:v>
                </c:pt>
                <c:pt idx="17">
                  <c:v>2381</c:v>
                </c:pt>
                <c:pt idx="18">
                  <c:v>2356</c:v>
                </c:pt>
                <c:pt idx="19">
                  <c:v>2381</c:v>
                </c:pt>
                <c:pt idx="20">
                  <c:v>2362</c:v>
                </c:pt>
                <c:pt idx="21">
                  <c:v>2367</c:v>
                </c:pt>
                <c:pt idx="22">
                  <c:v>2365</c:v>
                </c:pt>
                <c:pt idx="23">
                  <c:v>2411</c:v>
                </c:pt>
                <c:pt idx="24">
                  <c:v>2377</c:v>
                </c:pt>
                <c:pt idx="25">
                  <c:v>2373</c:v>
                </c:pt>
                <c:pt idx="26">
                  <c:v>2348</c:v>
                </c:pt>
                <c:pt idx="27">
                  <c:v>2407</c:v>
                </c:pt>
                <c:pt idx="28">
                  <c:v>2442</c:v>
                </c:pt>
                <c:pt idx="29">
                  <c:v>2377</c:v>
                </c:pt>
                <c:pt idx="30">
                  <c:v>2391</c:v>
                </c:pt>
                <c:pt idx="31">
                  <c:v>2348</c:v>
                </c:pt>
                <c:pt idx="32">
                  <c:v>2306</c:v>
                </c:pt>
                <c:pt idx="33">
                  <c:v>2287</c:v>
                </c:pt>
                <c:pt idx="34">
                  <c:v>2275</c:v>
                </c:pt>
                <c:pt idx="35">
                  <c:v>2269</c:v>
                </c:pt>
                <c:pt idx="36">
                  <c:v>2239</c:v>
                </c:pt>
                <c:pt idx="37">
                  <c:v>2234</c:v>
                </c:pt>
                <c:pt idx="38">
                  <c:v>2227</c:v>
                </c:pt>
                <c:pt idx="39">
                  <c:v>2224</c:v>
                </c:pt>
                <c:pt idx="40">
                  <c:v>2216</c:v>
                </c:pt>
                <c:pt idx="41">
                  <c:v>2184</c:v>
                </c:pt>
                <c:pt idx="42">
                  <c:v>2149</c:v>
                </c:pt>
                <c:pt idx="43">
                  <c:v>2140</c:v>
                </c:pt>
                <c:pt idx="44">
                  <c:v>2157</c:v>
                </c:pt>
                <c:pt idx="45">
                  <c:v>2125</c:v>
                </c:pt>
                <c:pt idx="46">
                  <c:v>2108</c:v>
                </c:pt>
                <c:pt idx="47">
                  <c:v>2050</c:v>
                </c:pt>
                <c:pt idx="48">
                  <c:v>2013</c:v>
                </c:pt>
                <c:pt idx="49">
                  <c:v>1995</c:v>
                </c:pt>
                <c:pt idx="50">
                  <c:v>1974</c:v>
                </c:pt>
                <c:pt idx="51">
                  <c:v>1951</c:v>
                </c:pt>
                <c:pt idx="52">
                  <c:v>1950</c:v>
                </c:pt>
                <c:pt idx="53">
                  <c:v>1952</c:v>
                </c:pt>
                <c:pt idx="54">
                  <c:v>2009</c:v>
                </c:pt>
                <c:pt idx="55">
                  <c:v>2042</c:v>
                </c:pt>
                <c:pt idx="56">
                  <c:v>2010</c:v>
                </c:pt>
                <c:pt idx="57">
                  <c:v>2005</c:v>
                </c:pt>
                <c:pt idx="58">
                  <c:v>2023</c:v>
                </c:pt>
                <c:pt idx="59">
                  <c:v>2004</c:v>
                </c:pt>
                <c:pt idx="60">
                  <c:v>1978</c:v>
                </c:pt>
                <c:pt idx="61">
                  <c:v>1996</c:v>
                </c:pt>
                <c:pt idx="62">
                  <c:v>2014</c:v>
                </c:pt>
                <c:pt idx="63">
                  <c:v>1997</c:v>
                </c:pt>
                <c:pt idx="64">
                  <c:v>2027</c:v>
                </c:pt>
                <c:pt idx="65">
                  <c:v>2005</c:v>
                </c:pt>
                <c:pt idx="66">
                  <c:v>1980</c:v>
                </c:pt>
                <c:pt idx="67">
                  <c:v>1978</c:v>
                </c:pt>
                <c:pt idx="68">
                  <c:v>1924</c:v>
                </c:pt>
                <c:pt idx="69">
                  <c:v>1888</c:v>
                </c:pt>
                <c:pt idx="70">
                  <c:v>1876</c:v>
                </c:pt>
                <c:pt idx="71">
                  <c:v>1872</c:v>
                </c:pt>
                <c:pt idx="72">
                  <c:v>1843</c:v>
                </c:pt>
                <c:pt idx="73">
                  <c:v>1877</c:v>
                </c:pt>
                <c:pt idx="74">
                  <c:v>1887</c:v>
                </c:pt>
                <c:pt idx="75">
                  <c:v>1900</c:v>
                </c:pt>
                <c:pt idx="76">
                  <c:v>1897</c:v>
                </c:pt>
                <c:pt idx="77">
                  <c:v>1870</c:v>
                </c:pt>
                <c:pt idx="78">
                  <c:v>1894</c:v>
                </c:pt>
                <c:pt idx="79">
                  <c:v>1871</c:v>
                </c:pt>
                <c:pt idx="80">
                  <c:v>1895</c:v>
                </c:pt>
                <c:pt idx="81">
                  <c:v>1863</c:v>
                </c:pt>
                <c:pt idx="82">
                  <c:v>1874</c:v>
                </c:pt>
                <c:pt idx="83">
                  <c:v>1869</c:v>
                </c:pt>
                <c:pt idx="84">
                  <c:v>1832</c:v>
                </c:pt>
                <c:pt idx="85">
                  <c:v>1799</c:v>
                </c:pt>
                <c:pt idx="86">
                  <c:v>1786</c:v>
                </c:pt>
                <c:pt idx="87">
                  <c:v>1803</c:v>
                </c:pt>
                <c:pt idx="88">
                  <c:v>1797</c:v>
                </c:pt>
                <c:pt idx="89">
                  <c:v>1799</c:v>
                </c:pt>
                <c:pt idx="90">
                  <c:v>1811</c:v>
                </c:pt>
                <c:pt idx="91">
                  <c:v>1815</c:v>
                </c:pt>
                <c:pt idx="92">
                  <c:v>1817</c:v>
                </c:pt>
                <c:pt idx="93">
                  <c:v>1851</c:v>
                </c:pt>
                <c:pt idx="94">
                  <c:v>1913</c:v>
                </c:pt>
                <c:pt idx="95">
                  <c:v>2047</c:v>
                </c:pt>
                <c:pt idx="96">
                  <c:v>2067</c:v>
                </c:pt>
                <c:pt idx="97">
                  <c:v>2045</c:v>
                </c:pt>
                <c:pt idx="98">
                  <c:v>2047</c:v>
                </c:pt>
                <c:pt idx="99">
                  <c:v>2079</c:v>
                </c:pt>
                <c:pt idx="100">
                  <c:v>2114</c:v>
                </c:pt>
                <c:pt idx="101">
                  <c:v>2080</c:v>
                </c:pt>
                <c:pt idx="102">
                  <c:v>2097</c:v>
                </c:pt>
                <c:pt idx="103">
                  <c:v>2078</c:v>
                </c:pt>
                <c:pt idx="104">
                  <c:v>2081</c:v>
                </c:pt>
                <c:pt idx="105">
                  <c:v>2053</c:v>
                </c:pt>
                <c:pt idx="106">
                  <c:v>2113</c:v>
                </c:pt>
                <c:pt idx="107">
                  <c:v>2077</c:v>
                </c:pt>
                <c:pt idx="108">
                  <c:v>2131</c:v>
                </c:pt>
                <c:pt idx="109">
                  <c:v>2141</c:v>
                </c:pt>
                <c:pt idx="110">
                  <c:v>2135</c:v>
                </c:pt>
                <c:pt idx="111">
                  <c:v>2118</c:v>
                </c:pt>
                <c:pt idx="112">
                  <c:v>2158</c:v>
                </c:pt>
                <c:pt idx="113">
                  <c:v>2187</c:v>
                </c:pt>
                <c:pt idx="114">
                  <c:v>2181</c:v>
                </c:pt>
                <c:pt idx="115">
                  <c:v>2135</c:v>
                </c:pt>
                <c:pt idx="116">
                  <c:v>2140</c:v>
                </c:pt>
                <c:pt idx="117">
                  <c:v>2141</c:v>
                </c:pt>
                <c:pt idx="118">
                  <c:v>2077</c:v>
                </c:pt>
                <c:pt idx="119">
                  <c:v>2086</c:v>
                </c:pt>
                <c:pt idx="120">
                  <c:v>2041</c:v>
                </c:pt>
                <c:pt idx="121">
                  <c:v>2036</c:v>
                </c:pt>
                <c:pt idx="122">
                  <c:v>2056</c:v>
                </c:pt>
                <c:pt idx="123">
                  <c:v>2063</c:v>
                </c:pt>
                <c:pt idx="124">
                  <c:v>2116</c:v>
                </c:pt>
                <c:pt idx="125">
                  <c:v>2108</c:v>
                </c:pt>
                <c:pt idx="126">
                  <c:v>2067</c:v>
                </c:pt>
                <c:pt idx="127">
                  <c:v>2132</c:v>
                </c:pt>
                <c:pt idx="128">
                  <c:v>2147</c:v>
                </c:pt>
                <c:pt idx="129">
                  <c:v>2155</c:v>
                </c:pt>
                <c:pt idx="130">
                  <c:v>2200</c:v>
                </c:pt>
                <c:pt idx="131">
                  <c:v>2198</c:v>
                </c:pt>
                <c:pt idx="132">
                  <c:v>2146</c:v>
                </c:pt>
                <c:pt idx="133">
                  <c:v>2142</c:v>
                </c:pt>
                <c:pt idx="134">
                  <c:v>2113</c:v>
                </c:pt>
                <c:pt idx="135">
                  <c:v>2141</c:v>
                </c:pt>
                <c:pt idx="136">
                  <c:v>2103</c:v>
                </c:pt>
                <c:pt idx="137">
                  <c:v>2046</c:v>
                </c:pt>
                <c:pt idx="138">
                  <c:v>2078</c:v>
                </c:pt>
                <c:pt idx="139">
                  <c:v>2113</c:v>
                </c:pt>
                <c:pt idx="140">
                  <c:v>2074</c:v>
                </c:pt>
                <c:pt idx="141">
                  <c:v>2080</c:v>
                </c:pt>
                <c:pt idx="142">
                  <c:v>2090</c:v>
                </c:pt>
                <c:pt idx="143">
                  <c:v>2094</c:v>
                </c:pt>
                <c:pt idx="144">
                  <c:v>2120</c:v>
                </c:pt>
                <c:pt idx="145">
                  <c:v>2155</c:v>
                </c:pt>
                <c:pt idx="146">
                  <c:v>2145</c:v>
                </c:pt>
                <c:pt idx="147">
                  <c:v>2174</c:v>
                </c:pt>
                <c:pt idx="148">
                  <c:v>2187</c:v>
                </c:pt>
                <c:pt idx="149">
                  <c:v>2157</c:v>
                </c:pt>
                <c:pt idx="150">
                  <c:v>2144</c:v>
                </c:pt>
                <c:pt idx="151">
                  <c:v>2185</c:v>
                </c:pt>
                <c:pt idx="152">
                  <c:v>2230</c:v>
                </c:pt>
                <c:pt idx="153">
                  <c:v>2325</c:v>
                </c:pt>
                <c:pt idx="154">
                  <c:v>2258</c:v>
                </c:pt>
                <c:pt idx="155">
                  <c:v>2338</c:v>
                </c:pt>
                <c:pt idx="156">
                  <c:v>2378</c:v>
                </c:pt>
                <c:pt idx="157">
                  <c:v>2405</c:v>
                </c:pt>
                <c:pt idx="158">
                  <c:v>2373</c:v>
                </c:pt>
                <c:pt idx="159">
                  <c:v>2328</c:v>
                </c:pt>
                <c:pt idx="160">
                  <c:v>2360</c:v>
                </c:pt>
                <c:pt idx="161">
                  <c:v>2346</c:v>
                </c:pt>
                <c:pt idx="162">
                  <c:v>2335</c:v>
                </c:pt>
                <c:pt idx="163">
                  <c:v>2332</c:v>
                </c:pt>
                <c:pt idx="164">
                  <c:v>2362</c:v>
                </c:pt>
                <c:pt idx="165">
                  <c:v>2372</c:v>
                </c:pt>
                <c:pt idx="166">
                  <c:v>2364</c:v>
                </c:pt>
                <c:pt idx="167">
                  <c:v>2329</c:v>
                </c:pt>
                <c:pt idx="168">
                  <c:v>2328</c:v>
                </c:pt>
                <c:pt idx="169">
                  <c:v>2312</c:v>
                </c:pt>
                <c:pt idx="170">
                  <c:v>2366</c:v>
                </c:pt>
                <c:pt idx="171">
                  <c:v>2416</c:v>
                </c:pt>
                <c:pt idx="172">
                  <c:v>2432</c:v>
                </c:pt>
                <c:pt idx="173">
                  <c:v>2439</c:v>
                </c:pt>
                <c:pt idx="174">
                  <c:v>2454</c:v>
                </c:pt>
                <c:pt idx="175">
                  <c:v>2478</c:v>
                </c:pt>
                <c:pt idx="176">
                  <c:v>2509</c:v>
                </c:pt>
                <c:pt idx="177">
                  <c:v>2453</c:v>
                </c:pt>
                <c:pt idx="178">
                  <c:v>2449</c:v>
                </c:pt>
                <c:pt idx="179">
                  <c:v>2501</c:v>
                </c:pt>
                <c:pt idx="180">
                  <c:v>2605</c:v>
                </c:pt>
                <c:pt idx="181">
                  <c:v>2524</c:v>
                </c:pt>
                <c:pt idx="182">
                  <c:v>2573</c:v>
                </c:pt>
                <c:pt idx="183">
                  <c:v>2552</c:v>
                </c:pt>
                <c:pt idx="184">
                  <c:v>2545</c:v>
                </c:pt>
                <c:pt idx="185">
                  <c:v>2530</c:v>
                </c:pt>
                <c:pt idx="186">
                  <c:v>2512</c:v>
                </c:pt>
                <c:pt idx="187">
                  <c:v>2504</c:v>
                </c:pt>
                <c:pt idx="188">
                  <c:v>2504</c:v>
                </c:pt>
                <c:pt idx="189">
                  <c:v>2519</c:v>
                </c:pt>
                <c:pt idx="190">
                  <c:v>2491</c:v>
                </c:pt>
                <c:pt idx="191">
                  <c:v>2466</c:v>
                </c:pt>
                <c:pt idx="192">
                  <c:v>2505</c:v>
                </c:pt>
                <c:pt idx="193">
                  <c:v>2510</c:v>
                </c:pt>
                <c:pt idx="194">
                  <c:v>2563</c:v>
                </c:pt>
                <c:pt idx="195">
                  <c:v>2560</c:v>
                </c:pt>
                <c:pt idx="196">
                  <c:v>2570</c:v>
                </c:pt>
                <c:pt idx="197">
                  <c:v>2591</c:v>
                </c:pt>
                <c:pt idx="198">
                  <c:v>2593</c:v>
                </c:pt>
                <c:pt idx="199">
                  <c:v>2577</c:v>
                </c:pt>
                <c:pt idx="200">
                  <c:v>2558</c:v>
                </c:pt>
                <c:pt idx="201">
                  <c:v>2535</c:v>
                </c:pt>
                <c:pt idx="202">
                  <c:v>2511</c:v>
                </c:pt>
                <c:pt idx="203">
                  <c:v>2508</c:v>
                </c:pt>
                <c:pt idx="204">
                  <c:v>2486</c:v>
                </c:pt>
                <c:pt idx="205">
                  <c:v>2461</c:v>
                </c:pt>
                <c:pt idx="206">
                  <c:v>2438</c:v>
                </c:pt>
                <c:pt idx="207">
                  <c:v>2462</c:v>
                </c:pt>
                <c:pt idx="208">
                  <c:v>2451</c:v>
                </c:pt>
                <c:pt idx="209">
                  <c:v>2483</c:v>
                </c:pt>
                <c:pt idx="210">
                  <c:v>2504</c:v>
                </c:pt>
                <c:pt idx="211">
                  <c:v>2562</c:v>
                </c:pt>
                <c:pt idx="212">
                  <c:v>2569</c:v>
                </c:pt>
                <c:pt idx="213">
                  <c:v>2587</c:v>
                </c:pt>
                <c:pt idx="214">
                  <c:v>2567</c:v>
                </c:pt>
                <c:pt idx="215">
                  <c:v>2503</c:v>
                </c:pt>
                <c:pt idx="216">
                  <c:v>2533</c:v>
                </c:pt>
                <c:pt idx="217">
                  <c:v>2528</c:v>
                </c:pt>
                <c:pt idx="218">
                  <c:v>2530</c:v>
                </c:pt>
                <c:pt idx="219">
                  <c:v>2518</c:v>
                </c:pt>
                <c:pt idx="220">
                  <c:v>2504</c:v>
                </c:pt>
                <c:pt idx="221">
                  <c:v>2503</c:v>
                </c:pt>
                <c:pt idx="222">
                  <c:v>2501</c:v>
                </c:pt>
                <c:pt idx="223">
                  <c:v>2498</c:v>
                </c:pt>
                <c:pt idx="224">
                  <c:v>2515</c:v>
                </c:pt>
                <c:pt idx="225">
                  <c:v>2486</c:v>
                </c:pt>
                <c:pt idx="226">
                  <c:v>2463</c:v>
                </c:pt>
                <c:pt idx="227">
                  <c:v>2473</c:v>
                </c:pt>
                <c:pt idx="228">
                  <c:v>2483</c:v>
                </c:pt>
                <c:pt idx="229">
                  <c:v>2439</c:v>
                </c:pt>
                <c:pt idx="230">
                  <c:v>2504</c:v>
                </c:pt>
                <c:pt idx="231">
                  <c:v>2521</c:v>
                </c:pt>
                <c:pt idx="232">
                  <c:v>2559</c:v>
                </c:pt>
                <c:pt idx="233">
                  <c:v>2538</c:v>
                </c:pt>
                <c:pt idx="234">
                  <c:v>2467</c:v>
                </c:pt>
                <c:pt idx="235">
                  <c:v>2503</c:v>
                </c:pt>
                <c:pt idx="236">
                  <c:v>2483</c:v>
                </c:pt>
                <c:pt idx="237">
                  <c:v>2321</c:v>
                </c:pt>
                <c:pt idx="238">
                  <c:v>2274</c:v>
                </c:pt>
                <c:pt idx="239">
                  <c:v>2352</c:v>
                </c:pt>
                <c:pt idx="240">
                  <c:v>2412</c:v>
                </c:pt>
                <c:pt idx="241">
                  <c:v>2506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buy(4508)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3082.1802575107295</c:v>
                </c:pt>
                <c:pt idx="1">
                  <c:v>3082.1802575107295</c:v>
                </c:pt>
                <c:pt idx="2">
                  <c:v>3080.6437768240344</c:v>
                </c:pt>
                <c:pt idx="3">
                  <c:v>3082.1802575107295</c:v>
                </c:pt>
                <c:pt idx="4">
                  <c:v>3080.6437768240344</c:v>
                </c:pt>
                <c:pt idx="5">
                  <c:v>3079.1072961373388</c:v>
                </c:pt>
                <c:pt idx="6">
                  <c:v>3080.6437768240344</c:v>
                </c:pt>
                <c:pt idx="7">
                  <c:v>3077.5708154506437</c:v>
                </c:pt>
                <c:pt idx="8">
                  <c:v>3076.0343347639482</c:v>
                </c:pt>
                <c:pt idx="9">
                  <c:v>3077.5708154506437</c:v>
                </c:pt>
                <c:pt idx="10">
                  <c:v>3076.0343347639482</c:v>
                </c:pt>
                <c:pt idx="11">
                  <c:v>3076.0343347639482</c:v>
                </c:pt>
                <c:pt idx="12">
                  <c:v>3077.5708154506437</c:v>
                </c:pt>
                <c:pt idx="13">
                  <c:v>3077.5708154506437</c:v>
                </c:pt>
                <c:pt idx="14">
                  <c:v>3077.5708154506437</c:v>
                </c:pt>
                <c:pt idx="15">
                  <c:v>3077.5708154506437</c:v>
                </c:pt>
                <c:pt idx="16">
                  <c:v>3077.5708154506437</c:v>
                </c:pt>
                <c:pt idx="17">
                  <c:v>3077.5708154506437</c:v>
                </c:pt>
                <c:pt idx="18">
                  <c:v>3076.0343347639482</c:v>
                </c:pt>
                <c:pt idx="19">
                  <c:v>3076.0343347639482</c:v>
                </c:pt>
                <c:pt idx="20">
                  <c:v>3076.0343347639482</c:v>
                </c:pt>
                <c:pt idx="21">
                  <c:v>3079.1072961373388</c:v>
                </c:pt>
                <c:pt idx="22">
                  <c:v>3076.0343347639482</c:v>
                </c:pt>
                <c:pt idx="23">
                  <c:v>2516.755364806867</c:v>
                </c:pt>
                <c:pt idx="24">
                  <c:v>2055.811158798283</c:v>
                </c:pt>
                <c:pt idx="25">
                  <c:v>2017.3991416309013</c:v>
                </c:pt>
                <c:pt idx="26">
                  <c:v>2009.7167381974248</c:v>
                </c:pt>
                <c:pt idx="27">
                  <c:v>2026.618025751073</c:v>
                </c:pt>
                <c:pt idx="28">
                  <c:v>2055.811158798283</c:v>
                </c:pt>
                <c:pt idx="29">
                  <c:v>2072.7124463519312</c:v>
                </c:pt>
                <c:pt idx="30">
                  <c:v>2060.4206008583692</c:v>
                </c:pt>
                <c:pt idx="31">
                  <c:v>2043.519313304721</c:v>
                </c:pt>
                <c:pt idx="32">
                  <c:v>2041.9828326180257</c:v>
                </c:pt>
                <c:pt idx="33">
                  <c:v>2038.909871244635</c:v>
                </c:pt>
                <c:pt idx="34">
                  <c:v>2018.9356223175964</c:v>
                </c:pt>
                <c:pt idx="35">
                  <c:v>2000.4978540772531</c:v>
                </c:pt>
                <c:pt idx="36">
                  <c:v>2032.763948497854</c:v>
                </c:pt>
                <c:pt idx="37">
                  <c:v>2000.4978540772531</c:v>
                </c:pt>
                <c:pt idx="38">
                  <c:v>1989.7424892703862</c:v>
                </c:pt>
                <c:pt idx="39">
                  <c:v>1954.4034334763949</c:v>
                </c:pt>
                <c:pt idx="40">
                  <c:v>1931.3562231759656</c:v>
                </c:pt>
                <c:pt idx="41">
                  <c:v>1939.038626609442</c:v>
                </c:pt>
                <c:pt idx="42">
                  <c:v>1888.3347639484978</c:v>
                </c:pt>
                <c:pt idx="43">
                  <c:v>1892.9442060085837</c:v>
                </c:pt>
                <c:pt idx="44">
                  <c:v>1925.2103004291846</c:v>
                </c:pt>
                <c:pt idx="45">
                  <c:v>1942.1115879828326</c:v>
                </c:pt>
                <c:pt idx="46">
                  <c:v>1942.1115879828326</c:v>
                </c:pt>
                <c:pt idx="47">
                  <c:v>1911.381974248927</c:v>
                </c:pt>
                <c:pt idx="48">
                  <c:v>1849.9227467811158</c:v>
                </c:pt>
                <c:pt idx="49">
                  <c:v>1799.2188841201717</c:v>
                </c:pt>
                <c:pt idx="50">
                  <c:v>1831.4849785407725</c:v>
                </c:pt>
                <c:pt idx="51">
                  <c:v>1791.5364806866953</c:v>
                </c:pt>
                <c:pt idx="52">
                  <c:v>1786.9270386266094</c:v>
                </c:pt>
                <c:pt idx="53">
                  <c:v>1800.755364806867</c:v>
                </c:pt>
                <c:pt idx="54">
                  <c:v>1845.3133047210299</c:v>
                </c:pt>
                <c:pt idx="55">
                  <c:v>1842.2403433476395</c:v>
                </c:pt>
                <c:pt idx="56">
                  <c:v>1820.7296137339056</c:v>
                </c:pt>
                <c:pt idx="57">
                  <c:v>1869.8969957081545</c:v>
                </c:pt>
                <c:pt idx="58">
                  <c:v>1932.8927038626609</c:v>
                </c:pt>
                <c:pt idx="59">
                  <c:v>1945.1845493562232</c:v>
                </c:pt>
                <c:pt idx="60">
                  <c:v>1920.6008583690987</c:v>
                </c:pt>
                <c:pt idx="61">
                  <c:v>1919.0643776824033</c:v>
                </c:pt>
                <c:pt idx="62">
                  <c:v>1928.283261802575</c:v>
                </c:pt>
                <c:pt idx="63">
                  <c:v>1906.7725321888411</c:v>
                </c:pt>
                <c:pt idx="64">
                  <c:v>1926.7467811158797</c:v>
                </c:pt>
                <c:pt idx="65">
                  <c:v>1942.1115879828326</c:v>
                </c:pt>
                <c:pt idx="66">
                  <c:v>1909.8454935622317</c:v>
                </c:pt>
                <c:pt idx="67">
                  <c:v>1905.236051502146</c:v>
                </c:pt>
                <c:pt idx="68">
                  <c:v>1879.1158798283261</c:v>
                </c:pt>
                <c:pt idx="69">
                  <c:v>1848.3862660944205</c:v>
                </c:pt>
                <c:pt idx="70">
                  <c:v>1799.2188841201717</c:v>
                </c:pt>
                <c:pt idx="71">
                  <c:v>1803.8283261802574</c:v>
                </c:pt>
                <c:pt idx="72">
                  <c:v>1790</c:v>
                </c:pt>
                <c:pt idx="73">
                  <c:v>1806.901287553648</c:v>
                </c:pt>
                <c:pt idx="74">
                  <c:v>1797.6824034334763</c:v>
                </c:pt>
                <c:pt idx="75">
                  <c:v>1803.8283261802574</c:v>
                </c:pt>
                <c:pt idx="76">
                  <c:v>1785.3905579399141</c:v>
                </c:pt>
                <c:pt idx="77">
                  <c:v>1776.1716738197424</c:v>
                </c:pt>
                <c:pt idx="78">
                  <c:v>1790</c:v>
                </c:pt>
                <c:pt idx="79">
                  <c:v>1759.2703862660944</c:v>
                </c:pt>
                <c:pt idx="80">
                  <c:v>1794.6094420600857</c:v>
                </c:pt>
                <c:pt idx="81">
                  <c:v>1785.3905579399141</c:v>
                </c:pt>
                <c:pt idx="82">
                  <c:v>1803.8283261802574</c:v>
                </c:pt>
                <c:pt idx="83">
                  <c:v>1809.9742489270386</c:v>
                </c:pt>
                <c:pt idx="84">
                  <c:v>1793.0729613733904</c:v>
                </c:pt>
                <c:pt idx="85">
                  <c:v>1777.7081545064377</c:v>
                </c:pt>
                <c:pt idx="86">
                  <c:v>1762.343347639485</c:v>
                </c:pt>
                <c:pt idx="87">
                  <c:v>1779.244635193133</c:v>
                </c:pt>
                <c:pt idx="88">
                  <c:v>1782.3175965665237</c:v>
                </c:pt>
                <c:pt idx="89">
                  <c:v>1820.7296137339056</c:v>
                </c:pt>
                <c:pt idx="90">
                  <c:v>1817.656652360515</c:v>
                </c:pt>
                <c:pt idx="91">
                  <c:v>1823.802575107296</c:v>
                </c:pt>
                <c:pt idx="92">
                  <c:v>1854.5321888412016</c:v>
                </c:pt>
                <c:pt idx="93">
                  <c:v>1839.1673819742489</c:v>
                </c:pt>
                <c:pt idx="94">
                  <c:v>1883.7253218884121</c:v>
                </c:pt>
                <c:pt idx="95">
                  <c:v>1900.62660944206</c:v>
                </c:pt>
                <c:pt idx="96">
                  <c:v>1900.62660944206</c:v>
                </c:pt>
                <c:pt idx="97">
                  <c:v>1909.8454935622317</c:v>
                </c:pt>
                <c:pt idx="98">
                  <c:v>1846.8497854077252</c:v>
                </c:pt>
                <c:pt idx="99">
                  <c:v>1859.1416309012875</c:v>
                </c:pt>
                <c:pt idx="100">
                  <c:v>1860.6781115879828</c:v>
                </c:pt>
                <c:pt idx="101">
                  <c:v>1831.4849785407725</c:v>
                </c:pt>
                <c:pt idx="102">
                  <c:v>1836.0944206008583</c:v>
                </c:pt>
                <c:pt idx="103">
                  <c:v>1813.0472103004292</c:v>
                </c:pt>
                <c:pt idx="104">
                  <c:v>1805.3648068669527</c:v>
                </c:pt>
                <c:pt idx="105">
                  <c:v>1770.0257510729614</c:v>
                </c:pt>
                <c:pt idx="106">
                  <c:v>1811.5107296137339</c:v>
                </c:pt>
                <c:pt idx="107">
                  <c:v>1808.4377682403433</c:v>
                </c:pt>
                <c:pt idx="108">
                  <c:v>1849.9227467811158</c:v>
                </c:pt>
                <c:pt idx="109">
                  <c:v>1899.0901287553647</c:v>
                </c:pt>
                <c:pt idx="110">
                  <c:v>1900.62660944206</c:v>
                </c:pt>
                <c:pt idx="111">
                  <c:v>1892.9442060085837</c:v>
                </c:pt>
                <c:pt idx="112">
                  <c:v>1896.0171673819741</c:v>
                </c:pt>
                <c:pt idx="113">
                  <c:v>1925.2103004291846</c:v>
                </c:pt>
                <c:pt idx="114">
                  <c:v>1935.9656652360516</c:v>
                </c:pt>
                <c:pt idx="115">
                  <c:v>1912.9184549356223</c:v>
                </c:pt>
                <c:pt idx="116">
                  <c:v>1925.2103004291846</c:v>
                </c:pt>
                <c:pt idx="117">
                  <c:v>1911.381974248927</c:v>
                </c:pt>
                <c:pt idx="118">
                  <c:v>1843.7768240343348</c:v>
                </c:pt>
                <c:pt idx="119">
                  <c:v>1851.4592274678112</c:v>
                </c:pt>
                <c:pt idx="120">
                  <c:v>1851.4592274678112</c:v>
                </c:pt>
                <c:pt idx="121">
                  <c:v>1860.6781115879828</c:v>
                </c:pt>
                <c:pt idx="122">
                  <c:v>1863.7510729613734</c:v>
                </c:pt>
                <c:pt idx="123">
                  <c:v>1856.0686695278969</c:v>
                </c:pt>
                <c:pt idx="124">
                  <c:v>1883.7253218884121</c:v>
                </c:pt>
                <c:pt idx="125">
                  <c:v>1889.8712446351931</c:v>
                </c:pt>
                <c:pt idx="126">
                  <c:v>1880.6523605150214</c:v>
                </c:pt>
                <c:pt idx="127">
                  <c:v>1920.6008583690987</c:v>
                </c:pt>
                <c:pt idx="128">
                  <c:v>1980.5236051502145</c:v>
                </c:pt>
                <c:pt idx="129">
                  <c:v>1962.0858369098712</c:v>
                </c:pt>
                <c:pt idx="130">
                  <c:v>1945.1845493562232</c:v>
                </c:pt>
                <c:pt idx="131">
                  <c:v>1959.0128755364806</c:v>
                </c:pt>
                <c:pt idx="132">
                  <c:v>1982.0600858369098</c:v>
                </c:pt>
                <c:pt idx="133">
                  <c:v>1957.4763948497853</c:v>
                </c:pt>
                <c:pt idx="134">
                  <c:v>1954.4034334763949</c:v>
                </c:pt>
                <c:pt idx="135">
                  <c:v>1983.5965665236051</c:v>
                </c:pt>
                <c:pt idx="136">
                  <c:v>1960.5493562231759</c:v>
                </c:pt>
                <c:pt idx="137">
                  <c:v>1940.5751072961373</c:v>
                </c:pt>
                <c:pt idx="138">
                  <c:v>1971.3047210300429</c:v>
                </c:pt>
                <c:pt idx="139">
                  <c:v>1954.4034334763949</c:v>
                </c:pt>
                <c:pt idx="140">
                  <c:v>1969.7682403433475</c:v>
                </c:pt>
                <c:pt idx="141">
                  <c:v>1977.4506437768239</c:v>
                </c:pt>
                <c:pt idx="142">
                  <c:v>1977.4506437768239</c:v>
                </c:pt>
                <c:pt idx="143">
                  <c:v>1986.6695278969958</c:v>
                </c:pt>
                <c:pt idx="144">
                  <c:v>1974.3776824034335</c:v>
                </c:pt>
                <c:pt idx="145">
                  <c:v>1942.1115879828326</c:v>
                </c:pt>
                <c:pt idx="146">
                  <c:v>1972.8412017167382</c:v>
                </c:pt>
                <c:pt idx="147">
                  <c:v>1951.3304721030042</c:v>
                </c:pt>
                <c:pt idx="148">
                  <c:v>1929.8197424892703</c:v>
                </c:pt>
                <c:pt idx="149">
                  <c:v>1917.527896995708</c:v>
                </c:pt>
                <c:pt idx="150">
                  <c:v>1951.3304721030042</c:v>
                </c:pt>
                <c:pt idx="151">
                  <c:v>1955.9399141630902</c:v>
                </c:pt>
                <c:pt idx="152">
                  <c:v>1915.9914163090127</c:v>
                </c:pt>
                <c:pt idx="153">
                  <c:v>2052.7381974248929</c:v>
                </c:pt>
                <c:pt idx="154">
                  <c:v>2089.6137339055795</c:v>
                </c:pt>
                <c:pt idx="155">
                  <c:v>2135.7081545064375</c:v>
                </c:pt>
                <c:pt idx="156">
                  <c:v>2169.5107296137339</c:v>
                </c:pt>
                <c:pt idx="157">
                  <c:v>2148</c:v>
                </c:pt>
                <c:pt idx="158">
                  <c:v>2149.5364806866951</c:v>
                </c:pt>
                <c:pt idx="159">
                  <c:v>2267.8454935622317</c:v>
                </c:pt>
                <c:pt idx="160">
                  <c:v>2283.2103004291844</c:v>
                </c:pt>
                <c:pt idx="161">
                  <c:v>2267.8454935622317</c:v>
                </c:pt>
                <c:pt idx="162">
                  <c:v>2258.6266094420598</c:v>
                </c:pt>
                <c:pt idx="163">
                  <c:v>2261.6995708154504</c:v>
                </c:pt>
                <c:pt idx="164">
                  <c:v>2287.8197424892705</c:v>
                </c:pt>
                <c:pt idx="165">
                  <c:v>2254.0171673819741</c:v>
                </c:pt>
                <c:pt idx="166">
                  <c:v>2241.7253218884121</c:v>
                </c:pt>
                <c:pt idx="167">
                  <c:v>2220.2145922746781</c:v>
                </c:pt>
                <c:pt idx="168">
                  <c:v>2243.2618025751071</c:v>
                </c:pt>
                <c:pt idx="169">
                  <c:v>2232.5064377682402</c:v>
                </c:pt>
                <c:pt idx="170">
                  <c:v>2267.8454935622317</c:v>
                </c:pt>
                <c:pt idx="171">
                  <c:v>2280.1373390557937</c:v>
                </c:pt>
                <c:pt idx="172">
                  <c:v>2309.330472103004</c:v>
                </c:pt>
                <c:pt idx="173">
                  <c:v>2289.3562231759656</c:v>
                </c:pt>
                <c:pt idx="174">
                  <c:v>2295.5021459227469</c:v>
                </c:pt>
                <c:pt idx="175">
                  <c:v>2283.2103004291844</c:v>
                </c:pt>
                <c:pt idx="176">
                  <c:v>2340.0600858369098</c:v>
                </c:pt>
                <c:pt idx="177">
                  <c:v>2272.4549356223174</c:v>
                </c:pt>
                <c:pt idx="178">
                  <c:v>2257.0901287553647</c:v>
                </c:pt>
                <c:pt idx="179">
                  <c:v>2318.5493562231759</c:v>
                </c:pt>
                <c:pt idx="180">
                  <c:v>2373.8626609442058</c:v>
                </c:pt>
                <c:pt idx="181">
                  <c:v>2301.6480686695277</c:v>
                </c:pt>
                <c:pt idx="182">
                  <c:v>2364.6437768240344</c:v>
                </c:pt>
                <c:pt idx="183">
                  <c:v>2443.0042918454933</c:v>
                </c:pt>
                <c:pt idx="184">
                  <c:v>2455.2961373390558</c:v>
                </c:pt>
                <c:pt idx="185">
                  <c:v>2470.6609442060085</c:v>
                </c:pt>
                <c:pt idx="186">
                  <c:v>2470.6609442060085</c:v>
                </c:pt>
                <c:pt idx="187">
                  <c:v>2453.7596566523603</c:v>
                </c:pt>
                <c:pt idx="188">
                  <c:v>2435.321888412017</c:v>
                </c:pt>
                <c:pt idx="189">
                  <c:v>2472.197424892704</c:v>
                </c:pt>
                <c:pt idx="190">
                  <c:v>2452.2231759656652</c:v>
                </c:pt>
                <c:pt idx="191">
                  <c:v>2424.56652360515</c:v>
                </c:pt>
                <c:pt idx="192">
                  <c:v>2478.3433476394848</c:v>
                </c:pt>
                <c:pt idx="193">
                  <c:v>2479.8798283261804</c:v>
                </c:pt>
                <c:pt idx="194">
                  <c:v>2479.8798283261804</c:v>
                </c:pt>
                <c:pt idx="195">
                  <c:v>2473.7339055793991</c:v>
                </c:pt>
                <c:pt idx="196">
                  <c:v>2456.8326180257509</c:v>
                </c:pt>
                <c:pt idx="197">
                  <c:v>2467.5879828326179</c:v>
                </c:pt>
                <c:pt idx="198">
                  <c:v>2466.0515021459228</c:v>
                </c:pt>
                <c:pt idx="199">
                  <c:v>2392.3004291845491</c:v>
                </c:pt>
                <c:pt idx="200">
                  <c:v>2366.1802575107295</c:v>
                </c:pt>
                <c:pt idx="201">
                  <c:v>2356.961373390558</c:v>
                </c:pt>
                <c:pt idx="202">
                  <c:v>2395.3733905579397</c:v>
                </c:pt>
                <c:pt idx="203">
                  <c:v>2466.0515021459228</c:v>
                </c:pt>
                <c:pt idx="204">
                  <c:v>2473.7339055793991</c:v>
                </c:pt>
                <c:pt idx="205">
                  <c:v>2504.4635193133045</c:v>
                </c:pt>
                <c:pt idx="206">
                  <c:v>2495.244635193133</c:v>
                </c:pt>
                <c:pt idx="207">
                  <c:v>2552.0944206008585</c:v>
                </c:pt>
                <c:pt idx="208">
                  <c:v>2506</c:v>
                </c:pt>
                <c:pt idx="209">
                  <c:v>2478.3433476394848</c:v>
                </c:pt>
                <c:pt idx="210">
                  <c:v>2470.6609442060085</c:v>
                </c:pt>
                <c:pt idx="211">
                  <c:v>2475.2703862660942</c:v>
                </c:pt>
                <c:pt idx="212">
                  <c:v>2492.1716738197424</c:v>
                </c:pt>
                <c:pt idx="213">
                  <c:v>2582.8240343347638</c:v>
                </c:pt>
                <c:pt idx="214">
                  <c:v>2662.7210300429183</c:v>
                </c:pt>
                <c:pt idx="215">
                  <c:v>2607.4077253218884</c:v>
                </c:pt>
                <c:pt idx="216">
                  <c:v>2613.5536480686696</c:v>
                </c:pt>
                <c:pt idx="217">
                  <c:v>2595.1158798283259</c:v>
                </c:pt>
                <c:pt idx="218">
                  <c:v>2573.6051502145924</c:v>
                </c:pt>
                <c:pt idx="219">
                  <c:v>2535.1931330472103</c:v>
                </c:pt>
                <c:pt idx="220">
                  <c:v>2564.3862660944205</c:v>
                </c:pt>
                <c:pt idx="221">
                  <c:v>2561.3133047210299</c:v>
                </c:pt>
                <c:pt idx="222">
                  <c:v>2498.3175965665237</c:v>
                </c:pt>
                <c:pt idx="223">
                  <c:v>2481.4163090128754</c:v>
                </c:pt>
                <c:pt idx="224">
                  <c:v>2499.8540772532187</c:v>
                </c:pt>
                <c:pt idx="225">
                  <c:v>2502.9270386266094</c:v>
                </c:pt>
                <c:pt idx="226">
                  <c:v>2456.8326180257509</c:v>
                </c:pt>
                <c:pt idx="227">
                  <c:v>2481.4163090128754</c:v>
                </c:pt>
                <c:pt idx="228">
                  <c:v>2486.0257510729612</c:v>
                </c:pt>
                <c:pt idx="229">
                  <c:v>2464.5150214592272</c:v>
                </c:pt>
                <c:pt idx="230">
                  <c:v>2482.9527896995705</c:v>
                </c:pt>
                <c:pt idx="231">
                  <c:v>2515.2188841201714</c:v>
                </c:pt>
                <c:pt idx="232">
                  <c:v>2466.0515021459228</c:v>
                </c:pt>
                <c:pt idx="233">
                  <c:v>2446.0772532188839</c:v>
                </c:pt>
                <c:pt idx="234">
                  <c:v>2392.3004291845491</c:v>
                </c:pt>
                <c:pt idx="235">
                  <c:v>2429.1759656652362</c:v>
                </c:pt>
                <c:pt idx="236">
                  <c:v>2452.2231759656652</c:v>
                </c:pt>
                <c:pt idx="237">
                  <c:v>2352.3519313304719</c:v>
                </c:pt>
                <c:pt idx="238">
                  <c:v>2303.1845493562232</c:v>
                </c:pt>
                <c:pt idx="239">
                  <c:v>2427.6394849785406</c:v>
                </c:pt>
                <c:pt idx="240">
                  <c:v>2481.4163090128754</c:v>
                </c:pt>
                <c:pt idx="241">
                  <c:v>2506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43782</c:v>
                </c:pt>
                <c:pt idx="1">
                  <c:v>43782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43789</c:v>
                </c:pt>
                <c:pt idx="1">
                  <c:v>43789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3082.1802575107295"/>
          <c:min val="1759.270386266094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-20370</c:v>
                </c:pt>
                <c:pt idx="1">
                  <c:v>-13970</c:v>
                </c:pt>
                <c:pt idx="2">
                  <c:v>-17970</c:v>
                </c:pt>
                <c:pt idx="3">
                  <c:v>-23970</c:v>
                </c:pt>
                <c:pt idx="4">
                  <c:v>-28770</c:v>
                </c:pt>
                <c:pt idx="5">
                  <c:v>-29570</c:v>
                </c:pt>
                <c:pt idx="6">
                  <c:v>-41570</c:v>
                </c:pt>
                <c:pt idx="7">
                  <c:v>-39970</c:v>
                </c:pt>
                <c:pt idx="8">
                  <c:v>-34770</c:v>
                </c:pt>
                <c:pt idx="9">
                  <c:v>-43570</c:v>
                </c:pt>
                <c:pt idx="10">
                  <c:v>-34770</c:v>
                </c:pt>
                <c:pt idx="11">
                  <c:v>-23570</c:v>
                </c:pt>
                <c:pt idx="12">
                  <c:v>-9570</c:v>
                </c:pt>
                <c:pt idx="13">
                  <c:v>-4370</c:v>
                </c:pt>
                <c:pt idx="14">
                  <c:v>-1970</c:v>
                </c:pt>
                <c:pt idx="15">
                  <c:v>16430</c:v>
                </c:pt>
                <c:pt idx="16">
                  <c:v>18030</c:v>
                </c:pt>
                <c:pt idx="17">
                  <c:v>19230</c:v>
                </c:pt>
                <c:pt idx="18">
                  <c:v>29230</c:v>
                </c:pt>
                <c:pt idx="19">
                  <c:v>19230</c:v>
                </c:pt>
                <c:pt idx="20">
                  <c:v>26830</c:v>
                </c:pt>
                <c:pt idx="21">
                  <c:v>24830</c:v>
                </c:pt>
                <c:pt idx="22">
                  <c:v>25630</c:v>
                </c:pt>
                <c:pt idx="23">
                  <c:v>7230</c:v>
                </c:pt>
                <c:pt idx="24">
                  <c:v>20830</c:v>
                </c:pt>
                <c:pt idx="25">
                  <c:v>22430</c:v>
                </c:pt>
                <c:pt idx="26">
                  <c:v>32430</c:v>
                </c:pt>
                <c:pt idx="27">
                  <c:v>8830</c:v>
                </c:pt>
                <c:pt idx="28">
                  <c:v>-5170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465999</c:v>
                </c:pt>
                <c:pt idx="1">
                  <c:v>465999</c:v>
                </c:pt>
                <c:pt idx="2">
                  <c:v>465299</c:v>
                </c:pt>
                <c:pt idx="3">
                  <c:v>465999</c:v>
                </c:pt>
                <c:pt idx="4">
                  <c:v>465299</c:v>
                </c:pt>
                <c:pt idx="5">
                  <c:v>464599</c:v>
                </c:pt>
                <c:pt idx="6">
                  <c:v>465299</c:v>
                </c:pt>
                <c:pt idx="7">
                  <c:v>463899</c:v>
                </c:pt>
                <c:pt idx="8">
                  <c:v>463199</c:v>
                </c:pt>
                <c:pt idx="9">
                  <c:v>463899</c:v>
                </c:pt>
                <c:pt idx="10">
                  <c:v>463199</c:v>
                </c:pt>
                <c:pt idx="11">
                  <c:v>463199</c:v>
                </c:pt>
                <c:pt idx="12">
                  <c:v>463899</c:v>
                </c:pt>
                <c:pt idx="13">
                  <c:v>463899</c:v>
                </c:pt>
                <c:pt idx="14">
                  <c:v>463899</c:v>
                </c:pt>
                <c:pt idx="15">
                  <c:v>463899</c:v>
                </c:pt>
                <c:pt idx="16">
                  <c:v>463899</c:v>
                </c:pt>
                <c:pt idx="17">
                  <c:v>463899</c:v>
                </c:pt>
                <c:pt idx="18">
                  <c:v>463199</c:v>
                </c:pt>
                <c:pt idx="19">
                  <c:v>463199</c:v>
                </c:pt>
                <c:pt idx="20">
                  <c:v>463199</c:v>
                </c:pt>
                <c:pt idx="21">
                  <c:v>464599</c:v>
                </c:pt>
                <c:pt idx="22">
                  <c:v>463199</c:v>
                </c:pt>
                <c:pt idx="23">
                  <c:v>208399</c:v>
                </c:pt>
                <c:pt idx="24">
                  <c:v>-1600.9999999999936</c:v>
                </c:pt>
                <c:pt idx="25">
                  <c:v>-19100.999999999993</c:v>
                </c:pt>
                <c:pt idx="26">
                  <c:v>-22600.999999999993</c:v>
                </c:pt>
                <c:pt idx="27">
                  <c:v>-14900.999999999993</c:v>
                </c:pt>
                <c:pt idx="28">
                  <c:v>-1600.9999999999936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445629</c:v>
                </c:pt>
                <c:pt idx="1">
                  <c:v>452029</c:v>
                </c:pt>
                <c:pt idx="2">
                  <c:v>447329</c:v>
                </c:pt>
                <c:pt idx="3">
                  <c:v>442029</c:v>
                </c:pt>
                <c:pt idx="4">
                  <c:v>436529</c:v>
                </c:pt>
                <c:pt idx="5">
                  <c:v>435029</c:v>
                </c:pt>
                <c:pt idx="6">
                  <c:v>423729</c:v>
                </c:pt>
                <c:pt idx="7">
                  <c:v>423929</c:v>
                </c:pt>
                <c:pt idx="8">
                  <c:v>428429</c:v>
                </c:pt>
                <c:pt idx="9">
                  <c:v>420329</c:v>
                </c:pt>
                <c:pt idx="10">
                  <c:v>428429</c:v>
                </c:pt>
                <c:pt idx="11">
                  <c:v>439629</c:v>
                </c:pt>
                <c:pt idx="12">
                  <c:v>454329</c:v>
                </c:pt>
                <c:pt idx="13">
                  <c:v>459529</c:v>
                </c:pt>
                <c:pt idx="14">
                  <c:v>461929</c:v>
                </c:pt>
                <c:pt idx="15">
                  <c:v>480329</c:v>
                </c:pt>
                <c:pt idx="16">
                  <c:v>481929</c:v>
                </c:pt>
                <c:pt idx="17">
                  <c:v>483129</c:v>
                </c:pt>
                <c:pt idx="18">
                  <c:v>492429</c:v>
                </c:pt>
                <c:pt idx="19">
                  <c:v>482429</c:v>
                </c:pt>
                <c:pt idx="20">
                  <c:v>490029</c:v>
                </c:pt>
                <c:pt idx="21">
                  <c:v>489429</c:v>
                </c:pt>
                <c:pt idx="22">
                  <c:v>488829</c:v>
                </c:pt>
                <c:pt idx="23">
                  <c:v>215629</c:v>
                </c:pt>
                <c:pt idx="24">
                  <c:v>19229.000000000007</c:v>
                </c:pt>
                <c:pt idx="25">
                  <c:v>3329.0000000000073</c:v>
                </c:pt>
                <c:pt idx="26">
                  <c:v>9829.0000000000073</c:v>
                </c:pt>
                <c:pt idx="27">
                  <c:v>-6070.9999999999927</c:v>
                </c:pt>
                <c:pt idx="28">
                  <c:v>-6770.9999999999936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43782</c:v>
                </c:pt>
                <c:pt idx="1">
                  <c:v>43782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43789</c:v>
                </c:pt>
                <c:pt idx="1">
                  <c:v>43789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0.79690790477558304</c:v>
                </c:pt>
                <c:pt idx="1">
                  <c:v>0.79387212202878099</c:v>
                </c:pt>
                <c:pt idx="2">
                  <c:v>0.79031838840747104</c:v>
                </c:pt>
                <c:pt idx="3">
                  <c:v>0.78569263829264102</c:v>
                </c:pt>
                <c:pt idx="4">
                  <c:v>0.78020271928701201</c:v>
                </c:pt>
                <c:pt idx="5">
                  <c:v>0.77227524371806899</c:v>
                </c:pt>
                <c:pt idx="6">
                  <c:v>0.76300474141646701</c:v>
                </c:pt>
                <c:pt idx="7">
                  <c:v>0.75274380277723496</c:v>
                </c:pt>
                <c:pt idx="8">
                  <c:v>0.74168569729016998</c:v>
                </c:pt>
                <c:pt idx="9">
                  <c:v>0.72686278435564899</c:v>
                </c:pt>
                <c:pt idx="10">
                  <c:v>0.71088703372332396</c:v>
                </c:pt>
                <c:pt idx="11">
                  <c:v>0.696540698384845</c:v>
                </c:pt>
                <c:pt idx="12">
                  <c:v>0.68319491474929495</c:v>
                </c:pt>
                <c:pt idx="13">
                  <c:v>0.669291415631039</c:v>
                </c:pt>
                <c:pt idx="14">
                  <c:v>0.65484038855599502</c:v>
                </c:pt>
                <c:pt idx="15">
                  <c:v>0.649154505464837</c:v>
                </c:pt>
                <c:pt idx="16">
                  <c:v>0.64083404901418595</c:v>
                </c:pt>
                <c:pt idx="17">
                  <c:v>0.63274931349497998</c:v>
                </c:pt>
                <c:pt idx="18">
                  <c:v>0.63055117897013702</c:v>
                </c:pt>
                <c:pt idx="19">
                  <c:v>0.62666322145314401</c:v>
                </c:pt>
                <c:pt idx="20">
                  <c:v>0.63457814340694396</c:v>
                </c:pt>
                <c:pt idx="21">
                  <c:v>0.66795311407948699</c:v>
                </c:pt>
                <c:pt idx="22">
                  <c:v>0.83466977721504299</c:v>
                </c:pt>
                <c:pt idx="23">
                  <c:v>0.92040260375345195</c:v>
                </c:pt>
                <c:pt idx="24">
                  <c:v>0.91819505286817105</c:v>
                </c:pt>
                <c:pt idx="25">
                  <c:v>0.91904056149805302</c:v>
                </c:pt>
                <c:pt idx="26">
                  <c:v>0.92040347315153204</c:v>
                </c:pt>
                <c:pt idx="27">
                  <c:v>0.92117488934413905</c:v>
                </c:pt>
                <c:pt idx="28">
                  <c:v>0.91898532408466704</c:v>
                </c:pt>
                <c:pt idx="29">
                  <c:v>0.91185176368440202</c:v>
                </c:pt>
                <c:pt idx="30">
                  <c:v>0.90097889598992198</c:v>
                </c:pt>
                <c:pt idx="31">
                  <c:v>0.89103658665391605</c:v>
                </c:pt>
                <c:pt idx="32">
                  <c:v>0.87927501652817897</c:v>
                </c:pt>
                <c:pt idx="33">
                  <c:v>0.85987604240138305</c:v>
                </c:pt>
                <c:pt idx="34">
                  <c:v>0.84060706031471399</c:v>
                </c:pt>
                <c:pt idx="35">
                  <c:v>0.829025234987951</c:v>
                </c:pt>
                <c:pt idx="36">
                  <c:v>0.81450036987035501</c:v>
                </c:pt>
                <c:pt idx="37">
                  <c:v>0.79938305017950695</c:v>
                </c:pt>
                <c:pt idx="38">
                  <c:v>0.77582029971456201</c:v>
                </c:pt>
                <c:pt idx="39">
                  <c:v>0.75669404235278603</c:v>
                </c:pt>
                <c:pt idx="40">
                  <c:v>0.73938847020214604</c:v>
                </c:pt>
                <c:pt idx="41">
                  <c:v>0.70968298207944602</c:v>
                </c:pt>
                <c:pt idx="42">
                  <c:v>0.67115626902554004</c:v>
                </c:pt>
                <c:pt idx="43">
                  <c:v>0.64092099262846802</c:v>
                </c:pt>
                <c:pt idx="44">
                  <c:v>0.58655923789943099</c:v>
                </c:pt>
                <c:pt idx="45">
                  <c:v>0.53327039965357803</c:v>
                </c:pt>
                <c:pt idx="46">
                  <c:v>0.48710920249253897</c:v>
                </c:pt>
                <c:pt idx="47">
                  <c:v>0.46898497085579999</c:v>
                </c:pt>
                <c:pt idx="48">
                  <c:v>0.48585447872674398</c:v>
                </c:pt>
                <c:pt idx="49">
                  <c:v>0.50963102670036198</c:v>
                </c:pt>
                <c:pt idx="50">
                  <c:v>0.521488139282555</c:v>
                </c:pt>
                <c:pt idx="51">
                  <c:v>0.53593785204754796</c:v>
                </c:pt>
                <c:pt idx="52">
                  <c:v>0.56097871677543099</c:v>
                </c:pt>
                <c:pt idx="53">
                  <c:v>0.58437535943165497</c:v>
                </c:pt>
                <c:pt idx="54">
                  <c:v>0.59635873073079204</c:v>
                </c:pt>
                <c:pt idx="55">
                  <c:v>0.61203549341562302</c:v>
                </c:pt>
                <c:pt idx="56">
                  <c:v>0.62549358117292697</c:v>
                </c:pt>
                <c:pt idx="57">
                  <c:v>0.61986852520068902</c:v>
                </c:pt>
                <c:pt idx="58">
                  <c:v>0.61937472095621904</c:v>
                </c:pt>
                <c:pt idx="59">
                  <c:v>0.629132074321748</c:v>
                </c:pt>
                <c:pt idx="60">
                  <c:v>0.64006469397639298</c:v>
                </c:pt>
                <c:pt idx="61">
                  <c:v>0.64814261328987999</c:v>
                </c:pt>
                <c:pt idx="62">
                  <c:v>0.659834474244688</c:v>
                </c:pt>
                <c:pt idx="63">
                  <c:v>0.67086391580011495</c:v>
                </c:pt>
                <c:pt idx="64">
                  <c:v>0.68002698794035499</c:v>
                </c:pt>
                <c:pt idx="65">
                  <c:v>0.71009906383078603</c:v>
                </c:pt>
                <c:pt idx="66">
                  <c:v>0.72842962012930701</c:v>
                </c:pt>
                <c:pt idx="67">
                  <c:v>0.749827650726136</c:v>
                </c:pt>
                <c:pt idx="68">
                  <c:v>0.769377556322695</c:v>
                </c:pt>
                <c:pt idx="69">
                  <c:v>0.77334267358673403</c:v>
                </c:pt>
                <c:pt idx="70">
                  <c:v>0.77293482640036404</c:v>
                </c:pt>
                <c:pt idx="71">
                  <c:v>0.76952021420472905</c:v>
                </c:pt>
                <c:pt idx="72">
                  <c:v>0.76401205090375801</c:v>
                </c:pt>
                <c:pt idx="73">
                  <c:v>0.75881933242535604</c:v>
                </c:pt>
                <c:pt idx="74">
                  <c:v>0.74843894939170497</c:v>
                </c:pt>
                <c:pt idx="75">
                  <c:v>0.73763799840003796</c:v>
                </c:pt>
                <c:pt idx="76">
                  <c:v>0.73319009093089904</c:v>
                </c:pt>
                <c:pt idx="77">
                  <c:v>0.71858996335730696</c:v>
                </c:pt>
                <c:pt idx="78">
                  <c:v>0.70550904267134995</c:v>
                </c:pt>
                <c:pt idx="79">
                  <c:v>0.69042146088188305</c:v>
                </c:pt>
                <c:pt idx="80">
                  <c:v>0.67765439118621995</c:v>
                </c:pt>
                <c:pt idx="81">
                  <c:v>0.66683015302636195</c:v>
                </c:pt>
                <c:pt idx="82">
                  <c:v>0.66126190992239098</c:v>
                </c:pt>
                <c:pt idx="83">
                  <c:v>0.65555832710572204</c:v>
                </c:pt>
                <c:pt idx="84">
                  <c:v>0.64530897462090497</c:v>
                </c:pt>
                <c:pt idx="85">
                  <c:v>0.62416625628439404</c:v>
                </c:pt>
                <c:pt idx="86">
                  <c:v>0.59016778946977799</c:v>
                </c:pt>
                <c:pt idx="87">
                  <c:v>0.55975108522865602</c:v>
                </c:pt>
                <c:pt idx="88">
                  <c:v>0.52673395215156804</c:v>
                </c:pt>
                <c:pt idx="89">
                  <c:v>0.54956458627069105</c:v>
                </c:pt>
                <c:pt idx="90">
                  <c:v>0.56027606096652205</c:v>
                </c:pt>
                <c:pt idx="91">
                  <c:v>0.608651779690911</c:v>
                </c:pt>
                <c:pt idx="92">
                  <c:v>0.69191659880324097</c:v>
                </c:pt>
                <c:pt idx="93">
                  <c:v>0.70551896394261004</c:v>
                </c:pt>
                <c:pt idx="94">
                  <c:v>0.73392233496578496</c:v>
                </c:pt>
                <c:pt idx="95">
                  <c:v>0.73731810866329395</c:v>
                </c:pt>
                <c:pt idx="96">
                  <c:v>0.738579875258911</c:v>
                </c:pt>
                <c:pt idx="97">
                  <c:v>0.74501582744634698</c:v>
                </c:pt>
                <c:pt idx="98">
                  <c:v>0.73986750114334399</c:v>
                </c:pt>
                <c:pt idx="99">
                  <c:v>0.73677161433577798</c:v>
                </c:pt>
                <c:pt idx="100">
                  <c:v>0.77679257567684601</c:v>
                </c:pt>
                <c:pt idx="101">
                  <c:v>0.80211368384673298</c:v>
                </c:pt>
                <c:pt idx="102">
                  <c:v>0.81231791661767205</c:v>
                </c:pt>
                <c:pt idx="103">
                  <c:v>0.82857215517228</c:v>
                </c:pt>
                <c:pt idx="104">
                  <c:v>0.84010901070521304</c:v>
                </c:pt>
                <c:pt idx="105">
                  <c:v>0.84611187925828901</c:v>
                </c:pt>
                <c:pt idx="106">
                  <c:v>0.85649202666562096</c:v>
                </c:pt>
                <c:pt idx="107">
                  <c:v>0.86453937808835901</c:v>
                </c:pt>
                <c:pt idx="108">
                  <c:v>0.88346479803399502</c:v>
                </c:pt>
                <c:pt idx="109">
                  <c:v>0.88802160975038102</c:v>
                </c:pt>
                <c:pt idx="110">
                  <c:v>0.891104220581457</c:v>
                </c:pt>
                <c:pt idx="111">
                  <c:v>0.89209558255338395</c:v>
                </c:pt>
                <c:pt idx="112">
                  <c:v>0.89891527631212498</c:v>
                </c:pt>
                <c:pt idx="113">
                  <c:v>0.90758257187069302</c:v>
                </c:pt>
                <c:pt idx="114">
                  <c:v>0.91511246766236998</c:v>
                </c:pt>
                <c:pt idx="115">
                  <c:v>0.91921326410526905</c:v>
                </c:pt>
                <c:pt idx="116">
                  <c:v>0.92275935004874399</c:v>
                </c:pt>
                <c:pt idx="117">
                  <c:v>0.92474356235914601</c:v>
                </c:pt>
                <c:pt idx="118">
                  <c:v>0.92931799670043003</c:v>
                </c:pt>
                <c:pt idx="119">
                  <c:v>0.92943565553470697</c:v>
                </c:pt>
                <c:pt idx="120">
                  <c:v>0.92961235561369304</c:v>
                </c:pt>
                <c:pt idx="121">
                  <c:v>0.92904527759067501</c:v>
                </c:pt>
                <c:pt idx="122">
                  <c:v>0.92752463700260901</c:v>
                </c:pt>
                <c:pt idx="123">
                  <c:v>0.92802044929132999</c:v>
                </c:pt>
                <c:pt idx="124">
                  <c:v>0.92721766991809396</c:v>
                </c:pt>
                <c:pt idx="125">
                  <c:v>0.93011647620828497</c:v>
                </c:pt>
                <c:pt idx="126">
                  <c:v>0.93095392126683296</c:v>
                </c:pt>
                <c:pt idx="127">
                  <c:v>0.93165923171157905</c:v>
                </c:pt>
                <c:pt idx="128">
                  <c:v>0.93123882732720697</c:v>
                </c:pt>
                <c:pt idx="129">
                  <c:v>0.93098869331298495</c:v>
                </c:pt>
                <c:pt idx="130">
                  <c:v>0.933353849627787</c:v>
                </c:pt>
                <c:pt idx="131">
                  <c:v>0.93477356779864396</c:v>
                </c:pt>
                <c:pt idx="132">
                  <c:v>0.93351498357664697</c:v>
                </c:pt>
                <c:pt idx="133">
                  <c:v>0.93157767590472096</c:v>
                </c:pt>
                <c:pt idx="134">
                  <c:v>0.929651490724969</c:v>
                </c:pt>
                <c:pt idx="135">
                  <c:v>0.92837131894360003</c:v>
                </c:pt>
                <c:pt idx="136">
                  <c:v>0.92860781741732101</c:v>
                </c:pt>
                <c:pt idx="137">
                  <c:v>0.92913073178416905</c:v>
                </c:pt>
                <c:pt idx="138">
                  <c:v>0.92988785786966399</c:v>
                </c:pt>
                <c:pt idx="139">
                  <c:v>0.92698000909465095</c:v>
                </c:pt>
                <c:pt idx="140">
                  <c:v>0.92571437222308295</c:v>
                </c:pt>
                <c:pt idx="141">
                  <c:v>0.92482008402584504</c:v>
                </c:pt>
                <c:pt idx="142">
                  <c:v>0.92550874954606699</c:v>
                </c:pt>
                <c:pt idx="143">
                  <c:v>0.92370848930052896</c:v>
                </c:pt>
                <c:pt idx="144">
                  <c:v>0.92040065832620499</c:v>
                </c:pt>
                <c:pt idx="145">
                  <c:v>0.91459348289664899</c:v>
                </c:pt>
                <c:pt idx="146">
                  <c:v>0.90784880976203197</c:v>
                </c:pt>
                <c:pt idx="147">
                  <c:v>0.90101425905547095</c:v>
                </c:pt>
                <c:pt idx="148">
                  <c:v>0.88018243436852595</c:v>
                </c:pt>
                <c:pt idx="149">
                  <c:v>0.86487206091543201</c:v>
                </c:pt>
                <c:pt idx="150">
                  <c:v>0.84564317560667002</c:v>
                </c:pt>
                <c:pt idx="151">
                  <c:v>0.80671659839816701</c:v>
                </c:pt>
                <c:pt idx="152">
                  <c:v>0.76210857455122005</c:v>
                </c:pt>
                <c:pt idx="153">
                  <c:v>0.73477941240882005</c:v>
                </c:pt>
                <c:pt idx="154">
                  <c:v>0.70617114042058704</c:v>
                </c:pt>
                <c:pt idx="155">
                  <c:v>0.69067462980203997</c:v>
                </c:pt>
                <c:pt idx="156">
                  <c:v>0.68387548054500802</c:v>
                </c:pt>
                <c:pt idx="157">
                  <c:v>0.69545187578532697</c:v>
                </c:pt>
                <c:pt idx="158">
                  <c:v>0.68488481139978097</c:v>
                </c:pt>
                <c:pt idx="159">
                  <c:v>0.67051634172739905</c:v>
                </c:pt>
                <c:pt idx="160">
                  <c:v>0.65728024831250398</c:v>
                </c:pt>
                <c:pt idx="161">
                  <c:v>0.64425839656192596</c:v>
                </c:pt>
                <c:pt idx="162">
                  <c:v>0.62867383725760995</c:v>
                </c:pt>
                <c:pt idx="163">
                  <c:v>0.61131998471206495</c:v>
                </c:pt>
                <c:pt idx="164">
                  <c:v>0.59341310871921604</c:v>
                </c:pt>
                <c:pt idx="165">
                  <c:v>0.56867440229160504</c:v>
                </c:pt>
                <c:pt idx="166">
                  <c:v>0.53600212504672395</c:v>
                </c:pt>
                <c:pt idx="167">
                  <c:v>0.48592545024178302</c:v>
                </c:pt>
                <c:pt idx="168">
                  <c:v>0.43486121063526101</c:v>
                </c:pt>
                <c:pt idx="169">
                  <c:v>0.34812187892500401</c:v>
                </c:pt>
                <c:pt idx="170">
                  <c:v>0.28225959047473698</c:v>
                </c:pt>
                <c:pt idx="171">
                  <c:v>0.232962824840589</c:v>
                </c:pt>
                <c:pt idx="172">
                  <c:v>0.18941622820985099</c:v>
                </c:pt>
                <c:pt idx="173">
                  <c:v>0.13970298555503499</c:v>
                </c:pt>
                <c:pt idx="174">
                  <c:v>0.110880217520927</c:v>
                </c:pt>
                <c:pt idx="175">
                  <c:v>8.1012965757974606E-2</c:v>
                </c:pt>
                <c:pt idx="176">
                  <c:v>7.7992693014431902E-2</c:v>
                </c:pt>
                <c:pt idx="177">
                  <c:v>1.2250760221650701E-2</c:v>
                </c:pt>
                <c:pt idx="178">
                  <c:v>-8.1344721641181797E-2</c:v>
                </c:pt>
                <c:pt idx="179">
                  <c:v>-9.8617073778205402E-2</c:v>
                </c:pt>
                <c:pt idx="180">
                  <c:v>-3.39159291395058E-2</c:v>
                </c:pt>
                <c:pt idx="181">
                  <c:v>0.130045475151879</c:v>
                </c:pt>
                <c:pt idx="182">
                  <c:v>0.343534414437353</c:v>
                </c:pt>
                <c:pt idx="183">
                  <c:v>0.366908818240266</c:v>
                </c:pt>
                <c:pt idx="184">
                  <c:v>0.364805471699368</c:v>
                </c:pt>
                <c:pt idx="185">
                  <c:v>0.36672668192614699</c:v>
                </c:pt>
                <c:pt idx="186">
                  <c:v>0.361563637255298</c:v>
                </c:pt>
                <c:pt idx="187">
                  <c:v>0.362550795033724</c:v>
                </c:pt>
                <c:pt idx="188">
                  <c:v>0.353518295585114</c:v>
                </c:pt>
                <c:pt idx="189">
                  <c:v>0.35847077903186803</c:v>
                </c:pt>
                <c:pt idx="190">
                  <c:v>0.341161366661967</c:v>
                </c:pt>
                <c:pt idx="191">
                  <c:v>0.32555176932879998</c:v>
                </c:pt>
                <c:pt idx="192">
                  <c:v>0.32603411476314098</c:v>
                </c:pt>
                <c:pt idx="193">
                  <c:v>0.32192825960981702</c:v>
                </c:pt>
                <c:pt idx="194">
                  <c:v>0.33212609051488601</c:v>
                </c:pt>
                <c:pt idx="195">
                  <c:v>0.34427308665342798</c:v>
                </c:pt>
                <c:pt idx="196">
                  <c:v>0.42697746520656399</c:v>
                </c:pt>
                <c:pt idx="197">
                  <c:v>0.49816440099217302</c:v>
                </c:pt>
                <c:pt idx="198">
                  <c:v>0.52643947064102403</c:v>
                </c:pt>
                <c:pt idx="199">
                  <c:v>0.57069075789816304</c:v>
                </c:pt>
                <c:pt idx="200">
                  <c:v>0.62333468282885096</c:v>
                </c:pt>
                <c:pt idx="201">
                  <c:v>0.66984673673626705</c:v>
                </c:pt>
                <c:pt idx="202">
                  <c:v>0.69239858293947698</c:v>
                </c:pt>
                <c:pt idx="203">
                  <c:v>0.69625398721286802</c:v>
                </c:pt>
                <c:pt idx="204">
                  <c:v>0.69778236142099603</c:v>
                </c:pt>
                <c:pt idx="205">
                  <c:v>0.69103862618226497</c:v>
                </c:pt>
                <c:pt idx="206">
                  <c:v>0.69235984679981399</c:v>
                </c:pt>
                <c:pt idx="207">
                  <c:v>0.67101476069138699</c:v>
                </c:pt>
                <c:pt idx="208">
                  <c:v>0.66690057049576601</c:v>
                </c:pt>
                <c:pt idx="209">
                  <c:v>0.66127045782040295</c:v>
                </c:pt>
                <c:pt idx="210">
                  <c:v>0.67076129755380998</c:v>
                </c:pt>
                <c:pt idx="211">
                  <c:v>0.68476505180365099</c:v>
                </c:pt>
                <c:pt idx="212">
                  <c:v>0.68358091375865504</c:v>
                </c:pt>
                <c:pt idx="213">
                  <c:v>0.67216332327333095</c:v>
                </c:pt>
                <c:pt idx="214">
                  <c:v>0.64667654645561501</c:v>
                </c:pt>
                <c:pt idx="215">
                  <c:v>0.64065089996270397</c:v>
                </c:pt>
                <c:pt idx="216">
                  <c:v>0.62595855567552805</c:v>
                </c:pt>
                <c:pt idx="217">
                  <c:v>0.63312045953409901</c:v>
                </c:pt>
                <c:pt idx="218">
                  <c:v>0.61145965931787505</c:v>
                </c:pt>
                <c:pt idx="219">
                  <c:v>0.61070115298445504</c:v>
                </c:pt>
                <c:pt idx="220">
                  <c:v>0.61570994235083998</c:v>
                </c:pt>
                <c:pt idx="221">
                  <c:v>0.61243740881522102</c:v>
                </c:pt>
                <c:pt idx="222">
                  <c:v>0.626683682745938</c:v>
                </c:pt>
                <c:pt idx="223">
                  <c:v>0.63549470575782496</c:v>
                </c:pt>
                <c:pt idx="224">
                  <c:v>0.66719476068818195</c:v>
                </c:pt>
                <c:pt idx="225">
                  <c:v>0.69095296029245401</c:v>
                </c:pt>
                <c:pt idx="226">
                  <c:v>0.71158435122596697</c:v>
                </c:pt>
                <c:pt idx="227">
                  <c:v>0.72614264866874501</c:v>
                </c:pt>
                <c:pt idx="228">
                  <c:v>0.73272701131013496</c:v>
                </c:pt>
                <c:pt idx="229">
                  <c:v>0.746463577332107</c:v>
                </c:pt>
                <c:pt idx="230">
                  <c:v>0.75689046917404801</c:v>
                </c:pt>
                <c:pt idx="231">
                  <c:v>0.77855709197546497</c:v>
                </c:pt>
                <c:pt idx="232">
                  <c:v>0.79282423103983002</c:v>
                </c:pt>
                <c:pt idx="233">
                  <c:v>0.79580625985835896</c:v>
                </c:pt>
                <c:pt idx="234">
                  <c:v>0.809963725138094</c:v>
                </c:pt>
                <c:pt idx="235">
                  <c:v>0.84707942124720503</c:v>
                </c:pt>
                <c:pt idx="236">
                  <c:v>0.85138507732425495</c:v>
                </c:pt>
                <c:pt idx="237">
                  <c:v>0.847675584053869</c:v>
                </c:pt>
                <c:pt idx="238">
                  <c:v>0.84199943562939905</c:v>
                </c:pt>
                <c:pt idx="239">
                  <c:v>0.84033655237911098</c:v>
                </c:pt>
                <c:pt idx="240">
                  <c:v>0.84268318176969503</c:v>
                </c:pt>
                <c:pt idx="241">
                  <c:v>0.84062632098061496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0.79322324211693995</c:v>
                </c:pt>
                <c:pt idx="1">
                  <c:v>0.79523041135413897</c:v>
                </c:pt>
                <c:pt idx="2">
                  <c:v>0.797316876919969</c:v>
                </c:pt>
                <c:pt idx="3">
                  <c:v>0.79929914624046094</c:v>
                </c:pt>
                <c:pt idx="4">
                  <c:v>0.80128009689672197</c:v>
                </c:pt>
                <c:pt idx="5">
                  <c:v>0.80311964117897905</c:v>
                </c:pt>
                <c:pt idx="6">
                  <c:v>0.80436323368528795</c:v>
                </c:pt>
                <c:pt idx="7">
                  <c:v>0.80532941511418699</c:v>
                </c:pt>
                <c:pt idx="8">
                  <c:v>0.80674708814692397</c:v>
                </c:pt>
                <c:pt idx="9">
                  <c:v>0.80789102476594099</c:v>
                </c:pt>
                <c:pt idx="10">
                  <c:v>0.81020326334256898</c:v>
                </c:pt>
                <c:pt idx="11">
                  <c:v>0.813708733741626</c:v>
                </c:pt>
                <c:pt idx="12">
                  <c:v>0.818866731093989</c:v>
                </c:pt>
                <c:pt idx="13">
                  <c:v>0.82477031851211402</c:v>
                </c:pt>
                <c:pt idx="14">
                  <c:v>0.83210391719914401</c:v>
                </c:pt>
                <c:pt idx="15">
                  <c:v>0.84154619318245505</c:v>
                </c:pt>
                <c:pt idx="16">
                  <c:v>0.85119929449781595</c:v>
                </c:pt>
                <c:pt idx="17">
                  <c:v>0.86136456661970495</c:v>
                </c:pt>
                <c:pt idx="18">
                  <c:v>0.87320268162803205</c:v>
                </c:pt>
                <c:pt idx="19">
                  <c:v>0.88458893480327205</c:v>
                </c:pt>
                <c:pt idx="20">
                  <c:v>0.89688909279619899</c:v>
                </c:pt>
                <c:pt idx="21">
                  <c:v>0.91066672562912199</c:v>
                </c:pt>
                <c:pt idx="22">
                  <c:v>0.92520762641556498</c:v>
                </c:pt>
                <c:pt idx="23">
                  <c:v>0.92609362555528796</c:v>
                </c:pt>
                <c:pt idx="24">
                  <c:v>0.92729290130500497</c:v>
                </c:pt>
                <c:pt idx="25">
                  <c:v>0.92955027563043902</c:v>
                </c:pt>
                <c:pt idx="26">
                  <c:v>0.93139851671183005</c:v>
                </c:pt>
                <c:pt idx="27">
                  <c:v>0.93417733341077902</c:v>
                </c:pt>
                <c:pt idx="28">
                  <c:v>0.93708788373724194</c:v>
                </c:pt>
                <c:pt idx="29">
                  <c:v>0.93890551100639796</c:v>
                </c:pt>
                <c:pt idx="30">
                  <c:v>0.94084610676227298</c:v>
                </c:pt>
                <c:pt idx="31">
                  <c:v>0.94241921855767097</c:v>
                </c:pt>
                <c:pt idx="32">
                  <c:v>0.94335176180984004</c:v>
                </c:pt>
                <c:pt idx="33">
                  <c:v>0.94406359064184198</c:v>
                </c:pt>
                <c:pt idx="34">
                  <c:v>0.94449746504337895</c:v>
                </c:pt>
                <c:pt idx="35">
                  <c:v>0.94510849712130596</c:v>
                </c:pt>
                <c:pt idx="36">
                  <c:v>0.94568888956911201</c:v>
                </c:pt>
                <c:pt idx="37">
                  <c:v>0.94592059039797904</c:v>
                </c:pt>
                <c:pt idx="38">
                  <c:v>0.94644536880414598</c:v>
                </c:pt>
                <c:pt idx="39">
                  <c:v>0.94658047804795398</c:v>
                </c:pt>
                <c:pt idx="40">
                  <c:v>0.94671628985340694</c:v>
                </c:pt>
                <c:pt idx="41">
                  <c:v>0.94742891189246403</c:v>
                </c:pt>
                <c:pt idx="42">
                  <c:v>0.94887008916076598</c:v>
                </c:pt>
                <c:pt idx="43">
                  <c:v>0.94972905808521202</c:v>
                </c:pt>
                <c:pt idx="44">
                  <c:v>0.950552701068203</c:v>
                </c:pt>
                <c:pt idx="45">
                  <c:v>0.950706564764216</c:v>
                </c:pt>
                <c:pt idx="46">
                  <c:v>0.95101004510652898</c:v>
                </c:pt>
                <c:pt idx="47">
                  <c:v>0.951728838930332</c:v>
                </c:pt>
                <c:pt idx="48">
                  <c:v>0.952085302434314</c:v>
                </c:pt>
                <c:pt idx="49">
                  <c:v>0.95258491597891004</c:v>
                </c:pt>
                <c:pt idx="50">
                  <c:v>0.95294693311985601</c:v>
                </c:pt>
                <c:pt idx="51">
                  <c:v>0.952594898261788</c:v>
                </c:pt>
                <c:pt idx="52">
                  <c:v>0.953085225264381</c:v>
                </c:pt>
                <c:pt idx="53">
                  <c:v>0.95351107793347301</c:v>
                </c:pt>
                <c:pt idx="54">
                  <c:v>0.95399584412772298</c:v>
                </c:pt>
                <c:pt idx="55">
                  <c:v>0.954572315751953</c:v>
                </c:pt>
                <c:pt idx="56">
                  <c:v>0.95503614633439005</c:v>
                </c:pt>
                <c:pt idx="57">
                  <c:v>0.95549266252659903</c:v>
                </c:pt>
                <c:pt idx="58">
                  <c:v>0.95595787153821099</c:v>
                </c:pt>
                <c:pt idx="59">
                  <c:v>0.95664337840934799</c:v>
                </c:pt>
                <c:pt idx="60">
                  <c:v>0.95717203613398205</c:v>
                </c:pt>
                <c:pt idx="61">
                  <c:v>0.95762553853550902</c:v>
                </c:pt>
                <c:pt idx="62">
                  <c:v>0.957840144008403</c:v>
                </c:pt>
                <c:pt idx="63">
                  <c:v>0.95773771372689998</c:v>
                </c:pt>
                <c:pt idx="64">
                  <c:v>0.95775864335327399</c:v>
                </c:pt>
                <c:pt idx="65">
                  <c:v>0.95776114392577605</c:v>
                </c:pt>
                <c:pt idx="66">
                  <c:v>0.95745985787644605</c:v>
                </c:pt>
                <c:pt idx="67">
                  <c:v>0.956572163150604</c:v>
                </c:pt>
                <c:pt idx="68">
                  <c:v>0.95581323628822501</c:v>
                </c:pt>
                <c:pt idx="69">
                  <c:v>0.95518884401233495</c:v>
                </c:pt>
                <c:pt idx="70">
                  <c:v>0.95436657685697401</c:v>
                </c:pt>
                <c:pt idx="71">
                  <c:v>0.95394988961856997</c:v>
                </c:pt>
                <c:pt idx="72">
                  <c:v>0.95293195738202496</c:v>
                </c:pt>
                <c:pt idx="73">
                  <c:v>0.95136427779468502</c:v>
                </c:pt>
                <c:pt idx="74">
                  <c:v>0.94995026730287102</c:v>
                </c:pt>
                <c:pt idx="75">
                  <c:v>0.94923531511991899</c:v>
                </c:pt>
                <c:pt idx="76">
                  <c:v>0.94815081384392896</c:v>
                </c:pt>
                <c:pt idx="77">
                  <c:v>0.94723814107813797</c:v>
                </c:pt>
                <c:pt idx="78">
                  <c:v>0.94655153368290701</c:v>
                </c:pt>
                <c:pt idx="79">
                  <c:v>0.94576837919328804</c:v>
                </c:pt>
                <c:pt idx="80">
                  <c:v>0.94479844438058602</c:v>
                </c:pt>
                <c:pt idx="81">
                  <c:v>0.94366225378922797</c:v>
                </c:pt>
                <c:pt idx="82">
                  <c:v>0.942913299111095</c:v>
                </c:pt>
                <c:pt idx="83">
                  <c:v>0.94223406686955002</c:v>
                </c:pt>
                <c:pt idx="84">
                  <c:v>0.94171776664854401</c:v>
                </c:pt>
                <c:pt idx="85">
                  <c:v>0.94143724873430301</c:v>
                </c:pt>
                <c:pt idx="86">
                  <c:v>0.94088089749502402</c:v>
                </c:pt>
                <c:pt idx="87">
                  <c:v>0.94049919645722302</c:v>
                </c:pt>
                <c:pt idx="88">
                  <c:v>0.940384660998274</c:v>
                </c:pt>
                <c:pt idx="89">
                  <c:v>0.93997190774817796</c:v>
                </c:pt>
                <c:pt idx="90">
                  <c:v>0.94051699510105702</c:v>
                </c:pt>
                <c:pt idx="91">
                  <c:v>0.94091382279987801</c:v>
                </c:pt>
                <c:pt idx="92">
                  <c:v>0.94241141869707801</c:v>
                </c:pt>
                <c:pt idx="93">
                  <c:v>0.94359071467835198</c:v>
                </c:pt>
                <c:pt idx="94">
                  <c:v>0.94478897848950805</c:v>
                </c:pt>
                <c:pt idx="95">
                  <c:v>0.94463759069776498</c:v>
                </c:pt>
                <c:pt idx="96">
                  <c:v>0.94473657013853196</c:v>
                </c:pt>
                <c:pt idx="97">
                  <c:v>0.94480925959356099</c:v>
                </c:pt>
                <c:pt idx="98">
                  <c:v>0.94432284720836102</c:v>
                </c:pt>
                <c:pt idx="99">
                  <c:v>0.94414522734701001</c:v>
                </c:pt>
                <c:pt idx="100">
                  <c:v>0.94403445678808695</c:v>
                </c:pt>
                <c:pt idx="101">
                  <c:v>0.94381189989424397</c:v>
                </c:pt>
                <c:pt idx="102">
                  <c:v>0.94379555427847395</c:v>
                </c:pt>
                <c:pt idx="103">
                  <c:v>0.94452209985828905</c:v>
                </c:pt>
                <c:pt idx="104">
                  <c:v>0.94493856710551904</c:v>
                </c:pt>
                <c:pt idx="105">
                  <c:v>0.94325077630833898</c:v>
                </c:pt>
                <c:pt idx="106">
                  <c:v>0.94189799497670101</c:v>
                </c:pt>
                <c:pt idx="107">
                  <c:v>0.94002076968431603</c:v>
                </c:pt>
                <c:pt idx="108">
                  <c:v>0.93766191269631505</c:v>
                </c:pt>
                <c:pt idx="109">
                  <c:v>0.93437678028575399</c:v>
                </c:pt>
                <c:pt idx="110">
                  <c:v>0.93119876106413502</c:v>
                </c:pt>
                <c:pt idx="111">
                  <c:v>0.92931918739506802</c:v>
                </c:pt>
                <c:pt idx="112">
                  <c:v>0.92777830071794598</c:v>
                </c:pt>
                <c:pt idx="113">
                  <c:v>0.92640070141743303</c:v>
                </c:pt>
                <c:pt idx="114">
                  <c:v>0.92520370266242202</c:v>
                </c:pt>
                <c:pt idx="115">
                  <c:v>0.92359078265430505</c:v>
                </c:pt>
                <c:pt idx="116">
                  <c:v>0.92257288458512998</c:v>
                </c:pt>
                <c:pt idx="117">
                  <c:v>0.92111614287565802</c:v>
                </c:pt>
                <c:pt idx="118">
                  <c:v>0.91895580431021695</c:v>
                </c:pt>
                <c:pt idx="119">
                  <c:v>0.91589906743486404</c:v>
                </c:pt>
                <c:pt idx="120">
                  <c:v>0.91266004746418805</c:v>
                </c:pt>
                <c:pt idx="121">
                  <c:v>0.91023919625946703</c:v>
                </c:pt>
                <c:pt idx="122">
                  <c:v>0.908341385972116</c:v>
                </c:pt>
                <c:pt idx="123">
                  <c:v>0.906195535955444</c:v>
                </c:pt>
                <c:pt idx="124">
                  <c:v>0.90384684586645403</c:v>
                </c:pt>
                <c:pt idx="125">
                  <c:v>0.90148163446734597</c:v>
                </c:pt>
                <c:pt idx="126">
                  <c:v>0.89911561422507502</c:v>
                </c:pt>
                <c:pt idx="127">
                  <c:v>0.89734252391657399</c:v>
                </c:pt>
                <c:pt idx="128">
                  <c:v>0.89578823658321804</c:v>
                </c:pt>
                <c:pt idx="129">
                  <c:v>0.89404818452266399</c:v>
                </c:pt>
                <c:pt idx="130">
                  <c:v>0.89302634890423205</c:v>
                </c:pt>
                <c:pt idx="131">
                  <c:v>0.89172531479807304</c:v>
                </c:pt>
                <c:pt idx="132">
                  <c:v>0.89030392034704997</c:v>
                </c:pt>
                <c:pt idx="133">
                  <c:v>0.88918209953549598</c:v>
                </c:pt>
                <c:pt idx="134">
                  <c:v>0.88763050060614601</c:v>
                </c:pt>
                <c:pt idx="135">
                  <c:v>0.88568435504443499</c:v>
                </c:pt>
                <c:pt idx="136">
                  <c:v>0.88487757566041403</c:v>
                </c:pt>
                <c:pt idx="137">
                  <c:v>0.88320530564139399</c:v>
                </c:pt>
                <c:pt idx="138">
                  <c:v>0.88222010418799701</c:v>
                </c:pt>
                <c:pt idx="139">
                  <c:v>0.88097334583144604</c:v>
                </c:pt>
                <c:pt idx="140">
                  <c:v>0.87959608938125</c:v>
                </c:pt>
                <c:pt idx="141">
                  <c:v>0.878194799392084</c:v>
                </c:pt>
                <c:pt idx="142">
                  <c:v>0.87661626237779999</c:v>
                </c:pt>
                <c:pt idx="143">
                  <c:v>0.87511265223782497</c:v>
                </c:pt>
                <c:pt idx="144">
                  <c:v>0.873669215767373</c:v>
                </c:pt>
                <c:pt idx="145">
                  <c:v>0.87272261215459601</c:v>
                </c:pt>
                <c:pt idx="146">
                  <c:v>0.87154160885373999</c:v>
                </c:pt>
                <c:pt idx="147">
                  <c:v>0.87067173283288102</c:v>
                </c:pt>
                <c:pt idx="148">
                  <c:v>0.86987639671357497</c:v>
                </c:pt>
                <c:pt idx="149">
                  <c:v>0.86854558340353305</c:v>
                </c:pt>
                <c:pt idx="150">
                  <c:v>0.86679239412243503</c:v>
                </c:pt>
                <c:pt idx="151">
                  <c:v>0.86560791796188197</c:v>
                </c:pt>
                <c:pt idx="152">
                  <c:v>0.86499798897328795</c:v>
                </c:pt>
                <c:pt idx="153">
                  <c:v>0.86500636021112098</c:v>
                </c:pt>
                <c:pt idx="154">
                  <c:v>0.86352913758744698</c:v>
                </c:pt>
                <c:pt idx="155">
                  <c:v>0.86362698528364801</c:v>
                </c:pt>
                <c:pt idx="156">
                  <c:v>0.86333846670784198</c:v>
                </c:pt>
                <c:pt idx="157">
                  <c:v>0.86308809758191296</c:v>
                </c:pt>
                <c:pt idx="158">
                  <c:v>0.86164581710863497</c:v>
                </c:pt>
                <c:pt idx="159">
                  <c:v>0.85818277894092698</c:v>
                </c:pt>
                <c:pt idx="160">
                  <c:v>0.85520138120742695</c:v>
                </c:pt>
                <c:pt idx="161">
                  <c:v>0.85215361225645803</c:v>
                </c:pt>
                <c:pt idx="162">
                  <c:v>0.84862943570725002</c:v>
                </c:pt>
                <c:pt idx="163">
                  <c:v>0.84512114657440895</c:v>
                </c:pt>
                <c:pt idx="164">
                  <c:v>0.84198920376110797</c:v>
                </c:pt>
                <c:pt idx="165">
                  <c:v>0.83762461363041396</c:v>
                </c:pt>
                <c:pt idx="166">
                  <c:v>0.83228597083085798</c:v>
                </c:pt>
                <c:pt idx="167">
                  <c:v>0.82765889726449005</c:v>
                </c:pt>
                <c:pt idx="168">
                  <c:v>0.82077631409451002</c:v>
                </c:pt>
                <c:pt idx="169">
                  <c:v>0.81467788486060599</c:v>
                </c:pt>
                <c:pt idx="170">
                  <c:v>0.808609590471704</c:v>
                </c:pt>
                <c:pt idx="171">
                  <c:v>0.80127526870642496</c:v>
                </c:pt>
                <c:pt idx="172">
                  <c:v>0.79426324622508804</c:v>
                </c:pt>
                <c:pt idx="173">
                  <c:v>0.788132103549679</c:v>
                </c:pt>
                <c:pt idx="174">
                  <c:v>0.78317579732095999</c:v>
                </c:pt>
                <c:pt idx="175">
                  <c:v>0.77379272124088705</c:v>
                </c:pt>
                <c:pt idx="176">
                  <c:v>0.76613440924418497</c:v>
                </c:pt>
                <c:pt idx="177">
                  <c:v>0.75773895980354899</c:v>
                </c:pt>
                <c:pt idx="178">
                  <c:v>0.74649382027616895</c:v>
                </c:pt>
                <c:pt idx="179">
                  <c:v>0.730793954583278</c:v>
                </c:pt>
                <c:pt idx="180">
                  <c:v>0.71999689665546596</c:v>
                </c:pt>
                <c:pt idx="181">
                  <c:v>0.70877885249581696</c:v>
                </c:pt>
                <c:pt idx="182">
                  <c:v>0.69662726906022598</c:v>
                </c:pt>
                <c:pt idx="183">
                  <c:v>0.686221683687116</c:v>
                </c:pt>
                <c:pt idx="184">
                  <c:v>0.67736867169402004</c:v>
                </c:pt>
                <c:pt idx="185">
                  <c:v>0.66726990977739997</c:v>
                </c:pt>
                <c:pt idx="186">
                  <c:v>0.65687155313286305</c:v>
                </c:pt>
                <c:pt idx="187">
                  <c:v>0.64736865352439499</c:v>
                </c:pt>
                <c:pt idx="188">
                  <c:v>0.64073562180913401</c:v>
                </c:pt>
                <c:pt idx="189">
                  <c:v>0.63317734248662705</c:v>
                </c:pt>
                <c:pt idx="190">
                  <c:v>0.62516871194483303</c:v>
                </c:pt>
                <c:pt idx="191">
                  <c:v>0.61517873632461995</c:v>
                </c:pt>
                <c:pt idx="192">
                  <c:v>0.60744439056164101</c:v>
                </c:pt>
                <c:pt idx="193">
                  <c:v>0.59967410050607795</c:v>
                </c:pt>
                <c:pt idx="194">
                  <c:v>0.59012880334944295</c:v>
                </c:pt>
                <c:pt idx="195">
                  <c:v>0.58019799356985102</c:v>
                </c:pt>
                <c:pt idx="196">
                  <c:v>0.57051163882408695</c:v>
                </c:pt>
                <c:pt idx="197">
                  <c:v>0.56053220926537195</c:v>
                </c:pt>
                <c:pt idx="198">
                  <c:v>0.55095188874827405</c:v>
                </c:pt>
                <c:pt idx="199">
                  <c:v>0.54220646369851999</c:v>
                </c:pt>
                <c:pt idx="200">
                  <c:v>0.533712724797482</c:v>
                </c:pt>
                <c:pt idx="201">
                  <c:v>0.52558338857402498</c:v>
                </c:pt>
                <c:pt idx="202">
                  <c:v>0.51522528814894897</c:v>
                </c:pt>
                <c:pt idx="203">
                  <c:v>0.50793774691842797</c:v>
                </c:pt>
                <c:pt idx="204">
                  <c:v>0.49918814499783898</c:v>
                </c:pt>
                <c:pt idx="205">
                  <c:v>0.49029320692821099</c:v>
                </c:pt>
                <c:pt idx="206">
                  <c:v>0.480281728167542</c:v>
                </c:pt>
                <c:pt idx="207">
                  <c:v>0.46900563178918298</c:v>
                </c:pt>
                <c:pt idx="208">
                  <c:v>0.45528720688602098</c:v>
                </c:pt>
                <c:pt idx="209">
                  <c:v>0.44523203473141199</c:v>
                </c:pt>
                <c:pt idx="210">
                  <c:v>0.43608890474833301</c:v>
                </c:pt>
                <c:pt idx="211">
                  <c:v>0.42874919605744699</c:v>
                </c:pt>
                <c:pt idx="212">
                  <c:v>0.42476164526544202</c:v>
                </c:pt>
                <c:pt idx="213">
                  <c:v>0.42343399011433402</c:v>
                </c:pt>
                <c:pt idx="214">
                  <c:v>0.42651154642802103</c:v>
                </c:pt>
                <c:pt idx="215">
                  <c:v>0.43010645674196601</c:v>
                </c:pt>
                <c:pt idx="216">
                  <c:v>0.43329950697348601</c:v>
                </c:pt>
                <c:pt idx="217">
                  <c:v>0.43476679558583597</c:v>
                </c:pt>
                <c:pt idx="218">
                  <c:v>0.43661357424285002</c:v>
                </c:pt>
                <c:pt idx="219">
                  <c:v>0.43922035470635201</c:v>
                </c:pt>
                <c:pt idx="220">
                  <c:v>0.44210754374385602</c:v>
                </c:pt>
                <c:pt idx="221">
                  <c:v>0.44468359653991102</c:v>
                </c:pt>
                <c:pt idx="222">
                  <c:v>0.44600522209131999</c:v>
                </c:pt>
                <c:pt idx="223">
                  <c:v>0.44689676623332403</c:v>
                </c:pt>
                <c:pt idx="224">
                  <c:v>0.44790635875521401</c:v>
                </c:pt>
                <c:pt idx="225">
                  <c:v>0.44822770723289102</c:v>
                </c:pt>
                <c:pt idx="226">
                  <c:v>0.44661831457004397</c:v>
                </c:pt>
                <c:pt idx="227">
                  <c:v>0.44632115080270901</c:v>
                </c:pt>
                <c:pt idx="228">
                  <c:v>0.44669245768641402</c:v>
                </c:pt>
                <c:pt idx="229">
                  <c:v>0.45151527176441197</c:v>
                </c:pt>
                <c:pt idx="230">
                  <c:v>0.45257072153197803</c:v>
                </c:pt>
                <c:pt idx="231">
                  <c:v>0.45420202892874301</c:v>
                </c:pt>
                <c:pt idx="232">
                  <c:v>0.45565979390734401</c:v>
                </c:pt>
                <c:pt idx="233">
                  <c:v>0.45110157502363701</c:v>
                </c:pt>
                <c:pt idx="234">
                  <c:v>0.451025060680812</c:v>
                </c:pt>
                <c:pt idx="235">
                  <c:v>0.45557077921775502</c:v>
                </c:pt>
                <c:pt idx="236">
                  <c:v>0.45468036351246799</c:v>
                </c:pt>
                <c:pt idx="237">
                  <c:v>0.44980868788748501</c:v>
                </c:pt>
                <c:pt idx="238">
                  <c:v>0.44244016234067202</c:v>
                </c:pt>
                <c:pt idx="239">
                  <c:v>0.44301397225540301</c:v>
                </c:pt>
                <c:pt idx="240">
                  <c:v>0.44038027705520399</c:v>
                </c:pt>
                <c:pt idx="241">
                  <c:v>0.438639497352589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0.813578035357442</c:v>
                </c:pt>
                <c:pt idx="1">
                  <c:v>0.76654465727293697</c:v>
                </c:pt>
                <c:pt idx="2">
                  <c:v>0.74495730613759403</c:v>
                </c:pt>
                <c:pt idx="3">
                  <c:v>0.77201360391554896</c:v>
                </c:pt>
                <c:pt idx="4">
                  <c:v>0.71186441418925595</c:v>
                </c:pt>
                <c:pt idx="5">
                  <c:v>0.72659428790890701</c:v>
                </c:pt>
                <c:pt idx="6">
                  <c:v>0.79083188047030395</c:v>
                </c:pt>
                <c:pt idx="7">
                  <c:v>0.779420334514485</c:v>
                </c:pt>
                <c:pt idx="8">
                  <c:v>0.79337070611302496</c:v>
                </c:pt>
                <c:pt idx="9">
                  <c:v>0.87240872050621499</c:v>
                </c:pt>
                <c:pt idx="10">
                  <c:v>0.89628727340321201</c:v>
                </c:pt>
                <c:pt idx="11">
                  <c:v>0.88441114981728297</c:v>
                </c:pt>
                <c:pt idx="12">
                  <c:v>0.95827655577580095</c:v>
                </c:pt>
                <c:pt idx="13">
                  <c:v>0.96520856393082799</c:v>
                </c:pt>
                <c:pt idx="14">
                  <c:v>0.80880905355507104</c:v>
                </c:pt>
                <c:pt idx="15">
                  <c:v>0.60748463500911798</c:v>
                </c:pt>
                <c:pt idx="16">
                  <c:v>0.70315331885268395</c:v>
                </c:pt>
                <c:pt idx="17">
                  <c:v>0.89781749108126396</c:v>
                </c:pt>
                <c:pt idx="18">
                  <c:v>0.63217962823345497</c:v>
                </c:pt>
                <c:pt idx="19">
                  <c:v>0.52980019056192096</c:v>
                </c:pt>
                <c:pt idx="20">
                  <c:v>0.53064047994754104</c:v>
                </c:pt>
                <c:pt idx="21" formatCode="0.00E+00">
                  <c:v>3.3056013451990503E-2</c:v>
                </c:pt>
                <c:pt idx="22" formatCode="0.00E+00">
                  <c:v>4.2245768211545402E-5</c:v>
                </c:pt>
                <c:pt idx="23">
                  <c:v>0.34681633482505497</c:v>
                </c:pt>
                <c:pt idx="24">
                  <c:v>0.266691139746353</c:v>
                </c:pt>
                <c:pt idx="25">
                  <c:v>0.16096081712191901</c:v>
                </c:pt>
                <c:pt idx="26">
                  <c:v>0.15498781416806801</c:v>
                </c:pt>
                <c:pt idx="27" formatCode="0.00E+00">
                  <c:v>0.18623606695673101</c:v>
                </c:pt>
                <c:pt idx="28">
                  <c:v>0.43277596584070299</c:v>
                </c:pt>
                <c:pt idx="29">
                  <c:v>0.39237828695551003</c:v>
                </c:pt>
                <c:pt idx="30">
                  <c:v>0.56341811114986595</c:v>
                </c:pt>
                <c:pt idx="31" formatCode="0.00E+00">
                  <c:v>0.54942997945438099</c:v>
                </c:pt>
                <c:pt idx="32">
                  <c:v>0.57318810686918698</c:v>
                </c:pt>
                <c:pt idx="33">
                  <c:v>0.77566185025558299</c:v>
                </c:pt>
                <c:pt idx="34">
                  <c:v>0.58971347673940799</c:v>
                </c:pt>
                <c:pt idx="35">
                  <c:v>0.53053221348836999</c:v>
                </c:pt>
                <c:pt idx="36">
                  <c:v>0.52190123508139896</c:v>
                </c:pt>
                <c:pt idx="37">
                  <c:v>0.48819564988339198</c:v>
                </c:pt>
                <c:pt idx="38">
                  <c:v>0.44928783897583802</c:v>
                </c:pt>
                <c:pt idx="39">
                  <c:v>0.39725002191555298</c:v>
                </c:pt>
                <c:pt idx="40">
                  <c:v>0.68341594519392301</c:v>
                </c:pt>
                <c:pt idx="41">
                  <c:v>0.62520858151486902</c:v>
                </c:pt>
                <c:pt idx="42">
                  <c:v>0.79426547726722296</c:v>
                </c:pt>
                <c:pt idx="43" formatCode="0.00E+00">
                  <c:v>0.88053537163584195</c:v>
                </c:pt>
                <c:pt idx="44">
                  <c:v>0.924022828983739</c:v>
                </c:pt>
                <c:pt idx="45">
                  <c:v>0.95688693405621805</c:v>
                </c:pt>
                <c:pt idx="46">
                  <c:v>0.95066233094742703</c:v>
                </c:pt>
                <c:pt idx="47">
                  <c:v>0.961009835764428</c:v>
                </c:pt>
                <c:pt idx="48">
                  <c:v>0.91121887440128602</c:v>
                </c:pt>
                <c:pt idx="49">
                  <c:v>0.92593964593287104</c:v>
                </c:pt>
                <c:pt idx="50">
                  <c:v>0.90912165273525702</c:v>
                </c:pt>
                <c:pt idx="51">
                  <c:v>0.93248272925928199</c:v>
                </c:pt>
                <c:pt idx="52">
                  <c:v>0.92217715422510005</c:v>
                </c:pt>
                <c:pt idx="53">
                  <c:v>0.89104170053507104</c:v>
                </c:pt>
                <c:pt idx="54">
                  <c:v>0.84757370304489099</c:v>
                </c:pt>
                <c:pt idx="55">
                  <c:v>0.83416331748152495</c:v>
                </c:pt>
                <c:pt idx="56">
                  <c:v>0.88856412884084901</c:v>
                </c:pt>
                <c:pt idx="57">
                  <c:v>0.90263015660935098</c:v>
                </c:pt>
                <c:pt idx="58">
                  <c:v>0.86166356221478002</c:v>
                </c:pt>
                <c:pt idx="59">
                  <c:v>0.79063929599724103</c:v>
                </c:pt>
                <c:pt idx="60">
                  <c:v>0.78632614582953098</c:v>
                </c:pt>
                <c:pt idx="61">
                  <c:v>0.43138164401031998</c:v>
                </c:pt>
                <c:pt idx="62">
                  <c:v>0.38062669411780597</c:v>
                </c:pt>
                <c:pt idx="63">
                  <c:v>0.34319168894573698</c:v>
                </c:pt>
                <c:pt idx="64">
                  <c:v>0.45319100667177598</c:v>
                </c:pt>
                <c:pt idx="65">
                  <c:v>0.40239028768164398</c:v>
                </c:pt>
                <c:pt idx="66">
                  <c:v>0.34558928555699198</c:v>
                </c:pt>
                <c:pt idx="67">
                  <c:v>0.47359585556705602</c:v>
                </c:pt>
                <c:pt idx="68">
                  <c:v>0.48292179491162501</c:v>
                </c:pt>
                <c:pt idx="69">
                  <c:v>0.69070044709313005</c:v>
                </c:pt>
                <c:pt idx="70">
                  <c:v>0.63047162895765496</c:v>
                </c:pt>
                <c:pt idx="71">
                  <c:v>0.657453409147294</c:v>
                </c:pt>
                <c:pt idx="72">
                  <c:v>0.70114454194009102</c:v>
                </c:pt>
                <c:pt idx="73">
                  <c:v>0.73546156163399401</c:v>
                </c:pt>
                <c:pt idx="74">
                  <c:v>0.780750199108042</c:v>
                </c:pt>
                <c:pt idx="75">
                  <c:v>0.82080298419726705</c:v>
                </c:pt>
                <c:pt idx="76">
                  <c:v>0.73771231848132601</c:v>
                </c:pt>
                <c:pt idx="77">
                  <c:v>0.79950464073086003</c:v>
                </c:pt>
                <c:pt idx="78">
                  <c:v>0.81779639586077302</c:v>
                </c:pt>
                <c:pt idx="79">
                  <c:v>0.80317186864871704</c:v>
                </c:pt>
                <c:pt idx="80">
                  <c:v>0.80141257721791304</c:v>
                </c:pt>
                <c:pt idx="81">
                  <c:v>0.73895219301489501</c:v>
                </c:pt>
                <c:pt idx="82">
                  <c:v>0.68640199235464705</c:v>
                </c:pt>
                <c:pt idx="83">
                  <c:v>0.10470223144976901</c:v>
                </c:pt>
                <c:pt idx="84">
                  <c:v>5.8949679378732397E-2</c:v>
                </c:pt>
                <c:pt idx="85">
                  <c:v>8.3736687926797195E-3</c:v>
                </c:pt>
                <c:pt idx="86">
                  <c:v>1.15957068287238E-2</c:v>
                </c:pt>
                <c:pt idx="87">
                  <c:v>0.33827601196928397</c:v>
                </c:pt>
                <c:pt idx="88">
                  <c:v>0.12944151350755001</c:v>
                </c:pt>
                <c:pt idx="89">
                  <c:v>0.38689902276988702</c:v>
                </c:pt>
                <c:pt idx="90">
                  <c:v>0.157605505479333</c:v>
                </c:pt>
                <c:pt idx="91">
                  <c:v>0.38238118834798202</c:v>
                </c:pt>
                <c:pt idx="92">
                  <c:v>0.113179742028584</c:v>
                </c:pt>
                <c:pt idx="93">
                  <c:v>0.21177322546433699</c:v>
                </c:pt>
                <c:pt idx="94">
                  <c:v>0.10483853253733</c:v>
                </c:pt>
                <c:pt idx="95">
                  <c:v>0.102006374007028</c:v>
                </c:pt>
                <c:pt idx="96">
                  <c:v>0.116344251003417</c:v>
                </c:pt>
                <c:pt idx="97">
                  <c:v>0.145524378527119</c:v>
                </c:pt>
                <c:pt idx="98">
                  <c:v>0.156788673139305</c:v>
                </c:pt>
                <c:pt idx="99">
                  <c:v>0.147286942721683</c:v>
                </c:pt>
                <c:pt idx="100">
                  <c:v>0.82729794828657299</c:v>
                </c:pt>
                <c:pt idx="101">
                  <c:v>0.35583090685727498</c:v>
                </c:pt>
                <c:pt idx="102">
                  <c:v>0.163003911715003</c:v>
                </c:pt>
                <c:pt idx="103">
                  <c:v>0.21787711105320401</c:v>
                </c:pt>
                <c:pt idx="104">
                  <c:v>0.18351893116998799</c:v>
                </c:pt>
                <c:pt idx="105">
                  <c:v>0.120022844459165</c:v>
                </c:pt>
                <c:pt idx="106">
                  <c:v>8.4020544265863098E-2</c:v>
                </c:pt>
                <c:pt idx="107">
                  <c:v>0.107059066206337</c:v>
                </c:pt>
                <c:pt idx="108">
                  <c:v>0.102434449502583</c:v>
                </c:pt>
                <c:pt idx="109">
                  <c:v>0.102138418699927</c:v>
                </c:pt>
                <c:pt idx="110">
                  <c:v>0.11164637201106099</c:v>
                </c:pt>
                <c:pt idx="111">
                  <c:v>0.100147791949242</c:v>
                </c:pt>
                <c:pt idx="112">
                  <c:v>7.18507746212875E-2</c:v>
                </c:pt>
                <c:pt idx="113">
                  <c:v>7.4455838128769297E-2</c:v>
                </c:pt>
                <c:pt idx="114">
                  <c:v>8.5341581242914202E-2</c:v>
                </c:pt>
                <c:pt idx="115">
                  <c:v>9.4807844572368793E-2</c:v>
                </c:pt>
                <c:pt idx="116">
                  <c:v>9.7528910190760404E-2</c:v>
                </c:pt>
                <c:pt idx="117">
                  <c:v>0.13967479698357099</c:v>
                </c:pt>
                <c:pt idx="118">
                  <c:v>0.11458043942665801</c:v>
                </c:pt>
                <c:pt idx="119">
                  <c:v>1.8980945787290399E-2</c:v>
                </c:pt>
                <c:pt idx="120">
                  <c:v>1.4050923466365099E-2</c:v>
                </c:pt>
                <c:pt idx="121">
                  <c:v>1.6318483565065701E-2</c:v>
                </c:pt>
                <c:pt idx="122">
                  <c:v>1.2927233656383499E-2</c:v>
                </c:pt>
                <c:pt idx="123">
                  <c:v>2.1404473722291401E-2</c:v>
                </c:pt>
                <c:pt idx="124">
                  <c:v>2.1792118780309198E-2</c:v>
                </c:pt>
                <c:pt idx="125">
                  <c:v>0.13097142924694299</c:v>
                </c:pt>
                <c:pt idx="126">
                  <c:v>3.8942948709480602E-3</c:v>
                </c:pt>
                <c:pt idx="127">
                  <c:v>0.169852781241946</c:v>
                </c:pt>
                <c:pt idx="128">
                  <c:v>0.20562308087832401</c:v>
                </c:pt>
                <c:pt idx="129">
                  <c:v>0.17738465368772399</c:v>
                </c:pt>
                <c:pt idx="130">
                  <c:v>0.17030221034816601</c:v>
                </c:pt>
                <c:pt idx="131">
                  <c:v>2.1571768069098998E-3</c:v>
                </c:pt>
                <c:pt idx="132">
                  <c:v>1.0100431985407201E-3</c:v>
                </c:pt>
                <c:pt idx="133">
                  <c:v>0.287883543116637</c:v>
                </c:pt>
                <c:pt idx="134">
                  <c:v>1.0391691705198399E-2</c:v>
                </c:pt>
                <c:pt idx="135">
                  <c:v>0.287112663633106</c:v>
                </c:pt>
                <c:pt idx="136">
                  <c:v>0.16610599609245799</c:v>
                </c:pt>
                <c:pt idx="137">
                  <c:v>0.15493756388462801</c:v>
                </c:pt>
                <c:pt idx="138">
                  <c:v>8.3113988648197499E-3</c:v>
                </c:pt>
                <c:pt idx="139">
                  <c:v>5.1012652375894297E-3</c:v>
                </c:pt>
                <c:pt idx="140">
                  <c:v>0.126390910481647</c:v>
                </c:pt>
                <c:pt idx="141">
                  <c:v>0.117764716536762</c:v>
                </c:pt>
                <c:pt idx="142">
                  <c:v>6.5564436723613895E-2</c:v>
                </c:pt>
                <c:pt idx="143">
                  <c:v>6.0080283444856802E-2</c:v>
                </c:pt>
                <c:pt idx="144">
                  <c:v>1.03355303694343E-2</c:v>
                </c:pt>
                <c:pt idx="145">
                  <c:v>1.02379486349298E-2</c:v>
                </c:pt>
                <c:pt idx="146">
                  <c:v>1.4924032270242501E-2</c:v>
                </c:pt>
                <c:pt idx="147">
                  <c:v>2.4712838767051801E-2</c:v>
                </c:pt>
                <c:pt idx="148">
                  <c:v>0.25201020984688199</c:v>
                </c:pt>
                <c:pt idx="149">
                  <c:v>0.28116285002377001</c:v>
                </c:pt>
                <c:pt idx="150">
                  <c:v>0.320787958025121</c:v>
                </c:pt>
                <c:pt idx="151">
                  <c:v>0.29340164582632</c:v>
                </c:pt>
                <c:pt idx="152">
                  <c:v>8.8088115252119001E-2</c:v>
                </c:pt>
                <c:pt idx="153">
                  <c:v>3.1413023887497102E-2</c:v>
                </c:pt>
                <c:pt idx="154">
                  <c:v>0.11052726335012</c:v>
                </c:pt>
                <c:pt idx="155">
                  <c:v>0.124846927314016</c:v>
                </c:pt>
                <c:pt idx="156">
                  <c:v>7.4099209308645594E-2</c:v>
                </c:pt>
                <c:pt idx="157">
                  <c:v>5.7158558637689198E-2</c:v>
                </c:pt>
                <c:pt idx="158">
                  <c:v>6.0545371340927301E-2</c:v>
                </c:pt>
                <c:pt idx="159">
                  <c:v>6.6142068420018907E-2</c:v>
                </c:pt>
                <c:pt idx="160">
                  <c:v>5.4933485314424303E-2</c:v>
                </c:pt>
                <c:pt idx="161">
                  <c:v>6.3670533096984103E-2</c:v>
                </c:pt>
                <c:pt idx="162">
                  <c:v>8.0631657875487206E-2</c:v>
                </c:pt>
                <c:pt idx="163">
                  <c:v>6.05704640802575E-2</c:v>
                </c:pt>
                <c:pt idx="164">
                  <c:v>2.7382854685608301E-2</c:v>
                </c:pt>
                <c:pt idx="165">
                  <c:v>1.8715728064125699E-2</c:v>
                </c:pt>
                <c:pt idx="166">
                  <c:v>7.9344512266877002E-3</c:v>
                </c:pt>
                <c:pt idx="167">
                  <c:v>2.3003554601720301E-2</c:v>
                </c:pt>
                <c:pt idx="168">
                  <c:v>6.6559764623587397E-2</c:v>
                </c:pt>
                <c:pt idx="169">
                  <c:v>0.10982286384731001</c:v>
                </c:pt>
                <c:pt idx="170">
                  <c:v>4.8028500861124201E-2</c:v>
                </c:pt>
                <c:pt idx="171">
                  <c:v>4.6323603369013901E-2</c:v>
                </c:pt>
                <c:pt idx="172">
                  <c:v>3.9711971763364898E-2</c:v>
                </c:pt>
                <c:pt idx="173">
                  <c:v>6.01512256972416E-2</c:v>
                </c:pt>
                <c:pt idx="174">
                  <c:v>2.8633813050440701E-2</c:v>
                </c:pt>
                <c:pt idx="175">
                  <c:v>2.3355229190003199E-2</c:v>
                </c:pt>
                <c:pt idx="176">
                  <c:v>3.70716547661709E-2</c:v>
                </c:pt>
                <c:pt idx="177">
                  <c:v>4.6727649601197699E-2</c:v>
                </c:pt>
                <c:pt idx="178">
                  <c:v>7.1564483280377095E-2</c:v>
                </c:pt>
                <c:pt idx="179">
                  <c:v>4.0451808888459E-2</c:v>
                </c:pt>
                <c:pt idx="180">
                  <c:v>5.5847218575191898E-2</c:v>
                </c:pt>
                <c:pt idx="181">
                  <c:v>0.19822572857350099</c:v>
                </c:pt>
                <c:pt idx="182">
                  <c:v>0.44335485859050799</c:v>
                </c:pt>
                <c:pt idx="183">
                  <c:v>0.217830889893768</c:v>
                </c:pt>
                <c:pt idx="184">
                  <c:v>0.14571824192236199</c:v>
                </c:pt>
                <c:pt idx="185">
                  <c:v>4.0722385742705099E-2</c:v>
                </c:pt>
                <c:pt idx="186">
                  <c:v>0.10105862201970101</c:v>
                </c:pt>
                <c:pt idx="187">
                  <c:v>0.77779011280055999</c:v>
                </c:pt>
                <c:pt idx="188">
                  <c:v>6.2995762569682201E-2</c:v>
                </c:pt>
                <c:pt idx="189">
                  <c:v>4.1040036776663701E-2</c:v>
                </c:pt>
                <c:pt idx="190">
                  <c:v>5.9226756778748203E-2</c:v>
                </c:pt>
                <c:pt idx="191">
                  <c:v>4.5880017485809797E-2</c:v>
                </c:pt>
                <c:pt idx="192">
                  <c:v>4.82239094157259E-2</c:v>
                </c:pt>
                <c:pt idx="193">
                  <c:v>2.9725811449297399E-2</c:v>
                </c:pt>
                <c:pt idx="194">
                  <c:v>1.2250292632865201E-2</c:v>
                </c:pt>
                <c:pt idx="195">
                  <c:v>9.6957131907026602E-3</c:v>
                </c:pt>
                <c:pt idx="196">
                  <c:v>9.3806818355081003E-3</c:v>
                </c:pt>
                <c:pt idx="197">
                  <c:v>6.7359494476910697E-2</c:v>
                </c:pt>
                <c:pt idx="198">
                  <c:v>3.4233351891063003E-2</c:v>
                </c:pt>
                <c:pt idx="199">
                  <c:v>3.6992120656912097E-2</c:v>
                </c:pt>
                <c:pt idx="200">
                  <c:v>1.5249281805264201E-2</c:v>
                </c:pt>
                <c:pt idx="201">
                  <c:v>2.3786601497227201E-2</c:v>
                </c:pt>
                <c:pt idx="202">
                  <c:v>3.7959082845037698E-2</c:v>
                </c:pt>
                <c:pt idx="203">
                  <c:v>4.26513017564914E-2</c:v>
                </c:pt>
                <c:pt idx="204">
                  <c:v>4.1581837972645599E-2</c:v>
                </c:pt>
                <c:pt idx="205">
                  <c:v>3.8862247195743702E-2</c:v>
                </c:pt>
                <c:pt idx="206">
                  <c:v>1.8574693209867401E-2</c:v>
                </c:pt>
                <c:pt idx="207">
                  <c:v>8.0598369928200103E-2</c:v>
                </c:pt>
                <c:pt idx="208">
                  <c:v>0.10524188244406001</c:v>
                </c:pt>
                <c:pt idx="209">
                  <c:v>0.12350797671500199</c:v>
                </c:pt>
                <c:pt idx="210">
                  <c:v>0.22776570684706601</c:v>
                </c:pt>
                <c:pt idx="211">
                  <c:v>0.23429528105578001</c:v>
                </c:pt>
                <c:pt idx="212">
                  <c:v>0.41814066396551403</c:v>
                </c:pt>
                <c:pt idx="213">
                  <c:v>0.55254076574024902</c:v>
                </c:pt>
                <c:pt idx="214">
                  <c:v>0.672320030258727</c:v>
                </c:pt>
                <c:pt idx="215" formatCode="0.00E+00">
                  <c:v>0.57929957800369702</c:v>
                </c:pt>
                <c:pt idx="216">
                  <c:v>0.60032518470199203</c:v>
                </c:pt>
                <c:pt idx="217">
                  <c:v>0.40205339768953302</c:v>
                </c:pt>
                <c:pt idx="218">
                  <c:v>0.59561249561955099</c:v>
                </c:pt>
                <c:pt idx="219">
                  <c:v>0.64484111144652601</c:v>
                </c:pt>
                <c:pt idx="220">
                  <c:v>0.28215730749477702</c:v>
                </c:pt>
                <c:pt idx="221">
                  <c:v>0.36507996347967703</c:v>
                </c:pt>
                <c:pt idx="222">
                  <c:v>0.18109994766346399</c:v>
                </c:pt>
                <c:pt idx="223">
                  <c:v>0.14990362655499201</c:v>
                </c:pt>
                <c:pt idx="224">
                  <c:v>0.14298616087227201</c:v>
                </c:pt>
                <c:pt idx="225">
                  <c:v>0.14424550235316499</c:v>
                </c:pt>
                <c:pt idx="226">
                  <c:v>0.14321293533846599</c:v>
                </c:pt>
                <c:pt idx="227">
                  <c:v>0.20094337614367899</c:v>
                </c:pt>
                <c:pt idx="228">
                  <c:v>0.13588282915695399</c:v>
                </c:pt>
                <c:pt idx="229">
                  <c:v>0.130543295771025</c:v>
                </c:pt>
                <c:pt idx="230">
                  <c:v>0.112040292383147</c:v>
                </c:pt>
                <c:pt idx="231">
                  <c:v>0.105210844408595</c:v>
                </c:pt>
                <c:pt idx="232">
                  <c:v>9.6135608679430995E-2</c:v>
                </c:pt>
                <c:pt idx="233">
                  <c:v>9.9598442153785299E-2</c:v>
                </c:pt>
                <c:pt idx="234">
                  <c:v>0.10347748498544</c:v>
                </c:pt>
                <c:pt idx="235">
                  <c:v>0.10179081901974001</c:v>
                </c:pt>
                <c:pt idx="236">
                  <c:v>0.110547821669759</c:v>
                </c:pt>
                <c:pt idx="237">
                  <c:v>9.6230449493797096E-2</c:v>
                </c:pt>
                <c:pt idx="238">
                  <c:v>7.5604661898588402E-2</c:v>
                </c:pt>
                <c:pt idx="239">
                  <c:v>8.5197761360295804E-2</c:v>
                </c:pt>
                <c:pt idx="240">
                  <c:v>0.10362082618816899</c:v>
                </c:pt>
                <c:pt idx="241">
                  <c:v>8.5489414890793494E-2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0.13968228536253199</c:v>
                </c:pt>
                <c:pt idx="1">
                  <c:v>0.13434863222527799</c:v>
                </c:pt>
                <c:pt idx="2">
                  <c:v>0.13399274793060001</c:v>
                </c:pt>
                <c:pt idx="3">
                  <c:v>0.113239562463105</c:v>
                </c:pt>
                <c:pt idx="4">
                  <c:v>0.13219944397661801</c:v>
                </c:pt>
                <c:pt idx="5">
                  <c:v>0.107913658044586</c:v>
                </c:pt>
                <c:pt idx="6">
                  <c:v>0.10274478565732301</c:v>
                </c:pt>
                <c:pt idx="7">
                  <c:v>9.9141344254631503E-2</c:v>
                </c:pt>
                <c:pt idx="8">
                  <c:v>0.25379672914268198</c:v>
                </c:pt>
                <c:pt idx="9">
                  <c:v>0.21838905022978999</c:v>
                </c:pt>
                <c:pt idx="10">
                  <c:v>0.172560985583501</c:v>
                </c:pt>
                <c:pt idx="11">
                  <c:v>0.119547572325184</c:v>
                </c:pt>
                <c:pt idx="12">
                  <c:v>8.3824230021302196E-2</c:v>
                </c:pt>
                <c:pt idx="13">
                  <c:v>6.0475424865404803E-2</c:v>
                </c:pt>
                <c:pt idx="14">
                  <c:v>2.4873497551948301E-2</c:v>
                </c:pt>
                <c:pt idx="15">
                  <c:v>1.16871180376759E-2</c:v>
                </c:pt>
                <c:pt idx="16">
                  <c:v>5.0773781629055003E-3</c:v>
                </c:pt>
                <c:pt idx="17">
                  <c:v>1.05603481144976E-3</c:v>
                </c:pt>
                <c:pt idx="18" formatCode="0.00E+00">
                  <c:v>5.3805100395259899E-4</c:v>
                </c:pt>
                <c:pt idx="19" formatCode="0.00E+00">
                  <c:v>4.1426690755383203E-5</c:v>
                </c:pt>
                <c:pt idx="20" formatCode="0.00E+00">
                  <c:v>3.3036125513555898E-6</c:v>
                </c:pt>
                <c:pt idx="21" formatCode="0.00E+00">
                  <c:v>6.8537149933304297E-8</c:v>
                </c:pt>
                <c:pt idx="22">
                  <c:v>2.49398257284505E-2</c:v>
                </c:pt>
                <c:pt idx="23">
                  <c:v>5.6924644763563799E-2</c:v>
                </c:pt>
                <c:pt idx="24">
                  <c:v>4.8815829421211702E-2</c:v>
                </c:pt>
                <c:pt idx="25">
                  <c:v>3.52454191924058E-2</c:v>
                </c:pt>
                <c:pt idx="26">
                  <c:v>1.8858537837519899E-2</c:v>
                </c:pt>
                <c:pt idx="27">
                  <c:v>1.0371896893496199E-2</c:v>
                </c:pt>
                <c:pt idx="28">
                  <c:v>2.9461495566031101E-2</c:v>
                </c:pt>
                <c:pt idx="29">
                  <c:v>2.11381113579143E-2</c:v>
                </c:pt>
                <c:pt idx="30">
                  <c:v>3.1507388152304701E-2</c:v>
                </c:pt>
                <c:pt idx="31">
                  <c:v>4.3626651784565103E-2</c:v>
                </c:pt>
                <c:pt idx="32">
                  <c:v>5.36758877363284E-2</c:v>
                </c:pt>
                <c:pt idx="33">
                  <c:v>5.7741797678943101E-2</c:v>
                </c:pt>
                <c:pt idx="34">
                  <c:v>5.17032172069102E-2</c:v>
                </c:pt>
                <c:pt idx="35">
                  <c:v>7.2112348222999598E-2</c:v>
                </c:pt>
                <c:pt idx="36">
                  <c:v>4.2317309442036197E-2</c:v>
                </c:pt>
                <c:pt idx="37">
                  <c:v>5.62994596299186E-2</c:v>
                </c:pt>
                <c:pt idx="38">
                  <c:v>2.3567842918253899E-2</c:v>
                </c:pt>
                <c:pt idx="39">
                  <c:v>2.4305855701518098E-2</c:v>
                </c:pt>
                <c:pt idx="40">
                  <c:v>3.5611004288604801E-2</c:v>
                </c:pt>
                <c:pt idx="41">
                  <c:v>1.2502038791606799E-2</c:v>
                </c:pt>
                <c:pt idx="42">
                  <c:v>1.06633668106744E-2</c:v>
                </c:pt>
                <c:pt idx="43">
                  <c:v>1.0747764489719E-2</c:v>
                </c:pt>
                <c:pt idx="44">
                  <c:v>1.35716185243809E-2</c:v>
                </c:pt>
                <c:pt idx="45">
                  <c:v>2.2639556123761301E-2</c:v>
                </c:pt>
                <c:pt idx="46">
                  <c:v>1.4232177314852001E-2</c:v>
                </c:pt>
                <c:pt idx="47">
                  <c:v>1.33924821976052E-2</c:v>
                </c:pt>
                <c:pt idx="48">
                  <c:v>1.0885049498819801E-2</c:v>
                </c:pt>
                <c:pt idx="49">
                  <c:v>1.23772029697227E-2</c:v>
                </c:pt>
                <c:pt idx="50">
                  <c:v>1.07585097477087E-2</c:v>
                </c:pt>
                <c:pt idx="51">
                  <c:v>1.1057980389793901E-2</c:v>
                </c:pt>
                <c:pt idx="52">
                  <c:v>1.0937527305534199E-2</c:v>
                </c:pt>
                <c:pt idx="53">
                  <c:v>1.1192466537283801E-2</c:v>
                </c:pt>
                <c:pt idx="54">
                  <c:v>1.07171464902584E-2</c:v>
                </c:pt>
                <c:pt idx="55">
                  <c:v>1.0984113929250999E-2</c:v>
                </c:pt>
                <c:pt idx="56">
                  <c:v>1.1207130936930199E-2</c:v>
                </c:pt>
                <c:pt idx="57">
                  <c:v>1.0152857561862299E-2</c:v>
                </c:pt>
                <c:pt idx="58">
                  <c:v>8.8540197853587896E-3</c:v>
                </c:pt>
                <c:pt idx="59">
                  <c:v>8.1236068446548498E-3</c:v>
                </c:pt>
                <c:pt idx="60">
                  <c:v>8.8257918684079405E-3</c:v>
                </c:pt>
                <c:pt idx="61">
                  <c:v>8.2074162271573194E-3</c:v>
                </c:pt>
                <c:pt idx="62">
                  <c:v>8.5151157323842003E-3</c:v>
                </c:pt>
                <c:pt idx="63">
                  <c:v>1.10206679237631E-2</c:v>
                </c:pt>
                <c:pt idx="64">
                  <c:v>8.2084270451858003E-3</c:v>
                </c:pt>
                <c:pt idx="65">
                  <c:v>8.3012248061256604E-3</c:v>
                </c:pt>
                <c:pt idx="66">
                  <c:v>1.0370609755292699E-2</c:v>
                </c:pt>
                <c:pt idx="67">
                  <c:v>1.4707067287978701E-2</c:v>
                </c:pt>
                <c:pt idx="68">
                  <c:v>1.3780355377990499E-2</c:v>
                </c:pt>
                <c:pt idx="69">
                  <c:v>1.52289434331008E-2</c:v>
                </c:pt>
                <c:pt idx="70">
                  <c:v>1.4696420095600999E-2</c:v>
                </c:pt>
                <c:pt idx="71">
                  <c:v>8.7406852450220892E-3</c:v>
                </c:pt>
                <c:pt idx="72">
                  <c:v>1.79396800964726E-2</c:v>
                </c:pt>
                <c:pt idx="73">
                  <c:v>3.2902954117515301E-2</c:v>
                </c:pt>
                <c:pt idx="74">
                  <c:v>3.0725994274638301E-2</c:v>
                </c:pt>
                <c:pt idx="75">
                  <c:v>1.7724713242063098E-2</c:v>
                </c:pt>
                <c:pt idx="76">
                  <c:v>2.17841194610356E-2</c:v>
                </c:pt>
                <c:pt idx="77">
                  <c:v>2.2443183328651101E-2</c:v>
                </c:pt>
                <c:pt idx="78">
                  <c:v>1.8632797054370698E-2</c:v>
                </c:pt>
                <c:pt idx="79">
                  <c:v>1.8702562928393399E-2</c:v>
                </c:pt>
                <c:pt idx="80">
                  <c:v>1.9107736841856401E-2</c:v>
                </c:pt>
                <c:pt idx="81">
                  <c:v>2.2146527056765099E-2</c:v>
                </c:pt>
                <c:pt idx="82">
                  <c:v>1.5807152787864098E-2</c:v>
                </c:pt>
                <c:pt idx="83">
                  <c:v>1.16637034589702E-2</c:v>
                </c:pt>
                <c:pt idx="84">
                  <c:v>8.1848123819438599E-3</c:v>
                </c:pt>
                <c:pt idx="85">
                  <c:v>6.7043729112466399E-3</c:v>
                </c:pt>
                <c:pt idx="86">
                  <c:v>7.3296866013434396E-3</c:v>
                </c:pt>
                <c:pt idx="87">
                  <c:v>5.0560525114684996E-3</c:v>
                </c:pt>
                <c:pt idx="88">
                  <c:v>2.4766092519404701E-3</c:v>
                </c:pt>
                <c:pt idx="89">
                  <c:v>2.2087328928428198E-3</c:v>
                </c:pt>
                <c:pt idx="90">
                  <c:v>1.4075231621301699E-3</c:v>
                </c:pt>
                <c:pt idx="91">
                  <c:v>7.9450201876139E-4</c:v>
                </c:pt>
                <c:pt idx="92">
                  <c:v>8.1426844967099298E-4</c:v>
                </c:pt>
                <c:pt idx="93">
                  <c:v>8.4106068605569297E-4</c:v>
                </c:pt>
                <c:pt idx="94">
                  <c:v>3.7131742723696E-3</c:v>
                </c:pt>
                <c:pt idx="95">
                  <c:v>8.9180493940659508E-3</c:v>
                </c:pt>
                <c:pt idx="96">
                  <c:v>7.34830935843788E-3</c:v>
                </c:pt>
                <c:pt idx="97">
                  <c:v>1.42991536483816E-2</c:v>
                </c:pt>
                <c:pt idx="98">
                  <c:v>2.29910707826783E-2</c:v>
                </c:pt>
                <c:pt idx="99">
                  <c:v>2.7515179626857199E-2</c:v>
                </c:pt>
                <c:pt idx="100">
                  <c:v>3.6070307958658503E-2</c:v>
                </c:pt>
                <c:pt idx="101">
                  <c:v>3.10545202500647E-2</c:v>
                </c:pt>
                <c:pt idx="102">
                  <c:v>3.5631341478819897E-2</c:v>
                </c:pt>
                <c:pt idx="103">
                  <c:v>8.4345050975452793E-3</c:v>
                </c:pt>
                <c:pt idx="104">
                  <c:v>1.0528241742192799E-2</c:v>
                </c:pt>
                <c:pt idx="105">
                  <c:v>3.7836375606894998E-2</c:v>
                </c:pt>
                <c:pt idx="106">
                  <c:v>5.1318030743526699E-2</c:v>
                </c:pt>
                <c:pt idx="107">
                  <c:v>6.4660116977002594E-2</c:v>
                </c:pt>
                <c:pt idx="108">
                  <c:v>0.112264428684068</c:v>
                </c:pt>
                <c:pt idx="109">
                  <c:v>0.21176748079195601</c:v>
                </c:pt>
                <c:pt idx="110">
                  <c:v>0.240239866510538</c:v>
                </c:pt>
                <c:pt idx="111">
                  <c:v>0.122214285918697</c:v>
                </c:pt>
                <c:pt idx="112">
                  <c:v>0.124346321052625</c:v>
                </c:pt>
                <c:pt idx="113">
                  <c:v>0.123149977774085</c:v>
                </c:pt>
                <c:pt idx="114">
                  <c:v>0.109514359871073</c:v>
                </c:pt>
                <c:pt idx="115">
                  <c:v>0.13914118567403899</c:v>
                </c:pt>
                <c:pt idx="116">
                  <c:v>9.31900307686057E-2</c:v>
                </c:pt>
                <c:pt idx="117">
                  <c:v>0.13471639072187</c:v>
                </c:pt>
                <c:pt idx="118">
                  <c:v>0.20994340531136399</c:v>
                </c:pt>
                <c:pt idx="119">
                  <c:v>0.31761417605319098</c:v>
                </c:pt>
                <c:pt idx="120">
                  <c:v>0.33937638811078502</c:v>
                </c:pt>
                <c:pt idx="121">
                  <c:v>0.25520878210773201</c:v>
                </c:pt>
                <c:pt idx="122">
                  <c:v>0.207355239005654</c:v>
                </c:pt>
                <c:pt idx="123">
                  <c:v>0.23297822551588099</c:v>
                </c:pt>
                <c:pt idx="124">
                  <c:v>0.30524851671398601</c:v>
                </c:pt>
                <c:pt idx="125">
                  <c:v>0.31860896492754298</c:v>
                </c:pt>
                <c:pt idx="126">
                  <c:v>0.28044396745892802</c:v>
                </c:pt>
                <c:pt idx="127">
                  <c:v>0.29125313931156599</c:v>
                </c:pt>
                <c:pt idx="128">
                  <c:v>0.28568318452250901</c:v>
                </c:pt>
                <c:pt idx="129">
                  <c:v>0.30718005576955698</c:v>
                </c:pt>
                <c:pt idx="130">
                  <c:v>0.28742334805061698</c:v>
                </c:pt>
                <c:pt idx="131">
                  <c:v>0.56770368822002804</c:v>
                </c:pt>
                <c:pt idx="132">
                  <c:v>0.29727492042306602</c:v>
                </c:pt>
                <c:pt idx="133">
                  <c:v>0.25303437582148403</c:v>
                </c:pt>
                <c:pt idx="134">
                  <c:v>0.52926535964132804</c:v>
                </c:pt>
                <c:pt idx="135">
                  <c:v>0.60708745465241898</c:v>
                </c:pt>
                <c:pt idx="136">
                  <c:v>0.472504506252866</c:v>
                </c:pt>
                <c:pt idx="137">
                  <c:v>0.281836432074969</c:v>
                </c:pt>
                <c:pt idx="138">
                  <c:v>0.19154555536776699</c:v>
                </c:pt>
                <c:pt idx="139">
                  <c:v>0.21547265931961099</c:v>
                </c:pt>
                <c:pt idx="140">
                  <c:v>0.18174155125990499</c:v>
                </c:pt>
                <c:pt idx="141">
                  <c:v>0.18214327338432801</c:v>
                </c:pt>
                <c:pt idx="142">
                  <c:v>0.18486812758412599</c:v>
                </c:pt>
                <c:pt idx="143">
                  <c:v>0.17639128111840999</c:v>
                </c:pt>
                <c:pt idx="144">
                  <c:v>0.18315221529648401</c:v>
                </c:pt>
                <c:pt idx="145">
                  <c:v>0.18132240432747401</c:v>
                </c:pt>
                <c:pt idx="146">
                  <c:v>0.17404447686007299</c:v>
                </c:pt>
                <c:pt idx="147">
                  <c:v>0.16173110248251599</c:v>
                </c:pt>
                <c:pt idx="148">
                  <c:v>0.18083259180497899</c:v>
                </c:pt>
                <c:pt idx="149">
                  <c:v>0.1958554623249</c:v>
                </c:pt>
                <c:pt idx="150">
                  <c:v>0.18888221148738801</c:v>
                </c:pt>
                <c:pt idx="151">
                  <c:v>0.16871422965795099</c:v>
                </c:pt>
                <c:pt idx="152">
                  <c:v>0.204314208495537</c:v>
                </c:pt>
                <c:pt idx="153">
                  <c:v>0.21486598689303099</c:v>
                </c:pt>
                <c:pt idx="154">
                  <c:v>0.23178696486067399</c:v>
                </c:pt>
                <c:pt idx="155">
                  <c:v>0.123680037737271</c:v>
                </c:pt>
                <c:pt idx="156">
                  <c:v>0.125480549149947</c:v>
                </c:pt>
                <c:pt idx="157">
                  <c:v>0.13601558577688599</c:v>
                </c:pt>
                <c:pt idx="158">
                  <c:v>0.20534955122017601</c:v>
                </c:pt>
                <c:pt idx="159">
                  <c:v>0.27785145846530301</c:v>
                </c:pt>
                <c:pt idx="160">
                  <c:v>0.26394784306473501</c:v>
                </c:pt>
                <c:pt idx="161">
                  <c:v>0.26319024887917503</c:v>
                </c:pt>
                <c:pt idx="162">
                  <c:v>0.29204440563011203</c:v>
                </c:pt>
                <c:pt idx="163">
                  <c:v>0.29951059838239202</c:v>
                </c:pt>
                <c:pt idx="164">
                  <c:v>0.300235926428501</c:v>
                </c:pt>
                <c:pt idx="165">
                  <c:v>0.37875272154220302</c:v>
                </c:pt>
                <c:pt idx="166">
                  <c:v>0.44313400753686699</c:v>
                </c:pt>
                <c:pt idx="167">
                  <c:v>0.37984100876683002</c:v>
                </c:pt>
                <c:pt idx="168">
                  <c:v>0.51153345813863305</c:v>
                </c:pt>
                <c:pt idx="169">
                  <c:v>0.463716237323334</c:v>
                </c:pt>
                <c:pt idx="170">
                  <c:v>0.49816361032624801</c:v>
                </c:pt>
                <c:pt idx="171">
                  <c:v>0.601942946559893</c:v>
                </c:pt>
                <c:pt idx="172">
                  <c:v>0.59911086327192398</c:v>
                </c:pt>
                <c:pt idx="173">
                  <c:v>0.56118883544211395</c:v>
                </c:pt>
                <c:pt idx="174">
                  <c:v>0.50419762419803604</c:v>
                </c:pt>
                <c:pt idx="175">
                  <c:v>0.73877248463149603</c:v>
                </c:pt>
                <c:pt idx="176">
                  <c:v>0.67392412292215498</c:v>
                </c:pt>
                <c:pt idx="177">
                  <c:v>0.68106713224793802</c:v>
                </c:pt>
                <c:pt idx="178">
                  <c:v>0.78767439123077498</c:v>
                </c:pt>
                <c:pt idx="179">
                  <c:v>0.89780230096237901</c:v>
                </c:pt>
                <c:pt idx="180">
                  <c:v>0.81586156153081202</c:v>
                </c:pt>
                <c:pt idx="181">
                  <c:v>0.81173141656086001</c:v>
                </c:pt>
                <c:pt idx="182">
                  <c:v>0.86667792879274796</c:v>
                </c:pt>
                <c:pt idx="183">
                  <c:v>0.80655149982694196</c:v>
                </c:pt>
                <c:pt idx="184">
                  <c:v>0.76289506039910604</c:v>
                </c:pt>
                <c:pt idx="185">
                  <c:v>0.79986927806339503</c:v>
                </c:pt>
                <c:pt idx="186">
                  <c:v>0.80137214245562205</c:v>
                </c:pt>
                <c:pt idx="187">
                  <c:v>0.77633625274009799</c:v>
                </c:pt>
                <c:pt idx="188">
                  <c:v>0.68942291854436699</c:v>
                </c:pt>
                <c:pt idx="189">
                  <c:v>0.71990136913242897</c:v>
                </c:pt>
                <c:pt idx="190">
                  <c:v>0.72172350932442297</c:v>
                </c:pt>
                <c:pt idx="191">
                  <c:v>0.76566555106979295</c:v>
                </c:pt>
                <c:pt idx="192">
                  <c:v>0.72568598788142802</c:v>
                </c:pt>
                <c:pt idx="193">
                  <c:v>0.73957967223640897</c:v>
                </c:pt>
                <c:pt idx="194">
                  <c:v>0.79588280754718699</c:v>
                </c:pt>
                <c:pt idx="195">
                  <c:v>0.80806238806501496</c:v>
                </c:pt>
                <c:pt idx="196">
                  <c:v>0.81007941421098495</c:v>
                </c:pt>
                <c:pt idx="197">
                  <c:v>0.81608263849485196</c:v>
                </c:pt>
                <c:pt idx="198">
                  <c:v>0.80431551921591304</c:v>
                </c:pt>
                <c:pt idx="199">
                  <c:v>0.78136723774202599</c:v>
                </c:pt>
                <c:pt idx="200">
                  <c:v>0.77055643704583199</c:v>
                </c:pt>
                <c:pt idx="201">
                  <c:v>0.75138514153541502</c:v>
                </c:pt>
                <c:pt idx="202">
                  <c:v>0.78381280347982196</c:v>
                </c:pt>
                <c:pt idx="203">
                  <c:v>0.70877141201123195</c:v>
                </c:pt>
                <c:pt idx="204">
                  <c:v>0.71578592385802697</c:v>
                </c:pt>
                <c:pt idx="205">
                  <c:v>0.70564032474632599</c:v>
                </c:pt>
                <c:pt idx="206">
                  <c:v>0.72398916660176005</c:v>
                </c:pt>
                <c:pt idx="207">
                  <c:v>0.77992812008738199</c:v>
                </c:pt>
                <c:pt idx="208">
                  <c:v>0.82602466226463001</c:v>
                </c:pt>
                <c:pt idx="209">
                  <c:v>0.74621889101003902</c:v>
                </c:pt>
                <c:pt idx="210">
                  <c:v>0.74612881376111295</c:v>
                </c:pt>
                <c:pt idx="211">
                  <c:v>0.72281872878259601</c:v>
                </c:pt>
                <c:pt idx="212">
                  <c:v>0.65613911780400003</c:v>
                </c:pt>
                <c:pt idx="213">
                  <c:v>0.61335264339025997</c:v>
                </c:pt>
                <c:pt idx="214">
                  <c:v>0.59877228184680797</c:v>
                </c:pt>
                <c:pt idx="215">
                  <c:v>0.63143949903823804</c:v>
                </c:pt>
                <c:pt idx="216">
                  <c:v>0.62360504734405497</c:v>
                </c:pt>
                <c:pt idx="217">
                  <c:v>0.61710999498757901</c:v>
                </c:pt>
                <c:pt idx="218">
                  <c:v>0.61135375723662799</c:v>
                </c:pt>
                <c:pt idx="219">
                  <c:v>0.61224309221961004</c:v>
                </c:pt>
                <c:pt idx="220">
                  <c:v>0.62005244550537397</c:v>
                </c:pt>
                <c:pt idx="221">
                  <c:v>0.62107639616320798</c:v>
                </c:pt>
                <c:pt idx="222">
                  <c:v>0.62261146761965702</c:v>
                </c:pt>
                <c:pt idx="223">
                  <c:v>0.62402409510188706</c:v>
                </c:pt>
                <c:pt idx="224">
                  <c:v>0.61200969790322701</c:v>
                </c:pt>
                <c:pt idx="225">
                  <c:v>0.62756335537991603</c:v>
                </c:pt>
                <c:pt idx="226">
                  <c:v>0.58240564392982197</c:v>
                </c:pt>
                <c:pt idx="227">
                  <c:v>0.58466522833604495</c:v>
                </c:pt>
                <c:pt idx="228">
                  <c:v>0.56061343024928201</c:v>
                </c:pt>
                <c:pt idx="229">
                  <c:v>0.60178738843879198</c:v>
                </c:pt>
                <c:pt idx="230">
                  <c:v>0.60725779473540398</c:v>
                </c:pt>
                <c:pt idx="231">
                  <c:v>0.62392739821378296</c:v>
                </c:pt>
                <c:pt idx="232">
                  <c:v>0.61357953095512496</c:v>
                </c:pt>
                <c:pt idx="233">
                  <c:v>0.59416276456973305</c:v>
                </c:pt>
                <c:pt idx="234">
                  <c:v>0.61998244206130004</c:v>
                </c:pt>
                <c:pt idx="235">
                  <c:v>0.591293667631967</c:v>
                </c:pt>
                <c:pt idx="236">
                  <c:v>0.50156606097712597</c:v>
                </c:pt>
                <c:pt idx="237">
                  <c:v>0.46349594275957401</c:v>
                </c:pt>
                <c:pt idx="238">
                  <c:v>0.48157129590777797</c:v>
                </c:pt>
                <c:pt idx="239">
                  <c:v>0.51484818181776404</c:v>
                </c:pt>
                <c:pt idx="240">
                  <c:v>0.57658162675989999</c:v>
                </c:pt>
                <c:pt idx="241">
                  <c:v>0.54005026887517105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1.4338235294117601</c:v>
                </c:pt>
                <c:pt idx="1">
                  <c:v>1.4224664224664201</c:v>
                </c:pt>
                <c:pt idx="2">
                  <c:v>1.41818181818181</c:v>
                </c:pt>
                <c:pt idx="3">
                  <c:v>1.40696278511404</c:v>
                </c:pt>
                <c:pt idx="4">
                  <c:v>1.40892641737032</c:v>
                </c:pt>
                <c:pt idx="5">
                  <c:v>1.4098125820699501</c:v>
                </c:pt>
                <c:pt idx="6">
                  <c:v>1.4173518223094801</c:v>
                </c:pt>
                <c:pt idx="7">
                  <c:v>1.42458100558659</c:v>
                </c:pt>
                <c:pt idx="8">
                  <c:v>1.3880849011095</c:v>
                </c:pt>
                <c:pt idx="9">
                  <c:v>1.38026474127557</c:v>
                </c:pt>
                <c:pt idx="10">
                  <c:v>1.37834889077463</c:v>
                </c:pt>
                <c:pt idx="11">
                  <c:v>1.3485050236048901</c:v>
                </c:pt>
                <c:pt idx="12">
                  <c:v>1.34776192818494</c:v>
                </c:pt>
                <c:pt idx="13">
                  <c:v>1.34077526987242</c:v>
                </c:pt>
                <c:pt idx="14">
                  <c:v>1.335433834222</c:v>
                </c:pt>
                <c:pt idx="15">
                  <c:v>1.32516703786191</c:v>
                </c:pt>
                <c:pt idx="16">
                  <c:v>1.3171513060620901</c:v>
                </c:pt>
                <c:pt idx="17">
                  <c:v>1.3091268371001601</c:v>
                </c:pt>
                <c:pt idx="18">
                  <c:v>1.32828031809145</c:v>
                </c:pt>
                <c:pt idx="19">
                  <c:v>1.32016890213611</c:v>
                </c:pt>
                <c:pt idx="20">
                  <c:v>1.36027105031999</c:v>
                </c:pt>
                <c:pt idx="21">
                  <c:v>1.34060697266114</c:v>
                </c:pt>
                <c:pt idx="22">
                  <c:v>1.3265306122448901</c:v>
                </c:pt>
                <c:pt idx="23">
                  <c:v>1.3055900621118</c:v>
                </c:pt>
                <c:pt idx="24">
                  <c:v>1.3064396743153199</c:v>
                </c:pt>
                <c:pt idx="25">
                  <c:v>1.3131935881627601</c:v>
                </c:pt>
                <c:pt idx="26">
                  <c:v>1.33912824389014</c:v>
                </c:pt>
                <c:pt idx="27">
                  <c:v>1.32595998508761</c:v>
                </c:pt>
                <c:pt idx="28">
                  <c:v>1.30898394411079</c:v>
                </c:pt>
                <c:pt idx="29">
                  <c:v>1.3100111648678801</c:v>
                </c:pt>
                <c:pt idx="30">
                  <c:v>1.33591602099475</c:v>
                </c:pt>
                <c:pt idx="31">
                  <c:v>1.3349452786968601</c:v>
                </c:pt>
                <c:pt idx="32">
                  <c:v>1.3315494393476</c:v>
                </c:pt>
                <c:pt idx="33">
                  <c:v>1.37670787247885</c:v>
                </c:pt>
                <c:pt idx="34">
                  <c:v>1.3543182118767301</c:v>
                </c:pt>
                <c:pt idx="35">
                  <c:v>1.34761034212588</c:v>
                </c:pt>
                <c:pt idx="36">
                  <c:v>1.3160297378374799</c:v>
                </c:pt>
                <c:pt idx="37">
                  <c:v>1.3256332852080299</c:v>
                </c:pt>
                <c:pt idx="38">
                  <c:v>1.3173255505439101</c:v>
                </c:pt>
                <c:pt idx="39">
                  <c:v>1.30128800956048</c:v>
                </c:pt>
                <c:pt idx="40">
                  <c:v>1.3235880398671001</c:v>
                </c:pt>
                <c:pt idx="41">
                  <c:v>1.2823938017632901</c:v>
                </c:pt>
                <c:pt idx="42">
                  <c:v>1.2727517864365601</c:v>
                </c:pt>
                <c:pt idx="43">
                  <c:v>1.28117759302167</c:v>
                </c:pt>
                <c:pt idx="44">
                  <c:v>1.2821213778020699</c:v>
                </c:pt>
                <c:pt idx="45">
                  <c:v>1.2744565217391299</c:v>
                </c:pt>
                <c:pt idx="46">
                  <c:v>1.2411204932314699</c:v>
                </c:pt>
                <c:pt idx="47">
                  <c:v>1.2198774676650701</c:v>
                </c:pt>
                <c:pt idx="48">
                  <c:v>1.2214166201896199</c:v>
                </c:pt>
                <c:pt idx="49">
                  <c:v>1.22328458942632</c:v>
                </c:pt>
                <c:pt idx="50">
                  <c:v>1.2135049121350401</c:v>
                </c:pt>
                <c:pt idx="51">
                  <c:v>1.2597178232076001</c:v>
                </c:pt>
                <c:pt idx="52">
                  <c:v>1.2563031263506601</c:v>
                </c:pt>
                <c:pt idx="53">
                  <c:v>1.2378502001143501</c:v>
                </c:pt>
                <c:pt idx="54">
                  <c:v>1.2403535849586</c:v>
                </c:pt>
                <c:pt idx="55">
                  <c:v>1.24091594679829</c:v>
                </c:pt>
                <c:pt idx="56">
                  <c:v>1.24007245367145</c:v>
                </c:pt>
                <c:pt idx="57">
                  <c:v>1.24605028163209</c:v>
                </c:pt>
                <c:pt idx="58">
                  <c:v>1.21841513427702</c:v>
                </c:pt>
                <c:pt idx="59">
                  <c:v>1.2219418249435501</c:v>
                </c:pt>
                <c:pt idx="60">
                  <c:v>1.23389560366582</c:v>
                </c:pt>
                <c:pt idx="61">
                  <c:v>1.2374005305039699</c:v>
                </c:pt>
                <c:pt idx="62">
                  <c:v>1.24668082846521</c:v>
                </c:pt>
                <c:pt idx="63">
                  <c:v>1.23640222870788</c:v>
                </c:pt>
                <c:pt idx="64">
                  <c:v>1.2273379418286099</c:v>
                </c:pt>
                <c:pt idx="65">
                  <c:v>1.25801282051282</c:v>
                </c:pt>
                <c:pt idx="66">
                  <c:v>1.2428093645484899</c:v>
                </c:pt>
                <c:pt idx="67">
                  <c:v>1.2424037812288899</c:v>
                </c:pt>
                <c:pt idx="68">
                  <c:v>1.25172318720705</c:v>
                </c:pt>
                <c:pt idx="69">
                  <c:v>1.24037639007698</c:v>
                </c:pt>
                <c:pt idx="70">
                  <c:v>1.24622682190599</c:v>
                </c:pt>
                <c:pt idx="71">
                  <c:v>1.26423357664233</c:v>
                </c:pt>
                <c:pt idx="72">
                  <c:v>1.2427271371027899</c:v>
                </c:pt>
                <c:pt idx="73">
                  <c:v>1.2461243171415901</c:v>
                </c:pt>
                <c:pt idx="74">
                  <c:v>1.23567068631829</c:v>
                </c:pt>
                <c:pt idx="75">
                  <c:v>1.2328565108391001</c:v>
                </c:pt>
                <c:pt idx="76">
                  <c:v>1.2445774121166699</c:v>
                </c:pt>
                <c:pt idx="77">
                  <c:v>1.2313713683576699</c:v>
                </c:pt>
                <c:pt idx="78">
                  <c:v>1.226542561177</c:v>
                </c:pt>
                <c:pt idx="79">
                  <c:v>1.2208339605599801</c:v>
                </c:pt>
                <c:pt idx="80">
                  <c:v>1.22092161801748</c:v>
                </c:pt>
                <c:pt idx="81">
                  <c:v>1.2022900763358699</c:v>
                </c:pt>
                <c:pt idx="82">
                  <c:v>1.2238850200029601</c:v>
                </c:pt>
                <c:pt idx="83">
                  <c:v>1.25183877611062</c:v>
                </c:pt>
                <c:pt idx="84">
                  <c:v>1.24796447076239</c:v>
                </c:pt>
                <c:pt idx="85">
                  <c:v>1.24299772899318</c:v>
                </c:pt>
                <c:pt idx="86">
                  <c:v>1.2444782939832399</c:v>
                </c:pt>
                <c:pt idx="87">
                  <c:v>1.2490479817212401</c:v>
                </c:pt>
                <c:pt idx="88">
                  <c:v>1.24902419984387</c:v>
                </c:pt>
                <c:pt idx="89">
                  <c:v>1.24106463878327</c:v>
                </c:pt>
                <c:pt idx="90">
                  <c:v>1.23949258749808</c:v>
                </c:pt>
                <c:pt idx="91">
                  <c:v>1.2319277108433699</c:v>
                </c:pt>
                <c:pt idx="92">
                  <c:v>1.2756533293961301</c:v>
                </c:pt>
                <c:pt idx="93">
                  <c:v>1.30072840790842</c:v>
                </c:pt>
                <c:pt idx="94">
                  <c:v>1.2441792782304999</c:v>
                </c:pt>
                <c:pt idx="95">
                  <c:v>1.2447257383966199</c:v>
                </c:pt>
                <c:pt idx="96">
                  <c:v>1.2352112676056299</c:v>
                </c:pt>
                <c:pt idx="97">
                  <c:v>1.1717988017277401</c:v>
                </c:pt>
                <c:pt idx="98">
                  <c:v>1.18149964961457</c:v>
                </c:pt>
                <c:pt idx="99">
                  <c:v>1.1927761444771099</c:v>
                </c:pt>
                <c:pt idx="100">
                  <c:v>1.1998339330196499</c:v>
                </c:pt>
                <c:pt idx="101">
                  <c:v>1.1993382961124801</c:v>
                </c:pt>
                <c:pt idx="102">
                  <c:v>1.20804438280166</c:v>
                </c:pt>
                <c:pt idx="103">
                  <c:v>1.2118667786174</c:v>
                </c:pt>
                <c:pt idx="104">
                  <c:v>1.20638923917612</c:v>
                </c:pt>
                <c:pt idx="105">
                  <c:v>1.2162355295126399</c:v>
                </c:pt>
                <c:pt idx="106">
                  <c:v>1.19415448851774</c:v>
                </c:pt>
                <c:pt idx="107">
                  <c:v>1.18559556786703</c:v>
                </c:pt>
                <c:pt idx="108">
                  <c:v>1.18219178082191</c:v>
                </c:pt>
                <c:pt idx="109">
                  <c:v>1.1895859299266001</c:v>
                </c:pt>
                <c:pt idx="110">
                  <c:v>1.18489942132818</c:v>
                </c:pt>
                <c:pt idx="111">
                  <c:v>1.1583537748705299</c:v>
                </c:pt>
                <c:pt idx="112">
                  <c:v>1.16342359504694</c:v>
                </c:pt>
                <c:pt idx="113">
                  <c:v>1.1812738160043501</c:v>
                </c:pt>
                <c:pt idx="114">
                  <c:v>1.18963646228974</c:v>
                </c:pt>
                <c:pt idx="115">
                  <c:v>1.21830889406605</c:v>
                </c:pt>
                <c:pt idx="116">
                  <c:v>1.2127716662194701</c:v>
                </c:pt>
                <c:pt idx="117">
                  <c:v>1.2296076580827799</c:v>
                </c:pt>
                <c:pt idx="118">
                  <c:v>1.27208976157082</c:v>
                </c:pt>
                <c:pt idx="119">
                  <c:v>1.2789568594812</c:v>
                </c:pt>
                <c:pt idx="120">
                  <c:v>1.2411495210329</c:v>
                </c:pt>
                <c:pt idx="121">
                  <c:v>1.2362183020948101</c:v>
                </c:pt>
                <c:pt idx="122">
                  <c:v>1.2314865606143699</c:v>
                </c:pt>
                <c:pt idx="123">
                  <c:v>1.2258064516128999</c:v>
                </c:pt>
                <c:pt idx="124">
                  <c:v>1.2473983627029199</c:v>
                </c:pt>
                <c:pt idx="125">
                  <c:v>1.22845417236662</c:v>
                </c:pt>
                <c:pt idx="126">
                  <c:v>1.25160737248178</c:v>
                </c:pt>
                <c:pt idx="127">
                  <c:v>1.2365214955888499</c:v>
                </c:pt>
                <c:pt idx="128">
                  <c:v>1.2192393736017799</c:v>
                </c:pt>
                <c:pt idx="129">
                  <c:v>1.22043386983904</c:v>
                </c:pt>
                <c:pt idx="130">
                  <c:v>1.2129934210526301</c:v>
                </c:pt>
                <c:pt idx="131">
                  <c:v>1.2285080421519601</c:v>
                </c:pt>
                <c:pt idx="132">
                  <c:v>1.2459248759744801</c:v>
                </c:pt>
                <c:pt idx="133">
                  <c:v>1.22852233676975</c:v>
                </c:pt>
                <c:pt idx="134">
                  <c:v>1.2288564406534599</c:v>
                </c:pt>
                <c:pt idx="135">
                  <c:v>1.2886002886002801</c:v>
                </c:pt>
                <c:pt idx="136">
                  <c:v>1.27998829724985</c:v>
                </c:pt>
                <c:pt idx="137">
                  <c:v>1.2825472399940401</c:v>
                </c:pt>
                <c:pt idx="138">
                  <c:v>1.2598770851624199</c:v>
                </c:pt>
                <c:pt idx="139">
                  <c:v>1.2772362385321101</c:v>
                </c:pt>
                <c:pt idx="140">
                  <c:v>1.28227571115973</c:v>
                </c:pt>
                <c:pt idx="141">
                  <c:v>1.2768101338707301</c:v>
                </c:pt>
                <c:pt idx="142">
                  <c:v>1.2638230647709301</c:v>
                </c:pt>
                <c:pt idx="143">
                  <c:v>1.26191163730869</c:v>
                </c:pt>
                <c:pt idx="144">
                  <c:v>1.2517882689556501</c:v>
                </c:pt>
                <c:pt idx="145">
                  <c:v>1.26778599886169</c:v>
                </c:pt>
                <c:pt idx="146">
                  <c:v>1.27082136703044</c:v>
                </c:pt>
                <c:pt idx="147">
                  <c:v>1.30091795754446</c:v>
                </c:pt>
                <c:pt idx="148">
                  <c:v>1.29059587687094</c:v>
                </c:pt>
                <c:pt idx="149">
                  <c:v>1.3033547466095601</c:v>
                </c:pt>
                <c:pt idx="150">
                  <c:v>1.3057640560827</c:v>
                </c:pt>
                <c:pt idx="151">
                  <c:v>1.3296359499431101</c:v>
                </c:pt>
                <c:pt idx="152">
                  <c:v>1.3331454340473501</c:v>
                </c:pt>
                <c:pt idx="153">
                  <c:v>1.32651631881215</c:v>
                </c:pt>
                <c:pt idx="154">
                  <c:v>1.33009708737864</c:v>
                </c:pt>
                <c:pt idx="155">
                  <c:v>1.29328716036228</c:v>
                </c:pt>
                <c:pt idx="156">
                  <c:v>1.29212026956972</c:v>
                </c:pt>
                <c:pt idx="157">
                  <c:v>1.3180731983398299</c:v>
                </c:pt>
                <c:pt idx="158">
                  <c:v>1.26384692849949</c:v>
                </c:pt>
                <c:pt idx="159">
                  <c:v>1.2934631432545201</c:v>
                </c:pt>
                <c:pt idx="160">
                  <c:v>1.2974371611631299</c:v>
                </c:pt>
                <c:pt idx="161">
                  <c:v>1.30683941696773</c:v>
                </c:pt>
                <c:pt idx="162">
                  <c:v>1.32039813531561</c:v>
                </c:pt>
                <c:pt idx="163">
                  <c:v>1.2783947501261901</c:v>
                </c:pt>
                <c:pt idx="164">
                  <c:v>1.2552979306906</c:v>
                </c:pt>
                <c:pt idx="165">
                  <c:v>1.2419700214132701</c:v>
                </c:pt>
                <c:pt idx="166">
                  <c:v>1.24890938551663</c:v>
                </c:pt>
                <c:pt idx="167">
                  <c:v>1.2480935434672</c:v>
                </c:pt>
                <c:pt idx="168">
                  <c:v>1.25735482220516</c:v>
                </c:pt>
                <c:pt idx="169">
                  <c:v>1.2371656737229</c:v>
                </c:pt>
                <c:pt idx="170">
                  <c:v>1.22717037778333</c:v>
                </c:pt>
                <c:pt idx="171">
                  <c:v>1.2095273539263101</c:v>
                </c:pt>
                <c:pt idx="172">
                  <c:v>1.2266267763649901</c:v>
                </c:pt>
                <c:pt idx="173">
                  <c:v>1.22999369880277</c:v>
                </c:pt>
                <c:pt idx="174">
                  <c:v>1.2321496271957499</c:v>
                </c:pt>
                <c:pt idx="175">
                  <c:v>1.23723186925434</c:v>
                </c:pt>
                <c:pt idx="176">
                  <c:v>1.20166793025018</c:v>
                </c:pt>
                <c:pt idx="177">
                  <c:v>1.21830065359477</c:v>
                </c:pt>
                <c:pt idx="178">
                  <c:v>1.2090351220786</c:v>
                </c:pt>
                <c:pt idx="179">
                  <c:v>1.2038338658146901</c:v>
                </c:pt>
                <c:pt idx="180">
                  <c:v>1.1925465838509299</c:v>
                </c:pt>
                <c:pt idx="181">
                  <c:v>1.1981156098803101</c:v>
                </c:pt>
                <c:pt idx="182">
                  <c:v>1.19617818587914</c:v>
                </c:pt>
                <c:pt idx="183">
                  <c:v>1.2047432824523701</c:v>
                </c:pt>
                <c:pt idx="184">
                  <c:v>1.2074894917844801</c:v>
                </c:pt>
                <c:pt idx="185">
                  <c:v>1.21262671628384</c:v>
                </c:pt>
                <c:pt idx="186">
                  <c:v>1.21775952778134</c:v>
                </c:pt>
                <c:pt idx="187">
                  <c:v>1.20122809261865</c:v>
                </c:pt>
                <c:pt idx="188">
                  <c:v>1.2093142930657399</c:v>
                </c:pt>
                <c:pt idx="189">
                  <c:v>1.21521572632116</c:v>
                </c:pt>
                <c:pt idx="190">
                  <c:v>1.22861586314152</c:v>
                </c:pt>
                <c:pt idx="191">
                  <c:v>1.24591876714117</c:v>
                </c:pt>
                <c:pt idx="192">
                  <c:v>1.2560695118834599</c:v>
                </c:pt>
                <c:pt idx="193">
                  <c:v>1.2688745083111199</c:v>
                </c:pt>
                <c:pt idx="194">
                  <c:v>1.28308545500378</c:v>
                </c:pt>
                <c:pt idx="195">
                  <c:v>1.3021681915026899</c:v>
                </c:pt>
                <c:pt idx="196">
                  <c:v>1.2863070539418999</c:v>
                </c:pt>
                <c:pt idx="197">
                  <c:v>1.28727821819554</c:v>
                </c:pt>
                <c:pt idx="198">
                  <c:v>1.28802992518703</c:v>
                </c:pt>
                <c:pt idx="199">
                  <c:v>1.29876604761311</c:v>
                </c:pt>
                <c:pt idx="200">
                  <c:v>1.29072370057199</c:v>
                </c:pt>
                <c:pt idx="201">
                  <c:v>1.2775712515489399</c:v>
                </c:pt>
                <c:pt idx="202">
                  <c:v>1.25412138234216</c:v>
                </c:pt>
                <c:pt idx="203">
                  <c:v>1.26035070628348</c:v>
                </c:pt>
                <c:pt idx="204">
                  <c:v>1.2755417956656301</c:v>
                </c:pt>
                <c:pt idx="205">
                  <c:v>1.28023818384815</c:v>
                </c:pt>
                <c:pt idx="206">
                  <c:v>1.2925342813610901</c:v>
                </c:pt>
                <c:pt idx="207">
                  <c:v>1.28930020283975</c:v>
                </c:pt>
                <c:pt idx="208">
                  <c:v>1.2873417721518901</c:v>
                </c:pt>
                <c:pt idx="209">
                  <c:v>1.29440327114745</c:v>
                </c:pt>
                <c:pt idx="210">
                  <c:v>1.2976205955012301</c:v>
                </c:pt>
                <c:pt idx="211">
                  <c:v>1.2451923076922999</c:v>
                </c:pt>
                <c:pt idx="212">
                  <c:v>1.26314545669384</c:v>
                </c:pt>
                <c:pt idx="213">
                  <c:v>1.24278478030392</c:v>
                </c:pt>
                <c:pt idx="214">
                  <c:v>1.2276123828727299</c:v>
                </c:pt>
                <c:pt idx="215">
                  <c:v>1.2516532403510801</c:v>
                </c:pt>
                <c:pt idx="216">
                  <c:v>1.2886841483581299</c:v>
                </c:pt>
                <c:pt idx="217">
                  <c:v>1.2844909609895301</c:v>
                </c:pt>
                <c:pt idx="218">
                  <c:v>1.3337386018237001</c:v>
                </c:pt>
                <c:pt idx="219">
                  <c:v>1.3705150109836399</c:v>
                </c:pt>
                <c:pt idx="220">
                  <c:v>1.3624338624338601</c:v>
                </c:pt>
                <c:pt idx="221">
                  <c:v>1.35560396998305</c:v>
                </c:pt>
                <c:pt idx="222">
                  <c:v>1.36051080550098</c:v>
                </c:pt>
                <c:pt idx="223">
                  <c:v>1.36274509803921</c:v>
                </c:pt>
                <c:pt idx="224">
                  <c:v>1.34080231297434</c:v>
                </c:pt>
                <c:pt idx="225">
                  <c:v>1.33349615337648</c:v>
                </c:pt>
                <c:pt idx="226">
                  <c:v>1.3467762011451301</c:v>
                </c:pt>
                <c:pt idx="227">
                  <c:v>1.3696036354455901</c:v>
                </c:pt>
                <c:pt idx="228">
                  <c:v>1.3630684657671099</c:v>
                </c:pt>
                <c:pt idx="229">
                  <c:v>1.367865225044</c:v>
                </c:pt>
                <c:pt idx="230">
                  <c:v>1.34661154954277</c:v>
                </c:pt>
                <c:pt idx="231">
                  <c:v>1.3428001993024401</c:v>
                </c:pt>
                <c:pt idx="232">
                  <c:v>1.33392226148409</c:v>
                </c:pt>
                <c:pt idx="233">
                  <c:v>1.3472485768500899</c:v>
                </c:pt>
                <c:pt idx="234">
                  <c:v>1.33342074210043</c:v>
                </c:pt>
                <c:pt idx="235">
                  <c:v>1.34645261522527</c:v>
                </c:pt>
                <c:pt idx="236">
                  <c:v>1.3520507180747801</c:v>
                </c:pt>
                <c:pt idx="237">
                  <c:v>1.38804317741489</c:v>
                </c:pt>
                <c:pt idx="238">
                  <c:v>1.3978343411615799</c:v>
                </c:pt>
                <c:pt idx="239">
                  <c:v>1.3730874852883399</c:v>
                </c:pt>
                <c:pt idx="240">
                  <c:v>1.3756410256410201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1.4249013761136082</c:v>
                </c:pt>
                <c:pt idx="1">
                  <c:v>1.4193716678821133</c:v>
                </c:pt>
                <c:pt idx="2">
                  <c:v>1.4141991814096153</c:v>
                </c:pt>
                <c:pt idx="3">
                  <c:v>1.4092448991152691</c:v>
                </c:pt>
                <c:pt idx="4">
                  <c:v>1.4048872759162547</c:v>
                </c:pt>
                <c:pt idx="5">
                  <c:v>1.4002543815180255</c:v>
                </c:pt>
                <c:pt idx="6">
                  <c:v>1.3952795948341454</c:v>
                </c:pt>
                <c:pt idx="7">
                  <c:v>1.3898571244008668</c:v>
                </c:pt>
                <c:pt idx="8">
                  <c:v>1.3829334900402575</c:v>
                </c:pt>
                <c:pt idx="9">
                  <c:v>1.3782784422563497</c:v>
                </c:pt>
                <c:pt idx="10">
                  <c:v>1.3739773321757152</c:v>
                </c:pt>
                <c:pt idx="11">
                  <c:v>1.3696340276421468</c:v>
                </c:pt>
                <c:pt idx="12">
                  <c:v>1.3670117168835527</c:v>
                </c:pt>
                <c:pt idx="13">
                  <c:v>1.3643178362887849</c:v>
                </c:pt>
                <c:pt idx="14">
                  <c:v>1.3619175465403526</c:v>
                </c:pt>
                <c:pt idx="15">
                  <c:v>1.3597411817961651</c:v>
                </c:pt>
                <c:pt idx="16">
                  <c:v>1.3580031576760709</c:v>
                </c:pt>
                <c:pt idx="17">
                  <c:v>1.3566165377927466</c:v>
                </c:pt>
                <c:pt idx="18">
                  <c:v>1.3556899685526238</c:v>
                </c:pt>
                <c:pt idx="19">
                  <c:v>1.3545422896292967</c:v>
                </c:pt>
                <c:pt idx="20">
                  <c:v>1.3528519728443986</c:v>
                </c:pt>
                <c:pt idx="21">
                  <c:v>1.3486809142430747</c:v>
                </c:pt>
                <c:pt idx="22">
                  <c:v>1.3457128030306891</c:v>
                </c:pt>
                <c:pt idx="23">
                  <c:v>1.3450757382042955</c:v>
                </c:pt>
                <c:pt idx="24">
                  <c:v>1.3448435053257244</c:v>
                </c:pt>
                <c:pt idx="25">
                  <c:v>1.3440658276339783</c:v>
                </c:pt>
                <c:pt idx="26">
                  <c:v>1.342687545366297</c:v>
                </c:pt>
                <c:pt idx="27">
                  <c:v>1.3397177716247934</c:v>
                </c:pt>
                <c:pt idx="28">
                  <c:v>1.337240113929224</c:v>
                </c:pt>
                <c:pt idx="29">
                  <c:v>1.335515082447648</c:v>
                </c:pt>
                <c:pt idx="30">
                  <c:v>1.3337316674202961</c:v>
                </c:pt>
                <c:pt idx="31">
                  <c:v>1.330143178833824</c:v>
                </c:pt>
                <c:pt idx="32">
                  <c:v>1.3267954317767097</c:v>
                </c:pt>
                <c:pt idx="33">
                  <c:v>1.3237042403395023</c:v>
                </c:pt>
                <c:pt idx="34">
                  <c:v>1.3163318727420721</c:v>
                </c:pt>
                <c:pt idx="35">
                  <c:v>1.3104793795619845</c:v>
                </c:pt>
                <c:pt idx="36">
                  <c:v>1.3049631844403202</c:v>
                </c:pt>
                <c:pt idx="37">
                  <c:v>1.302975239459224</c:v>
                </c:pt>
                <c:pt idx="38">
                  <c:v>1.2996778960526054</c:v>
                </c:pt>
                <c:pt idx="39">
                  <c:v>1.2961237098945013</c:v>
                </c:pt>
                <c:pt idx="40">
                  <c:v>1.2933812022583724</c:v>
                </c:pt>
                <c:pt idx="41">
                  <c:v>1.2882226004018495</c:v>
                </c:pt>
                <c:pt idx="42">
                  <c:v>1.2861392616459497</c:v>
                </c:pt>
                <c:pt idx="43">
                  <c:v>1.2846578952724048</c:v>
                </c:pt>
                <c:pt idx="44">
                  <c:v>1.2841194182473914</c:v>
                </c:pt>
                <c:pt idx="45">
                  <c:v>1.2839190337791107</c:v>
                </c:pt>
                <c:pt idx="46">
                  <c:v>1.2825203477694258</c:v>
                </c:pt>
                <c:pt idx="47">
                  <c:v>1.2824038581711659</c:v>
                </c:pt>
                <c:pt idx="48">
                  <c:v>1.2825314824685963</c:v>
                </c:pt>
                <c:pt idx="49">
                  <c:v>1.2825703634899863</c:v>
                </c:pt>
                <c:pt idx="50">
                  <c:v>1.2830566577082225</c:v>
                </c:pt>
                <c:pt idx="51">
                  <c:v>1.2831440711457744</c:v>
                </c:pt>
                <c:pt idx="52">
                  <c:v>1.2828209618396544</c:v>
                </c:pt>
                <c:pt idx="53">
                  <c:v>1.2822071467148111</c:v>
                </c:pt>
                <c:pt idx="54">
                  <c:v>1.2819531895990228</c:v>
                </c:pt>
                <c:pt idx="55">
                  <c:v>1.281639803928782</c:v>
                </c:pt>
                <c:pt idx="56">
                  <c:v>1.281286846477929</c:v>
                </c:pt>
                <c:pt idx="57">
                  <c:v>1.2810535236378346</c:v>
                </c:pt>
                <c:pt idx="58">
                  <c:v>1.2810495272761415</c:v>
                </c:pt>
                <c:pt idx="59">
                  <c:v>1.2811450516545939</c:v>
                </c:pt>
                <c:pt idx="60">
                  <c:v>1.281222868594285</c:v>
                </c:pt>
                <c:pt idx="61">
                  <c:v>1.2837348541993348</c:v>
                </c:pt>
                <c:pt idx="62">
                  <c:v>1.2855235798103266</c:v>
                </c:pt>
                <c:pt idx="63">
                  <c:v>1.2871886093852274</c:v>
                </c:pt>
                <c:pt idx="64">
                  <c:v>1.2879040750199102</c:v>
                </c:pt>
                <c:pt idx="65">
                  <c:v>1.289580209168105</c:v>
                </c:pt>
                <c:pt idx="66">
                  <c:v>1.2907637568871893</c:v>
                </c:pt>
                <c:pt idx="67">
                  <c:v>1.2920841722863903</c:v>
                </c:pt>
                <c:pt idx="68">
                  <c:v>1.2927784472333814</c:v>
                </c:pt>
                <c:pt idx="69">
                  <c:v>1.2931385381648797</c:v>
                </c:pt>
                <c:pt idx="70">
                  <c:v>1.293433839524017</c:v>
                </c:pt>
                <c:pt idx="71">
                  <c:v>1.2941888247422804</c:v>
                </c:pt>
                <c:pt idx="72">
                  <c:v>1.2944769805972041</c:v>
                </c:pt>
                <c:pt idx="73">
                  <c:v>1.2971816393336777</c:v>
                </c:pt>
                <c:pt idx="74">
                  <c:v>1.2990609550700065</c:v>
                </c:pt>
                <c:pt idx="75">
                  <c:v>1.3018958555321125</c:v>
                </c:pt>
                <c:pt idx="76">
                  <c:v>1.304825886249795</c:v>
                </c:pt>
                <c:pt idx="77">
                  <c:v>1.3092272405329597</c:v>
                </c:pt>
                <c:pt idx="78">
                  <c:v>1.3138772512920898</c:v>
                </c:pt>
                <c:pt idx="79">
                  <c:v>1.3178343395968428</c:v>
                </c:pt>
                <c:pt idx="80">
                  <c:v>1.3218866073845523</c:v>
                </c:pt>
                <c:pt idx="81">
                  <c:v>1.3236108563545548</c:v>
                </c:pt>
                <c:pt idx="82">
                  <c:v>1.3251055981757165</c:v>
                </c:pt>
                <c:pt idx="83">
                  <c:v>1.328029937922613</c:v>
                </c:pt>
                <c:pt idx="84">
                  <c:v>1.3282951238637632</c:v>
                </c:pt>
                <c:pt idx="85">
                  <c:v>1.3296562736812985</c:v>
                </c:pt>
                <c:pt idx="86">
                  <c:v>1.3312368406039947</c:v>
                </c:pt>
                <c:pt idx="87">
                  <c:v>1.3332156320513662</c:v>
                </c:pt>
                <c:pt idx="88">
                  <c:v>1.3358131658980077</c:v>
                </c:pt>
                <c:pt idx="89">
                  <c:v>1.3364921634685372</c:v>
                </c:pt>
                <c:pt idx="90">
                  <c:v>1.3366858576448939</c:v>
                </c:pt>
                <c:pt idx="91">
                  <c:v>1.3367083289232176</c:v>
                </c:pt>
                <c:pt idx="92">
                  <c:v>1.336857811578438</c:v>
                </c:pt>
                <c:pt idx="93">
                  <c:v>1.3362585907576938</c:v>
                </c:pt>
                <c:pt idx="94">
                  <c:v>1.3348503140812715</c:v>
                </c:pt>
                <c:pt idx="95">
                  <c:v>1.3347841380030701</c:v>
                </c:pt>
                <c:pt idx="96">
                  <c:v>1.3346670712478679</c:v>
                </c:pt>
                <c:pt idx="97">
                  <c:v>1.3347020765824285</c:v>
                </c:pt>
                <c:pt idx="98">
                  <c:v>1.3338408998687616</c:v>
                </c:pt>
                <c:pt idx="99">
                  <c:v>1.3332316374481088</c:v>
                </c:pt>
                <c:pt idx="100">
                  <c:v>1.3328756759447362</c:v>
                </c:pt>
                <c:pt idx="101">
                  <c:v>1.3326613853087832</c:v>
                </c:pt>
                <c:pt idx="102">
                  <c:v>1.3326206916930188</c:v>
                </c:pt>
                <c:pt idx="103">
                  <c:v>1.332523297146375</c:v>
                </c:pt>
                <c:pt idx="104">
                  <c:v>1.3325552606578062</c:v>
                </c:pt>
                <c:pt idx="105">
                  <c:v>1.332592698381347</c:v>
                </c:pt>
                <c:pt idx="106">
                  <c:v>1.3329450437217754</c:v>
                </c:pt>
                <c:pt idx="107">
                  <c:v>1.3328661067533005</c:v>
                </c:pt>
                <c:pt idx="108">
                  <c:v>1.3326182008421741</c:v>
                </c:pt>
                <c:pt idx="109">
                  <c:v>1.3321180387118079</c:v>
                </c:pt>
                <c:pt idx="110">
                  <c:v>1.3317710656475898</c:v>
                </c:pt>
                <c:pt idx="111">
                  <c:v>1.3312239680936668</c:v>
                </c:pt>
                <c:pt idx="112">
                  <c:v>1.3295649834570211</c:v>
                </c:pt>
                <c:pt idx="113">
                  <c:v>1.3283025651401459</c:v>
                </c:pt>
                <c:pt idx="114">
                  <c:v>1.3275860484629753</c:v>
                </c:pt>
                <c:pt idx="115">
                  <c:v>1.3270414891311193</c:v>
                </c:pt>
                <c:pt idx="116">
                  <c:v>1.3269715318362989</c:v>
                </c:pt>
                <c:pt idx="117">
                  <c:v>1.3268754021520506</c:v>
                </c:pt>
                <c:pt idx="118">
                  <c:v>1.327044838492426</c:v>
                </c:pt>
                <c:pt idx="119">
                  <c:v>1.3269608728476365</c:v>
                </c:pt>
                <c:pt idx="120">
                  <c:v>1.3270998660632096</c:v>
                </c:pt>
                <c:pt idx="121">
                  <c:v>1.3287205211330853</c:v>
                </c:pt>
                <c:pt idx="122">
                  <c:v>1.3296512676419616</c:v>
                </c:pt>
                <c:pt idx="123">
                  <c:v>1.3305852695838829</c:v>
                </c:pt>
                <c:pt idx="124">
                  <c:v>1.3314840522657456</c:v>
                </c:pt>
                <c:pt idx="125">
                  <c:v>1.3327809002361721</c:v>
                </c:pt>
                <c:pt idx="126">
                  <c:v>1.3337299549591008</c:v>
                </c:pt>
                <c:pt idx="127">
                  <c:v>1.3342054329634947</c:v>
                </c:pt>
                <c:pt idx="128">
                  <c:v>1.3342878092982968</c:v>
                </c:pt>
                <c:pt idx="129">
                  <c:v>1.3343082994991065</c:v>
                </c:pt>
                <c:pt idx="130">
                  <c:v>1.3346245340393925</c:v>
                </c:pt>
                <c:pt idx="131">
                  <c:v>1.3349025300851658</c:v>
                </c:pt>
                <c:pt idx="132">
                  <c:v>1.335759072961916</c:v>
                </c:pt>
                <c:pt idx="133">
                  <c:v>1.3365360620822426</c:v>
                </c:pt>
                <c:pt idx="134">
                  <c:v>1.3371561823248197</c:v>
                </c:pt>
                <c:pt idx="135">
                  <c:v>1.3379808880016264</c:v>
                </c:pt>
                <c:pt idx="136">
                  <c:v>1.3382932480838616</c:v>
                </c:pt>
                <c:pt idx="137">
                  <c:v>1.3378396824695686</c:v>
                </c:pt>
                <c:pt idx="138">
                  <c:v>1.3374402821191291</c:v>
                </c:pt>
                <c:pt idx="139">
                  <c:v>1.3373470127020353</c:v>
                </c:pt>
                <c:pt idx="140">
                  <c:v>1.3370208860106887</c:v>
                </c:pt>
                <c:pt idx="141">
                  <c:v>1.3364925059152462</c:v>
                </c:pt>
                <c:pt idx="142">
                  <c:v>1.3368310461066473</c:v>
                </c:pt>
                <c:pt idx="143">
                  <c:v>1.3372910435285965</c:v>
                </c:pt>
                <c:pt idx="144">
                  <c:v>1.3400352936979263</c:v>
                </c:pt>
                <c:pt idx="145">
                  <c:v>1.3454295688076117</c:v>
                </c:pt>
                <c:pt idx="146">
                  <c:v>1.3497582494879981</c:v>
                </c:pt>
                <c:pt idx="147">
                  <c:v>1.3533829501737789</c:v>
                </c:pt>
                <c:pt idx="148">
                  <c:v>1.3564806112163952</c:v>
                </c:pt>
                <c:pt idx="149">
                  <c:v>1.359947138046645</c:v>
                </c:pt>
                <c:pt idx="150">
                  <c:v>1.3616052178603557</c:v>
                </c:pt>
                <c:pt idx="151">
                  <c:v>1.3627783156645075</c:v>
                </c:pt>
                <c:pt idx="152">
                  <c:v>1.3636774021763207</c:v>
                </c:pt>
                <c:pt idx="153">
                  <c:v>1.3658342652484965</c:v>
                </c:pt>
                <c:pt idx="154">
                  <c:v>1.3678265998151347</c:v>
                </c:pt>
                <c:pt idx="155">
                  <c:v>1.3699363316551865</c:v>
                </c:pt>
                <c:pt idx="156">
                  <c:v>1.3720356136408112</c:v>
                </c:pt>
                <c:pt idx="157">
                  <c:v>1.3739286139258766</c:v>
                </c:pt>
                <c:pt idx="158">
                  <c:v>1.3745846810422684</c:v>
                </c:pt>
                <c:pt idx="159">
                  <c:v>1.3771022407693509</c:v>
                </c:pt>
                <c:pt idx="160">
                  <c:v>1.3784462933303936</c:v>
                </c:pt>
                <c:pt idx="161">
                  <c:v>1.3802827256671941</c:v>
                </c:pt>
                <c:pt idx="162">
                  <c:v>1.382120396104606</c:v>
                </c:pt>
                <c:pt idx="163">
                  <c:v>1.3856393905442494</c:v>
                </c:pt>
                <c:pt idx="164">
                  <c:v>1.3907303243132751</c:v>
                </c:pt>
                <c:pt idx="165">
                  <c:v>1.3942602854388173</c:v>
                </c:pt>
                <c:pt idx="166">
                  <c:v>1.3977950854393377</c:v>
                </c:pt>
                <c:pt idx="167">
                  <c:v>1.4019979000963159</c:v>
                </c:pt>
                <c:pt idx="168">
                  <c:v>1.4058387431820718</c:v>
                </c:pt>
                <c:pt idx="169">
                  <c:v>1.408761966295947</c:v>
                </c:pt>
                <c:pt idx="170">
                  <c:v>1.4107018657096624</c:v>
                </c:pt>
                <c:pt idx="171">
                  <c:v>1.4127366689865364</c:v>
                </c:pt>
                <c:pt idx="172">
                  <c:v>1.4137595950000874</c:v>
                </c:pt>
                <c:pt idx="173">
                  <c:v>1.4156350012213599</c:v>
                </c:pt>
                <c:pt idx="174">
                  <c:v>1.417556839119428</c:v>
                </c:pt>
                <c:pt idx="175">
                  <c:v>1.4190051632043186</c:v>
                </c:pt>
                <c:pt idx="176">
                  <c:v>1.4208654947580328</c:v>
                </c:pt>
                <c:pt idx="177">
                  <c:v>1.4219154009990509</c:v>
                </c:pt>
                <c:pt idx="178">
                  <c:v>1.424303461342352</c:v>
                </c:pt>
                <c:pt idx="179">
                  <c:v>1.4247574407596275</c:v>
                </c:pt>
                <c:pt idx="180">
                  <c:v>1.4255039485897973</c:v>
                </c:pt>
                <c:pt idx="181">
                  <c:v>1.4248495891510435</c:v>
                </c:pt>
                <c:pt idx="182">
                  <c:v>1.423861147371692</c:v>
                </c:pt>
                <c:pt idx="183">
                  <c:v>1.4223510406055129</c:v>
                </c:pt>
                <c:pt idx="184">
                  <c:v>1.4207568326953663</c:v>
                </c:pt>
                <c:pt idx="185">
                  <c:v>1.4192800691710434</c:v>
                </c:pt>
                <c:pt idx="186">
                  <c:v>1.4181018927590388</c:v>
                </c:pt>
                <c:pt idx="187">
                  <c:v>1.4177616439638787</c:v>
                </c:pt>
                <c:pt idx="188">
                  <c:v>1.4164887375372455</c:v>
                </c:pt>
                <c:pt idx="189">
                  <c:v>1.4162534005995904</c:v>
                </c:pt>
                <c:pt idx="190">
                  <c:v>1.415537879495367</c:v>
                </c:pt>
                <c:pt idx="191">
                  <c:v>1.4147414573663315</c:v>
                </c:pt>
                <c:pt idx="192">
                  <c:v>1.4155917753011438</c:v>
                </c:pt>
                <c:pt idx="193">
                  <c:v>1.4164824360023407</c:v>
                </c:pt>
                <c:pt idx="194">
                  <c:v>1.4175352422755436</c:v>
                </c:pt>
                <c:pt idx="195">
                  <c:v>1.4190070312246512</c:v>
                </c:pt>
                <c:pt idx="196">
                  <c:v>1.4194666129683045</c:v>
                </c:pt>
                <c:pt idx="197">
                  <c:v>1.4202281889581745</c:v>
                </c:pt>
                <c:pt idx="198">
                  <c:v>1.4202790947944421</c:v>
                </c:pt>
                <c:pt idx="199">
                  <c:v>1.4216461555295425</c:v>
                </c:pt>
                <c:pt idx="200">
                  <c:v>1.4223698066678823</c:v>
                </c:pt>
                <c:pt idx="201">
                  <c:v>1.4245572521143672</c:v>
                </c:pt>
                <c:pt idx="202">
                  <c:v>1.4264180794857884</c:v>
                </c:pt>
                <c:pt idx="203">
                  <c:v>1.4281400803628357</c:v>
                </c:pt>
                <c:pt idx="204">
                  <c:v>1.4297246400616412</c:v>
                </c:pt>
                <c:pt idx="205">
                  <c:v>1.4309014106973235</c:v>
                </c:pt>
                <c:pt idx="206">
                  <c:v>1.4322149250128471</c:v>
                </c:pt>
                <c:pt idx="207">
                  <c:v>1.4334885267486739</c:v>
                </c:pt>
                <c:pt idx="208">
                  <c:v>1.4345147509523706</c:v>
                </c:pt>
                <c:pt idx="209">
                  <c:v>1.4356372846628638</c:v>
                </c:pt>
                <c:pt idx="210">
                  <c:v>1.436613314558437</c:v>
                </c:pt>
                <c:pt idx="211">
                  <c:v>1.4375959198409138</c:v>
                </c:pt>
                <c:pt idx="212">
                  <c:v>1.4389513166514714</c:v>
                </c:pt>
                <c:pt idx="213">
                  <c:v>1.4402880757822287</c:v>
                </c:pt>
                <c:pt idx="214">
                  <c:v>1.4414502576516168</c:v>
                </c:pt>
                <c:pt idx="215">
                  <c:v>1.4429864077542229</c:v>
                </c:pt>
                <c:pt idx="216">
                  <c:v>1.4459712271296383</c:v>
                </c:pt>
                <c:pt idx="217">
                  <c:v>1.4475831931974437</c:v>
                </c:pt>
                <c:pt idx="218">
                  <c:v>1.4480922755956298</c:v>
                </c:pt>
                <c:pt idx="219">
                  <c:v>1.4475378830154351</c:v>
                </c:pt>
                <c:pt idx="220">
                  <c:v>1.445399261523395</c:v>
                </c:pt>
                <c:pt idx="221">
                  <c:v>1.4436599579234968</c:v>
                </c:pt>
                <c:pt idx="222">
                  <c:v>1.4418594552636199</c:v>
                </c:pt>
                <c:pt idx="223">
                  <c:v>1.4396352732118392</c:v>
                </c:pt>
                <c:pt idx="224">
                  <c:v>1.4370484976488422</c:v>
                </c:pt>
                <c:pt idx="225">
                  <c:v>1.4352212720703816</c:v>
                </c:pt>
                <c:pt idx="226">
                  <c:v>1.4335361678854506</c:v>
                </c:pt>
                <c:pt idx="227">
                  <c:v>1.4313224847179344</c:v>
                </c:pt>
                <c:pt idx="228">
                  <c:v>1.4281130275039591</c:v>
                </c:pt>
                <c:pt idx="229">
                  <c:v>1.4250669195570889</c:v>
                </c:pt>
                <c:pt idx="230">
                  <c:v>1.4217016354079688</c:v>
                </c:pt>
                <c:pt idx="231">
                  <c:v>1.4192967124363238</c:v>
                </c:pt>
                <c:pt idx="232">
                  <c:v>1.416976700689895</c:v>
                </c:pt>
                <c:pt idx="233">
                  <c:v>1.4148101009623317</c:v>
                </c:pt>
                <c:pt idx="234">
                  <c:v>1.4120257355534813</c:v>
                </c:pt>
                <c:pt idx="235">
                  <c:v>1.4097347773698046</c:v>
                </c:pt>
                <c:pt idx="236">
                  <c:v>1.4068447181959298</c:v>
                </c:pt>
                <c:pt idx="237">
                  <c:v>1.4037097062077437</c:v>
                </c:pt>
                <c:pt idx="238">
                  <c:v>1.3987272690773125</c:v>
                </c:pt>
                <c:pt idx="239">
                  <c:v>1.3928983965176462</c:v>
                </c:pt>
                <c:pt idx="240">
                  <c:v>1.3886938944966232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1.1801267096020316</c:v>
                </c:pt>
                <c:pt idx="1">
                  <c:v>1.1802972973382666</c:v>
                </c:pt>
                <c:pt idx="2">
                  <c:v>1.1807260768681047</c:v>
                </c:pt>
                <c:pt idx="3">
                  <c:v>1.1806987471671309</c:v>
                </c:pt>
                <c:pt idx="4">
                  <c:v>1.1802451643944853</c:v>
                </c:pt>
                <c:pt idx="5">
                  <c:v>1.1798622599444344</c:v>
                </c:pt>
                <c:pt idx="6">
                  <c:v>1.1797999542535944</c:v>
                </c:pt>
                <c:pt idx="7">
                  <c:v>1.1794874447942332</c:v>
                </c:pt>
                <c:pt idx="8">
                  <c:v>1.1810591862059627</c:v>
                </c:pt>
                <c:pt idx="9">
                  <c:v>1.1820810039898904</c:v>
                </c:pt>
                <c:pt idx="10">
                  <c:v>1.1828541068568448</c:v>
                </c:pt>
                <c:pt idx="11">
                  <c:v>1.183588047076233</c:v>
                </c:pt>
                <c:pt idx="12">
                  <c:v>1.1834363117115871</c:v>
                </c:pt>
                <c:pt idx="13">
                  <c:v>1.1834978204006552</c:v>
                </c:pt>
                <c:pt idx="14">
                  <c:v>1.1834514149483275</c:v>
                </c:pt>
                <c:pt idx="15">
                  <c:v>1.1831112678141549</c:v>
                </c:pt>
                <c:pt idx="16">
                  <c:v>1.1825646399245491</c:v>
                </c:pt>
                <c:pt idx="17">
                  <c:v>1.1816786306020335</c:v>
                </c:pt>
                <c:pt idx="18">
                  <c:v>1.1817125729700564</c:v>
                </c:pt>
                <c:pt idx="19">
                  <c:v>1.1821255342885035</c:v>
                </c:pt>
                <c:pt idx="20">
                  <c:v>1.1817894611025812</c:v>
                </c:pt>
                <c:pt idx="21">
                  <c:v>1.1828793113859455</c:v>
                </c:pt>
                <c:pt idx="22">
                  <c:v>1.1830368704635108</c:v>
                </c:pt>
                <c:pt idx="23">
                  <c:v>1.1795477536761245</c:v>
                </c:pt>
                <c:pt idx="24">
                  <c:v>1.1764709088880956</c:v>
                </c:pt>
                <c:pt idx="25">
                  <c:v>1.1742175591174817</c:v>
                </c:pt>
                <c:pt idx="26">
                  <c:v>1.1725729172480228</c:v>
                </c:pt>
                <c:pt idx="27">
                  <c:v>1.1718149590487867</c:v>
                </c:pt>
                <c:pt idx="28">
                  <c:v>1.171148200683396</c:v>
                </c:pt>
                <c:pt idx="29">
                  <c:v>1.1702834410851521</c:v>
                </c:pt>
                <c:pt idx="30">
                  <c:v>1.1693036047607239</c:v>
                </c:pt>
                <c:pt idx="31">
                  <c:v>1.1697006135743357</c:v>
                </c:pt>
                <c:pt idx="32">
                  <c:v>1.1692939395600104</c:v>
                </c:pt>
                <c:pt idx="33">
                  <c:v>1.1684930277577377</c:v>
                </c:pt>
                <c:pt idx="34">
                  <c:v>1.1706782995776479</c:v>
                </c:pt>
                <c:pt idx="35">
                  <c:v>1.1721379319057355</c:v>
                </c:pt>
                <c:pt idx="36">
                  <c:v>1.1733151691394599</c:v>
                </c:pt>
                <c:pt idx="37">
                  <c:v>1.1710984217747762</c:v>
                </c:pt>
                <c:pt idx="38">
                  <c:v>1.1700701734437544</c:v>
                </c:pt>
                <c:pt idx="39">
                  <c:v>1.1699963133474787</c:v>
                </c:pt>
                <c:pt idx="40">
                  <c:v>1.1697614463897077</c:v>
                </c:pt>
                <c:pt idx="41">
                  <c:v>1.1721126043582106</c:v>
                </c:pt>
                <c:pt idx="42">
                  <c:v>1.1723393528329504</c:v>
                </c:pt>
                <c:pt idx="43">
                  <c:v>1.1726702091170553</c:v>
                </c:pt>
                <c:pt idx="44">
                  <c:v>1.1729663439700486</c:v>
                </c:pt>
                <c:pt idx="45">
                  <c:v>1.1730823412831093</c:v>
                </c:pt>
                <c:pt idx="46">
                  <c:v>1.1735928406072944</c:v>
                </c:pt>
                <c:pt idx="47">
                  <c:v>1.1735786051085741</c:v>
                </c:pt>
                <c:pt idx="48">
                  <c:v>1.1737605566231237</c:v>
                </c:pt>
                <c:pt idx="49">
                  <c:v>1.1738387377730137</c:v>
                </c:pt>
                <c:pt idx="50">
                  <c:v>1.1739954775088173</c:v>
                </c:pt>
                <c:pt idx="51">
                  <c:v>1.1743067110107857</c:v>
                </c:pt>
                <c:pt idx="52">
                  <c:v>1.1744135416308856</c:v>
                </c:pt>
                <c:pt idx="53">
                  <c:v>1.1744998466020689</c:v>
                </c:pt>
                <c:pt idx="54">
                  <c:v>1.174257515010857</c:v>
                </c:pt>
                <c:pt idx="55">
                  <c:v>1.1740397082779181</c:v>
                </c:pt>
                <c:pt idx="56">
                  <c:v>1.173648065042211</c:v>
                </c:pt>
                <c:pt idx="57">
                  <c:v>1.1735730035751255</c:v>
                </c:pt>
                <c:pt idx="58">
                  <c:v>1.1735736557859384</c:v>
                </c:pt>
                <c:pt idx="59">
                  <c:v>1.173747656807306</c:v>
                </c:pt>
                <c:pt idx="60">
                  <c:v>1.1738542296198751</c:v>
                </c:pt>
                <c:pt idx="61">
                  <c:v>1.1728010356130851</c:v>
                </c:pt>
                <c:pt idx="62">
                  <c:v>1.1721479837819733</c:v>
                </c:pt>
                <c:pt idx="63">
                  <c:v>1.1714393918478525</c:v>
                </c:pt>
                <c:pt idx="64">
                  <c:v>1.1713499223852899</c:v>
                </c:pt>
                <c:pt idx="65">
                  <c:v>1.1710044094825149</c:v>
                </c:pt>
                <c:pt idx="66">
                  <c:v>1.1704678721806709</c:v>
                </c:pt>
                <c:pt idx="67">
                  <c:v>1.1700541439634098</c:v>
                </c:pt>
                <c:pt idx="68">
                  <c:v>1.1699310499108784</c:v>
                </c:pt>
                <c:pt idx="69">
                  <c:v>1.1698426509820803</c:v>
                </c:pt>
                <c:pt idx="70">
                  <c:v>1.1698516663930432</c:v>
                </c:pt>
                <c:pt idx="71">
                  <c:v>1.1696715925602597</c:v>
                </c:pt>
                <c:pt idx="72">
                  <c:v>1.169559111115696</c:v>
                </c:pt>
                <c:pt idx="73">
                  <c:v>1.1684062075910022</c:v>
                </c:pt>
                <c:pt idx="74">
                  <c:v>1.1677128001141135</c:v>
                </c:pt>
                <c:pt idx="75">
                  <c:v>1.1666828079264475</c:v>
                </c:pt>
                <c:pt idx="76">
                  <c:v>1.1656969784152449</c:v>
                </c:pt>
                <c:pt idx="77">
                  <c:v>1.1635638518074605</c:v>
                </c:pt>
                <c:pt idx="78">
                  <c:v>1.1616278161333902</c:v>
                </c:pt>
                <c:pt idx="79">
                  <c:v>1.1603366946989173</c:v>
                </c:pt>
                <c:pt idx="80">
                  <c:v>1.1591981102930278</c:v>
                </c:pt>
                <c:pt idx="81">
                  <c:v>1.1594036091188853</c:v>
                </c:pt>
                <c:pt idx="82">
                  <c:v>1.1603043391173034</c:v>
                </c:pt>
                <c:pt idx="83">
                  <c:v>1.1598916841260472</c:v>
                </c:pt>
                <c:pt idx="84">
                  <c:v>1.1599467155819367</c:v>
                </c:pt>
                <c:pt idx="85">
                  <c:v>1.1597988636975214</c:v>
                </c:pt>
                <c:pt idx="86">
                  <c:v>1.1596700149660253</c:v>
                </c:pt>
                <c:pt idx="87">
                  <c:v>1.159354186798234</c:v>
                </c:pt>
                <c:pt idx="88">
                  <c:v>1.1586593237141125</c:v>
                </c:pt>
                <c:pt idx="89">
                  <c:v>1.158763540817783</c:v>
                </c:pt>
                <c:pt idx="90">
                  <c:v>1.1589494010922863</c:v>
                </c:pt>
                <c:pt idx="91">
                  <c:v>1.1589929947183626</c:v>
                </c:pt>
                <c:pt idx="92">
                  <c:v>1.1592963567211019</c:v>
                </c:pt>
                <c:pt idx="93">
                  <c:v>1.1591606499170664</c:v>
                </c:pt>
                <c:pt idx="94">
                  <c:v>1.1594122976414085</c:v>
                </c:pt>
                <c:pt idx="95">
                  <c:v>1.15929144426607</c:v>
                </c:pt>
                <c:pt idx="96">
                  <c:v>1.158940368071592</c:v>
                </c:pt>
                <c:pt idx="97">
                  <c:v>1.1582204583722517</c:v>
                </c:pt>
                <c:pt idx="98">
                  <c:v>1.1605437144095783</c:v>
                </c:pt>
                <c:pt idx="99">
                  <c:v>1.1624461514752513</c:v>
                </c:pt>
                <c:pt idx="100">
                  <c:v>1.1638520725177837</c:v>
                </c:pt>
                <c:pt idx="101">
                  <c:v>1.1650636414533169</c:v>
                </c:pt>
                <c:pt idx="102">
                  <c:v>1.1651664586461012</c:v>
                </c:pt>
                <c:pt idx="103">
                  <c:v>1.1655373537472251</c:v>
                </c:pt>
                <c:pt idx="104">
                  <c:v>1.165429879394754</c:v>
                </c:pt>
                <c:pt idx="105">
                  <c:v>1.1653242983815728</c:v>
                </c:pt>
                <c:pt idx="106">
                  <c:v>1.1643402478235048</c:v>
                </c:pt>
                <c:pt idx="107">
                  <c:v>1.1645248146949796</c:v>
                </c:pt>
                <c:pt idx="108">
                  <c:v>1.165054923753106</c:v>
                </c:pt>
                <c:pt idx="109">
                  <c:v>1.166156459260272</c:v>
                </c:pt>
                <c:pt idx="110">
                  <c:v>1.1669808606407099</c:v>
                </c:pt>
                <c:pt idx="111">
                  <c:v>1.1682673527267731</c:v>
                </c:pt>
                <c:pt idx="112">
                  <c:v>1.171510490774379</c:v>
                </c:pt>
                <c:pt idx="113">
                  <c:v>1.1737810290264943</c:v>
                </c:pt>
                <c:pt idx="114">
                  <c:v>1.1752452917586445</c:v>
                </c:pt>
                <c:pt idx="115">
                  <c:v>1.1764719647980006</c:v>
                </c:pt>
                <c:pt idx="116">
                  <c:v>1.1768167746015012</c:v>
                </c:pt>
                <c:pt idx="117">
                  <c:v>1.1777968269769894</c:v>
                </c:pt>
                <c:pt idx="118">
                  <c:v>1.1783330400712941</c:v>
                </c:pt>
                <c:pt idx="119">
                  <c:v>1.1783312656291636</c:v>
                </c:pt>
                <c:pt idx="120">
                  <c:v>1.1783023682941902</c:v>
                </c:pt>
                <c:pt idx="121">
                  <c:v>1.1783088777701747</c:v>
                </c:pt>
                <c:pt idx="122">
                  <c:v>1.1787138313105583</c:v>
                </c:pt>
                <c:pt idx="123">
                  <c:v>1.179267606904137</c:v>
                </c:pt>
                <c:pt idx="124">
                  <c:v>1.1800281168509144</c:v>
                </c:pt>
                <c:pt idx="125">
                  <c:v>1.1801010738114279</c:v>
                </c:pt>
                <c:pt idx="126">
                  <c:v>1.1808125398406391</c:v>
                </c:pt>
                <c:pt idx="127">
                  <c:v>1.1810294319447054</c:v>
                </c:pt>
                <c:pt idx="128">
                  <c:v>1.1814163859233233</c:v>
                </c:pt>
                <c:pt idx="129">
                  <c:v>1.1824921979273735</c:v>
                </c:pt>
                <c:pt idx="130">
                  <c:v>1.1836455080757875</c:v>
                </c:pt>
                <c:pt idx="131">
                  <c:v>1.1851607057045543</c:v>
                </c:pt>
                <c:pt idx="132">
                  <c:v>1.1860115292067239</c:v>
                </c:pt>
                <c:pt idx="133">
                  <c:v>1.1863912154694773</c:v>
                </c:pt>
                <c:pt idx="134">
                  <c:v>1.1873396135037402</c:v>
                </c:pt>
                <c:pt idx="135">
                  <c:v>1.1882628233067738</c:v>
                </c:pt>
                <c:pt idx="136">
                  <c:v>1.1881910047418982</c:v>
                </c:pt>
                <c:pt idx="137">
                  <c:v>1.1877166773013315</c:v>
                </c:pt>
                <c:pt idx="138">
                  <c:v>1.1875986967637708</c:v>
                </c:pt>
                <c:pt idx="139">
                  <c:v>1.1872361713846247</c:v>
                </c:pt>
                <c:pt idx="140">
                  <c:v>1.1862389952583912</c:v>
                </c:pt>
                <c:pt idx="141">
                  <c:v>1.1859507761322738</c:v>
                </c:pt>
                <c:pt idx="142">
                  <c:v>1.1859288763271929</c:v>
                </c:pt>
                <c:pt idx="143">
                  <c:v>1.1860200228044235</c:v>
                </c:pt>
                <c:pt idx="144">
                  <c:v>1.1851911583554937</c:v>
                </c:pt>
                <c:pt idx="145">
                  <c:v>1.1829629296998883</c:v>
                </c:pt>
                <c:pt idx="146">
                  <c:v>1.181158192048082</c:v>
                </c:pt>
                <c:pt idx="147">
                  <c:v>1.179794360774381</c:v>
                </c:pt>
                <c:pt idx="148">
                  <c:v>1.1782858423439246</c:v>
                </c:pt>
                <c:pt idx="149">
                  <c:v>1.1767432947448351</c:v>
                </c:pt>
                <c:pt idx="150">
                  <c:v>1.1760838167008443</c:v>
                </c:pt>
                <c:pt idx="151">
                  <c:v>1.1756502414911925</c:v>
                </c:pt>
                <c:pt idx="152">
                  <c:v>1.1752082283447791</c:v>
                </c:pt>
                <c:pt idx="153">
                  <c:v>1.1740235839765436</c:v>
                </c:pt>
                <c:pt idx="154">
                  <c:v>1.1730059733287053</c:v>
                </c:pt>
                <c:pt idx="155">
                  <c:v>1.1719033918264135</c:v>
                </c:pt>
                <c:pt idx="156">
                  <c:v>1.1712260935522687</c:v>
                </c:pt>
                <c:pt idx="157">
                  <c:v>1.1706845580600636</c:v>
                </c:pt>
                <c:pt idx="158">
                  <c:v>1.1704511326275315</c:v>
                </c:pt>
                <c:pt idx="159">
                  <c:v>1.1701576168564491</c:v>
                </c:pt>
                <c:pt idx="160">
                  <c:v>1.1698791002646463</c:v>
                </c:pt>
                <c:pt idx="161">
                  <c:v>1.1693497467028258</c:v>
                </c:pt>
                <c:pt idx="162">
                  <c:v>1.168717710961614</c:v>
                </c:pt>
                <c:pt idx="163">
                  <c:v>1.1670025843112704</c:v>
                </c:pt>
                <c:pt idx="164">
                  <c:v>1.1650967063031847</c:v>
                </c:pt>
                <c:pt idx="165">
                  <c:v>1.1647077999669226</c:v>
                </c:pt>
                <c:pt idx="166">
                  <c:v>1.1647375600791423</c:v>
                </c:pt>
                <c:pt idx="167">
                  <c:v>1.1642712433047042</c:v>
                </c:pt>
                <c:pt idx="168">
                  <c:v>1.1640976684494484</c:v>
                </c:pt>
                <c:pt idx="169">
                  <c:v>1.1641994356584329</c:v>
                </c:pt>
                <c:pt idx="170">
                  <c:v>1.1653487728972578</c:v>
                </c:pt>
                <c:pt idx="171">
                  <c:v>1.1668525018410436</c:v>
                </c:pt>
                <c:pt idx="172">
                  <c:v>1.1694484901055724</c:v>
                </c:pt>
                <c:pt idx="173">
                  <c:v>1.1711605543800201</c:v>
                </c:pt>
                <c:pt idx="174">
                  <c:v>1.1727980176408122</c:v>
                </c:pt>
                <c:pt idx="175">
                  <c:v>1.1745840468829816</c:v>
                </c:pt>
                <c:pt idx="176">
                  <c:v>1.176107729796767</c:v>
                </c:pt>
                <c:pt idx="177">
                  <c:v>1.1794348672240893</c:v>
                </c:pt>
                <c:pt idx="178">
                  <c:v>1.1815853046031082</c:v>
                </c:pt>
                <c:pt idx="179">
                  <c:v>1.1849636049981527</c:v>
                </c:pt>
                <c:pt idx="180">
                  <c:v>1.1886143691041826</c:v>
                </c:pt>
                <c:pt idx="181">
                  <c:v>1.1933715439036563</c:v>
                </c:pt>
                <c:pt idx="182">
                  <c:v>1.1979678912966281</c:v>
                </c:pt>
                <c:pt idx="183">
                  <c:v>1.2028118567349073</c:v>
                </c:pt>
                <c:pt idx="184">
                  <c:v>1.2068961655324135</c:v>
                </c:pt>
                <c:pt idx="185">
                  <c:v>1.2098702643033767</c:v>
                </c:pt>
                <c:pt idx="186">
                  <c:v>1.2121475771889614</c:v>
                </c:pt>
                <c:pt idx="187">
                  <c:v>1.2127493206444213</c:v>
                </c:pt>
                <c:pt idx="188">
                  <c:v>1.2149208322944747</c:v>
                </c:pt>
                <c:pt idx="189">
                  <c:v>1.2153071214945694</c:v>
                </c:pt>
                <c:pt idx="190">
                  <c:v>1.2165690485900129</c:v>
                </c:pt>
                <c:pt idx="191">
                  <c:v>1.2181974433423883</c:v>
                </c:pt>
                <c:pt idx="192">
                  <c:v>1.216634752065556</c:v>
                </c:pt>
                <c:pt idx="193">
                  <c:v>1.2148720635345791</c:v>
                </c:pt>
                <c:pt idx="194">
                  <c:v>1.2126012751876365</c:v>
                </c:pt>
                <c:pt idx="195">
                  <c:v>1.2092560754613888</c:v>
                </c:pt>
                <c:pt idx="196">
                  <c:v>1.2071977294875755</c:v>
                </c:pt>
                <c:pt idx="197">
                  <c:v>1.2049611079089855</c:v>
                </c:pt>
                <c:pt idx="198">
                  <c:v>1.2044787205299576</c:v>
                </c:pt>
                <c:pt idx="199">
                  <c:v>1.2010231962846576</c:v>
                </c:pt>
                <c:pt idx="200">
                  <c:v>1.1983573823128577</c:v>
                </c:pt>
                <c:pt idx="201">
                  <c:v>1.1933269050548327</c:v>
                </c:pt>
                <c:pt idx="202">
                  <c:v>1.1890946274183316</c:v>
                </c:pt>
                <c:pt idx="203">
                  <c:v>1.1855637303794644</c:v>
                </c:pt>
                <c:pt idx="204">
                  <c:v>1.1820771355862787</c:v>
                </c:pt>
                <c:pt idx="205">
                  <c:v>1.1788834953005567</c:v>
                </c:pt>
                <c:pt idx="206">
                  <c:v>1.1752423423412128</c:v>
                </c:pt>
                <c:pt idx="207">
                  <c:v>1.171203604286186</c:v>
                </c:pt>
                <c:pt idx="208">
                  <c:v>1.1676456326972096</c:v>
                </c:pt>
                <c:pt idx="209">
                  <c:v>1.1638928873104364</c:v>
                </c:pt>
                <c:pt idx="210">
                  <c:v>1.1600798776222829</c:v>
                </c:pt>
                <c:pt idx="211">
                  <c:v>1.156039368853546</c:v>
                </c:pt>
                <c:pt idx="212">
                  <c:v>1.1527987543524085</c:v>
                </c:pt>
                <c:pt idx="213">
                  <c:v>1.1490859330139114</c:v>
                </c:pt>
                <c:pt idx="214">
                  <c:v>1.1461505466383433</c:v>
                </c:pt>
                <c:pt idx="215">
                  <c:v>1.1427908452304572</c:v>
                </c:pt>
                <c:pt idx="216">
                  <c:v>1.1363825962757619</c:v>
                </c:pt>
                <c:pt idx="217">
                  <c:v>1.1309872257814564</c:v>
                </c:pt>
                <c:pt idx="218">
                  <c:v>1.1277750670697504</c:v>
                </c:pt>
                <c:pt idx="219">
                  <c:v>1.1242736614253448</c:v>
                </c:pt>
                <c:pt idx="220">
                  <c:v>1.1215928973964848</c:v>
                </c:pt>
                <c:pt idx="221">
                  <c:v>1.1184278569556034</c:v>
                </c:pt>
                <c:pt idx="222">
                  <c:v>1.1157782355935002</c:v>
                </c:pt>
                <c:pt idx="223">
                  <c:v>1.1136195653960208</c:v>
                </c:pt>
                <c:pt idx="224">
                  <c:v>1.1121728939992577</c:v>
                </c:pt>
                <c:pt idx="225">
                  <c:v>1.1105566342254782</c:v>
                </c:pt>
                <c:pt idx="226">
                  <c:v>1.1092123139270695</c:v>
                </c:pt>
                <c:pt idx="227">
                  <c:v>1.1086480597386057</c:v>
                </c:pt>
                <c:pt idx="228">
                  <c:v>1.1086647376000409</c:v>
                </c:pt>
                <c:pt idx="229">
                  <c:v>1.1084082725168711</c:v>
                </c:pt>
                <c:pt idx="230">
                  <c:v>1.1076782980659312</c:v>
                </c:pt>
                <c:pt idx="231">
                  <c:v>1.1060855083674963</c:v>
                </c:pt>
                <c:pt idx="232">
                  <c:v>1.1044264766058451</c:v>
                </c:pt>
                <c:pt idx="233">
                  <c:v>1.1033071144260085</c:v>
                </c:pt>
                <c:pt idx="234">
                  <c:v>1.1029795198309589</c:v>
                </c:pt>
                <c:pt idx="235">
                  <c:v>1.1023362356108353</c:v>
                </c:pt>
                <c:pt idx="236">
                  <c:v>1.1013793392006304</c:v>
                </c:pt>
                <c:pt idx="237">
                  <c:v>1.1016306849986963</c:v>
                </c:pt>
                <c:pt idx="238">
                  <c:v>1.1032389347463276</c:v>
                </c:pt>
                <c:pt idx="239">
                  <c:v>1.1053703070668137</c:v>
                </c:pt>
                <c:pt idx="240">
                  <c:v>1.1068174105299968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1.3025140428578199</c:v>
                </c:pt>
                <c:pt idx="1">
                  <c:v>1.29983448261019</c:v>
                </c:pt>
                <c:pt idx="2">
                  <c:v>1.29746262913886</c:v>
                </c:pt>
                <c:pt idx="3">
                  <c:v>1.2949718231412</c:v>
                </c:pt>
                <c:pt idx="4">
                  <c:v>1.29256622015537</c:v>
                </c:pt>
                <c:pt idx="5">
                  <c:v>1.2900583207312299</c:v>
                </c:pt>
                <c:pt idx="6">
                  <c:v>1.2875397745438699</c:v>
                </c:pt>
                <c:pt idx="7">
                  <c:v>1.28467228459755</c:v>
                </c:pt>
                <c:pt idx="8">
                  <c:v>1.2819963381231101</c:v>
                </c:pt>
                <c:pt idx="9">
                  <c:v>1.28017972312312</c:v>
                </c:pt>
                <c:pt idx="10">
                  <c:v>1.27841571951628</c:v>
                </c:pt>
                <c:pt idx="11">
                  <c:v>1.2766110373591899</c:v>
                </c:pt>
                <c:pt idx="12">
                  <c:v>1.2752240142975699</c:v>
                </c:pt>
                <c:pt idx="13">
                  <c:v>1.2739078283447201</c:v>
                </c:pt>
                <c:pt idx="14">
                  <c:v>1.27268448074434</c:v>
                </c:pt>
                <c:pt idx="15">
                  <c:v>1.27142622480516</c:v>
                </c:pt>
                <c:pt idx="16">
                  <c:v>1.27028389880031</c:v>
                </c:pt>
                <c:pt idx="17">
                  <c:v>1.26914758419739</c:v>
                </c:pt>
                <c:pt idx="18">
                  <c:v>1.2687012707613401</c:v>
                </c:pt>
                <c:pt idx="19">
                  <c:v>1.2683339119589001</c:v>
                </c:pt>
                <c:pt idx="20">
                  <c:v>1.2673207169734899</c:v>
                </c:pt>
                <c:pt idx="21">
                  <c:v>1.2657801128145101</c:v>
                </c:pt>
                <c:pt idx="22">
                  <c:v>1.2643748367470999</c:v>
                </c:pt>
                <c:pt idx="23">
                  <c:v>1.26231174594021</c:v>
                </c:pt>
                <c:pt idx="24">
                  <c:v>1.26065720710691</c:v>
                </c:pt>
                <c:pt idx="25">
                  <c:v>1.25914169337573</c:v>
                </c:pt>
                <c:pt idx="26">
                  <c:v>1.2576302313071599</c:v>
                </c:pt>
                <c:pt idx="27">
                  <c:v>1.2557663653367901</c:v>
                </c:pt>
                <c:pt idx="28">
                  <c:v>1.25419415730631</c:v>
                </c:pt>
                <c:pt idx="29">
                  <c:v>1.2528992617664001</c:v>
                </c:pt>
                <c:pt idx="30">
                  <c:v>1.25151763609051</c:v>
                </c:pt>
                <c:pt idx="31">
                  <c:v>1.2499218962040799</c:v>
                </c:pt>
                <c:pt idx="32">
                  <c:v>1.24804468566836</c:v>
                </c:pt>
                <c:pt idx="33">
                  <c:v>1.24609863404862</c:v>
                </c:pt>
                <c:pt idx="34">
                  <c:v>1.24350508615986</c:v>
                </c:pt>
                <c:pt idx="35">
                  <c:v>1.24130865573386</c:v>
                </c:pt>
                <c:pt idx="36">
                  <c:v>1.2391391767898901</c:v>
                </c:pt>
                <c:pt idx="37">
                  <c:v>1.2370368306170001</c:v>
                </c:pt>
                <c:pt idx="38">
                  <c:v>1.2348740347481799</c:v>
                </c:pt>
                <c:pt idx="39">
                  <c:v>1.23306001162099</c:v>
                </c:pt>
                <c:pt idx="40">
                  <c:v>1.23157132432404</c:v>
                </c:pt>
                <c:pt idx="41">
                  <c:v>1.2301676023800301</c:v>
                </c:pt>
                <c:pt idx="42">
                  <c:v>1.2292393072394501</c:v>
                </c:pt>
                <c:pt idx="43">
                  <c:v>1.2286640521947301</c:v>
                </c:pt>
                <c:pt idx="44">
                  <c:v>1.22854288110872</c:v>
                </c:pt>
                <c:pt idx="45">
                  <c:v>1.22850068753111</c:v>
                </c:pt>
                <c:pt idx="46">
                  <c:v>1.2280565941883601</c:v>
                </c:pt>
                <c:pt idx="47">
                  <c:v>1.22799123163987</c:v>
                </c:pt>
                <c:pt idx="48">
                  <c:v>1.22814601954586</c:v>
                </c:pt>
                <c:pt idx="49">
                  <c:v>1.2282045506315</c:v>
                </c:pt>
                <c:pt idx="50">
                  <c:v>1.2285260676085199</c:v>
                </c:pt>
                <c:pt idx="51">
                  <c:v>1.22872539107828</c:v>
                </c:pt>
                <c:pt idx="52">
                  <c:v>1.22861725173527</c:v>
                </c:pt>
                <c:pt idx="53">
                  <c:v>1.22835349665844</c:v>
                </c:pt>
                <c:pt idx="54">
                  <c:v>1.2281053523049399</c:v>
                </c:pt>
                <c:pt idx="55">
                  <c:v>1.2278397561033501</c:v>
                </c:pt>
                <c:pt idx="56">
                  <c:v>1.22746745576007</c:v>
                </c:pt>
                <c:pt idx="57">
                  <c:v>1.2273132636064801</c:v>
                </c:pt>
                <c:pt idx="58">
                  <c:v>1.22731159153104</c:v>
                </c:pt>
                <c:pt idx="59">
                  <c:v>1.2274463542309499</c:v>
                </c:pt>
                <c:pt idx="60">
                  <c:v>1.22753854910708</c:v>
                </c:pt>
                <c:pt idx="61">
                  <c:v>1.2282679449062099</c:v>
                </c:pt>
                <c:pt idx="62">
                  <c:v>1.2288357817961499</c:v>
                </c:pt>
                <c:pt idx="63">
                  <c:v>1.2293140006165399</c:v>
                </c:pt>
                <c:pt idx="64">
                  <c:v>1.2296269987026001</c:v>
                </c:pt>
                <c:pt idx="65">
                  <c:v>1.23029230932531</c:v>
                </c:pt>
                <c:pt idx="66">
                  <c:v>1.2306158145339301</c:v>
                </c:pt>
                <c:pt idx="67">
                  <c:v>1.2310691581249</c:v>
                </c:pt>
                <c:pt idx="68">
                  <c:v>1.2313547485721299</c:v>
                </c:pt>
                <c:pt idx="69">
                  <c:v>1.23149059457348</c:v>
                </c:pt>
                <c:pt idx="70">
                  <c:v>1.2316427529585301</c:v>
                </c:pt>
                <c:pt idx="71">
                  <c:v>1.23193020865127</c:v>
                </c:pt>
                <c:pt idx="72">
                  <c:v>1.23201804585645</c:v>
                </c:pt>
                <c:pt idx="73">
                  <c:v>1.23279392346234</c:v>
                </c:pt>
                <c:pt idx="74">
                  <c:v>1.23338687759206</c:v>
                </c:pt>
                <c:pt idx="75">
                  <c:v>1.23428933172928</c:v>
                </c:pt>
                <c:pt idx="76">
                  <c:v>1.2352614323325199</c:v>
                </c:pt>
                <c:pt idx="77">
                  <c:v>1.2363955461702101</c:v>
                </c:pt>
                <c:pt idx="78">
                  <c:v>1.23775253371274</c:v>
                </c:pt>
                <c:pt idx="79">
                  <c:v>1.2390855171478801</c:v>
                </c:pt>
                <c:pt idx="80">
                  <c:v>1.24054235883879</c:v>
                </c:pt>
                <c:pt idx="81">
                  <c:v>1.24150723273672</c:v>
                </c:pt>
                <c:pt idx="82">
                  <c:v>1.2427049686465099</c:v>
                </c:pt>
                <c:pt idx="83">
                  <c:v>1.2439608110243301</c:v>
                </c:pt>
                <c:pt idx="84">
                  <c:v>1.24412091972285</c:v>
                </c:pt>
                <c:pt idx="85">
                  <c:v>1.2447275686894099</c:v>
                </c:pt>
                <c:pt idx="86">
                  <c:v>1.24545342778501</c:v>
                </c:pt>
                <c:pt idx="87">
                  <c:v>1.2462849094248001</c:v>
                </c:pt>
                <c:pt idx="88">
                  <c:v>1.2472362448060601</c:v>
                </c:pt>
                <c:pt idx="89">
                  <c:v>1.2476278521431601</c:v>
                </c:pt>
                <c:pt idx="90">
                  <c:v>1.2478176293685901</c:v>
                </c:pt>
                <c:pt idx="91">
                  <c:v>1.2478506618207901</c:v>
                </c:pt>
                <c:pt idx="92">
                  <c:v>1.2480770841497699</c:v>
                </c:pt>
                <c:pt idx="93">
                  <c:v>1.2477096203373801</c:v>
                </c:pt>
                <c:pt idx="94">
                  <c:v>1.24713130586134</c:v>
                </c:pt>
                <c:pt idx="95">
                  <c:v>1.24703779113457</c:v>
                </c:pt>
                <c:pt idx="96">
                  <c:v>1.2468037196597299</c:v>
                </c:pt>
                <c:pt idx="97">
                  <c:v>1.2464612674773401</c:v>
                </c:pt>
                <c:pt idx="98">
                  <c:v>1.24719230713917</c:v>
                </c:pt>
                <c:pt idx="99">
                  <c:v>1.2478388944616801</c:v>
                </c:pt>
                <c:pt idx="100">
                  <c:v>1.2483638742312599</c:v>
                </c:pt>
                <c:pt idx="101">
                  <c:v>1.24886251338105</c:v>
                </c:pt>
                <c:pt idx="102">
                  <c:v>1.24889357516956</c:v>
                </c:pt>
                <c:pt idx="103">
                  <c:v>1.2490303254468</c:v>
                </c:pt>
                <c:pt idx="104">
                  <c:v>1.2489925700262801</c:v>
                </c:pt>
                <c:pt idx="105">
                  <c:v>1.2489584983814599</c:v>
                </c:pt>
                <c:pt idx="106">
                  <c:v>1.2486426457726401</c:v>
                </c:pt>
                <c:pt idx="107">
                  <c:v>1.2486954607241401</c:v>
                </c:pt>
                <c:pt idx="108">
                  <c:v>1.2488365622976401</c:v>
                </c:pt>
                <c:pt idx="109">
                  <c:v>1.2491372489860399</c:v>
                </c:pt>
                <c:pt idx="110">
                  <c:v>1.2493759631441499</c:v>
                </c:pt>
                <c:pt idx="111">
                  <c:v>1.2497456604102199</c:v>
                </c:pt>
                <c:pt idx="112">
                  <c:v>1.2505377371157</c:v>
                </c:pt>
                <c:pt idx="113">
                  <c:v>1.2510417970833201</c:v>
                </c:pt>
                <c:pt idx="114">
                  <c:v>1.2514156701108099</c:v>
                </c:pt>
                <c:pt idx="115">
                  <c:v>1.25175672696456</c:v>
                </c:pt>
                <c:pt idx="116">
                  <c:v>1.2518941532189001</c:v>
                </c:pt>
                <c:pt idx="117">
                  <c:v>1.25233611456452</c:v>
                </c:pt>
                <c:pt idx="118">
                  <c:v>1.2526889392818601</c:v>
                </c:pt>
                <c:pt idx="119">
                  <c:v>1.2526460692384001</c:v>
                </c:pt>
                <c:pt idx="120">
                  <c:v>1.2527011171786999</c:v>
                </c:pt>
                <c:pt idx="121">
                  <c:v>1.25351469945163</c:v>
                </c:pt>
                <c:pt idx="122">
                  <c:v>1.25418254947626</c:v>
                </c:pt>
                <c:pt idx="123">
                  <c:v>1.25492643824401</c:v>
                </c:pt>
                <c:pt idx="124">
                  <c:v>1.25575608455833</c:v>
                </c:pt>
                <c:pt idx="125">
                  <c:v>1.2564409870238</c:v>
                </c:pt>
                <c:pt idx="126">
                  <c:v>1.25727124739987</c:v>
                </c:pt>
                <c:pt idx="127">
                  <c:v>1.2576174324541001</c:v>
                </c:pt>
                <c:pt idx="128">
                  <c:v>1.2578520976108101</c:v>
                </c:pt>
                <c:pt idx="129">
                  <c:v>1.25840024871324</c:v>
                </c:pt>
                <c:pt idx="130">
                  <c:v>1.25913502105759</c:v>
                </c:pt>
                <c:pt idx="131">
                  <c:v>1.2600316178948601</c:v>
                </c:pt>
                <c:pt idx="132">
                  <c:v>1.26088530108432</c:v>
                </c:pt>
                <c:pt idx="133">
                  <c:v>1.26146363877586</c:v>
                </c:pt>
                <c:pt idx="134">
                  <c:v>1.2622478979142799</c:v>
                </c:pt>
                <c:pt idx="135">
                  <c:v>1.2631218556542001</c:v>
                </c:pt>
                <c:pt idx="136">
                  <c:v>1.2632421264128799</c:v>
                </c:pt>
                <c:pt idx="137">
                  <c:v>1.26277817988545</c:v>
                </c:pt>
                <c:pt idx="138">
                  <c:v>1.26251948944145</c:v>
                </c:pt>
                <c:pt idx="139">
                  <c:v>1.26229159204333</c:v>
                </c:pt>
                <c:pt idx="140">
                  <c:v>1.2616299406345399</c:v>
                </c:pt>
                <c:pt idx="141">
                  <c:v>1.26122164102376</c:v>
                </c:pt>
                <c:pt idx="142">
                  <c:v>1.2613799612169201</c:v>
                </c:pt>
                <c:pt idx="143">
                  <c:v>1.26165553316651</c:v>
                </c:pt>
                <c:pt idx="144">
                  <c:v>1.26261322602671</c:v>
                </c:pt>
                <c:pt idx="145">
                  <c:v>1.26419624925375</c:v>
                </c:pt>
                <c:pt idx="146">
                  <c:v>1.26545822076804</c:v>
                </c:pt>
                <c:pt idx="147">
                  <c:v>1.2665886554740799</c:v>
                </c:pt>
                <c:pt idx="148">
                  <c:v>1.2673832267801599</c:v>
                </c:pt>
                <c:pt idx="149">
                  <c:v>1.26834521639574</c:v>
                </c:pt>
                <c:pt idx="150">
                  <c:v>1.2688445172806</c:v>
                </c:pt>
                <c:pt idx="151">
                  <c:v>1.26921427857785</c:v>
                </c:pt>
                <c:pt idx="152">
                  <c:v>1.2694428152605499</c:v>
                </c:pt>
                <c:pt idx="153">
                  <c:v>1.26992892461252</c:v>
                </c:pt>
                <c:pt idx="154">
                  <c:v>1.27041628657192</c:v>
                </c:pt>
                <c:pt idx="155">
                  <c:v>1.2709198617408</c:v>
                </c:pt>
                <c:pt idx="156">
                  <c:v>1.2716308535965399</c:v>
                </c:pt>
                <c:pt idx="157">
                  <c:v>1.2723065859929701</c:v>
                </c:pt>
                <c:pt idx="158">
                  <c:v>1.2725179068349</c:v>
                </c:pt>
                <c:pt idx="159">
                  <c:v>1.2736299288129</c:v>
                </c:pt>
                <c:pt idx="160">
                  <c:v>1.2741626967975199</c:v>
                </c:pt>
                <c:pt idx="161">
                  <c:v>1.2748162361850099</c:v>
                </c:pt>
                <c:pt idx="162">
                  <c:v>1.27541905353311</c:v>
                </c:pt>
                <c:pt idx="163">
                  <c:v>1.2763209874277599</c:v>
                </c:pt>
                <c:pt idx="164">
                  <c:v>1.2779135153082299</c:v>
                </c:pt>
                <c:pt idx="165">
                  <c:v>1.27948404270287</c:v>
                </c:pt>
                <c:pt idx="166">
                  <c:v>1.28126632275924</c:v>
                </c:pt>
                <c:pt idx="167">
                  <c:v>1.28313457170051</c:v>
                </c:pt>
                <c:pt idx="168">
                  <c:v>1.2849682058157601</c:v>
                </c:pt>
                <c:pt idx="169">
                  <c:v>1.2864807009771899</c:v>
                </c:pt>
                <c:pt idx="170">
                  <c:v>1.2880253193034601</c:v>
                </c:pt>
                <c:pt idx="171">
                  <c:v>1.28979458541379</c:v>
                </c:pt>
                <c:pt idx="172">
                  <c:v>1.2916040425528299</c:v>
                </c:pt>
                <c:pt idx="173">
                  <c:v>1.29339777780069</c:v>
                </c:pt>
                <c:pt idx="174">
                  <c:v>1.2951774283801201</c:v>
                </c:pt>
                <c:pt idx="175">
                  <c:v>1.2967946050436501</c:v>
                </c:pt>
                <c:pt idx="176">
                  <c:v>1.2984866122773999</c:v>
                </c:pt>
                <c:pt idx="177">
                  <c:v>1.3006751341115701</c:v>
                </c:pt>
                <c:pt idx="178">
                  <c:v>1.3029443829727301</c:v>
                </c:pt>
                <c:pt idx="179">
                  <c:v>1.3048605228788901</c:v>
                </c:pt>
                <c:pt idx="180">
                  <c:v>1.30705915884699</c:v>
                </c:pt>
                <c:pt idx="181">
                  <c:v>1.3091105665273499</c:v>
                </c:pt>
                <c:pt idx="182">
                  <c:v>1.31091451933416</c:v>
                </c:pt>
                <c:pt idx="183">
                  <c:v>1.3125814486702101</c:v>
                </c:pt>
                <c:pt idx="184">
                  <c:v>1.3138264991138899</c:v>
                </c:pt>
                <c:pt idx="185">
                  <c:v>1.3145751667372101</c:v>
                </c:pt>
                <c:pt idx="186">
                  <c:v>1.3151247349740001</c:v>
                </c:pt>
                <c:pt idx="187">
                  <c:v>1.31525548230415</c:v>
                </c:pt>
                <c:pt idx="188">
                  <c:v>1.3157047849158601</c:v>
                </c:pt>
                <c:pt idx="189">
                  <c:v>1.3157802610470799</c:v>
                </c:pt>
                <c:pt idx="190">
                  <c:v>1.31605346404269</c:v>
                </c:pt>
                <c:pt idx="191">
                  <c:v>1.3164694503543599</c:v>
                </c:pt>
                <c:pt idx="192">
                  <c:v>1.3161132636833499</c:v>
                </c:pt>
                <c:pt idx="193">
                  <c:v>1.3156772497684599</c:v>
                </c:pt>
                <c:pt idx="194">
                  <c:v>1.3150682587315901</c:v>
                </c:pt>
                <c:pt idx="195">
                  <c:v>1.31413155334302</c:v>
                </c:pt>
                <c:pt idx="196">
                  <c:v>1.31333217122794</c:v>
                </c:pt>
                <c:pt idx="197">
                  <c:v>1.31259464843358</c:v>
                </c:pt>
                <c:pt idx="198">
                  <c:v>1.3123789076621999</c:v>
                </c:pt>
                <c:pt idx="199">
                  <c:v>1.3113346759071001</c:v>
                </c:pt>
                <c:pt idx="200">
                  <c:v>1.31036359449037</c:v>
                </c:pt>
                <c:pt idx="201">
                  <c:v>1.3089420785846</c:v>
                </c:pt>
                <c:pt idx="202">
                  <c:v>1.30775635345206</c:v>
                </c:pt>
                <c:pt idx="203">
                  <c:v>1.30685190537115</c:v>
                </c:pt>
                <c:pt idx="204">
                  <c:v>1.30590088782396</c:v>
                </c:pt>
                <c:pt idx="205">
                  <c:v>1.3048924529989401</c:v>
                </c:pt>
                <c:pt idx="206">
                  <c:v>1.30372863367703</c:v>
                </c:pt>
                <c:pt idx="207">
                  <c:v>1.3023460655174299</c:v>
                </c:pt>
                <c:pt idx="208">
                  <c:v>1.3010801918247901</c:v>
                </c:pt>
                <c:pt idx="209">
                  <c:v>1.2997650859866501</c:v>
                </c:pt>
                <c:pt idx="210">
                  <c:v>1.29834659609036</c:v>
                </c:pt>
                <c:pt idx="211">
                  <c:v>1.2968176443472299</c:v>
                </c:pt>
                <c:pt idx="212">
                  <c:v>1.2958750355019399</c:v>
                </c:pt>
                <c:pt idx="213">
                  <c:v>1.2946870043980701</c:v>
                </c:pt>
                <c:pt idx="214">
                  <c:v>1.29380040214498</c:v>
                </c:pt>
                <c:pt idx="215">
                  <c:v>1.29288862649234</c:v>
                </c:pt>
                <c:pt idx="216">
                  <c:v>1.2911769117027001</c:v>
                </c:pt>
                <c:pt idx="217">
                  <c:v>1.28928520948945</c:v>
                </c:pt>
                <c:pt idx="218">
                  <c:v>1.2879336713326901</c:v>
                </c:pt>
                <c:pt idx="219">
                  <c:v>1.2859057722203899</c:v>
                </c:pt>
                <c:pt idx="220">
                  <c:v>1.2834960794599399</c:v>
                </c:pt>
                <c:pt idx="221">
                  <c:v>1.2810439074395501</c:v>
                </c:pt>
                <c:pt idx="222">
                  <c:v>1.2788188454285601</c:v>
                </c:pt>
                <c:pt idx="223">
                  <c:v>1.27662741930393</c:v>
                </c:pt>
                <c:pt idx="224">
                  <c:v>1.27461069582405</c:v>
                </c:pt>
                <c:pt idx="225">
                  <c:v>1.2728889531479299</c:v>
                </c:pt>
                <c:pt idx="226">
                  <c:v>1.2713742409062601</c:v>
                </c:pt>
                <c:pt idx="227">
                  <c:v>1.2699852722282701</c:v>
                </c:pt>
                <c:pt idx="228">
                  <c:v>1.268388882552</c:v>
                </c:pt>
                <c:pt idx="229">
                  <c:v>1.26673759603698</c:v>
                </c:pt>
                <c:pt idx="230">
                  <c:v>1.26468996673695</c:v>
                </c:pt>
                <c:pt idx="231">
                  <c:v>1.2626911104019101</c:v>
                </c:pt>
                <c:pt idx="232">
                  <c:v>1.2607015886478701</c:v>
                </c:pt>
                <c:pt idx="233">
                  <c:v>1.2590586076941701</c:v>
                </c:pt>
                <c:pt idx="234">
                  <c:v>1.2575026276922201</c:v>
                </c:pt>
                <c:pt idx="235">
                  <c:v>1.2560355064903199</c:v>
                </c:pt>
                <c:pt idx="236">
                  <c:v>1.2541120286982801</c:v>
                </c:pt>
                <c:pt idx="237">
                  <c:v>1.25267019560322</c:v>
                </c:pt>
                <c:pt idx="238">
                  <c:v>1.2509831019118201</c:v>
                </c:pt>
                <c:pt idx="239">
                  <c:v>1.24913435179223</c:v>
                </c:pt>
                <c:pt idx="240">
                  <c:v>1.24775565251331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4480922755956298"/>
          <c:min val="1.001379339200630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CLOSE_7205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1170</c:v>
                </c:pt>
                <c:pt idx="1">
                  <c:v>1165</c:v>
                </c:pt>
                <c:pt idx="2">
                  <c:v>1170</c:v>
                </c:pt>
                <c:pt idx="3">
                  <c:v>1172</c:v>
                </c:pt>
                <c:pt idx="4">
                  <c:v>1168</c:v>
                </c:pt>
                <c:pt idx="5">
                  <c:v>1181</c:v>
                </c:pt>
                <c:pt idx="6">
                  <c:v>1155</c:v>
                </c:pt>
                <c:pt idx="7">
                  <c:v>1173</c:v>
                </c:pt>
                <c:pt idx="8">
                  <c:v>1151</c:v>
                </c:pt>
                <c:pt idx="9">
                  <c:v>1147</c:v>
                </c:pt>
                <c:pt idx="10">
                  <c:v>1137</c:v>
                </c:pt>
                <c:pt idx="11">
                  <c:v>1114</c:v>
                </c:pt>
                <c:pt idx="12">
                  <c:v>1096</c:v>
                </c:pt>
                <c:pt idx="13">
                  <c:v>1093</c:v>
                </c:pt>
                <c:pt idx="14">
                  <c:v>1102</c:v>
                </c:pt>
                <c:pt idx="15">
                  <c:v>1071</c:v>
                </c:pt>
                <c:pt idx="16">
                  <c:v>1069</c:v>
                </c:pt>
                <c:pt idx="17">
                  <c:v>1060</c:v>
                </c:pt>
                <c:pt idx="18">
                  <c:v>1069</c:v>
                </c:pt>
                <c:pt idx="19">
                  <c:v>1063</c:v>
                </c:pt>
                <c:pt idx="20">
                  <c:v>1084</c:v>
                </c:pt>
                <c:pt idx="21">
                  <c:v>1069</c:v>
                </c:pt>
                <c:pt idx="22">
                  <c:v>1053</c:v>
                </c:pt>
                <c:pt idx="23">
                  <c:v>1051</c:v>
                </c:pt>
                <c:pt idx="24">
                  <c:v>1059</c:v>
                </c:pt>
                <c:pt idx="25">
                  <c:v>1065</c:v>
                </c:pt>
                <c:pt idx="26">
                  <c:v>1063</c:v>
                </c:pt>
                <c:pt idx="27">
                  <c:v>1067</c:v>
                </c:pt>
                <c:pt idx="28">
                  <c:v>1068</c:v>
                </c:pt>
                <c:pt idx="29">
                  <c:v>1056</c:v>
                </c:pt>
                <c:pt idx="30">
                  <c:v>1069</c:v>
                </c:pt>
                <c:pt idx="31">
                  <c:v>1049</c:v>
                </c:pt>
                <c:pt idx="32">
                  <c:v>1045</c:v>
                </c:pt>
                <c:pt idx="33">
                  <c:v>1058</c:v>
                </c:pt>
                <c:pt idx="34">
                  <c:v>1024</c:v>
                </c:pt>
                <c:pt idx="35">
                  <c:v>1032</c:v>
                </c:pt>
                <c:pt idx="36">
                  <c:v>1009</c:v>
                </c:pt>
                <c:pt idx="37">
                  <c:v>1010</c:v>
                </c:pt>
                <c:pt idx="38">
                  <c:v>993</c:v>
                </c:pt>
                <c:pt idx="39">
                  <c:v>980</c:v>
                </c:pt>
                <c:pt idx="40">
                  <c:v>996</c:v>
                </c:pt>
                <c:pt idx="41">
                  <c:v>960</c:v>
                </c:pt>
                <c:pt idx="42">
                  <c:v>944</c:v>
                </c:pt>
                <c:pt idx="43">
                  <c:v>940</c:v>
                </c:pt>
                <c:pt idx="44">
                  <c:v>938</c:v>
                </c:pt>
                <c:pt idx="45">
                  <c:v>938</c:v>
                </c:pt>
                <c:pt idx="46">
                  <c:v>926</c:v>
                </c:pt>
                <c:pt idx="47">
                  <c:v>896</c:v>
                </c:pt>
                <c:pt idx="48">
                  <c:v>876</c:v>
                </c:pt>
                <c:pt idx="49">
                  <c:v>870</c:v>
                </c:pt>
                <c:pt idx="50">
                  <c:v>877</c:v>
                </c:pt>
                <c:pt idx="51">
                  <c:v>875</c:v>
                </c:pt>
                <c:pt idx="52">
                  <c:v>872</c:v>
                </c:pt>
                <c:pt idx="53">
                  <c:v>866</c:v>
                </c:pt>
                <c:pt idx="54">
                  <c:v>884</c:v>
                </c:pt>
                <c:pt idx="55">
                  <c:v>905</c:v>
                </c:pt>
                <c:pt idx="56">
                  <c:v>890</c:v>
                </c:pt>
                <c:pt idx="57">
                  <c:v>907</c:v>
                </c:pt>
                <c:pt idx="58">
                  <c:v>921</c:v>
                </c:pt>
                <c:pt idx="59">
                  <c:v>920</c:v>
                </c:pt>
                <c:pt idx="60">
                  <c:v>929</c:v>
                </c:pt>
                <c:pt idx="61">
                  <c:v>933</c:v>
                </c:pt>
                <c:pt idx="62">
                  <c:v>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CLOSE_8002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1017.2915560276156</c:v>
                </c:pt>
                <c:pt idx="1">
                  <c:v>1021.0315985130112</c:v>
                </c:pt>
                <c:pt idx="2">
                  <c:v>1028.5116834838025</c:v>
                </c:pt>
                <c:pt idx="3">
                  <c:v>1038.4851301115241</c:v>
                </c:pt>
                <c:pt idx="4">
                  <c:v>1033.4984067976634</c:v>
                </c:pt>
                <c:pt idx="5">
                  <c:v>1044.3445300053108</c:v>
                </c:pt>
                <c:pt idx="6">
                  <c:v>1015.9202071163038</c:v>
                </c:pt>
                <c:pt idx="7">
                  <c:v>1026.5169941582581</c:v>
                </c:pt>
                <c:pt idx="8">
                  <c:v>1033.7477429633564</c:v>
                </c:pt>
                <c:pt idx="9">
                  <c:v>1035.9917684545937</c:v>
                </c:pt>
                <c:pt idx="10">
                  <c:v>1028.387015400956</c:v>
                </c:pt>
                <c:pt idx="11">
                  <c:v>1029.8830323951142</c:v>
                </c:pt>
                <c:pt idx="12">
                  <c:v>1013.800849707913</c:v>
                </c:pt>
                <c:pt idx="13">
                  <c:v>1016.2942113648434</c:v>
                </c:pt>
                <c:pt idx="14">
                  <c:v>1028.7610196494957</c:v>
                </c:pt>
                <c:pt idx="15">
                  <c:v>1007.5674455655869</c:v>
                </c:pt>
                <c:pt idx="16">
                  <c:v>1011.8061603823686</c:v>
                </c:pt>
                <c:pt idx="17">
                  <c:v>1009.4374668082847</c:v>
                </c:pt>
                <c:pt idx="18">
                  <c:v>1003.328730748805</c:v>
                </c:pt>
                <c:pt idx="19">
                  <c:v>1003.8274030801913</c:v>
                </c:pt>
                <c:pt idx="20">
                  <c:v>993.47995220392988</c:v>
                </c:pt>
                <c:pt idx="21">
                  <c:v>994.10329261816253</c:v>
                </c:pt>
                <c:pt idx="22">
                  <c:v>989.61524163568765</c:v>
                </c:pt>
                <c:pt idx="23">
                  <c:v>1003.5780669144982</c:v>
                </c:pt>
                <c:pt idx="24">
                  <c:v>1010.5594795539034</c:v>
                </c:pt>
                <c:pt idx="25">
                  <c:v>1011.0581518852895</c:v>
                </c:pt>
                <c:pt idx="26">
                  <c:v>989.61524163568765</c:v>
                </c:pt>
                <c:pt idx="27">
                  <c:v>1003.2040626659586</c:v>
                </c:pt>
                <c:pt idx="28">
                  <c:v>1017.166887944769</c:v>
                </c:pt>
                <c:pt idx="29">
                  <c:v>1004.94941582581</c:v>
                </c:pt>
                <c:pt idx="30">
                  <c:v>997.59399893786519</c:v>
                </c:pt>
                <c:pt idx="31">
                  <c:v>979.64179500796592</c:v>
                </c:pt>
                <c:pt idx="32">
                  <c:v>978.39511417950075</c:v>
                </c:pt>
                <c:pt idx="33">
                  <c:v>958.07421667551785</c:v>
                </c:pt>
                <c:pt idx="34">
                  <c:v>942.61537440254915</c:v>
                </c:pt>
                <c:pt idx="35">
                  <c:v>954.70817843866166</c:v>
                </c:pt>
                <c:pt idx="36">
                  <c:v>955.83019118428047</c:v>
                </c:pt>
                <c:pt idx="37">
                  <c:v>949.84612320764734</c:v>
                </c:pt>
                <c:pt idx="38">
                  <c:v>939.74800849707913</c:v>
                </c:pt>
                <c:pt idx="39">
                  <c:v>938.87533191715352</c:v>
                </c:pt>
                <c:pt idx="40">
                  <c:v>938.12732342007439</c:v>
                </c:pt>
                <c:pt idx="41">
                  <c:v>933.26526818906007</c:v>
                </c:pt>
                <c:pt idx="42">
                  <c:v>924.66317047265011</c:v>
                </c:pt>
                <c:pt idx="43">
                  <c:v>914.68972384492838</c:v>
                </c:pt>
                <c:pt idx="44">
                  <c:v>912.07169410515144</c:v>
                </c:pt>
                <c:pt idx="45">
                  <c:v>917.55708975039829</c:v>
                </c:pt>
                <c:pt idx="46">
                  <c:v>930.14856611789708</c:v>
                </c:pt>
                <c:pt idx="47">
                  <c:v>915.68706850770047</c:v>
                </c:pt>
                <c:pt idx="48">
                  <c:v>894.11949017525228</c:v>
                </c:pt>
                <c:pt idx="49">
                  <c:v>886.63940520446101</c:v>
                </c:pt>
                <c:pt idx="50">
                  <c:v>900.97623473181102</c:v>
                </c:pt>
                <c:pt idx="51">
                  <c:v>865.94450345193843</c:v>
                </c:pt>
                <c:pt idx="52">
                  <c:v>865.32116303770579</c:v>
                </c:pt>
                <c:pt idx="53">
                  <c:v>872.17790759426452</c:v>
                </c:pt>
                <c:pt idx="54">
                  <c:v>888.50942644715883</c:v>
                </c:pt>
                <c:pt idx="55">
                  <c:v>909.2043281996813</c:v>
                </c:pt>
                <c:pt idx="56">
                  <c:v>894.74283058948492</c:v>
                </c:pt>
                <c:pt idx="57">
                  <c:v>907.45897503983008</c:v>
                </c:pt>
                <c:pt idx="58">
                  <c:v>942.36603823685607</c:v>
                </c:pt>
                <c:pt idx="59">
                  <c:v>938.62599575146044</c:v>
                </c:pt>
                <c:pt idx="60">
                  <c:v>938.62599575146044</c:v>
                </c:pt>
                <c:pt idx="61">
                  <c:v>939.99734466277221</c:v>
                </c:pt>
                <c:pt idx="62">
                  <c:v>939.00000000000011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181"/>
          <c:min val="865.3211630377057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104776</xdr:rowOff>
        </xdr:from>
        <xdr:to>
          <xdr:col>0</xdr:col>
          <xdr:colOff>638175</xdr:colOff>
          <xdr:row>5</xdr:row>
          <xdr:rowOff>152401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47626</xdr:colOff>
          <xdr:row>28</xdr:row>
          <xdr:rowOff>38100</xdr:rowOff>
        </xdr:from>
        <xdr:to>
          <xdr:col>0</xdr:col>
          <xdr:colOff>657226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30" t="s">
        <v>2368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9"/>
  <sheetViews>
    <sheetView showGridLines="0" zoomScale="115" zoomScaleNormal="115" workbookViewId="0">
      <selection activeCell="K18" sqref="K18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162</v>
      </c>
      <c r="D1" s="13"/>
      <c r="H1" s="1"/>
      <c r="I1" s="13" t="s">
        <v>24</v>
      </c>
      <c r="J1" s="56"/>
      <c r="K1" s="281">
        <v>43819</v>
      </c>
      <c r="L1" s="282"/>
      <c r="M1" s="23"/>
      <c r="N1" s="13" t="s">
        <v>264</v>
      </c>
      <c r="P1" s="281">
        <f ca="1">TODAY()</f>
        <v>43819</v>
      </c>
      <c r="Q1" s="283"/>
      <c r="U1" s="57" t="s">
        <v>23</v>
      </c>
      <c r="V1" s="57"/>
    </row>
    <row r="2" spans="2:23" ht="16.5" customHeight="1" thickBot="1" x14ac:dyDescent="0.25">
      <c r="J2" s="181">
        <f>SUM(J4:J56)</f>
        <v>6033700</v>
      </c>
      <c r="R2" s="127">
        <f ca="1">SUM(R4:R56)</f>
        <v>-36937.330684931505</v>
      </c>
      <c r="S2" s="91">
        <f ca="1">SUM(S4:S56)</f>
        <v>-1.8635644721290569E-2</v>
      </c>
    </row>
    <row r="3" spans="2:23" ht="24.75" thickBot="1" x14ac:dyDescent="0.25">
      <c r="C3" s="58" t="s">
        <v>145</v>
      </c>
      <c r="D3" s="68" t="s">
        <v>169</v>
      </c>
      <c r="E3" s="60"/>
      <c r="F3" s="59" t="s">
        <v>69</v>
      </c>
      <c r="G3" s="61" t="s">
        <v>70</v>
      </c>
      <c r="H3" s="62" t="s">
        <v>146</v>
      </c>
      <c r="I3" s="62" t="s">
        <v>147</v>
      </c>
      <c r="J3" s="60" t="s">
        <v>22</v>
      </c>
      <c r="K3" s="60" t="s">
        <v>148</v>
      </c>
      <c r="L3" s="62" t="s">
        <v>149</v>
      </c>
      <c r="M3" s="63" t="s">
        <v>170</v>
      </c>
      <c r="N3" s="60" t="s">
        <v>150</v>
      </c>
      <c r="O3" s="63" t="s">
        <v>164</v>
      </c>
      <c r="P3" s="60" t="s">
        <v>257</v>
      </c>
      <c r="Q3" s="60" t="s">
        <v>151</v>
      </c>
      <c r="R3" s="63" t="s">
        <v>166</v>
      </c>
      <c r="S3" s="66" t="s">
        <v>167</v>
      </c>
      <c r="T3" s="65"/>
      <c r="U3" s="67" t="s">
        <v>263</v>
      </c>
      <c r="V3" s="67" t="s">
        <v>168</v>
      </c>
      <c r="W3" s="64" t="s">
        <v>165</v>
      </c>
    </row>
    <row r="4" spans="2:23" s="106" customFormat="1" x14ac:dyDescent="0.2">
      <c r="B4" s="124" t="s">
        <v>272</v>
      </c>
      <c r="C4" s="273">
        <f>ROW()/2-1</f>
        <v>1</v>
      </c>
      <c r="D4" s="275">
        <v>43808</v>
      </c>
      <c r="E4" s="33" t="s">
        <v>260</v>
      </c>
      <c r="F4" s="33">
        <v>5991</v>
      </c>
      <c r="G4" s="55" t="s">
        <v>994</v>
      </c>
      <c r="H4" s="49">
        <v>1013</v>
      </c>
      <c r="I4" s="49">
        <v>900</v>
      </c>
      <c r="J4" s="50">
        <f t="shared" ref="J4:J9" si="0">H4*I4</f>
        <v>911700</v>
      </c>
      <c r="K4" s="52" t="s">
        <v>993</v>
      </c>
      <c r="L4" s="49">
        <v>1030</v>
      </c>
      <c r="M4" s="33">
        <v>770</v>
      </c>
      <c r="N4" s="145">
        <f ca="1">IF(OR(K4="現物",J4=0),0,IF(E4="売",J4*Fee_Refer!$B$12/365*V4, J4*Fee_Refer!$B$11/365*#REF!))</f>
        <v>302.23479452054789</v>
      </c>
      <c r="O4" s="52">
        <v>0</v>
      </c>
      <c r="P4" s="148">
        <f ca="1">IF(L4 &gt;0,(H4-L4)*I4-M4-N4-O4,0)</f>
        <v>-16372.234794520547</v>
      </c>
      <c r="Q4" s="51">
        <f t="shared" ref="Q4:Q9" ca="1" si="1">P4/J4</f>
        <v>-1.7957919046309695E-2</v>
      </c>
      <c r="R4" s="277">
        <f ca="1">P4+P5</f>
        <v>-17944.722465753424</v>
      </c>
      <c r="S4" s="278">
        <f t="shared" ref="S4" ca="1" si="2">R4/(J4+J5)</f>
        <v>-9.6337158242086347E-3</v>
      </c>
      <c r="U4" s="280">
        <f ca="1">$P$1</f>
        <v>43819</v>
      </c>
      <c r="V4" s="271">
        <f t="shared" ref="V4" ca="1" si="3">IF(U4&gt;D4,DATEDIF(D4,U4,"d"),0)</f>
        <v>11</v>
      </c>
      <c r="W4" s="272"/>
    </row>
    <row r="5" spans="2:23" s="106" customFormat="1" x14ac:dyDescent="0.2">
      <c r="B5" s="124" t="s">
        <v>838</v>
      </c>
      <c r="C5" s="274"/>
      <c r="D5" s="276">
        <v>43748</v>
      </c>
      <c r="E5" s="29" t="s">
        <v>262</v>
      </c>
      <c r="F5" s="29">
        <v>7267</v>
      </c>
      <c r="G5" s="54" t="s">
        <v>995</v>
      </c>
      <c r="H5" s="46">
        <v>3170</v>
      </c>
      <c r="I5" s="46">
        <v>300</v>
      </c>
      <c r="J5" s="47">
        <f t="shared" si="0"/>
        <v>951000</v>
      </c>
      <c r="K5" s="146" t="s">
        <v>993</v>
      </c>
      <c r="L5" s="41">
        <v>3170</v>
      </c>
      <c r="M5" s="31">
        <v>770</v>
      </c>
      <c r="N5" s="147">
        <f ca="1">IF(OR(K5="現物",J5=0),0,IF(E5="売",J5*Fee_Refer!$B$12/365*V5, J5*Fee_Refer!$B$11/365*V4))</f>
        <v>802.48767123287666</v>
      </c>
      <c r="O5" s="170">
        <v>0</v>
      </c>
      <c r="P5" s="149">
        <f ca="1">IF(L5&gt;0,(L5-H5)*I5-M5-N5-O5,0)</f>
        <v>-1572.4876712328767</v>
      </c>
      <c r="Q5" s="48">
        <f t="shared" ca="1" si="1"/>
        <v>-1.6535096437779986E-3</v>
      </c>
      <c r="R5" s="277"/>
      <c r="S5" s="279"/>
      <c r="U5" s="271"/>
      <c r="V5" s="271"/>
      <c r="W5" s="271"/>
    </row>
    <row r="6" spans="2:23" s="106" customFormat="1" x14ac:dyDescent="0.2">
      <c r="B6" s="124" t="s">
        <v>272</v>
      </c>
      <c r="C6" s="273">
        <f>ROW()/2-1</f>
        <v>2</v>
      </c>
      <c r="D6" s="275">
        <v>43809</v>
      </c>
      <c r="E6" s="33" t="s">
        <v>260</v>
      </c>
      <c r="F6" s="33">
        <v>6471</v>
      </c>
      <c r="G6" s="55" t="s">
        <v>998</v>
      </c>
      <c r="H6" s="49">
        <v>1067</v>
      </c>
      <c r="I6" s="49">
        <v>1000</v>
      </c>
      <c r="J6" s="50">
        <f t="shared" si="0"/>
        <v>1067000</v>
      </c>
      <c r="K6" s="52" t="s">
        <v>1000</v>
      </c>
      <c r="L6" s="49">
        <v>1063</v>
      </c>
      <c r="M6" s="33">
        <v>770</v>
      </c>
      <c r="N6" s="145">
        <f ca="1">IF(OR(K6="現物",J6=0),0,IF(E6="売",J6*Fee_Refer!$B$12/365*V6, J6*Fee_Refer!$B$11/365*#REF!))</f>
        <v>321.56164383561645</v>
      </c>
      <c r="O6" s="52">
        <v>0</v>
      </c>
      <c r="P6" s="148">
        <f ca="1">IF(L6 &gt;0,(H6-L6)*I6-M6-N6-O6,0)</f>
        <v>2908.4383561643835</v>
      </c>
      <c r="Q6" s="51">
        <f t="shared" ca="1" si="1"/>
        <v>2.7258091435467514E-3</v>
      </c>
      <c r="R6" s="277">
        <f ca="1">P6+P7</f>
        <v>-13096.191780821919</v>
      </c>
      <c r="S6" s="278">
        <f t="shared" ref="S6" ca="1" si="4">R6/(J6+J7)</f>
        <v>-6.0771191558338369E-3</v>
      </c>
      <c r="U6" s="280">
        <f ca="1">$P$1</f>
        <v>43819</v>
      </c>
      <c r="V6" s="271">
        <f t="shared" ref="V6" ca="1" si="5">IF(U6&gt;D6,DATEDIF(D6,U6,"d"),0)</f>
        <v>10</v>
      </c>
      <c r="W6" s="272"/>
    </row>
    <row r="7" spans="2:23" s="106" customFormat="1" x14ac:dyDescent="0.2">
      <c r="B7" s="124" t="s">
        <v>838</v>
      </c>
      <c r="C7" s="274"/>
      <c r="D7" s="276">
        <v>43748</v>
      </c>
      <c r="E7" s="29" t="s">
        <v>262</v>
      </c>
      <c r="F7" s="29">
        <v>6473</v>
      </c>
      <c r="G7" s="54" t="s">
        <v>999</v>
      </c>
      <c r="H7" s="46">
        <v>1360</v>
      </c>
      <c r="I7" s="46">
        <v>800</v>
      </c>
      <c r="J7" s="47">
        <f t="shared" si="0"/>
        <v>1088000</v>
      </c>
      <c r="K7" s="146" t="s">
        <v>1000</v>
      </c>
      <c r="L7" s="41">
        <v>1342</v>
      </c>
      <c r="M7" s="31">
        <v>770</v>
      </c>
      <c r="N7" s="147">
        <f ca="1">IF(OR(K7="現物",J7=0),0,IF(E7="売",J7*Fee_Refer!$B$12/365*V7, J7*Fee_Refer!$B$11/365*V6))</f>
        <v>834.6301369863013</v>
      </c>
      <c r="O7" s="171">
        <v>0</v>
      </c>
      <c r="P7" s="149">
        <f ca="1">IF(L7&gt;0,(L7-H7)*I7-M7-N7-O7,0)</f>
        <v>-16004.630136986301</v>
      </c>
      <c r="Q7" s="48">
        <f t="shared" ca="1" si="1"/>
        <v>-1.4710137993553586E-2</v>
      </c>
      <c r="R7" s="277"/>
      <c r="S7" s="279"/>
      <c r="U7" s="271"/>
      <c r="V7" s="271"/>
      <c r="W7" s="271"/>
    </row>
    <row r="8" spans="2:23" s="106" customFormat="1" x14ac:dyDescent="0.2">
      <c r="B8" s="124" t="s">
        <v>272</v>
      </c>
      <c r="C8" s="273">
        <f>ROW()/2-1</f>
        <v>3</v>
      </c>
      <c r="D8" s="275">
        <v>43811</v>
      </c>
      <c r="E8" s="33" t="s">
        <v>260</v>
      </c>
      <c r="F8" s="33">
        <v>1860</v>
      </c>
      <c r="G8" s="55" t="s">
        <v>1002</v>
      </c>
      <c r="H8" s="49">
        <v>730</v>
      </c>
      <c r="I8" s="49">
        <v>1400</v>
      </c>
      <c r="J8" s="50">
        <f t="shared" si="0"/>
        <v>1022000</v>
      </c>
      <c r="K8" s="52" t="s">
        <v>1001</v>
      </c>
      <c r="L8" s="49">
        <v>723</v>
      </c>
      <c r="M8" s="33">
        <v>770</v>
      </c>
      <c r="N8" s="145">
        <f ca="1">IF(OR(K8="現物",J8=0),0,IF(E8="売",J8*Fee_Refer!$B$12/365*V8, J8*Fee_Refer!$B$11/365*#REF!))</f>
        <v>246.4</v>
      </c>
      <c r="O8" s="52">
        <v>0</v>
      </c>
      <c r="P8" s="148">
        <f ca="1">IF(L8 &gt;0,(H8-L8)*I8-M8-N8-O8,0)</f>
        <v>8783.6</v>
      </c>
      <c r="Q8" s="51">
        <f t="shared" ca="1" si="1"/>
        <v>8.5945205479452062E-3</v>
      </c>
      <c r="R8" s="277">
        <f ca="1">P8+P9</f>
        <v>-5896.4164383561638</v>
      </c>
      <c r="S8" s="278">
        <f t="shared" ref="S8" ca="1" si="6">R8/(J8+J9)</f>
        <v>-2.9248097412480972E-3</v>
      </c>
      <c r="U8" s="280">
        <f ca="1">$P$1</f>
        <v>43819</v>
      </c>
      <c r="V8" s="271">
        <f t="shared" ref="V8" ca="1" si="7">IF(U8&gt;D8,DATEDIF(D8,U8,"d"),0)</f>
        <v>8</v>
      </c>
      <c r="W8" s="272"/>
    </row>
    <row r="9" spans="2:23" s="106" customFormat="1" x14ac:dyDescent="0.2">
      <c r="B9" s="124" t="s">
        <v>838</v>
      </c>
      <c r="C9" s="274"/>
      <c r="D9" s="276">
        <v>43748</v>
      </c>
      <c r="E9" s="29" t="s">
        <v>262</v>
      </c>
      <c r="F9" s="29">
        <v>5110</v>
      </c>
      <c r="G9" s="54" t="s">
        <v>1003</v>
      </c>
      <c r="H9" s="46">
        <v>1420</v>
      </c>
      <c r="I9" s="46">
        <v>700</v>
      </c>
      <c r="J9" s="47">
        <f t="shared" si="0"/>
        <v>994000</v>
      </c>
      <c r="K9" s="146" t="s">
        <v>1001</v>
      </c>
      <c r="L9" s="41">
        <v>1401</v>
      </c>
      <c r="M9" s="31">
        <v>770</v>
      </c>
      <c r="N9" s="147">
        <f ca="1">IF(OR(K9="現物",J9=0),0,IF(E9="売",J9*Fee_Refer!$B$12/365*V9, J9*Fee_Refer!$B$11/365*V8))</f>
        <v>610.01643835616437</v>
      </c>
      <c r="O9" s="180">
        <v>0</v>
      </c>
      <c r="P9" s="149">
        <f ca="1">IF(L9&gt;0,(L9-H9)*I9-M9-N9-O9,0)</f>
        <v>-14680.016438356164</v>
      </c>
      <c r="Q9" s="48">
        <f t="shared" ca="1" si="1"/>
        <v>-1.4768628207601775E-2</v>
      </c>
      <c r="R9" s="277"/>
      <c r="S9" s="279"/>
      <c r="U9" s="271"/>
      <c r="V9" s="271"/>
      <c r="W9" s="271"/>
    </row>
  </sheetData>
  <mergeCells count="23"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  <mergeCell ref="V8:V9"/>
    <mergeCell ref="W8:W9"/>
    <mergeCell ref="C8:C9"/>
    <mergeCell ref="D8:D9"/>
    <mergeCell ref="R8:R9"/>
    <mergeCell ref="S8:S9"/>
    <mergeCell ref="U8:U9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35"/>
  <sheetViews>
    <sheetView showGridLines="0" topLeftCell="A10" zoomScaleNormal="100" workbookViewId="0">
      <selection activeCell="M40" sqref="M40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258</v>
      </c>
      <c r="R2" s="93">
        <f>SUM(R4:R1004)</f>
        <v>547597.39287671214</v>
      </c>
      <c r="S2" s="182"/>
      <c r="U2" s="57" t="s">
        <v>143</v>
      </c>
      <c r="X2" s="1" t="s">
        <v>1890</v>
      </c>
    </row>
    <row r="3" spans="2:29" ht="30" customHeight="1" thickBot="1" x14ac:dyDescent="0.25">
      <c r="C3" s="58" t="s">
        <v>145</v>
      </c>
      <c r="D3" s="92" t="s">
        <v>169</v>
      </c>
      <c r="E3" s="60"/>
      <c r="F3" s="61" t="s">
        <v>69</v>
      </c>
      <c r="G3" s="61" t="s">
        <v>70</v>
      </c>
      <c r="H3" s="63" t="s">
        <v>271</v>
      </c>
      <c r="I3" s="63" t="s">
        <v>268</v>
      </c>
      <c r="J3" s="60" t="s">
        <v>22</v>
      </c>
      <c r="K3" s="60" t="s">
        <v>148</v>
      </c>
      <c r="L3" s="63" t="s">
        <v>269</v>
      </c>
      <c r="M3" s="63" t="s">
        <v>170</v>
      </c>
      <c r="N3" s="60" t="s">
        <v>150</v>
      </c>
      <c r="O3" s="63" t="s">
        <v>164</v>
      </c>
      <c r="P3" s="62" t="s">
        <v>270</v>
      </c>
      <c r="Q3" s="62" t="s">
        <v>152</v>
      </c>
      <c r="R3" s="63" t="s">
        <v>166</v>
      </c>
      <c r="S3" s="66" t="s">
        <v>167</v>
      </c>
      <c r="T3" s="65"/>
      <c r="U3" s="67" t="s">
        <v>259</v>
      </c>
      <c r="V3" s="67" t="s">
        <v>1885</v>
      </c>
      <c r="W3" s="67" t="s">
        <v>165</v>
      </c>
      <c r="AA3" s="67" t="s">
        <v>265</v>
      </c>
      <c r="AB3" s="67" t="s">
        <v>266</v>
      </c>
      <c r="AC3" s="67" t="s">
        <v>267</v>
      </c>
    </row>
    <row r="4" spans="2:29" x14ac:dyDescent="0.2">
      <c r="B4" s="124" t="s">
        <v>272</v>
      </c>
      <c r="C4" s="303">
        <v>1</v>
      </c>
      <c r="D4" s="306">
        <v>43726</v>
      </c>
      <c r="E4" s="25" t="s">
        <v>260</v>
      </c>
      <c r="F4" s="25">
        <v>6472</v>
      </c>
      <c r="G4" s="53" t="s">
        <v>261</v>
      </c>
      <c r="H4" s="43">
        <v>320</v>
      </c>
      <c r="I4" s="26">
        <v>1200</v>
      </c>
      <c r="J4" s="44">
        <v>384000</v>
      </c>
      <c r="K4" s="37" t="s">
        <v>159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86">
        <f>P4+P5</f>
        <v>159</v>
      </c>
      <c r="S4" s="299">
        <f t="shared" ref="S4" si="0">R4/(J4+J5)</f>
        <v>2.1406645484409498E-4</v>
      </c>
      <c r="U4" s="308">
        <v>43742</v>
      </c>
      <c r="V4" s="301">
        <f>DATEDIF(D4,U4,"d")</f>
        <v>16</v>
      </c>
      <c r="W4" s="296" t="s">
        <v>974</v>
      </c>
      <c r="X4" s="172"/>
      <c r="AA4" s="286">
        <f>YEAR(U4)</f>
        <v>2019</v>
      </c>
      <c r="AB4" s="286">
        <f>MONTH(U4)</f>
        <v>10</v>
      </c>
      <c r="AC4" s="286" t="str">
        <f>IF(R4&gt;0,"○","☓")</f>
        <v>○</v>
      </c>
    </row>
    <row r="5" spans="2:29" ht="15" thickBot="1" x14ac:dyDescent="0.25">
      <c r="B5" s="106"/>
      <c r="C5" s="274"/>
      <c r="D5" s="284"/>
      <c r="E5" s="29" t="s">
        <v>262</v>
      </c>
      <c r="F5" s="29">
        <v>6752</v>
      </c>
      <c r="G5" s="54" t="s">
        <v>105</v>
      </c>
      <c r="H5" s="46">
        <v>896.9</v>
      </c>
      <c r="I5" s="30">
        <v>400</v>
      </c>
      <c r="J5" s="47">
        <v>358760</v>
      </c>
      <c r="K5" s="38" t="s">
        <v>160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79"/>
      <c r="S5" s="307"/>
      <c r="U5" s="309"/>
      <c r="V5" s="302"/>
      <c r="W5" s="297"/>
      <c r="X5" s="172"/>
      <c r="AA5" s="279"/>
      <c r="AB5" s="279"/>
      <c r="AC5" s="279"/>
    </row>
    <row r="6" spans="2:29" x14ac:dyDescent="0.2">
      <c r="B6" s="124" t="s">
        <v>272</v>
      </c>
      <c r="C6" s="303">
        <v>2</v>
      </c>
      <c r="D6" s="298">
        <v>43732</v>
      </c>
      <c r="E6" s="25" t="s">
        <v>153</v>
      </c>
      <c r="F6" s="25">
        <v>6305</v>
      </c>
      <c r="G6" s="53" t="s">
        <v>33</v>
      </c>
      <c r="H6" s="43">
        <v>2638</v>
      </c>
      <c r="I6" s="26">
        <v>300</v>
      </c>
      <c r="J6" s="44">
        <v>791400</v>
      </c>
      <c r="K6" s="37" t="s">
        <v>159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 t="shared" ref="P6" si="1">IF(L6 &gt;0,(H6-L6)*I6-M6-N6-O6,0)</f>
        <v>50930</v>
      </c>
      <c r="Q6" s="45">
        <f t="shared" ref="Q6:Q35" si="2">P6/J6</f>
        <v>6.4354308819812994E-2</v>
      </c>
      <c r="R6" s="286">
        <f>P6+P7</f>
        <v>37649</v>
      </c>
      <c r="S6" s="278">
        <f t="shared" ref="S6" si="3">R6/(J6+J7)</f>
        <v>2.3845082019127242E-2</v>
      </c>
      <c r="T6" s="3"/>
      <c r="U6" s="304">
        <v>43748</v>
      </c>
      <c r="V6" s="305">
        <f>DATEDIF(D6,U6,"d")</f>
        <v>16</v>
      </c>
      <c r="W6" s="296" t="s">
        <v>974</v>
      </c>
      <c r="X6" s="172"/>
      <c r="AA6" s="286">
        <f t="shared" ref="AA6" si="4">YEAR(U6)</f>
        <v>2019</v>
      </c>
      <c r="AB6" s="286">
        <f t="shared" ref="AB6" si="5">MONTH(U6)</f>
        <v>10</v>
      </c>
      <c r="AC6" s="286" t="str">
        <f>IF(R6&gt;0,"○","☓")</f>
        <v>○</v>
      </c>
    </row>
    <row r="7" spans="2:29" x14ac:dyDescent="0.2">
      <c r="B7" s="106"/>
      <c r="C7" s="274"/>
      <c r="D7" s="285"/>
      <c r="E7" s="29" t="s">
        <v>154</v>
      </c>
      <c r="F7" s="29">
        <v>3861</v>
      </c>
      <c r="G7" s="54" t="s">
        <v>65</v>
      </c>
      <c r="H7" s="46">
        <v>525</v>
      </c>
      <c r="I7" s="30">
        <v>1500</v>
      </c>
      <c r="J7" s="47">
        <v>787500</v>
      </c>
      <c r="K7" s="38" t="s">
        <v>160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 t="shared" ref="P7" si="6">IF(L7 &gt;0,(L7-H7)*I7-M7-N7-O7,0)</f>
        <v>-13281</v>
      </c>
      <c r="Q7" s="48">
        <f t="shared" si="2"/>
        <v>-1.6864761904761903E-2</v>
      </c>
      <c r="R7" s="279"/>
      <c r="S7" s="279"/>
      <c r="T7" s="3"/>
      <c r="U7" s="304"/>
      <c r="V7" s="305"/>
      <c r="W7" s="297"/>
      <c r="X7" s="172"/>
      <c r="AA7" s="279"/>
      <c r="AB7" s="279"/>
      <c r="AC7" s="279"/>
    </row>
    <row r="8" spans="2:29" x14ac:dyDescent="0.2">
      <c r="B8" s="124" t="s">
        <v>272</v>
      </c>
      <c r="C8" s="273">
        <f>ROW()/2-1</f>
        <v>3</v>
      </c>
      <c r="D8" s="298">
        <v>43747</v>
      </c>
      <c r="E8" s="33" t="s">
        <v>161</v>
      </c>
      <c r="F8" s="33">
        <v>3099</v>
      </c>
      <c r="G8" s="55" t="s">
        <v>64</v>
      </c>
      <c r="H8" s="49">
        <v>872</v>
      </c>
      <c r="I8" s="33">
        <v>1200</v>
      </c>
      <c r="J8" s="33">
        <f t="shared" ref="J8:J11" si="7">H8*I8</f>
        <v>1046400</v>
      </c>
      <c r="K8" s="52" t="s">
        <v>158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 t="shared" ref="P8" si="8">IF(L8 &gt;0,(H8-L8)*I8-M8-N8-O8,0)</f>
        <v>-5790</v>
      </c>
      <c r="Q8" s="45">
        <f t="shared" si="2"/>
        <v>-5.5332568807339453E-3</v>
      </c>
      <c r="R8" s="277">
        <f>P8+P9</f>
        <v>63304</v>
      </c>
      <c r="S8" s="299">
        <f>R8/(J8+J9)</f>
        <v>3.0952474085663994E-2</v>
      </c>
      <c r="U8" s="300">
        <v>43753</v>
      </c>
      <c r="V8" s="274">
        <f t="shared" ref="V8" si="9">DATEDIF(D8,U8,"d")</f>
        <v>6</v>
      </c>
      <c r="W8" s="290" t="s">
        <v>976</v>
      </c>
      <c r="X8" s="172"/>
      <c r="AA8" s="286">
        <f t="shared" ref="AA8:AA10" si="10">YEAR(U8)</f>
        <v>2019</v>
      </c>
      <c r="AB8" s="286">
        <f t="shared" ref="AB8" si="11">MONTH(U8)</f>
        <v>10</v>
      </c>
      <c r="AC8" s="286" t="str">
        <f t="shared" ref="AC8:AC10" si="12">IF(R8&gt;0,"○","☓")</f>
        <v>○</v>
      </c>
    </row>
    <row r="9" spans="2:29" x14ac:dyDescent="0.2">
      <c r="B9" s="106"/>
      <c r="C9" s="274"/>
      <c r="D9" s="285">
        <v>43747</v>
      </c>
      <c r="E9" s="29" t="s">
        <v>154</v>
      </c>
      <c r="F9" s="29">
        <v>7211</v>
      </c>
      <c r="G9" s="54" t="s">
        <v>30</v>
      </c>
      <c r="H9" s="46">
        <v>454</v>
      </c>
      <c r="I9" s="46">
        <v>2200</v>
      </c>
      <c r="J9" s="47">
        <f t="shared" si="7"/>
        <v>998800</v>
      </c>
      <c r="K9" s="38" t="s">
        <v>158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 t="shared" ref="P9" si="13">IF(L9 &gt;0,(L9-H9)*I9-M9-N9-O9,0)</f>
        <v>69094</v>
      </c>
      <c r="Q9" s="48">
        <f t="shared" si="2"/>
        <v>6.9177012414897876E-2</v>
      </c>
      <c r="R9" s="277"/>
      <c r="S9" s="279"/>
      <c r="U9" s="280"/>
      <c r="V9" s="271"/>
      <c r="W9" s="271"/>
      <c r="X9" s="172"/>
      <c r="AA9" s="279"/>
      <c r="AB9" s="279"/>
      <c r="AC9" s="279"/>
    </row>
    <row r="10" spans="2:29" x14ac:dyDescent="0.2">
      <c r="B10" s="124" t="s">
        <v>272</v>
      </c>
      <c r="C10" s="273">
        <f>ROW()/2-1</f>
        <v>4</v>
      </c>
      <c r="D10" s="298">
        <v>43753</v>
      </c>
      <c r="E10" s="128" t="s">
        <v>153</v>
      </c>
      <c r="F10" s="33">
        <v>7453</v>
      </c>
      <c r="G10" s="55" t="s">
        <v>104</v>
      </c>
      <c r="H10" s="49">
        <v>2127</v>
      </c>
      <c r="I10" s="33">
        <v>500</v>
      </c>
      <c r="J10" s="33">
        <f t="shared" si="7"/>
        <v>1063500</v>
      </c>
      <c r="K10" s="52" t="s">
        <v>158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 t="shared" ref="P10" si="14">IF(L10 &gt;0,(H10-L10)*I10-M10-N10-O10,0)</f>
        <v>-86526</v>
      </c>
      <c r="Q10" s="45">
        <f t="shared" si="2"/>
        <v>-8.1359661495063476E-2</v>
      </c>
      <c r="R10" s="277">
        <f>P10+P11</f>
        <v>-93238.000000000029</v>
      </c>
      <c r="S10" s="278">
        <f t="shared" ref="S10" si="15">R10/(J10+J11)</f>
        <v>-4.3839777316989466E-2</v>
      </c>
      <c r="U10" s="311">
        <v>43759</v>
      </c>
      <c r="V10" s="271">
        <f>DATEDIF(D10,U10,"d")</f>
        <v>6</v>
      </c>
      <c r="W10" s="312" t="s">
        <v>277</v>
      </c>
      <c r="X10" s="172" t="s">
        <v>293</v>
      </c>
      <c r="AA10" s="286">
        <f t="shared" si="10"/>
        <v>2019</v>
      </c>
      <c r="AB10" s="286">
        <f t="shared" ref="AB10" si="16">MONTH(U10)</f>
        <v>10</v>
      </c>
      <c r="AC10" s="291" t="str">
        <f t="shared" si="12"/>
        <v>☓</v>
      </c>
    </row>
    <row r="11" spans="2:29" x14ac:dyDescent="0.2">
      <c r="B11" s="106"/>
      <c r="C11" s="274"/>
      <c r="D11" s="285">
        <v>43748</v>
      </c>
      <c r="E11" s="129" t="s">
        <v>154</v>
      </c>
      <c r="F11" s="29">
        <v>8308</v>
      </c>
      <c r="G11" s="54" t="s">
        <v>102</v>
      </c>
      <c r="H11" s="46">
        <v>462.3</v>
      </c>
      <c r="I11" s="46">
        <v>2300</v>
      </c>
      <c r="J11" s="47">
        <f t="shared" si="7"/>
        <v>1063290</v>
      </c>
      <c r="K11" s="38" t="s">
        <v>158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 t="shared" ref="P11" si="17">IF(L11 &gt;0,(L11-H11)*I11-M11-N11-O11,0)</f>
        <v>-6712.0000000000264</v>
      </c>
      <c r="Q11" s="48">
        <f t="shared" si="2"/>
        <v>-6.3124829538508086E-3</v>
      </c>
      <c r="R11" s="277"/>
      <c r="S11" s="279"/>
      <c r="U11" s="300"/>
      <c r="V11" s="271"/>
      <c r="W11" s="312"/>
      <c r="X11" s="172" t="s">
        <v>294</v>
      </c>
      <c r="AA11" s="279"/>
      <c r="AB11" s="279"/>
      <c r="AC11" s="292"/>
    </row>
    <row r="12" spans="2:29" x14ac:dyDescent="0.2">
      <c r="B12" s="124" t="s">
        <v>272</v>
      </c>
      <c r="C12" s="303">
        <f>ROW()/2-1</f>
        <v>5</v>
      </c>
      <c r="D12" s="284">
        <v>43742</v>
      </c>
      <c r="E12" s="25" t="s">
        <v>153</v>
      </c>
      <c r="F12" s="25">
        <v>8750</v>
      </c>
      <c r="G12" s="53" t="s">
        <v>32</v>
      </c>
      <c r="H12" s="43">
        <v>1635</v>
      </c>
      <c r="I12" s="26">
        <v>600</v>
      </c>
      <c r="J12" s="44">
        <f>H12*I12</f>
        <v>981000</v>
      </c>
      <c r="K12" s="37" t="s">
        <v>159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 t="shared" ref="P12" si="18">IF(L12 &gt;0,(H12-L12)*I12-M12-N12-O12,0)</f>
        <v>-65172</v>
      </c>
      <c r="Q12" s="45">
        <f t="shared" si="2"/>
        <v>-6.6434250764525998E-2</v>
      </c>
      <c r="R12" s="310">
        <f>P12+P13</f>
        <v>-11052.999999999898</v>
      </c>
      <c r="S12" s="299">
        <f>R12/(J12+J13)</f>
        <v>-5.6554672757562954E-3</v>
      </c>
      <c r="U12" s="311">
        <v>43759</v>
      </c>
      <c r="V12" s="271">
        <f>DATEDIF(D12,U12,"d")</f>
        <v>17</v>
      </c>
      <c r="W12" s="295" t="s">
        <v>974</v>
      </c>
      <c r="X12" s="172"/>
      <c r="AA12" s="286">
        <f t="shared" ref="AA12" si="19">YEAR(U12)</f>
        <v>2019</v>
      </c>
      <c r="AB12" s="286">
        <f t="shared" ref="AB12" si="20">MONTH(U12)</f>
        <v>10</v>
      </c>
      <c r="AC12" s="291" t="str">
        <f t="shared" ref="AC12" si="21">IF(R12&gt;0,"○","☓")</f>
        <v>☓</v>
      </c>
    </row>
    <row r="13" spans="2:29" x14ac:dyDescent="0.2">
      <c r="B13" s="106"/>
      <c r="C13" s="274"/>
      <c r="D13" s="285"/>
      <c r="E13" s="29" t="s">
        <v>154</v>
      </c>
      <c r="F13" s="29">
        <v>8002</v>
      </c>
      <c r="G13" s="54" t="s">
        <v>31</v>
      </c>
      <c r="H13" s="46">
        <v>695.28</v>
      </c>
      <c r="I13" s="30">
        <v>1400</v>
      </c>
      <c r="J13" s="47">
        <f>H13*I13</f>
        <v>973392</v>
      </c>
      <c r="K13" s="174" t="s">
        <v>984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2"/>
        <v>5.5598361194667822E-2</v>
      </c>
      <c r="R13" s="277"/>
      <c r="S13" s="279"/>
      <c r="U13" s="300"/>
      <c r="V13" s="271"/>
      <c r="W13" s="295"/>
      <c r="AA13" s="279"/>
      <c r="AB13" s="279"/>
      <c r="AC13" s="292"/>
    </row>
    <row r="14" spans="2:29" s="106" customFormat="1" x14ac:dyDescent="0.2">
      <c r="B14" s="124" t="s">
        <v>272</v>
      </c>
      <c r="C14" s="273">
        <f>ROW()/2-1</f>
        <v>6</v>
      </c>
      <c r="D14" s="284">
        <v>43745</v>
      </c>
      <c r="E14" s="33" t="s">
        <v>153</v>
      </c>
      <c r="F14" s="33">
        <v>6770</v>
      </c>
      <c r="G14" s="55" t="s">
        <v>26</v>
      </c>
      <c r="H14" s="49">
        <v>2105</v>
      </c>
      <c r="I14" s="34">
        <v>400</v>
      </c>
      <c r="J14" s="50">
        <f t="shared" ref="J14:J19" si="22">H14*I14</f>
        <v>842000</v>
      </c>
      <c r="K14" s="39" t="s">
        <v>159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 t="shared" ref="P14" si="23">IF(L14 &gt;0,(H14-L14)*I14-M14-N14-O14,0)</f>
        <v>-17281</v>
      </c>
      <c r="Q14" s="45">
        <f t="shared" si="2"/>
        <v>-2.052375296912114E-2</v>
      </c>
      <c r="R14" s="277">
        <f>P14+P15</f>
        <v>-1197.0000000000437</v>
      </c>
      <c r="S14" s="278">
        <f t="shared" ref="S14" si="24">R14/(J14+J15)</f>
        <v>-7.1541831052504275E-4</v>
      </c>
      <c r="U14" s="280">
        <v>43761</v>
      </c>
      <c r="V14" s="271">
        <f t="shared" ref="V14" si="25">DATEDIF(D14,U14,"d")</f>
        <v>16</v>
      </c>
      <c r="W14" s="295" t="s">
        <v>974</v>
      </c>
      <c r="X14" s="172"/>
      <c r="AA14" s="286">
        <f t="shared" ref="AA14" si="26">YEAR(U14)</f>
        <v>2019</v>
      </c>
      <c r="AB14" s="286">
        <f t="shared" ref="AB14" si="27">MONTH(U14)</f>
        <v>10</v>
      </c>
      <c r="AC14" s="291" t="str">
        <f t="shared" ref="AC14" si="28">IF(R14&gt;0,"○","☓")</f>
        <v>☓</v>
      </c>
    </row>
    <row r="15" spans="2:29" s="106" customFormat="1" x14ac:dyDescent="0.2">
      <c r="C15" s="274"/>
      <c r="D15" s="285">
        <v>43745</v>
      </c>
      <c r="E15" s="29" t="s">
        <v>154</v>
      </c>
      <c r="F15" s="29">
        <v>8601</v>
      </c>
      <c r="G15" s="54" t="s">
        <v>27</v>
      </c>
      <c r="H15" s="46">
        <v>488.91</v>
      </c>
      <c r="I15" s="30">
        <v>1700</v>
      </c>
      <c r="J15" s="47">
        <f t="shared" si="22"/>
        <v>831147</v>
      </c>
      <c r="K15" s="174" t="s">
        <v>144</v>
      </c>
      <c r="L15" s="41">
        <v>499</v>
      </c>
      <c r="M15" s="31">
        <f>487+582</f>
        <v>1069</v>
      </c>
      <c r="N15" s="170">
        <v>0</v>
      </c>
      <c r="O15" s="170">
        <v>0</v>
      </c>
      <c r="P15" s="29">
        <f t="shared" ref="P15" si="29">IF(L15 &gt;0,(L15-H15)*I15-M15-N15-O15,0)</f>
        <v>16083.999999999956</v>
      </c>
      <c r="Q15" s="48">
        <f t="shared" si="2"/>
        <v>1.9351570781101245E-2</v>
      </c>
      <c r="R15" s="277"/>
      <c r="S15" s="279"/>
      <c r="U15" s="271"/>
      <c r="V15" s="271"/>
      <c r="W15" s="295"/>
      <c r="AA15" s="279"/>
      <c r="AB15" s="279"/>
      <c r="AC15" s="292"/>
    </row>
    <row r="16" spans="2:29" s="106" customFormat="1" x14ac:dyDescent="0.2">
      <c r="B16" s="124" t="s">
        <v>272</v>
      </c>
      <c r="C16" s="273">
        <f>ROW()/2-1</f>
        <v>7</v>
      </c>
      <c r="D16" s="284">
        <v>43745</v>
      </c>
      <c r="E16" s="33" t="s">
        <v>153</v>
      </c>
      <c r="F16" s="33">
        <v>5803</v>
      </c>
      <c r="G16" s="55" t="s">
        <v>28</v>
      </c>
      <c r="H16" s="49">
        <v>413</v>
      </c>
      <c r="I16" s="34">
        <v>1700</v>
      </c>
      <c r="J16" s="50">
        <f t="shared" si="22"/>
        <v>702100</v>
      </c>
      <c r="K16" s="39" t="s">
        <v>159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 t="shared" ref="P16" si="30">IF(L16 &gt;0,(H16-L16)*I16-M16-N16-O16,0)</f>
        <v>-79414</v>
      </c>
      <c r="Q16" s="45">
        <f t="shared" si="2"/>
        <v>-0.11310924369747899</v>
      </c>
      <c r="R16" s="277">
        <f>P16+P17</f>
        <v>-16483</v>
      </c>
      <c r="S16" s="278">
        <f>R16/(J16+J17)</f>
        <v>-1.1926054554663194E-2</v>
      </c>
      <c r="U16" s="280">
        <v>43761</v>
      </c>
      <c r="V16" s="271">
        <f t="shared" ref="V16" si="31">DATEDIF(D16,U16,"d")</f>
        <v>16</v>
      </c>
      <c r="W16" s="295" t="s">
        <v>974</v>
      </c>
      <c r="X16" s="172"/>
      <c r="AA16" s="286">
        <f t="shared" ref="AA16" si="32">YEAR(U16)</f>
        <v>2019</v>
      </c>
      <c r="AB16" s="286">
        <f t="shared" ref="AB16" si="33">MONTH(U16)</f>
        <v>10</v>
      </c>
      <c r="AC16" s="291" t="str">
        <f t="shared" ref="AC16" si="34">IF(R16&gt;0,"○","☓")</f>
        <v>☓</v>
      </c>
    </row>
    <row r="17" spans="2:29" s="106" customFormat="1" x14ac:dyDescent="0.2">
      <c r="C17" s="274"/>
      <c r="D17" s="285">
        <v>43745</v>
      </c>
      <c r="E17" s="29" t="s">
        <v>154</v>
      </c>
      <c r="F17" s="29">
        <v>7259</v>
      </c>
      <c r="G17" s="54" t="s">
        <v>29</v>
      </c>
      <c r="H17" s="46">
        <v>3400</v>
      </c>
      <c r="I17" s="46">
        <v>200</v>
      </c>
      <c r="J17" s="47">
        <f t="shared" si="22"/>
        <v>680000</v>
      </c>
      <c r="K17" s="174" t="s">
        <v>144</v>
      </c>
      <c r="L17" s="41">
        <v>3720</v>
      </c>
      <c r="M17" s="31">
        <f>487+582</f>
        <v>1069</v>
      </c>
      <c r="N17" s="170">
        <v>0</v>
      </c>
      <c r="O17" s="170">
        <v>0</v>
      </c>
      <c r="P17" s="29">
        <f t="shared" ref="P17" si="35">IF(L17 &gt;0,(L17-H17)*I17-M17-N17-O17,0)</f>
        <v>62931</v>
      </c>
      <c r="Q17" s="48">
        <f t="shared" si="2"/>
        <v>9.2545588235294116E-2</v>
      </c>
      <c r="R17" s="277"/>
      <c r="S17" s="279"/>
      <c r="U17" s="271"/>
      <c r="V17" s="271"/>
      <c r="W17" s="295"/>
      <c r="AA17" s="279"/>
      <c r="AB17" s="279"/>
      <c r="AC17" s="292"/>
    </row>
    <row r="18" spans="2:29" s="106" customFormat="1" x14ac:dyDescent="0.2">
      <c r="B18" s="124" t="s">
        <v>272</v>
      </c>
      <c r="C18" s="273">
        <f>ROW()/2-1</f>
        <v>8</v>
      </c>
      <c r="D18" s="284">
        <v>43748</v>
      </c>
      <c r="E18" s="33" t="s">
        <v>153</v>
      </c>
      <c r="F18" s="33">
        <v>7186</v>
      </c>
      <c r="G18" s="55" t="s">
        <v>155</v>
      </c>
      <c r="H18" s="49">
        <v>410</v>
      </c>
      <c r="I18" s="33">
        <v>1800</v>
      </c>
      <c r="J18" s="33">
        <f t="shared" si="22"/>
        <v>738000</v>
      </c>
      <c r="K18" s="52" t="s">
        <v>158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 t="shared" ref="P18" si="36">IF(L18 &gt;0,(H18-L18)*I18-M18-N18-O18,0)</f>
        <v>-63675</v>
      </c>
      <c r="Q18" s="45">
        <f t="shared" si="2"/>
        <v>-8.6280487804878042E-2</v>
      </c>
      <c r="R18" s="277">
        <f>P18+P19</f>
        <v>-4757</v>
      </c>
      <c r="S18" s="278">
        <f t="shared" ref="S18" si="37">R18/(J18+J19)</f>
        <v>-3.2102847887704143E-3</v>
      </c>
      <c r="U18" s="280">
        <v>43767</v>
      </c>
      <c r="V18" s="271">
        <f t="shared" ref="V18" si="38">DATEDIF(D18,U18,"d")</f>
        <v>19</v>
      </c>
      <c r="W18" s="295" t="s">
        <v>974</v>
      </c>
      <c r="X18" s="231"/>
      <c r="AA18" s="286">
        <f t="shared" ref="AA18" si="39">YEAR(U18)</f>
        <v>2019</v>
      </c>
      <c r="AB18" s="286">
        <f t="shared" ref="AB18" si="40">MONTH(U18)</f>
        <v>10</v>
      </c>
      <c r="AC18" s="291" t="str">
        <f t="shared" ref="AC18" si="41">IF(R18&gt;0,"○","☓")</f>
        <v>☓</v>
      </c>
    </row>
    <row r="19" spans="2:29" s="106" customFormat="1" x14ac:dyDescent="0.2">
      <c r="C19" s="274"/>
      <c r="D19" s="285">
        <v>43748</v>
      </c>
      <c r="E19" s="29" t="s">
        <v>154</v>
      </c>
      <c r="F19" s="29">
        <v>8309</v>
      </c>
      <c r="G19" s="54" t="s">
        <v>156</v>
      </c>
      <c r="H19" s="46">
        <v>3719</v>
      </c>
      <c r="I19" s="46">
        <v>200</v>
      </c>
      <c r="J19" s="47">
        <f t="shared" si="22"/>
        <v>743800</v>
      </c>
      <c r="K19" s="38" t="s">
        <v>158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 t="shared" ref="P19" si="42">IF(L19 &gt;0,(L19-H19)*I19-M19-N19-O19,0)</f>
        <v>58918</v>
      </c>
      <c r="Q19" s="48">
        <f t="shared" si="2"/>
        <v>7.9212153804786231E-2</v>
      </c>
      <c r="R19" s="277"/>
      <c r="S19" s="279"/>
      <c r="U19" s="271"/>
      <c r="V19" s="271"/>
      <c r="W19" s="295"/>
      <c r="X19" s="231"/>
      <c r="AA19" s="279"/>
      <c r="AB19" s="279"/>
      <c r="AC19" s="292"/>
    </row>
    <row r="20" spans="2:29" x14ac:dyDescent="0.2">
      <c r="B20" s="124" t="s">
        <v>272</v>
      </c>
      <c r="C20" s="273">
        <f>ROW()/2-1</f>
        <v>9</v>
      </c>
      <c r="D20" s="284">
        <v>43782</v>
      </c>
      <c r="E20" s="33" t="s">
        <v>153</v>
      </c>
      <c r="F20" s="33">
        <v>1820</v>
      </c>
      <c r="G20" s="55" t="s">
        <v>121</v>
      </c>
      <c r="H20" s="49">
        <v>2431</v>
      </c>
      <c r="I20" s="33">
        <v>400</v>
      </c>
      <c r="J20" s="50">
        <f t="shared" ref="J20:J27" si="43">H20*I20</f>
        <v>972400</v>
      </c>
      <c r="K20" s="52" t="s">
        <v>158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 t="shared" ref="P20" si="44">IF(L20 &gt;0,(H20-L20)*I20-M20-N20-O20,0)</f>
        <v>21396</v>
      </c>
      <c r="Q20" s="45">
        <f t="shared" si="2"/>
        <v>2.2003290826820239E-2</v>
      </c>
      <c r="R20" s="277">
        <f>P20+P21</f>
        <v>485995</v>
      </c>
      <c r="S20" s="278">
        <f>R20/(J20+J21)</f>
        <v>0.25451000559299347</v>
      </c>
      <c r="U20" s="280">
        <v>43789</v>
      </c>
      <c r="V20" s="271">
        <f>DATEDIF(D20,U20,"d")</f>
        <v>7</v>
      </c>
      <c r="W20" s="290" t="s">
        <v>295</v>
      </c>
      <c r="X20" s="231" t="s">
        <v>2369</v>
      </c>
      <c r="AA20" s="286">
        <f t="shared" ref="AA20" si="45">YEAR(U20)</f>
        <v>2019</v>
      </c>
      <c r="AB20" s="286">
        <f t="shared" ref="AB20" si="46">MONTH(U20)</f>
        <v>11</v>
      </c>
      <c r="AC20" s="286" t="str">
        <f t="shared" ref="AC20" si="47">IF(R20&gt;0,"○","☓")</f>
        <v>○</v>
      </c>
    </row>
    <row r="21" spans="2:29" x14ac:dyDescent="0.2">
      <c r="B21" s="106"/>
      <c r="C21" s="274"/>
      <c r="D21" s="285">
        <v>43748</v>
      </c>
      <c r="E21" s="29" t="s">
        <v>154</v>
      </c>
      <c r="F21" s="29">
        <v>4508</v>
      </c>
      <c r="G21" s="54" t="s">
        <v>306</v>
      </c>
      <c r="H21" s="46">
        <v>1338.76</v>
      </c>
      <c r="I21" s="46">
        <v>700</v>
      </c>
      <c r="J21" s="47">
        <f t="shared" si="43"/>
        <v>937132</v>
      </c>
      <c r="K21" s="174" t="s">
        <v>144</v>
      </c>
      <c r="L21" s="41">
        <v>2004</v>
      </c>
      <c r="M21" s="31">
        <f>487+582</f>
        <v>1069</v>
      </c>
      <c r="N21" s="170">
        <v>0</v>
      </c>
      <c r="O21" s="170">
        <v>0</v>
      </c>
      <c r="P21" s="29">
        <f t="shared" ref="P21" si="48">IF(L21 &gt;0,(L21-H21)*I21-M21-N21-O21,0)</f>
        <v>464599</v>
      </c>
      <c r="Q21" s="48">
        <f t="shared" si="2"/>
        <v>0.49576687168936712</v>
      </c>
      <c r="R21" s="277"/>
      <c r="S21" s="279"/>
      <c r="U21" s="271"/>
      <c r="V21" s="271"/>
      <c r="W21" s="271"/>
      <c r="X21" s="106" t="s">
        <v>826</v>
      </c>
      <c r="AA21" s="279"/>
      <c r="AB21" s="279"/>
      <c r="AC21" s="279"/>
    </row>
    <row r="22" spans="2:29" s="106" customFormat="1" x14ac:dyDescent="0.2">
      <c r="B22" s="124" t="s">
        <v>272</v>
      </c>
      <c r="C22" s="273">
        <f>ROW()/2-1</f>
        <v>10</v>
      </c>
      <c r="D22" s="284">
        <v>43782</v>
      </c>
      <c r="E22" s="33" t="s">
        <v>153</v>
      </c>
      <c r="F22" s="33">
        <v>8002</v>
      </c>
      <c r="G22" s="55" t="s">
        <v>31</v>
      </c>
      <c r="H22" s="49">
        <v>814</v>
      </c>
      <c r="I22" s="33">
        <v>1300</v>
      </c>
      <c r="J22" s="50">
        <f t="shared" si="43"/>
        <v>1058200</v>
      </c>
      <c r="K22" s="52" t="s">
        <v>158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 t="shared" ref="P22" si="49">IF(L22 &gt;0,(H22-L22)*I22-M22-N22-O22,0)</f>
        <v>24749.999999999971</v>
      </c>
      <c r="Q22" s="45">
        <f t="shared" si="2"/>
        <v>2.3388773388773362E-2</v>
      </c>
      <c r="R22" s="277">
        <f>P22+P23</f>
        <v>60240.999999999913</v>
      </c>
      <c r="S22" s="278">
        <f>R22/(J22+J23)</f>
        <v>2.8847737807914758E-2</v>
      </c>
      <c r="U22" s="280">
        <v>43790</v>
      </c>
      <c r="V22" s="271">
        <f>DATEDIF(D22,U22,"d")</f>
        <v>8</v>
      </c>
      <c r="W22" s="290" t="s">
        <v>295</v>
      </c>
      <c r="X22" s="172"/>
      <c r="AA22" s="286">
        <f t="shared" ref="AA22" si="50">YEAR(U22)</f>
        <v>2019</v>
      </c>
      <c r="AB22" s="286">
        <f t="shared" ref="AB22" si="51">MONTH(U22)</f>
        <v>11</v>
      </c>
      <c r="AC22" s="286" t="str">
        <f t="shared" ref="AC22" si="52">IF(R22&gt;0,"○","☓")</f>
        <v>○</v>
      </c>
    </row>
    <row r="23" spans="2:29" s="106" customFormat="1" x14ac:dyDescent="0.2">
      <c r="C23" s="274"/>
      <c r="D23" s="285">
        <v>43748</v>
      </c>
      <c r="E23" s="29" t="s">
        <v>154</v>
      </c>
      <c r="F23" s="29">
        <v>8601</v>
      </c>
      <c r="G23" s="54" t="s">
        <v>27</v>
      </c>
      <c r="H23" s="46">
        <v>515.02</v>
      </c>
      <c r="I23" s="46">
        <v>2000</v>
      </c>
      <c r="J23" s="47">
        <f t="shared" si="43"/>
        <v>1030040</v>
      </c>
      <c r="K23" s="174" t="s">
        <v>144</v>
      </c>
      <c r="L23" s="41">
        <v>533.29999999999995</v>
      </c>
      <c r="M23" s="31">
        <f>487+582</f>
        <v>1069</v>
      </c>
      <c r="N23" s="130">
        <v>0</v>
      </c>
      <c r="O23" s="170">
        <v>0</v>
      </c>
      <c r="P23" s="29">
        <f t="shared" ref="P23" si="53">IF(L23 &gt;0,(L23-H23)*I23-M23-N23-O23,0)</f>
        <v>35490.999999999942</v>
      </c>
      <c r="Q23" s="48">
        <f t="shared" si="2"/>
        <v>3.4455943458506409E-2</v>
      </c>
      <c r="R23" s="277"/>
      <c r="S23" s="279"/>
      <c r="U23" s="271"/>
      <c r="V23" s="271"/>
      <c r="W23" s="271"/>
      <c r="AA23" s="279"/>
      <c r="AB23" s="279"/>
      <c r="AC23" s="279"/>
    </row>
    <row r="24" spans="2:29" s="106" customFormat="1" x14ac:dyDescent="0.2">
      <c r="B24" s="124" t="s">
        <v>272</v>
      </c>
      <c r="C24" s="273">
        <f>ROW()/2-1</f>
        <v>11</v>
      </c>
      <c r="D24" s="284">
        <v>43783</v>
      </c>
      <c r="E24" s="33" t="s">
        <v>153</v>
      </c>
      <c r="F24" s="33">
        <v>3105</v>
      </c>
      <c r="G24" s="55" t="s">
        <v>90</v>
      </c>
      <c r="H24" s="49">
        <v>970</v>
      </c>
      <c r="I24" s="33">
        <v>1100</v>
      </c>
      <c r="J24" s="50">
        <f t="shared" si="43"/>
        <v>1067000</v>
      </c>
      <c r="K24" s="52" t="s">
        <v>158</v>
      </c>
      <c r="L24" s="49">
        <v>999</v>
      </c>
      <c r="M24" s="33">
        <f t="shared" ref="M24:M30" si="54">700+35+35</f>
        <v>770</v>
      </c>
      <c r="N24" s="33">
        <v>514</v>
      </c>
      <c r="O24" s="52">
        <v>165</v>
      </c>
      <c r="P24" s="25">
        <f t="shared" ref="P24" si="55">IF(L24 &gt;0,(H24-L24)*I24-M24-N24-O24,0)</f>
        <v>-33349</v>
      </c>
      <c r="Q24" s="45">
        <f t="shared" si="2"/>
        <v>-3.1254920337394562E-2</v>
      </c>
      <c r="R24" s="277">
        <f>P24+P25</f>
        <v>-59214</v>
      </c>
      <c r="S24" s="278">
        <f>R24/(J24+J25)</f>
        <v>-2.7894290559638213E-2</v>
      </c>
      <c r="U24" s="280">
        <v>43798</v>
      </c>
      <c r="V24" s="271">
        <f>DATEDIF(D24,U24,"d")</f>
        <v>15</v>
      </c>
      <c r="W24" s="293" t="s">
        <v>277</v>
      </c>
      <c r="X24" s="172"/>
      <c r="AA24" s="286">
        <f t="shared" ref="AA24" si="56">YEAR(U24)</f>
        <v>2019</v>
      </c>
      <c r="AB24" s="286">
        <f t="shared" ref="AB24" si="57">MONTH(U24)</f>
        <v>11</v>
      </c>
      <c r="AC24" s="286" t="str">
        <f t="shared" ref="AC24" si="58">IF(R24&gt;0,"○","☓")</f>
        <v>☓</v>
      </c>
    </row>
    <row r="25" spans="2:29" s="106" customFormat="1" x14ac:dyDescent="0.2">
      <c r="C25" s="274"/>
      <c r="D25" s="285">
        <v>43748</v>
      </c>
      <c r="E25" s="29" t="s">
        <v>154</v>
      </c>
      <c r="F25" s="29">
        <v>6301</v>
      </c>
      <c r="G25" s="54" t="s">
        <v>109</v>
      </c>
      <c r="H25" s="46">
        <v>2639.5</v>
      </c>
      <c r="I25" s="46">
        <v>400</v>
      </c>
      <c r="J25" s="47">
        <f t="shared" si="43"/>
        <v>1055800</v>
      </c>
      <c r="K25" s="38" t="s">
        <v>144</v>
      </c>
      <c r="L25" s="41">
        <v>2580</v>
      </c>
      <c r="M25" s="31">
        <f t="shared" si="54"/>
        <v>770</v>
      </c>
      <c r="N25" s="131">
        <v>1295</v>
      </c>
      <c r="O25" s="131">
        <v>0</v>
      </c>
      <c r="P25" s="29">
        <f t="shared" ref="P25" si="59">IF(L25 &gt;0,(L25-H25)*I25-M25-N25-O25,0)</f>
        <v>-25865</v>
      </c>
      <c r="Q25" s="48">
        <f t="shared" si="2"/>
        <v>-2.4498010986929341E-2</v>
      </c>
      <c r="R25" s="277"/>
      <c r="S25" s="279"/>
      <c r="U25" s="271"/>
      <c r="V25" s="271"/>
      <c r="W25" s="294"/>
      <c r="X25" s="172"/>
      <c r="AA25" s="279"/>
      <c r="AB25" s="279"/>
      <c r="AC25" s="279"/>
    </row>
    <row r="26" spans="2:29" s="106" customFormat="1" x14ac:dyDescent="0.2">
      <c r="B26" s="124" t="s">
        <v>272</v>
      </c>
      <c r="C26" s="273">
        <f>ROW()/2-1</f>
        <v>12</v>
      </c>
      <c r="D26" s="284">
        <v>43784</v>
      </c>
      <c r="E26" s="33" t="s">
        <v>153</v>
      </c>
      <c r="F26" s="33">
        <v>6770</v>
      </c>
      <c r="G26" s="55" t="s">
        <v>26</v>
      </c>
      <c r="H26" s="49">
        <v>2386</v>
      </c>
      <c r="I26" s="33">
        <v>400</v>
      </c>
      <c r="J26" s="50">
        <f t="shared" si="43"/>
        <v>954400</v>
      </c>
      <c r="K26" s="52" t="s">
        <v>985</v>
      </c>
      <c r="L26" s="49">
        <v>2446</v>
      </c>
      <c r="M26" s="33">
        <f t="shared" si="54"/>
        <v>770</v>
      </c>
      <c r="N26" s="33">
        <v>320</v>
      </c>
      <c r="O26" s="52">
        <v>488</v>
      </c>
      <c r="P26" s="25">
        <f t="shared" ref="P26" si="60">IF(L26 &gt;0,(H26-L26)*I26-M26-N26-O26,0)</f>
        <v>-25578</v>
      </c>
      <c r="Q26" s="45">
        <f t="shared" si="2"/>
        <v>-2.680008382229673E-2</v>
      </c>
      <c r="R26" s="277">
        <f>P26+P27</f>
        <v>-23558</v>
      </c>
      <c r="S26" s="278">
        <f>R26/(J26+J27)</f>
        <v>-1.2410704878305763E-2</v>
      </c>
      <c r="U26" s="280">
        <v>43802</v>
      </c>
      <c r="V26" s="271">
        <f>DATEDIF(D26,U26,"d")</f>
        <v>18</v>
      </c>
      <c r="W26" s="313" t="s">
        <v>974</v>
      </c>
      <c r="X26" s="172"/>
      <c r="AA26" s="286">
        <f t="shared" ref="AA26" si="61">YEAR(U26)</f>
        <v>2019</v>
      </c>
      <c r="AB26" s="286">
        <f t="shared" ref="AB26" si="62">MONTH(U26)</f>
        <v>12</v>
      </c>
      <c r="AC26" s="286" t="str">
        <f t="shared" ref="AC26" si="63">IF(R26&gt;0,"○","☓")</f>
        <v>☓</v>
      </c>
    </row>
    <row r="27" spans="2:29" s="106" customFormat="1" x14ac:dyDescent="0.2">
      <c r="C27" s="274"/>
      <c r="D27" s="285">
        <v>43748</v>
      </c>
      <c r="E27" s="29" t="s">
        <v>154</v>
      </c>
      <c r="F27" s="29">
        <v>1911</v>
      </c>
      <c r="G27" s="54" t="s">
        <v>103</v>
      </c>
      <c r="H27" s="46">
        <v>1573</v>
      </c>
      <c r="I27" s="46">
        <v>600</v>
      </c>
      <c r="J27" s="47">
        <f t="shared" si="43"/>
        <v>943800</v>
      </c>
      <c r="K27" s="173" t="s">
        <v>159</v>
      </c>
      <c r="L27" s="41">
        <v>1579</v>
      </c>
      <c r="M27" s="31">
        <f t="shared" si="54"/>
        <v>770</v>
      </c>
      <c r="N27" s="132">
        <v>1230</v>
      </c>
      <c r="O27" s="132">
        <v>-420</v>
      </c>
      <c r="P27" s="29">
        <f t="shared" ref="P27" si="64">IF(L27 &gt;0,(L27-H27)*I27-M27-N27-O27,0)</f>
        <v>2020</v>
      </c>
      <c r="Q27" s="48">
        <f t="shared" si="2"/>
        <v>2.1402839584657766E-3</v>
      </c>
      <c r="R27" s="277"/>
      <c r="S27" s="279"/>
      <c r="U27" s="271"/>
      <c r="V27" s="271"/>
      <c r="W27" s="314"/>
      <c r="X27" s="172"/>
      <c r="AA27" s="279"/>
      <c r="AB27" s="279"/>
      <c r="AC27" s="279"/>
    </row>
    <row r="28" spans="2:29" s="106" customFormat="1" x14ac:dyDescent="0.2">
      <c r="B28" s="124" t="s">
        <v>272</v>
      </c>
      <c r="C28" s="273">
        <v>13</v>
      </c>
      <c r="D28" s="284">
        <v>43789</v>
      </c>
      <c r="E28" s="33" t="s">
        <v>153</v>
      </c>
      <c r="F28" s="33">
        <v>4182</v>
      </c>
      <c r="G28" s="55" t="s">
        <v>88</v>
      </c>
      <c r="H28" s="49">
        <v>1627</v>
      </c>
      <c r="I28" s="33">
        <v>600</v>
      </c>
      <c r="J28" s="50">
        <v>976200</v>
      </c>
      <c r="K28" s="52" t="s">
        <v>158</v>
      </c>
      <c r="L28" s="49">
        <v>1681</v>
      </c>
      <c r="M28" s="33">
        <f t="shared" si="54"/>
        <v>770</v>
      </c>
      <c r="N28" s="145">
        <v>558</v>
      </c>
      <c r="O28" s="52">
        <v>120</v>
      </c>
      <c r="P28" s="25">
        <f t="shared" ref="P28" si="65">IF(L28 &gt;0,(H28-L28)*I28-M28-N28-O28,0)</f>
        <v>-33848</v>
      </c>
      <c r="Q28" s="45">
        <f t="shared" si="2"/>
        <v>-3.4673222700266342E-2</v>
      </c>
      <c r="R28" s="277">
        <v>54150</v>
      </c>
      <c r="S28" s="278">
        <v>2.7799999999999998E-2</v>
      </c>
      <c r="U28" s="280">
        <v>43805</v>
      </c>
      <c r="V28" s="271">
        <v>15</v>
      </c>
      <c r="W28" s="290" t="s">
        <v>950</v>
      </c>
      <c r="X28" s="172"/>
      <c r="AA28" s="286">
        <f>YEAR(U28)</f>
        <v>2019</v>
      </c>
      <c r="AB28" s="286">
        <f>MONTH(U28)</f>
        <v>12</v>
      </c>
      <c r="AC28" s="286" t="str">
        <f>IF(R28&gt;0,"○","☓")</f>
        <v>○</v>
      </c>
    </row>
    <row r="29" spans="2:29" s="106" customFormat="1" x14ac:dyDescent="0.2">
      <c r="C29" s="274"/>
      <c r="D29" s="285">
        <v>43748</v>
      </c>
      <c r="E29" s="29" t="s">
        <v>154</v>
      </c>
      <c r="F29" s="29">
        <v>1824</v>
      </c>
      <c r="G29" s="54" t="s">
        <v>309</v>
      </c>
      <c r="H29" s="46">
        <v>973</v>
      </c>
      <c r="I29" s="46">
        <v>1000</v>
      </c>
      <c r="J29" s="47">
        <v>973000</v>
      </c>
      <c r="K29" s="146" t="s">
        <v>158</v>
      </c>
      <c r="L29" s="41">
        <v>1062</v>
      </c>
      <c r="M29" s="31">
        <f t="shared" si="54"/>
        <v>770</v>
      </c>
      <c r="N29" s="31">
        <v>1418</v>
      </c>
      <c r="O29" s="139">
        <v>0</v>
      </c>
      <c r="P29" s="29">
        <f t="shared" ref="P29" si="66">IF(L29 &gt;0,(L29-H29)*I29-M29-N29-O29,0)</f>
        <v>86812</v>
      </c>
      <c r="Q29" s="48">
        <f t="shared" si="2"/>
        <v>8.9220966084275433E-2</v>
      </c>
      <c r="R29" s="277"/>
      <c r="S29" s="279"/>
      <c r="U29" s="271"/>
      <c r="V29" s="271"/>
      <c r="W29" s="271"/>
      <c r="X29" s="172"/>
      <c r="AA29" s="279"/>
      <c r="AB29" s="279"/>
      <c r="AC29" s="279"/>
    </row>
    <row r="30" spans="2:29" s="106" customFormat="1" x14ac:dyDescent="0.2">
      <c r="B30" s="124" t="s">
        <v>272</v>
      </c>
      <c r="C30" s="273">
        <v>14</v>
      </c>
      <c r="D30" s="284">
        <v>43790</v>
      </c>
      <c r="E30" s="33" t="s">
        <v>153</v>
      </c>
      <c r="F30" s="33">
        <v>6995</v>
      </c>
      <c r="G30" s="55" t="s">
        <v>91</v>
      </c>
      <c r="H30" s="49">
        <v>2050</v>
      </c>
      <c r="I30" s="33">
        <v>500</v>
      </c>
      <c r="J30" s="50">
        <f t="shared" ref="J30:J35" si="67">H30*I30</f>
        <v>1025000</v>
      </c>
      <c r="K30" s="52" t="s">
        <v>158</v>
      </c>
      <c r="L30" s="49">
        <v>2176</v>
      </c>
      <c r="M30" s="33">
        <f t="shared" si="54"/>
        <v>770</v>
      </c>
      <c r="N30" s="145">
        <f>IF(OR(K30="現物",J30=0),0,IF(E30="売",J30*Fee_Refer!$B$12/365*V30, J30*Fee_Refer!$B$11/365*#REF!))</f>
        <v>556.02739726027391</v>
      </c>
      <c r="O30" s="52">
        <v>92</v>
      </c>
      <c r="P30" s="25">
        <f t="shared" ref="P30" si="68">IF(L30 &gt;0,(H30-L30)*I30-M30-N30-O30,0)</f>
        <v>-64418.027397260274</v>
      </c>
      <c r="Q30" s="45">
        <f t="shared" si="2"/>
        <v>-6.2846855997327103E-2</v>
      </c>
      <c r="R30" s="277">
        <f>P30+P31</f>
        <v>33712.972602739726</v>
      </c>
      <c r="S30" s="278">
        <f t="shared" ref="S30" si="69">R30/(J30+J31)</f>
        <v>1.6402146834066229E-2</v>
      </c>
      <c r="U30" s="280">
        <v>43808</v>
      </c>
      <c r="V30" s="271">
        <f t="shared" ref="V30" si="70">IF(U30&gt;D30,DATEDIF(D30,U30,"d"),0)</f>
        <v>18</v>
      </c>
      <c r="W30" s="289" t="s">
        <v>975</v>
      </c>
      <c r="AA30" s="286">
        <f>YEAR(U30)</f>
        <v>2019</v>
      </c>
      <c r="AB30" s="286">
        <f>MONTH(U30)</f>
        <v>12</v>
      </c>
      <c r="AC30" s="286" t="str">
        <f>IF(R30&gt;0,"○","☓")</f>
        <v>○</v>
      </c>
    </row>
    <row r="31" spans="2:29" s="106" customFormat="1" x14ac:dyDescent="0.2">
      <c r="C31" s="274"/>
      <c r="D31" s="285">
        <v>43748</v>
      </c>
      <c r="E31" s="29" t="s">
        <v>154</v>
      </c>
      <c r="F31" s="29">
        <v>6472</v>
      </c>
      <c r="G31" s="54" t="s">
        <v>133</v>
      </c>
      <c r="H31" s="46">
        <v>322</v>
      </c>
      <c r="I31" s="46">
        <v>3200</v>
      </c>
      <c r="J31" s="47">
        <f t="shared" si="67"/>
        <v>1030400</v>
      </c>
      <c r="K31" s="174" t="s">
        <v>144</v>
      </c>
      <c r="L31" s="41">
        <v>353</v>
      </c>
      <c r="M31" s="31">
        <f>487+582</f>
        <v>1069</v>
      </c>
      <c r="N31" s="170">
        <v>0</v>
      </c>
      <c r="O31" s="170">
        <v>0</v>
      </c>
      <c r="P31" s="29">
        <f t="shared" ref="P31" si="71">IF(L31 &gt;0,(L31-H31)*I31-M31-N31-O31,0)</f>
        <v>98131</v>
      </c>
      <c r="Q31" s="48">
        <f t="shared" si="2"/>
        <v>9.5235830745341615E-2</v>
      </c>
      <c r="R31" s="277"/>
      <c r="S31" s="279"/>
      <c r="U31" s="271"/>
      <c r="V31" s="271"/>
      <c r="W31" s="271"/>
      <c r="AA31" s="279"/>
      <c r="AB31" s="279"/>
      <c r="AC31" s="279"/>
    </row>
    <row r="32" spans="2:29" s="106" customFormat="1" x14ac:dyDescent="0.2">
      <c r="B32" s="124" t="s">
        <v>272</v>
      </c>
      <c r="C32" s="273">
        <v>15</v>
      </c>
      <c r="D32" s="284">
        <v>43791</v>
      </c>
      <c r="E32" s="33" t="s">
        <v>153</v>
      </c>
      <c r="F32" s="33">
        <v>8601</v>
      </c>
      <c r="G32" s="55" t="s">
        <v>27</v>
      </c>
      <c r="H32" s="49">
        <v>533.79999999999995</v>
      </c>
      <c r="I32" s="33">
        <v>2000</v>
      </c>
      <c r="J32" s="50">
        <f t="shared" si="67"/>
        <v>1067600</v>
      </c>
      <c r="K32" s="52" t="s">
        <v>158</v>
      </c>
      <c r="L32" s="49">
        <v>555</v>
      </c>
      <c r="M32" s="33">
        <f>700+35+35</f>
        <v>770</v>
      </c>
      <c r="N32" s="145">
        <f>IF(OR(K32="現物",J32=0),0,IF(E32="売",J32*Fee_Refer!$B$12/365*V32, J32*Fee_Refer!$B$11/365*#REF!))</f>
        <v>546.96219178082174</v>
      </c>
      <c r="O32" s="52">
        <v>92</v>
      </c>
      <c r="P32" s="25">
        <f t="shared" ref="P32" si="72">IF(L32 &gt;0,(H32-L32)*I32-M32-N32-O32,0)</f>
        <v>-43808.962191780913</v>
      </c>
      <c r="Q32" s="45">
        <f t="shared" si="2"/>
        <v>-4.1034996432915805E-2</v>
      </c>
      <c r="R32" s="277">
        <f>P32+P33</f>
        <v>-7387.9621917808836</v>
      </c>
      <c r="S32" s="278">
        <f t="shared" ref="S32" si="73">R32/(J32+J33)</f>
        <v>-3.4469872261972761E-3</v>
      </c>
      <c r="U32" s="280">
        <v>43808</v>
      </c>
      <c r="V32" s="271">
        <f t="shared" ref="V32" si="74">IF(U32&gt;D32,DATEDIF(D32,U32,"d"),0)</f>
        <v>17</v>
      </c>
      <c r="W32" s="289" t="s">
        <v>975</v>
      </c>
      <c r="AA32" s="286">
        <f>YEAR(U32)</f>
        <v>2019</v>
      </c>
      <c r="AB32" s="286">
        <f>MONTH(U32)</f>
        <v>12</v>
      </c>
      <c r="AC32" s="286" t="str">
        <f>IF(R32&gt;0,"○","☓")</f>
        <v>☓</v>
      </c>
    </row>
    <row r="33" spans="2:29" s="106" customFormat="1" x14ac:dyDescent="0.2">
      <c r="C33" s="274"/>
      <c r="D33" s="285">
        <v>43748</v>
      </c>
      <c r="E33" s="29" t="s">
        <v>154</v>
      </c>
      <c r="F33" s="29">
        <v>8308</v>
      </c>
      <c r="G33" s="54" t="s">
        <v>102</v>
      </c>
      <c r="H33" s="46">
        <v>467.7</v>
      </c>
      <c r="I33" s="46">
        <v>2300</v>
      </c>
      <c r="J33" s="47">
        <f t="shared" si="67"/>
        <v>1075710</v>
      </c>
      <c r="K33" s="174" t="s">
        <v>144</v>
      </c>
      <c r="L33" s="41">
        <v>484</v>
      </c>
      <c r="M33" s="31">
        <f>487+582</f>
        <v>1069</v>
      </c>
      <c r="N33" s="170">
        <v>0</v>
      </c>
      <c r="O33" s="170">
        <v>0</v>
      </c>
      <c r="P33" s="29">
        <f t="shared" ref="P33" si="75">IF(L33 &gt;0,(L33-H33)*I33-M33-N33-O33,0)</f>
        <v>36421.000000000029</v>
      </c>
      <c r="Q33" s="48">
        <f t="shared" si="2"/>
        <v>3.3857638211042033E-2</v>
      </c>
      <c r="R33" s="277"/>
      <c r="S33" s="279"/>
      <c r="U33" s="271"/>
      <c r="V33" s="271"/>
      <c r="W33" s="271"/>
      <c r="AA33" s="279"/>
      <c r="AB33" s="279"/>
      <c r="AC33" s="279"/>
    </row>
    <row r="34" spans="2:29" s="106" customFormat="1" x14ac:dyDescent="0.2">
      <c r="B34" s="124" t="s">
        <v>272</v>
      </c>
      <c r="C34" s="273">
        <v>16</v>
      </c>
      <c r="D34" s="287">
        <v>43802</v>
      </c>
      <c r="E34" s="33" t="s">
        <v>260</v>
      </c>
      <c r="F34" s="33">
        <v>3861</v>
      </c>
      <c r="G34" s="55" t="s">
        <v>65</v>
      </c>
      <c r="H34" s="49">
        <v>616</v>
      </c>
      <c r="I34" s="49">
        <v>1700</v>
      </c>
      <c r="J34" s="50">
        <f t="shared" si="67"/>
        <v>1047200</v>
      </c>
      <c r="K34" s="52" t="s">
        <v>158</v>
      </c>
      <c r="L34" s="49">
        <v>630</v>
      </c>
      <c r="M34" s="33">
        <v>770</v>
      </c>
      <c r="N34" s="145">
        <f>IF(OR(K34="現物",J34=0),0,IF(E34="売",J34*Fee_Refer!$B$12/365*V34, J34*Fee_Refer!$B$11/365*#REF!))</f>
        <v>504.95123287671225</v>
      </c>
      <c r="O34" s="52">
        <v>0</v>
      </c>
      <c r="P34" s="148">
        <f>IF(L34 &gt;0,(H34-L34)*I34-M34-N34-O34,0)</f>
        <v>-25074.951232876712</v>
      </c>
      <c r="Q34" s="51">
        <f t="shared" si="2"/>
        <v>-2.3944758625741705E-2</v>
      </c>
      <c r="R34" s="277">
        <f>P34+P35</f>
        <v>29274.382465753424</v>
      </c>
      <c r="S34" s="278">
        <f t="shared" ref="S34" si="76">R34/(J34+J35)</f>
        <v>1.4002861602292846E-2</v>
      </c>
      <c r="U34" s="280">
        <v>43818</v>
      </c>
      <c r="V34" s="271">
        <f t="shared" ref="V34" si="77">IF(U34&gt;D34,DATEDIF(D34,U34,"d"),0)</f>
        <v>16</v>
      </c>
      <c r="W34" s="272" t="s">
        <v>975</v>
      </c>
      <c r="AA34" s="286">
        <f>YEAR(U34)</f>
        <v>2019</v>
      </c>
      <c r="AB34" s="286">
        <f>MONTH(U34)</f>
        <v>12</v>
      </c>
      <c r="AC34" s="286" t="str">
        <f>IF(R34&gt;0,"○","☓")</f>
        <v>○</v>
      </c>
    </row>
    <row r="35" spans="2:29" s="106" customFormat="1" x14ac:dyDescent="0.2">
      <c r="C35" s="274"/>
      <c r="D35" s="288">
        <v>43748</v>
      </c>
      <c r="E35" s="29" t="s">
        <v>262</v>
      </c>
      <c r="F35" s="29">
        <v>5703</v>
      </c>
      <c r="G35" s="54" t="s">
        <v>302</v>
      </c>
      <c r="H35" s="46">
        <v>222</v>
      </c>
      <c r="I35" s="46">
        <v>4700</v>
      </c>
      <c r="J35" s="47">
        <f t="shared" si="67"/>
        <v>1043400</v>
      </c>
      <c r="K35" s="146" t="s">
        <v>158</v>
      </c>
      <c r="L35" s="41">
        <v>234</v>
      </c>
      <c r="M35" s="31">
        <v>770</v>
      </c>
      <c r="N35" s="147">
        <f>IF(OR(K35="現物",J35=0),0,IF(E35="売",J35*Fee_Refer!$B$12/365*V35, J35*Fee_Refer!$B$11/365*V34))</f>
        <v>1280.666301369863</v>
      </c>
      <c r="O35" s="222">
        <v>0</v>
      </c>
      <c r="P35" s="149">
        <f>IF(L35&gt;0,(L35-H35)*I35-M35-N35-O35,0)</f>
        <v>54349.333698630136</v>
      </c>
      <c r="Q35" s="48">
        <f t="shared" si="2"/>
        <v>5.2088684779212323E-2</v>
      </c>
      <c r="R35" s="277"/>
      <c r="S35" s="279"/>
      <c r="U35" s="271"/>
      <c r="V35" s="271"/>
      <c r="W35" s="271"/>
      <c r="AA35" s="279"/>
      <c r="AB35" s="279"/>
      <c r="AC35" s="279"/>
    </row>
  </sheetData>
  <autoFilter ref="B3:AC23"/>
  <mergeCells count="160">
    <mergeCell ref="C26:C27"/>
    <mergeCell ref="D26:D27"/>
    <mergeCell ref="R26:R27"/>
    <mergeCell ref="S26:S27"/>
    <mergeCell ref="U26:U27"/>
    <mergeCell ref="AA34:AA35"/>
    <mergeCell ref="AB34:AB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C30:C31"/>
    <mergeCell ref="D30:D31"/>
    <mergeCell ref="R30:R31"/>
    <mergeCell ref="S30:S31"/>
    <mergeCell ref="U30:U31"/>
    <mergeCell ref="V30:V31"/>
    <mergeCell ref="W30:W31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C32:C33"/>
    <mergeCell ref="D32:D33"/>
    <mergeCell ref="R32:R33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33" sqref="G33"/>
    </sheetView>
  </sheetViews>
  <sheetFormatPr defaultRowHeight="14.25" x14ac:dyDescent="0.2"/>
  <sheetData>
    <row r="27" spans="1:1" x14ac:dyDescent="0.2">
      <c r="A27" s="16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I37" sqref="I3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9" t="s">
        <v>973</v>
      </c>
    </row>
    <row r="2" spans="1:23" ht="59.25" customHeight="1" x14ac:dyDescent="0.2">
      <c r="A2" s="153" t="s">
        <v>951</v>
      </c>
      <c r="B2" s="154" t="s">
        <v>952</v>
      </c>
      <c r="C2" s="155" t="s">
        <v>959</v>
      </c>
      <c r="D2" s="154" t="s">
        <v>960</v>
      </c>
      <c r="E2" s="154" t="s">
        <v>961</v>
      </c>
      <c r="F2" s="155" t="s">
        <v>969</v>
      </c>
      <c r="G2" s="155" t="s">
        <v>970</v>
      </c>
      <c r="H2" s="155" t="s">
        <v>962</v>
      </c>
      <c r="I2" s="155" t="s">
        <v>963</v>
      </c>
      <c r="J2" s="155" t="s">
        <v>964</v>
      </c>
      <c r="K2" s="155" t="s">
        <v>971</v>
      </c>
      <c r="L2" s="155" t="s">
        <v>965</v>
      </c>
      <c r="M2" s="155" t="s">
        <v>953</v>
      </c>
      <c r="N2" s="155" t="s">
        <v>954</v>
      </c>
      <c r="O2" s="155" t="s">
        <v>955</v>
      </c>
      <c r="P2" s="155" t="s">
        <v>966</v>
      </c>
      <c r="Q2" s="156" t="s">
        <v>967</v>
      </c>
      <c r="R2" s="156" t="s">
        <v>956</v>
      </c>
      <c r="S2" s="157" t="s">
        <v>957</v>
      </c>
      <c r="T2" s="157" t="s">
        <v>958</v>
      </c>
      <c r="U2" s="157" t="s">
        <v>972</v>
      </c>
      <c r="V2" s="158" t="s">
        <v>968</v>
      </c>
      <c r="W2" s="152"/>
    </row>
    <row r="3" spans="1:23" x14ac:dyDescent="0.2">
      <c r="A3" s="159">
        <v>2019</v>
      </c>
      <c r="B3" s="159">
        <v>10</v>
      </c>
      <c r="C3" s="160">
        <v>5000000</v>
      </c>
      <c r="D3" s="161">
        <v>-25615.999999999971</v>
      </c>
      <c r="E3" s="162">
        <f t="shared" ref="E3:E5" si="0">IF(D3 &lt;&gt; 0,D3/C3, 0)</f>
        <v>-5.1231999999999944E-3</v>
      </c>
      <c r="F3" s="161">
        <v>101112</v>
      </c>
      <c r="G3" s="161">
        <v>-126727.99999999997</v>
      </c>
      <c r="H3" s="159">
        <v>8</v>
      </c>
      <c r="I3" s="159">
        <v>3</v>
      </c>
      <c r="J3" s="159">
        <v>5</v>
      </c>
      <c r="K3" s="163">
        <f t="shared" ref="K3:K5" si="1">IF(H3&lt;&gt;0,I3/H3,0)</f>
        <v>0.375</v>
      </c>
      <c r="L3" s="164">
        <f t="shared" ref="L3:L5" si="2">IF(I3&lt;&gt;0,F3/I3,0)</f>
        <v>33704</v>
      </c>
      <c r="M3" s="165">
        <f t="shared" ref="M3:M5" si="3">IF(J3&lt;&gt;0,G3/J3,0)</f>
        <v>-25345.599999999995</v>
      </c>
      <c r="N3" s="166">
        <v>14</v>
      </c>
      <c r="O3" s="166">
        <v>-93238.000000000029</v>
      </c>
      <c r="P3" s="167">
        <f t="shared" ref="P3:P5" si="4">IF(C3&lt;&gt;0,O3/C3,0)</f>
        <v>-1.8647600000000007E-2</v>
      </c>
      <c r="Q3" s="168">
        <v>3</v>
      </c>
      <c r="R3" s="168">
        <v>5</v>
      </c>
      <c r="S3" s="168">
        <v>1</v>
      </c>
      <c r="T3" s="168">
        <v>1</v>
      </c>
      <c r="U3" s="168">
        <v>6</v>
      </c>
      <c r="V3" s="168">
        <f t="shared" ref="V3:V5" si="5">IF(H3&lt;&gt;0,H3-S3-T3-U3,0)</f>
        <v>0</v>
      </c>
    </row>
    <row r="4" spans="1:23" x14ac:dyDescent="0.2">
      <c r="A4" s="159">
        <v>2019</v>
      </c>
      <c r="B4" s="159">
        <v>11</v>
      </c>
      <c r="C4" s="160">
        <f>IF(D3 &lt;&gt; 0,C3+D3, 0)</f>
        <v>4974384</v>
      </c>
      <c r="D4" s="161">
        <v>487021.99999999988</v>
      </c>
      <c r="E4" s="162">
        <f t="shared" si="0"/>
        <v>9.7905991978102194E-2</v>
      </c>
      <c r="F4" s="161">
        <v>546235.99999999988</v>
      </c>
      <c r="G4" s="161">
        <v>-59214</v>
      </c>
      <c r="H4" s="159">
        <v>3</v>
      </c>
      <c r="I4" s="159">
        <v>2</v>
      </c>
      <c r="J4" s="159">
        <v>1</v>
      </c>
      <c r="K4" s="163">
        <f t="shared" si="1"/>
        <v>0.66666666666666663</v>
      </c>
      <c r="L4" s="164">
        <f t="shared" si="2"/>
        <v>273117.99999999994</v>
      </c>
      <c r="M4" s="165">
        <f t="shared" si="3"/>
        <v>-59214</v>
      </c>
      <c r="N4" s="166">
        <v>10</v>
      </c>
      <c r="O4" s="166">
        <v>-59214</v>
      </c>
      <c r="P4" s="167">
        <f t="shared" si="4"/>
        <v>-1.190378547373906E-2</v>
      </c>
      <c r="Q4" s="168">
        <v>2</v>
      </c>
      <c r="R4" s="168">
        <v>1</v>
      </c>
      <c r="S4" s="168">
        <v>2</v>
      </c>
      <c r="T4" s="168">
        <v>1</v>
      </c>
      <c r="U4" s="168">
        <v>0</v>
      </c>
      <c r="V4" s="168">
        <f t="shared" si="5"/>
        <v>0</v>
      </c>
    </row>
    <row r="5" spans="1:23" x14ac:dyDescent="0.2">
      <c r="A5" s="159">
        <v>2019</v>
      </c>
      <c r="B5" s="159">
        <v>12</v>
      </c>
      <c r="C5" s="160">
        <f>IF(D4 &lt;&gt; 0,C4+D4, 0)</f>
        <v>5461406</v>
      </c>
      <c r="D5" s="161">
        <v>86191.392876712271</v>
      </c>
      <c r="E5" s="162">
        <f t="shared" si="0"/>
        <v>1.5781905406174211E-2</v>
      </c>
      <c r="F5" s="161">
        <v>117137.35506849315</v>
      </c>
      <c r="G5" s="161">
        <v>-30945.962191780884</v>
      </c>
      <c r="H5" s="159">
        <v>5</v>
      </c>
      <c r="I5" s="159">
        <v>3</v>
      </c>
      <c r="J5" s="159">
        <v>2</v>
      </c>
      <c r="K5" s="163">
        <f t="shared" si="1"/>
        <v>0.6</v>
      </c>
      <c r="L5" s="164">
        <f t="shared" si="2"/>
        <v>39045.785022831049</v>
      </c>
      <c r="M5" s="165">
        <f t="shared" si="3"/>
        <v>-15472.981095890442</v>
      </c>
      <c r="N5" s="166">
        <v>16.8</v>
      </c>
      <c r="O5" s="166">
        <v>-23558</v>
      </c>
      <c r="P5" s="167">
        <f t="shared" si="4"/>
        <v>-4.3135412382818636E-3</v>
      </c>
      <c r="Q5" s="168">
        <v>2</v>
      </c>
      <c r="R5" s="168">
        <v>1</v>
      </c>
      <c r="S5" s="168">
        <v>1</v>
      </c>
      <c r="T5" s="168">
        <v>0</v>
      </c>
      <c r="U5" s="168">
        <v>4</v>
      </c>
      <c r="V5" s="168">
        <f t="shared" si="5"/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zoomScale="70" zoomScaleNormal="70" workbookViewId="0">
      <selection activeCell="AE85" sqref="AE8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7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0.75" style="106" customWidth="1"/>
    <col min="26" max="16384" width="9" style="106"/>
  </cols>
  <sheetData>
    <row r="1" spans="1:31" ht="22.5" customHeight="1" thickBot="1" x14ac:dyDescent="0.25">
      <c r="A1" s="135"/>
      <c r="B1" s="194"/>
      <c r="C1" s="192"/>
      <c r="D1" s="247">
        <v>9</v>
      </c>
      <c r="E1" s="248" t="s">
        <v>2372</v>
      </c>
      <c r="F1" s="249">
        <v>16</v>
      </c>
      <c r="G1" s="191"/>
      <c r="H1" s="195"/>
      <c r="I1" s="137"/>
      <c r="J1" s="138"/>
      <c r="N1" s="175"/>
      <c r="O1" s="196"/>
      <c r="P1" s="136"/>
      <c r="Q1" s="217"/>
      <c r="R1" s="218"/>
      <c r="S1" s="10"/>
      <c r="T1" s="219"/>
      <c r="U1" s="136"/>
    </row>
    <row r="2" spans="1:31" ht="33" customHeight="1" thickBot="1" x14ac:dyDescent="0.25">
      <c r="A2" s="135"/>
      <c r="B2" s="68" t="s">
        <v>1884</v>
      </c>
      <c r="C2" s="60"/>
      <c r="D2" s="59" t="s">
        <v>69</v>
      </c>
      <c r="E2" s="61" t="s">
        <v>70</v>
      </c>
      <c r="F2" s="62" t="s">
        <v>146</v>
      </c>
      <c r="G2" s="62" t="s">
        <v>147</v>
      </c>
      <c r="H2" s="60" t="s">
        <v>22</v>
      </c>
      <c r="I2" s="60" t="s">
        <v>148</v>
      </c>
      <c r="J2" s="62" t="s">
        <v>149</v>
      </c>
      <c r="K2" s="63" t="s">
        <v>170</v>
      </c>
      <c r="L2" s="60" t="s">
        <v>150</v>
      </c>
      <c r="M2" s="63" t="s">
        <v>164</v>
      </c>
      <c r="N2" s="60" t="s">
        <v>257</v>
      </c>
      <c r="O2" s="60" t="s">
        <v>151</v>
      </c>
      <c r="P2" s="63" t="s">
        <v>166</v>
      </c>
      <c r="Q2" s="66" t="s">
        <v>167</v>
      </c>
      <c r="R2" s="66" t="s">
        <v>1885</v>
      </c>
      <c r="S2" s="10"/>
      <c r="T2" s="10"/>
      <c r="U2" s="10"/>
    </row>
    <row r="3" spans="1:31" ht="22.5" customHeight="1" x14ac:dyDescent="0.2">
      <c r="A3" s="135"/>
      <c r="B3" s="238">
        <v>43782</v>
      </c>
      <c r="C3" s="36" t="s">
        <v>153</v>
      </c>
      <c r="D3" s="36">
        <v>1820</v>
      </c>
      <c r="E3" s="236" t="s">
        <v>2614</v>
      </c>
      <c r="F3" s="239">
        <v>2431</v>
      </c>
      <c r="G3" s="239">
        <v>400</v>
      </c>
      <c r="H3" s="240">
        <f t="shared" ref="H3:H4" si="0">F3*G3</f>
        <v>972400</v>
      </c>
      <c r="I3" s="236" t="s">
        <v>2616</v>
      </c>
      <c r="J3" s="239">
        <v>2375</v>
      </c>
      <c r="K3" s="36">
        <v>770</v>
      </c>
      <c r="L3" s="241">
        <f>IF(OR(I3="現物",H3=0),0,IF(C3="売",H3*Fee_Refer!$B$12/365*T3, H3*Fee_Refer!$B$11/365*#REF!))</f>
        <v>0</v>
      </c>
      <c r="M3" s="236">
        <v>92</v>
      </c>
      <c r="N3" s="242">
        <v>21396</v>
      </c>
      <c r="O3" s="243">
        <v>2.2003290826820239E-2</v>
      </c>
      <c r="P3" s="277">
        <v>485995</v>
      </c>
      <c r="Q3" s="278">
        <v>0.25451000559299347</v>
      </c>
      <c r="R3" s="277">
        <v>7</v>
      </c>
      <c r="S3" s="10"/>
      <c r="T3" s="10"/>
      <c r="U3" s="10"/>
    </row>
    <row r="4" spans="1:31" ht="22.5" customHeight="1" x14ac:dyDescent="0.2">
      <c r="A4" s="135"/>
      <c r="B4" s="229">
        <v>43789</v>
      </c>
      <c r="C4" s="228" t="s">
        <v>154</v>
      </c>
      <c r="D4" s="228">
        <v>4508</v>
      </c>
      <c r="E4" s="237" t="s">
        <v>2615</v>
      </c>
      <c r="F4" s="244">
        <v>1338.76</v>
      </c>
      <c r="G4" s="244">
        <v>700</v>
      </c>
      <c r="H4" s="245">
        <f t="shared" si="0"/>
        <v>937132</v>
      </c>
      <c r="I4" s="237" t="s">
        <v>2617</v>
      </c>
      <c r="J4" s="246">
        <v>2004</v>
      </c>
      <c r="K4" s="31">
        <v>1069</v>
      </c>
      <c r="L4" s="147">
        <f>IF(OR(I4="現物",H4=0),0,IF(C4="売",H4*Fee_Refer!$B$12/365*T4, H4*Fee_Refer!$B$11/365*T3))</f>
        <v>0</v>
      </c>
      <c r="M4" s="228">
        <v>408</v>
      </c>
      <c r="N4" s="226">
        <v>464599</v>
      </c>
      <c r="O4" s="227">
        <v>0.49576687168936712</v>
      </c>
      <c r="P4" s="277"/>
      <c r="Q4" s="278"/>
      <c r="R4" s="277"/>
      <c r="S4" s="10"/>
      <c r="T4" s="10"/>
      <c r="U4" s="10"/>
    </row>
    <row r="5" spans="1:31" ht="22.5" customHeight="1" thickBot="1" x14ac:dyDescent="0.25">
      <c r="A5" s="135"/>
      <c r="B5" s="194"/>
      <c r="C5" s="192"/>
      <c r="D5" s="193"/>
      <c r="E5" s="191"/>
      <c r="F5" s="191"/>
      <c r="G5" s="191"/>
      <c r="H5" s="195"/>
      <c r="I5" s="137"/>
      <c r="J5" s="138"/>
      <c r="N5" s="175"/>
      <c r="O5" s="196"/>
      <c r="P5" s="136"/>
      <c r="Q5" s="217"/>
    </row>
    <row r="6" spans="1:31" x14ac:dyDescent="0.2">
      <c r="A6" s="207" t="s">
        <v>2371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2618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50" t="s">
        <v>2377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7" t="s">
        <v>1876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21" t="s">
        <v>1880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7" t="s">
        <v>1864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8">
        <v>1.977336691028396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7" t="s">
        <v>1865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8">
        <v>1.097680077550744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50" t="s">
        <v>2378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32">
        <f>B3</f>
        <v>43782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32">
        <f>B3</f>
        <v>43782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33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34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35">
        <f>B4</f>
        <v>43789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35">
        <f>B4</f>
        <v>43789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51" t="s">
        <v>2379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7" t="s">
        <v>2370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1.5364806866952789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7" t="s">
        <v>1864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3082.1802575107295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7" t="s">
        <v>1865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1759.2703862660944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20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944</v>
      </c>
      <c r="B81" s="106" t="s">
        <v>2619</v>
      </c>
      <c r="C81" s="106" t="s">
        <v>2620</v>
      </c>
      <c r="D81" s="106" t="s">
        <v>2621</v>
      </c>
      <c r="E81" s="106" t="s">
        <v>2622</v>
      </c>
      <c r="F81" s="106" t="s">
        <v>945</v>
      </c>
      <c r="G81" s="106" t="s">
        <v>946</v>
      </c>
      <c r="H81" s="106" t="s">
        <v>947</v>
      </c>
      <c r="I81" s="106" t="s">
        <v>948</v>
      </c>
      <c r="J81" s="106" t="s">
        <v>949</v>
      </c>
      <c r="K81" s="106" t="s">
        <v>46</v>
      </c>
      <c r="L81" s="106" t="s">
        <v>48</v>
      </c>
      <c r="M81" s="106" t="s">
        <v>47</v>
      </c>
      <c r="N81" s="106" t="s">
        <v>49</v>
      </c>
      <c r="P81" s="106" t="s">
        <v>273</v>
      </c>
      <c r="Q81" s="106" t="s">
        <v>274</v>
      </c>
      <c r="R81" s="106" t="s">
        <v>275</v>
      </c>
      <c r="S81" s="106" t="s">
        <v>276</v>
      </c>
      <c r="U81" s="106" t="s">
        <v>1886</v>
      </c>
      <c r="V81" s="106" t="s">
        <v>1887</v>
      </c>
      <c r="W81" s="106" t="s">
        <v>1888</v>
      </c>
      <c r="X81" s="106" t="s">
        <v>1889</v>
      </c>
      <c r="Y81" s="106" t="s">
        <v>944</v>
      </c>
      <c r="AA81" s="106" t="s">
        <v>2623</v>
      </c>
      <c r="AB81" s="106" t="s">
        <v>2624</v>
      </c>
    </row>
    <row r="82" spans="1:28" x14ac:dyDescent="0.2">
      <c r="A82" s="14">
        <v>43819</v>
      </c>
      <c r="B82" s="106">
        <v>2476</v>
      </c>
      <c r="C82" s="106">
        <v>2480</v>
      </c>
      <c r="D82" s="106">
        <v>2007</v>
      </c>
      <c r="E82" s="106">
        <v>2006</v>
      </c>
      <c r="F82" s="106">
        <v>1.23629112662013</v>
      </c>
      <c r="G82" s="106">
        <v>1.53750838428957</v>
      </c>
      <c r="H82" s="106">
        <v>0.219914153369413</v>
      </c>
      <c r="I82" s="106">
        <v>-1.3697038278543601</v>
      </c>
      <c r="J82" s="106">
        <v>-24.36</v>
      </c>
      <c r="K82" s="106">
        <v>0.79690790477558304</v>
      </c>
      <c r="L82" s="106">
        <v>0.813578035357442</v>
      </c>
      <c r="M82" s="106">
        <v>0.79322324211693995</v>
      </c>
      <c r="N82" s="106">
        <v>0.13968228536253199</v>
      </c>
      <c r="P82" s="106">
        <v>1.7574225376589832</v>
      </c>
      <c r="Q82" s="106">
        <v>1.3175942309201569</v>
      </c>
      <c r="R82" s="106">
        <v>1.977336691028396</v>
      </c>
      <c r="S82" s="106">
        <v>1.097680077550744</v>
      </c>
      <c r="U82" s="106">
        <v>-20370</v>
      </c>
      <c r="V82" s="106">
        <v>465999</v>
      </c>
      <c r="W82" s="106">
        <v>445629</v>
      </c>
      <c r="X82" s="106">
        <v>23.337079451928535</v>
      </c>
      <c r="Y82" s="14">
        <v>43819</v>
      </c>
      <c r="AA82" s="106">
        <v>2480</v>
      </c>
      <c r="AB82" s="106">
        <v>3082.1802575107295</v>
      </c>
    </row>
    <row r="83" spans="1:28" x14ac:dyDescent="0.2">
      <c r="A83" s="14">
        <v>43818</v>
      </c>
      <c r="B83" s="106">
        <v>2470</v>
      </c>
      <c r="C83" s="106">
        <v>2464</v>
      </c>
      <c r="D83" s="106">
        <v>2006</v>
      </c>
      <c r="E83" s="106">
        <v>2006</v>
      </c>
      <c r="F83" s="106">
        <v>1.22831505483549</v>
      </c>
      <c r="G83" s="106">
        <v>1.5426031510964799</v>
      </c>
      <c r="H83" s="106">
        <v>0.21728728331989999</v>
      </c>
      <c r="I83" s="106">
        <v>-1.4464173487699199</v>
      </c>
      <c r="J83" s="106">
        <v>-25.59</v>
      </c>
      <c r="K83" s="106">
        <v>0.79387212202878099</v>
      </c>
      <c r="L83" s="106">
        <v>0.76654465727293697</v>
      </c>
      <c r="M83" s="106">
        <v>0.79523041135413897</v>
      </c>
      <c r="N83" s="106">
        <v>0.13434863222527799</v>
      </c>
      <c r="P83" s="106">
        <v>1.7598904344163799</v>
      </c>
      <c r="Q83" s="106">
        <v>1.3253158677765799</v>
      </c>
      <c r="R83" s="106">
        <v>1.9771777177362799</v>
      </c>
      <c r="S83" s="106">
        <v>1.10802858445668</v>
      </c>
      <c r="U83" s="106">
        <v>-13970</v>
      </c>
      <c r="V83" s="106">
        <v>465999</v>
      </c>
      <c r="W83" s="106">
        <v>452029</v>
      </c>
      <c r="X83" s="106">
        <v>23.672240109094794</v>
      </c>
      <c r="Y83" s="14">
        <v>43818</v>
      </c>
      <c r="AA83" s="106">
        <v>2464</v>
      </c>
      <c r="AB83" s="106">
        <v>3082.1802575107295</v>
      </c>
    </row>
    <row r="84" spans="1:28" x14ac:dyDescent="0.2">
      <c r="A84" s="14">
        <v>43817</v>
      </c>
      <c r="B84" s="106">
        <v>2499</v>
      </c>
      <c r="C84" s="106">
        <v>2474</v>
      </c>
      <c r="D84" s="106">
        <v>2005</v>
      </c>
      <c r="E84" s="106">
        <v>2005</v>
      </c>
      <c r="F84" s="106">
        <v>1.23391521197007</v>
      </c>
      <c r="G84" s="106">
        <v>1.5479926853051</v>
      </c>
      <c r="H84" s="106">
        <v>0.21441901605309299</v>
      </c>
      <c r="I84" s="106">
        <v>-1.4647836703870301</v>
      </c>
      <c r="J84" s="106">
        <v>-25.45</v>
      </c>
      <c r="K84" s="106">
        <v>0.79031838840747104</v>
      </c>
      <c r="L84" s="106">
        <v>0.74495730613759403</v>
      </c>
      <c r="M84" s="106">
        <v>0.797316876919969</v>
      </c>
      <c r="N84" s="106">
        <v>0.13399274793060001</v>
      </c>
      <c r="P84" s="106">
        <v>1.762411701358193</v>
      </c>
      <c r="Q84" s="106">
        <v>1.333573669252007</v>
      </c>
      <c r="R84" s="106">
        <v>1.976830717411286</v>
      </c>
      <c r="S84" s="106">
        <v>1.1191546531989141</v>
      </c>
      <c r="U84" s="106">
        <v>-17970</v>
      </c>
      <c r="V84" s="106">
        <v>465299</v>
      </c>
      <c r="W84" s="106">
        <v>447329</v>
      </c>
      <c r="X84" s="106">
        <v>23.426106501488324</v>
      </c>
      <c r="Y84" s="14">
        <v>43817</v>
      </c>
      <c r="AA84" s="106">
        <v>2474</v>
      </c>
      <c r="AB84" s="106">
        <v>3080.6437768240344</v>
      </c>
    </row>
    <row r="85" spans="1:28" x14ac:dyDescent="0.2">
      <c r="A85" s="14">
        <v>43816</v>
      </c>
      <c r="B85" s="106">
        <v>2497</v>
      </c>
      <c r="C85" s="106">
        <v>2489</v>
      </c>
      <c r="D85" s="106">
        <v>2005</v>
      </c>
      <c r="E85" s="106">
        <v>2006</v>
      </c>
      <c r="F85" s="106">
        <v>1.2407776669990001</v>
      </c>
      <c r="G85" s="106">
        <v>1.55310910992981</v>
      </c>
      <c r="H85" s="106">
        <v>0.21142082271499599</v>
      </c>
      <c r="I85" s="106">
        <v>-1.4772974531077501</v>
      </c>
      <c r="J85" s="106">
        <v>-25.17</v>
      </c>
      <c r="K85" s="106">
        <v>0.78569263829264102</v>
      </c>
      <c r="L85" s="106">
        <v>0.77201360391554896</v>
      </c>
      <c r="M85" s="106">
        <v>0.79929914624046094</v>
      </c>
      <c r="N85" s="106">
        <v>0.113239562463105</v>
      </c>
      <c r="P85" s="106">
        <v>1.7645299326448061</v>
      </c>
      <c r="Q85" s="106">
        <v>1.3416882872148139</v>
      </c>
      <c r="R85" s="106">
        <v>1.9759507553598019</v>
      </c>
      <c r="S85" s="106">
        <v>1.1302674644998181</v>
      </c>
      <c r="U85" s="106">
        <v>-23970</v>
      </c>
      <c r="V85" s="106">
        <v>465999</v>
      </c>
      <c r="W85" s="106">
        <v>442029</v>
      </c>
      <c r="X85" s="106">
        <v>23.148551582272514</v>
      </c>
      <c r="Y85" s="14">
        <v>43816</v>
      </c>
      <c r="AA85" s="106">
        <v>2489</v>
      </c>
      <c r="AB85" s="106">
        <v>3082.1802575107295</v>
      </c>
    </row>
    <row r="86" spans="1:28" x14ac:dyDescent="0.2">
      <c r="A86" s="14">
        <v>43815</v>
      </c>
      <c r="B86" s="106">
        <v>2504</v>
      </c>
      <c r="C86" s="106">
        <v>2501</v>
      </c>
      <c r="D86" s="106">
        <v>2004</v>
      </c>
      <c r="E86" s="106">
        <v>2005</v>
      </c>
      <c r="F86" s="106">
        <v>1.24738154613466</v>
      </c>
      <c r="G86" s="106">
        <v>1.55824208867597</v>
      </c>
      <c r="H86" s="106">
        <v>0.20842767522734401</v>
      </c>
      <c r="I86" s="106">
        <v>-1.4914552119925599</v>
      </c>
      <c r="J86" s="106">
        <v>-24.92</v>
      </c>
      <c r="K86" s="106">
        <v>0.78020271928701201</v>
      </c>
      <c r="L86" s="106">
        <v>0.71186441418925595</v>
      </c>
      <c r="M86" s="106">
        <v>0.80128009689672197</v>
      </c>
      <c r="N86" s="106">
        <v>0.13219944397661801</v>
      </c>
      <c r="P86" s="106">
        <v>1.766669763903314</v>
      </c>
      <c r="Q86" s="106">
        <v>1.3498144134486261</v>
      </c>
      <c r="R86" s="106">
        <v>1.9750974391306579</v>
      </c>
      <c r="S86" s="106">
        <v>1.1413867382212821</v>
      </c>
      <c r="U86" s="106">
        <v>-28770</v>
      </c>
      <c r="V86" s="106">
        <v>465299</v>
      </c>
      <c r="W86" s="106">
        <v>436529</v>
      </c>
      <c r="X86" s="106">
        <v>22.860522892520262</v>
      </c>
      <c r="Y86" s="14">
        <v>43815</v>
      </c>
      <c r="AA86" s="106">
        <v>2501</v>
      </c>
      <c r="AB86" s="106">
        <v>3080.6437768240344</v>
      </c>
    </row>
    <row r="87" spans="1:28" x14ac:dyDescent="0.2">
      <c r="A87" s="14">
        <v>43812</v>
      </c>
      <c r="B87" s="106">
        <v>2558</v>
      </c>
      <c r="C87" s="106">
        <v>2503</v>
      </c>
      <c r="D87" s="106">
        <v>2005</v>
      </c>
      <c r="E87" s="106">
        <v>2004</v>
      </c>
      <c r="F87" s="106">
        <v>1.2490019960079799</v>
      </c>
      <c r="G87" s="106">
        <v>1.56339781653246</v>
      </c>
      <c r="H87" s="106">
        <v>0.205435401728574</v>
      </c>
      <c r="I87" s="106">
        <v>-1.5303877417382401</v>
      </c>
      <c r="J87" s="106">
        <v>-25.17</v>
      </c>
      <c r="K87" s="106">
        <v>0.77227524371806899</v>
      </c>
      <c r="L87" s="106">
        <v>0.72659428790890701</v>
      </c>
      <c r="M87" s="106">
        <v>0.80311964117897905</v>
      </c>
      <c r="N87" s="106">
        <v>0.107913658044586</v>
      </c>
      <c r="P87" s="106">
        <v>1.768833218261034</v>
      </c>
      <c r="Q87" s="106">
        <v>1.357962414803886</v>
      </c>
      <c r="R87" s="106">
        <v>1.974268619989608</v>
      </c>
      <c r="S87" s="106">
        <v>1.152527013075312</v>
      </c>
      <c r="U87" s="106">
        <v>-29570</v>
      </c>
      <c r="V87" s="106">
        <v>464599</v>
      </c>
      <c r="W87" s="106">
        <v>435029</v>
      </c>
      <c r="X87" s="106">
        <v>22.781969613496919</v>
      </c>
      <c r="Y87" s="14">
        <v>43812</v>
      </c>
      <c r="AA87" s="106">
        <v>2503</v>
      </c>
      <c r="AB87" s="106">
        <v>3079.1072961373388</v>
      </c>
    </row>
    <row r="88" spans="1:28" x14ac:dyDescent="0.2">
      <c r="A88" s="14">
        <v>43811</v>
      </c>
      <c r="B88" s="106">
        <v>2540</v>
      </c>
      <c r="C88" s="106">
        <v>2533</v>
      </c>
      <c r="D88" s="106">
        <v>2003</v>
      </c>
      <c r="E88" s="106">
        <v>2005</v>
      </c>
      <c r="F88" s="106">
        <v>1.26334164588528</v>
      </c>
      <c r="G88" s="106">
        <v>1.5683768766770101</v>
      </c>
      <c r="H88" s="106">
        <v>0.20225590186324199</v>
      </c>
      <c r="I88" s="106">
        <v>-1.5081647951019099</v>
      </c>
      <c r="J88" s="106">
        <v>-24.15</v>
      </c>
      <c r="K88" s="106">
        <v>0.76300474141646701</v>
      </c>
      <c r="L88" s="106">
        <v>0.79083188047030395</v>
      </c>
      <c r="M88" s="106">
        <v>0.80436323368528795</v>
      </c>
      <c r="N88" s="106">
        <v>0.10274478565732301</v>
      </c>
      <c r="P88" s="106">
        <v>1.770632778540252</v>
      </c>
      <c r="Q88" s="106">
        <v>1.3661209748137682</v>
      </c>
      <c r="R88" s="106">
        <v>1.9728886804034942</v>
      </c>
      <c r="S88" s="106">
        <v>1.163865072950526</v>
      </c>
      <c r="U88" s="106">
        <v>-41570</v>
      </c>
      <c r="V88" s="106">
        <v>465299</v>
      </c>
      <c r="W88" s="106">
        <v>423729</v>
      </c>
      <c r="X88" s="106">
        <v>22.190201578187743</v>
      </c>
      <c r="Y88" s="14">
        <v>43811</v>
      </c>
      <c r="AA88" s="106">
        <v>2533</v>
      </c>
      <c r="AB88" s="106">
        <v>3080.6437768240344</v>
      </c>
    </row>
    <row r="89" spans="1:28" x14ac:dyDescent="0.2">
      <c r="A89" s="14">
        <v>43810</v>
      </c>
      <c r="B89" s="106">
        <v>2520</v>
      </c>
      <c r="C89" s="106">
        <v>2529</v>
      </c>
      <c r="D89" s="106">
        <v>2003</v>
      </c>
      <c r="E89" s="106">
        <v>2003</v>
      </c>
      <c r="F89" s="106">
        <v>1.2626060908637</v>
      </c>
      <c r="G89" s="106">
        <v>1.5729092577152399</v>
      </c>
      <c r="H89" s="106">
        <v>0.19915451641690199</v>
      </c>
      <c r="I89" s="106">
        <v>-1.55810258503985</v>
      </c>
      <c r="J89" s="106">
        <v>-24.58</v>
      </c>
      <c r="K89" s="106">
        <v>0.75274380277723496</v>
      </c>
      <c r="L89" s="106">
        <v>0.779420334514485</v>
      </c>
      <c r="M89" s="106">
        <v>0.80532941511418699</v>
      </c>
      <c r="N89" s="106">
        <v>9.9141344254631503E-2</v>
      </c>
      <c r="P89" s="106">
        <v>1.7720637741321419</v>
      </c>
      <c r="Q89" s="106">
        <v>1.373754741298338</v>
      </c>
      <c r="R89" s="106">
        <v>1.9712182905490439</v>
      </c>
      <c r="S89" s="106">
        <v>1.174600224881436</v>
      </c>
      <c r="U89" s="106">
        <v>-39970</v>
      </c>
      <c r="V89" s="106">
        <v>463899</v>
      </c>
      <c r="W89" s="106">
        <v>423929</v>
      </c>
      <c r="X89" s="106">
        <v>22.200675348724189</v>
      </c>
      <c r="Y89" s="14">
        <v>43810</v>
      </c>
      <c r="AA89" s="106">
        <v>2529</v>
      </c>
      <c r="AB89" s="106">
        <v>3077.5708154506437</v>
      </c>
    </row>
    <row r="90" spans="1:28" x14ac:dyDescent="0.2">
      <c r="A90" s="14">
        <v>43809</v>
      </c>
      <c r="B90" s="106">
        <v>2537</v>
      </c>
      <c r="C90" s="106">
        <v>2516</v>
      </c>
      <c r="D90" s="106">
        <v>2003</v>
      </c>
      <c r="E90" s="106">
        <v>2002</v>
      </c>
      <c r="F90" s="106">
        <v>1.2567432567432499</v>
      </c>
      <c r="G90" s="106">
        <v>1.5773578715633501</v>
      </c>
      <c r="H90" s="106">
        <v>0.195872804905285</v>
      </c>
      <c r="I90" s="106">
        <v>-1.6368510931118101</v>
      </c>
      <c r="J90" s="106">
        <v>-25.51</v>
      </c>
      <c r="K90" s="106">
        <v>0.74168569729016998</v>
      </c>
      <c r="L90" s="106">
        <v>0.79337070611302496</v>
      </c>
      <c r="M90" s="106">
        <v>0.80674708814692397</v>
      </c>
      <c r="N90" s="106">
        <v>0.25379672914268198</v>
      </c>
      <c r="P90" s="106">
        <v>1.773230676468635</v>
      </c>
      <c r="Q90" s="106">
        <v>1.3814850666580651</v>
      </c>
      <c r="R90" s="106">
        <v>1.9691034813739201</v>
      </c>
      <c r="S90" s="106">
        <v>1.18561226175278</v>
      </c>
      <c r="U90" s="106">
        <v>-34770</v>
      </c>
      <c r="V90" s="106">
        <v>463199</v>
      </c>
      <c r="W90" s="106">
        <v>428429</v>
      </c>
      <c r="X90" s="106">
        <v>22.436335185794213</v>
      </c>
      <c r="Y90" s="14">
        <v>43809</v>
      </c>
      <c r="AA90" s="106">
        <v>2516</v>
      </c>
      <c r="AB90" s="106">
        <v>3076.0343347639482</v>
      </c>
    </row>
    <row r="91" spans="1:28" x14ac:dyDescent="0.2">
      <c r="A91" s="14">
        <v>43808</v>
      </c>
      <c r="B91" s="106">
        <v>2549</v>
      </c>
      <c r="C91" s="106">
        <v>2538</v>
      </c>
      <c r="D91" s="106">
        <v>2003</v>
      </c>
      <c r="E91" s="106">
        <v>2003</v>
      </c>
      <c r="F91" s="106">
        <v>1.26709935097353</v>
      </c>
      <c r="G91" s="106">
        <v>1.5817557939578699</v>
      </c>
      <c r="H91" s="106">
        <v>0.1922949991423</v>
      </c>
      <c r="I91" s="106">
        <v>-1.63632150803614</v>
      </c>
      <c r="J91" s="106">
        <v>-24.83</v>
      </c>
      <c r="K91" s="106">
        <v>0.72686278435564899</v>
      </c>
      <c r="L91" s="106">
        <v>0.87240872050621499</v>
      </c>
      <c r="M91" s="106">
        <v>0.80789102476594099</v>
      </c>
      <c r="N91" s="106">
        <v>0.21838905022978999</v>
      </c>
      <c r="P91" s="106">
        <v>1.7740507931001699</v>
      </c>
      <c r="Q91" s="106">
        <v>1.3894607948155699</v>
      </c>
      <c r="R91" s="106">
        <v>1.9663457922424699</v>
      </c>
      <c r="S91" s="106">
        <v>1.19716579567327</v>
      </c>
      <c r="U91" s="106">
        <v>-43570</v>
      </c>
      <c r="V91" s="106">
        <v>463899</v>
      </c>
      <c r="W91" s="106">
        <v>420329</v>
      </c>
      <c r="X91" s="106">
        <v>22.012147479068169</v>
      </c>
      <c r="Y91" s="14">
        <v>43808</v>
      </c>
      <c r="AA91" s="106">
        <v>2538</v>
      </c>
      <c r="AB91" s="106">
        <v>3077.5708154506437</v>
      </c>
    </row>
    <row r="92" spans="1:28" x14ac:dyDescent="0.2">
      <c r="A92" s="14">
        <v>43805</v>
      </c>
      <c r="B92" s="106">
        <v>2488</v>
      </c>
      <c r="C92" s="106">
        <v>2516</v>
      </c>
      <c r="D92" s="106">
        <v>2003</v>
      </c>
      <c r="E92" s="106">
        <v>2002</v>
      </c>
      <c r="F92" s="106">
        <v>1.2567432567432499</v>
      </c>
      <c r="G92" s="106">
        <v>1.58579229846989</v>
      </c>
      <c r="H92" s="106">
        <v>0.18879314519717999</v>
      </c>
      <c r="I92" s="106">
        <v>-1.7429077808040301</v>
      </c>
      <c r="J92" s="106">
        <v>-26.18</v>
      </c>
      <c r="K92" s="106">
        <v>0.71088703372332396</v>
      </c>
      <c r="L92" s="106">
        <v>0.89628727340321201</v>
      </c>
      <c r="M92" s="106">
        <v>0.81020326334256898</v>
      </c>
      <c r="N92" s="106">
        <v>0.172560985583501</v>
      </c>
      <c r="P92" s="106">
        <v>1.7745854436670701</v>
      </c>
      <c r="Q92" s="106">
        <v>1.39699915327271</v>
      </c>
      <c r="R92" s="106">
        <v>1.9633785888642499</v>
      </c>
      <c r="S92" s="106">
        <v>1.2082060080755301</v>
      </c>
      <c r="U92" s="106">
        <v>-34770</v>
      </c>
      <c r="V92" s="106">
        <v>463199</v>
      </c>
      <c r="W92" s="106">
        <v>428429</v>
      </c>
      <c r="X92" s="106">
        <v>22.436335185794213</v>
      </c>
      <c r="Y92" s="14">
        <v>43805</v>
      </c>
      <c r="AA92" s="106">
        <v>2516</v>
      </c>
      <c r="AB92" s="106">
        <v>3076.0343347639482</v>
      </c>
    </row>
    <row r="93" spans="1:28" x14ac:dyDescent="0.2">
      <c r="A93" s="14">
        <v>43804</v>
      </c>
      <c r="B93" s="106">
        <v>2453</v>
      </c>
      <c r="C93" s="106">
        <v>2488</v>
      </c>
      <c r="D93" s="106">
        <v>2003</v>
      </c>
      <c r="E93" s="106">
        <v>2002</v>
      </c>
      <c r="F93" s="106">
        <v>1.24275724275724</v>
      </c>
      <c r="G93" s="106">
        <v>1.5897674992990201</v>
      </c>
      <c r="H93" s="106">
        <v>0.184921994438771</v>
      </c>
      <c r="I93" s="106">
        <v>-1.8765223552500401</v>
      </c>
      <c r="J93" s="106">
        <v>-27.92</v>
      </c>
      <c r="K93" s="106">
        <v>0.696540698384845</v>
      </c>
      <c r="L93" s="106">
        <v>0.88441114981728297</v>
      </c>
      <c r="M93" s="106">
        <v>0.813708733741626</v>
      </c>
      <c r="N93" s="106">
        <v>0.119547572325184</v>
      </c>
      <c r="P93" s="106">
        <v>1.7746894937377911</v>
      </c>
      <c r="Q93" s="106">
        <v>1.4048455048602491</v>
      </c>
      <c r="R93" s="106">
        <v>1.9596114881765621</v>
      </c>
      <c r="S93" s="106">
        <v>1.2199235104214781</v>
      </c>
      <c r="U93" s="106">
        <v>-23570</v>
      </c>
      <c r="V93" s="106">
        <v>463199</v>
      </c>
      <c r="W93" s="106">
        <v>439629</v>
      </c>
      <c r="X93" s="106">
        <v>23.022866335835168</v>
      </c>
      <c r="Y93" s="14">
        <v>43804</v>
      </c>
      <c r="AA93" s="106">
        <v>2488</v>
      </c>
      <c r="AB93" s="106">
        <v>3076.0343347639482</v>
      </c>
    </row>
    <row r="94" spans="1:28" x14ac:dyDescent="0.2">
      <c r="A94" s="14">
        <v>43803</v>
      </c>
      <c r="B94" s="106">
        <v>2404</v>
      </c>
      <c r="C94" s="106">
        <v>2453</v>
      </c>
      <c r="D94" s="106">
        <v>2003</v>
      </c>
      <c r="E94" s="106">
        <v>2003</v>
      </c>
      <c r="F94" s="106">
        <v>1.22466300549176</v>
      </c>
      <c r="G94" s="106">
        <v>1.59395880929678</v>
      </c>
      <c r="H94" s="106">
        <v>0.18051939728150301</v>
      </c>
      <c r="I94" s="106">
        <v>-2.0457402881150699</v>
      </c>
      <c r="J94" s="106">
        <v>-30.15</v>
      </c>
      <c r="K94" s="106">
        <v>0.68319491474929495</v>
      </c>
      <c r="L94" s="106">
        <v>0.95827655577580095</v>
      </c>
      <c r="M94" s="106">
        <v>0.818866731093989</v>
      </c>
      <c r="N94" s="106">
        <v>8.3824230021302196E-2</v>
      </c>
      <c r="P94" s="106">
        <v>1.7744782065782831</v>
      </c>
      <c r="Q94" s="106">
        <v>1.4134394120152769</v>
      </c>
      <c r="R94" s="106">
        <v>1.954997603859786</v>
      </c>
      <c r="S94" s="106">
        <v>1.232920014733774</v>
      </c>
      <c r="U94" s="106">
        <v>-9570</v>
      </c>
      <c r="V94" s="106">
        <v>463899</v>
      </c>
      <c r="W94" s="106">
        <v>454329</v>
      </c>
      <c r="X94" s="106">
        <v>23.792688470263919</v>
      </c>
      <c r="Y94" s="14">
        <v>43803</v>
      </c>
      <c r="AA94" s="106">
        <v>2453</v>
      </c>
      <c r="AB94" s="106">
        <v>3077.5708154506437</v>
      </c>
    </row>
    <row r="95" spans="1:28" x14ac:dyDescent="0.2">
      <c r="A95" s="14">
        <v>43802</v>
      </c>
      <c r="B95" s="106">
        <v>2397</v>
      </c>
      <c r="C95" s="106">
        <v>2440</v>
      </c>
      <c r="D95" s="106">
        <v>2003</v>
      </c>
      <c r="E95" s="106">
        <v>2003</v>
      </c>
      <c r="F95" s="106">
        <v>1.21817274088866</v>
      </c>
      <c r="G95" s="106">
        <v>1.5983899001389299</v>
      </c>
      <c r="H95" s="106">
        <v>0.175406511207851</v>
      </c>
      <c r="I95" s="106">
        <v>-2.1676342379315598</v>
      </c>
      <c r="J95" s="106">
        <v>-31.21</v>
      </c>
      <c r="K95" s="106">
        <v>0.669291415631039</v>
      </c>
      <c r="L95" s="106">
        <v>0.96520856393082799</v>
      </c>
      <c r="M95" s="106">
        <v>0.82477031851211402</v>
      </c>
      <c r="N95" s="106">
        <v>6.0475424865404803E-2</v>
      </c>
      <c r="P95" s="106">
        <v>1.773796411346781</v>
      </c>
      <c r="Q95" s="106">
        <v>1.4229833889310788</v>
      </c>
      <c r="R95" s="106">
        <v>1.9492029225546319</v>
      </c>
      <c r="S95" s="106">
        <v>1.2475768777232279</v>
      </c>
      <c r="U95" s="106">
        <v>-4370</v>
      </c>
      <c r="V95" s="106">
        <v>463899</v>
      </c>
      <c r="W95" s="106">
        <v>459529</v>
      </c>
      <c r="X95" s="106">
        <v>24.065006504211503</v>
      </c>
      <c r="Y95" s="14">
        <v>43802</v>
      </c>
      <c r="AA95" s="106">
        <v>2440</v>
      </c>
      <c r="AB95" s="106">
        <v>3077.5708154506437</v>
      </c>
    </row>
    <row r="96" spans="1:28" x14ac:dyDescent="0.2">
      <c r="A96" s="14">
        <v>43801</v>
      </c>
      <c r="B96" s="106">
        <v>2400</v>
      </c>
      <c r="C96" s="106">
        <v>2434</v>
      </c>
      <c r="D96" s="106">
        <v>2003</v>
      </c>
      <c r="E96" s="106">
        <v>2003</v>
      </c>
      <c r="F96" s="106">
        <v>1.2151772341487701</v>
      </c>
      <c r="G96" s="106">
        <v>1.60280276934087</v>
      </c>
      <c r="H96" s="106">
        <v>0.16986105989841899</v>
      </c>
      <c r="I96" s="106">
        <v>-2.2820152860455898</v>
      </c>
      <c r="J96" s="106">
        <v>-31.9</v>
      </c>
      <c r="K96" s="106">
        <v>0.65484038855599502</v>
      </c>
      <c r="L96" s="106">
        <v>0.80880905355507104</v>
      </c>
      <c r="M96" s="106">
        <v>0.83210391719914401</v>
      </c>
      <c r="N96" s="106">
        <v>2.4873497551948301E-2</v>
      </c>
      <c r="P96" s="106">
        <v>1.7726638292392889</v>
      </c>
      <c r="Q96" s="106">
        <v>1.432941709442451</v>
      </c>
      <c r="R96" s="106">
        <v>1.942524889137708</v>
      </c>
      <c r="S96" s="106">
        <v>1.2630806495440319</v>
      </c>
      <c r="U96" s="106">
        <v>-1970</v>
      </c>
      <c r="V96" s="106">
        <v>463899</v>
      </c>
      <c r="W96" s="106">
        <v>461929</v>
      </c>
      <c r="X96" s="106">
        <v>24.190691750648849</v>
      </c>
      <c r="Y96" s="14">
        <v>43801</v>
      </c>
      <c r="AA96" s="106">
        <v>2434</v>
      </c>
      <c r="AB96" s="106">
        <v>3077.5708154506437</v>
      </c>
    </row>
    <row r="97" spans="1:28" x14ac:dyDescent="0.2">
      <c r="A97" s="14">
        <v>43798</v>
      </c>
      <c r="B97" s="106">
        <v>2392</v>
      </c>
      <c r="C97" s="106">
        <v>2388</v>
      </c>
      <c r="D97" s="106">
        <v>2003</v>
      </c>
      <c r="E97" s="106">
        <v>2003</v>
      </c>
      <c r="F97" s="106">
        <v>1.1922116824762801</v>
      </c>
      <c r="G97" s="106">
        <v>1.6068423190177601</v>
      </c>
      <c r="H97" s="106">
        <v>0.16409949304232399</v>
      </c>
      <c r="I97" s="106">
        <v>-2.5267027268301301</v>
      </c>
      <c r="J97" s="106">
        <v>-34.78</v>
      </c>
      <c r="K97" s="106">
        <v>0.649154505464837</v>
      </c>
      <c r="L97" s="106">
        <v>0.60748463500911798</v>
      </c>
      <c r="M97" s="106">
        <v>0.84154619318245505</v>
      </c>
      <c r="N97" s="106">
        <v>1.16871180376759E-2</v>
      </c>
      <c r="P97" s="106">
        <v>1.7709418120600842</v>
      </c>
      <c r="Q97" s="106">
        <v>1.442742825975436</v>
      </c>
      <c r="R97" s="106">
        <v>1.935041305102408</v>
      </c>
      <c r="S97" s="106">
        <v>1.2786433329331122</v>
      </c>
      <c r="U97" s="106">
        <v>16430</v>
      </c>
      <c r="V97" s="106">
        <v>463899</v>
      </c>
      <c r="W97" s="106">
        <v>480329</v>
      </c>
      <c r="X97" s="106">
        <v>25.154278640001841</v>
      </c>
      <c r="Y97" s="14">
        <v>43798</v>
      </c>
      <c r="AA97" s="106">
        <v>2388</v>
      </c>
      <c r="AB97" s="106">
        <v>3077.5708154506437</v>
      </c>
    </row>
    <row r="98" spans="1:28" x14ac:dyDescent="0.2">
      <c r="A98" s="14">
        <v>43797</v>
      </c>
      <c r="B98" s="106">
        <v>2416</v>
      </c>
      <c r="C98" s="106">
        <v>2384</v>
      </c>
      <c r="D98" s="106">
        <v>2003</v>
      </c>
      <c r="E98" s="106">
        <v>2003</v>
      </c>
      <c r="F98" s="106">
        <v>1.1902146779830201</v>
      </c>
      <c r="G98" s="106">
        <v>1.6113575467397201</v>
      </c>
      <c r="H98" s="106">
        <v>0.15714006156923099</v>
      </c>
      <c r="I98" s="106">
        <v>-2.68004775199323</v>
      </c>
      <c r="J98" s="106">
        <v>-35.380000000000003</v>
      </c>
      <c r="K98" s="106">
        <v>0.64083404901418595</v>
      </c>
      <c r="L98" s="106">
        <v>0.70315331885268395</v>
      </c>
      <c r="M98" s="106">
        <v>0.85119929449781595</v>
      </c>
      <c r="N98" s="106">
        <v>5.0773781629055003E-3</v>
      </c>
      <c r="P98" s="106">
        <v>1.7684976083089512</v>
      </c>
      <c r="Q98" s="106">
        <v>1.454217485170489</v>
      </c>
      <c r="R98" s="106">
        <v>1.9256376698781821</v>
      </c>
      <c r="S98" s="106">
        <v>1.2970774236012581</v>
      </c>
      <c r="U98" s="106">
        <v>18030</v>
      </c>
      <c r="V98" s="106">
        <v>463899</v>
      </c>
      <c r="W98" s="106">
        <v>481929</v>
      </c>
      <c r="X98" s="106">
        <v>25.238068804293405</v>
      </c>
      <c r="Y98" s="14">
        <v>43797</v>
      </c>
      <c r="AA98" s="106">
        <v>2384</v>
      </c>
      <c r="AB98" s="106">
        <v>3077.5708154506437</v>
      </c>
    </row>
    <row r="99" spans="1:28" x14ac:dyDescent="0.2">
      <c r="A99" s="14">
        <v>43796</v>
      </c>
      <c r="B99" s="106">
        <v>2370</v>
      </c>
      <c r="C99" s="106">
        <v>2381</v>
      </c>
      <c r="D99" s="106">
        <v>2002</v>
      </c>
      <c r="E99" s="106">
        <v>2003</v>
      </c>
      <c r="F99" s="106">
        <v>1.18871692461308</v>
      </c>
      <c r="G99" s="106">
        <v>1.6158755492921899</v>
      </c>
      <c r="H99" s="106">
        <v>0.14965982600795499</v>
      </c>
      <c r="I99" s="106">
        <v>-2.8541969884183298</v>
      </c>
      <c r="J99" s="106">
        <v>-35.93</v>
      </c>
      <c r="K99" s="106">
        <v>0.63274931349497998</v>
      </c>
      <c r="L99" s="106">
        <v>0.89781749108126396</v>
      </c>
      <c r="M99" s="106">
        <v>0.86136456661970495</v>
      </c>
      <c r="N99" s="106">
        <v>1.05603481144976E-3</v>
      </c>
      <c r="P99" s="106">
        <v>1.7655353753001448</v>
      </c>
      <c r="Q99" s="106">
        <v>1.466215723284235</v>
      </c>
      <c r="R99" s="106">
        <v>1.9151952013080999</v>
      </c>
      <c r="S99" s="106">
        <v>1.3165558972762799</v>
      </c>
      <c r="U99" s="106">
        <v>19230</v>
      </c>
      <c r="V99" s="106">
        <v>463899</v>
      </c>
      <c r="W99" s="106">
        <v>483129</v>
      </c>
      <c r="X99" s="106">
        <v>25.30091142751208</v>
      </c>
      <c r="Y99" s="14">
        <v>43796</v>
      </c>
      <c r="AA99" s="106">
        <v>2381</v>
      </c>
      <c r="AB99" s="106">
        <v>3077.5708154506437</v>
      </c>
    </row>
    <row r="100" spans="1:28" x14ac:dyDescent="0.2">
      <c r="A100" s="14">
        <v>43795</v>
      </c>
      <c r="B100" s="106">
        <v>2385</v>
      </c>
      <c r="C100" s="106">
        <v>2356</v>
      </c>
      <c r="D100" s="106">
        <v>2002</v>
      </c>
      <c r="E100" s="106">
        <v>2002</v>
      </c>
      <c r="F100" s="106">
        <v>1.1768231768231701</v>
      </c>
      <c r="G100" s="106">
        <v>1.6200977936665899</v>
      </c>
      <c r="H100" s="106">
        <v>0.14181026422620599</v>
      </c>
      <c r="I100" s="106">
        <v>-3.12582886198091</v>
      </c>
      <c r="J100" s="106">
        <v>-37.67</v>
      </c>
      <c r="K100" s="106">
        <v>0.63055117897013702</v>
      </c>
      <c r="L100" s="106">
        <v>0.63217962823345497</v>
      </c>
      <c r="M100" s="106">
        <v>0.87320268162803205</v>
      </c>
      <c r="N100" s="15">
        <v>5.3805100395259899E-4</v>
      </c>
      <c r="P100" s="106">
        <v>1.7619080578927959</v>
      </c>
      <c r="Q100" s="106">
        <v>1.4782875294403839</v>
      </c>
      <c r="R100" s="106">
        <v>1.9037183221190019</v>
      </c>
      <c r="S100" s="106">
        <v>1.3364772652141779</v>
      </c>
      <c r="U100" s="106">
        <v>29230</v>
      </c>
      <c r="V100" s="106">
        <v>463199</v>
      </c>
      <c r="W100" s="106">
        <v>492429</v>
      </c>
      <c r="X100" s="106">
        <v>25.7879417574568</v>
      </c>
      <c r="Y100" s="14">
        <v>43795</v>
      </c>
      <c r="AA100" s="106">
        <v>2356</v>
      </c>
      <c r="AB100" s="106">
        <v>3076.0343347639482</v>
      </c>
    </row>
    <row r="101" spans="1:28" x14ac:dyDescent="0.2">
      <c r="A101" s="14">
        <v>43794</v>
      </c>
      <c r="B101" s="106">
        <v>2371</v>
      </c>
      <c r="C101" s="106">
        <v>2381</v>
      </c>
      <c r="D101" s="106">
        <v>2003</v>
      </c>
      <c r="E101" s="106">
        <v>2002</v>
      </c>
      <c r="F101" s="106">
        <v>1.18931068931068</v>
      </c>
      <c r="G101" s="106">
        <v>1.62502503017277</v>
      </c>
      <c r="H101" s="106">
        <v>0.132432851289466</v>
      </c>
      <c r="I101" s="106">
        <v>-3.2900774741285299</v>
      </c>
      <c r="J101" s="106">
        <v>-36.64</v>
      </c>
      <c r="K101" s="106">
        <v>0.62666322145314401</v>
      </c>
      <c r="L101" s="106">
        <v>0.52980019056192096</v>
      </c>
      <c r="M101" s="106">
        <v>0.88458893480327205</v>
      </c>
      <c r="N101" s="15">
        <v>4.1426690755383203E-5</v>
      </c>
      <c r="P101" s="106">
        <v>1.7574578814622359</v>
      </c>
      <c r="Q101" s="106">
        <v>1.4925921788833041</v>
      </c>
      <c r="R101" s="106">
        <v>1.8898907327517021</v>
      </c>
      <c r="S101" s="106">
        <v>1.360159327593838</v>
      </c>
      <c r="U101" s="106">
        <v>19230</v>
      </c>
      <c r="V101" s="106">
        <v>463199</v>
      </c>
      <c r="W101" s="106">
        <v>482429</v>
      </c>
      <c r="X101" s="106">
        <v>25.26425323063452</v>
      </c>
      <c r="Y101" s="14">
        <v>43794</v>
      </c>
      <c r="AA101" s="106">
        <v>2381</v>
      </c>
      <c r="AB101" s="106">
        <v>3076.0343347639482</v>
      </c>
    </row>
    <row r="102" spans="1:28" x14ac:dyDescent="0.2">
      <c r="A102" s="14">
        <v>43791</v>
      </c>
      <c r="B102" s="106">
        <v>2370</v>
      </c>
      <c r="C102" s="106">
        <v>2362</v>
      </c>
      <c r="D102" s="106">
        <v>2004</v>
      </c>
      <c r="E102" s="106">
        <v>2002</v>
      </c>
      <c r="F102" s="106">
        <v>1.17982017982017</v>
      </c>
      <c r="G102" s="106">
        <v>1.6299723395246499</v>
      </c>
      <c r="H102" s="106">
        <v>0.122631346730698</v>
      </c>
      <c r="I102" s="106">
        <v>-3.67077563531143</v>
      </c>
      <c r="J102" s="106">
        <v>-38.15</v>
      </c>
      <c r="K102" s="106">
        <v>0.63457814340694396</v>
      </c>
      <c r="L102" s="106">
        <v>0.53064047994754104</v>
      </c>
      <c r="M102" s="106">
        <v>0.89688909279619899</v>
      </c>
      <c r="N102" s="15">
        <v>3.3036125513555898E-6</v>
      </c>
      <c r="P102" s="106">
        <v>1.752603686255348</v>
      </c>
      <c r="Q102" s="106">
        <v>1.5073409927939518</v>
      </c>
      <c r="R102" s="106">
        <v>1.8752350329860459</v>
      </c>
      <c r="S102" s="106">
        <v>1.384709646063254</v>
      </c>
      <c r="U102" s="106">
        <v>26830</v>
      </c>
      <c r="V102" s="106">
        <v>463199</v>
      </c>
      <c r="W102" s="106">
        <v>490029</v>
      </c>
      <c r="X102" s="106">
        <v>25.662256511019454</v>
      </c>
      <c r="Y102" s="14">
        <v>43791</v>
      </c>
      <c r="AA102" s="106">
        <v>2362</v>
      </c>
      <c r="AB102" s="106">
        <v>3076.0343347639482</v>
      </c>
    </row>
    <row r="103" spans="1:28" x14ac:dyDescent="0.2">
      <c r="A103" s="14">
        <v>43790</v>
      </c>
      <c r="B103" s="106">
        <v>2356</v>
      </c>
      <c r="C103" s="106">
        <v>2367</v>
      </c>
      <c r="D103" s="106">
        <v>2002</v>
      </c>
      <c r="E103" s="106">
        <v>2004</v>
      </c>
      <c r="F103" s="106">
        <v>1.1811377245508901</v>
      </c>
      <c r="G103" s="106">
        <v>1.6363055374504101</v>
      </c>
      <c r="H103" s="106">
        <v>0.11092671929836399</v>
      </c>
      <c r="I103" s="106">
        <v>-4.1033198834198901</v>
      </c>
      <c r="J103" s="106">
        <v>-38.54</v>
      </c>
      <c r="K103" s="106">
        <v>0.66795311407948699</v>
      </c>
      <c r="L103" s="15">
        <v>3.3056013451990503E-2</v>
      </c>
      <c r="M103" s="106">
        <v>0.91066672562912199</v>
      </c>
      <c r="N103" s="15">
        <v>6.8537149933304297E-8</v>
      </c>
      <c r="P103" s="106">
        <v>1.7472322567487741</v>
      </c>
      <c r="Q103" s="106">
        <v>1.525378818152046</v>
      </c>
      <c r="R103" s="106">
        <v>1.858158976047138</v>
      </c>
      <c r="S103" s="106">
        <v>1.4144520988536822</v>
      </c>
      <c r="U103" s="106">
        <v>24830</v>
      </c>
      <c r="V103" s="106">
        <v>464599</v>
      </c>
      <c r="W103" s="106">
        <v>489429</v>
      </c>
      <c r="X103" s="106">
        <v>25.630835199410118</v>
      </c>
      <c r="Y103" s="14">
        <v>43790</v>
      </c>
      <c r="AA103" s="106">
        <v>2367</v>
      </c>
      <c r="AB103" s="106">
        <v>3079.1072961373388</v>
      </c>
    </row>
    <row r="104" spans="1:28" x14ac:dyDescent="0.2">
      <c r="A104" s="14">
        <v>43789</v>
      </c>
      <c r="B104" s="106">
        <v>2375</v>
      </c>
      <c r="C104" s="106">
        <v>2365</v>
      </c>
      <c r="D104" s="106">
        <v>2004</v>
      </c>
      <c r="E104" s="106">
        <v>2002</v>
      </c>
      <c r="F104" s="106">
        <v>1.18131868131868</v>
      </c>
      <c r="G104" s="106">
        <v>1.64283674342972</v>
      </c>
      <c r="H104" s="106">
        <v>9.7548653430837198E-2</v>
      </c>
      <c r="I104" s="106">
        <v>-4.7311576928969501</v>
      </c>
      <c r="J104" s="106">
        <v>-39.07</v>
      </c>
      <c r="K104" s="106">
        <v>0.83466977721504299</v>
      </c>
      <c r="L104" s="15">
        <v>4.2245768211545402E-5</v>
      </c>
      <c r="M104" s="106">
        <v>0.92520762641556498</v>
      </c>
      <c r="N104" s="106">
        <v>2.49398257284505E-2</v>
      </c>
      <c r="P104" s="106">
        <v>1.7403853968605572</v>
      </c>
      <c r="Q104" s="106">
        <v>1.5452880899988828</v>
      </c>
      <c r="R104" s="106">
        <v>1.8379340502913943</v>
      </c>
      <c r="S104" s="106">
        <v>1.4477394365680456</v>
      </c>
      <c r="U104" s="106">
        <v>25630</v>
      </c>
      <c r="V104" s="106">
        <v>463199</v>
      </c>
      <c r="W104" s="106">
        <v>488829</v>
      </c>
      <c r="X104" s="106">
        <v>25.599413887800782</v>
      </c>
      <c r="Y104" s="14">
        <v>43789</v>
      </c>
      <c r="AA104" s="106">
        <v>2365</v>
      </c>
      <c r="AB104" s="106">
        <v>3076.0343347639482</v>
      </c>
    </row>
    <row r="105" spans="1:28" x14ac:dyDescent="0.2">
      <c r="A105" s="14">
        <v>43788</v>
      </c>
      <c r="B105" s="106">
        <v>2378</v>
      </c>
      <c r="C105" s="106">
        <v>2411</v>
      </c>
      <c r="D105" s="106">
        <v>1638</v>
      </c>
      <c r="E105" s="106">
        <v>1638</v>
      </c>
      <c r="F105" s="106">
        <v>1.47191697191697</v>
      </c>
      <c r="G105" s="106">
        <v>1.64902200359728</v>
      </c>
      <c r="H105" s="106">
        <v>8.1471295687436204E-2</v>
      </c>
      <c r="I105" s="106">
        <v>-2.1738334978711502</v>
      </c>
      <c r="J105" s="106">
        <v>-12.03</v>
      </c>
      <c r="K105" s="106">
        <v>0.92040260375345195</v>
      </c>
      <c r="L105" s="106">
        <v>0.34681633482505497</v>
      </c>
      <c r="M105" s="106">
        <v>0.92609362555528796</v>
      </c>
      <c r="N105" s="106">
        <v>5.6924644763563799E-2</v>
      </c>
      <c r="P105" s="106">
        <v>1.7304932992847162</v>
      </c>
      <c r="Q105" s="106">
        <v>1.5675507079098439</v>
      </c>
      <c r="R105" s="106">
        <v>1.8119645949721523</v>
      </c>
      <c r="S105" s="106">
        <v>1.4860794122224077</v>
      </c>
      <c r="U105" s="106">
        <v>7230</v>
      </c>
      <c r="V105" s="106">
        <v>208399</v>
      </c>
      <c r="W105" s="106">
        <v>215629</v>
      </c>
      <c r="X105" s="106">
        <v>11.292243335016119</v>
      </c>
      <c r="Y105" s="14">
        <v>43788</v>
      </c>
      <c r="AA105" s="106">
        <v>2411</v>
      </c>
      <c r="AB105" s="106">
        <v>2516.755364806867</v>
      </c>
    </row>
    <row r="106" spans="1:28" x14ac:dyDescent="0.2">
      <c r="A106" s="14">
        <v>43787</v>
      </c>
      <c r="B106" s="106">
        <v>2366</v>
      </c>
      <c r="C106" s="106">
        <v>2377</v>
      </c>
      <c r="D106" s="106">
        <v>1322</v>
      </c>
      <c r="E106" s="106">
        <v>1338</v>
      </c>
      <c r="F106" s="106">
        <v>1.77653213751868</v>
      </c>
      <c r="G106" s="106">
        <v>1.6521030440826501</v>
      </c>
      <c r="H106" s="106">
        <v>7.9048747304520606E-2</v>
      </c>
      <c r="I106" s="106">
        <v>1.57408052219589</v>
      </c>
      <c r="J106" s="106">
        <v>7</v>
      </c>
      <c r="K106" s="106">
        <v>0.91819505286817105</v>
      </c>
      <c r="L106" s="106">
        <v>0.266691139746353</v>
      </c>
      <c r="M106" s="106">
        <v>0.92729290130500497</v>
      </c>
      <c r="N106" s="106">
        <v>4.8815829421211702E-2</v>
      </c>
      <c r="P106" s="106">
        <v>1.7311517913871706</v>
      </c>
      <c r="Q106" s="106">
        <v>1.5730542967781296</v>
      </c>
      <c r="R106" s="106">
        <v>1.8102005386916913</v>
      </c>
      <c r="S106" s="106">
        <v>1.4940055494736089</v>
      </c>
      <c r="U106" s="106">
        <v>20830</v>
      </c>
      <c r="V106" s="106">
        <v>-1600.9999999999936</v>
      </c>
      <c r="W106" s="106">
        <v>19229.000000000007</v>
      </c>
      <c r="X106" s="106">
        <v>1.0070006682265606</v>
      </c>
      <c r="Y106" s="14">
        <v>43787</v>
      </c>
      <c r="AA106" s="106">
        <v>2377</v>
      </c>
      <c r="AB106" s="106">
        <v>2055.811158798283</v>
      </c>
    </row>
    <row r="107" spans="1:28" x14ac:dyDescent="0.2">
      <c r="A107" s="14">
        <v>43784</v>
      </c>
      <c r="B107" s="106">
        <v>2359</v>
      </c>
      <c r="C107" s="106">
        <v>2373</v>
      </c>
      <c r="D107" s="106">
        <v>1307</v>
      </c>
      <c r="E107" s="106">
        <v>1313</v>
      </c>
      <c r="F107" s="106">
        <v>1.8073115003808</v>
      </c>
      <c r="G107" s="106">
        <v>1.65132503982482</v>
      </c>
      <c r="H107" s="106">
        <v>7.8101749197423395E-2</v>
      </c>
      <c r="I107" s="106">
        <v>1.99722108862991</v>
      </c>
      <c r="J107" s="106">
        <v>8.6300000000000008</v>
      </c>
      <c r="K107" s="106">
        <v>0.91904056149805302</v>
      </c>
      <c r="L107" s="106">
        <v>0.16096081712191901</v>
      </c>
      <c r="M107" s="106">
        <v>0.92955027563043902</v>
      </c>
      <c r="N107" s="106">
        <v>3.52454191924058E-2</v>
      </c>
      <c r="P107" s="106">
        <v>1.7294267890222434</v>
      </c>
      <c r="Q107" s="106">
        <v>1.5732232906273966</v>
      </c>
      <c r="R107" s="106">
        <v>1.8075285382196669</v>
      </c>
      <c r="S107" s="106">
        <v>1.4951215414299732</v>
      </c>
      <c r="U107" s="106">
        <v>22430</v>
      </c>
      <c r="V107" s="106">
        <v>-19100.999999999993</v>
      </c>
      <c r="W107" s="106">
        <v>3329.0000000000073</v>
      </c>
      <c r="X107" s="106">
        <v>0.17433591057913705</v>
      </c>
      <c r="Y107" s="14">
        <v>43784</v>
      </c>
      <c r="AA107" s="106">
        <v>2373</v>
      </c>
      <c r="AB107" s="106">
        <v>2017.3991416309013</v>
      </c>
    </row>
    <row r="108" spans="1:28" x14ac:dyDescent="0.2">
      <c r="A108" s="14">
        <v>43783</v>
      </c>
      <c r="B108" s="106">
        <v>2410</v>
      </c>
      <c r="C108" s="106">
        <v>2348</v>
      </c>
      <c r="D108" s="106">
        <v>1315</v>
      </c>
      <c r="E108" s="106">
        <v>1308</v>
      </c>
      <c r="F108" s="106">
        <v>1.7951070336391399</v>
      </c>
      <c r="G108" s="106">
        <v>1.6505030830181999</v>
      </c>
      <c r="H108" s="106">
        <v>7.6768810874681195E-2</v>
      </c>
      <c r="I108" s="106">
        <v>1.8836288978995399</v>
      </c>
      <c r="J108" s="106">
        <v>8.06</v>
      </c>
      <c r="K108" s="106">
        <v>0.92040347315153204</v>
      </c>
      <c r="L108" s="106">
        <v>0.15498781416806801</v>
      </c>
      <c r="M108" s="106">
        <v>0.93139851671183005</v>
      </c>
      <c r="N108" s="106">
        <v>1.8858537837519899E-2</v>
      </c>
      <c r="P108" s="106">
        <v>1.727271893892881</v>
      </c>
      <c r="Q108" s="106">
        <v>1.5737342721435188</v>
      </c>
      <c r="R108" s="106">
        <v>1.8040407047675624</v>
      </c>
      <c r="S108" s="106">
        <v>1.4969654612688374</v>
      </c>
      <c r="U108" s="106">
        <v>32430</v>
      </c>
      <c r="V108" s="106">
        <v>-22600.999999999993</v>
      </c>
      <c r="W108" s="106">
        <v>9829.0000000000073</v>
      </c>
      <c r="X108" s="106">
        <v>0.51473345301361839</v>
      </c>
      <c r="Y108" s="14">
        <v>43783</v>
      </c>
      <c r="AA108" s="106">
        <v>2348</v>
      </c>
      <c r="AB108" s="106">
        <v>2009.7167381974248</v>
      </c>
    </row>
    <row r="109" spans="1:28" x14ac:dyDescent="0.2">
      <c r="A109" s="14">
        <v>43782</v>
      </c>
      <c r="B109" s="106">
        <v>2431</v>
      </c>
      <c r="C109" s="106">
        <v>2407</v>
      </c>
      <c r="D109" s="106">
        <v>1338</v>
      </c>
      <c r="E109" s="106">
        <v>1319</v>
      </c>
      <c r="F109" s="106">
        <v>1.8248673237300901</v>
      </c>
      <c r="G109" s="106">
        <v>1.6498345418090601</v>
      </c>
      <c r="H109" s="106">
        <v>7.5717745785895296E-2</v>
      </c>
      <c r="I109" s="106">
        <v>2.3116480833432602</v>
      </c>
      <c r="J109" s="106">
        <v>9.59</v>
      </c>
      <c r="K109" s="106">
        <v>0.92117488934413905</v>
      </c>
      <c r="L109" s="15">
        <v>0.18623606695673101</v>
      </c>
      <c r="M109" s="106">
        <v>0.93417733341077902</v>
      </c>
      <c r="N109" s="106">
        <v>1.0371896893496199E-2</v>
      </c>
      <c r="P109" s="106">
        <v>1.7255522875949554</v>
      </c>
      <c r="Q109" s="106">
        <v>1.5741167960231648</v>
      </c>
      <c r="R109" s="106">
        <v>1.8012700333808507</v>
      </c>
      <c r="S109" s="106">
        <v>1.4983990502372695</v>
      </c>
      <c r="U109" s="106">
        <v>8830</v>
      </c>
      <c r="V109" s="106">
        <v>-14900.999999999993</v>
      </c>
      <c r="W109" s="106">
        <v>-6070.9999999999927</v>
      </c>
      <c r="X109" s="106">
        <v>-0.3179313046338052</v>
      </c>
      <c r="Y109" s="14">
        <v>43782</v>
      </c>
      <c r="AA109" s="106">
        <v>2407</v>
      </c>
      <c r="AB109" s="106">
        <v>2026.618025751073</v>
      </c>
    </row>
    <row r="110" spans="1:28" x14ac:dyDescent="0.2">
      <c r="A110" s="14">
        <v>43781</v>
      </c>
      <c r="B110" s="106">
        <v>2382</v>
      </c>
      <c r="C110" s="106">
        <v>2442</v>
      </c>
      <c r="D110" s="106">
        <v>1343</v>
      </c>
      <c r="E110" s="106">
        <v>1338</v>
      </c>
      <c r="F110" s="106">
        <v>1.8251121076233101</v>
      </c>
      <c r="G110" s="106">
        <v>1.6489004670323999</v>
      </c>
      <c r="H110" s="106">
        <v>7.3964547551363904E-2</v>
      </c>
      <c r="I110" s="106">
        <v>2.3823797538752101</v>
      </c>
      <c r="J110" s="106">
        <v>9.65</v>
      </c>
      <c r="K110" s="106">
        <v>0.91898532408466704</v>
      </c>
      <c r="L110" s="106">
        <v>0.43277596584070299</v>
      </c>
      <c r="M110" s="106">
        <v>0.93708788373724194</v>
      </c>
      <c r="N110" s="106">
        <v>2.9461495566031101E-2</v>
      </c>
      <c r="P110" s="106">
        <v>1.7228650145837638</v>
      </c>
      <c r="Q110" s="106">
        <v>1.574935919481036</v>
      </c>
      <c r="R110" s="106">
        <v>1.7968295621351278</v>
      </c>
      <c r="S110" s="106">
        <v>1.500971371929672</v>
      </c>
      <c r="U110" s="106">
        <v>-5170</v>
      </c>
      <c r="V110" s="106">
        <v>-1600.9999999999936</v>
      </c>
      <c r="W110" s="106">
        <v>-6770.9999999999936</v>
      </c>
      <c r="X110" s="106">
        <v>-0.35458950151136476</v>
      </c>
      <c r="Y110" s="14">
        <v>43781</v>
      </c>
      <c r="AA110" s="106">
        <v>2442</v>
      </c>
      <c r="AB110" s="106">
        <v>2055.811158798283</v>
      </c>
    </row>
    <row r="111" spans="1:28" x14ac:dyDescent="0.2">
      <c r="A111" s="14">
        <v>43780</v>
      </c>
      <c r="B111" s="106">
        <v>2391</v>
      </c>
      <c r="C111" s="106">
        <v>2377</v>
      </c>
      <c r="D111" s="106">
        <v>1350</v>
      </c>
      <c r="E111" s="106">
        <v>1349</v>
      </c>
      <c r="F111" s="106">
        <v>1.76204595997034</v>
      </c>
      <c r="G111" s="106">
        <v>1.64804586491946</v>
      </c>
      <c r="H111" s="106">
        <v>7.2274602225239404E-2</v>
      </c>
      <c r="I111" s="106">
        <v>1.57731888576306</v>
      </c>
      <c r="J111" s="106">
        <v>6.47</v>
      </c>
      <c r="K111" s="106">
        <v>0.91185176368440202</v>
      </c>
      <c r="L111" s="106">
        <v>0.39237828695551003</v>
      </c>
      <c r="M111" s="106">
        <v>0.93890551100639796</v>
      </c>
      <c r="N111" s="106">
        <v>2.11381113579143E-2</v>
      </c>
      <c r="P111" s="106">
        <v>1.7203204671446994</v>
      </c>
      <c r="Q111" s="106">
        <v>1.5757712626942206</v>
      </c>
      <c r="R111" s="106">
        <v>1.7925950693699388</v>
      </c>
      <c r="S111" s="106">
        <v>1.5034966604689812</v>
      </c>
      <c r="Y111" s="14"/>
      <c r="AA111" s="106">
        <v>2377</v>
      </c>
      <c r="AB111" s="106">
        <v>2072.7124463519312</v>
      </c>
    </row>
    <row r="112" spans="1:28" x14ac:dyDescent="0.2">
      <c r="A112" s="14">
        <v>43777</v>
      </c>
      <c r="B112" s="106">
        <v>2367</v>
      </c>
      <c r="C112" s="106">
        <v>2391</v>
      </c>
      <c r="D112" s="106">
        <v>1342</v>
      </c>
      <c r="E112" s="106">
        <v>1341</v>
      </c>
      <c r="F112" s="106">
        <v>1.7829977628635301</v>
      </c>
      <c r="G112" s="106">
        <v>1.6481661031836901</v>
      </c>
      <c r="H112" s="106">
        <v>7.2471389594039301E-2</v>
      </c>
      <c r="I112" s="106">
        <v>1.8604812248685501</v>
      </c>
      <c r="J112" s="106">
        <v>7.56</v>
      </c>
      <c r="K112" s="106">
        <v>0.90097889598992198</v>
      </c>
      <c r="L112" s="106">
        <v>0.56341811114986595</v>
      </c>
      <c r="M112" s="106">
        <v>0.94084610676227298</v>
      </c>
      <c r="N112" s="106">
        <v>3.1507388152304701E-2</v>
      </c>
      <c r="P112" s="106">
        <v>1.7206374927777293</v>
      </c>
      <c r="Q112" s="106">
        <v>1.5756947135896509</v>
      </c>
      <c r="R112" s="106">
        <v>1.7931088823717687</v>
      </c>
      <c r="S112" s="106">
        <v>1.5032233239956114</v>
      </c>
      <c r="Y112" s="14"/>
      <c r="AA112" s="106">
        <v>2391</v>
      </c>
      <c r="AB112" s="106">
        <v>2060.4206008583692</v>
      </c>
    </row>
    <row r="113" spans="1:28" x14ac:dyDescent="0.2">
      <c r="A113" s="14">
        <v>43776</v>
      </c>
      <c r="B113" s="106">
        <v>2306</v>
      </c>
      <c r="C113" s="106">
        <v>2348</v>
      </c>
      <c r="D113" s="106">
        <v>1325</v>
      </c>
      <c r="E113" s="106">
        <v>1330</v>
      </c>
      <c r="F113" s="106">
        <v>1.76541353383458</v>
      </c>
      <c r="G113" s="106">
        <v>1.6481543737529101</v>
      </c>
      <c r="H113" s="106">
        <v>7.2449634183624406E-2</v>
      </c>
      <c r="I113" s="106">
        <v>1.61849209320332</v>
      </c>
      <c r="J113" s="106">
        <v>6.64</v>
      </c>
      <c r="K113" s="106">
        <v>0.89103658665391605</v>
      </c>
      <c r="L113" s="15">
        <v>0.54942997945438099</v>
      </c>
      <c r="M113" s="106">
        <v>0.94241921855767097</v>
      </c>
      <c r="N113" s="106">
        <v>4.3626651784565103E-2</v>
      </c>
      <c r="P113" s="106">
        <v>1.7206040079365346</v>
      </c>
      <c r="Q113" s="106">
        <v>1.5757047395692856</v>
      </c>
      <c r="R113" s="106">
        <v>1.7930536421201588</v>
      </c>
      <c r="S113" s="106">
        <v>1.5032551053856613</v>
      </c>
      <c r="Y113" s="14"/>
      <c r="AA113" s="106">
        <v>2348</v>
      </c>
      <c r="AB113" s="106">
        <v>2043.519313304721</v>
      </c>
    </row>
    <row r="114" spans="1:28" x14ac:dyDescent="0.2">
      <c r="A114" s="14">
        <v>43775</v>
      </c>
      <c r="B114" s="106">
        <v>2328</v>
      </c>
      <c r="C114" s="106">
        <v>2306</v>
      </c>
      <c r="D114" s="106">
        <v>1334</v>
      </c>
      <c r="E114" s="106">
        <v>1329</v>
      </c>
      <c r="F114" s="106">
        <v>1.73513920240782</v>
      </c>
      <c r="G114" s="106">
        <v>1.6485114836608501</v>
      </c>
      <c r="H114" s="106">
        <v>7.3089912731188297E-2</v>
      </c>
      <c r="I114" s="106">
        <v>1.18522126391881</v>
      </c>
      <c r="J114" s="106">
        <v>4.99</v>
      </c>
      <c r="K114" s="106">
        <v>0.87927501652817897</v>
      </c>
      <c r="L114" s="106">
        <v>0.57318810686918698</v>
      </c>
      <c r="M114" s="106">
        <v>0.94335176180984004</v>
      </c>
      <c r="N114" s="106">
        <v>5.36758877363284E-2</v>
      </c>
      <c r="P114" s="106">
        <v>1.7216013963920385</v>
      </c>
      <c r="Q114" s="106">
        <v>1.5754215709296617</v>
      </c>
      <c r="R114" s="106">
        <v>1.7946913091232266</v>
      </c>
      <c r="S114" s="106">
        <v>1.5023316581984736</v>
      </c>
      <c r="Y114" s="14"/>
      <c r="AA114" s="106">
        <v>2306</v>
      </c>
      <c r="AB114" s="106">
        <v>2041.9828326180257</v>
      </c>
    </row>
    <row r="115" spans="1:28" x14ac:dyDescent="0.2">
      <c r="A115" s="14">
        <v>43774</v>
      </c>
      <c r="B115" s="106">
        <v>2307</v>
      </c>
      <c r="C115" s="106">
        <v>2287</v>
      </c>
      <c r="D115" s="106">
        <v>1326</v>
      </c>
      <c r="E115" s="106">
        <v>1327</v>
      </c>
      <c r="F115" s="106">
        <v>1.7234363225320199</v>
      </c>
      <c r="G115" s="106">
        <v>1.64890503969331</v>
      </c>
      <c r="H115" s="106">
        <v>7.36327553170954E-2</v>
      </c>
      <c r="I115" s="106">
        <v>1.0122028235633</v>
      </c>
      <c r="J115" s="106">
        <v>4.32</v>
      </c>
      <c r="K115" s="106">
        <v>0.85987604240138305</v>
      </c>
      <c r="L115" s="106">
        <v>0.77566185025558299</v>
      </c>
      <c r="M115" s="106">
        <v>0.94406359064184198</v>
      </c>
      <c r="N115" s="106">
        <v>5.7741797678943101E-2</v>
      </c>
      <c r="P115" s="106">
        <v>1.7225377950104055</v>
      </c>
      <c r="Q115" s="106">
        <v>1.5752722843762146</v>
      </c>
      <c r="R115" s="106">
        <v>1.7961705503275009</v>
      </c>
      <c r="S115" s="106">
        <v>1.5016395290591191</v>
      </c>
      <c r="Y115" s="14"/>
      <c r="AA115" s="106">
        <v>2287</v>
      </c>
      <c r="AB115" s="106">
        <v>2038.909871244635</v>
      </c>
    </row>
    <row r="116" spans="1:28" x14ac:dyDescent="0.2">
      <c r="A116" s="14">
        <v>43770</v>
      </c>
      <c r="B116" s="106">
        <v>2256</v>
      </c>
      <c r="C116" s="106">
        <v>2275</v>
      </c>
      <c r="D116" s="106">
        <v>1311</v>
      </c>
      <c r="E116" s="106">
        <v>1314</v>
      </c>
      <c r="F116" s="106">
        <v>1.73135464231354</v>
      </c>
      <c r="G116" s="106">
        <v>1.64952500279045</v>
      </c>
      <c r="H116" s="106">
        <v>7.44488962938053E-2</v>
      </c>
      <c r="I116" s="106">
        <v>1.0991383834645301</v>
      </c>
      <c r="J116" s="106">
        <v>4.7300000000000004</v>
      </c>
      <c r="K116" s="106">
        <v>0.84060706031471399</v>
      </c>
      <c r="L116" s="106">
        <v>0.58971347673940799</v>
      </c>
      <c r="M116" s="106">
        <v>0.94449746504337895</v>
      </c>
      <c r="N116" s="106">
        <v>5.17032172069102E-2</v>
      </c>
      <c r="P116" s="106">
        <v>1.7239738990842552</v>
      </c>
      <c r="Q116" s="106">
        <v>1.5750761064966448</v>
      </c>
      <c r="R116" s="106">
        <v>1.7984227953780607</v>
      </c>
      <c r="S116" s="106">
        <v>1.5006272102028393</v>
      </c>
      <c r="Y116" s="14"/>
      <c r="AA116" s="106">
        <v>2275</v>
      </c>
      <c r="AB116" s="106">
        <v>2018.9356223175964</v>
      </c>
    </row>
    <row r="117" spans="1:28" x14ac:dyDescent="0.2">
      <c r="A117" s="14">
        <v>43769</v>
      </c>
      <c r="B117" s="106">
        <v>2247</v>
      </c>
      <c r="C117" s="106">
        <v>2269</v>
      </c>
      <c r="D117" s="106">
        <v>1318</v>
      </c>
      <c r="E117" s="106">
        <v>1302</v>
      </c>
      <c r="F117" s="106">
        <v>1.74270353302611</v>
      </c>
      <c r="G117" s="106">
        <v>1.6495362828562601</v>
      </c>
      <c r="H117" s="106">
        <v>7.4461356840679893E-2</v>
      </c>
      <c r="I117" s="106">
        <v>1.25121612233302</v>
      </c>
      <c r="J117" s="106">
        <v>5.35</v>
      </c>
      <c r="K117" s="106">
        <v>0.829025234987951</v>
      </c>
      <c r="L117" s="106">
        <v>0.53053221348836999</v>
      </c>
      <c r="M117" s="106">
        <v>0.94510849712130596</v>
      </c>
      <c r="N117" s="106">
        <v>7.2112348222999598E-2</v>
      </c>
      <c r="P117" s="106">
        <v>1.7239976396969401</v>
      </c>
      <c r="Q117" s="106">
        <v>1.5750749260155801</v>
      </c>
      <c r="R117" s="106">
        <v>1.7984589965376199</v>
      </c>
      <c r="S117" s="106">
        <v>1.5006135691749003</v>
      </c>
      <c r="Y117" s="14"/>
      <c r="AA117" s="106">
        <v>2269</v>
      </c>
      <c r="AB117" s="106">
        <v>2000.4978540772531</v>
      </c>
    </row>
    <row r="118" spans="1:28" x14ac:dyDescent="0.2">
      <c r="A118" s="14">
        <v>43768</v>
      </c>
      <c r="B118" s="106">
        <v>2225</v>
      </c>
      <c r="C118" s="106">
        <v>2239</v>
      </c>
      <c r="D118" s="106">
        <v>1309</v>
      </c>
      <c r="E118" s="106">
        <v>1323</v>
      </c>
      <c r="F118" s="106">
        <v>1.69236583522297</v>
      </c>
      <c r="G118" s="106">
        <v>1.6493129007990901</v>
      </c>
      <c r="H118" s="106">
        <v>7.4206215674732803E-2</v>
      </c>
      <c r="I118" s="106">
        <v>0.58017962555308999</v>
      </c>
      <c r="J118" s="106">
        <v>2.54</v>
      </c>
      <c r="K118" s="106">
        <v>0.81450036987035501</v>
      </c>
      <c r="L118" s="106">
        <v>0.52190123508139896</v>
      </c>
      <c r="M118" s="106">
        <v>0.94568888956911201</v>
      </c>
      <c r="N118" s="106">
        <v>4.2317309442036197E-2</v>
      </c>
      <c r="P118" s="106">
        <v>1.7235191164738228</v>
      </c>
      <c r="Q118" s="106">
        <v>1.5751066851243574</v>
      </c>
      <c r="R118" s="106">
        <v>1.7977253321485558</v>
      </c>
      <c r="S118" s="106">
        <v>1.5009004694496244</v>
      </c>
      <c r="Y118" s="14"/>
      <c r="AA118" s="106">
        <v>2239</v>
      </c>
      <c r="AB118" s="106">
        <v>2032.763948497854</v>
      </c>
    </row>
    <row r="119" spans="1:28" x14ac:dyDescent="0.2">
      <c r="A119" s="14">
        <v>43767</v>
      </c>
      <c r="B119" s="106">
        <v>2221</v>
      </c>
      <c r="C119" s="106">
        <v>2234</v>
      </c>
      <c r="D119" s="106">
        <v>1295</v>
      </c>
      <c r="E119" s="106">
        <v>1302</v>
      </c>
      <c r="F119" s="106">
        <v>1.7158218125960001</v>
      </c>
      <c r="G119" s="106">
        <v>1.6496701009182</v>
      </c>
      <c r="H119" s="106">
        <v>7.4476582049860199E-2</v>
      </c>
      <c r="I119" s="106">
        <v>0.88822163768893803</v>
      </c>
      <c r="J119" s="106">
        <v>3.86</v>
      </c>
      <c r="K119" s="106">
        <v>0.79938305017950695</v>
      </c>
      <c r="L119" s="106">
        <v>0.48819564988339198</v>
      </c>
      <c r="M119" s="106">
        <v>0.94592059039797904</v>
      </c>
      <c r="N119" s="106">
        <v>5.62994596299186E-2</v>
      </c>
      <c r="P119" s="106">
        <v>1.7241466829680603</v>
      </c>
      <c r="Q119" s="106">
        <v>1.5751935188683397</v>
      </c>
      <c r="R119" s="106">
        <v>1.7986232650179204</v>
      </c>
      <c r="S119" s="106">
        <v>1.5007169368184796</v>
      </c>
      <c r="Y119" s="14"/>
      <c r="AA119" s="106">
        <v>2234</v>
      </c>
      <c r="AB119" s="106">
        <v>2000.4978540772531</v>
      </c>
    </row>
    <row r="120" spans="1:28" x14ac:dyDescent="0.2">
      <c r="A120" s="14">
        <v>43766</v>
      </c>
      <c r="B120" s="106">
        <v>2244</v>
      </c>
      <c r="C120" s="106">
        <v>2227</v>
      </c>
      <c r="D120" s="106">
        <v>1295</v>
      </c>
      <c r="E120" s="106">
        <v>1295</v>
      </c>
      <c r="F120" s="106">
        <v>1.71969111969111</v>
      </c>
      <c r="G120" s="106">
        <v>1.6501096026281601</v>
      </c>
      <c r="H120" s="106">
        <v>7.4961342199520498E-2</v>
      </c>
      <c r="I120" s="106">
        <v>0.92823200627540503</v>
      </c>
      <c r="J120" s="106">
        <v>4.05</v>
      </c>
      <c r="K120" s="106">
        <v>0.77582029971456201</v>
      </c>
      <c r="L120" s="106">
        <v>0.44928783897583802</v>
      </c>
      <c r="M120" s="106">
        <v>0.94644536880414598</v>
      </c>
      <c r="N120" s="106">
        <v>2.3567842918253899E-2</v>
      </c>
      <c r="P120" s="106">
        <v>1.7250709448276806</v>
      </c>
      <c r="Q120" s="106">
        <v>1.5751482604286395</v>
      </c>
      <c r="R120" s="106">
        <v>1.800032287027201</v>
      </c>
      <c r="S120" s="106">
        <v>1.5001869182291192</v>
      </c>
      <c r="Y120" s="14"/>
      <c r="AA120" s="106">
        <v>2227</v>
      </c>
      <c r="AB120" s="106">
        <v>1989.7424892703862</v>
      </c>
    </row>
    <row r="121" spans="1:28" x14ac:dyDescent="0.2">
      <c r="A121" s="14">
        <v>43763</v>
      </c>
      <c r="B121" s="106">
        <v>2219</v>
      </c>
      <c r="C121" s="106">
        <v>2224</v>
      </c>
      <c r="D121" s="106">
        <v>1270</v>
      </c>
      <c r="E121" s="106">
        <v>1272</v>
      </c>
      <c r="F121" s="106">
        <v>1.74842767295597</v>
      </c>
      <c r="G121" s="106">
        <v>1.65045253454651</v>
      </c>
      <c r="H121" s="106">
        <v>7.5336769514335503E-2</v>
      </c>
      <c r="I121" s="106">
        <v>1.30049561510358</v>
      </c>
      <c r="J121" s="106">
        <v>5.6</v>
      </c>
      <c r="K121" s="106">
        <v>0.75669404235278603</v>
      </c>
      <c r="L121" s="106">
        <v>0.39725002191555298</v>
      </c>
      <c r="M121" s="106">
        <v>0.94658047804795398</v>
      </c>
      <c r="N121" s="106">
        <v>2.4305855701518098E-2</v>
      </c>
      <c r="P121" s="106">
        <v>1.7257893040608454</v>
      </c>
      <c r="Q121" s="106">
        <v>1.5751157650321745</v>
      </c>
      <c r="R121" s="106">
        <v>1.8011260735751811</v>
      </c>
      <c r="S121" s="106">
        <v>1.4997789955178389</v>
      </c>
      <c r="Y121" s="14"/>
      <c r="AA121" s="106">
        <v>2224</v>
      </c>
      <c r="AB121" s="106">
        <v>1954.4034334763949</v>
      </c>
    </row>
    <row r="122" spans="1:28" x14ac:dyDescent="0.2">
      <c r="A122" s="14">
        <v>43762</v>
      </c>
      <c r="B122" s="106">
        <v>2210</v>
      </c>
      <c r="C122" s="106">
        <v>2216</v>
      </c>
      <c r="D122" s="106">
        <v>1274</v>
      </c>
      <c r="E122" s="106">
        <v>1257</v>
      </c>
      <c r="F122" s="106">
        <v>1.7629276054097001</v>
      </c>
      <c r="G122" s="106">
        <v>1.65021953065313</v>
      </c>
      <c r="H122" s="106">
        <v>7.5059903968154998E-2</v>
      </c>
      <c r="I122" s="106">
        <v>1.5015749927470099</v>
      </c>
      <c r="J122" s="106">
        <v>6.39</v>
      </c>
      <c r="K122" s="106">
        <v>0.73938847020214604</v>
      </c>
      <c r="L122" s="106">
        <v>0.68341594519392301</v>
      </c>
      <c r="M122" s="106">
        <v>0.94671628985340694</v>
      </c>
      <c r="N122" s="106">
        <v>3.5611004288604801E-2</v>
      </c>
      <c r="P122" s="106">
        <v>1.725279434621285</v>
      </c>
      <c r="Q122" s="106">
        <v>1.575159626684975</v>
      </c>
      <c r="R122" s="106">
        <v>1.80033933858944</v>
      </c>
      <c r="S122" s="106">
        <v>1.50009972271682</v>
      </c>
      <c r="Y122" s="14"/>
      <c r="AA122" s="106">
        <v>2216</v>
      </c>
      <c r="AB122" s="106">
        <v>1931.3562231759656</v>
      </c>
    </row>
    <row r="123" spans="1:28" x14ac:dyDescent="0.2">
      <c r="A123" s="14">
        <v>43761</v>
      </c>
      <c r="B123" s="106">
        <v>2171</v>
      </c>
      <c r="C123" s="106">
        <v>2184</v>
      </c>
      <c r="D123" s="106">
        <v>1242</v>
      </c>
      <c r="E123" s="106">
        <v>1262</v>
      </c>
      <c r="F123" s="106">
        <v>1.7305863708399301</v>
      </c>
      <c r="G123" s="106">
        <v>1.64957862175101</v>
      </c>
      <c r="H123" s="106">
        <v>7.4296127214983396E-2</v>
      </c>
      <c r="I123" s="106">
        <v>1.0903360932194599</v>
      </c>
      <c r="J123" s="106">
        <v>4.68</v>
      </c>
      <c r="K123" s="106">
        <v>0.70968298207944602</v>
      </c>
      <c r="L123" s="106">
        <v>0.62520858151486902</v>
      </c>
      <c r="M123" s="106">
        <v>0.94742891189246403</v>
      </c>
      <c r="N123" s="106">
        <v>1.2502038791606799E-2</v>
      </c>
      <c r="P123" s="106">
        <v>1.7238747489659934</v>
      </c>
      <c r="Q123" s="106">
        <v>1.5752824945360266</v>
      </c>
      <c r="R123" s="106">
        <v>1.7981708761809767</v>
      </c>
      <c r="S123" s="106">
        <v>1.5009863673210433</v>
      </c>
      <c r="Y123" s="14"/>
      <c r="AA123" s="106">
        <v>2184</v>
      </c>
      <c r="AB123" s="106">
        <v>1939.038626609442</v>
      </c>
    </row>
    <row r="124" spans="1:28" x14ac:dyDescent="0.2">
      <c r="A124" s="14">
        <v>43759</v>
      </c>
      <c r="B124" s="106">
        <v>2143</v>
      </c>
      <c r="C124" s="106">
        <v>2149</v>
      </c>
      <c r="D124" s="106">
        <v>1233</v>
      </c>
      <c r="E124" s="106">
        <v>1229</v>
      </c>
      <c r="F124" s="106">
        <v>1.7485760781122801</v>
      </c>
      <c r="G124" s="106">
        <v>1.64927615063994</v>
      </c>
      <c r="H124" s="106">
        <v>7.4011348323114595E-2</v>
      </c>
      <c r="I124" s="106">
        <v>1.3416851566981101</v>
      </c>
      <c r="J124" s="106">
        <v>5.68</v>
      </c>
      <c r="K124" s="106">
        <v>0.67115626902554004</v>
      </c>
      <c r="L124" s="106">
        <v>0.79426547726722296</v>
      </c>
      <c r="M124" s="106">
        <v>0.94887008916076598</v>
      </c>
      <c r="N124" s="106">
        <v>1.06633668106744E-2</v>
      </c>
      <c r="P124" s="106">
        <v>1.7232874989630547</v>
      </c>
      <c r="Q124" s="106">
        <v>1.5752648023168254</v>
      </c>
      <c r="R124" s="106">
        <v>1.7972988472861693</v>
      </c>
      <c r="S124" s="106">
        <v>1.5012534539937108</v>
      </c>
      <c r="Y124" s="14"/>
      <c r="AA124" s="106">
        <v>2149</v>
      </c>
      <c r="AB124" s="106">
        <v>1888.3347639484978</v>
      </c>
    </row>
    <row r="125" spans="1:28" x14ac:dyDescent="0.2">
      <c r="A125" s="14">
        <v>43756</v>
      </c>
      <c r="B125" s="106">
        <v>2168</v>
      </c>
      <c r="C125" s="106">
        <v>2140</v>
      </c>
      <c r="D125" s="106">
        <v>1254</v>
      </c>
      <c r="E125" s="106">
        <v>1232</v>
      </c>
      <c r="F125" s="106">
        <v>1.73701298701298</v>
      </c>
      <c r="G125" s="106">
        <v>1.6489092841750801</v>
      </c>
      <c r="H125" s="106">
        <v>7.3585187287419696E-2</v>
      </c>
      <c r="I125" s="106">
        <v>1.1973021485122</v>
      </c>
      <c r="J125" s="106">
        <v>5.07</v>
      </c>
      <c r="K125" s="106">
        <v>0.64092099262846802</v>
      </c>
      <c r="L125" s="15">
        <v>0.88053537163584195</v>
      </c>
      <c r="M125" s="106">
        <v>0.94972905808521202</v>
      </c>
      <c r="N125" s="106">
        <v>1.0747764489719E-2</v>
      </c>
      <c r="P125" s="106">
        <v>1.7224944714624999</v>
      </c>
      <c r="Q125" s="106">
        <v>1.5753240968876603</v>
      </c>
      <c r="R125" s="106">
        <v>1.7960796587499195</v>
      </c>
      <c r="S125" s="106">
        <v>1.5017389096002407</v>
      </c>
      <c r="Y125" s="14"/>
      <c r="AA125" s="106">
        <v>2140</v>
      </c>
      <c r="AB125" s="106">
        <v>1892.9442060085837</v>
      </c>
    </row>
    <row r="126" spans="1:28" x14ac:dyDescent="0.2">
      <c r="A126" s="14">
        <v>43755</v>
      </c>
      <c r="B126" s="106">
        <v>2148</v>
      </c>
      <c r="C126" s="106">
        <v>2157</v>
      </c>
      <c r="D126" s="106">
        <v>1269</v>
      </c>
      <c r="E126" s="106">
        <v>1253</v>
      </c>
      <c r="F126" s="106">
        <v>1.72146847565841</v>
      </c>
      <c r="G126" s="106">
        <v>1.64882688879269</v>
      </c>
      <c r="H126" s="106">
        <v>7.3489887042245794E-2</v>
      </c>
      <c r="I126" s="106">
        <v>0.98845691277183001</v>
      </c>
      <c r="J126" s="106">
        <v>4.22</v>
      </c>
      <c r="K126" s="106">
        <v>0.58655923789943099</v>
      </c>
      <c r="L126" s="106">
        <v>0.924022828983739</v>
      </c>
      <c r="M126" s="106">
        <v>0.950552701068203</v>
      </c>
      <c r="N126" s="106">
        <v>1.35716185243809E-2</v>
      </c>
      <c r="P126" s="106">
        <v>1.7223167758349358</v>
      </c>
      <c r="Q126" s="106">
        <v>1.5753370017504442</v>
      </c>
      <c r="R126" s="106">
        <v>1.7958066628771816</v>
      </c>
      <c r="S126" s="106">
        <v>1.5018471147081984</v>
      </c>
      <c r="Y126" s="14"/>
      <c r="AA126" s="106">
        <v>2157</v>
      </c>
      <c r="AB126" s="106">
        <v>1925.2103004291846</v>
      </c>
    </row>
    <row r="127" spans="1:28" x14ac:dyDescent="0.2">
      <c r="A127" s="14">
        <v>43754</v>
      </c>
      <c r="B127" s="106">
        <v>2147</v>
      </c>
      <c r="C127" s="106">
        <v>2125</v>
      </c>
      <c r="D127" s="106">
        <v>1280</v>
      </c>
      <c r="E127" s="106">
        <v>1264</v>
      </c>
      <c r="F127" s="106">
        <v>1.68117088607594</v>
      </c>
      <c r="G127" s="106">
        <v>1.6489555802099101</v>
      </c>
      <c r="H127" s="106">
        <v>7.3625306414251995E-2</v>
      </c>
      <c r="I127" s="106">
        <v>0.43755751160851503</v>
      </c>
      <c r="J127" s="106">
        <v>1.92</v>
      </c>
      <c r="K127" s="106">
        <v>0.53327039965357803</v>
      </c>
      <c r="L127" s="106">
        <v>0.95688693405621805</v>
      </c>
      <c r="M127" s="106">
        <v>0.950706564764216</v>
      </c>
      <c r="N127" s="106">
        <v>2.2639556123761301E-2</v>
      </c>
      <c r="P127" s="106">
        <v>1.7225808866241621</v>
      </c>
      <c r="Q127" s="106">
        <v>1.575330273795658</v>
      </c>
      <c r="R127" s="106">
        <v>1.7962061930384141</v>
      </c>
      <c r="S127" s="106">
        <v>1.501704967381406</v>
      </c>
      <c r="Y127" s="14"/>
      <c r="AA127" s="106">
        <v>2125</v>
      </c>
      <c r="AB127" s="106">
        <v>1942.1115879828326</v>
      </c>
    </row>
    <row r="128" spans="1:28" x14ac:dyDescent="0.2">
      <c r="A128" s="14">
        <v>43753</v>
      </c>
      <c r="B128" s="106">
        <v>2121</v>
      </c>
      <c r="C128" s="106">
        <v>2108</v>
      </c>
      <c r="D128" s="106">
        <v>1259</v>
      </c>
      <c r="E128" s="106">
        <v>1264</v>
      </c>
      <c r="F128" s="106">
        <v>1.66772151898734</v>
      </c>
      <c r="G128" s="106">
        <v>1.6491236475103599</v>
      </c>
      <c r="H128" s="106">
        <v>7.3712988497730197E-2</v>
      </c>
      <c r="I128" s="106">
        <v>0.25230114605306397</v>
      </c>
      <c r="J128" s="106">
        <v>1.1200000000000001</v>
      </c>
      <c r="K128" s="106">
        <v>0.48710920249253897</v>
      </c>
      <c r="L128" s="106">
        <v>0.95066233094742703</v>
      </c>
      <c r="M128" s="106">
        <v>0.95101004510652898</v>
      </c>
      <c r="N128" s="106">
        <v>1.4232177314852001E-2</v>
      </c>
      <c r="P128" s="106">
        <v>1.72283663600809</v>
      </c>
      <c r="Q128" s="106">
        <v>1.5754106590126298</v>
      </c>
      <c r="R128" s="106">
        <v>1.7965496245058203</v>
      </c>
      <c r="S128" s="106">
        <v>1.5016976705148994</v>
      </c>
      <c r="Y128" s="14"/>
      <c r="AA128" s="106">
        <v>2108</v>
      </c>
      <c r="AB128" s="106">
        <v>1942.1115879828326</v>
      </c>
    </row>
    <row r="129" spans="1:28" x14ac:dyDescent="0.2">
      <c r="A129" s="14">
        <v>43749</v>
      </c>
      <c r="B129" s="106">
        <v>2025</v>
      </c>
      <c r="C129" s="106">
        <v>2050</v>
      </c>
      <c r="D129" s="106">
        <v>1228</v>
      </c>
      <c r="E129" s="106">
        <v>1244</v>
      </c>
      <c r="F129" s="106">
        <v>1.6479099678456499</v>
      </c>
      <c r="G129" s="106">
        <v>1.64930409607085</v>
      </c>
      <c r="H129" s="106">
        <v>7.3774834165042505E-2</v>
      </c>
      <c r="I129" s="106">
        <v>-1.88970702675956E-2</v>
      </c>
      <c r="J129" s="106">
        <v>-0.08</v>
      </c>
      <c r="K129" s="106">
        <v>0.46898497085579999</v>
      </c>
      <c r="L129" s="106">
        <v>0.961009835764428</v>
      </c>
      <c r="M129" s="106">
        <v>0.951728838930332</v>
      </c>
      <c r="N129" s="106">
        <v>1.33924821976052E-2</v>
      </c>
      <c r="P129" s="106">
        <v>1.7230789302358926</v>
      </c>
      <c r="Q129" s="106">
        <v>1.5755292619058074</v>
      </c>
      <c r="R129" s="106">
        <v>1.796853764400935</v>
      </c>
      <c r="S129" s="106">
        <v>1.5017544277407651</v>
      </c>
      <c r="Y129" s="14"/>
      <c r="AA129" s="106">
        <v>2050</v>
      </c>
      <c r="AB129" s="106">
        <v>1911.381974248927</v>
      </c>
    </row>
    <row r="130" spans="1:28" x14ac:dyDescent="0.2">
      <c r="A130" s="14">
        <v>43748</v>
      </c>
      <c r="B130" s="106">
        <v>2018</v>
      </c>
      <c r="C130" s="106">
        <v>2013</v>
      </c>
      <c r="D130" s="106">
        <v>1171</v>
      </c>
      <c r="E130" s="106">
        <v>1204</v>
      </c>
      <c r="F130" s="106">
        <v>1.671926910299</v>
      </c>
      <c r="G130" s="106">
        <v>1.64993157844517</v>
      </c>
      <c r="H130" s="106">
        <v>7.3960211600071601E-2</v>
      </c>
      <c r="I130" s="106">
        <v>0.29739411743126698</v>
      </c>
      <c r="J130" s="106">
        <v>1.32</v>
      </c>
      <c r="K130" s="106">
        <v>0.48585447872674398</v>
      </c>
      <c r="L130" s="106">
        <v>0.91121887440128602</v>
      </c>
      <c r="M130" s="106">
        <v>0.952085302434314</v>
      </c>
      <c r="N130" s="106">
        <v>1.0885049498819801E-2</v>
      </c>
      <c r="P130" s="106">
        <v>1.7238917900452417</v>
      </c>
      <c r="Q130" s="106">
        <v>1.5759713668450983</v>
      </c>
      <c r="R130" s="106">
        <v>1.7978520016453132</v>
      </c>
      <c r="S130" s="106">
        <v>1.5020111552450268</v>
      </c>
      <c r="Y130" s="14"/>
      <c r="AA130" s="106">
        <v>2013</v>
      </c>
      <c r="AB130" s="106">
        <v>1849.9227467811158</v>
      </c>
    </row>
    <row r="131" spans="1:28" x14ac:dyDescent="0.2">
      <c r="A131" s="14">
        <v>43747</v>
      </c>
      <c r="B131" s="106">
        <v>1968</v>
      </c>
      <c r="C131" s="106">
        <v>1995</v>
      </c>
      <c r="D131" s="106">
        <v>1179</v>
      </c>
      <c r="E131" s="106">
        <v>1171</v>
      </c>
      <c r="F131" s="106">
        <v>1.7036720751494401</v>
      </c>
      <c r="G131" s="106">
        <v>1.65040963906723</v>
      </c>
      <c r="H131" s="106">
        <v>7.4216273208127806E-2</v>
      </c>
      <c r="I131" s="106">
        <v>0.71766519362737102</v>
      </c>
      <c r="J131" s="106">
        <v>3.13</v>
      </c>
      <c r="K131" s="106">
        <v>0.50963102670036198</v>
      </c>
      <c r="L131" s="106">
        <v>0.92593964593287104</v>
      </c>
      <c r="M131" s="106">
        <v>0.95258491597891004</v>
      </c>
      <c r="N131" s="106">
        <v>1.23772029697227E-2</v>
      </c>
      <c r="P131" s="106">
        <v>1.7246259122753578</v>
      </c>
      <c r="Q131" s="106">
        <v>1.5761933658591023</v>
      </c>
      <c r="R131" s="106">
        <v>1.7988421854834857</v>
      </c>
      <c r="S131" s="106">
        <v>1.5019770926509743</v>
      </c>
      <c r="Y131" s="14"/>
      <c r="AA131" s="106">
        <v>1995</v>
      </c>
      <c r="AB131" s="106">
        <v>1799.2188841201717</v>
      </c>
    </row>
    <row r="132" spans="1:28" x14ac:dyDescent="0.2">
      <c r="A132" s="14">
        <v>43746</v>
      </c>
      <c r="B132" s="106">
        <v>1967</v>
      </c>
      <c r="C132" s="106">
        <v>1974</v>
      </c>
      <c r="D132" s="106">
        <v>1170</v>
      </c>
      <c r="E132" s="106">
        <v>1192</v>
      </c>
      <c r="F132" s="106">
        <v>1.65604026845637</v>
      </c>
      <c r="G132" s="106">
        <v>1.6507065181957401</v>
      </c>
      <c r="H132" s="106">
        <v>7.4472829771472099E-2</v>
      </c>
      <c r="I132" s="106">
        <v>7.1620083149757097E-2</v>
      </c>
      <c r="J132" s="106">
        <v>0.32</v>
      </c>
      <c r="K132" s="106">
        <v>0.521488139282555</v>
      </c>
      <c r="L132" s="106">
        <v>0.90912165273525702</v>
      </c>
      <c r="M132" s="106">
        <v>0.95294693311985601</v>
      </c>
      <c r="N132" s="106">
        <v>1.07585097477087E-2</v>
      </c>
      <c r="P132" s="106">
        <v>1.7251793479672122</v>
      </c>
      <c r="Q132" s="106">
        <v>1.576233688424268</v>
      </c>
      <c r="R132" s="106">
        <v>1.7996521777386842</v>
      </c>
      <c r="S132" s="106">
        <v>1.501760858652796</v>
      </c>
      <c r="Y132" s="14"/>
      <c r="AA132" s="106">
        <v>1974</v>
      </c>
      <c r="AB132" s="106">
        <v>1831.4849785407725</v>
      </c>
    </row>
    <row r="133" spans="1:28" x14ac:dyDescent="0.2">
      <c r="A133" s="14">
        <v>43745</v>
      </c>
      <c r="B133" s="106">
        <v>1946</v>
      </c>
      <c r="C133" s="106">
        <v>1951</v>
      </c>
      <c r="D133" s="106">
        <v>1170</v>
      </c>
      <c r="E133" s="106">
        <v>1166</v>
      </c>
      <c r="F133" s="106">
        <v>1.67324185248713</v>
      </c>
      <c r="G133" s="106">
        <v>1.6514769297924701</v>
      </c>
      <c r="H133" s="106">
        <v>7.4822070663545695E-2</v>
      </c>
      <c r="I133" s="106">
        <v>0.29088907192274699</v>
      </c>
      <c r="J133" s="106">
        <v>1.3</v>
      </c>
      <c r="K133" s="106">
        <v>0.53593785204754796</v>
      </c>
      <c r="L133" s="106">
        <v>0.93248272925928199</v>
      </c>
      <c r="M133" s="106">
        <v>0.952594898261788</v>
      </c>
      <c r="N133" s="106">
        <v>1.1057980389793901E-2</v>
      </c>
      <c r="P133" s="106">
        <v>1.7262990004560157</v>
      </c>
      <c r="Q133" s="106">
        <v>1.5766548591289244</v>
      </c>
      <c r="R133" s="106">
        <v>1.8011210711195615</v>
      </c>
      <c r="S133" s="106">
        <v>1.5018327884653786</v>
      </c>
      <c r="Y133" s="14"/>
      <c r="AA133" s="106">
        <v>1951</v>
      </c>
      <c r="AB133" s="106">
        <v>1791.5364806866953</v>
      </c>
    </row>
    <row r="134" spans="1:28" x14ac:dyDescent="0.2">
      <c r="A134" s="14">
        <v>43742</v>
      </c>
      <c r="B134" s="106">
        <v>1938</v>
      </c>
      <c r="C134" s="106">
        <v>1950</v>
      </c>
      <c r="D134" s="106">
        <v>1166</v>
      </c>
      <c r="E134" s="106">
        <v>1163</v>
      </c>
      <c r="F134" s="106">
        <v>1.6766981943250201</v>
      </c>
      <c r="G134" s="106">
        <v>1.65168337829526</v>
      </c>
      <c r="H134" s="106">
        <v>7.4903156693334E-2</v>
      </c>
      <c r="I134" s="106">
        <v>0.33396210699332401</v>
      </c>
      <c r="J134" s="106">
        <v>1.49</v>
      </c>
      <c r="K134" s="106">
        <v>0.56097871677543099</v>
      </c>
      <c r="L134" s="106">
        <v>0.92217715422510005</v>
      </c>
      <c r="M134" s="106">
        <v>0.953085225264381</v>
      </c>
      <c r="N134" s="106">
        <v>1.0937527305534199E-2</v>
      </c>
      <c r="P134" s="106">
        <v>1.726586534988594</v>
      </c>
      <c r="Q134" s="106">
        <v>1.576780221601926</v>
      </c>
      <c r="R134" s="106">
        <v>1.8014896916819281</v>
      </c>
      <c r="S134" s="106">
        <v>1.501877064908592</v>
      </c>
      <c r="Y134" s="14"/>
      <c r="AA134" s="106">
        <v>1950</v>
      </c>
      <c r="AB134" s="106">
        <v>1786.9270386266094</v>
      </c>
    </row>
    <row r="135" spans="1:28" x14ac:dyDescent="0.2">
      <c r="A135" s="14">
        <v>43741</v>
      </c>
      <c r="B135" s="106">
        <v>1970</v>
      </c>
      <c r="C135" s="106">
        <v>1952</v>
      </c>
      <c r="D135" s="106">
        <v>1181</v>
      </c>
      <c r="E135" s="106">
        <v>1172</v>
      </c>
      <c r="F135" s="106">
        <v>1.6655290102389</v>
      </c>
      <c r="G135" s="106">
        <v>1.65206873570426</v>
      </c>
      <c r="H135" s="106">
        <v>7.5104934569091106E-2</v>
      </c>
      <c r="I135" s="106">
        <v>0.17921957607540701</v>
      </c>
      <c r="J135" s="106">
        <v>0.81</v>
      </c>
      <c r="K135" s="106">
        <v>0.58437535943165497</v>
      </c>
      <c r="L135" s="106">
        <v>0.89104170053507104</v>
      </c>
      <c r="M135" s="106">
        <v>0.95351107793347301</v>
      </c>
      <c r="N135" s="106">
        <v>1.1192466537283801E-2</v>
      </c>
      <c r="P135" s="106">
        <v>1.7271736702733511</v>
      </c>
      <c r="Q135" s="106">
        <v>1.576963801135169</v>
      </c>
      <c r="R135" s="106">
        <v>1.8022786048424422</v>
      </c>
      <c r="S135" s="106">
        <v>1.5018588665660779</v>
      </c>
      <c r="Y135" s="14"/>
      <c r="AA135" s="106">
        <v>1952</v>
      </c>
      <c r="AB135" s="106">
        <v>1800.755364806867</v>
      </c>
    </row>
    <row r="136" spans="1:28" x14ac:dyDescent="0.2">
      <c r="A136" s="14">
        <v>43740</v>
      </c>
      <c r="B136" s="106">
        <v>2019</v>
      </c>
      <c r="C136" s="106">
        <v>2009</v>
      </c>
      <c r="D136" s="106">
        <v>1192</v>
      </c>
      <c r="E136" s="106">
        <v>1201</v>
      </c>
      <c r="F136" s="106">
        <v>1.67277268942547</v>
      </c>
      <c r="G136" s="106">
        <v>1.65207011254214</v>
      </c>
      <c r="H136" s="106">
        <v>7.5105182258880604E-2</v>
      </c>
      <c r="I136" s="106">
        <v>0.27564778169334497</v>
      </c>
      <c r="J136" s="106">
        <v>1.24</v>
      </c>
      <c r="K136" s="106">
        <v>0.59635873073079204</v>
      </c>
      <c r="L136" s="106">
        <v>0.84757370304489099</v>
      </c>
      <c r="M136" s="106">
        <v>0.95399584412772298</v>
      </c>
      <c r="N136" s="106">
        <v>1.07171464902584E-2</v>
      </c>
      <c r="P136" s="106">
        <v>1.7271752948010206</v>
      </c>
      <c r="Q136" s="106">
        <v>1.5769649302832593</v>
      </c>
      <c r="R136" s="106">
        <v>1.8022804770599012</v>
      </c>
      <c r="S136" s="106">
        <v>1.5018597480243787</v>
      </c>
      <c r="Y136" s="14"/>
      <c r="AA136" s="106">
        <v>2009</v>
      </c>
      <c r="AB136" s="106">
        <v>1845.3133047210299</v>
      </c>
    </row>
    <row r="137" spans="1:28" x14ac:dyDescent="0.2">
      <c r="A137" s="14">
        <v>43739</v>
      </c>
      <c r="B137" s="106">
        <v>2026</v>
      </c>
      <c r="C137" s="106">
        <v>2042</v>
      </c>
      <c r="D137" s="106">
        <v>1188</v>
      </c>
      <c r="E137" s="106">
        <v>1199</v>
      </c>
      <c r="F137" s="106">
        <v>1.7030859049207601</v>
      </c>
      <c r="G137" s="106">
        <v>1.6522671292542599</v>
      </c>
      <c r="H137" s="106">
        <v>7.5178575822365201E-2</v>
      </c>
      <c r="I137" s="106">
        <v>0.67597417363393797</v>
      </c>
      <c r="J137" s="106">
        <v>2.98</v>
      </c>
      <c r="K137" s="106">
        <v>0.61203549341562302</v>
      </c>
      <c r="L137" s="106">
        <v>0.83416331748152495</v>
      </c>
      <c r="M137" s="106">
        <v>0.954572315751953</v>
      </c>
      <c r="N137" s="106">
        <v>1.0984113929250999E-2</v>
      </c>
      <c r="P137" s="106">
        <v>1.727445705076625</v>
      </c>
      <c r="Q137" s="106">
        <v>1.5770885534318948</v>
      </c>
      <c r="R137" s="106">
        <v>1.8026242808989903</v>
      </c>
      <c r="S137" s="106">
        <v>1.5019099776095295</v>
      </c>
      <c r="Y137" s="14"/>
      <c r="AA137" s="106">
        <v>2042</v>
      </c>
      <c r="AB137" s="106">
        <v>1842.2403433476395</v>
      </c>
    </row>
    <row r="138" spans="1:28" x14ac:dyDescent="0.2">
      <c r="A138" s="14">
        <v>43738</v>
      </c>
      <c r="B138" s="106">
        <v>1990</v>
      </c>
      <c r="C138" s="106">
        <v>2010</v>
      </c>
      <c r="D138" s="106">
        <v>1196</v>
      </c>
      <c r="E138" s="106">
        <v>1185</v>
      </c>
      <c r="F138" s="106">
        <v>1.69620253164556</v>
      </c>
      <c r="G138" s="106">
        <v>1.65272940670945</v>
      </c>
      <c r="H138" s="106">
        <v>7.5595084788852601E-2</v>
      </c>
      <c r="I138" s="106">
        <v>0.57507872446387398</v>
      </c>
      <c r="J138" s="106">
        <v>2.56</v>
      </c>
      <c r="K138" s="106">
        <v>0.62549358117292697</v>
      </c>
      <c r="L138" s="106">
        <v>0.88856412884084901</v>
      </c>
      <c r="M138" s="106">
        <v>0.95503614633439005</v>
      </c>
      <c r="N138" s="106">
        <v>1.1207130936930199E-2</v>
      </c>
      <c r="P138" s="106">
        <v>1.7283244914983027</v>
      </c>
      <c r="Q138" s="106">
        <v>1.5771343219205973</v>
      </c>
      <c r="R138" s="106">
        <v>1.8039195762871552</v>
      </c>
      <c r="S138" s="106">
        <v>1.5015392371317449</v>
      </c>
      <c r="Y138" s="14"/>
      <c r="AA138" s="106">
        <v>2010</v>
      </c>
      <c r="AB138" s="106">
        <v>1820.7296137339056</v>
      </c>
    </row>
    <row r="139" spans="1:28" x14ac:dyDescent="0.2">
      <c r="A139" s="14">
        <v>43735</v>
      </c>
      <c r="B139" s="106">
        <v>2003</v>
      </c>
      <c r="C139" s="106">
        <v>2005</v>
      </c>
      <c r="D139" s="106">
        <v>1225</v>
      </c>
      <c r="E139" s="106">
        <v>1217</v>
      </c>
      <c r="F139" s="106">
        <v>1.64749383730484</v>
      </c>
      <c r="G139" s="106">
        <v>1.65309899386921</v>
      </c>
      <c r="H139" s="106">
        <v>7.5873968310985598E-2</v>
      </c>
      <c r="I139" s="106">
        <v>-7.3874567116277406E-2</v>
      </c>
      <c r="J139" s="106">
        <v>-0.34</v>
      </c>
      <c r="K139" s="106">
        <v>0.61986852520068902</v>
      </c>
      <c r="L139" s="106">
        <v>0.90263015660935098</v>
      </c>
      <c r="M139" s="106">
        <v>0.95549266252659903</v>
      </c>
      <c r="N139" s="106">
        <v>1.0152857561862299E-2</v>
      </c>
      <c r="P139" s="106">
        <v>1.7289729621801957</v>
      </c>
      <c r="Q139" s="106">
        <v>1.5772250255582243</v>
      </c>
      <c r="R139" s="106">
        <v>1.8048469304911812</v>
      </c>
      <c r="S139" s="106">
        <v>1.5013510572472388</v>
      </c>
      <c r="Y139" s="14"/>
      <c r="AA139" s="106">
        <v>2005</v>
      </c>
      <c r="AB139" s="106">
        <v>1869.8969957081545</v>
      </c>
    </row>
    <row r="140" spans="1:28" x14ac:dyDescent="0.2">
      <c r="A140" s="14">
        <v>43734</v>
      </c>
      <c r="B140" s="106">
        <v>2029</v>
      </c>
      <c r="C140" s="106">
        <v>2023</v>
      </c>
      <c r="D140" s="106">
        <v>1270</v>
      </c>
      <c r="E140" s="106">
        <v>1258</v>
      </c>
      <c r="F140" s="106">
        <v>1.6081081081080999</v>
      </c>
      <c r="G140" s="106">
        <v>1.6533132879247801</v>
      </c>
      <c r="H140" s="106">
        <v>7.5880531017637504E-2</v>
      </c>
      <c r="I140" s="106">
        <v>-0.59574147953938605</v>
      </c>
      <c r="J140" s="106">
        <v>-2.81</v>
      </c>
      <c r="K140" s="106">
        <v>0.61937472095621904</v>
      </c>
      <c r="L140" s="106">
        <v>0.86166356221478002</v>
      </c>
      <c r="M140" s="106">
        <v>0.95595787153821099</v>
      </c>
      <c r="N140" s="106">
        <v>8.8540197853587896E-3</v>
      </c>
      <c r="P140" s="106">
        <v>1.7291938189424176</v>
      </c>
      <c r="Q140" s="106">
        <v>1.5774327569071425</v>
      </c>
      <c r="R140" s="106">
        <v>1.805074349960055</v>
      </c>
      <c r="S140" s="106">
        <v>1.5015522258895051</v>
      </c>
      <c r="Y140" s="14"/>
      <c r="AA140" s="106">
        <v>2023</v>
      </c>
      <c r="AB140" s="106">
        <v>1932.8927038626609</v>
      </c>
    </row>
    <row r="141" spans="1:28" x14ac:dyDescent="0.2">
      <c r="A141" s="14">
        <v>43733</v>
      </c>
      <c r="B141" s="106">
        <v>1980</v>
      </c>
      <c r="C141" s="106">
        <v>2004</v>
      </c>
      <c r="D141" s="106">
        <v>1250</v>
      </c>
      <c r="E141" s="106">
        <v>1266</v>
      </c>
      <c r="F141" s="106">
        <v>1.5829383886255901</v>
      </c>
      <c r="G141" s="106">
        <v>1.65428942890093</v>
      </c>
      <c r="H141" s="106">
        <v>7.5763531596706804E-2</v>
      </c>
      <c r="I141" s="106">
        <v>-0.94175969324059206</v>
      </c>
      <c r="J141" s="106">
        <v>-4.51</v>
      </c>
      <c r="K141" s="106">
        <v>0.629132074321748</v>
      </c>
      <c r="L141" s="106">
        <v>0.79063929599724103</v>
      </c>
      <c r="M141" s="106">
        <v>0.95664337840934799</v>
      </c>
      <c r="N141" s="106">
        <v>8.1236068446548498E-3</v>
      </c>
      <c r="P141" s="106">
        <v>1.7300529604976369</v>
      </c>
      <c r="Q141" s="106">
        <v>1.5785258973042231</v>
      </c>
      <c r="R141" s="106">
        <v>1.8058164920943436</v>
      </c>
      <c r="S141" s="106">
        <v>1.5027623657075164</v>
      </c>
      <c r="Y141" s="14"/>
      <c r="AA141" s="106">
        <v>2004</v>
      </c>
      <c r="AB141" s="106">
        <v>1945.1845493562232</v>
      </c>
    </row>
    <row r="142" spans="1:28" x14ac:dyDescent="0.2">
      <c r="A142" s="14">
        <v>43732</v>
      </c>
      <c r="B142" s="106">
        <v>1998</v>
      </c>
      <c r="C142" s="106">
        <v>1978</v>
      </c>
      <c r="D142" s="106">
        <v>1256</v>
      </c>
      <c r="E142" s="106">
        <v>1250</v>
      </c>
      <c r="F142" s="106">
        <v>1.5824</v>
      </c>
      <c r="G142" s="106">
        <v>1.6553324306794199</v>
      </c>
      <c r="H142" s="106">
        <v>7.5311189717941096E-2</v>
      </c>
      <c r="I142" s="106">
        <v>-0.968414268219287</v>
      </c>
      <c r="J142" s="106">
        <v>-4.6100000000000003</v>
      </c>
      <c r="K142" s="106">
        <v>0.64006469397639298</v>
      </c>
      <c r="L142" s="106">
        <v>0.78632614582953098</v>
      </c>
      <c r="M142" s="106">
        <v>0.95717203613398205</v>
      </c>
      <c r="N142" s="106">
        <v>8.8257918684079405E-3</v>
      </c>
      <c r="P142" s="106">
        <v>1.730643620397361</v>
      </c>
      <c r="Q142" s="106">
        <v>1.5800212409614789</v>
      </c>
      <c r="R142" s="106">
        <v>1.8059548101153022</v>
      </c>
      <c r="S142" s="106">
        <v>1.5047100512435376</v>
      </c>
      <c r="Y142" s="14"/>
      <c r="AA142" s="106">
        <v>1978</v>
      </c>
      <c r="AB142" s="106">
        <v>1920.6008583690987</v>
      </c>
    </row>
    <row r="143" spans="1:28" x14ac:dyDescent="0.2">
      <c r="A143" s="14">
        <v>43728</v>
      </c>
      <c r="B143" s="106">
        <v>2019</v>
      </c>
      <c r="C143" s="106">
        <v>1996</v>
      </c>
      <c r="D143" s="106">
        <v>1251</v>
      </c>
      <c r="E143" s="106">
        <v>1249</v>
      </c>
      <c r="F143" s="106">
        <v>1.59807846277021</v>
      </c>
      <c r="G143" s="106">
        <v>1.6563458218490501</v>
      </c>
      <c r="H143" s="106">
        <v>7.4832829007795795E-2</v>
      </c>
      <c r="I143" s="106">
        <v>-0.77863365385763394</v>
      </c>
      <c r="J143" s="106">
        <v>-3.65</v>
      </c>
      <c r="K143" s="106">
        <v>0.64814261328987999</v>
      </c>
      <c r="L143" s="106">
        <v>0.43138164401031998</v>
      </c>
      <c r="M143" s="106">
        <v>0.95762553853550902</v>
      </c>
      <c r="N143" s="106">
        <v>8.2074162271573194E-3</v>
      </c>
      <c r="P143" s="106">
        <v>1.7311786508568459</v>
      </c>
      <c r="Q143" s="106">
        <v>1.5815129928412544</v>
      </c>
      <c r="R143" s="106">
        <v>1.8060114798646416</v>
      </c>
      <c r="S143" s="106">
        <v>1.5066801638334586</v>
      </c>
      <c r="Y143" s="14"/>
      <c r="AA143" s="106">
        <v>1996</v>
      </c>
      <c r="AB143" s="106">
        <v>1919.0643776824033</v>
      </c>
    </row>
    <row r="144" spans="1:28" x14ac:dyDescent="0.2">
      <c r="A144" s="14">
        <v>43727</v>
      </c>
      <c r="B144" s="106">
        <v>1994</v>
      </c>
      <c r="C144" s="106">
        <v>2014</v>
      </c>
      <c r="D144" s="106">
        <v>1246</v>
      </c>
      <c r="E144" s="106">
        <v>1255</v>
      </c>
      <c r="F144" s="106">
        <v>1.6047808764940199</v>
      </c>
      <c r="G144" s="106">
        <v>1.6570130306422099</v>
      </c>
      <c r="H144" s="106">
        <v>7.4532823031858902E-2</v>
      </c>
      <c r="I144" s="106">
        <v>-0.70079398610552102</v>
      </c>
      <c r="J144" s="106">
        <v>-3.25</v>
      </c>
      <c r="K144" s="106">
        <v>0.659834474244688</v>
      </c>
      <c r="L144" s="106">
        <v>0.38062669411780597</v>
      </c>
      <c r="M144" s="106">
        <v>0.957840144008403</v>
      </c>
      <c r="N144" s="106">
        <v>8.5151157323842003E-3</v>
      </c>
      <c r="P144" s="106">
        <v>1.7315458536740689</v>
      </c>
      <c r="Q144" s="106">
        <v>1.582480207610351</v>
      </c>
      <c r="R144" s="106">
        <v>1.8060786767059278</v>
      </c>
      <c r="S144" s="106">
        <v>1.5079473845784921</v>
      </c>
      <c r="Y144" s="14"/>
      <c r="AA144" s="106">
        <v>2014</v>
      </c>
      <c r="AB144" s="106">
        <v>1928.283261802575</v>
      </c>
    </row>
    <row r="145" spans="1:28" x14ac:dyDescent="0.2">
      <c r="A145" s="14">
        <v>43726</v>
      </c>
      <c r="B145" s="106">
        <v>2028</v>
      </c>
      <c r="C145" s="106">
        <v>1997</v>
      </c>
      <c r="D145" s="106">
        <v>1269</v>
      </c>
      <c r="E145" s="106">
        <v>1241</v>
      </c>
      <c r="F145" s="106">
        <v>1.6091861402095</v>
      </c>
      <c r="G145" s="106">
        <v>1.65721531887645</v>
      </c>
      <c r="H145" s="106">
        <v>7.4411275542292404E-2</v>
      </c>
      <c r="I145" s="106">
        <v>-0.64545565597310395</v>
      </c>
      <c r="J145" s="106">
        <v>-2.98</v>
      </c>
      <c r="K145" s="106">
        <v>0.67086391580011495</v>
      </c>
      <c r="L145" s="106">
        <v>0.34319168894573698</v>
      </c>
      <c r="M145" s="106">
        <v>0.95773771372689998</v>
      </c>
      <c r="N145" s="106">
        <v>1.10206679237631E-2</v>
      </c>
      <c r="P145" s="106">
        <v>1.7316265944187423</v>
      </c>
      <c r="Q145" s="106">
        <v>1.5828040433341577</v>
      </c>
      <c r="R145" s="106">
        <v>1.8060378699610349</v>
      </c>
      <c r="S145" s="106">
        <v>1.5083927677918652</v>
      </c>
      <c r="AA145" s="106">
        <v>1997</v>
      </c>
      <c r="AB145" s="106">
        <v>1906.7725321888411</v>
      </c>
    </row>
    <row r="146" spans="1:28" x14ac:dyDescent="0.2">
      <c r="A146" s="14">
        <v>43725</v>
      </c>
      <c r="B146" s="106">
        <v>2005</v>
      </c>
      <c r="C146" s="106">
        <v>2027</v>
      </c>
      <c r="D146" s="106">
        <v>1269</v>
      </c>
      <c r="E146" s="106">
        <v>1254</v>
      </c>
      <c r="F146" s="106">
        <v>1.6164274322169001</v>
      </c>
      <c r="G146" s="106">
        <v>1.6573547232112</v>
      </c>
      <c r="H146" s="106">
        <v>7.4330915913247295E-2</v>
      </c>
      <c r="I146" s="106">
        <v>-0.55060926522234799</v>
      </c>
      <c r="J146" s="106">
        <v>-2.5299999999999998</v>
      </c>
      <c r="K146" s="106">
        <v>0.68002698794035499</v>
      </c>
      <c r="L146" s="106">
        <v>0.45319100667177598</v>
      </c>
      <c r="M146" s="106">
        <v>0.95775864335327399</v>
      </c>
      <c r="N146" s="106">
        <v>8.2084270451858003E-3</v>
      </c>
      <c r="P146" s="106">
        <v>1.7316856391244473</v>
      </c>
      <c r="Q146" s="106">
        <v>1.5830238072979528</v>
      </c>
      <c r="R146" s="106">
        <v>1.8060165550376945</v>
      </c>
      <c r="S146" s="106">
        <v>1.5086928913847055</v>
      </c>
      <c r="AA146" s="106">
        <v>2027</v>
      </c>
      <c r="AB146" s="106">
        <v>1926.7467811158797</v>
      </c>
    </row>
    <row r="147" spans="1:28" x14ac:dyDescent="0.2">
      <c r="A147" s="14">
        <v>43721</v>
      </c>
      <c r="B147" s="106">
        <v>1999</v>
      </c>
      <c r="C147" s="106">
        <v>2005</v>
      </c>
      <c r="D147" s="106">
        <v>1252</v>
      </c>
      <c r="E147" s="106">
        <v>1264</v>
      </c>
      <c r="F147" s="106">
        <v>1.58623417721518</v>
      </c>
      <c r="G147" s="106">
        <v>1.6579512044084701</v>
      </c>
      <c r="H147" s="106">
        <v>7.4179436422901104E-2</v>
      </c>
      <c r="I147" s="106">
        <v>-0.96680469213092801</v>
      </c>
      <c r="J147" s="106">
        <v>-4.5199999999999996</v>
      </c>
      <c r="K147" s="106">
        <v>0.71009906383078603</v>
      </c>
      <c r="L147" s="106">
        <v>0.40239028768164398</v>
      </c>
      <c r="M147" s="106">
        <v>0.95776114392577605</v>
      </c>
      <c r="N147" s="106">
        <v>8.3012248061256604E-3</v>
      </c>
      <c r="P147" s="106">
        <v>1.7321306408313712</v>
      </c>
      <c r="Q147" s="106">
        <v>1.583771767985569</v>
      </c>
      <c r="R147" s="106">
        <v>1.8063100772542724</v>
      </c>
      <c r="S147" s="106">
        <v>1.5095923315626678</v>
      </c>
      <c r="AA147" s="106">
        <v>2005</v>
      </c>
      <c r="AB147" s="106">
        <v>1942.1115879828326</v>
      </c>
    </row>
    <row r="148" spans="1:28" x14ac:dyDescent="0.2">
      <c r="A148" s="14">
        <v>43720</v>
      </c>
      <c r="B148" s="106">
        <v>1986</v>
      </c>
      <c r="C148" s="106">
        <v>1980</v>
      </c>
      <c r="D148" s="106">
        <v>1241</v>
      </c>
      <c r="E148" s="106">
        <v>1243</v>
      </c>
      <c r="F148" s="106">
        <v>1.5929203539823</v>
      </c>
      <c r="G148" s="106">
        <v>1.6583718781974499</v>
      </c>
      <c r="H148" s="106">
        <v>7.3860309755715906E-2</v>
      </c>
      <c r="I148" s="106">
        <v>-0.88615285302251701</v>
      </c>
      <c r="J148" s="106">
        <v>-4.1100000000000003</v>
      </c>
      <c r="K148" s="106">
        <v>0.72842962012930701</v>
      </c>
      <c r="L148" s="106">
        <v>0.34558928555699198</v>
      </c>
      <c r="M148" s="106">
        <v>0.95745985787644605</v>
      </c>
      <c r="N148" s="106">
        <v>1.0370609755292699E-2</v>
      </c>
      <c r="P148" s="106">
        <v>1.7322321879531659</v>
      </c>
      <c r="Q148" s="106">
        <v>1.5845115684417339</v>
      </c>
      <c r="R148" s="106">
        <v>1.8060924977088817</v>
      </c>
      <c r="S148" s="106">
        <v>1.5106512586860181</v>
      </c>
      <c r="AA148" s="106">
        <v>1980</v>
      </c>
      <c r="AB148" s="106">
        <v>1909.8454935622317</v>
      </c>
    </row>
    <row r="149" spans="1:28" x14ac:dyDescent="0.2">
      <c r="A149" s="14">
        <v>43719</v>
      </c>
      <c r="B149" s="106">
        <v>1938</v>
      </c>
      <c r="C149" s="106">
        <v>1978</v>
      </c>
      <c r="D149" s="106">
        <v>1238</v>
      </c>
      <c r="E149" s="106">
        <v>1240</v>
      </c>
      <c r="F149" s="106">
        <v>1.59516129032258</v>
      </c>
      <c r="G149" s="106">
        <v>1.6586817616931699</v>
      </c>
      <c r="H149" s="106">
        <v>7.36334619500537E-2</v>
      </c>
      <c r="I149" s="106">
        <v>-0.86265767883744904</v>
      </c>
      <c r="J149" s="106">
        <v>-3.98</v>
      </c>
      <c r="K149" s="106">
        <v>0.749827650726136</v>
      </c>
      <c r="L149" s="106">
        <v>0.47359585556705602</v>
      </c>
      <c r="M149" s="106">
        <v>0.956572163150604</v>
      </c>
      <c r="N149" s="106">
        <v>1.4707067287978701E-2</v>
      </c>
      <c r="P149" s="106">
        <v>1.7323152236432235</v>
      </c>
      <c r="Q149" s="106">
        <v>1.5850482997431163</v>
      </c>
      <c r="R149" s="106">
        <v>1.8059486855932774</v>
      </c>
      <c r="S149" s="106">
        <v>1.5114148377930625</v>
      </c>
      <c r="AA149" s="106">
        <v>1978</v>
      </c>
      <c r="AB149" s="106">
        <v>1905.236051502146</v>
      </c>
    </row>
    <row r="150" spans="1:28" x14ac:dyDescent="0.2">
      <c r="A150" s="14">
        <v>43718</v>
      </c>
      <c r="B150" s="106">
        <v>1912</v>
      </c>
      <c r="C150" s="106">
        <v>1924</v>
      </c>
      <c r="D150" s="106">
        <v>1205</v>
      </c>
      <c r="E150" s="106">
        <v>1223</v>
      </c>
      <c r="F150" s="106">
        <v>1.57318070318887</v>
      </c>
      <c r="G150" s="106">
        <v>1.6590653661413</v>
      </c>
      <c r="H150" s="106">
        <v>7.3376035076820403E-2</v>
      </c>
      <c r="I150" s="106">
        <v>-1.1704729325113301</v>
      </c>
      <c r="J150" s="106">
        <v>-5.46</v>
      </c>
      <c r="K150" s="106">
        <v>0.769377556322695</v>
      </c>
      <c r="L150" s="106">
        <v>0.48292179491162501</v>
      </c>
      <c r="M150" s="106">
        <v>0.95581323628822501</v>
      </c>
      <c r="N150" s="106">
        <v>1.3780355377990499E-2</v>
      </c>
      <c r="P150" s="106">
        <v>1.7324414012181204</v>
      </c>
      <c r="Q150" s="106">
        <v>1.5856893310644795</v>
      </c>
      <c r="R150" s="106">
        <v>1.8058174362949408</v>
      </c>
      <c r="S150" s="106">
        <v>1.5123132959876591</v>
      </c>
      <c r="AA150" s="106">
        <v>1924</v>
      </c>
      <c r="AB150" s="106">
        <v>1879.1158798283261</v>
      </c>
    </row>
    <row r="151" spans="1:28" x14ac:dyDescent="0.2">
      <c r="A151" s="14">
        <v>43717</v>
      </c>
      <c r="B151" s="106">
        <v>1866</v>
      </c>
      <c r="C151" s="106">
        <v>1888</v>
      </c>
      <c r="D151" s="106">
        <v>1201</v>
      </c>
      <c r="E151" s="106">
        <v>1203</v>
      </c>
      <c r="F151" s="106">
        <v>1.5694098088113</v>
      </c>
      <c r="G151" s="106">
        <v>1.6596828175543099</v>
      </c>
      <c r="H151" s="106">
        <v>7.2843637559588004E-2</v>
      </c>
      <c r="I151" s="106">
        <v>-1.23927101621141</v>
      </c>
      <c r="J151" s="106">
        <v>-5.75</v>
      </c>
      <c r="K151" s="106">
        <v>0.77334267358673403</v>
      </c>
      <c r="L151" s="106">
        <v>0.69070044709313005</v>
      </c>
      <c r="M151" s="106">
        <v>0.95518884401233495</v>
      </c>
      <c r="N151" s="106">
        <v>1.52289434331008E-2</v>
      </c>
      <c r="P151" s="106">
        <v>1.7325264551138979</v>
      </c>
      <c r="Q151" s="106">
        <v>1.5868391799947219</v>
      </c>
      <c r="R151" s="106">
        <v>1.8053700926734859</v>
      </c>
      <c r="S151" s="106">
        <v>1.5139955424351339</v>
      </c>
      <c r="AA151" s="106">
        <v>1888</v>
      </c>
      <c r="AB151" s="106">
        <v>1848.3862660944205</v>
      </c>
    </row>
    <row r="152" spans="1:28" x14ac:dyDescent="0.2">
      <c r="A152" s="14">
        <v>43714</v>
      </c>
      <c r="B152" s="106">
        <v>1887</v>
      </c>
      <c r="C152" s="106">
        <v>1876</v>
      </c>
      <c r="D152" s="106">
        <v>1175</v>
      </c>
      <c r="E152" s="106">
        <v>1171</v>
      </c>
      <c r="F152" s="106">
        <v>1.6020495303159601</v>
      </c>
      <c r="G152" s="106">
        <v>1.6607547594031</v>
      </c>
      <c r="H152" s="106">
        <v>7.20950143307343E-2</v>
      </c>
      <c r="I152" s="106">
        <v>-0.81427585016943005</v>
      </c>
      <c r="J152" s="106">
        <v>-3.66</v>
      </c>
      <c r="K152" s="106">
        <v>0.77293482640036404</v>
      </c>
      <c r="L152" s="106">
        <v>0.63047162895765496</v>
      </c>
      <c r="M152" s="106">
        <v>0.95436657685697401</v>
      </c>
      <c r="N152" s="106">
        <v>1.4696420095600999E-2</v>
      </c>
      <c r="P152" s="106">
        <v>1.7328497737338344</v>
      </c>
      <c r="Q152" s="106">
        <v>1.5886597450723656</v>
      </c>
      <c r="R152" s="106">
        <v>1.8049447880645686</v>
      </c>
      <c r="S152" s="106">
        <v>1.5165647307416315</v>
      </c>
      <c r="AA152" s="106">
        <v>1876</v>
      </c>
      <c r="AB152" s="106">
        <v>1799.2188841201717</v>
      </c>
    </row>
    <row r="153" spans="1:28" x14ac:dyDescent="0.2">
      <c r="A153" s="14">
        <v>43713</v>
      </c>
      <c r="B153" s="106">
        <v>1862</v>
      </c>
      <c r="C153" s="106">
        <v>1872</v>
      </c>
      <c r="D153" s="106">
        <v>1167</v>
      </c>
      <c r="E153" s="106">
        <v>1174</v>
      </c>
      <c r="F153" s="106">
        <v>1.59454855195911</v>
      </c>
      <c r="G153" s="106">
        <v>1.66212616650944</v>
      </c>
      <c r="H153" s="106">
        <v>7.1943377777577602E-2</v>
      </c>
      <c r="I153" s="106">
        <v>-0.93931667705749899</v>
      </c>
      <c r="J153" s="106">
        <v>-4.24</v>
      </c>
      <c r="K153" s="106">
        <v>0.76952021420472905</v>
      </c>
      <c r="L153" s="106">
        <v>0.657453409147294</v>
      </c>
      <c r="M153" s="106">
        <v>0.95394988961856997</v>
      </c>
      <c r="N153" s="106">
        <v>8.7406852450220892E-3</v>
      </c>
      <c r="P153" s="106">
        <v>1.7340695442870175</v>
      </c>
      <c r="Q153" s="106">
        <v>1.5901827887318625</v>
      </c>
      <c r="R153" s="106">
        <v>1.8060129220645953</v>
      </c>
      <c r="S153" s="106">
        <v>1.5182394109542847</v>
      </c>
      <c r="AA153" s="106">
        <v>1872</v>
      </c>
      <c r="AB153" s="106">
        <v>1803.8283261802574</v>
      </c>
    </row>
    <row r="154" spans="1:28" x14ac:dyDescent="0.2">
      <c r="A154" s="14">
        <v>43712</v>
      </c>
      <c r="B154" s="106">
        <v>1875</v>
      </c>
      <c r="C154" s="106">
        <v>1843</v>
      </c>
      <c r="D154" s="106">
        <v>1171</v>
      </c>
      <c r="E154" s="106">
        <v>1165</v>
      </c>
      <c r="F154" s="106">
        <v>1.5819742489270301</v>
      </c>
      <c r="G154" s="106">
        <v>1.6631396624521599</v>
      </c>
      <c r="H154" s="106">
        <v>7.15183976864259E-2</v>
      </c>
      <c r="I154" s="106">
        <v>-1.13488859021981</v>
      </c>
      <c r="J154" s="106">
        <v>-5.13</v>
      </c>
      <c r="K154" s="106">
        <v>0.76401205090375801</v>
      </c>
      <c r="L154" s="106">
        <v>0.70114454194009102</v>
      </c>
      <c r="M154" s="106">
        <v>0.95293195738202496</v>
      </c>
      <c r="N154" s="106">
        <v>1.79396800964726E-2</v>
      </c>
      <c r="P154" s="106">
        <v>1.7346580601385859</v>
      </c>
      <c r="Q154" s="106">
        <v>1.591621264765734</v>
      </c>
      <c r="R154" s="106">
        <v>1.8061764578250117</v>
      </c>
      <c r="S154" s="106">
        <v>1.5201028670793082</v>
      </c>
      <c r="AA154" s="106">
        <v>1843</v>
      </c>
      <c r="AB154" s="106">
        <v>1790</v>
      </c>
    </row>
    <row r="155" spans="1:28" x14ac:dyDescent="0.2">
      <c r="A155" s="14">
        <v>43711</v>
      </c>
      <c r="B155" s="106">
        <v>1869</v>
      </c>
      <c r="C155" s="106">
        <v>1877</v>
      </c>
      <c r="D155" s="106">
        <v>1178</v>
      </c>
      <c r="E155" s="106">
        <v>1176</v>
      </c>
      <c r="F155" s="106">
        <v>1.59608843537414</v>
      </c>
      <c r="G155" s="106">
        <v>1.6648708194480999</v>
      </c>
      <c r="H155" s="106">
        <v>7.1102967568366607E-2</v>
      </c>
      <c r="I155" s="106">
        <v>-0.96736305707374604</v>
      </c>
      <c r="J155" s="106">
        <v>-4.3099999999999996</v>
      </c>
      <c r="K155" s="106">
        <v>0.75881933242535604</v>
      </c>
      <c r="L155" s="106">
        <v>0.73546156163399401</v>
      </c>
      <c r="M155" s="106">
        <v>0.95136427779468502</v>
      </c>
      <c r="N155" s="106">
        <v>3.2902954117515301E-2</v>
      </c>
      <c r="P155" s="106">
        <v>1.7359737870164664</v>
      </c>
      <c r="Q155" s="106">
        <v>1.5937678518797334</v>
      </c>
      <c r="R155" s="106">
        <v>1.8070767545848332</v>
      </c>
      <c r="S155" s="106">
        <v>1.5226648843113666</v>
      </c>
      <c r="AA155" s="106">
        <v>1877</v>
      </c>
      <c r="AB155" s="106">
        <v>1806.901287553648</v>
      </c>
    </row>
    <row r="156" spans="1:28" x14ac:dyDescent="0.2">
      <c r="A156" s="14">
        <v>43710</v>
      </c>
      <c r="B156" s="106">
        <v>1906</v>
      </c>
      <c r="C156" s="106">
        <v>1887</v>
      </c>
      <c r="D156" s="106">
        <v>1178</v>
      </c>
      <c r="E156" s="106">
        <v>1170</v>
      </c>
      <c r="F156" s="106">
        <v>1.61282051282051</v>
      </c>
      <c r="G156" s="106">
        <v>1.6668062008193301</v>
      </c>
      <c r="H156" s="106">
        <v>7.1179867836862407E-2</v>
      </c>
      <c r="I156" s="106">
        <v>-0.75844040793317102</v>
      </c>
      <c r="J156" s="106">
        <v>-3.35</v>
      </c>
      <c r="K156" s="106">
        <v>0.74843894939170497</v>
      </c>
      <c r="L156" s="106">
        <v>0.780750199108042</v>
      </c>
      <c r="M156" s="106">
        <v>0.94995026730287102</v>
      </c>
      <c r="N156" s="106">
        <v>3.0725994274638301E-2</v>
      </c>
      <c r="P156" s="106">
        <v>1.7379860686561925</v>
      </c>
      <c r="Q156" s="106">
        <v>1.5956263329824676</v>
      </c>
      <c r="R156" s="106">
        <v>1.8091659364930548</v>
      </c>
      <c r="S156" s="106">
        <v>1.5244464651456053</v>
      </c>
      <c r="AA156" s="106">
        <v>1887</v>
      </c>
      <c r="AB156" s="106">
        <v>1797.6824034334763</v>
      </c>
    </row>
    <row r="157" spans="1:28" x14ac:dyDescent="0.2">
      <c r="A157" s="14">
        <v>43707</v>
      </c>
      <c r="B157" s="106">
        <v>1919</v>
      </c>
      <c r="C157" s="106">
        <v>1900</v>
      </c>
      <c r="D157" s="106">
        <v>1168</v>
      </c>
      <c r="E157" s="106">
        <v>1174</v>
      </c>
      <c r="F157" s="106">
        <v>1.6183986371379799</v>
      </c>
      <c r="G157" s="106">
        <v>1.6683467991099299</v>
      </c>
      <c r="H157" s="106">
        <v>7.1245125144526703E-2</v>
      </c>
      <c r="I157" s="106">
        <v>-0.70107480154770596</v>
      </c>
      <c r="J157" s="106">
        <v>-3.09</v>
      </c>
      <c r="K157" s="106">
        <v>0.73763799840003796</v>
      </c>
      <c r="L157" s="106">
        <v>0.82080298419726705</v>
      </c>
      <c r="M157" s="106">
        <v>0.94923531511991899</v>
      </c>
      <c r="N157" s="106">
        <v>1.7724713242063098E-2</v>
      </c>
      <c r="P157" s="106">
        <v>1.7395919242544566</v>
      </c>
      <c r="Q157" s="106">
        <v>1.5971016739654031</v>
      </c>
      <c r="R157" s="106">
        <v>1.8108370493989834</v>
      </c>
      <c r="S157" s="106">
        <v>1.5258565488208764</v>
      </c>
      <c r="AA157" s="106">
        <v>1900</v>
      </c>
      <c r="AB157" s="106">
        <v>1803.8283261802574</v>
      </c>
    </row>
    <row r="158" spans="1:28" x14ac:dyDescent="0.2">
      <c r="A158" s="14">
        <v>43706</v>
      </c>
      <c r="B158" s="106">
        <v>1871</v>
      </c>
      <c r="C158" s="106">
        <v>1897</v>
      </c>
      <c r="D158" s="106">
        <v>1160</v>
      </c>
      <c r="E158" s="106">
        <v>1162</v>
      </c>
      <c r="F158" s="106">
        <v>1.63253012048192</v>
      </c>
      <c r="G158" s="106">
        <v>1.66927733696646</v>
      </c>
      <c r="H158" s="106">
        <v>7.1042150852023395E-2</v>
      </c>
      <c r="I158" s="106">
        <v>-0.51725934594910805</v>
      </c>
      <c r="J158" s="106">
        <v>-2.25</v>
      </c>
      <c r="K158" s="106">
        <v>0.73319009093089904</v>
      </c>
      <c r="L158" s="106">
        <v>0.73771231848132601</v>
      </c>
      <c r="M158" s="106">
        <v>0.94815081384392896</v>
      </c>
      <c r="N158" s="106">
        <v>2.17841194610356E-2</v>
      </c>
      <c r="P158" s="106">
        <v>1.7403194878184833</v>
      </c>
      <c r="Q158" s="106">
        <v>1.5982351861144366</v>
      </c>
      <c r="R158" s="106">
        <v>1.8113616386705067</v>
      </c>
      <c r="S158" s="106">
        <v>1.5271930352624132</v>
      </c>
      <c r="AA158" s="106">
        <v>1897</v>
      </c>
      <c r="AB158" s="106">
        <v>1785.3905579399141</v>
      </c>
    </row>
    <row r="159" spans="1:28" x14ac:dyDescent="0.2">
      <c r="A159" s="14">
        <v>43705</v>
      </c>
      <c r="B159" s="106">
        <v>1891</v>
      </c>
      <c r="C159" s="106">
        <v>1870</v>
      </c>
      <c r="D159" s="106">
        <v>1158</v>
      </c>
      <c r="E159" s="106">
        <v>1156</v>
      </c>
      <c r="F159" s="106">
        <v>1.6176470588235199</v>
      </c>
      <c r="G159" s="106">
        <v>1.67039584083267</v>
      </c>
      <c r="H159" s="106">
        <v>7.1115126075728105E-2</v>
      </c>
      <c r="I159" s="106">
        <v>-0.74173786815725096</v>
      </c>
      <c r="J159" s="106">
        <v>-3.26</v>
      </c>
      <c r="K159" s="106">
        <v>0.71858996335730696</v>
      </c>
      <c r="L159" s="106">
        <v>0.79950464073086003</v>
      </c>
      <c r="M159" s="106">
        <v>0.94723814107813797</v>
      </c>
      <c r="N159" s="106">
        <v>2.2443183328651101E-2</v>
      </c>
      <c r="P159" s="106">
        <v>1.7415109669083981</v>
      </c>
      <c r="Q159" s="106">
        <v>1.5992807147569419</v>
      </c>
      <c r="R159" s="106">
        <v>1.8126260929841262</v>
      </c>
      <c r="S159" s="106">
        <v>1.5281655886812138</v>
      </c>
      <c r="AA159" s="106">
        <v>1870</v>
      </c>
      <c r="AB159" s="106">
        <v>1776.1716738197424</v>
      </c>
    </row>
    <row r="160" spans="1:28" x14ac:dyDescent="0.2">
      <c r="A160" s="14">
        <v>43704</v>
      </c>
      <c r="B160" s="106">
        <v>1888</v>
      </c>
      <c r="C160" s="106">
        <v>1894</v>
      </c>
      <c r="D160" s="106">
        <v>1167</v>
      </c>
      <c r="E160" s="106">
        <v>1165</v>
      </c>
      <c r="F160" s="106">
        <v>1.62575107296137</v>
      </c>
      <c r="G160" s="106">
        <v>1.6726711053891701</v>
      </c>
      <c r="H160" s="106">
        <v>7.2113879523380303E-2</v>
      </c>
      <c r="I160" s="106">
        <v>-0.65063802887754796</v>
      </c>
      <c r="J160" s="106">
        <v>-2.89</v>
      </c>
      <c r="K160" s="106">
        <v>0.70550904267134995</v>
      </c>
      <c r="L160" s="106">
        <v>0.81779639586077302</v>
      </c>
      <c r="M160" s="106">
        <v>0.94655153368290701</v>
      </c>
      <c r="N160" s="106">
        <v>1.8632797054370698E-2</v>
      </c>
      <c r="P160" s="106">
        <v>1.7447849849125503</v>
      </c>
      <c r="Q160" s="106">
        <v>1.6005572258657899</v>
      </c>
      <c r="R160" s="106">
        <v>1.8168988644359307</v>
      </c>
      <c r="S160" s="106">
        <v>1.5284433463424094</v>
      </c>
      <c r="AA160" s="106">
        <v>1894</v>
      </c>
      <c r="AB160" s="106">
        <v>1790</v>
      </c>
    </row>
    <row r="161" spans="1:28" x14ac:dyDescent="0.2">
      <c r="A161" s="14">
        <v>43703</v>
      </c>
      <c r="B161" s="106">
        <v>1848</v>
      </c>
      <c r="C161" s="106">
        <v>1871</v>
      </c>
      <c r="D161" s="106">
        <v>1138</v>
      </c>
      <c r="E161" s="106">
        <v>1145</v>
      </c>
      <c r="F161" s="106">
        <v>1.63406113537117</v>
      </c>
      <c r="G161" s="106">
        <v>1.67419801723073</v>
      </c>
      <c r="H161" s="106">
        <v>7.2316347645544204E-2</v>
      </c>
      <c r="I161" s="106">
        <v>-0.55501809986701101</v>
      </c>
      <c r="J161" s="106">
        <v>-2.46</v>
      </c>
      <c r="K161" s="106">
        <v>0.69042146088188305</v>
      </c>
      <c r="L161" s="106">
        <v>0.80317186864871704</v>
      </c>
      <c r="M161" s="106">
        <v>0.94576837919328804</v>
      </c>
      <c r="N161" s="106">
        <v>1.8702562928393399E-2</v>
      </c>
      <c r="P161" s="106">
        <v>1.7465143648762742</v>
      </c>
      <c r="Q161" s="106">
        <v>1.6018816695851859</v>
      </c>
      <c r="R161" s="106">
        <v>1.8188307125218184</v>
      </c>
      <c r="S161" s="106">
        <v>1.5295653219396417</v>
      </c>
      <c r="AA161" s="106">
        <v>1871</v>
      </c>
      <c r="AB161" s="106">
        <v>1759.2703862660944</v>
      </c>
    </row>
    <row r="162" spans="1:28" x14ac:dyDescent="0.2">
      <c r="A162" s="14">
        <v>43700</v>
      </c>
      <c r="B162" s="106">
        <v>1871</v>
      </c>
      <c r="C162" s="106">
        <v>1895</v>
      </c>
      <c r="D162" s="106">
        <v>1170</v>
      </c>
      <c r="E162" s="106">
        <v>1168</v>
      </c>
      <c r="F162" s="106">
        <v>1.62243150684931</v>
      </c>
      <c r="G162" s="106">
        <v>1.6745477903277399</v>
      </c>
      <c r="H162" s="106">
        <v>7.2184692172797202E-2</v>
      </c>
      <c r="I162" s="106">
        <v>-0.72198525628773003</v>
      </c>
      <c r="J162" s="106">
        <v>-3.21</v>
      </c>
      <c r="K162" s="106">
        <v>0.67765439118621995</v>
      </c>
      <c r="L162" s="106">
        <v>0.80141257721791304</v>
      </c>
      <c r="M162" s="106">
        <v>0.94479844438058602</v>
      </c>
      <c r="N162" s="106">
        <v>1.9107736841856401E-2</v>
      </c>
      <c r="P162" s="106">
        <v>1.746732482500537</v>
      </c>
      <c r="Q162" s="106">
        <v>1.6023630981549428</v>
      </c>
      <c r="R162" s="106">
        <v>1.8189171746733344</v>
      </c>
      <c r="S162" s="106">
        <v>1.5301784059821455</v>
      </c>
      <c r="AA162" s="106">
        <v>1895</v>
      </c>
      <c r="AB162" s="106">
        <v>1794.6094420600857</v>
      </c>
    </row>
    <row r="163" spans="1:28" x14ac:dyDescent="0.2">
      <c r="A163" s="14">
        <v>43699</v>
      </c>
      <c r="B163" s="106">
        <v>1891</v>
      </c>
      <c r="C163" s="106">
        <v>1863</v>
      </c>
      <c r="D163" s="106">
        <v>1158</v>
      </c>
      <c r="E163" s="106">
        <v>1162</v>
      </c>
      <c r="F163" s="106">
        <v>1.6032702237521499</v>
      </c>
      <c r="G163" s="106">
        <v>1.6753422287496</v>
      </c>
      <c r="H163" s="106">
        <v>7.1934186769125094E-2</v>
      </c>
      <c r="I163" s="106">
        <v>-1.0019158933258501</v>
      </c>
      <c r="J163" s="106">
        <v>-4.5</v>
      </c>
      <c r="K163" s="106">
        <v>0.66683015302636195</v>
      </c>
      <c r="L163" s="106">
        <v>0.73895219301489501</v>
      </c>
      <c r="M163" s="106">
        <v>0.94366225378922797</v>
      </c>
      <c r="N163" s="106">
        <v>2.2146527056765099E-2</v>
      </c>
      <c r="P163" s="106">
        <v>1.747276415518725</v>
      </c>
      <c r="Q163" s="106">
        <v>1.603408041980475</v>
      </c>
      <c r="R163" s="106">
        <v>1.8192106022878503</v>
      </c>
      <c r="S163" s="106">
        <v>1.5314738552113498</v>
      </c>
      <c r="AA163" s="106">
        <v>1863</v>
      </c>
      <c r="AB163" s="106">
        <v>1785.3905579399141</v>
      </c>
    </row>
    <row r="164" spans="1:28" x14ac:dyDescent="0.2">
      <c r="A164" s="14">
        <v>43698</v>
      </c>
      <c r="B164" s="106">
        <v>1909</v>
      </c>
      <c r="C164" s="106">
        <v>1874</v>
      </c>
      <c r="D164" s="106">
        <v>1165</v>
      </c>
      <c r="E164" s="106">
        <v>1174</v>
      </c>
      <c r="F164" s="106">
        <v>1.5962521294718901</v>
      </c>
      <c r="G164" s="106">
        <v>1.6764204387974</v>
      </c>
      <c r="H164" s="106">
        <v>7.14502444877535E-2</v>
      </c>
      <c r="I164" s="106">
        <v>-1.1220158853236299</v>
      </c>
      <c r="J164" s="106">
        <v>-5.0199999999999996</v>
      </c>
      <c r="K164" s="106">
        <v>0.66126190992239098</v>
      </c>
      <c r="L164" s="106">
        <v>0.68640199235464705</v>
      </c>
      <c r="M164" s="106">
        <v>0.942913299111095</v>
      </c>
      <c r="N164" s="106">
        <v>1.5807152787864098E-2</v>
      </c>
      <c r="P164" s="106">
        <v>1.7478706832851536</v>
      </c>
      <c r="Q164" s="106">
        <v>1.6049701943096464</v>
      </c>
      <c r="R164" s="106">
        <v>1.819320927772907</v>
      </c>
      <c r="S164" s="106">
        <v>1.533519949821893</v>
      </c>
      <c r="AA164" s="106">
        <v>1874</v>
      </c>
      <c r="AB164" s="106">
        <v>1803.8283261802574</v>
      </c>
    </row>
    <row r="165" spans="1:28" x14ac:dyDescent="0.2">
      <c r="A165" s="14">
        <v>43697</v>
      </c>
      <c r="B165" s="106">
        <v>1854</v>
      </c>
      <c r="C165" s="106">
        <v>1869</v>
      </c>
      <c r="D165" s="106">
        <v>1169</v>
      </c>
      <c r="E165" s="106">
        <v>1178</v>
      </c>
      <c r="F165" s="106">
        <v>1.5865874363327599</v>
      </c>
      <c r="G165" s="106">
        <v>1.6780746068755901</v>
      </c>
      <c r="H165" s="106">
        <v>7.1009843340970394E-2</v>
      </c>
      <c r="I165" s="106">
        <v>-1.2883730795396</v>
      </c>
      <c r="J165" s="106">
        <v>-5.77</v>
      </c>
      <c r="K165" s="106">
        <v>0.65555832710572204</v>
      </c>
      <c r="L165" s="106">
        <v>0.10470223144976901</v>
      </c>
      <c r="M165" s="106">
        <v>0.94223406686955002</v>
      </c>
      <c r="N165" s="106">
        <v>1.16637034589702E-2</v>
      </c>
      <c r="P165" s="106">
        <v>1.7490844502165606</v>
      </c>
      <c r="Q165" s="106">
        <v>1.6070647635346196</v>
      </c>
      <c r="R165" s="106">
        <v>1.8200942935575308</v>
      </c>
      <c r="S165" s="106">
        <v>1.5360549201936493</v>
      </c>
      <c r="AA165" s="106">
        <v>1869</v>
      </c>
      <c r="AB165" s="106">
        <v>1809.9742489270386</v>
      </c>
    </row>
    <row r="166" spans="1:28" x14ac:dyDescent="0.2">
      <c r="A166" s="14">
        <v>43696</v>
      </c>
      <c r="B166" s="106">
        <v>1822</v>
      </c>
      <c r="C166" s="106">
        <v>1832</v>
      </c>
      <c r="D166" s="106">
        <v>1162</v>
      </c>
      <c r="E166" s="106">
        <v>1167</v>
      </c>
      <c r="F166" s="106">
        <v>1.56983718937446</v>
      </c>
      <c r="G166" s="106">
        <v>1.6795362621204899</v>
      </c>
      <c r="H166" s="106">
        <v>7.0235665541409906E-2</v>
      </c>
      <c r="I166" s="106">
        <v>-1.5618713356015701</v>
      </c>
      <c r="J166" s="106">
        <v>-6.99</v>
      </c>
      <c r="K166" s="106">
        <v>0.64530897462090497</v>
      </c>
      <c r="L166" s="106">
        <v>5.8949679378732397E-2</v>
      </c>
      <c r="M166" s="106">
        <v>0.94171776664854401</v>
      </c>
      <c r="N166" s="106">
        <v>8.1848123819438599E-3</v>
      </c>
      <c r="P166" s="106">
        <v>1.7497719276618997</v>
      </c>
      <c r="Q166" s="106">
        <v>1.6093005965790801</v>
      </c>
      <c r="R166" s="106">
        <v>1.8200075932033097</v>
      </c>
      <c r="S166" s="106">
        <v>1.5390649310376701</v>
      </c>
      <c r="AA166" s="106">
        <v>1832</v>
      </c>
      <c r="AB166" s="106">
        <v>1793.0729613733904</v>
      </c>
    </row>
    <row r="167" spans="1:28" x14ac:dyDescent="0.2">
      <c r="A167" s="14">
        <v>43693</v>
      </c>
      <c r="B167" s="106">
        <v>1775</v>
      </c>
      <c r="C167" s="106">
        <v>1799</v>
      </c>
      <c r="D167" s="106">
        <v>1137</v>
      </c>
      <c r="E167" s="106">
        <v>1157</v>
      </c>
      <c r="F167" s="106">
        <v>1.55488331892826</v>
      </c>
      <c r="G167" s="106">
        <v>1.6796349098936001</v>
      </c>
      <c r="H167" s="106">
        <v>7.0086558610905195E-2</v>
      </c>
      <c r="I167" s="106">
        <v>-1.7799645672134401</v>
      </c>
      <c r="J167" s="106">
        <v>-8.02</v>
      </c>
      <c r="K167" s="106">
        <v>0.62416625628439404</v>
      </c>
      <c r="L167" s="106">
        <v>8.3736687926797195E-3</v>
      </c>
      <c r="M167" s="106">
        <v>0.94143724873430301</v>
      </c>
      <c r="N167" s="106">
        <v>6.7043729112466399E-3</v>
      </c>
      <c r="P167" s="106">
        <v>1.7497214685045053</v>
      </c>
      <c r="Q167" s="106">
        <v>1.6095483512826949</v>
      </c>
      <c r="R167" s="106">
        <v>1.8198080271154105</v>
      </c>
      <c r="S167" s="106">
        <v>1.5394617926717897</v>
      </c>
      <c r="AA167" s="106">
        <v>1799</v>
      </c>
      <c r="AB167" s="106">
        <v>1777.7081545064377</v>
      </c>
    </row>
    <row r="168" spans="1:28" x14ac:dyDescent="0.2">
      <c r="A168" s="14">
        <v>43692</v>
      </c>
      <c r="B168" s="106">
        <v>1763</v>
      </c>
      <c r="C168" s="106">
        <v>1786</v>
      </c>
      <c r="D168" s="106">
        <v>1133</v>
      </c>
      <c r="E168" s="106">
        <v>1147</v>
      </c>
      <c r="F168" s="106">
        <v>1.5571054925893599</v>
      </c>
      <c r="G168" s="106">
        <v>1.68007854729219</v>
      </c>
      <c r="H168" s="106">
        <v>6.9397413509541303E-2</v>
      </c>
      <c r="I168" s="106">
        <v>-1.7720120748580801</v>
      </c>
      <c r="J168" s="106">
        <v>-7.9</v>
      </c>
      <c r="K168" s="106">
        <v>0.59016778946977799</v>
      </c>
      <c r="L168" s="106">
        <v>1.15957068287238E-2</v>
      </c>
      <c r="M168" s="106">
        <v>0.94088089749502402</v>
      </c>
      <c r="N168" s="106">
        <v>7.3296866013434396E-3</v>
      </c>
      <c r="P168" s="106">
        <v>1.7494759608017312</v>
      </c>
      <c r="Q168" s="106">
        <v>1.6106811337826488</v>
      </c>
      <c r="R168" s="106">
        <v>1.8188733743112726</v>
      </c>
      <c r="S168" s="106">
        <v>1.5412837202731073</v>
      </c>
      <c r="AA168" s="106">
        <v>1786</v>
      </c>
      <c r="AB168" s="106">
        <v>1762.343347639485</v>
      </c>
    </row>
    <row r="169" spans="1:28" x14ac:dyDescent="0.2">
      <c r="A169" s="14">
        <v>43691</v>
      </c>
      <c r="B169" s="106">
        <v>1804</v>
      </c>
      <c r="C169" s="106">
        <v>1803</v>
      </c>
      <c r="D169" s="106">
        <v>1166</v>
      </c>
      <c r="E169" s="106">
        <v>1158</v>
      </c>
      <c r="F169" s="106">
        <v>1.55699481865284</v>
      </c>
      <c r="G169" s="106">
        <v>1.6805095526484499</v>
      </c>
      <c r="H169" s="106">
        <v>6.8729495611245098E-2</v>
      </c>
      <c r="I169" s="106">
        <v>-1.7971139304475301</v>
      </c>
      <c r="J169" s="106">
        <v>-7.93</v>
      </c>
      <c r="K169" s="106">
        <v>0.55975108522865602</v>
      </c>
      <c r="L169" s="106">
        <v>0.33827601196928397</v>
      </c>
      <c r="M169" s="106">
        <v>0.94049919645722302</v>
      </c>
      <c r="N169" s="106">
        <v>5.0560525114684996E-3</v>
      </c>
      <c r="P169" s="106">
        <v>1.7492390482596951</v>
      </c>
      <c r="Q169" s="106">
        <v>1.6117800570372047</v>
      </c>
      <c r="R169" s="106">
        <v>1.8179685438709401</v>
      </c>
      <c r="S169" s="106">
        <v>1.5430505614259598</v>
      </c>
      <c r="AA169" s="106">
        <v>1803</v>
      </c>
      <c r="AB169" s="106">
        <v>1779.244635193133</v>
      </c>
    </row>
    <row r="170" spans="1:28" x14ac:dyDescent="0.2">
      <c r="A170" s="14">
        <v>43690</v>
      </c>
      <c r="B170" s="106">
        <v>1781</v>
      </c>
      <c r="C170" s="106">
        <v>1797</v>
      </c>
      <c r="D170" s="106">
        <v>1190</v>
      </c>
      <c r="E170" s="106">
        <v>1160</v>
      </c>
      <c r="F170" s="106">
        <v>1.5491379310344799</v>
      </c>
      <c r="G170" s="106">
        <v>1.68092876005507</v>
      </c>
      <c r="H170" s="106">
        <v>6.8067550001617502E-2</v>
      </c>
      <c r="I170" s="106">
        <v>-1.9361770626012</v>
      </c>
      <c r="J170" s="106">
        <v>-8.51</v>
      </c>
      <c r="K170" s="106">
        <v>0.52673395215156804</v>
      </c>
      <c r="L170" s="106">
        <v>0.12944151350755001</v>
      </c>
      <c r="M170" s="106">
        <v>0.940384660998274</v>
      </c>
      <c r="N170" s="106">
        <v>2.4766092519404701E-3</v>
      </c>
      <c r="P170" s="106">
        <v>1.7489963100566874</v>
      </c>
      <c r="Q170" s="106">
        <v>1.6128612100534525</v>
      </c>
      <c r="R170" s="106">
        <v>1.8170638600583049</v>
      </c>
      <c r="S170" s="106">
        <v>1.544793660051835</v>
      </c>
      <c r="AA170" s="106">
        <v>1797</v>
      </c>
      <c r="AB170" s="106">
        <v>1782.3175965665237</v>
      </c>
    </row>
    <row r="171" spans="1:28" x14ac:dyDescent="0.2">
      <c r="A171" s="14">
        <v>43686</v>
      </c>
      <c r="B171" s="106">
        <v>1823</v>
      </c>
      <c r="C171" s="106">
        <v>1799</v>
      </c>
      <c r="D171" s="106">
        <v>1184</v>
      </c>
      <c r="E171" s="106">
        <v>1185</v>
      </c>
      <c r="F171" s="106">
        <v>1.5181434599156101</v>
      </c>
      <c r="G171" s="106">
        <v>1.6813967760470701</v>
      </c>
      <c r="H171" s="106">
        <v>6.7275848681005807E-2</v>
      </c>
      <c r="I171" s="106">
        <v>-2.42662588926297</v>
      </c>
      <c r="J171" s="106">
        <v>-10.75</v>
      </c>
      <c r="K171" s="106">
        <v>0.54956458627069105</v>
      </c>
      <c r="L171" s="106">
        <v>0.38689902276988702</v>
      </c>
      <c r="M171" s="106">
        <v>0.93997190774817796</v>
      </c>
      <c r="N171" s="106">
        <v>2.2087328928428198E-3</v>
      </c>
      <c r="P171" s="106">
        <v>1.7486726247280759</v>
      </c>
      <c r="Q171" s="106">
        <v>1.6141209273660642</v>
      </c>
      <c r="R171" s="106">
        <v>1.8159484734090816</v>
      </c>
      <c r="S171" s="106">
        <v>1.5468450786850585</v>
      </c>
      <c r="AA171" s="106">
        <v>1799</v>
      </c>
      <c r="AB171" s="106">
        <v>1820.7296137339056</v>
      </c>
    </row>
    <row r="172" spans="1:28" x14ac:dyDescent="0.2">
      <c r="A172" s="14">
        <v>43685</v>
      </c>
      <c r="B172" s="106">
        <v>1801</v>
      </c>
      <c r="C172" s="106">
        <v>1811</v>
      </c>
      <c r="D172" s="106">
        <v>1187</v>
      </c>
      <c r="E172" s="106">
        <v>1183</v>
      </c>
      <c r="F172" s="106">
        <v>1.53085376162299</v>
      </c>
      <c r="G172" s="106">
        <v>1.68230552364668</v>
      </c>
      <c r="H172" s="106">
        <v>6.5501439222434205E-2</v>
      </c>
      <c r="I172" s="15">
        <v>-2.3121898361558002</v>
      </c>
      <c r="J172" s="106">
        <v>-9.89</v>
      </c>
      <c r="K172" s="106">
        <v>0.56027606096652205</v>
      </c>
      <c r="L172" s="106">
        <v>0.157605505479333</v>
      </c>
      <c r="M172" s="106">
        <v>0.94051699510105702</v>
      </c>
      <c r="N172" s="106">
        <v>1.4075231621301699E-3</v>
      </c>
      <c r="P172" s="106">
        <v>1.7478069628691142</v>
      </c>
      <c r="Q172" s="106">
        <v>1.6168040844242457</v>
      </c>
      <c r="R172" s="106">
        <v>1.8133084020915484</v>
      </c>
      <c r="S172" s="106">
        <v>1.5513026452018115</v>
      </c>
      <c r="AA172" s="106">
        <v>1811</v>
      </c>
      <c r="AB172" s="106">
        <v>1817.656652360515</v>
      </c>
    </row>
    <row r="173" spans="1:28" x14ac:dyDescent="0.2">
      <c r="A173" s="14">
        <v>43684</v>
      </c>
      <c r="B173" s="106">
        <v>1799</v>
      </c>
      <c r="C173" s="106">
        <v>1815</v>
      </c>
      <c r="D173" s="106">
        <v>1195</v>
      </c>
      <c r="E173" s="106">
        <v>1187</v>
      </c>
      <c r="F173" s="106">
        <v>1.5290648694186999</v>
      </c>
      <c r="G173" s="106">
        <v>1.6834528768091299</v>
      </c>
      <c r="H173" s="106">
        <v>6.3563482052598694E-2</v>
      </c>
      <c r="I173" s="15">
        <v>-2.42887901047771</v>
      </c>
      <c r="J173" s="106">
        <v>-10.1</v>
      </c>
      <c r="K173" s="106">
        <v>0.608651779690911</v>
      </c>
      <c r="L173" s="106">
        <v>0.38238118834798202</v>
      </c>
      <c r="M173" s="106">
        <v>0.94091382279987801</v>
      </c>
      <c r="N173" s="106">
        <v>7.9450201876139E-4</v>
      </c>
      <c r="P173" s="106">
        <v>1.7470163588617287</v>
      </c>
      <c r="Q173" s="106">
        <v>1.6198893947565312</v>
      </c>
      <c r="R173" s="106">
        <v>1.8105798409143272</v>
      </c>
      <c r="S173" s="106">
        <v>1.5563259127039326</v>
      </c>
      <c r="AA173" s="106">
        <v>1815</v>
      </c>
      <c r="AB173" s="106">
        <v>1823.802575107296</v>
      </c>
    </row>
    <row r="174" spans="1:28" x14ac:dyDescent="0.2">
      <c r="A174" s="14">
        <v>43683</v>
      </c>
      <c r="B174" s="106">
        <v>1760</v>
      </c>
      <c r="C174" s="106">
        <v>1817</v>
      </c>
      <c r="D174" s="106">
        <v>1162</v>
      </c>
      <c r="E174" s="106">
        <v>1207</v>
      </c>
      <c r="F174" s="106">
        <v>1.5053852526926199</v>
      </c>
      <c r="G174" s="106">
        <v>1.68466918346226</v>
      </c>
      <c r="H174" s="106">
        <v>6.1434726891685901E-2</v>
      </c>
      <c r="I174" s="106">
        <v>-2.9182831899900101</v>
      </c>
      <c r="J174" s="106">
        <v>-11.91</v>
      </c>
      <c r="K174" s="106">
        <v>0.69191659880324097</v>
      </c>
      <c r="L174" s="106">
        <v>0.113179742028584</v>
      </c>
      <c r="M174" s="106">
        <v>0.94241141869707801</v>
      </c>
      <c r="N174" s="106">
        <v>8.1426844967099298E-4</v>
      </c>
      <c r="P174" s="106">
        <v>1.746103910353946</v>
      </c>
      <c r="Q174" s="106">
        <v>1.6232344565705741</v>
      </c>
      <c r="R174" s="106">
        <v>1.8075386372456319</v>
      </c>
      <c r="S174" s="106">
        <v>1.5617997296788881</v>
      </c>
      <c r="AA174" s="106">
        <v>1817</v>
      </c>
      <c r="AB174" s="106">
        <v>1854.5321888412016</v>
      </c>
    </row>
    <row r="175" spans="1:28" x14ac:dyDescent="0.2">
      <c r="A175" s="14">
        <v>43682</v>
      </c>
      <c r="B175" s="106">
        <v>1873</v>
      </c>
      <c r="C175" s="106">
        <v>1851</v>
      </c>
      <c r="D175" s="106">
        <v>1211</v>
      </c>
      <c r="E175" s="106">
        <v>1197</v>
      </c>
      <c r="F175" s="106">
        <v>1.5463659147869599</v>
      </c>
      <c r="G175" s="106">
        <v>1.68608757617145</v>
      </c>
      <c r="H175" s="106">
        <v>5.8433822659755101E-2</v>
      </c>
      <c r="I175" s="106">
        <v>-2.3911093785195598</v>
      </c>
      <c r="J175" s="106">
        <v>-9.0399999999999991</v>
      </c>
      <c r="K175" s="106">
        <v>0.70551896394261004</v>
      </c>
      <c r="L175" s="106">
        <v>0.21177322546433699</v>
      </c>
      <c r="M175" s="106">
        <v>0.94359071467835198</v>
      </c>
      <c r="N175" s="106">
        <v>8.4106068605569297E-4</v>
      </c>
      <c r="P175" s="106">
        <v>1.7445213988312052</v>
      </c>
      <c r="Q175" s="106">
        <v>1.6276537535116948</v>
      </c>
      <c r="R175" s="106">
        <v>1.8029552214909601</v>
      </c>
      <c r="S175" s="106">
        <v>1.5692199308519399</v>
      </c>
      <c r="AA175" s="106">
        <v>1851</v>
      </c>
      <c r="AB175" s="106">
        <v>1839.1673819742489</v>
      </c>
    </row>
    <row r="176" spans="1:28" x14ac:dyDescent="0.2">
      <c r="A176" s="14">
        <v>43679</v>
      </c>
      <c r="B176" s="106">
        <v>2002</v>
      </c>
      <c r="C176" s="106">
        <v>1913</v>
      </c>
      <c r="D176" s="106">
        <v>1216</v>
      </c>
      <c r="E176" s="106">
        <v>1226</v>
      </c>
      <c r="F176" s="106">
        <v>1.5603588907014601</v>
      </c>
      <c r="G176" s="106">
        <v>1.6867296379468999</v>
      </c>
      <c r="H176" s="106">
        <v>5.7145408919849601E-2</v>
      </c>
      <c r="I176" s="106">
        <v>-2.2113893247780498</v>
      </c>
      <c r="J176" s="106">
        <v>-8.1</v>
      </c>
      <c r="K176" s="106">
        <v>0.73392233496578496</v>
      </c>
      <c r="L176" s="106">
        <v>0.10483853253733</v>
      </c>
      <c r="M176" s="106">
        <v>0.94478897848950805</v>
      </c>
      <c r="N176" s="106">
        <v>3.7131742723696E-3</v>
      </c>
      <c r="P176" s="106">
        <v>1.7438750468667494</v>
      </c>
      <c r="Q176" s="106">
        <v>1.6295842290270504</v>
      </c>
      <c r="R176" s="106">
        <v>1.8010204557865992</v>
      </c>
      <c r="S176" s="106">
        <v>1.5724388201072006</v>
      </c>
      <c r="AA176" s="106">
        <v>1913</v>
      </c>
      <c r="AB176" s="106">
        <v>1883.7253218884121</v>
      </c>
    </row>
    <row r="177" spans="1:28" x14ac:dyDescent="0.2">
      <c r="A177" s="14">
        <v>43678</v>
      </c>
      <c r="B177" s="106">
        <v>2050</v>
      </c>
      <c r="C177" s="106">
        <v>2047</v>
      </c>
      <c r="D177" s="106">
        <v>1227</v>
      </c>
      <c r="E177" s="106">
        <v>1237</v>
      </c>
      <c r="F177" s="106">
        <v>1.6548100242522199</v>
      </c>
      <c r="G177" s="106">
        <v>1.68714072793828</v>
      </c>
      <c r="H177" s="106">
        <v>5.6340073574853697E-2</v>
      </c>
      <c r="I177" s="106">
        <v>-0.57384915628666899</v>
      </c>
      <c r="J177" s="106">
        <v>-1.95</v>
      </c>
      <c r="K177" s="106">
        <v>0.73731810866329395</v>
      </c>
      <c r="L177" s="106">
        <v>0.102006374007028</v>
      </c>
      <c r="M177" s="106">
        <v>0.94463759069776498</v>
      </c>
      <c r="N177" s="106">
        <v>8.9180493940659508E-3</v>
      </c>
      <c r="P177" s="106">
        <v>1.7434808015131336</v>
      </c>
      <c r="Q177" s="106">
        <v>1.6308006543634264</v>
      </c>
      <c r="R177" s="106">
        <v>1.7998208750879874</v>
      </c>
      <c r="S177" s="106">
        <v>1.5744605807885725</v>
      </c>
      <c r="AA177" s="106">
        <v>2047</v>
      </c>
      <c r="AB177" s="106">
        <v>1900.62660944206</v>
      </c>
    </row>
    <row r="178" spans="1:28" x14ac:dyDescent="0.2">
      <c r="A178" s="14">
        <v>43677</v>
      </c>
      <c r="B178" s="106">
        <v>2045</v>
      </c>
      <c r="C178" s="106">
        <v>2067</v>
      </c>
      <c r="D178" s="106">
        <v>1229</v>
      </c>
      <c r="E178" s="106">
        <v>1237</v>
      </c>
      <c r="F178" s="106">
        <v>1.6709781729991899</v>
      </c>
      <c r="G178" s="106">
        <v>1.68644967467905</v>
      </c>
      <c r="H178" s="106">
        <v>5.70458360238058E-2</v>
      </c>
      <c r="I178" s="106">
        <v>-0.27121176159830701</v>
      </c>
      <c r="J178" s="106">
        <v>-0.93</v>
      </c>
      <c r="K178" s="106">
        <v>0.738579875258911</v>
      </c>
      <c r="L178" s="106">
        <v>0.116344251003417</v>
      </c>
      <c r="M178" s="106">
        <v>0.94473657013853196</v>
      </c>
      <c r="N178" s="106">
        <v>7.34830935843788E-3</v>
      </c>
      <c r="P178" s="106">
        <v>1.7434955107028558</v>
      </c>
      <c r="Q178" s="106">
        <v>1.6294038386552443</v>
      </c>
      <c r="R178" s="106">
        <v>1.8005413467266616</v>
      </c>
      <c r="S178" s="106">
        <v>1.5723580026314385</v>
      </c>
      <c r="AA178" s="106">
        <v>2067</v>
      </c>
      <c r="AB178" s="106">
        <v>1900.62660944206</v>
      </c>
    </row>
    <row r="179" spans="1:28" x14ac:dyDescent="0.2">
      <c r="A179" s="14">
        <v>43676</v>
      </c>
      <c r="B179" s="106">
        <v>2028</v>
      </c>
      <c r="C179" s="106">
        <v>2045</v>
      </c>
      <c r="D179" s="106">
        <v>1240</v>
      </c>
      <c r="E179" s="106">
        <v>1243</v>
      </c>
      <c r="F179" s="106">
        <v>1.6452131938857599</v>
      </c>
      <c r="G179" s="106">
        <v>1.6858770636392399</v>
      </c>
      <c r="H179" s="106">
        <v>5.7412621302280302E-2</v>
      </c>
      <c r="I179" s="106">
        <v>-0.70827404900028601</v>
      </c>
      <c r="J179" s="106">
        <v>-2.4700000000000002</v>
      </c>
      <c r="K179" s="106">
        <v>0.74501582744634698</v>
      </c>
      <c r="L179" s="106">
        <v>0.145524378527119</v>
      </c>
      <c r="M179" s="106">
        <v>0.94480925959356099</v>
      </c>
      <c r="N179" s="106">
        <v>1.42991536483816E-2</v>
      </c>
      <c r="P179" s="106">
        <v>1.7432896849415203</v>
      </c>
      <c r="Q179" s="106">
        <v>1.6284644423369596</v>
      </c>
      <c r="R179" s="106">
        <v>1.8007023062438006</v>
      </c>
      <c r="S179" s="106">
        <v>1.5710518210346793</v>
      </c>
      <c r="AA179" s="106">
        <v>2045</v>
      </c>
      <c r="AB179" s="106">
        <v>1909.8454935622317</v>
      </c>
    </row>
    <row r="180" spans="1:28" x14ac:dyDescent="0.2">
      <c r="A180" s="14">
        <v>43675</v>
      </c>
      <c r="B180" s="106">
        <v>2061</v>
      </c>
      <c r="C180" s="106">
        <v>2047</v>
      </c>
      <c r="D180" s="106">
        <v>1206</v>
      </c>
      <c r="E180" s="106">
        <v>1202</v>
      </c>
      <c r="F180" s="106">
        <v>1.70299500831946</v>
      </c>
      <c r="G180" s="106">
        <v>1.6855155162415001</v>
      </c>
      <c r="H180" s="106">
        <v>5.7751934512378603E-2</v>
      </c>
      <c r="I180" s="106">
        <v>0.30266504880827999</v>
      </c>
      <c r="J180" s="106">
        <v>1.03</v>
      </c>
      <c r="K180" s="106">
        <v>0.73986750114334399</v>
      </c>
      <c r="L180" s="106">
        <v>0.156788673139305</v>
      </c>
      <c r="M180" s="106">
        <v>0.94432284720836102</v>
      </c>
      <c r="N180" s="106">
        <v>2.29910707826783E-2</v>
      </c>
      <c r="P180" s="106">
        <v>1.7432674507538788</v>
      </c>
      <c r="Q180" s="106">
        <v>1.6277635817291214</v>
      </c>
      <c r="R180" s="106">
        <v>1.8010193852662573</v>
      </c>
      <c r="S180" s="106">
        <v>1.5700116472167429</v>
      </c>
      <c r="AA180" s="106">
        <v>2047</v>
      </c>
      <c r="AB180" s="106">
        <v>1846.8497854077252</v>
      </c>
    </row>
    <row r="181" spans="1:28" x14ac:dyDescent="0.2">
      <c r="A181" s="14">
        <v>43672</v>
      </c>
      <c r="B181" s="106">
        <v>2094</v>
      </c>
      <c r="C181" s="106">
        <v>2079</v>
      </c>
      <c r="D181" s="106">
        <v>1212</v>
      </c>
      <c r="E181" s="106">
        <v>1210</v>
      </c>
      <c r="F181" s="106">
        <v>1.71818181818181</v>
      </c>
      <c r="G181" s="106">
        <v>1.6846344194862799</v>
      </c>
      <c r="H181" s="106">
        <v>5.7982171594629199E-2</v>
      </c>
      <c r="I181" s="106">
        <v>0.57858127374175605</v>
      </c>
      <c r="J181" s="106">
        <v>1.95</v>
      </c>
      <c r="K181" s="106">
        <v>0.73677161433577798</v>
      </c>
      <c r="L181" s="106">
        <v>0.147286942721683</v>
      </c>
      <c r="M181" s="106">
        <v>0.94414522734701001</v>
      </c>
      <c r="N181" s="106">
        <v>2.7515179626857199E-2</v>
      </c>
      <c r="P181" s="106">
        <v>1.742616591080909</v>
      </c>
      <c r="Q181" s="106">
        <v>1.6266522478916507</v>
      </c>
      <c r="R181" s="106">
        <v>1.8005987626755382</v>
      </c>
      <c r="S181" s="106">
        <v>1.5686700762970216</v>
      </c>
      <c r="AA181" s="106">
        <v>2079</v>
      </c>
      <c r="AB181" s="106">
        <v>1859.1416309012875</v>
      </c>
    </row>
    <row r="182" spans="1:28" x14ac:dyDescent="0.2">
      <c r="A182" s="14">
        <v>43671</v>
      </c>
      <c r="B182" s="106">
        <v>2092</v>
      </c>
      <c r="C182" s="106">
        <v>2114</v>
      </c>
      <c r="D182" s="106">
        <v>1204</v>
      </c>
      <c r="E182" s="106">
        <v>1211</v>
      </c>
      <c r="F182" s="106">
        <v>1.7456647398843901</v>
      </c>
      <c r="G182" s="106">
        <v>1.6836262656588501</v>
      </c>
      <c r="H182" s="106">
        <v>5.8047411935253597E-2</v>
      </c>
      <c r="I182" s="106">
        <v>1.0687552150427899</v>
      </c>
      <c r="J182" s="106">
        <v>3.55</v>
      </c>
      <c r="K182" s="106">
        <v>0.77679257567684601</v>
      </c>
      <c r="L182" s="106">
        <v>0.82729794828657299</v>
      </c>
      <c r="M182" s="106">
        <v>0.94403445678808695</v>
      </c>
      <c r="N182" s="106">
        <v>3.6070307958658503E-2</v>
      </c>
      <c r="P182" s="106">
        <v>1.7416736775941037</v>
      </c>
      <c r="Q182" s="106">
        <v>1.6255788537235965</v>
      </c>
      <c r="R182" s="106">
        <v>1.7997210895293574</v>
      </c>
      <c r="S182" s="106">
        <v>1.5675314417883428</v>
      </c>
      <c r="AA182" s="106">
        <v>2114</v>
      </c>
      <c r="AB182" s="106">
        <v>1860.6781115879828</v>
      </c>
    </row>
    <row r="183" spans="1:28" x14ac:dyDescent="0.2">
      <c r="A183" s="14">
        <v>43670</v>
      </c>
      <c r="B183" s="106">
        <v>2098</v>
      </c>
      <c r="C183" s="106">
        <v>2080</v>
      </c>
      <c r="D183" s="106">
        <v>1187</v>
      </c>
      <c r="E183" s="106">
        <v>1192</v>
      </c>
      <c r="F183" s="106">
        <v>1.7449664429530201</v>
      </c>
      <c r="G183" s="106">
        <v>1.6825849215272399</v>
      </c>
      <c r="H183" s="106">
        <v>5.7624132554650598E-2</v>
      </c>
      <c r="I183" s="106">
        <v>1.08255896722812</v>
      </c>
      <c r="J183" s="106">
        <v>3.57</v>
      </c>
      <c r="K183" s="106">
        <v>0.80211368384673298</v>
      </c>
      <c r="L183" s="106">
        <v>0.35583090685727498</v>
      </c>
      <c r="M183" s="106">
        <v>0.94381189989424397</v>
      </c>
      <c r="N183" s="106">
        <v>3.10545202500647E-2</v>
      </c>
      <c r="P183" s="106">
        <v>1.7402090540818906</v>
      </c>
      <c r="Q183" s="106">
        <v>1.6249607889725892</v>
      </c>
      <c r="R183" s="106">
        <v>1.7978331866365411</v>
      </c>
      <c r="S183" s="106">
        <v>1.5673366564179387</v>
      </c>
      <c r="AA183" s="106">
        <v>2080</v>
      </c>
      <c r="AB183" s="106">
        <v>1831.4849785407725</v>
      </c>
    </row>
    <row r="184" spans="1:28" x14ac:dyDescent="0.2">
      <c r="A184" s="14">
        <v>43669</v>
      </c>
      <c r="B184" s="106">
        <v>2081</v>
      </c>
      <c r="C184" s="106">
        <v>2097</v>
      </c>
      <c r="D184" s="106">
        <v>1191</v>
      </c>
      <c r="E184" s="106">
        <v>1195</v>
      </c>
      <c r="F184" s="106">
        <v>1.75481171548117</v>
      </c>
      <c r="G184" s="106">
        <v>1.68128412141677</v>
      </c>
      <c r="H184" s="106">
        <v>5.7301508369143203E-2</v>
      </c>
      <c r="I184" s="106">
        <v>1.28317030662994</v>
      </c>
      <c r="J184" s="106">
        <v>4.1900000000000004</v>
      </c>
      <c r="K184" s="106">
        <v>0.81231791661767205</v>
      </c>
      <c r="L184" s="106">
        <v>0.163003911715003</v>
      </c>
      <c r="M184" s="106">
        <v>0.94379555427847395</v>
      </c>
      <c r="N184" s="106">
        <v>3.5631341478819897E-2</v>
      </c>
      <c r="P184" s="106">
        <v>1.7385856297859132</v>
      </c>
      <c r="Q184" s="106">
        <v>1.6239826130476267</v>
      </c>
      <c r="R184" s="106">
        <v>1.7958871381550563</v>
      </c>
      <c r="S184" s="106">
        <v>1.5666811046784836</v>
      </c>
      <c r="AA184" s="106">
        <v>2097</v>
      </c>
      <c r="AB184" s="106">
        <v>1836.0944206008583</v>
      </c>
    </row>
    <row r="185" spans="1:28" x14ac:dyDescent="0.2">
      <c r="A185" s="14">
        <v>43668</v>
      </c>
      <c r="B185" s="106">
        <v>2094</v>
      </c>
      <c r="C185" s="106">
        <v>2078</v>
      </c>
      <c r="D185" s="106">
        <v>1166</v>
      </c>
      <c r="E185" s="106">
        <v>1180</v>
      </c>
      <c r="F185" s="106">
        <v>1.76101694915254</v>
      </c>
      <c r="G185" s="106">
        <v>1.68000067289573</v>
      </c>
      <c r="H185" s="106">
        <v>5.6715261310513E-2</v>
      </c>
      <c r="I185" s="106">
        <v>1.42847400126124</v>
      </c>
      <c r="J185" s="106">
        <v>4.5999999999999996</v>
      </c>
      <c r="K185" s="106">
        <v>0.82857215517228</v>
      </c>
      <c r="L185" s="106">
        <v>0.21787711105320401</v>
      </c>
      <c r="M185" s="106">
        <v>0.94452209985828905</v>
      </c>
      <c r="N185" s="106">
        <v>8.4345050975452793E-3</v>
      </c>
      <c r="P185" s="106">
        <v>1.736715934206243</v>
      </c>
      <c r="Q185" s="106">
        <v>1.6232854115852169</v>
      </c>
      <c r="R185" s="106">
        <v>1.7934311955167559</v>
      </c>
      <c r="S185" s="106">
        <v>1.566570150274704</v>
      </c>
      <c r="AA185" s="106">
        <v>2078</v>
      </c>
      <c r="AB185" s="106">
        <v>1813.0472103004292</v>
      </c>
    </row>
    <row r="186" spans="1:28" x14ac:dyDescent="0.2">
      <c r="A186" s="14">
        <v>43665</v>
      </c>
      <c r="B186" s="106">
        <v>2052</v>
      </c>
      <c r="C186" s="106">
        <v>2081</v>
      </c>
      <c r="D186" s="106">
        <v>1146</v>
      </c>
      <c r="E186" s="106">
        <v>1175</v>
      </c>
      <c r="F186" s="106">
        <v>1.7710638297872301</v>
      </c>
      <c r="G186" s="106">
        <v>1.6787487201087601</v>
      </c>
      <c r="H186" s="106">
        <v>5.5944171346083697E-2</v>
      </c>
      <c r="I186" s="106">
        <v>1.65012918159767</v>
      </c>
      <c r="J186" s="106">
        <v>5.21</v>
      </c>
      <c r="K186" s="106">
        <v>0.84010901070521304</v>
      </c>
      <c r="L186" s="106">
        <v>0.18351893116998799</v>
      </c>
      <c r="M186" s="106">
        <v>0.94493856710551904</v>
      </c>
      <c r="N186" s="106">
        <v>1.0528241742192799E-2</v>
      </c>
      <c r="P186" s="106">
        <v>1.7346928914548438</v>
      </c>
      <c r="Q186" s="106">
        <v>1.6228045487626763</v>
      </c>
      <c r="R186" s="106">
        <v>1.7906370628009274</v>
      </c>
      <c r="S186" s="106">
        <v>1.5668603774165928</v>
      </c>
      <c r="AA186" s="106">
        <v>2081</v>
      </c>
      <c r="AB186" s="106">
        <v>1805.3648068669527</v>
      </c>
    </row>
    <row r="187" spans="1:28" x14ac:dyDescent="0.2">
      <c r="A187" s="14">
        <v>43664</v>
      </c>
      <c r="B187" s="106">
        <v>2093</v>
      </c>
      <c r="C187" s="106">
        <v>2053</v>
      </c>
      <c r="D187" s="106">
        <v>1174</v>
      </c>
      <c r="E187" s="106">
        <v>1152</v>
      </c>
      <c r="F187" s="106">
        <v>1.78211805555555</v>
      </c>
      <c r="G187" s="106">
        <v>1.6772330557027599</v>
      </c>
      <c r="H187" s="106">
        <v>5.4953694249141899E-2</v>
      </c>
      <c r="I187" s="106">
        <v>1.9086068968772001</v>
      </c>
      <c r="J187" s="106">
        <v>5.89</v>
      </c>
      <c r="K187" s="106">
        <v>0.84611187925828901</v>
      </c>
      <c r="L187" s="106">
        <v>0.120022844459165</v>
      </c>
      <c r="M187" s="106">
        <v>0.94325077630833898</v>
      </c>
      <c r="N187" s="106">
        <v>3.7836375606894998E-2</v>
      </c>
      <c r="P187" s="106">
        <v>1.7321867499519019</v>
      </c>
      <c r="Q187" s="106">
        <v>1.622279361453618</v>
      </c>
      <c r="R187" s="106">
        <v>1.7871404442010437</v>
      </c>
      <c r="S187" s="106">
        <v>1.5673256672044762</v>
      </c>
      <c r="AA187" s="106">
        <v>2053</v>
      </c>
      <c r="AB187" s="106">
        <v>1770.0257510729614</v>
      </c>
    </row>
    <row r="188" spans="1:28" x14ac:dyDescent="0.2">
      <c r="A188" s="14">
        <v>43663</v>
      </c>
      <c r="B188" s="106">
        <v>2074</v>
      </c>
      <c r="C188" s="106">
        <v>2113</v>
      </c>
      <c r="D188" s="106">
        <v>1174</v>
      </c>
      <c r="E188" s="106">
        <v>1179</v>
      </c>
      <c r="F188" s="106">
        <v>1.7921967769296001</v>
      </c>
      <c r="G188" s="106">
        <v>1.67595260352728</v>
      </c>
      <c r="H188" s="106">
        <v>5.3596971317490902E-2</v>
      </c>
      <c r="I188" s="106">
        <v>2.1688571302606499</v>
      </c>
      <c r="J188" s="106">
        <v>6.49</v>
      </c>
      <c r="K188" s="106">
        <v>0.85649202666562096</v>
      </c>
      <c r="L188" s="106">
        <v>8.4020544265863098E-2</v>
      </c>
      <c r="M188" s="106">
        <v>0.94189799497670101</v>
      </c>
      <c r="N188" s="106">
        <v>5.1318030743526699E-2</v>
      </c>
      <c r="P188" s="106">
        <v>1.7295495748447709</v>
      </c>
      <c r="Q188" s="106">
        <v>1.6223556322097892</v>
      </c>
      <c r="R188" s="106">
        <v>1.7831465461622618</v>
      </c>
      <c r="S188" s="106">
        <v>1.5687586608922983</v>
      </c>
      <c r="AA188" s="106">
        <v>2113</v>
      </c>
      <c r="AB188" s="106">
        <v>1811.5107296137339</v>
      </c>
    </row>
    <row r="189" spans="1:28" x14ac:dyDescent="0.2">
      <c r="A189" s="14">
        <v>43662</v>
      </c>
      <c r="B189" s="106">
        <v>2128</v>
      </c>
      <c r="C189" s="106">
        <v>2077</v>
      </c>
      <c r="D189" s="106">
        <v>1200</v>
      </c>
      <c r="E189" s="106">
        <v>1177</v>
      </c>
      <c r="F189" s="106">
        <v>1.7646559048428201</v>
      </c>
      <c r="G189" s="106">
        <v>1.67452215606987</v>
      </c>
      <c r="H189" s="106">
        <v>5.1879574830043698E-2</v>
      </c>
      <c r="I189" s="106">
        <v>1.73736483130839</v>
      </c>
      <c r="J189" s="106">
        <v>5.1100000000000003</v>
      </c>
      <c r="K189" s="106">
        <v>0.86453937808835901</v>
      </c>
      <c r="L189" s="106">
        <v>0.107059066206337</v>
      </c>
      <c r="M189" s="106">
        <v>0.94002076968431603</v>
      </c>
      <c r="N189" s="106">
        <v>6.4660116977002594E-2</v>
      </c>
      <c r="P189" s="106">
        <v>1.7264017308999138</v>
      </c>
      <c r="Q189" s="106">
        <v>1.6226425812398262</v>
      </c>
      <c r="R189" s="106">
        <v>1.7782813057299574</v>
      </c>
      <c r="S189" s="106">
        <v>1.5707630064097826</v>
      </c>
      <c r="AA189" s="106">
        <v>2077</v>
      </c>
      <c r="AB189" s="106">
        <v>1808.4377682403433</v>
      </c>
    </row>
    <row r="190" spans="1:28" x14ac:dyDescent="0.2">
      <c r="A190" s="14">
        <v>43658</v>
      </c>
      <c r="B190" s="106">
        <v>2128</v>
      </c>
      <c r="C190" s="106">
        <v>2131</v>
      </c>
      <c r="D190" s="106">
        <v>1230</v>
      </c>
      <c r="E190" s="106">
        <v>1204</v>
      </c>
      <c r="F190" s="106">
        <v>1.7699335548172701</v>
      </c>
      <c r="G190" s="106">
        <v>1.6732849419693401</v>
      </c>
      <c r="H190" s="106">
        <v>5.0810751822579402E-2</v>
      </c>
      <c r="I190" s="106">
        <v>1.90212916324101</v>
      </c>
      <c r="J190" s="106">
        <v>5.46</v>
      </c>
      <c r="K190" s="106">
        <v>0.88346479803399502</v>
      </c>
      <c r="L190" s="106">
        <v>0.102434449502583</v>
      </c>
      <c r="M190" s="106">
        <v>0.93766191269631505</v>
      </c>
      <c r="N190" s="106">
        <v>0.112264428684068</v>
      </c>
      <c r="P190" s="106">
        <v>1.7240956937919194</v>
      </c>
      <c r="Q190" s="106">
        <v>1.6224741901467608</v>
      </c>
      <c r="R190" s="106">
        <v>1.774906445614499</v>
      </c>
      <c r="S190" s="106">
        <v>1.5716634383241812</v>
      </c>
      <c r="AA190" s="106">
        <v>2131</v>
      </c>
      <c r="AB190" s="106">
        <v>1849.9227467811158</v>
      </c>
    </row>
    <row r="191" spans="1:28" x14ac:dyDescent="0.2">
      <c r="A191" s="14">
        <v>43657</v>
      </c>
      <c r="B191" s="106">
        <v>2121</v>
      </c>
      <c r="C191" s="106">
        <v>2141</v>
      </c>
      <c r="D191" s="106">
        <v>1237</v>
      </c>
      <c r="E191" s="106">
        <v>1236</v>
      </c>
      <c r="F191" s="106">
        <v>1.73220064724919</v>
      </c>
      <c r="G191" s="106">
        <v>1.67108624719232</v>
      </c>
      <c r="H191" s="106">
        <v>5.0144451793695498E-2</v>
      </c>
      <c r="I191" s="106">
        <v>1.21876693972646</v>
      </c>
      <c r="J191" s="106">
        <v>3.53</v>
      </c>
      <c r="K191" s="106">
        <v>0.88802160975038102</v>
      </c>
      <c r="L191" s="106">
        <v>0.102138418699927</v>
      </c>
      <c r="M191" s="106">
        <v>0.93437678028575399</v>
      </c>
      <c r="N191" s="106">
        <v>0.21176748079195601</v>
      </c>
      <c r="P191" s="106">
        <v>1.7212306989860156</v>
      </c>
      <c r="Q191" s="106">
        <v>1.6209417953986245</v>
      </c>
      <c r="R191" s="106">
        <v>1.7713751507797111</v>
      </c>
      <c r="S191" s="106">
        <v>1.570797343604929</v>
      </c>
      <c r="AA191" s="106">
        <v>2141</v>
      </c>
      <c r="AB191" s="106">
        <v>1899.0901287553647</v>
      </c>
    </row>
    <row r="192" spans="1:28" x14ac:dyDescent="0.2">
      <c r="A192" s="14">
        <v>43656</v>
      </c>
      <c r="B192" s="106">
        <v>2110</v>
      </c>
      <c r="C192" s="106">
        <v>2135</v>
      </c>
      <c r="D192" s="106">
        <v>1226</v>
      </c>
      <c r="E192" s="106">
        <v>1237</v>
      </c>
      <c r="F192" s="106">
        <v>1.7259498787388801</v>
      </c>
      <c r="G192" s="106">
        <v>1.6692251154918301</v>
      </c>
      <c r="H192" s="106">
        <v>5.0431182619213297E-2</v>
      </c>
      <c r="I192" s="106">
        <v>1.12479542023351</v>
      </c>
      <c r="J192" s="106">
        <v>3.29</v>
      </c>
      <c r="K192" s="106">
        <v>0.891104220581457</v>
      </c>
      <c r="L192" s="106">
        <v>0.11164637201106099</v>
      </c>
      <c r="M192" s="106">
        <v>0.93119876106413502</v>
      </c>
      <c r="N192" s="106">
        <v>0.240239866510538</v>
      </c>
      <c r="P192" s="106">
        <v>1.7196562981110433</v>
      </c>
      <c r="Q192" s="106">
        <v>1.6187939328726169</v>
      </c>
      <c r="R192" s="106">
        <v>1.7700874807302567</v>
      </c>
      <c r="S192" s="106">
        <v>1.5683627502534034</v>
      </c>
      <c r="AA192" s="106">
        <v>2135</v>
      </c>
      <c r="AB192" s="106">
        <v>1900.62660944206</v>
      </c>
    </row>
    <row r="193" spans="1:28" x14ac:dyDescent="0.2">
      <c r="A193" s="14">
        <v>43655</v>
      </c>
      <c r="B193" s="106">
        <v>2164</v>
      </c>
      <c r="C193" s="106">
        <v>2118</v>
      </c>
      <c r="D193" s="106">
        <v>1246</v>
      </c>
      <c r="E193" s="106">
        <v>1232</v>
      </c>
      <c r="F193" s="106">
        <v>1.7191558441558401</v>
      </c>
      <c r="G193" s="106">
        <v>1.66719089156967</v>
      </c>
      <c r="H193" s="106">
        <v>5.1173620109055698E-2</v>
      </c>
      <c r="I193" s="106">
        <v>1.01546367983007</v>
      </c>
      <c r="J193" s="106">
        <v>3.02</v>
      </c>
      <c r="K193" s="106">
        <v>0.89209558255338395</v>
      </c>
      <c r="L193" s="106">
        <v>0.100147791949242</v>
      </c>
      <c r="M193" s="106">
        <v>0.92931918739506802</v>
      </c>
      <c r="N193" s="106">
        <v>0.122214285918697</v>
      </c>
      <c r="P193" s="106">
        <v>1.7183645116787258</v>
      </c>
      <c r="Q193" s="106">
        <v>1.6160172714606142</v>
      </c>
      <c r="R193" s="106">
        <v>1.7695381317877814</v>
      </c>
      <c r="S193" s="106">
        <v>1.5648436513515587</v>
      </c>
      <c r="AA193" s="106">
        <v>2118</v>
      </c>
      <c r="AB193" s="106">
        <v>1892.9442060085837</v>
      </c>
    </row>
    <row r="194" spans="1:28" x14ac:dyDescent="0.2">
      <c r="A194" s="14">
        <v>43654</v>
      </c>
      <c r="B194" s="106">
        <v>2171</v>
      </c>
      <c r="C194" s="106">
        <v>2158</v>
      </c>
      <c r="D194" s="106">
        <v>1250</v>
      </c>
      <c r="E194" s="106">
        <v>1234</v>
      </c>
      <c r="F194" s="106">
        <v>1.74878444084278</v>
      </c>
      <c r="G194" s="106">
        <v>1.66509800104394</v>
      </c>
      <c r="H194" s="106">
        <v>5.2204976744454998E-2</v>
      </c>
      <c r="I194" s="106">
        <v>1.60303566858166</v>
      </c>
      <c r="J194" s="106">
        <v>4.79</v>
      </c>
      <c r="K194" s="106">
        <v>0.89891527631212498</v>
      </c>
      <c r="L194" s="106">
        <v>7.18507746212875E-2</v>
      </c>
      <c r="M194" s="106">
        <v>0.92777830071794598</v>
      </c>
      <c r="N194" s="106">
        <v>0.124346321052625</v>
      </c>
      <c r="P194" s="106">
        <v>1.717302977788395</v>
      </c>
      <c r="Q194" s="106">
        <v>1.612893024299485</v>
      </c>
      <c r="R194" s="106">
        <v>1.76950795453285</v>
      </c>
      <c r="S194" s="106">
        <v>1.56068804755503</v>
      </c>
      <c r="AA194" s="106">
        <v>2158</v>
      </c>
      <c r="AB194" s="106">
        <v>1896.0171673819741</v>
      </c>
    </row>
    <row r="195" spans="1:28" x14ac:dyDescent="0.2">
      <c r="A195" s="14">
        <v>43651</v>
      </c>
      <c r="B195" s="106">
        <v>2198</v>
      </c>
      <c r="C195" s="106">
        <v>2187</v>
      </c>
      <c r="D195" s="106">
        <v>1253</v>
      </c>
      <c r="E195" s="106">
        <v>1253</v>
      </c>
      <c r="F195" s="106">
        <v>1.7454110135674299</v>
      </c>
      <c r="G195" s="106">
        <v>1.6626867403298899</v>
      </c>
      <c r="H195" s="106">
        <v>5.2459785901408998E-2</v>
      </c>
      <c r="I195" s="106">
        <v>1.57690832732356</v>
      </c>
      <c r="J195" s="106">
        <v>4.74</v>
      </c>
      <c r="K195" s="106">
        <v>0.90758257187069302</v>
      </c>
      <c r="L195" s="106">
        <v>7.4455838128769297E-2</v>
      </c>
      <c r="M195" s="106">
        <v>0.92640070141743303</v>
      </c>
      <c r="N195" s="106">
        <v>0.123149977774085</v>
      </c>
      <c r="P195" s="106">
        <v>1.715146526231299</v>
      </c>
      <c r="Q195" s="106">
        <v>1.6102269544284809</v>
      </c>
      <c r="R195" s="106">
        <v>1.7676063121327079</v>
      </c>
      <c r="S195" s="106">
        <v>1.557767168527072</v>
      </c>
      <c r="AA195" s="106">
        <v>2187</v>
      </c>
      <c r="AB195" s="106">
        <v>1925.2103004291846</v>
      </c>
    </row>
    <row r="196" spans="1:28" x14ac:dyDescent="0.2">
      <c r="A196" s="14">
        <v>43650</v>
      </c>
      <c r="B196" s="106">
        <v>2155</v>
      </c>
      <c r="C196" s="106">
        <v>2181</v>
      </c>
      <c r="D196" s="106">
        <v>1262</v>
      </c>
      <c r="E196" s="106">
        <v>1260</v>
      </c>
      <c r="F196" s="106">
        <v>1.7309523809523799</v>
      </c>
      <c r="G196" s="106">
        <v>1.66047873648968</v>
      </c>
      <c r="H196" s="106">
        <v>5.2416494558173203E-2</v>
      </c>
      <c r="I196" s="106">
        <v>1.3444936571345401</v>
      </c>
      <c r="J196" s="106">
        <v>4.07</v>
      </c>
      <c r="K196" s="106">
        <v>0.91511246766236998</v>
      </c>
      <c r="L196" s="106">
        <v>8.5341581242914202E-2</v>
      </c>
      <c r="M196" s="106">
        <v>0.92520370266242202</v>
      </c>
      <c r="N196" s="106">
        <v>0.109514359871073</v>
      </c>
      <c r="P196" s="106">
        <v>1.7128952310478531</v>
      </c>
      <c r="Q196" s="106">
        <v>1.6080622419315069</v>
      </c>
      <c r="R196" s="106">
        <v>1.7653117256060264</v>
      </c>
      <c r="S196" s="106">
        <v>1.5556457473733336</v>
      </c>
      <c r="AA196" s="106">
        <v>2181</v>
      </c>
      <c r="AB196" s="106">
        <v>1935.9656652360516</v>
      </c>
    </row>
    <row r="197" spans="1:28" x14ac:dyDescent="0.2">
      <c r="A197" s="14">
        <v>43649</v>
      </c>
      <c r="B197" s="106">
        <v>2127</v>
      </c>
      <c r="C197" s="106">
        <v>2135</v>
      </c>
      <c r="D197" s="106">
        <v>1248</v>
      </c>
      <c r="E197" s="106">
        <v>1245</v>
      </c>
      <c r="F197" s="106">
        <v>1.714859437751</v>
      </c>
      <c r="G197" s="106">
        <v>1.65827362042627</v>
      </c>
      <c r="H197" s="106">
        <v>5.2882052702161501E-2</v>
      </c>
      <c r="I197" s="106">
        <v>1.0700382158655199</v>
      </c>
      <c r="J197" s="106">
        <v>3.3</v>
      </c>
      <c r="K197" s="106">
        <v>0.91921326410526905</v>
      </c>
      <c r="L197" s="106">
        <v>9.4807844572368793E-2</v>
      </c>
      <c r="M197" s="106">
        <v>0.92359078265430505</v>
      </c>
      <c r="N197" s="106">
        <v>0.13914118567403899</v>
      </c>
      <c r="P197" s="106">
        <v>1.7111556731284314</v>
      </c>
      <c r="Q197" s="106">
        <v>1.6053915677241086</v>
      </c>
      <c r="R197" s="106">
        <v>1.764037725830593</v>
      </c>
      <c r="S197" s="106">
        <v>1.552509515021947</v>
      </c>
      <c r="AA197" s="106">
        <v>2135</v>
      </c>
      <c r="AB197" s="106">
        <v>1912.9184549356223</v>
      </c>
    </row>
    <row r="198" spans="1:28" x14ac:dyDescent="0.2">
      <c r="A198" s="14">
        <v>43648</v>
      </c>
      <c r="B198" s="106">
        <v>2143</v>
      </c>
      <c r="C198" s="106">
        <v>2140</v>
      </c>
      <c r="D198" s="106">
        <v>1245</v>
      </c>
      <c r="E198" s="106">
        <v>1253</v>
      </c>
      <c r="F198" s="106">
        <v>1.7079010375099699</v>
      </c>
      <c r="G198" s="106">
        <v>1.6562191871543399</v>
      </c>
      <c r="H198" s="106">
        <v>5.3631515319117397E-2</v>
      </c>
      <c r="I198" s="106">
        <v>0.96364702820939996</v>
      </c>
      <c r="J198" s="106">
        <v>3.03</v>
      </c>
      <c r="K198" s="106">
        <v>0.92275935004874399</v>
      </c>
      <c r="L198" s="106">
        <v>9.7528910190760404E-2</v>
      </c>
      <c r="M198" s="106">
        <v>0.92257288458512998</v>
      </c>
      <c r="N198" s="106">
        <v>9.31900307686057E-2</v>
      </c>
      <c r="P198" s="106">
        <v>1.7098507024734573</v>
      </c>
      <c r="Q198" s="106">
        <v>1.6025876718352225</v>
      </c>
      <c r="R198" s="106">
        <v>1.7634822177925746</v>
      </c>
      <c r="S198" s="106">
        <v>1.5489561565161052</v>
      </c>
      <c r="AA198" s="106">
        <v>2140</v>
      </c>
      <c r="AB198" s="106">
        <v>1925.2103004291846</v>
      </c>
    </row>
    <row r="199" spans="1:28" x14ac:dyDescent="0.2">
      <c r="A199" s="14">
        <v>43647</v>
      </c>
      <c r="B199" s="106">
        <v>2110</v>
      </c>
      <c r="C199" s="106">
        <v>2141</v>
      </c>
      <c r="D199" s="106">
        <v>1210</v>
      </c>
      <c r="E199" s="106">
        <v>1244</v>
      </c>
      <c r="F199" s="106">
        <v>1.7210610932475801</v>
      </c>
      <c r="G199" s="106">
        <v>1.65428367522201</v>
      </c>
      <c r="H199" s="106">
        <v>5.4346085745908802E-2</v>
      </c>
      <c r="I199" s="106">
        <v>1.22874383884398</v>
      </c>
      <c r="J199" s="106">
        <v>3.88</v>
      </c>
      <c r="K199" s="106">
        <v>0.92474356235914601</v>
      </c>
      <c r="L199" s="106">
        <v>0.13967479698357099</v>
      </c>
      <c r="M199" s="106">
        <v>0.92111614287565802</v>
      </c>
      <c r="N199" s="106">
        <v>0.13471639072187</v>
      </c>
      <c r="P199" s="106">
        <v>1.7086297609679189</v>
      </c>
      <c r="Q199" s="106">
        <v>1.5999375894761012</v>
      </c>
      <c r="R199" s="106">
        <v>1.7629758467138277</v>
      </c>
      <c r="S199" s="106">
        <v>1.5455915037301924</v>
      </c>
      <c r="AA199" s="106">
        <v>2141</v>
      </c>
      <c r="AB199" s="106">
        <v>1911.381974248927</v>
      </c>
    </row>
    <row r="200" spans="1:28" x14ac:dyDescent="0.2">
      <c r="A200" s="14">
        <v>43644</v>
      </c>
      <c r="B200" s="106">
        <v>2080</v>
      </c>
      <c r="C200" s="106">
        <v>2077</v>
      </c>
      <c r="D200" s="106">
        <v>1203</v>
      </c>
      <c r="E200" s="106">
        <v>1200</v>
      </c>
      <c r="F200" s="106">
        <v>1.7308333333333299</v>
      </c>
      <c r="G200" s="106">
        <v>1.65204295157325</v>
      </c>
      <c r="H200" s="106">
        <v>5.5007089535288899E-2</v>
      </c>
      <c r="I200" s="106">
        <v>1.43236776251409</v>
      </c>
      <c r="J200" s="106">
        <v>4.55</v>
      </c>
      <c r="K200" s="106">
        <v>0.92931799670043003</v>
      </c>
      <c r="L200" s="106">
        <v>0.11458043942665801</v>
      </c>
      <c r="M200" s="106">
        <v>0.91895580431021695</v>
      </c>
      <c r="N200" s="106">
        <v>0.20994340531136399</v>
      </c>
      <c r="P200" s="106">
        <v>1.707050041108539</v>
      </c>
      <c r="Q200" s="106">
        <v>1.597035862037961</v>
      </c>
      <c r="R200" s="106">
        <v>1.7620571306438277</v>
      </c>
      <c r="S200" s="106">
        <v>1.5420287725026722</v>
      </c>
      <c r="AA200" s="106">
        <v>2077</v>
      </c>
      <c r="AB200" s="106">
        <v>1843.7768240343348</v>
      </c>
    </row>
    <row r="201" spans="1:28" x14ac:dyDescent="0.2">
      <c r="A201" s="14">
        <v>43643</v>
      </c>
      <c r="B201" s="106">
        <v>2061</v>
      </c>
      <c r="C201" s="106">
        <v>2086</v>
      </c>
      <c r="D201" s="106">
        <v>1196</v>
      </c>
      <c r="E201" s="106">
        <v>1205</v>
      </c>
      <c r="F201" s="106">
        <v>1.7311203319502</v>
      </c>
      <c r="G201" s="106">
        <v>1.64970040717012</v>
      </c>
      <c r="H201" s="106">
        <v>5.5341810778894801E-2</v>
      </c>
      <c r="I201" s="106">
        <v>1.47121902290804</v>
      </c>
      <c r="J201" s="106">
        <v>4.7</v>
      </c>
      <c r="K201" s="106">
        <v>0.92943565553470697</v>
      </c>
      <c r="L201" s="106">
        <v>1.8980945787290399E-2</v>
      </c>
      <c r="M201" s="106">
        <v>0.91589906743486404</v>
      </c>
      <c r="N201" s="106">
        <v>0.31761417605319098</v>
      </c>
      <c r="P201" s="106">
        <v>1.7050422179490148</v>
      </c>
      <c r="Q201" s="106">
        <v>1.5943585963912252</v>
      </c>
      <c r="R201" s="106">
        <v>1.7603840287279096</v>
      </c>
      <c r="S201" s="106">
        <v>1.5390167856123305</v>
      </c>
      <c r="AA201" s="106">
        <v>2086</v>
      </c>
      <c r="AB201" s="106">
        <v>1851.4592274678112</v>
      </c>
    </row>
    <row r="202" spans="1:28" x14ac:dyDescent="0.2">
      <c r="A202" s="14">
        <v>43642</v>
      </c>
      <c r="B202" s="106">
        <v>2035</v>
      </c>
      <c r="C202" s="106">
        <v>2041</v>
      </c>
      <c r="D202" s="106">
        <v>1209</v>
      </c>
      <c r="E202" s="106">
        <v>1205</v>
      </c>
      <c r="F202" s="106">
        <v>1.69377593360995</v>
      </c>
      <c r="G202" s="106">
        <v>1.64779187172387</v>
      </c>
      <c r="H202" s="106">
        <v>5.4967953882315103E-2</v>
      </c>
      <c r="I202" s="106">
        <v>0.83656128049683798</v>
      </c>
      <c r="J202" s="106">
        <v>2.71</v>
      </c>
      <c r="K202" s="106">
        <v>0.92961235561369304</v>
      </c>
      <c r="L202" s="106">
        <v>1.4050923466365099E-2</v>
      </c>
      <c r="M202" s="106">
        <v>0.91266004746418805</v>
      </c>
      <c r="N202" s="106">
        <v>0.33937638811078502</v>
      </c>
      <c r="P202" s="106">
        <v>1.7027598256061851</v>
      </c>
      <c r="Q202" s="106">
        <v>1.5928239178415549</v>
      </c>
      <c r="R202" s="106">
        <v>1.7577277794885002</v>
      </c>
      <c r="S202" s="106">
        <v>1.5378559639592397</v>
      </c>
      <c r="AA202" s="106">
        <v>2041</v>
      </c>
      <c r="AB202" s="106">
        <v>1851.4592274678112</v>
      </c>
    </row>
    <row r="203" spans="1:28" x14ac:dyDescent="0.2">
      <c r="A203" s="14">
        <v>43641</v>
      </c>
      <c r="B203" s="106">
        <v>2066</v>
      </c>
      <c r="C203" s="106">
        <v>2036</v>
      </c>
      <c r="D203" s="106">
        <v>1205</v>
      </c>
      <c r="E203" s="106">
        <v>1211</v>
      </c>
      <c r="F203" s="106">
        <v>1.6812551610239399</v>
      </c>
      <c r="G203" s="106">
        <v>1.6464090207664199</v>
      </c>
      <c r="H203" s="106">
        <v>5.5098150849312202E-2</v>
      </c>
      <c r="I203" s="106">
        <v>0.63243756315560695</v>
      </c>
      <c r="J203" s="106">
        <v>2.0699999999999998</v>
      </c>
      <c r="K203" s="106">
        <v>0.92904527759067501</v>
      </c>
      <c r="L203" s="106">
        <v>1.6318483565065701E-2</v>
      </c>
      <c r="M203" s="106">
        <v>0.91023919625946703</v>
      </c>
      <c r="N203" s="106">
        <v>0.25520878210773201</v>
      </c>
      <c r="P203" s="106">
        <v>1.7015071716157322</v>
      </c>
      <c r="Q203" s="106">
        <v>1.5913108699171077</v>
      </c>
      <c r="R203" s="106">
        <v>1.7566053224650444</v>
      </c>
      <c r="S203" s="106">
        <v>1.5362127190677954</v>
      </c>
      <c r="AA203" s="106">
        <v>2036</v>
      </c>
      <c r="AB203" s="106">
        <v>1860.6781115879828</v>
      </c>
    </row>
    <row r="204" spans="1:28" x14ac:dyDescent="0.2">
      <c r="A204" s="14">
        <v>43640</v>
      </c>
      <c r="B204" s="106">
        <v>2060</v>
      </c>
      <c r="C204" s="106">
        <v>2056</v>
      </c>
      <c r="D204" s="106">
        <v>1218</v>
      </c>
      <c r="E204" s="106">
        <v>1213</v>
      </c>
      <c r="F204" s="106">
        <v>1.6949711459192001</v>
      </c>
      <c r="G204" s="106">
        <v>1.6454223457405499</v>
      </c>
      <c r="H204" s="106">
        <v>5.5127884389184797E-2</v>
      </c>
      <c r="I204" s="106">
        <v>0.89879741854141204</v>
      </c>
      <c r="J204" s="106">
        <v>2.92</v>
      </c>
      <c r="K204" s="106">
        <v>0.92752463700260901</v>
      </c>
      <c r="L204" s="106">
        <v>1.2927233656383499E-2</v>
      </c>
      <c r="M204" s="106">
        <v>0.908341385972116</v>
      </c>
      <c r="N204" s="106">
        <v>0.207355239005654</v>
      </c>
      <c r="P204" s="106">
        <v>1.7005502301297346</v>
      </c>
      <c r="Q204" s="106">
        <v>1.5902944613513652</v>
      </c>
      <c r="R204" s="106">
        <v>1.7556781145189195</v>
      </c>
      <c r="S204" s="106">
        <v>1.5351665769621803</v>
      </c>
      <c r="AA204" s="106">
        <v>2056</v>
      </c>
      <c r="AB204" s="106">
        <v>1863.7510729613734</v>
      </c>
    </row>
    <row r="205" spans="1:28" x14ac:dyDescent="0.2">
      <c r="A205" s="14">
        <v>43637</v>
      </c>
      <c r="B205" s="106">
        <v>2105</v>
      </c>
      <c r="C205" s="106">
        <v>2063</v>
      </c>
      <c r="D205" s="106">
        <v>1218</v>
      </c>
      <c r="E205" s="106">
        <v>1208</v>
      </c>
      <c r="F205" s="106">
        <v>1.70778145695364</v>
      </c>
      <c r="G205" s="106">
        <v>1.6443337308767401</v>
      </c>
      <c r="H205" s="106">
        <v>5.4944523005637597E-2</v>
      </c>
      <c r="I205" s="106">
        <v>1.1547597941724801</v>
      </c>
      <c r="J205" s="106">
        <v>3.72</v>
      </c>
      <c r="K205" s="106">
        <v>0.92802044929132999</v>
      </c>
      <c r="L205" s="106">
        <v>2.1404473722291401E-2</v>
      </c>
      <c r="M205" s="106">
        <v>0.906195535955444</v>
      </c>
      <c r="N205" s="106">
        <v>0.23297822551588099</v>
      </c>
      <c r="P205" s="106">
        <v>1.6992782538823776</v>
      </c>
      <c r="Q205" s="106">
        <v>1.5893892078711025</v>
      </c>
      <c r="R205" s="106">
        <v>1.7542227768880152</v>
      </c>
      <c r="S205" s="106">
        <v>1.5344446848654649</v>
      </c>
      <c r="AA205" s="106">
        <v>2063</v>
      </c>
      <c r="AB205" s="106">
        <v>1856.0686695278969</v>
      </c>
    </row>
    <row r="206" spans="1:28" x14ac:dyDescent="0.2">
      <c r="A206" s="14">
        <v>43636</v>
      </c>
      <c r="B206" s="106">
        <v>2121</v>
      </c>
      <c r="C206" s="106">
        <v>2116</v>
      </c>
      <c r="D206" s="106">
        <v>1237</v>
      </c>
      <c r="E206" s="106">
        <v>1226</v>
      </c>
      <c r="F206" s="106">
        <v>1.72593800978792</v>
      </c>
      <c r="G206" s="106">
        <v>1.6431043291038601</v>
      </c>
      <c r="H206" s="106">
        <v>5.45411848027407E-2</v>
      </c>
      <c r="I206" s="106">
        <v>1.5187363637890701</v>
      </c>
      <c r="J206" s="106">
        <v>4.8</v>
      </c>
      <c r="K206" s="106">
        <v>0.92721766991809396</v>
      </c>
      <c r="L206" s="106">
        <v>2.1792118780309198E-2</v>
      </c>
      <c r="M206" s="106">
        <v>0.90384684586645403</v>
      </c>
      <c r="N206" s="106">
        <v>0.30524851671398601</v>
      </c>
      <c r="P206" s="106">
        <v>1.6976455139066007</v>
      </c>
      <c r="Q206" s="106">
        <v>1.5885631443011194</v>
      </c>
      <c r="R206" s="106">
        <v>1.7521866987093415</v>
      </c>
      <c r="S206" s="106">
        <v>1.5340219594983786</v>
      </c>
      <c r="AA206" s="106">
        <v>2116</v>
      </c>
      <c r="AB206" s="106">
        <v>1883.7253218884121</v>
      </c>
    </row>
    <row r="207" spans="1:28" x14ac:dyDescent="0.2">
      <c r="A207" s="14">
        <v>43635</v>
      </c>
      <c r="B207" s="106">
        <v>2107</v>
      </c>
      <c r="C207" s="106">
        <v>2108</v>
      </c>
      <c r="D207" s="106">
        <v>1231</v>
      </c>
      <c r="E207" s="106">
        <v>1230</v>
      </c>
      <c r="F207" s="106">
        <v>1.7138211382113799</v>
      </c>
      <c r="G207" s="106">
        <v>1.6421599019470201</v>
      </c>
      <c r="H207" s="106">
        <v>5.3705528961619502E-2</v>
      </c>
      <c r="I207" s="106">
        <v>1.3343362899482301</v>
      </c>
      <c r="J207" s="106">
        <v>4.18</v>
      </c>
      <c r="K207" s="106">
        <v>0.93011647620828497</v>
      </c>
      <c r="L207" s="106">
        <v>0.13097142924694299</v>
      </c>
      <c r="M207" s="106">
        <v>0.90148163446734597</v>
      </c>
      <c r="N207" s="106">
        <v>0.31860896492754298</v>
      </c>
      <c r="P207" s="106">
        <v>1.6958654309086396</v>
      </c>
      <c r="Q207" s="106">
        <v>1.5884543729854006</v>
      </c>
      <c r="R207" s="106">
        <v>1.7495709598702591</v>
      </c>
      <c r="S207" s="106">
        <v>1.5347488440237811</v>
      </c>
      <c r="AA207" s="106">
        <v>2108</v>
      </c>
      <c r="AB207" s="106">
        <v>1889.8712446351931</v>
      </c>
    </row>
    <row r="208" spans="1:28" x14ac:dyDescent="0.2">
      <c r="A208" s="14">
        <v>43634</v>
      </c>
      <c r="B208" s="106">
        <v>2137</v>
      </c>
      <c r="C208" s="106">
        <v>2067</v>
      </c>
      <c r="D208" s="106">
        <v>1231</v>
      </c>
      <c r="E208" s="106">
        <v>1224</v>
      </c>
      <c r="F208" s="106">
        <v>1.68872549019607</v>
      </c>
      <c r="G208" s="106">
        <v>1.64145613958472</v>
      </c>
      <c r="H208" s="106">
        <v>5.3104328518884199E-2</v>
      </c>
      <c r="I208" s="106">
        <v>0.89012236722927196</v>
      </c>
      <c r="J208" s="106">
        <v>2.8</v>
      </c>
      <c r="K208" s="106">
        <v>0.93095392126683296</v>
      </c>
      <c r="L208" s="106">
        <v>3.8942948709480602E-3</v>
      </c>
      <c r="M208" s="106">
        <v>0.89911561422507502</v>
      </c>
      <c r="N208" s="106">
        <v>0.28044396745892802</v>
      </c>
      <c r="P208" s="106">
        <v>1.6945604681036042</v>
      </c>
      <c r="Q208" s="106">
        <v>1.5883518110658359</v>
      </c>
      <c r="R208" s="106">
        <v>1.7476647966224885</v>
      </c>
      <c r="S208" s="106">
        <v>1.5352474825469515</v>
      </c>
      <c r="AA208" s="106">
        <v>2067</v>
      </c>
      <c r="AB208" s="106">
        <v>1880.6523605150214</v>
      </c>
    </row>
    <row r="209" spans="1:28" x14ac:dyDescent="0.2">
      <c r="A209" s="14">
        <v>43633</v>
      </c>
      <c r="B209" s="106">
        <v>2133</v>
      </c>
      <c r="C209" s="106">
        <v>2132</v>
      </c>
      <c r="D209" s="106">
        <v>1279</v>
      </c>
      <c r="E209" s="106">
        <v>1250</v>
      </c>
      <c r="F209" s="106">
        <v>1.7056</v>
      </c>
      <c r="G209" s="106">
        <v>1.6409736980205301</v>
      </c>
      <c r="H209" s="106">
        <v>5.2836387067990903E-2</v>
      </c>
      <c r="I209" s="106">
        <v>1.2231400662635299</v>
      </c>
      <c r="J209" s="106">
        <v>3.79</v>
      </c>
      <c r="K209" s="106">
        <v>0.93165923171157905</v>
      </c>
      <c r="L209" s="106">
        <v>0.169852781241946</v>
      </c>
      <c r="M209" s="106">
        <v>0.89734252391657399</v>
      </c>
      <c r="N209" s="106">
        <v>0.29125313931156599</v>
      </c>
      <c r="P209" s="106">
        <v>1.6938100850885209</v>
      </c>
      <c r="Q209" s="106">
        <v>1.5881373109525392</v>
      </c>
      <c r="R209" s="106">
        <v>1.7466464721565118</v>
      </c>
      <c r="S209" s="106">
        <v>1.5353009238845483</v>
      </c>
      <c r="AA209" s="106">
        <v>2132</v>
      </c>
      <c r="AB209" s="106">
        <v>1920.6008583690987</v>
      </c>
    </row>
    <row r="210" spans="1:28" x14ac:dyDescent="0.2">
      <c r="A210" s="14">
        <v>43630</v>
      </c>
      <c r="B210" s="106">
        <v>2154</v>
      </c>
      <c r="C210" s="106">
        <v>2147</v>
      </c>
      <c r="D210" s="106">
        <v>1277</v>
      </c>
      <c r="E210" s="106">
        <v>1289</v>
      </c>
      <c r="F210" s="106">
        <v>1.6656322730799</v>
      </c>
      <c r="G210" s="106">
        <v>1.6397076693696799</v>
      </c>
      <c r="H210" s="106">
        <v>5.2408545208796502E-2</v>
      </c>
      <c r="I210" s="106">
        <v>0.49466367759180402</v>
      </c>
      <c r="J210" s="106">
        <v>1.56</v>
      </c>
      <c r="K210" s="106">
        <v>0.93123882732720697</v>
      </c>
      <c r="L210" s="106">
        <v>0.20562308087832401</v>
      </c>
      <c r="M210" s="106">
        <v>0.89578823658321804</v>
      </c>
      <c r="N210" s="106">
        <v>0.28568318452250901</v>
      </c>
      <c r="P210" s="106">
        <v>1.6921162145784765</v>
      </c>
      <c r="Q210" s="106">
        <v>1.5872991241608834</v>
      </c>
      <c r="R210" s="106">
        <v>1.7445247597872728</v>
      </c>
      <c r="S210" s="106">
        <v>1.534890578952087</v>
      </c>
      <c r="AA210" s="106">
        <v>2147</v>
      </c>
      <c r="AB210" s="106">
        <v>1980.5236051502145</v>
      </c>
    </row>
    <row r="211" spans="1:28" x14ac:dyDescent="0.2">
      <c r="A211" s="14">
        <v>43629</v>
      </c>
      <c r="B211" s="106">
        <v>2180</v>
      </c>
      <c r="C211" s="106">
        <v>2155</v>
      </c>
      <c r="D211" s="106">
        <v>1263</v>
      </c>
      <c r="E211" s="106">
        <v>1277</v>
      </c>
      <c r="F211" s="106">
        <v>1.6875489428347601</v>
      </c>
      <c r="G211" s="106">
        <v>1.6383341300276799</v>
      </c>
      <c r="H211" s="106">
        <v>5.3057024498520303E-2</v>
      </c>
      <c r="I211" s="106">
        <v>0.927583355309611</v>
      </c>
      <c r="J211" s="106">
        <v>2.92</v>
      </c>
      <c r="K211" s="106">
        <v>0.93098869331298495</v>
      </c>
      <c r="L211" s="106">
        <v>0.17738465368772399</v>
      </c>
      <c r="M211" s="106">
        <v>0.89404818452266399</v>
      </c>
      <c r="N211" s="106">
        <v>0.30718005576955698</v>
      </c>
      <c r="P211" s="106">
        <v>1.6913911545262001</v>
      </c>
      <c r="Q211" s="106">
        <v>1.5852771055291597</v>
      </c>
      <c r="R211" s="106">
        <v>1.7444481790247206</v>
      </c>
      <c r="S211" s="106">
        <v>1.5322200810306392</v>
      </c>
      <c r="AA211" s="106">
        <v>2155</v>
      </c>
      <c r="AB211" s="106">
        <v>1962.0858369098712</v>
      </c>
    </row>
    <row r="212" spans="1:28" x14ac:dyDescent="0.2">
      <c r="A212" s="14">
        <v>43628</v>
      </c>
      <c r="B212" s="106">
        <v>2205</v>
      </c>
      <c r="C212" s="106">
        <v>2200</v>
      </c>
      <c r="D212" s="106">
        <v>1262</v>
      </c>
      <c r="E212" s="106">
        <v>1266</v>
      </c>
      <c r="F212" s="106">
        <v>1.7377567140600301</v>
      </c>
      <c r="G212" s="106">
        <v>1.6364214691749801</v>
      </c>
      <c r="H212" s="106">
        <v>5.3828407469945799E-2</v>
      </c>
      <c r="I212" s="106">
        <v>1.8825607081470199</v>
      </c>
      <c r="J212" s="106">
        <v>5.83</v>
      </c>
      <c r="K212" s="106">
        <v>0.933353849627787</v>
      </c>
      <c r="L212" s="106">
        <v>0.17030221034816601</v>
      </c>
      <c r="M212" s="106">
        <v>0.89302634890423205</v>
      </c>
      <c r="N212" s="106">
        <v>0.28742334805061698</v>
      </c>
      <c r="P212" s="106">
        <v>1.6902498766449259</v>
      </c>
      <c r="Q212" s="106">
        <v>1.5825930617050343</v>
      </c>
      <c r="R212" s="106">
        <v>1.7440782841148716</v>
      </c>
      <c r="S212" s="106">
        <v>1.5287646542350886</v>
      </c>
      <c r="AA212" s="106">
        <v>2200</v>
      </c>
      <c r="AB212" s="106">
        <v>1945.1845493562232</v>
      </c>
    </row>
    <row r="213" spans="1:28" x14ac:dyDescent="0.2">
      <c r="A213" s="14">
        <v>43627</v>
      </c>
      <c r="B213" s="106">
        <v>2157</v>
      </c>
      <c r="C213" s="106">
        <v>2198</v>
      </c>
      <c r="D213" s="106">
        <v>1280</v>
      </c>
      <c r="E213" s="106">
        <v>1275</v>
      </c>
      <c r="F213" s="106">
        <v>1.7239215686274501</v>
      </c>
      <c r="G213" s="106">
        <v>1.63338225899978</v>
      </c>
      <c r="H213" s="106">
        <v>5.4452385845035901E-2</v>
      </c>
      <c r="I213" s="106">
        <v>1.6627243824600599</v>
      </c>
      <c r="J213" s="106">
        <v>5.25</v>
      </c>
      <c r="K213" s="106">
        <v>0.93477356779864396</v>
      </c>
      <c r="L213" s="106">
        <v>2.1571768069098998E-3</v>
      </c>
      <c r="M213" s="106">
        <v>0.89172531479807304</v>
      </c>
      <c r="N213" s="106">
        <v>0.56770368822002804</v>
      </c>
      <c r="P213" s="106">
        <v>1.6878346448448158</v>
      </c>
      <c r="Q213" s="106">
        <v>1.5789298731547441</v>
      </c>
      <c r="R213" s="106">
        <v>1.7422870306898517</v>
      </c>
      <c r="S213" s="106">
        <v>1.5244774873097082</v>
      </c>
      <c r="AA213" s="106">
        <v>2198</v>
      </c>
      <c r="AB213" s="106">
        <v>1959.0128755364806</v>
      </c>
    </row>
    <row r="214" spans="1:28" x14ac:dyDescent="0.2">
      <c r="A214" s="14">
        <v>43626</v>
      </c>
      <c r="B214" s="106">
        <v>2144</v>
      </c>
      <c r="C214" s="106">
        <v>2146</v>
      </c>
      <c r="D214" s="106">
        <v>1289</v>
      </c>
      <c r="E214" s="106">
        <v>1290</v>
      </c>
      <c r="F214" s="106">
        <v>1.6635658914728599</v>
      </c>
      <c r="G214" s="106">
        <v>1.6304130584459999</v>
      </c>
      <c r="H214" s="106">
        <v>5.5495935259811897E-2</v>
      </c>
      <c r="I214" s="106">
        <v>0.59739209496437995</v>
      </c>
      <c r="J214" s="106">
        <v>1.99</v>
      </c>
      <c r="K214" s="106">
        <v>0.93351498357664697</v>
      </c>
      <c r="L214" s="106">
        <v>1.0100431985407201E-3</v>
      </c>
      <c r="M214" s="106">
        <v>0.89030392034704997</v>
      </c>
      <c r="N214" s="106">
        <v>0.29727492042306602</v>
      </c>
      <c r="P214" s="106">
        <v>1.6859089937058118</v>
      </c>
      <c r="Q214" s="106">
        <v>1.574917123186188</v>
      </c>
      <c r="R214" s="106">
        <v>1.7414049289656237</v>
      </c>
      <c r="S214" s="106">
        <v>1.5194211879263761</v>
      </c>
      <c r="AA214" s="106">
        <v>2146</v>
      </c>
      <c r="AB214" s="106">
        <v>1982.0600858369098</v>
      </c>
    </row>
    <row r="215" spans="1:28" x14ac:dyDescent="0.2">
      <c r="A215" s="14">
        <v>43623</v>
      </c>
      <c r="B215" s="106">
        <v>2117</v>
      </c>
      <c r="C215" s="106">
        <v>2142</v>
      </c>
      <c r="D215" s="106">
        <v>1262</v>
      </c>
      <c r="E215" s="106">
        <v>1274</v>
      </c>
      <c r="F215" s="106">
        <v>1.68131868131868</v>
      </c>
      <c r="G215" s="106">
        <v>1.62799537475556</v>
      </c>
      <c r="H215" s="106">
        <v>5.7896779621655098E-2</v>
      </c>
      <c r="I215" s="106">
        <v>0.92100643440925201</v>
      </c>
      <c r="J215" s="106">
        <v>3.17</v>
      </c>
      <c r="K215" s="106">
        <v>0.93157767590472096</v>
      </c>
      <c r="L215" s="106">
        <v>0.287883543116637</v>
      </c>
      <c r="M215" s="106">
        <v>0.88918209953549598</v>
      </c>
      <c r="N215" s="106">
        <v>0.25303437582148403</v>
      </c>
      <c r="P215" s="106">
        <v>1.6858921543772152</v>
      </c>
      <c r="Q215" s="106">
        <v>1.5700985951339048</v>
      </c>
      <c r="R215" s="106">
        <v>1.7437889339988701</v>
      </c>
      <c r="S215" s="106">
        <v>1.5122018155122499</v>
      </c>
      <c r="AA215" s="106">
        <v>2142</v>
      </c>
      <c r="AB215" s="106">
        <v>1957.4763948497853</v>
      </c>
    </row>
    <row r="216" spans="1:28" x14ac:dyDescent="0.2">
      <c r="A216" s="14">
        <v>43622</v>
      </c>
      <c r="B216" s="106">
        <v>2118</v>
      </c>
      <c r="C216" s="106">
        <v>2113</v>
      </c>
      <c r="D216" s="106">
        <v>1286</v>
      </c>
      <c r="E216" s="106">
        <v>1272</v>
      </c>
      <c r="F216" s="106">
        <v>1.66116352201257</v>
      </c>
      <c r="G216" s="106">
        <v>1.6256145795850601</v>
      </c>
      <c r="H216" s="106">
        <v>5.9309182145119099E-2</v>
      </c>
      <c r="I216" s="106">
        <v>0.59938345365358503</v>
      </c>
      <c r="J216" s="106">
        <v>2.14</v>
      </c>
      <c r="K216" s="106">
        <v>0.929651490724969</v>
      </c>
      <c r="L216" s="106">
        <v>1.0391691705198399E-2</v>
      </c>
      <c r="M216" s="106">
        <v>0.88763050060614601</v>
      </c>
      <c r="N216" s="106">
        <v>0.52926535964132804</v>
      </c>
      <c r="P216" s="106">
        <v>1.6849237617301791</v>
      </c>
      <c r="Q216" s="106">
        <v>1.566305397439941</v>
      </c>
      <c r="R216" s="106">
        <v>1.7442329438752981</v>
      </c>
      <c r="S216" s="106">
        <v>1.506996215294822</v>
      </c>
      <c r="AA216" s="106">
        <v>2113</v>
      </c>
      <c r="AB216" s="106">
        <v>1954.4034334763949</v>
      </c>
    </row>
    <row r="217" spans="1:28" x14ac:dyDescent="0.2">
      <c r="A217" s="14">
        <v>43621</v>
      </c>
      <c r="B217" s="106">
        <v>2144</v>
      </c>
      <c r="C217" s="106">
        <v>2141</v>
      </c>
      <c r="D217" s="106">
        <v>1289</v>
      </c>
      <c r="E217" s="106">
        <v>1291</v>
      </c>
      <c r="F217" s="106">
        <v>1.65840433772269</v>
      </c>
      <c r="G217" s="106">
        <v>1.62399063446412</v>
      </c>
      <c r="H217" s="106">
        <v>5.9977267839034398E-2</v>
      </c>
      <c r="I217" s="106">
        <v>0.57377910829368095</v>
      </c>
      <c r="J217" s="106">
        <v>2.08</v>
      </c>
      <c r="K217" s="106">
        <v>0.92837131894360003</v>
      </c>
      <c r="L217" s="106">
        <v>0.287112663633106</v>
      </c>
      <c r="M217" s="106">
        <v>0.88568435504443499</v>
      </c>
      <c r="N217" s="106">
        <v>0.60708745465241898</v>
      </c>
      <c r="P217" s="106">
        <v>1.6839679023031544</v>
      </c>
      <c r="Q217" s="106">
        <v>1.5640133666250855</v>
      </c>
      <c r="R217" s="106">
        <v>1.7439451701421889</v>
      </c>
      <c r="S217" s="106">
        <v>1.504036098786051</v>
      </c>
      <c r="AA217" s="106">
        <v>2141</v>
      </c>
      <c r="AB217" s="106">
        <v>1983.5965665236051</v>
      </c>
    </row>
    <row r="218" spans="1:28" x14ac:dyDescent="0.2">
      <c r="A218" s="14">
        <v>43620</v>
      </c>
      <c r="B218" s="106">
        <v>2065</v>
      </c>
      <c r="C218" s="106">
        <v>2103</v>
      </c>
      <c r="D218" s="106">
        <v>1265</v>
      </c>
      <c r="E218" s="106">
        <v>1276</v>
      </c>
      <c r="F218" s="106">
        <v>1.6481191222570499</v>
      </c>
      <c r="G218" s="106">
        <v>1.62264142903246</v>
      </c>
      <c r="H218" s="106">
        <v>6.0325091286129902E-2</v>
      </c>
      <c r="I218" s="106">
        <v>0.42233990337031402</v>
      </c>
      <c r="J218" s="106">
        <v>1.55</v>
      </c>
      <c r="K218" s="106">
        <v>0.92860781741732101</v>
      </c>
      <c r="L218" s="106">
        <v>0.16610599609245799</v>
      </c>
      <c r="M218" s="106">
        <v>0.88487757566041403</v>
      </c>
      <c r="N218" s="106">
        <v>0.472504506252866</v>
      </c>
      <c r="P218" s="106">
        <v>1.68296652031859</v>
      </c>
      <c r="Q218" s="106">
        <v>1.5623163377463301</v>
      </c>
      <c r="R218" s="106">
        <v>1.7432916116047199</v>
      </c>
      <c r="S218" s="106">
        <v>1.5019912464602001</v>
      </c>
      <c r="AA218" s="106">
        <v>2103</v>
      </c>
      <c r="AB218" s="106">
        <v>1960.5493562231759</v>
      </c>
    </row>
    <row r="219" spans="1:28" x14ac:dyDescent="0.2">
      <c r="A219" s="14">
        <v>43619</v>
      </c>
      <c r="B219" s="106">
        <v>2050</v>
      </c>
      <c r="C219" s="106">
        <v>2046</v>
      </c>
      <c r="D219" s="106">
        <v>1265</v>
      </c>
      <c r="E219" s="106">
        <v>1263</v>
      </c>
      <c r="F219" s="106">
        <v>1.61995249406175</v>
      </c>
      <c r="G219" s="106">
        <v>1.62187072838312</v>
      </c>
      <c r="H219" s="106">
        <v>6.0363894602502501E-2</v>
      </c>
      <c r="I219" s="106">
        <v>-3.1777842268141697E-2</v>
      </c>
      <c r="J219" s="106">
        <v>-0.12</v>
      </c>
      <c r="K219" s="106">
        <v>0.92913073178416905</v>
      </c>
      <c r="L219" s="106">
        <v>0.15493756388462801</v>
      </c>
      <c r="M219" s="106">
        <v>0.88320530564139399</v>
      </c>
      <c r="N219" s="106">
        <v>0.281836432074969</v>
      </c>
      <c r="P219" s="106">
        <v>1.6822346229856224</v>
      </c>
      <c r="Q219" s="106">
        <v>1.5615068337806175</v>
      </c>
      <c r="R219" s="106">
        <v>1.7425985175881249</v>
      </c>
      <c r="S219" s="106">
        <v>1.501142939178115</v>
      </c>
      <c r="AA219" s="106">
        <v>2046</v>
      </c>
      <c r="AB219" s="106">
        <v>1940.5751072961373</v>
      </c>
    </row>
    <row r="220" spans="1:28" x14ac:dyDescent="0.2">
      <c r="A220" s="14">
        <v>43616</v>
      </c>
      <c r="B220" s="106">
        <v>2093</v>
      </c>
      <c r="C220" s="106">
        <v>2078</v>
      </c>
      <c r="D220" s="106">
        <v>1279</v>
      </c>
      <c r="E220" s="106">
        <v>1283</v>
      </c>
      <c r="F220" s="106">
        <v>1.6196414653156599</v>
      </c>
      <c r="G220" s="106">
        <v>1.6213893231601999</v>
      </c>
      <c r="H220" s="106">
        <v>6.0521039653864399E-2</v>
      </c>
      <c r="I220" s="106">
        <v>-2.8880168855944199E-2</v>
      </c>
      <c r="J220" s="106">
        <v>-0.11</v>
      </c>
      <c r="K220" s="106">
        <v>0.92988785786966399</v>
      </c>
      <c r="L220" s="106">
        <v>8.3113988648197499E-3</v>
      </c>
      <c r="M220" s="106">
        <v>0.88222010418799701</v>
      </c>
      <c r="N220" s="106">
        <v>0.19154555536776699</v>
      </c>
      <c r="P220" s="106">
        <v>1.6819103628140644</v>
      </c>
      <c r="Q220" s="106">
        <v>1.5608682835063354</v>
      </c>
      <c r="R220" s="106">
        <v>1.7424314024679286</v>
      </c>
      <c r="S220" s="106">
        <v>1.5003472438524712</v>
      </c>
      <c r="AA220" s="106">
        <v>2078</v>
      </c>
      <c r="AB220" s="106">
        <v>1971.3047210300429</v>
      </c>
    </row>
    <row r="221" spans="1:28" x14ac:dyDescent="0.2">
      <c r="A221" s="14">
        <v>43615</v>
      </c>
      <c r="B221" s="106">
        <v>2066</v>
      </c>
      <c r="C221" s="106">
        <v>2113</v>
      </c>
      <c r="D221" s="106">
        <v>1269</v>
      </c>
      <c r="E221" s="106">
        <v>1272</v>
      </c>
      <c r="F221" s="106">
        <v>1.66116352201257</v>
      </c>
      <c r="G221" s="106">
        <v>1.6203136356472501</v>
      </c>
      <c r="H221" s="106">
        <v>6.1255058622035598E-2</v>
      </c>
      <c r="I221" s="106">
        <v>0.66688184264719796</v>
      </c>
      <c r="J221" s="106">
        <v>2.46</v>
      </c>
      <c r="K221" s="106">
        <v>0.92698000909465095</v>
      </c>
      <c r="L221" s="106">
        <v>5.1012652375894297E-3</v>
      </c>
      <c r="M221" s="106">
        <v>0.88097334583144604</v>
      </c>
      <c r="N221" s="106">
        <v>0.21547265931961099</v>
      </c>
      <c r="P221" s="106">
        <v>1.6815686942692856</v>
      </c>
      <c r="Q221" s="106">
        <v>1.5590585770252146</v>
      </c>
      <c r="R221" s="106">
        <v>1.7428237528913213</v>
      </c>
      <c r="S221" s="106">
        <v>1.4978035184031788</v>
      </c>
      <c r="AA221" s="106">
        <v>2113</v>
      </c>
      <c r="AB221" s="106">
        <v>1954.4034334763949</v>
      </c>
    </row>
    <row r="222" spans="1:28" x14ac:dyDescent="0.2">
      <c r="A222" s="14">
        <v>43614</v>
      </c>
      <c r="B222" s="106">
        <v>2045</v>
      </c>
      <c r="C222" s="106">
        <v>2074</v>
      </c>
      <c r="D222" s="106">
        <v>1266</v>
      </c>
      <c r="E222" s="106">
        <v>1282</v>
      </c>
      <c r="F222" s="106">
        <v>1.61778471138845</v>
      </c>
      <c r="G222" s="106">
        <v>1.61791474060091</v>
      </c>
      <c r="H222" s="106">
        <v>6.3103412249307794E-2</v>
      </c>
      <c r="I222" s="106">
        <v>-2.0605733957148099E-3</v>
      </c>
      <c r="J222" s="106">
        <v>-0.01</v>
      </c>
      <c r="K222" s="106">
        <v>0.92571437222308295</v>
      </c>
      <c r="L222" s="106">
        <v>0.126390910481647</v>
      </c>
      <c r="M222" s="106">
        <v>0.87959608938125</v>
      </c>
      <c r="N222" s="106">
        <v>0.18174155125990499</v>
      </c>
      <c r="P222" s="106">
        <v>1.6810181528502177</v>
      </c>
      <c r="Q222" s="106">
        <v>1.5548113283516023</v>
      </c>
      <c r="R222" s="106">
        <v>1.7441215650995257</v>
      </c>
      <c r="S222" s="106">
        <v>1.4917079161022944</v>
      </c>
      <c r="AA222" s="106">
        <v>2074</v>
      </c>
      <c r="AB222" s="106">
        <v>1969.7682403433475</v>
      </c>
    </row>
    <row r="223" spans="1:28" x14ac:dyDescent="0.2">
      <c r="A223" s="14">
        <v>43613</v>
      </c>
      <c r="B223" s="106">
        <v>2067</v>
      </c>
      <c r="C223" s="106">
        <v>2080</v>
      </c>
      <c r="D223" s="106">
        <v>1282</v>
      </c>
      <c r="E223" s="106">
        <v>1287</v>
      </c>
      <c r="F223" s="106">
        <v>1.6161616161616099</v>
      </c>
      <c r="G223" s="106">
        <v>1.61601035517387</v>
      </c>
      <c r="H223" s="106">
        <v>6.5199006850023805E-2</v>
      </c>
      <c r="I223" s="106">
        <v>2.3199891385809702E-3</v>
      </c>
      <c r="J223" s="106">
        <v>0.01</v>
      </c>
      <c r="K223" s="106">
        <v>0.92482008402584504</v>
      </c>
      <c r="L223" s="106">
        <v>0.117764716536762</v>
      </c>
      <c r="M223" s="106">
        <v>0.878194799392084</v>
      </c>
      <c r="N223" s="106">
        <v>0.18214327338432801</v>
      </c>
      <c r="P223" s="106">
        <v>1.6812093620238939</v>
      </c>
      <c r="Q223" s="106">
        <v>1.5508113483238462</v>
      </c>
      <c r="R223" s="106">
        <v>1.7464083688739176</v>
      </c>
      <c r="S223" s="106">
        <v>1.4856123414738225</v>
      </c>
      <c r="AA223" s="106">
        <v>2080</v>
      </c>
      <c r="AB223" s="106">
        <v>1977.4506437768239</v>
      </c>
    </row>
    <row r="224" spans="1:28" x14ac:dyDescent="0.2">
      <c r="A224" s="14">
        <v>43612</v>
      </c>
      <c r="B224" s="106">
        <v>2088</v>
      </c>
      <c r="C224" s="106">
        <v>2090</v>
      </c>
      <c r="D224" s="106">
        <v>1287</v>
      </c>
      <c r="E224" s="106">
        <v>1287</v>
      </c>
      <c r="F224" s="106">
        <v>1.6239316239316199</v>
      </c>
      <c r="G224" s="106">
        <v>1.6143165208874499</v>
      </c>
      <c r="H224" s="106">
        <v>6.6803514816106496E-2</v>
      </c>
      <c r="I224" s="106">
        <v>0.143931095102422</v>
      </c>
      <c r="J224" s="106">
        <v>0.59</v>
      </c>
      <c r="K224" s="106">
        <v>0.92550874954606699</v>
      </c>
      <c r="L224" s="106">
        <v>6.5564436723613895E-2</v>
      </c>
      <c r="M224" s="106">
        <v>0.87661626237779999</v>
      </c>
      <c r="N224" s="106">
        <v>0.18486812758412599</v>
      </c>
      <c r="P224" s="106">
        <v>1.6811200357035565</v>
      </c>
      <c r="Q224" s="106">
        <v>1.5475130060713433</v>
      </c>
      <c r="R224" s="106">
        <v>1.7479235505196629</v>
      </c>
      <c r="S224" s="106">
        <v>1.480709491255237</v>
      </c>
      <c r="AA224" s="106">
        <v>2090</v>
      </c>
      <c r="AB224" s="106">
        <v>1977.4506437768239</v>
      </c>
    </row>
    <row r="225" spans="1:28" x14ac:dyDescent="0.2">
      <c r="A225" s="14">
        <v>43609</v>
      </c>
      <c r="B225" s="106">
        <v>2081</v>
      </c>
      <c r="C225" s="106">
        <v>2094</v>
      </c>
      <c r="D225" s="106">
        <v>1280</v>
      </c>
      <c r="E225" s="106">
        <v>1293</v>
      </c>
      <c r="F225" s="106">
        <v>1.61948955916473</v>
      </c>
      <c r="G225" s="106">
        <v>1.6126206810388499</v>
      </c>
      <c r="H225" s="106">
        <v>6.8138923007471194E-2</v>
      </c>
      <c r="I225" s="106">
        <v>0.10080696645472401</v>
      </c>
      <c r="J225" s="106">
        <v>0.42</v>
      </c>
      <c r="K225" s="106">
        <v>0.92370848930052896</v>
      </c>
      <c r="L225" s="106">
        <v>6.0080283444856802E-2</v>
      </c>
      <c r="M225" s="106">
        <v>0.87511265223782497</v>
      </c>
      <c r="N225" s="106">
        <v>0.17639128111840999</v>
      </c>
      <c r="P225" s="106">
        <v>1.6807596040463211</v>
      </c>
      <c r="Q225" s="106">
        <v>1.5444817580313788</v>
      </c>
      <c r="R225" s="106">
        <v>1.7488985270537922</v>
      </c>
      <c r="S225" s="106">
        <v>1.4763428350239076</v>
      </c>
      <c r="AA225" s="106">
        <v>2094</v>
      </c>
      <c r="AB225" s="106">
        <v>1986.6695278969958</v>
      </c>
    </row>
    <row r="226" spans="1:28" x14ac:dyDescent="0.2">
      <c r="A226" s="14">
        <v>43608</v>
      </c>
      <c r="B226" s="106">
        <v>2137</v>
      </c>
      <c r="C226" s="106">
        <v>2120</v>
      </c>
      <c r="D226" s="106">
        <v>1275</v>
      </c>
      <c r="E226" s="106">
        <v>1285</v>
      </c>
      <c r="F226" s="106">
        <v>1.6498054474708099</v>
      </c>
      <c r="G226" s="106">
        <v>1.6111667903992399</v>
      </c>
      <c r="H226" s="106">
        <v>6.9132920412769194E-2</v>
      </c>
      <c r="I226" s="106">
        <v>0.55890387446198297</v>
      </c>
      <c r="J226" s="106">
        <v>2.34</v>
      </c>
      <c r="K226" s="106">
        <v>0.92040065832620499</v>
      </c>
      <c r="L226" s="106">
        <v>1.03355303694343E-2</v>
      </c>
      <c r="M226" s="106">
        <v>0.873669215767373</v>
      </c>
      <c r="N226" s="106">
        <v>0.18315221529648401</v>
      </c>
      <c r="P226" s="106">
        <v>1.680299710812009</v>
      </c>
      <c r="Q226" s="106">
        <v>1.5420338699864709</v>
      </c>
      <c r="R226" s="106">
        <v>1.7494326312247783</v>
      </c>
      <c r="S226" s="106">
        <v>1.4729009495737015</v>
      </c>
      <c r="AA226" s="106">
        <v>2120</v>
      </c>
      <c r="AB226" s="106">
        <v>1974.3776824034335</v>
      </c>
    </row>
    <row r="227" spans="1:28" x14ac:dyDescent="0.2">
      <c r="A227" s="14">
        <v>43607</v>
      </c>
      <c r="B227" s="106">
        <v>2147</v>
      </c>
      <c r="C227" s="106">
        <v>2155</v>
      </c>
      <c r="D227" s="106">
        <v>1272</v>
      </c>
      <c r="E227" s="106">
        <v>1264</v>
      </c>
      <c r="F227" s="106">
        <v>1.70490506329113</v>
      </c>
      <c r="G227" s="106">
        <v>1.6095168591804401</v>
      </c>
      <c r="H227" s="106">
        <v>6.9665677601456005E-2</v>
      </c>
      <c r="I227" s="106">
        <v>1.3692281105251101</v>
      </c>
      <c r="J227" s="106">
        <v>5.59</v>
      </c>
      <c r="K227" s="106">
        <v>0.91459348289664899</v>
      </c>
      <c r="L227" s="106">
        <v>1.02379486349298E-2</v>
      </c>
      <c r="M227" s="106">
        <v>0.87272261215459601</v>
      </c>
      <c r="N227" s="106">
        <v>0.18132240432747401</v>
      </c>
      <c r="P227" s="106">
        <v>1.679182536781896</v>
      </c>
      <c r="Q227" s="106">
        <v>1.5398511815789842</v>
      </c>
      <c r="R227" s="106">
        <v>1.7488482143833521</v>
      </c>
      <c r="S227" s="106">
        <v>1.470185503977528</v>
      </c>
      <c r="AA227" s="106">
        <v>2155</v>
      </c>
      <c r="AB227" s="106">
        <v>1942.1115879828326</v>
      </c>
    </row>
    <row r="228" spans="1:28" x14ac:dyDescent="0.2">
      <c r="A228" s="14">
        <v>43606</v>
      </c>
      <c r="B228" s="106">
        <v>2163</v>
      </c>
      <c r="C228" s="106">
        <v>2145</v>
      </c>
      <c r="D228" s="106">
        <v>1262</v>
      </c>
      <c r="E228" s="106">
        <v>1284</v>
      </c>
      <c r="F228" s="106">
        <v>1.67056074766355</v>
      </c>
      <c r="G228" s="106">
        <v>1.6067887860777199</v>
      </c>
      <c r="H228" s="106">
        <v>6.9882694416769905E-2</v>
      </c>
      <c r="I228" s="106">
        <v>0.91255728071242503</v>
      </c>
      <c r="J228" s="106">
        <v>3.82</v>
      </c>
      <c r="K228" s="106">
        <v>0.90784880976203197</v>
      </c>
      <c r="L228" s="106">
        <v>1.4924032270242501E-2</v>
      </c>
      <c r="M228" s="106">
        <v>0.87154160885373999</v>
      </c>
      <c r="N228" s="106">
        <v>0.17404447686007299</v>
      </c>
      <c r="P228" s="106">
        <v>1.6766714804944898</v>
      </c>
      <c r="Q228" s="106">
        <v>1.53690609166095</v>
      </c>
      <c r="R228" s="106">
        <v>1.7465541749112596</v>
      </c>
      <c r="S228" s="106">
        <v>1.4670233972441802</v>
      </c>
      <c r="AA228" s="106">
        <v>2145</v>
      </c>
      <c r="AB228" s="106">
        <v>1972.8412017167382</v>
      </c>
    </row>
    <row r="229" spans="1:28" x14ac:dyDescent="0.2">
      <c r="A229" s="14">
        <v>43605</v>
      </c>
      <c r="B229" s="106">
        <v>2179</v>
      </c>
      <c r="C229" s="106">
        <v>2174</v>
      </c>
      <c r="D229" s="106">
        <v>1265</v>
      </c>
      <c r="E229" s="106">
        <v>1270</v>
      </c>
      <c r="F229" s="106">
        <v>1.7118110236220401</v>
      </c>
      <c r="G229" s="106">
        <v>1.6045346387763399</v>
      </c>
      <c r="H229" s="106">
        <v>7.0513087529129007E-2</v>
      </c>
      <c r="I229" s="106">
        <v>1.5213684240019301</v>
      </c>
      <c r="J229" s="106">
        <v>6.27</v>
      </c>
      <c r="K229" s="106">
        <v>0.90101425905547095</v>
      </c>
      <c r="L229" s="106">
        <v>2.4712838767051801E-2</v>
      </c>
      <c r="M229" s="106">
        <v>0.87067173283288102</v>
      </c>
      <c r="N229" s="106">
        <v>0.16173110248251599</v>
      </c>
      <c r="P229" s="106">
        <v>1.6750477263054691</v>
      </c>
      <c r="Q229" s="106">
        <v>1.5340215512472108</v>
      </c>
      <c r="R229" s="106">
        <v>1.7455608138345979</v>
      </c>
      <c r="S229" s="106">
        <v>1.463508463718082</v>
      </c>
      <c r="AA229" s="106">
        <v>2174</v>
      </c>
      <c r="AB229" s="106">
        <v>1951.3304721030042</v>
      </c>
    </row>
    <row r="230" spans="1:28" x14ac:dyDescent="0.2">
      <c r="A230" s="14">
        <v>43602</v>
      </c>
      <c r="B230" s="106">
        <v>2184</v>
      </c>
      <c r="C230" s="106">
        <v>2187</v>
      </c>
      <c r="D230" s="106">
        <v>1259</v>
      </c>
      <c r="E230" s="106">
        <v>1256</v>
      </c>
      <c r="F230" s="106">
        <v>1.7412420382165601</v>
      </c>
      <c r="G230" s="106">
        <v>1.6022188968787601</v>
      </c>
      <c r="H230" s="106">
        <v>6.98003119946701E-2</v>
      </c>
      <c r="I230" s="106">
        <v>1.9917266465572101</v>
      </c>
      <c r="J230" s="106">
        <v>7.98</v>
      </c>
      <c r="K230" s="106">
        <v>0.88018243436852595</v>
      </c>
      <c r="L230" s="106">
        <v>0.25201020984688199</v>
      </c>
      <c r="M230" s="106">
        <v>0.86987639671357497</v>
      </c>
      <c r="N230" s="106">
        <v>0.18083259180497899</v>
      </c>
      <c r="P230" s="106">
        <v>1.6720192088734303</v>
      </c>
      <c r="Q230" s="106">
        <v>1.5324185848840899</v>
      </c>
      <c r="R230" s="106">
        <v>1.7418195208681002</v>
      </c>
      <c r="S230" s="106">
        <v>1.4626182728894199</v>
      </c>
      <c r="AA230" s="106">
        <v>2187</v>
      </c>
      <c r="AB230" s="106">
        <v>1929.8197424892703</v>
      </c>
    </row>
    <row r="231" spans="1:28" x14ac:dyDescent="0.2">
      <c r="A231" s="14">
        <v>43601</v>
      </c>
      <c r="B231" s="106">
        <v>2147</v>
      </c>
      <c r="C231" s="106">
        <v>2157</v>
      </c>
      <c r="D231" s="106">
        <v>1270</v>
      </c>
      <c r="E231" s="106">
        <v>1248</v>
      </c>
      <c r="F231" s="106">
        <v>1.7283653846153799</v>
      </c>
      <c r="G231" s="106">
        <v>1.5996256593826299</v>
      </c>
      <c r="H231" s="106">
        <v>6.8181263418178401E-2</v>
      </c>
      <c r="I231" s="106">
        <v>1.88819800013311</v>
      </c>
      <c r="J231" s="106">
        <v>7.45</v>
      </c>
      <c r="K231" s="106">
        <v>0.86487206091543201</v>
      </c>
      <c r="L231" s="106">
        <v>0.28116285002377001</v>
      </c>
      <c r="M231" s="106">
        <v>0.86854558340353305</v>
      </c>
      <c r="N231" s="106">
        <v>0.1958554623249</v>
      </c>
      <c r="P231" s="106">
        <v>1.6678069228008083</v>
      </c>
      <c r="Q231" s="106">
        <v>1.5314443959644515</v>
      </c>
      <c r="R231" s="106">
        <v>1.7359881862189868</v>
      </c>
      <c r="S231" s="106">
        <v>1.463263132546273</v>
      </c>
      <c r="AA231" s="106">
        <v>2157</v>
      </c>
      <c r="AB231" s="106">
        <v>1917.527896995708</v>
      </c>
    </row>
    <row r="232" spans="1:28" x14ac:dyDescent="0.2">
      <c r="A232" s="14">
        <v>43600</v>
      </c>
      <c r="B232" s="106">
        <v>2176</v>
      </c>
      <c r="C232" s="106">
        <v>2144</v>
      </c>
      <c r="D232" s="106">
        <v>1263</v>
      </c>
      <c r="E232" s="106">
        <v>1270</v>
      </c>
      <c r="F232" s="106">
        <v>1.6881889763779501</v>
      </c>
      <c r="G232" s="106">
        <v>1.5971913182167199</v>
      </c>
      <c r="H232" s="106">
        <v>6.6786354198634296E-2</v>
      </c>
      <c r="I232" s="106">
        <v>1.3625187248667701</v>
      </c>
      <c r="J232" s="106">
        <v>5.39</v>
      </c>
      <c r="K232" s="106">
        <v>0.84564317560667002</v>
      </c>
      <c r="L232" s="106">
        <v>0.320787958025121</v>
      </c>
      <c r="M232" s="106">
        <v>0.86679239412243503</v>
      </c>
      <c r="N232" s="106">
        <v>0.18888221148738801</v>
      </c>
      <c r="P232" s="106">
        <v>1.6639776724153541</v>
      </c>
      <c r="Q232" s="106">
        <v>1.5304049640180857</v>
      </c>
      <c r="R232" s="106">
        <v>1.7307640266139885</v>
      </c>
      <c r="S232" s="106">
        <v>1.4636186098194512</v>
      </c>
      <c r="AA232" s="106">
        <v>2144</v>
      </c>
      <c r="AB232" s="106">
        <v>1951.3304721030042</v>
      </c>
    </row>
    <row r="233" spans="1:28" x14ac:dyDescent="0.2">
      <c r="A233" s="14">
        <v>43599</v>
      </c>
      <c r="B233" s="106">
        <v>2125</v>
      </c>
      <c r="C233" s="106">
        <v>2185</v>
      </c>
      <c r="D233" s="106">
        <v>1228</v>
      </c>
      <c r="E233" s="106">
        <v>1273</v>
      </c>
      <c r="F233" s="106">
        <v>1.7164179104477599</v>
      </c>
      <c r="G233" s="106">
        <v>1.5950299935388501</v>
      </c>
      <c r="H233" s="106">
        <v>6.6428488930552795E-2</v>
      </c>
      <c r="I233" s="106">
        <v>1.82734725511842</v>
      </c>
      <c r="J233" s="106">
        <v>7.07</v>
      </c>
      <c r="K233" s="106">
        <v>0.80671659839816701</v>
      </c>
      <c r="L233" s="106">
        <v>0.29340164582632</v>
      </c>
      <c r="M233" s="106">
        <v>0.86560791796188197</v>
      </c>
      <c r="N233" s="106">
        <v>0.16871422965795099</v>
      </c>
      <c r="P233" s="106">
        <v>1.661458482469403</v>
      </c>
      <c r="Q233" s="106">
        <v>1.5286015046082972</v>
      </c>
      <c r="R233" s="106">
        <v>1.7278869713999556</v>
      </c>
      <c r="S233" s="106">
        <v>1.4621730156777446</v>
      </c>
      <c r="AA233" s="106">
        <v>2185</v>
      </c>
      <c r="AB233" s="106">
        <v>1955.9399141630902</v>
      </c>
    </row>
    <row r="234" spans="1:28" x14ac:dyDescent="0.2">
      <c r="A234" s="14">
        <v>43598</v>
      </c>
      <c r="B234" s="106">
        <v>2351</v>
      </c>
      <c r="C234" s="106">
        <v>2230</v>
      </c>
      <c r="D234" s="106">
        <v>1261</v>
      </c>
      <c r="E234" s="106">
        <v>1247</v>
      </c>
      <c r="F234" s="106">
        <v>1.78829190056134</v>
      </c>
      <c r="G234" s="106">
        <v>1.59268225754713</v>
      </c>
      <c r="H234" s="106">
        <v>6.5196997905166004E-2</v>
      </c>
      <c r="I234" s="106">
        <v>3.0002860453595699</v>
      </c>
      <c r="J234" s="106">
        <v>10.94</v>
      </c>
      <c r="K234" s="106">
        <v>0.76210857455122005</v>
      </c>
      <c r="L234" s="106">
        <v>8.8088115252119001E-2</v>
      </c>
      <c r="M234" s="106">
        <v>0.86499798897328795</v>
      </c>
      <c r="N234" s="106">
        <v>0.204314208495537</v>
      </c>
      <c r="P234" s="106">
        <v>1.6578792554522961</v>
      </c>
      <c r="Q234" s="106">
        <v>1.5274852596419639</v>
      </c>
      <c r="R234" s="106">
        <v>1.723076253357462</v>
      </c>
      <c r="S234" s="106">
        <v>1.462288261736798</v>
      </c>
      <c r="AA234" s="106">
        <v>2230</v>
      </c>
      <c r="AB234" s="106">
        <v>1915.9914163090127</v>
      </c>
    </row>
    <row r="235" spans="1:28" x14ac:dyDescent="0.2">
      <c r="A235" s="14">
        <v>43595</v>
      </c>
      <c r="B235" s="106">
        <v>2259</v>
      </c>
      <c r="C235" s="106">
        <v>2325</v>
      </c>
      <c r="D235" s="106">
        <v>1349</v>
      </c>
      <c r="E235" s="106">
        <v>1336</v>
      </c>
      <c r="F235" s="106">
        <v>1.74026946107784</v>
      </c>
      <c r="G235" s="106">
        <v>1.58925529020425</v>
      </c>
      <c r="H235" s="106">
        <v>6.1473706584526999E-2</v>
      </c>
      <c r="I235" s="106">
        <v>2.4565652416930499</v>
      </c>
      <c r="J235" s="106">
        <v>8.68</v>
      </c>
      <c r="K235" s="106">
        <v>0.73477941240882005</v>
      </c>
      <c r="L235" s="106">
        <v>3.1413023887497102E-2</v>
      </c>
      <c r="M235" s="106">
        <v>0.86500636021112098</v>
      </c>
      <c r="N235" s="106">
        <v>0.21486598689303099</v>
      </c>
      <c r="P235" s="106">
        <v>1.650728996788777</v>
      </c>
      <c r="Q235" s="106">
        <v>1.527781583619723</v>
      </c>
      <c r="R235" s="106">
        <v>1.712202703373304</v>
      </c>
      <c r="S235" s="106">
        <v>1.4663078770351961</v>
      </c>
      <c r="AA235" s="106">
        <v>2325</v>
      </c>
      <c r="AB235" s="106">
        <v>2052.7381974248929</v>
      </c>
    </row>
    <row r="236" spans="1:28" x14ac:dyDescent="0.2">
      <c r="A236" s="14">
        <v>43594</v>
      </c>
      <c r="B236" s="106">
        <v>2305</v>
      </c>
      <c r="C236" s="106">
        <v>2258</v>
      </c>
      <c r="D236" s="106">
        <v>1360</v>
      </c>
      <c r="E236" s="106">
        <v>1360</v>
      </c>
      <c r="F236" s="106">
        <v>1.66029411764705</v>
      </c>
      <c r="G236" s="106">
        <v>1.5865131724619901</v>
      </c>
      <c r="H236" s="106">
        <v>5.9221962525651602E-2</v>
      </c>
      <c r="I236" s="106">
        <v>1.2458375582050101</v>
      </c>
      <c r="J236" s="106">
        <v>4.4400000000000004</v>
      </c>
      <c r="K236" s="106">
        <v>0.70617114042058704</v>
      </c>
      <c r="L236" s="106">
        <v>0.11052726335012</v>
      </c>
      <c r="M236" s="106">
        <v>0.86352913758744698</v>
      </c>
      <c r="N236" s="106">
        <v>0.23178696486067399</v>
      </c>
      <c r="P236" s="106">
        <v>1.6457351349876417</v>
      </c>
      <c r="Q236" s="106">
        <v>1.5272912099363385</v>
      </c>
      <c r="R236" s="106">
        <v>1.7049570975132933</v>
      </c>
      <c r="S236" s="106">
        <v>1.4680692474106869</v>
      </c>
      <c r="AA236" s="106">
        <v>2258</v>
      </c>
      <c r="AB236" s="106">
        <v>2089.6137339055795</v>
      </c>
    </row>
    <row r="237" spans="1:28" x14ac:dyDescent="0.2">
      <c r="A237" s="14">
        <v>43593</v>
      </c>
      <c r="B237" s="106">
        <v>2365</v>
      </c>
      <c r="C237" s="106">
        <v>2338</v>
      </c>
      <c r="D237" s="106">
        <v>1398</v>
      </c>
      <c r="E237" s="106">
        <v>1390</v>
      </c>
      <c r="F237" s="106">
        <v>1.6820143884892</v>
      </c>
      <c r="G237" s="106">
        <v>1.5846502317744899</v>
      </c>
      <c r="H237" s="106">
        <v>5.90691319410988E-2</v>
      </c>
      <c r="I237" s="106">
        <v>1.64830857531139</v>
      </c>
      <c r="J237" s="106">
        <v>5.79</v>
      </c>
      <c r="K237" s="106">
        <v>0.69067462980203997</v>
      </c>
      <c r="L237" s="106">
        <v>0.124846927314016</v>
      </c>
      <c r="M237" s="106">
        <v>0.86362698528364801</v>
      </c>
      <c r="N237" s="106">
        <v>0.123680037737271</v>
      </c>
      <c r="P237" s="106">
        <v>1.6437193637155887</v>
      </c>
      <c r="Q237" s="106">
        <v>1.5255810998333912</v>
      </c>
      <c r="R237" s="106">
        <v>1.7027884956566874</v>
      </c>
      <c r="S237" s="106">
        <v>1.4665119678922924</v>
      </c>
      <c r="AA237" s="106">
        <v>2338</v>
      </c>
      <c r="AB237" s="106">
        <v>2135.7081545064375</v>
      </c>
    </row>
    <row r="238" spans="1:28" x14ac:dyDescent="0.2">
      <c r="A238" s="14">
        <v>43592</v>
      </c>
      <c r="B238" s="106">
        <v>2405</v>
      </c>
      <c r="C238" s="106">
        <v>2378</v>
      </c>
      <c r="D238" s="106">
        <v>1403</v>
      </c>
      <c r="E238" s="106">
        <v>1412</v>
      </c>
      <c r="F238" s="106">
        <v>1.6841359773371101</v>
      </c>
      <c r="G238" s="106">
        <v>1.5828834392679001</v>
      </c>
      <c r="H238" s="106">
        <v>5.81043281488237E-2</v>
      </c>
      <c r="I238" s="106">
        <v>1.7425988957287899</v>
      </c>
      <c r="J238" s="106">
        <v>6.01</v>
      </c>
      <c r="K238" s="106">
        <v>0.68387548054500802</v>
      </c>
      <c r="L238" s="106">
        <v>7.4099209308645594E-2</v>
      </c>
      <c r="M238" s="106">
        <v>0.86333846670784198</v>
      </c>
      <c r="N238" s="106">
        <v>0.125480549149947</v>
      </c>
      <c r="P238" s="106">
        <v>1.6409877674167237</v>
      </c>
      <c r="Q238" s="106">
        <v>1.5247791111190765</v>
      </c>
      <c r="R238" s="106">
        <v>1.6990920955655475</v>
      </c>
      <c r="S238" s="106">
        <v>1.4666747829702527</v>
      </c>
      <c r="AA238" s="106">
        <v>2378</v>
      </c>
      <c r="AB238" s="106">
        <v>2169.5107296137339</v>
      </c>
    </row>
    <row r="239" spans="1:28" x14ac:dyDescent="0.2">
      <c r="A239" s="14">
        <v>43581</v>
      </c>
      <c r="B239" s="106">
        <v>2351</v>
      </c>
      <c r="C239" s="106">
        <v>2405</v>
      </c>
      <c r="D239" s="106">
        <v>1380</v>
      </c>
      <c r="E239" s="106">
        <v>1398</v>
      </c>
      <c r="F239" s="106">
        <v>1.7203147353361901</v>
      </c>
      <c r="G239" s="106">
        <v>1.5809617891363501</v>
      </c>
      <c r="H239" s="106">
        <v>5.7098439088152902E-2</v>
      </c>
      <c r="I239" s="106">
        <v>2.4405736553444499</v>
      </c>
      <c r="J239" s="106">
        <v>8.1</v>
      </c>
      <c r="K239" s="106">
        <v>0.69545187578532697</v>
      </c>
      <c r="L239" s="106">
        <v>5.7158558637689198E-2</v>
      </c>
      <c r="M239" s="106">
        <v>0.86308809758191296</v>
      </c>
      <c r="N239" s="106">
        <v>0.13601558577688599</v>
      </c>
      <c r="P239" s="106">
        <v>1.6380602282245029</v>
      </c>
      <c r="Q239" s="106">
        <v>1.5238633500481973</v>
      </c>
      <c r="R239" s="106">
        <v>1.695158667312656</v>
      </c>
      <c r="S239" s="106">
        <v>1.4667649109600442</v>
      </c>
      <c r="AA239" s="106">
        <v>2405</v>
      </c>
      <c r="AB239" s="106">
        <v>2148</v>
      </c>
    </row>
    <row r="240" spans="1:28" x14ac:dyDescent="0.2">
      <c r="A240" s="14">
        <v>43580</v>
      </c>
      <c r="B240" s="106">
        <v>2333</v>
      </c>
      <c r="C240" s="106">
        <v>2373</v>
      </c>
      <c r="D240" s="106">
        <v>1448</v>
      </c>
      <c r="E240" s="106">
        <v>1399</v>
      </c>
      <c r="F240" s="106">
        <v>1.6962115796997801</v>
      </c>
      <c r="G240" s="106">
        <v>1.57928282631006</v>
      </c>
      <c r="H240" s="106">
        <v>5.4780422691224302E-2</v>
      </c>
      <c r="I240" s="106">
        <v>2.13449892580782</v>
      </c>
      <c r="J240" s="106">
        <v>6.89</v>
      </c>
      <c r="K240" s="106">
        <v>0.68488481139978097</v>
      </c>
      <c r="L240" s="106">
        <v>6.0545371340927301E-2</v>
      </c>
      <c r="M240" s="106">
        <v>0.86164581710863497</v>
      </c>
      <c r="N240" s="106">
        <v>0.20534955122017601</v>
      </c>
      <c r="P240" s="106">
        <v>1.6340632490012843</v>
      </c>
      <c r="Q240" s="106">
        <v>1.5245024036188357</v>
      </c>
      <c r="R240" s="106">
        <v>1.6888436716925086</v>
      </c>
      <c r="S240" s="106">
        <v>1.4697219809276114</v>
      </c>
      <c r="AA240" s="106">
        <v>2373</v>
      </c>
      <c r="AB240" s="106">
        <v>2149.5364806866951</v>
      </c>
    </row>
    <row r="241" spans="1:28" x14ac:dyDescent="0.2">
      <c r="A241" s="14">
        <v>43579</v>
      </c>
      <c r="B241" s="106">
        <v>2365</v>
      </c>
      <c r="C241" s="106">
        <v>2328</v>
      </c>
      <c r="D241" s="106">
        <v>1500</v>
      </c>
      <c r="E241" s="106">
        <v>1476</v>
      </c>
      <c r="F241" s="106">
        <v>1.5772357723577199</v>
      </c>
      <c r="G241" s="106">
        <v>1.5779229533211001</v>
      </c>
      <c r="H241" s="106">
        <v>5.3101064395225397E-2</v>
      </c>
      <c r="I241" s="106">
        <v>-1.29410016768944E-2</v>
      </c>
      <c r="J241" s="106">
        <v>-0.04</v>
      </c>
      <c r="K241" s="106">
        <v>0.67051634172739905</v>
      </c>
      <c r="L241" s="106">
        <v>6.6142068420018907E-2</v>
      </c>
      <c r="M241" s="106">
        <v>0.85818277894092698</v>
      </c>
      <c r="N241" s="106">
        <v>0.27785145846530301</v>
      </c>
      <c r="P241" s="106">
        <v>1.6310240177163255</v>
      </c>
      <c r="Q241" s="106">
        <v>1.5248218889258747</v>
      </c>
      <c r="R241" s="106">
        <v>1.684125082111551</v>
      </c>
      <c r="S241" s="106">
        <v>1.4717208245306492</v>
      </c>
      <c r="AA241" s="106">
        <v>2328</v>
      </c>
      <c r="AB241" s="106">
        <v>2267.8454935622317</v>
      </c>
    </row>
    <row r="242" spans="1:28" x14ac:dyDescent="0.2">
      <c r="A242" s="14">
        <v>43578</v>
      </c>
      <c r="B242" s="106">
        <v>2349</v>
      </c>
      <c r="C242" s="106">
        <v>2360</v>
      </c>
      <c r="D242" s="106">
        <v>1486</v>
      </c>
      <c r="E242" s="106">
        <v>1486</v>
      </c>
      <c r="F242" s="106">
        <v>1.5881561238223401</v>
      </c>
      <c r="G242" s="106">
        <v>1.5780192402184601</v>
      </c>
      <c r="H242" s="106">
        <v>5.3106278095802498E-2</v>
      </c>
      <c r="I242" s="106">
        <v>0.19087919484001301</v>
      </c>
      <c r="J242" s="106">
        <v>0.64</v>
      </c>
      <c r="K242" s="106">
        <v>0.65728024831250398</v>
      </c>
      <c r="L242" s="106">
        <v>5.4933485314424303E-2</v>
      </c>
      <c r="M242" s="106">
        <v>0.85520138120742695</v>
      </c>
      <c r="N242" s="106">
        <v>0.26394784306473501</v>
      </c>
      <c r="P242" s="106">
        <v>1.6311255183142626</v>
      </c>
      <c r="Q242" s="106">
        <v>1.5249129621226576</v>
      </c>
      <c r="R242" s="106">
        <v>1.684231796410065</v>
      </c>
      <c r="S242" s="106">
        <v>1.4718066840268551</v>
      </c>
      <c r="AA242" s="106">
        <v>2360</v>
      </c>
      <c r="AB242" s="106">
        <v>2283.2103004291844</v>
      </c>
    </row>
    <row r="243" spans="1:28" x14ac:dyDescent="0.2">
      <c r="A243" s="14">
        <v>43577</v>
      </c>
      <c r="B243" s="106">
        <v>2330</v>
      </c>
      <c r="C243" s="106">
        <v>2346</v>
      </c>
      <c r="D243" s="106">
        <v>1456</v>
      </c>
      <c r="E243" s="106">
        <v>1476</v>
      </c>
      <c r="F243" s="106">
        <v>1.5894308943089399</v>
      </c>
      <c r="G243" s="106">
        <v>1.5779528279750401</v>
      </c>
      <c r="H243" s="106">
        <v>5.3096673438131098E-2</v>
      </c>
      <c r="I243" s="106">
        <v>0.216172983930318</v>
      </c>
      <c r="J243" s="106">
        <v>0.72</v>
      </c>
      <c r="K243" s="106">
        <v>0.64425839656192596</v>
      </c>
      <c r="L243" s="106">
        <v>6.3670533096984103E-2</v>
      </c>
      <c r="M243" s="106">
        <v>0.85215361225645803</v>
      </c>
      <c r="N243" s="106">
        <v>0.26319024887917503</v>
      </c>
      <c r="P243" s="106">
        <v>1.6310495014131712</v>
      </c>
      <c r="Q243" s="106">
        <v>1.524856154536909</v>
      </c>
      <c r="R243" s="106">
        <v>1.6841461748513022</v>
      </c>
      <c r="S243" s="106">
        <v>1.471759481098778</v>
      </c>
      <c r="AA243" s="106">
        <v>2346</v>
      </c>
      <c r="AB243" s="106">
        <v>2267.8454935622317</v>
      </c>
    </row>
    <row r="244" spans="1:28" x14ac:dyDescent="0.2">
      <c r="A244" s="14">
        <v>43574</v>
      </c>
      <c r="B244" s="106">
        <v>2342</v>
      </c>
      <c r="C244" s="106">
        <v>2335</v>
      </c>
      <c r="D244" s="106">
        <v>1480</v>
      </c>
      <c r="E244" s="106">
        <v>1470</v>
      </c>
      <c r="F244" s="106">
        <v>1.58843537414966</v>
      </c>
      <c r="G244" s="106">
        <v>1.5775039415312899</v>
      </c>
      <c r="H244" s="106">
        <v>5.31400316367465E-2</v>
      </c>
      <c r="I244" s="106">
        <v>0.20570993809503099</v>
      </c>
      <c r="J244" s="106">
        <v>0.69</v>
      </c>
      <c r="K244" s="106">
        <v>0.62867383725760995</v>
      </c>
      <c r="L244" s="106">
        <v>8.0631657875487206E-2</v>
      </c>
      <c r="M244" s="106">
        <v>0.84862943570725002</v>
      </c>
      <c r="N244" s="106">
        <v>0.29204440563011203</v>
      </c>
      <c r="P244" s="106">
        <v>1.6306439731680364</v>
      </c>
      <c r="Q244" s="106">
        <v>1.5243639098945434</v>
      </c>
      <c r="R244" s="106">
        <v>1.683784004804783</v>
      </c>
      <c r="S244" s="106">
        <v>1.4712238782577969</v>
      </c>
      <c r="AA244" s="106">
        <v>2335</v>
      </c>
      <c r="AB244" s="106">
        <v>2258.6266094420598</v>
      </c>
    </row>
    <row r="245" spans="1:28" x14ac:dyDescent="0.2">
      <c r="A245" s="14">
        <v>43573</v>
      </c>
      <c r="B245" s="106">
        <v>2369</v>
      </c>
      <c r="C245" s="106">
        <v>2332</v>
      </c>
      <c r="D245" s="106">
        <v>1480</v>
      </c>
      <c r="E245" s="106">
        <v>1472</v>
      </c>
      <c r="F245" s="106">
        <v>1.58423913043478</v>
      </c>
      <c r="G245" s="106">
        <v>1.57653817137825</v>
      </c>
      <c r="H245" s="106">
        <v>5.3588890143372002E-2</v>
      </c>
      <c r="I245" s="106">
        <v>0.14370439536861501</v>
      </c>
      <c r="J245" s="106">
        <v>0.49</v>
      </c>
      <c r="K245" s="106">
        <v>0.61131998471206495</v>
      </c>
      <c r="L245" s="106">
        <v>6.05704640802575E-2</v>
      </c>
      <c r="M245" s="106">
        <v>0.84512114657440895</v>
      </c>
      <c r="N245" s="106">
        <v>0.29951059838239202</v>
      </c>
      <c r="P245" s="106">
        <v>1.6301270615216221</v>
      </c>
      <c r="Q245" s="106">
        <v>1.5229492812348779</v>
      </c>
      <c r="R245" s="106">
        <v>1.683715951664994</v>
      </c>
      <c r="S245" s="106">
        <v>1.4693603910915061</v>
      </c>
      <c r="AA245" s="106">
        <v>2332</v>
      </c>
      <c r="AB245" s="106">
        <v>2261.6995708154504</v>
      </c>
    </row>
    <row r="246" spans="1:28" x14ac:dyDescent="0.2">
      <c r="A246" s="14">
        <v>43572</v>
      </c>
      <c r="B246" s="106">
        <v>2360</v>
      </c>
      <c r="C246" s="106">
        <v>2362</v>
      </c>
      <c r="D246" s="106">
        <v>1468</v>
      </c>
      <c r="E246" s="106">
        <v>1489</v>
      </c>
      <c r="F246" s="106">
        <v>1.58629952988582</v>
      </c>
      <c r="G246" s="106">
        <v>1.57564180085104</v>
      </c>
      <c r="H246" s="106">
        <v>5.4013154419745399E-2</v>
      </c>
      <c r="I246" s="106">
        <v>0.19731728593304099</v>
      </c>
      <c r="J246" s="106">
        <v>0.67</v>
      </c>
      <c r="K246" s="106">
        <v>0.59341310871921604</v>
      </c>
      <c r="L246" s="106">
        <v>2.7382854685608301E-2</v>
      </c>
      <c r="M246" s="106">
        <v>0.84198920376110797</v>
      </c>
      <c r="N246" s="106">
        <v>0.300235926428501</v>
      </c>
      <c r="P246" s="106">
        <v>1.6296549552707853</v>
      </c>
      <c r="Q246" s="106">
        <v>1.5216286464312947</v>
      </c>
      <c r="R246" s="106">
        <v>1.6836681096905308</v>
      </c>
      <c r="S246" s="106">
        <v>1.4676154920115492</v>
      </c>
      <c r="AA246" s="106">
        <v>2362</v>
      </c>
      <c r="AB246" s="106">
        <v>2287.8197424892705</v>
      </c>
    </row>
    <row r="247" spans="1:28" x14ac:dyDescent="0.2">
      <c r="A247" s="14">
        <v>43571</v>
      </c>
      <c r="B247" s="106">
        <v>2362</v>
      </c>
      <c r="C247" s="106">
        <v>2372</v>
      </c>
      <c r="D247" s="106">
        <v>1465</v>
      </c>
      <c r="E247" s="106">
        <v>1467</v>
      </c>
      <c r="F247" s="106">
        <v>1.6169052488070801</v>
      </c>
      <c r="G247" s="106">
        <v>1.5743392417183799</v>
      </c>
      <c r="H247" s="106">
        <v>5.4910919383640497E-2</v>
      </c>
      <c r="I247" s="106">
        <v>0.775182924753266</v>
      </c>
      <c r="J247" s="106">
        <v>2.63</v>
      </c>
      <c r="K247" s="106">
        <v>0.56867440229160504</v>
      </c>
      <c r="L247" s="106">
        <v>1.8715728064125699E-2</v>
      </c>
      <c r="M247" s="106">
        <v>0.83762461363041396</v>
      </c>
      <c r="N247" s="106">
        <v>0.37875272154220302</v>
      </c>
      <c r="P247" s="106">
        <v>1.6292501611020205</v>
      </c>
      <c r="Q247" s="106">
        <v>1.5194283223347393</v>
      </c>
      <c r="R247" s="106">
        <v>1.6841610804856608</v>
      </c>
      <c r="S247" s="106">
        <v>1.464517402951099</v>
      </c>
      <c r="AA247" s="106">
        <v>2372</v>
      </c>
      <c r="AB247" s="106">
        <v>2254.0171673819741</v>
      </c>
    </row>
    <row r="248" spans="1:28" x14ac:dyDescent="0.2">
      <c r="A248" s="14">
        <v>43570</v>
      </c>
      <c r="B248" s="106">
        <v>2363</v>
      </c>
      <c r="C248" s="106">
        <v>2364</v>
      </c>
      <c r="D248" s="106">
        <v>1462</v>
      </c>
      <c r="E248" s="106">
        <v>1459</v>
      </c>
      <c r="F248" s="106">
        <v>1.62028786840301</v>
      </c>
      <c r="G248" s="106">
        <v>1.57269381776112</v>
      </c>
      <c r="H248" s="106">
        <v>5.5457009402194203E-2</v>
      </c>
      <c r="I248" s="106">
        <v>0.85821524014613404</v>
      </c>
      <c r="J248" s="106">
        <v>2.94</v>
      </c>
      <c r="K248" s="106">
        <v>0.53600212504672395</v>
      </c>
      <c r="L248" s="106">
        <v>7.9344512266877002E-3</v>
      </c>
      <c r="M248" s="106">
        <v>0.83228597083085798</v>
      </c>
      <c r="N248" s="106">
        <v>0.44313400753686699</v>
      </c>
      <c r="P248" s="106">
        <v>1.6281508271633143</v>
      </c>
      <c r="Q248" s="106">
        <v>1.5172368083589258</v>
      </c>
      <c r="R248" s="106">
        <v>1.6836078365655085</v>
      </c>
      <c r="S248" s="106">
        <v>1.4617797989567316</v>
      </c>
      <c r="AA248" s="106">
        <v>2364</v>
      </c>
      <c r="AB248" s="106">
        <v>2241.7253218884121</v>
      </c>
    </row>
    <row r="249" spans="1:28" x14ac:dyDescent="0.2">
      <c r="A249" s="14">
        <v>43567</v>
      </c>
      <c r="B249" s="106">
        <v>2348</v>
      </c>
      <c r="C249" s="106">
        <v>2329</v>
      </c>
      <c r="D249" s="106">
        <v>1465</v>
      </c>
      <c r="E249" s="106">
        <v>1445</v>
      </c>
      <c r="F249" s="106">
        <v>1.6117647058823501</v>
      </c>
      <c r="G249" s="106">
        <v>1.57157638867168</v>
      </c>
      <c r="H249" s="106">
        <v>5.5330948604432301E-2</v>
      </c>
      <c r="I249" s="106">
        <v>0.72632619219987005</v>
      </c>
      <c r="J249" s="106">
        <v>2.4900000000000002</v>
      </c>
      <c r="K249" s="106">
        <v>0.48592545024178302</v>
      </c>
      <c r="L249" s="106">
        <v>2.3003554601720301E-2</v>
      </c>
      <c r="M249" s="106">
        <v>0.82765889726449005</v>
      </c>
      <c r="N249" s="106">
        <v>0.37984100876683002</v>
      </c>
      <c r="P249" s="106">
        <v>1.6269073372761123</v>
      </c>
      <c r="Q249" s="106">
        <v>1.5162454400672478</v>
      </c>
      <c r="R249" s="106">
        <v>1.6822382858805447</v>
      </c>
      <c r="S249" s="106">
        <v>1.4609144914628154</v>
      </c>
      <c r="AA249" s="106">
        <v>2329</v>
      </c>
      <c r="AB249" s="106">
        <v>2220.2145922746781</v>
      </c>
    </row>
    <row r="250" spans="1:28" x14ac:dyDescent="0.2">
      <c r="A250" s="14">
        <v>43566</v>
      </c>
      <c r="B250" s="106">
        <v>2325</v>
      </c>
      <c r="C250" s="106">
        <v>2328</v>
      </c>
      <c r="D250" s="106">
        <v>1460</v>
      </c>
      <c r="E250" s="106">
        <v>1460</v>
      </c>
      <c r="F250" s="106">
        <v>1.5945205479452</v>
      </c>
      <c r="G250" s="106">
        <v>1.56994622058765</v>
      </c>
      <c r="H250" s="106">
        <v>5.5920815444814802E-2</v>
      </c>
      <c r="I250" s="106">
        <v>0.43944865900243801</v>
      </c>
      <c r="J250" s="106">
        <v>1.54</v>
      </c>
      <c r="K250" s="106">
        <v>0.43486121063526101</v>
      </c>
      <c r="L250" s="106">
        <v>6.6559764623587397E-2</v>
      </c>
      <c r="M250" s="106">
        <v>0.82077631409451002</v>
      </c>
      <c r="N250" s="106">
        <v>0.51153345813863305</v>
      </c>
      <c r="P250" s="106">
        <v>1.6258670360324647</v>
      </c>
      <c r="Q250" s="106">
        <v>1.5140254051428352</v>
      </c>
      <c r="R250" s="106">
        <v>1.6817878514772795</v>
      </c>
      <c r="S250" s="106">
        <v>1.4581045896980205</v>
      </c>
      <c r="AA250" s="106">
        <v>2328</v>
      </c>
      <c r="AB250" s="106">
        <v>2243.2618025751071</v>
      </c>
    </row>
    <row r="251" spans="1:28" x14ac:dyDescent="0.2">
      <c r="A251" s="14">
        <v>43565</v>
      </c>
      <c r="B251" s="106">
        <v>2344</v>
      </c>
      <c r="C251" s="106">
        <v>2312</v>
      </c>
      <c r="D251" s="106">
        <v>1459</v>
      </c>
      <c r="E251" s="106">
        <v>1453</v>
      </c>
      <c r="F251" s="106">
        <v>1.59119064005505</v>
      </c>
      <c r="G251" s="106">
        <v>1.5687811847102899</v>
      </c>
      <c r="H251" s="106">
        <v>5.6305581339829901E-2</v>
      </c>
      <c r="I251" s="106">
        <v>0.39799705129609297</v>
      </c>
      <c r="J251" s="106">
        <v>1.41</v>
      </c>
      <c r="K251" s="106">
        <v>0.34812187892500401</v>
      </c>
      <c r="L251" s="106">
        <v>0.10982286384731001</v>
      </c>
      <c r="M251" s="106">
        <v>0.81467788486060599</v>
      </c>
      <c r="N251" s="106">
        <v>0.463716237323334</v>
      </c>
      <c r="P251" s="106">
        <v>1.6250867660501198</v>
      </c>
      <c r="Q251" s="106">
        <v>1.5124756033704601</v>
      </c>
      <c r="R251" s="106">
        <v>1.6813923473899497</v>
      </c>
      <c r="S251" s="106">
        <v>1.4561700220306302</v>
      </c>
      <c r="AA251" s="106">
        <v>2312</v>
      </c>
      <c r="AB251" s="106">
        <v>2232.5064377682402</v>
      </c>
    </row>
    <row r="252" spans="1:28" x14ac:dyDescent="0.2">
      <c r="A252" s="14">
        <v>43564</v>
      </c>
      <c r="B252" s="106">
        <v>2413</v>
      </c>
      <c r="C252" s="106">
        <v>2366</v>
      </c>
      <c r="D252" s="106">
        <v>1480</v>
      </c>
      <c r="E252" s="106">
        <v>1476</v>
      </c>
      <c r="F252" s="106">
        <v>1.60298102981029</v>
      </c>
      <c r="G252" s="106">
        <v>1.5673974438021201</v>
      </c>
      <c r="H252" s="106">
        <v>5.7008695902511099E-2</v>
      </c>
      <c r="I252" s="106">
        <v>0.62417821430300302</v>
      </c>
      <c r="J252" s="106">
        <v>2.2200000000000002</v>
      </c>
      <c r="K252" s="106">
        <v>0.28225959047473698</v>
      </c>
      <c r="L252" s="106">
        <v>4.8028500861124201E-2</v>
      </c>
      <c r="M252" s="106">
        <v>0.808609590471704</v>
      </c>
      <c r="N252" s="106">
        <v>0.49816361032624801</v>
      </c>
      <c r="P252" s="106">
        <v>1.6244061397046312</v>
      </c>
      <c r="Q252" s="106">
        <v>1.510388747899609</v>
      </c>
      <c r="R252" s="106">
        <v>1.6814148356071423</v>
      </c>
      <c r="S252" s="106">
        <v>1.4533800519970979</v>
      </c>
      <c r="AA252" s="106">
        <v>2366</v>
      </c>
      <c r="AB252" s="106">
        <v>2267.8454935622317</v>
      </c>
    </row>
    <row r="253" spans="1:28" x14ac:dyDescent="0.2">
      <c r="A253" s="14">
        <v>43563</v>
      </c>
      <c r="B253" s="106">
        <v>2433</v>
      </c>
      <c r="C253" s="106">
        <v>2416</v>
      </c>
      <c r="D253" s="106">
        <v>1500</v>
      </c>
      <c r="E253" s="106">
        <v>1484</v>
      </c>
      <c r="F253" s="106">
        <v>1.6280323450134699</v>
      </c>
      <c r="G253" s="106">
        <v>1.5663177128119199</v>
      </c>
      <c r="H253" s="106">
        <v>5.7091335719375698E-2</v>
      </c>
      <c r="I253" s="106">
        <v>1.0809807026568401</v>
      </c>
      <c r="J253" s="106">
        <v>3.79</v>
      </c>
      <c r="K253" s="106">
        <v>0.232962824840589</v>
      </c>
      <c r="L253" s="106">
        <v>4.6323603369013901E-2</v>
      </c>
      <c r="M253" s="106">
        <v>0.80127526870642496</v>
      </c>
      <c r="N253" s="106">
        <v>0.601942946559893</v>
      </c>
      <c r="P253" s="106">
        <v>1.6234090485312955</v>
      </c>
      <c r="Q253" s="106">
        <v>1.5092263770925443</v>
      </c>
      <c r="R253" s="106">
        <v>1.6805003842506714</v>
      </c>
      <c r="S253" s="106">
        <v>1.4521350413731684</v>
      </c>
      <c r="AA253" s="106">
        <v>2416</v>
      </c>
      <c r="AB253" s="106">
        <v>2280.1373390557937</v>
      </c>
    </row>
    <row r="254" spans="1:28" x14ac:dyDescent="0.2">
      <c r="A254" s="14">
        <v>43560</v>
      </c>
      <c r="B254" s="106">
        <v>2450</v>
      </c>
      <c r="C254" s="106">
        <v>2432</v>
      </c>
      <c r="D254" s="106">
        <v>1496</v>
      </c>
      <c r="E254" s="106">
        <v>1503</v>
      </c>
      <c r="F254" s="106">
        <v>1.6180971390552199</v>
      </c>
      <c r="G254" s="106">
        <v>1.56428928073157</v>
      </c>
      <c r="H254" s="106">
        <v>5.7563256082271697E-2</v>
      </c>
      <c r="I254" s="106">
        <v>0.93476050497804697</v>
      </c>
      <c r="J254" s="106">
        <v>3.33</v>
      </c>
      <c r="K254" s="106">
        <v>0.18941622820985099</v>
      </c>
      <c r="L254" s="106">
        <v>3.9711971763364898E-2</v>
      </c>
      <c r="M254" s="106">
        <v>0.79426324622508804</v>
      </c>
      <c r="N254" s="106">
        <v>0.59911086327192398</v>
      </c>
      <c r="P254" s="106">
        <v>1.6218525368138417</v>
      </c>
      <c r="Q254" s="106">
        <v>1.5067260246492984</v>
      </c>
      <c r="R254" s="106">
        <v>1.6794157928961133</v>
      </c>
      <c r="S254" s="106">
        <v>1.4491627685670267</v>
      </c>
      <c r="AA254" s="106">
        <v>2432</v>
      </c>
      <c r="AB254" s="106">
        <v>2309.330472103004</v>
      </c>
    </row>
    <row r="255" spans="1:28" x14ac:dyDescent="0.2">
      <c r="A255" s="14">
        <v>43559</v>
      </c>
      <c r="B255" s="106">
        <v>2465</v>
      </c>
      <c r="C255" s="106">
        <v>2439</v>
      </c>
      <c r="D255" s="106">
        <v>1472</v>
      </c>
      <c r="E255" s="106">
        <v>1490</v>
      </c>
      <c r="F255" s="106">
        <v>1.6369127516778501</v>
      </c>
      <c r="G255" s="106">
        <v>1.5627188007277399</v>
      </c>
      <c r="H255" s="106">
        <v>5.7680449637990301E-2</v>
      </c>
      <c r="I255" s="106">
        <v>1.2862928672670899</v>
      </c>
      <c r="J255" s="106">
        <v>4.53</v>
      </c>
      <c r="K255" s="106">
        <v>0.13970298555503499</v>
      </c>
      <c r="L255" s="106">
        <v>6.01512256972416E-2</v>
      </c>
      <c r="M255" s="106">
        <v>0.788132103549679</v>
      </c>
      <c r="N255" s="106">
        <v>0.56118883544211395</v>
      </c>
      <c r="P255" s="106">
        <v>1.6203992503657303</v>
      </c>
      <c r="Q255" s="106">
        <v>1.5050383510897496</v>
      </c>
      <c r="R255" s="106">
        <v>1.6780797000037206</v>
      </c>
      <c r="S255" s="106">
        <v>1.4473579014517592</v>
      </c>
      <c r="AA255" s="106">
        <v>2439</v>
      </c>
      <c r="AB255" s="106">
        <v>2289.3562231759656</v>
      </c>
    </row>
    <row r="256" spans="1:28" x14ac:dyDescent="0.2">
      <c r="A256" s="14">
        <v>43558</v>
      </c>
      <c r="B256" s="106">
        <v>2473</v>
      </c>
      <c r="C256" s="106">
        <v>2454</v>
      </c>
      <c r="D256" s="106">
        <v>1483</v>
      </c>
      <c r="E256" s="106">
        <v>1494</v>
      </c>
      <c r="F256" s="106">
        <v>1.64257028112449</v>
      </c>
      <c r="G256" s="106">
        <v>1.5607271372909799</v>
      </c>
      <c r="H256" s="106">
        <v>5.7663099395735599E-2</v>
      </c>
      <c r="I256" s="106">
        <v>1.41933306900187</v>
      </c>
      <c r="J256" s="106">
        <v>4.9800000000000004</v>
      </c>
      <c r="K256" s="106">
        <v>0.110880217520927</v>
      </c>
      <c r="L256" s="106">
        <v>2.8633813050440701E-2</v>
      </c>
      <c r="M256" s="106">
        <v>0.78317579732095999</v>
      </c>
      <c r="N256" s="106">
        <v>0.50419762419803604</v>
      </c>
      <c r="P256" s="106">
        <v>1.6183902366867156</v>
      </c>
      <c r="Q256" s="106">
        <v>1.5030640378952442</v>
      </c>
      <c r="R256" s="106">
        <v>1.676053336082451</v>
      </c>
      <c r="S256" s="106">
        <v>1.4454009384995088</v>
      </c>
      <c r="AA256" s="106">
        <v>2454</v>
      </c>
      <c r="AB256" s="106">
        <v>2295.5021459227469</v>
      </c>
    </row>
    <row r="257" spans="1:28" x14ac:dyDescent="0.2">
      <c r="A257" s="14">
        <v>43557</v>
      </c>
      <c r="B257" s="106">
        <v>2523</v>
      </c>
      <c r="C257" s="106">
        <v>2478</v>
      </c>
      <c r="D257" s="106">
        <v>1512</v>
      </c>
      <c r="E257" s="106">
        <v>1486</v>
      </c>
      <c r="F257" s="106">
        <v>1.6675639300134499</v>
      </c>
      <c r="G257" s="106">
        <v>1.5586241800073</v>
      </c>
      <c r="H257" s="106">
        <v>5.75158024543806E-2</v>
      </c>
      <c r="I257" s="106">
        <v>1.89408380579507</v>
      </c>
      <c r="J257" s="106">
        <v>6.53</v>
      </c>
      <c r="K257" s="106">
        <v>8.1012965757974606E-2</v>
      </c>
      <c r="L257" s="106">
        <v>2.3355229190003199E-2</v>
      </c>
      <c r="M257" s="106">
        <v>0.77379272124088705</v>
      </c>
      <c r="N257" s="106">
        <v>0.73877248463149603</v>
      </c>
      <c r="P257" s="106">
        <v>1.6161399824616807</v>
      </c>
      <c r="Q257" s="106">
        <v>1.5011083775529193</v>
      </c>
      <c r="R257" s="106">
        <v>1.6736557849160612</v>
      </c>
      <c r="S257" s="106">
        <v>1.4435925750985388</v>
      </c>
      <c r="AA257" s="106">
        <v>2478</v>
      </c>
      <c r="AB257" s="106">
        <v>2283.2103004291844</v>
      </c>
    </row>
    <row r="258" spans="1:28" x14ac:dyDescent="0.2">
      <c r="A258" s="14">
        <v>43556</v>
      </c>
      <c r="B258" s="106">
        <v>2490</v>
      </c>
      <c r="C258" s="106">
        <v>2509</v>
      </c>
      <c r="D258" s="106">
        <v>1507</v>
      </c>
      <c r="E258" s="106">
        <v>1523</v>
      </c>
      <c r="F258" s="106">
        <v>1.6474064346684101</v>
      </c>
      <c r="G258" s="106">
        <v>1.55649771420198</v>
      </c>
      <c r="H258" s="106">
        <v>5.6385916949926299E-2</v>
      </c>
      <c r="I258" s="106">
        <v>1.6122593261570399</v>
      </c>
      <c r="J258" s="106">
        <v>5.52</v>
      </c>
      <c r="K258" s="106">
        <v>7.7992693014431902E-2</v>
      </c>
      <c r="L258" s="106">
        <v>3.70716547661709E-2</v>
      </c>
      <c r="M258" s="106">
        <v>0.76613440924418497</v>
      </c>
      <c r="N258" s="106">
        <v>0.67392412292215498</v>
      </c>
      <c r="P258" s="106">
        <v>1.6128836311519064</v>
      </c>
      <c r="Q258" s="106">
        <v>1.5001117972520537</v>
      </c>
      <c r="R258" s="106">
        <v>1.6692695481018327</v>
      </c>
      <c r="S258" s="106">
        <v>1.4437258803021273</v>
      </c>
      <c r="AA258" s="106">
        <v>2509</v>
      </c>
      <c r="AB258" s="106">
        <v>2340.0600858369098</v>
      </c>
    </row>
    <row r="259" spans="1:28" x14ac:dyDescent="0.2">
      <c r="A259" s="14">
        <v>43553</v>
      </c>
      <c r="B259" s="106">
        <v>2468</v>
      </c>
      <c r="C259" s="106">
        <v>2453</v>
      </c>
      <c r="D259" s="106">
        <v>1467</v>
      </c>
      <c r="E259" s="106">
        <v>1479</v>
      </c>
      <c r="F259" s="106">
        <v>1.6585530764029699</v>
      </c>
      <c r="G259" s="106">
        <v>1.5541095686817501</v>
      </c>
      <c r="H259" s="106">
        <v>5.6277924723006703E-2</v>
      </c>
      <c r="I259" s="106">
        <v>1.85585215224755</v>
      </c>
      <c r="J259" s="106">
        <v>6.3</v>
      </c>
      <c r="K259" s="106">
        <v>1.2250760221650701E-2</v>
      </c>
      <c r="L259" s="106">
        <v>4.6727649601197699E-2</v>
      </c>
      <c r="M259" s="106">
        <v>0.75773895980354899</v>
      </c>
      <c r="N259" s="106">
        <v>0.68106713224793802</v>
      </c>
      <c r="P259" s="106">
        <v>1.6103874934047568</v>
      </c>
      <c r="Q259" s="106">
        <v>1.4978316439587434</v>
      </c>
      <c r="R259" s="106">
        <v>1.6666654181277636</v>
      </c>
      <c r="S259" s="106">
        <v>1.4415537192357366</v>
      </c>
      <c r="AA259" s="106">
        <v>2453</v>
      </c>
      <c r="AB259" s="106">
        <v>2272.4549356223174</v>
      </c>
    </row>
    <row r="260" spans="1:28" x14ac:dyDescent="0.2">
      <c r="A260" s="14">
        <v>43552</v>
      </c>
      <c r="B260" s="106">
        <v>2500</v>
      </c>
      <c r="C260" s="106">
        <v>2449</v>
      </c>
      <c r="D260" s="106">
        <v>1488</v>
      </c>
      <c r="E260" s="106">
        <v>1469</v>
      </c>
      <c r="F260" s="106">
        <v>1.6671204901293299</v>
      </c>
      <c r="G260" s="106">
        <v>1.55153816332196</v>
      </c>
      <c r="H260" s="106">
        <v>5.5851310717223698E-2</v>
      </c>
      <c r="I260" s="106">
        <v>2.0694648938960398</v>
      </c>
      <c r="J260" s="106">
        <v>6.93</v>
      </c>
      <c r="K260" s="106">
        <v>-8.1344721641181797E-2</v>
      </c>
      <c r="L260" s="106">
        <v>7.1564483280377095E-2</v>
      </c>
      <c r="M260" s="106">
        <v>0.74649382027616895</v>
      </c>
      <c r="N260" s="106">
        <v>0.78767439123077498</v>
      </c>
      <c r="P260" s="106">
        <v>1.6073894740391836</v>
      </c>
      <c r="Q260" s="106">
        <v>1.4956868526047364</v>
      </c>
      <c r="R260" s="106">
        <v>1.6632407847564075</v>
      </c>
      <c r="S260" s="106">
        <v>1.4398355418875126</v>
      </c>
      <c r="AA260" s="106">
        <v>2449</v>
      </c>
      <c r="AB260" s="106">
        <v>2257.0901287553647</v>
      </c>
    </row>
    <row r="261" spans="1:28" x14ac:dyDescent="0.2">
      <c r="A261" s="14">
        <v>43551</v>
      </c>
      <c r="B261" s="106">
        <v>2505</v>
      </c>
      <c r="C261" s="106">
        <v>2501</v>
      </c>
      <c r="D261" s="106">
        <v>1540</v>
      </c>
      <c r="E261" s="106">
        <v>1509</v>
      </c>
      <c r="F261" s="106">
        <v>1.6573889993373001</v>
      </c>
      <c r="G261" s="106">
        <v>1.5495350379927799</v>
      </c>
      <c r="H261" s="106">
        <v>5.4343748087621699E-2</v>
      </c>
      <c r="I261" s="106">
        <v>1.98466180821067</v>
      </c>
      <c r="J261" s="106">
        <v>6.51</v>
      </c>
      <c r="K261" s="106">
        <v>-9.8617073778205402E-2</v>
      </c>
      <c r="L261" s="106">
        <v>4.0451808888459E-2</v>
      </c>
      <c r="M261" s="106">
        <v>0.730793954583278</v>
      </c>
      <c r="N261" s="106">
        <v>0.89780230096237901</v>
      </c>
      <c r="P261" s="106">
        <v>1.6038787860804016</v>
      </c>
      <c r="Q261" s="106">
        <v>1.4951912899051583</v>
      </c>
      <c r="R261" s="106">
        <v>1.6582225341680232</v>
      </c>
      <c r="S261" s="106">
        <v>1.4408475418175366</v>
      </c>
      <c r="AA261" s="106">
        <v>2501</v>
      </c>
      <c r="AB261" s="106">
        <v>2318.5493562231759</v>
      </c>
    </row>
    <row r="262" spans="1:28" x14ac:dyDescent="0.2">
      <c r="A262" s="14">
        <v>43550</v>
      </c>
      <c r="B262" s="106">
        <v>2561</v>
      </c>
      <c r="C262" s="106">
        <v>2605</v>
      </c>
      <c r="D262" s="106">
        <v>1521</v>
      </c>
      <c r="E262" s="106">
        <v>1545</v>
      </c>
      <c r="F262" s="106">
        <v>1.6860841423948201</v>
      </c>
      <c r="G262" s="106">
        <v>1.54746329176333</v>
      </c>
      <c r="H262" s="106">
        <v>5.3141026347081302E-2</v>
      </c>
      <c r="I262" s="106">
        <v>2.6085467323515799</v>
      </c>
      <c r="J262" s="106">
        <v>8.2200000000000006</v>
      </c>
      <c r="K262" s="106">
        <v>-3.39159291395058E-2</v>
      </c>
      <c r="L262" s="106">
        <v>5.5847218575191898E-2</v>
      </c>
      <c r="M262" s="106">
        <v>0.71999689665546596</v>
      </c>
      <c r="N262" s="106">
        <v>0.81586156153081202</v>
      </c>
      <c r="P262" s="106">
        <v>1.6006043181104113</v>
      </c>
      <c r="Q262" s="106">
        <v>1.4943222654162487</v>
      </c>
      <c r="R262" s="106">
        <v>1.6537453444574925</v>
      </c>
      <c r="S262" s="106">
        <v>1.4411812390691674</v>
      </c>
      <c r="AA262" s="106">
        <v>2605</v>
      </c>
      <c r="AB262" s="106">
        <v>2373.8626609442058</v>
      </c>
    </row>
    <row r="263" spans="1:28" x14ac:dyDescent="0.2">
      <c r="A263" s="14">
        <v>43549</v>
      </c>
      <c r="B263" s="106">
        <v>2540</v>
      </c>
      <c r="C263" s="106">
        <v>2524</v>
      </c>
      <c r="D263" s="106">
        <v>1520</v>
      </c>
      <c r="E263" s="106">
        <v>1498</v>
      </c>
      <c r="F263" s="106">
        <v>1.68491321762349</v>
      </c>
      <c r="G263" s="106">
        <v>1.5452381257615599</v>
      </c>
      <c r="H263" s="106">
        <v>5.0729289268822399E-2</v>
      </c>
      <c r="I263" s="106">
        <v>2.7533421791456898</v>
      </c>
      <c r="J263" s="106">
        <v>8.2899999999999991</v>
      </c>
      <c r="K263" s="106">
        <v>0.130045475151879</v>
      </c>
      <c r="L263" s="106">
        <v>0.19822572857350099</v>
      </c>
      <c r="M263" s="106">
        <v>0.70877885249581696</v>
      </c>
      <c r="N263" s="106">
        <v>0.81173141656086001</v>
      </c>
      <c r="P263" s="106">
        <v>1.5959674150303824</v>
      </c>
      <c r="Q263" s="106">
        <v>1.4945088364927375</v>
      </c>
      <c r="R263" s="106">
        <v>1.6466967042992047</v>
      </c>
      <c r="S263" s="106">
        <v>1.4437795472239152</v>
      </c>
      <c r="AA263" s="106">
        <v>2524</v>
      </c>
      <c r="AB263" s="106">
        <v>2301.6480686695277</v>
      </c>
    </row>
    <row r="264" spans="1:28" x14ac:dyDescent="0.2">
      <c r="A264" s="14">
        <v>43546</v>
      </c>
      <c r="B264" s="106">
        <v>2560</v>
      </c>
      <c r="C264" s="106">
        <v>2573</v>
      </c>
      <c r="D264" s="106">
        <v>1580</v>
      </c>
      <c r="E264" s="106">
        <v>1539</v>
      </c>
      <c r="F264" s="106">
        <v>1.6718648473034401</v>
      </c>
      <c r="G264" s="106">
        <v>1.5432287986662401</v>
      </c>
      <c r="H264" s="106">
        <v>4.8072051696427497E-2</v>
      </c>
      <c r="I264" s="106">
        <v>2.6759009465527201</v>
      </c>
      <c r="J264" s="106">
        <v>7.69</v>
      </c>
      <c r="K264" s="106">
        <v>0.343534414437353</v>
      </c>
      <c r="L264" s="106">
        <v>0.44335485859050799</v>
      </c>
      <c r="M264" s="106">
        <v>0.69662726906022598</v>
      </c>
      <c r="N264" s="106">
        <v>0.86667792879274796</v>
      </c>
      <c r="P264" s="106">
        <v>1.5913008503626676</v>
      </c>
      <c r="Q264" s="106">
        <v>1.4951567469698126</v>
      </c>
      <c r="R264" s="106">
        <v>1.639372902059095</v>
      </c>
      <c r="S264" s="106">
        <v>1.4470846952733851</v>
      </c>
      <c r="AA264" s="106">
        <v>2573</v>
      </c>
      <c r="AB264" s="106">
        <v>2364.6437768240344</v>
      </c>
    </row>
    <row r="265" spans="1:28" x14ac:dyDescent="0.2">
      <c r="A265" s="14">
        <v>43544</v>
      </c>
      <c r="B265" s="106">
        <v>2544</v>
      </c>
      <c r="C265" s="106">
        <v>2552</v>
      </c>
      <c r="D265" s="106">
        <v>1612</v>
      </c>
      <c r="E265" s="106">
        <v>1590</v>
      </c>
      <c r="F265" s="106">
        <v>1.6050314465408799</v>
      </c>
      <c r="G265" s="106">
        <v>1.54190814115527</v>
      </c>
      <c r="H265" s="106">
        <v>4.5828156301669899E-2</v>
      </c>
      <c r="I265" s="106">
        <v>1.37739133492721</v>
      </c>
      <c r="J265" s="106">
        <v>3.93</v>
      </c>
      <c r="K265" s="106">
        <v>0.366908818240266</v>
      </c>
      <c r="L265" s="106">
        <v>0.217830889893768</v>
      </c>
      <c r="M265" s="106">
        <v>0.686221683687116</v>
      </c>
      <c r="N265" s="106">
        <v>0.80655149982694196</v>
      </c>
      <c r="P265" s="106">
        <v>1.5877362974569398</v>
      </c>
      <c r="Q265" s="106">
        <v>1.4960799848536002</v>
      </c>
      <c r="R265" s="106">
        <v>1.6335644537586098</v>
      </c>
      <c r="S265" s="106">
        <v>1.4502518285519301</v>
      </c>
      <c r="AA265" s="106">
        <v>2552</v>
      </c>
      <c r="AB265" s="106">
        <v>2443.0042918454933</v>
      </c>
    </row>
    <row r="266" spans="1:28" x14ac:dyDescent="0.2">
      <c r="A266" s="14">
        <v>43543</v>
      </c>
      <c r="B266" s="106">
        <v>2543</v>
      </c>
      <c r="C266" s="106">
        <v>2545</v>
      </c>
      <c r="D266" s="106">
        <v>1604</v>
      </c>
      <c r="E266" s="106">
        <v>1598</v>
      </c>
      <c r="F266" s="106">
        <v>1.5926157697121399</v>
      </c>
      <c r="G266" s="106">
        <v>1.5410881329926001</v>
      </c>
      <c r="H266" s="106">
        <v>4.5237763531092497E-2</v>
      </c>
      <c r="I266" s="106">
        <v>1.1390403215693601</v>
      </c>
      <c r="J266" s="106">
        <v>3.24</v>
      </c>
      <c r="K266" s="106">
        <v>0.364805471699368</v>
      </c>
      <c r="L266" s="106">
        <v>0.14571824192236199</v>
      </c>
      <c r="M266" s="106">
        <v>0.67736867169402004</v>
      </c>
      <c r="N266" s="106">
        <v>0.76289506039910604</v>
      </c>
      <c r="P266" s="106">
        <v>1.5863258965236926</v>
      </c>
      <c r="Q266" s="106">
        <v>1.4958503694615075</v>
      </c>
      <c r="R266" s="106">
        <v>1.6315636600547851</v>
      </c>
      <c r="S266" s="106">
        <v>1.450612605930415</v>
      </c>
      <c r="AA266" s="106">
        <v>2545</v>
      </c>
      <c r="AB266" s="106">
        <v>2455.2961373390558</v>
      </c>
    </row>
    <row r="267" spans="1:28" x14ac:dyDescent="0.2">
      <c r="A267" s="14">
        <v>43542</v>
      </c>
      <c r="B267" s="106">
        <v>2523</v>
      </c>
      <c r="C267" s="106">
        <v>2530</v>
      </c>
      <c r="D267" s="106">
        <v>1618</v>
      </c>
      <c r="E267" s="106">
        <v>1608</v>
      </c>
      <c r="F267" s="106">
        <v>1.57338308457711</v>
      </c>
      <c r="G267" s="106">
        <v>1.54037226632261</v>
      </c>
      <c r="H267" s="106">
        <v>4.4839757252624603E-2</v>
      </c>
      <c r="I267" s="106">
        <v>0.73619529357659497</v>
      </c>
      <c r="J267" s="106">
        <v>2.1</v>
      </c>
      <c r="K267" s="106">
        <v>0.36672668192614699</v>
      </c>
      <c r="L267" s="106">
        <v>4.0722385742705099E-2</v>
      </c>
      <c r="M267" s="106">
        <v>0.66726990977739997</v>
      </c>
      <c r="N267" s="106">
        <v>0.79986927806339503</v>
      </c>
      <c r="P267" s="106">
        <v>1.5852120235752347</v>
      </c>
      <c r="Q267" s="106">
        <v>1.4955325090699854</v>
      </c>
      <c r="R267" s="106">
        <v>1.6300517808278592</v>
      </c>
      <c r="S267" s="106">
        <v>1.4506927518173609</v>
      </c>
      <c r="AA267" s="106">
        <v>2530</v>
      </c>
      <c r="AB267" s="106">
        <v>2470.6609442060085</v>
      </c>
    </row>
    <row r="268" spans="1:28" x14ac:dyDescent="0.2">
      <c r="A268" s="14">
        <v>43539</v>
      </c>
      <c r="B268" s="106">
        <v>2511</v>
      </c>
      <c r="C268" s="106">
        <v>2512</v>
      </c>
      <c r="D268" s="106">
        <v>1597</v>
      </c>
      <c r="E268" s="106">
        <v>1608</v>
      </c>
      <c r="F268" s="106">
        <v>1.5621890547263599</v>
      </c>
      <c r="G268" s="106">
        <v>1.5399500624137299</v>
      </c>
      <c r="H268" s="106">
        <v>4.4675722622912098E-2</v>
      </c>
      <c r="I268" s="106">
        <v>0.49778696363444302</v>
      </c>
      <c r="J268" s="106">
        <v>1.42</v>
      </c>
      <c r="K268" s="106">
        <v>0.361563637255298</v>
      </c>
      <c r="L268" s="106">
        <v>0.10105862201970101</v>
      </c>
      <c r="M268" s="106">
        <v>0.65687155313286305</v>
      </c>
      <c r="N268" s="106">
        <v>0.80137214245562205</v>
      </c>
      <c r="P268" s="106">
        <v>1.5846257850366421</v>
      </c>
      <c r="Q268" s="106">
        <v>1.4952743397908177</v>
      </c>
      <c r="R268" s="106">
        <v>1.6293015076595541</v>
      </c>
      <c r="S268" s="106">
        <v>1.4505986171679057</v>
      </c>
      <c r="AA268" s="106">
        <v>2512</v>
      </c>
      <c r="AB268" s="106">
        <v>2470.6609442060085</v>
      </c>
    </row>
    <row r="269" spans="1:28" x14ac:dyDescent="0.2">
      <c r="A269" s="14">
        <v>43538</v>
      </c>
      <c r="B269" s="106">
        <v>2524</v>
      </c>
      <c r="C269" s="106">
        <v>2504</v>
      </c>
      <c r="D269" s="106">
        <v>1605</v>
      </c>
      <c r="E269" s="106">
        <v>1597</v>
      </c>
      <c r="F269" s="106">
        <v>1.5679398872886601</v>
      </c>
      <c r="G269" s="106">
        <v>1.5393491032456099</v>
      </c>
      <c r="H269" s="106">
        <v>4.4675675500755303E-2</v>
      </c>
      <c r="I269" s="106">
        <v>0.63996310570776005</v>
      </c>
      <c r="J269" s="106">
        <v>1.82</v>
      </c>
      <c r="K269" s="106">
        <v>0.362550795033724</v>
      </c>
      <c r="L269" s="106">
        <v>0.77779011280055999</v>
      </c>
      <c r="M269" s="106">
        <v>0.64736865352439499</v>
      </c>
      <c r="N269" s="106">
        <v>0.77633625274009799</v>
      </c>
      <c r="P269" s="106">
        <v>1.5840247787463653</v>
      </c>
      <c r="Q269" s="106">
        <v>1.4946734277448546</v>
      </c>
      <c r="R269" s="106">
        <v>1.6287004542471206</v>
      </c>
      <c r="S269" s="106">
        <v>1.4499977522440992</v>
      </c>
      <c r="AA269" s="106">
        <v>2504</v>
      </c>
      <c r="AB269" s="106">
        <v>2453.7596566523603</v>
      </c>
    </row>
    <row r="270" spans="1:28" x14ac:dyDescent="0.2">
      <c r="A270" s="14">
        <v>43537</v>
      </c>
      <c r="B270" s="106">
        <v>2525</v>
      </c>
      <c r="C270" s="106">
        <v>2504</v>
      </c>
      <c r="D270" s="106">
        <v>1600</v>
      </c>
      <c r="E270" s="106">
        <v>1585</v>
      </c>
      <c r="F270" s="106">
        <v>1.5798107255520499</v>
      </c>
      <c r="G270" s="106">
        <v>1.5381134383173301</v>
      </c>
      <c r="H270" s="106">
        <v>4.5146948308042202E-2</v>
      </c>
      <c r="I270" s="106">
        <v>0.923590382016789</v>
      </c>
      <c r="J270" s="106">
        <v>2.64</v>
      </c>
      <c r="K270" s="106">
        <v>0.353518295585114</v>
      </c>
      <c r="L270" s="106">
        <v>6.2995762569682201E-2</v>
      </c>
      <c r="M270" s="106">
        <v>0.64073562180913401</v>
      </c>
      <c r="N270" s="106">
        <v>0.68942291854436699</v>
      </c>
      <c r="P270" s="106">
        <v>1.5832603866253723</v>
      </c>
      <c r="Q270" s="106">
        <v>1.4929664900092878</v>
      </c>
      <c r="R270" s="106">
        <v>1.6284073349334145</v>
      </c>
      <c r="S270" s="106">
        <v>1.4478195417012456</v>
      </c>
      <c r="AA270" s="106">
        <v>2504</v>
      </c>
      <c r="AB270" s="106">
        <v>2435.321888412017</v>
      </c>
    </row>
    <row r="271" spans="1:28" x14ac:dyDescent="0.2">
      <c r="A271" s="14">
        <v>43536</v>
      </c>
      <c r="B271" s="106">
        <v>2519</v>
      </c>
      <c r="C271" s="106">
        <v>2519</v>
      </c>
      <c r="D271" s="106">
        <v>1606</v>
      </c>
      <c r="E271" s="106">
        <v>1609</v>
      </c>
      <c r="F271" s="106">
        <v>1.5655686761963901</v>
      </c>
      <c r="G271" s="106">
        <v>1.5375565851042601</v>
      </c>
      <c r="H271" s="106">
        <v>4.4886019336205299E-2</v>
      </c>
      <c r="I271" s="106">
        <v>0.62407162645273095</v>
      </c>
      <c r="J271" s="106">
        <v>1.79</v>
      </c>
      <c r="K271" s="106">
        <v>0.35847077903186803</v>
      </c>
      <c r="L271" s="106">
        <v>4.1040036776663701E-2</v>
      </c>
      <c r="M271" s="106">
        <v>0.63317734248662705</v>
      </c>
      <c r="N271" s="106">
        <v>0.71990136913242897</v>
      </c>
      <c r="P271" s="106">
        <v>1.5824426044404654</v>
      </c>
      <c r="Q271" s="106">
        <v>1.4926705657680548</v>
      </c>
      <c r="R271" s="106">
        <v>1.6273286237766706</v>
      </c>
      <c r="S271" s="106">
        <v>1.4477845464318495</v>
      </c>
      <c r="AA271" s="106">
        <v>2519</v>
      </c>
      <c r="AB271" s="106">
        <v>2472.197424892704</v>
      </c>
    </row>
    <row r="272" spans="1:28" x14ac:dyDescent="0.2">
      <c r="A272" s="14">
        <v>43535</v>
      </c>
      <c r="B272" s="106">
        <v>2482</v>
      </c>
      <c r="C272" s="106">
        <v>2491</v>
      </c>
      <c r="D272" s="106">
        <v>1586</v>
      </c>
      <c r="E272" s="106">
        <v>1596</v>
      </c>
      <c r="F272" s="106">
        <v>1.5607769423558799</v>
      </c>
      <c r="G272" s="106">
        <v>1.53814117879409</v>
      </c>
      <c r="H272" s="106">
        <v>4.5527965022781801E-2</v>
      </c>
      <c r="I272" s="106">
        <v>0.49718373203080002</v>
      </c>
      <c r="J272" s="106">
        <v>1.45</v>
      </c>
      <c r="K272" s="106">
        <v>0.341161366661967</v>
      </c>
      <c r="L272" s="106">
        <v>5.9226756778748203E-2</v>
      </c>
      <c r="M272" s="106">
        <v>0.62516871194483303</v>
      </c>
      <c r="N272" s="106">
        <v>0.72172350932442297</v>
      </c>
      <c r="P272" s="106">
        <v>1.5836691438168717</v>
      </c>
      <c r="Q272" s="106">
        <v>1.4926132137713082</v>
      </c>
      <c r="R272" s="106">
        <v>1.6291971088396535</v>
      </c>
      <c r="S272" s="106">
        <v>1.4470852487485264</v>
      </c>
      <c r="AA272" s="106">
        <v>2491</v>
      </c>
      <c r="AB272" s="106">
        <v>2452.2231759656652</v>
      </c>
    </row>
    <row r="273" spans="1:28" x14ac:dyDescent="0.2">
      <c r="A273" s="14">
        <v>43532</v>
      </c>
      <c r="B273" s="106">
        <v>2485</v>
      </c>
      <c r="C273" s="106">
        <v>2466</v>
      </c>
      <c r="D273" s="106">
        <v>1596</v>
      </c>
      <c r="E273" s="106">
        <v>1578</v>
      </c>
      <c r="F273" s="106">
        <v>1.5627376425855499</v>
      </c>
      <c r="G273" s="106">
        <v>1.53842534692586</v>
      </c>
      <c r="H273" s="106">
        <v>4.5734406494534599E-2</v>
      </c>
      <c r="I273" s="106">
        <v>0.53159748913739702</v>
      </c>
      <c r="J273" s="106">
        <v>1.56</v>
      </c>
      <c r="K273" s="106">
        <v>0.32555176932879998</v>
      </c>
      <c r="L273" s="106">
        <v>4.5880017485809797E-2</v>
      </c>
      <c r="M273" s="106">
        <v>0.61517873632461995</v>
      </c>
      <c r="N273" s="106">
        <v>0.76566555106979295</v>
      </c>
      <c r="P273" s="106">
        <v>1.5841597534203946</v>
      </c>
      <c r="Q273" s="106">
        <v>1.4926909404313253</v>
      </c>
      <c r="R273" s="106">
        <v>1.6298941599149293</v>
      </c>
      <c r="S273" s="106">
        <v>1.4469565339367907</v>
      </c>
      <c r="AA273" s="106">
        <v>2466</v>
      </c>
      <c r="AB273" s="106">
        <v>2424.56652360515</v>
      </c>
    </row>
    <row r="274" spans="1:28" x14ac:dyDescent="0.2">
      <c r="A274" s="14">
        <v>43531</v>
      </c>
      <c r="B274" s="106">
        <v>2500</v>
      </c>
      <c r="C274" s="106">
        <v>2505</v>
      </c>
      <c r="D274" s="106">
        <v>1601</v>
      </c>
      <c r="E274" s="106">
        <v>1613</v>
      </c>
      <c r="F274" s="106">
        <v>1.55300681959082</v>
      </c>
      <c r="G274" s="106">
        <v>1.5386700339335599</v>
      </c>
      <c r="H274" s="106">
        <v>4.5912571821954601E-2</v>
      </c>
      <c r="I274" s="106">
        <v>0.31226274391374997</v>
      </c>
      <c r="J274" s="106">
        <v>0.92</v>
      </c>
      <c r="K274" s="106">
        <v>0.32603411476314098</v>
      </c>
      <c r="L274" s="106">
        <v>4.82239094157259E-2</v>
      </c>
      <c r="M274" s="106">
        <v>0.60744439056164101</v>
      </c>
      <c r="N274" s="106">
        <v>0.72568598788142802</v>
      </c>
      <c r="P274" s="106">
        <v>1.5845826057555146</v>
      </c>
      <c r="Q274" s="106">
        <v>1.4927574621116053</v>
      </c>
      <c r="R274" s="106">
        <v>1.6304951775774692</v>
      </c>
      <c r="S274" s="106">
        <v>1.4468448902896507</v>
      </c>
      <c r="AA274" s="106">
        <v>2505</v>
      </c>
      <c r="AB274" s="106">
        <v>2478.3433476394848</v>
      </c>
    </row>
    <row r="275" spans="1:28" x14ac:dyDescent="0.2">
      <c r="A275" s="14">
        <v>43530</v>
      </c>
      <c r="B275" s="106">
        <v>2530</v>
      </c>
      <c r="C275" s="106">
        <v>2510</v>
      </c>
      <c r="D275" s="106">
        <v>1616</v>
      </c>
      <c r="E275" s="106">
        <v>1614</v>
      </c>
      <c r="F275" s="106">
        <v>1.55514250309789</v>
      </c>
      <c r="G275" s="106">
        <v>1.53905489427274</v>
      </c>
      <c r="H275" s="106">
        <v>4.6151492557202502E-2</v>
      </c>
      <c r="I275" s="106">
        <v>0.34858263370812198</v>
      </c>
      <c r="J275" s="106">
        <v>1.03</v>
      </c>
      <c r="K275" s="106">
        <v>0.32192825960981702</v>
      </c>
      <c r="L275" s="106">
        <v>2.9725811449297399E-2</v>
      </c>
      <c r="M275" s="106">
        <v>0.59967410050607795</v>
      </c>
      <c r="N275" s="106">
        <v>0.73957967223640897</v>
      </c>
      <c r="P275" s="106">
        <v>1.5852063868299424</v>
      </c>
      <c r="Q275" s="106">
        <v>1.4929034017155376</v>
      </c>
      <c r="R275" s="106">
        <v>1.631357879387145</v>
      </c>
      <c r="S275" s="106">
        <v>1.446751909158335</v>
      </c>
      <c r="AA275" s="106">
        <v>2510</v>
      </c>
      <c r="AB275" s="106">
        <v>2479.8798283261804</v>
      </c>
    </row>
    <row r="276" spans="1:28" x14ac:dyDescent="0.2">
      <c r="A276" s="14">
        <v>43529</v>
      </c>
      <c r="B276" s="106">
        <v>2533</v>
      </c>
      <c r="C276" s="106">
        <v>2563</v>
      </c>
      <c r="D276" s="106">
        <v>1596</v>
      </c>
      <c r="E276" s="106">
        <v>1614</v>
      </c>
      <c r="F276" s="106">
        <v>1.58798017348203</v>
      </c>
      <c r="G276" s="106">
        <v>1.5396608837777801</v>
      </c>
      <c r="H276" s="106">
        <v>4.6654395636562103E-2</v>
      </c>
      <c r="I276" s="106">
        <v>1.03568568502421</v>
      </c>
      <c r="J276" s="106">
        <v>3.04</v>
      </c>
      <c r="K276" s="106">
        <v>0.33212609051488601</v>
      </c>
      <c r="L276" s="106">
        <v>1.2250292632865201E-2</v>
      </c>
      <c r="M276" s="106">
        <v>0.59012880334944295</v>
      </c>
      <c r="N276" s="106">
        <v>0.79588280754718699</v>
      </c>
      <c r="P276" s="106">
        <v>1.5863152794143422</v>
      </c>
      <c r="Q276" s="106">
        <v>1.4930064881412179</v>
      </c>
      <c r="R276" s="106">
        <v>1.6329696750509044</v>
      </c>
      <c r="S276" s="106">
        <v>1.4463520925046558</v>
      </c>
      <c r="AA276" s="106">
        <v>2563</v>
      </c>
      <c r="AB276" s="106">
        <v>2479.8798283261804</v>
      </c>
    </row>
    <row r="277" spans="1:28" x14ac:dyDescent="0.2">
      <c r="A277" s="14">
        <v>43528</v>
      </c>
      <c r="B277" s="106">
        <v>2604</v>
      </c>
      <c r="C277" s="106">
        <v>2560</v>
      </c>
      <c r="D277" s="106">
        <v>1617</v>
      </c>
      <c r="E277" s="106">
        <v>1610</v>
      </c>
      <c r="F277" s="106">
        <v>1.5900621118012399</v>
      </c>
      <c r="G277" s="106">
        <v>1.5397724347155199</v>
      </c>
      <c r="H277" s="106">
        <v>4.6779627869773098E-2</v>
      </c>
      <c r="I277" s="106">
        <v>1.07503371394297</v>
      </c>
      <c r="J277" s="106">
        <v>3.16</v>
      </c>
      <c r="K277" s="106">
        <v>0.34427308665342798</v>
      </c>
      <c r="L277" s="106">
        <v>9.6957131907026602E-3</v>
      </c>
      <c r="M277" s="106">
        <v>0.58019799356985102</v>
      </c>
      <c r="N277" s="106">
        <v>0.80806238806501496</v>
      </c>
      <c r="P277" s="106">
        <v>1.5865520625852931</v>
      </c>
      <c r="Q277" s="106">
        <v>1.4929928068457468</v>
      </c>
      <c r="R277" s="106">
        <v>1.6333316904550661</v>
      </c>
      <c r="S277" s="106">
        <v>1.4462131789759738</v>
      </c>
      <c r="AA277" s="106">
        <v>2560</v>
      </c>
      <c r="AB277" s="106">
        <v>2473.7339055793991</v>
      </c>
    </row>
    <row r="278" spans="1:28" x14ac:dyDescent="0.2">
      <c r="A278" s="14">
        <v>43525</v>
      </c>
      <c r="B278" s="106">
        <v>2579</v>
      </c>
      <c r="C278" s="106">
        <v>2570</v>
      </c>
      <c r="D278" s="106">
        <v>1608</v>
      </c>
      <c r="E278" s="106">
        <v>1599</v>
      </c>
      <c r="F278" s="106">
        <v>1.6072545340838</v>
      </c>
      <c r="G278" s="106">
        <v>1.5400818675663399</v>
      </c>
      <c r="H278" s="106">
        <v>4.7186243153354998E-2</v>
      </c>
      <c r="I278" s="106">
        <v>1.42356462452717</v>
      </c>
      <c r="J278" s="106">
        <v>4.18</v>
      </c>
      <c r="K278" s="106">
        <v>0.42697746520656399</v>
      </c>
      <c r="L278" s="106">
        <v>9.3806818355081003E-3</v>
      </c>
      <c r="M278" s="106">
        <v>0.57051163882408695</v>
      </c>
      <c r="N278" s="106">
        <v>0.81007941421098495</v>
      </c>
      <c r="P278" s="106">
        <v>1.5872681107196949</v>
      </c>
      <c r="Q278" s="106">
        <v>1.492895624412985</v>
      </c>
      <c r="R278" s="106">
        <v>1.6344543538730498</v>
      </c>
      <c r="S278" s="106">
        <v>1.44570938125963</v>
      </c>
      <c r="AA278" s="106">
        <v>2570</v>
      </c>
      <c r="AB278" s="106">
        <v>2456.8326180257509</v>
      </c>
    </row>
    <row r="279" spans="1:28" x14ac:dyDescent="0.2">
      <c r="A279" s="14">
        <v>43524</v>
      </c>
      <c r="B279" s="106">
        <v>2609</v>
      </c>
      <c r="C279" s="106">
        <v>2591</v>
      </c>
      <c r="D279" s="106">
        <v>1598</v>
      </c>
      <c r="E279" s="106">
        <v>1606</v>
      </c>
      <c r="F279" s="106">
        <v>1.6133250311332501</v>
      </c>
      <c r="G279" s="106">
        <v>1.54027879123888</v>
      </c>
      <c r="H279" s="106">
        <v>4.7495967832269698E-2</v>
      </c>
      <c r="I279" s="106">
        <v>1.53794612949731</v>
      </c>
      <c r="J279" s="106">
        <v>4.53</v>
      </c>
      <c r="K279" s="106">
        <v>0.49816440099217302</v>
      </c>
      <c r="L279" s="106">
        <v>6.7359494476910697E-2</v>
      </c>
      <c r="M279" s="106">
        <v>0.56053220926537195</v>
      </c>
      <c r="N279" s="106">
        <v>0.81608263849485196</v>
      </c>
      <c r="P279" s="106">
        <v>1.5877747590711497</v>
      </c>
      <c r="Q279" s="106">
        <v>1.4927828234066103</v>
      </c>
      <c r="R279" s="106">
        <v>1.6352707269034195</v>
      </c>
      <c r="S279" s="106">
        <v>1.4452868555743406</v>
      </c>
      <c r="AA279" s="106">
        <v>2591</v>
      </c>
      <c r="AB279" s="106">
        <v>2467.5879828326179</v>
      </c>
    </row>
    <row r="280" spans="1:28" x14ac:dyDescent="0.2">
      <c r="A280" s="14">
        <v>43523</v>
      </c>
      <c r="B280" s="106">
        <v>2574</v>
      </c>
      <c r="C280" s="106">
        <v>2593</v>
      </c>
      <c r="D280" s="106">
        <v>1565</v>
      </c>
      <c r="E280" s="106">
        <v>1605</v>
      </c>
      <c r="F280" s="106">
        <v>1.61557632398753</v>
      </c>
      <c r="G280" s="106">
        <v>1.5407974837259399</v>
      </c>
      <c r="H280" s="106">
        <v>4.8492815264960201E-2</v>
      </c>
      <c r="I280" s="106">
        <v>1.5420601970210599</v>
      </c>
      <c r="J280" s="106">
        <v>4.63</v>
      </c>
      <c r="K280" s="106">
        <v>0.52643947064102403</v>
      </c>
      <c r="L280" s="106">
        <v>3.4233351891063003E-2</v>
      </c>
      <c r="M280" s="106">
        <v>0.55095188874827405</v>
      </c>
      <c r="N280" s="106">
        <v>0.80431551921591304</v>
      </c>
      <c r="P280" s="106">
        <v>1.5892902989909001</v>
      </c>
      <c r="Q280" s="106">
        <v>1.4923046684609798</v>
      </c>
      <c r="R280" s="106">
        <v>1.6377831142558603</v>
      </c>
      <c r="S280" s="106">
        <v>1.4438118531960196</v>
      </c>
      <c r="AA280" s="106">
        <v>2593</v>
      </c>
      <c r="AB280" s="106">
        <v>2466.0515021459228</v>
      </c>
    </row>
    <row r="281" spans="1:28" x14ac:dyDescent="0.2">
      <c r="A281" s="14">
        <v>43522</v>
      </c>
      <c r="B281" s="106">
        <v>2573</v>
      </c>
      <c r="C281" s="106">
        <v>2577</v>
      </c>
      <c r="D281" s="106">
        <v>1547</v>
      </c>
      <c r="E281" s="106">
        <v>1557</v>
      </c>
      <c r="F281" s="106">
        <v>1.6551059730250399</v>
      </c>
      <c r="G281" s="106">
        <v>1.54098305555074</v>
      </c>
      <c r="H281" s="106">
        <v>4.8804253449548203E-2</v>
      </c>
      <c r="I281" s="106">
        <v>2.33838055923305</v>
      </c>
      <c r="J281" s="106">
        <v>6.9</v>
      </c>
      <c r="K281" s="106">
        <v>0.57069075789816304</v>
      </c>
      <c r="L281" s="106">
        <v>3.6992120656912097E-2</v>
      </c>
      <c r="M281" s="106">
        <v>0.54220646369851999</v>
      </c>
      <c r="N281" s="106">
        <v>0.78136723774202599</v>
      </c>
      <c r="P281" s="106">
        <v>1.5897873090002883</v>
      </c>
      <c r="Q281" s="106">
        <v>1.4921788021011917</v>
      </c>
      <c r="R281" s="106">
        <v>1.6385915624498364</v>
      </c>
      <c r="S281" s="106">
        <v>1.4433745486516436</v>
      </c>
      <c r="AA281" s="106">
        <v>2577</v>
      </c>
      <c r="AB281" s="106">
        <v>2392.3004291845491</v>
      </c>
    </row>
    <row r="282" spans="1:28" x14ac:dyDescent="0.2">
      <c r="A282" s="14">
        <v>43521</v>
      </c>
      <c r="B282" s="106">
        <v>2547</v>
      </c>
      <c r="C282" s="106">
        <v>2558</v>
      </c>
      <c r="D282" s="106">
        <v>1532</v>
      </c>
      <c r="E282" s="106">
        <v>1540</v>
      </c>
      <c r="F282" s="106">
        <v>1.66103896103896</v>
      </c>
      <c r="G282" s="106">
        <v>1.5406867105622399</v>
      </c>
      <c r="H282" s="106">
        <v>4.8173793202301501E-2</v>
      </c>
      <c r="I282" s="106">
        <v>2.4982930028223298</v>
      </c>
      <c r="J282" s="106">
        <v>7.25</v>
      </c>
      <c r="K282" s="106">
        <v>0.62333468282885096</v>
      </c>
      <c r="L282" s="106">
        <v>1.5249281805264201E-2</v>
      </c>
      <c r="M282" s="106">
        <v>0.533712724797482</v>
      </c>
      <c r="N282" s="106">
        <v>0.77055643704583199</v>
      </c>
      <c r="P282" s="106">
        <v>1.5888605037645414</v>
      </c>
      <c r="Q282" s="106">
        <v>1.4925129173599385</v>
      </c>
      <c r="R282" s="106">
        <v>1.637034296966843</v>
      </c>
      <c r="S282" s="106">
        <v>1.4443391241576369</v>
      </c>
      <c r="AA282" s="106">
        <v>2558</v>
      </c>
      <c r="AB282" s="106">
        <v>2366.1802575107295</v>
      </c>
    </row>
    <row r="283" spans="1:28" x14ac:dyDescent="0.2">
      <c r="A283" s="14">
        <v>43518</v>
      </c>
      <c r="B283" s="106">
        <v>2500</v>
      </c>
      <c r="C283" s="106">
        <v>2535</v>
      </c>
      <c r="D283" s="106">
        <v>1544</v>
      </c>
      <c r="E283" s="106">
        <v>1534</v>
      </c>
      <c r="F283" s="106">
        <v>1.65254237288135</v>
      </c>
      <c r="G283" s="106">
        <v>1.53953872505454</v>
      </c>
      <c r="H283" s="106">
        <v>4.6280789821278499E-2</v>
      </c>
      <c r="I283" s="106">
        <v>2.4416966145823298</v>
      </c>
      <c r="J283" s="106">
        <v>6.84</v>
      </c>
      <c r="K283" s="106">
        <v>0.66984673673626705</v>
      </c>
      <c r="L283" s="106">
        <v>2.3786601497227201E-2</v>
      </c>
      <c r="M283" s="106">
        <v>0.52558338857402498</v>
      </c>
      <c r="N283" s="106">
        <v>0.75138514153541502</v>
      </c>
      <c r="P283" s="106">
        <v>1.5858195148758185</v>
      </c>
      <c r="Q283" s="106">
        <v>1.4932579352332616</v>
      </c>
      <c r="R283" s="106">
        <v>1.632100304697097</v>
      </c>
      <c r="S283" s="106">
        <v>1.4469771454119831</v>
      </c>
      <c r="AA283" s="106">
        <v>2535</v>
      </c>
      <c r="AB283" s="106">
        <v>2356.961373390558</v>
      </c>
    </row>
    <row r="284" spans="1:28" x14ac:dyDescent="0.2">
      <c r="A284" s="14">
        <v>43517</v>
      </c>
      <c r="B284" s="106">
        <v>2521</v>
      </c>
      <c r="C284" s="106">
        <v>2511</v>
      </c>
      <c r="D284" s="106">
        <v>1540</v>
      </c>
      <c r="E284" s="106">
        <v>1559</v>
      </c>
      <c r="F284" s="106">
        <v>1.61064785118665</v>
      </c>
      <c r="G284" s="106">
        <v>1.5393983423906401</v>
      </c>
      <c r="H284" s="106">
        <v>4.5952609717933003E-2</v>
      </c>
      <c r="I284" s="106">
        <v>1.55049972642161</v>
      </c>
      <c r="J284" s="106">
        <v>4.42</v>
      </c>
      <c r="K284" s="106">
        <v>0.69239858293947698</v>
      </c>
      <c r="L284" s="106">
        <v>3.7959082845037698E-2</v>
      </c>
      <c r="M284" s="106">
        <v>0.51522528814894897</v>
      </c>
      <c r="N284" s="106">
        <v>0.78381280347982196</v>
      </c>
      <c r="P284" s="106">
        <v>1.5853509521085731</v>
      </c>
      <c r="Q284" s="106">
        <v>1.4934457326727071</v>
      </c>
      <c r="R284" s="106">
        <v>1.6313035618265062</v>
      </c>
      <c r="S284" s="106">
        <v>1.4474931229547741</v>
      </c>
      <c r="AA284" s="106">
        <v>2511</v>
      </c>
      <c r="AB284" s="106">
        <v>2395.3733905579397</v>
      </c>
    </row>
    <row r="285" spans="1:28" x14ac:dyDescent="0.2">
      <c r="A285" s="14">
        <v>43516</v>
      </c>
      <c r="B285" s="106">
        <v>2498</v>
      </c>
      <c r="C285" s="106">
        <v>2508</v>
      </c>
      <c r="D285" s="106">
        <v>1601</v>
      </c>
      <c r="E285" s="106">
        <v>1605</v>
      </c>
      <c r="F285" s="106">
        <v>1.5626168224299</v>
      </c>
      <c r="G285" s="106">
        <v>1.5388470070472799</v>
      </c>
      <c r="H285" s="106">
        <v>4.5338410029448897E-2</v>
      </c>
      <c r="I285" s="106">
        <v>0.524275451370664</v>
      </c>
      <c r="J285" s="106">
        <v>1.52</v>
      </c>
      <c r="K285" s="106">
        <v>0.69625398721286802</v>
      </c>
      <c r="L285" s="106">
        <v>4.26513017564914E-2</v>
      </c>
      <c r="M285" s="106">
        <v>0.50793774691842797</v>
      </c>
      <c r="N285" s="106">
        <v>0.70877141201123195</v>
      </c>
      <c r="P285" s="106">
        <v>1.5841854170767289</v>
      </c>
      <c r="Q285" s="106">
        <v>1.493508597017831</v>
      </c>
      <c r="R285" s="106">
        <v>1.6295238271061778</v>
      </c>
      <c r="S285" s="106">
        <v>1.4481701869883821</v>
      </c>
      <c r="AA285" s="106">
        <v>2508</v>
      </c>
      <c r="AB285" s="106">
        <v>2466.0515021459228</v>
      </c>
    </row>
    <row r="286" spans="1:28" x14ac:dyDescent="0.2">
      <c r="A286" s="14">
        <v>43515</v>
      </c>
      <c r="B286" s="106">
        <v>2470</v>
      </c>
      <c r="C286" s="106">
        <v>2486</v>
      </c>
      <c r="D286" s="106">
        <v>1612</v>
      </c>
      <c r="E286" s="106">
        <v>1610</v>
      </c>
      <c r="F286" s="106">
        <v>1.5440993788819799</v>
      </c>
      <c r="G286" s="106">
        <v>1.5378685263379599</v>
      </c>
      <c r="H286" s="106">
        <v>4.56059669917925E-2</v>
      </c>
      <c r="I286" s="106">
        <v>0.136623625262496</v>
      </c>
      <c r="J286" s="106">
        <v>0.4</v>
      </c>
      <c r="K286" s="106">
        <v>0.69778236142099603</v>
      </c>
      <c r="L286" s="106">
        <v>4.1581837972645599E-2</v>
      </c>
      <c r="M286" s="106">
        <v>0.49918814499783898</v>
      </c>
      <c r="N286" s="106">
        <v>0.71578592385802697</v>
      </c>
      <c r="P286" s="106">
        <v>1.5834744933297524</v>
      </c>
      <c r="Q286" s="106">
        <v>1.4922625593461674</v>
      </c>
      <c r="R286" s="106">
        <v>1.629080460321545</v>
      </c>
      <c r="S286" s="106">
        <v>1.4466565923543748</v>
      </c>
      <c r="AA286" s="106">
        <v>2486</v>
      </c>
      <c r="AB286" s="106">
        <v>2473.7339055793991</v>
      </c>
    </row>
    <row r="287" spans="1:28" x14ac:dyDescent="0.2">
      <c r="A287" s="14">
        <v>43514</v>
      </c>
      <c r="B287" s="106">
        <v>2479</v>
      </c>
      <c r="C287" s="106">
        <v>2461</v>
      </c>
      <c r="D287" s="106">
        <v>1637</v>
      </c>
      <c r="E287" s="106">
        <v>1630</v>
      </c>
      <c r="F287" s="106">
        <v>1.50981595092024</v>
      </c>
      <c r="G287" s="106">
        <v>1.5369653831043799</v>
      </c>
      <c r="H287" s="106">
        <v>4.6141184753469802E-2</v>
      </c>
      <c r="I287" s="106">
        <v>-0.58839911305273196</v>
      </c>
      <c r="J287" s="106">
        <v>-1.8</v>
      </c>
      <c r="K287" s="106">
        <v>0.69103862618226497</v>
      </c>
      <c r="L287" s="106">
        <v>3.8862247195743702E-2</v>
      </c>
      <c r="M287" s="106">
        <v>0.49029320692821099</v>
      </c>
      <c r="N287" s="106">
        <v>0.70564032474632599</v>
      </c>
      <c r="P287" s="106">
        <v>1.5831065678578498</v>
      </c>
      <c r="Q287" s="106">
        <v>1.4908241983509101</v>
      </c>
      <c r="R287" s="106">
        <v>1.6292477526113196</v>
      </c>
      <c r="S287" s="106">
        <v>1.4446830135974402</v>
      </c>
      <c r="AA287" s="106">
        <v>2461</v>
      </c>
      <c r="AB287" s="106">
        <v>2504.4635193133045</v>
      </c>
    </row>
    <row r="288" spans="1:28" x14ac:dyDescent="0.2">
      <c r="A288" s="14">
        <v>43511</v>
      </c>
      <c r="B288" s="106">
        <v>2450</v>
      </c>
      <c r="C288" s="106">
        <v>2438</v>
      </c>
      <c r="D288" s="106">
        <v>1653</v>
      </c>
      <c r="E288" s="106">
        <v>1624</v>
      </c>
      <c r="F288" s="106">
        <v>1.5012315270935901</v>
      </c>
      <c r="G288" s="106">
        <v>1.53804449595238</v>
      </c>
      <c r="H288" s="106">
        <v>4.6439058820640498E-2</v>
      </c>
      <c r="I288" s="106">
        <v>-0.79271565345390804</v>
      </c>
      <c r="J288" s="106">
        <v>-2.4500000000000002</v>
      </c>
      <c r="K288" s="106">
        <v>0.69235984679981399</v>
      </c>
      <c r="L288" s="106">
        <v>1.8574693209867401E-2</v>
      </c>
      <c r="M288" s="106">
        <v>0.480281728167542</v>
      </c>
      <c r="N288" s="106">
        <v>0.72398916660176005</v>
      </c>
      <c r="P288" s="106">
        <v>1.5844835547730205</v>
      </c>
      <c r="Q288" s="106">
        <v>1.4916054371317395</v>
      </c>
      <c r="R288" s="106">
        <v>1.630922613593661</v>
      </c>
      <c r="S288" s="106">
        <v>1.4451663783110991</v>
      </c>
      <c r="AA288" s="106">
        <v>2438</v>
      </c>
      <c r="AB288" s="106">
        <v>2495.244635193133</v>
      </c>
    </row>
    <row r="289" spans="1:28" x14ac:dyDescent="0.2">
      <c r="A289" s="14">
        <v>43510</v>
      </c>
      <c r="B289" s="106">
        <v>2460</v>
      </c>
      <c r="C289" s="106">
        <v>2462</v>
      </c>
      <c r="D289" s="106">
        <v>1640</v>
      </c>
      <c r="E289" s="106">
        <v>1661</v>
      </c>
      <c r="F289" s="106">
        <v>1.4822396146899399</v>
      </c>
      <c r="G289" s="106">
        <v>1.53890784098703</v>
      </c>
      <c r="H289" s="106">
        <v>4.6348447443383199E-2</v>
      </c>
      <c r="I289" s="106">
        <v>-1.2226564086382301</v>
      </c>
      <c r="J289" s="106">
        <v>-3.82</v>
      </c>
      <c r="K289" s="106">
        <v>0.67101476069138699</v>
      </c>
      <c r="L289" s="106">
        <v>8.0598369928200103E-2</v>
      </c>
      <c r="M289" s="106">
        <v>0.46900563178918298</v>
      </c>
      <c r="N289" s="106">
        <v>0.77992812008738199</v>
      </c>
      <c r="P289" s="106">
        <v>1.5852562884304133</v>
      </c>
      <c r="Q289" s="106">
        <v>1.4925593935436468</v>
      </c>
      <c r="R289" s="106">
        <v>1.6316047358737964</v>
      </c>
      <c r="S289" s="106">
        <v>1.4462109461002637</v>
      </c>
      <c r="AA289" s="106">
        <v>2462</v>
      </c>
      <c r="AB289" s="106">
        <v>2552.0944206008585</v>
      </c>
    </row>
    <row r="290" spans="1:28" x14ac:dyDescent="0.2">
      <c r="A290" s="14">
        <v>43509</v>
      </c>
      <c r="B290" s="106">
        <v>2485</v>
      </c>
      <c r="C290" s="106">
        <v>2451</v>
      </c>
      <c r="D290" s="106">
        <v>1626</v>
      </c>
      <c r="E290" s="106">
        <v>1631</v>
      </c>
      <c r="F290" s="106">
        <v>1.5027590435315701</v>
      </c>
      <c r="G290" s="106">
        <v>1.5398987260344501</v>
      </c>
      <c r="H290" s="106">
        <v>4.5918757815537399E-2</v>
      </c>
      <c r="I290" s="106">
        <v>-0.80881287451370598</v>
      </c>
      <c r="J290" s="106">
        <v>-2.4700000000000002</v>
      </c>
      <c r="K290" s="106">
        <v>0.66690057049576601</v>
      </c>
      <c r="L290" s="106">
        <v>0.10524188244406001</v>
      </c>
      <c r="M290" s="106">
        <v>0.45528720688602098</v>
      </c>
      <c r="N290" s="106">
        <v>0.82602466226463001</v>
      </c>
      <c r="P290" s="106">
        <v>1.5858174838499874</v>
      </c>
      <c r="Q290" s="106">
        <v>1.4939799682189128</v>
      </c>
      <c r="R290" s="106">
        <v>1.631736241665525</v>
      </c>
      <c r="S290" s="106">
        <v>1.4480612104033752</v>
      </c>
      <c r="AA290" s="106">
        <v>2451</v>
      </c>
      <c r="AB290" s="106">
        <v>2506</v>
      </c>
    </row>
    <row r="291" spans="1:28" x14ac:dyDescent="0.2">
      <c r="A291" s="14">
        <v>43508</v>
      </c>
      <c r="B291" s="106">
        <v>2484</v>
      </c>
      <c r="C291" s="106">
        <v>2483</v>
      </c>
      <c r="D291" s="106">
        <v>1610</v>
      </c>
      <c r="E291" s="106">
        <v>1613</v>
      </c>
      <c r="F291" s="106">
        <v>1.53936763794172</v>
      </c>
      <c r="G291" s="106">
        <v>1.5406060199598599</v>
      </c>
      <c r="H291" s="106">
        <v>4.57494760980071E-2</v>
      </c>
      <c r="I291" s="106">
        <v>-2.7068769388455999E-2</v>
      </c>
      <c r="J291" s="106">
        <v>-0.08</v>
      </c>
      <c r="K291" s="106">
        <v>0.66127045782040295</v>
      </c>
      <c r="L291" s="106">
        <v>0.12350797671500199</v>
      </c>
      <c r="M291" s="106">
        <v>0.44523203473141199</v>
      </c>
      <c r="N291" s="106">
        <v>0.74621889101003902</v>
      </c>
      <c r="P291" s="106">
        <v>1.586355496057867</v>
      </c>
      <c r="Q291" s="106">
        <v>1.4948565438618528</v>
      </c>
      <c r="R291" s="106">
        <v>1.632104972155874</v>
      </c>
      <c r="S291" s="106">
        <v>1.4491070677638458</v>
      </c>
      <c r="AA291" s="106">
        <v>2483</v>
      </c>
      <c r="AB291" s="106">
        <v>2478.3433476394848</v>
      </c>
    </row>
    <row r="292" spans="1:28" x14ac:dyDescent="0.2">
      <c r="A292" s="14">
        <v>43504</v>
      </c>
      <c r="B292" s="106">
        <v>2504</v>
      </c>
      <c r="C292" s="106">
        <v>2504</v>
      </c>
      <c r="D292" s="106">
        <v>1599</v>
      </c>
      <c r="E292" s="106">
        <v>1608</v>
      </c>
      <c r="F292" s="106">
        <v>1.55721393034825</v>
      </c>
      <c r="G292" s="106">
        <v>1.5409158551597499</v>
      </c>
      <c r="H292" s="106">
        <v>4.5818675401442403E-2</v>
      </c>
      <c r="I292" s="106">
        <v>0.355708126559867</v>
      </c>
      <c r="J292" s="106">
        <v>1.05</v>
      </c>
      <c r="K292" s="106">
        <v>0.67076129755380998</v>
      </c>
      <c r="L292" s="106">
        <v>0.22776570684706601</v>
      </c>
      <c r="M292" s="106">
        <v>0.43608890474833301</v>
      </c>
      <c r="N292" s="106">
        <v>0.74612881376111295</v>
      </c>
      <c r="P292" s="106">
        <v>1.5867345305611924</v>
      </c>
      <c r="Q292" s="106">
        <v>1.4950971797583075</v>
      </c>
      <c r="R292" s="106">
        <v>1.6325532059626346</v>
      </c>
      <c r="S292" s="106">
        <v>1.4492785043568652</v>
      </c>
      <c r="AA292" s="106">
        <v>2504</v>
      </c>
      <c r="AB292" s="106">
        <v>2470.6609442060085</v>
      </c>
    </row>
    <row r="293" spans="1:28" x14ac:dyDescent="0.2">
      <c r="A293" s="14">
        <v>43503</v>
      </c>
      <c r="B293" s="106">
        <v>2597</v>
      </c>
      <c r="C293" s="106">
        <v>2562</v>
      </c>
      <c r="D293" s="106">
        <v>1627</v>
      </c>
      <c r="E293" s="106">
        <v>1611</v>
      </c>
      <c r="F293" s="106">
        <v>1.5903165735567899</v>
      </c>
      <c r="G293" s="106">
        <v>1.5418196694217801</v>
      </c>
      <c r="H293" s="106">
        <v>4.6789539615581202E-2</v>
      </c>
      <c r="I293" s="106">
        <v>1.0364903038897799</v>
      </c>
      <c r="J293" s="106">
        <v>3.05</v>
      </c>
      <c r="K293" s="106">
        <v>0.68476505180365099</v>
      </c>
      <c r="L293" s="106">
        <v>0.23429528105578001</v>
      </c>
      <c r="M293" s="106">
        <v>0.42874919605744699</v>
      </c>
      <c r="N293" s="106">
        <v>0.72281872878259601</v>
      </c>
      <c r="P293" s="106">
        <v>1.5886092090373614</v>
      </c>
      <c r="Q293" s="106">
        <v>1.4950301298061988</v>
      </c>
      <c r="R293" s="106">
        <v>1.6353987486529424</v>
      </c>
      <c r="S293" s="106">
        <v>1.4482405901906177</v>
      </c>
      <c r="AA293" s="106">
        <v>2562</v>
      </c>
      <c r="AB293" s="106">
        <v>2475.2703862660942</v>
      </c>
    </row>
    <row r="294" spans="1:28" x14ac:dyDescent="0.2">
      <c r="A294" s="14">
        <v>43502</v>
      </c>
      <c r="B294" s="106">
        <v>2608</v>
      </c>
      <c r="C294" s="106">
        <v>2569</v>
      </c>
      <c r="D294" s="106">
        <v>1676</v>
      </c>
      <c r="E294" s="106">
        <v>1622</v>
      </c>
      <c r="F294" s="106">
        <v>1.58384710234278</v>
      </c>
      <c r="G294" s="106">
        <v>1.54184088196703</v>
      </c>
      <c r="H294" s="106">
        <v>4.68118767079359E-2</v>
      </c>
      <c r="I294" s="106">
        <v>0.89734108798571299</v>
      </c>
      <c r="J294" s="106">
        <v>2.65</v>
      </c>
      <c r="K294" s="106">
        <v>0.68358091375865504</v>
      </c>
      <c r="L294" s="106">
        <v>0.41814066396551403</v>
      </c>
      <c r="M294" s="106">
        <v>0.42476164526544202</v>
      </c>
      <c r="N294" s="106">
        <v>0.65613911780400003</v>
      </c>
      <c r="P294" s="106">
        <v>1.5886527586749659</v>
      </c>
      <c r="Q294" s="106">
        <v>1.495029005259094</v>
      </c>
      <c r="R294" s="106">
        <v>1.6354646353829017</v>
      </c>
      <c r="S294" s="106">
        <v>1.4482171285511583</v>
      </c>
      <c r="AA294" s="106">
        <v>2569</v>
      </c>
      <c r="AB294" s="106">
        <v>2492.1716738197424</v>
      </c>
    </row>
    <row r="295" spans="1:28" x14ac:dyDescent="0.2">
      <c r="A295" s="14">
        <v>43501</v>
      </c>
      <c r="B295" s="106">
        <v>2568</v>
      </c>
      <c r="C295" s="106">
        <v>2587</v>
      </c>
      <c r="D295" s="106">
        <v>1713</v>
      </c>
      <c r="E295" s="106">
        <v>1681</v>
      </c>
      <c r="F295" s="106">
        <v>1.53896490184414</v>
      </c>
      <c r="G295" s="106">
        <v>1.5416863117392601</v>
      </c>
      <c r="H295" s="106">
        <v>4.6691904903417E-2</v>
      </c>
      <c r="I295" s="106">
        <v>-5.8284404989563103E-2</v>
      </c>
      <c r="J295" s="106">
        <v>-0.18</v>
      </c>
      <c r="K295" s="106">
        <v>0.67216332327333095</v>
      </c>
      <c r="L295" s="106">
        <v>0.55254076574024902</v>
      </c>
      <c r="M295" s="106">
        <v>0.42343399011433402</v>
      </c>
      <c r="N295" s="106">
        <v>0.61335264339025997</v>
      </c>
      <c r="P295" s="106">
        <v>1.588378216642677</v>
      </c>
      <c r="Q295" s="106">
        <v>1.4949944068358432</v>
      </c>
      <c r="R295" s="106">
        <v>1.6350701215460941</v>
      </c>
      <c r="S295" s="106">
        <v>1.448302501932426</v>
      </c>
      <c r="AA295" s="106">
        <v>2587</v>
      </c>
      <c r="AB295" s="106">
        <v>2582.8240343347638</v>
      </c>
    </row>
    <row r="296" spans="1:28" x14ac:dyDescent="0.2">
      <c r="A296" s="14">
        <v>43500</v>
      </c>
      <c r="B296" s="106">
        <v>2511</v>
      </c>
      <c r="C296" s="106">
        <v>2567</v>
      </c>
      <c r="D296" s="106">
        <v>1730</v>
      </c>
      <c r="E296" s="106">
        <v>1733</v>
      </c>
      <c r="F296" s="106">
        <v>1.48124639353721</v>
      </c>
      <c r="G296" s="106">
        <v>1.54229311152594</v>
      </c>
      <c r="H296" s="106">
        <v>4.6947614680877402E-2</v>
      </c>
      <c r="I296" s="106">
        <v>-1.3003156476358</v>
      </c>
      <c r="J296" s="106">
        <v>-4.12</v>
      </c>
      <c r="K296" s="106">
        <v>0.64667654645561501</v>
      </c>
      <c r="L296" s="106">
        <v>0.672320030258727</v>
      </c>
      <c r="M296" s="106">
        <v>0.42651154642802103</v>
      </c>
      <c r="N296" s="106">
        <v>0.59877228184680797</v>
      </c>
      <c r="P296" s="106">
        <v>1.5892407262068173</v>
      </c>
      <c r="Q296" s="106">
        <v>1.4953454968450626</v>
      </c>
      <c r="R296" s="106">
        <v>1.6361883408876947</v>
      </c>
      <c r="S296" s="106">
        <v>1.4483978821641852</v>
      </c>
      <c r="AA296" s="106">
        <v>2567</v>
      </c>
      <c r="AB296" s="106">
        <v>2662.7210300429183</v>
      </c>
    </row>
    <row r="297" spans="1:28" x14ac:dyDescent="0.2">
      <c r="A297" s="14">
        <v>43497</v>
      </c>
      <c r="B297" s="106">
        <v>2527</v>
      </c>
      <c r="C297" s="106">
        <v>2503</v>
      </c>
      <c r="D297" s="106">
        <v>1701</v>
      </c>
      <c r="E297" s="106">
        <v>1697</v>
      </c>
      <c r="F297" s="106">
        <v>1.4749558043606299</v>
      </c>
      <c r="G297" s="106">
        <v>1.54321019892643</v>
      </c>
      <c r="H297" s="106">
        <v>4.6414931009503703E-2</v>
      </c>
      <c r="I297" s="106">
        <v>-1.47052668357574</v>
      </c>
      <c r="J297" s="106">
        <v>-4.63</v>
      </c>
      <c r="K297" s="106">
        <v>0.64065089996270397</v>
      </c>
      <c r="L297" s="15">
        <v>0.57929957800369702</v>
      </c>
      <c r="M297" s="106">
        <v>0.43010645674196601</v>
      </c>
      <c r="N297" s="106">
        <v>0.63143949903823804</v>
      </c>
      <c r="P297" s="106">
        <v>1.5896251299359336</v>
      </c>
      <c r="Q297" s="106">
        <v>1.4967952679169263</v>
      </c>
      <c r="R297" s="106">
        <v>1.6360400609454373</v>
      </c>
      <c r="S297" s="106">
        <v>1.4503803369074226</v>
      </c>
      <c r="AA297" s="106">
        <v>2503</v>
      </c>
      <c r="AB297" s="106">
        <v>2607.4077253218884</v>
      </c>
    </row>
    <row r="298" spans="1:28" x14ac:dyDescent="0.2">
      <c r="A298" s="14">
        <v>43496</v>
      </c>
      <c r="B298" s="106">
        <v>2564</v>
      </c>
      <c r="C298" s="106">
        <v>2533</v>
      </c>
      <c r="D298" s="106">
        <v>1698</v>
      </c>
      <c r="E298" s="106">
        <v>1701</v>
      </c>
      <c r="F298" s="106">
        <v>1.4891240446795999</v>
      </c>
      <c r="G298" s="106">
        <v>1.54438653257345</v>
      </c>
      <c r="H298" s="106">
        <v>4.5783886266693802E-2</v>
      </c>
      <c r="I298" s="106">
        <v>-1.2070292061260499</v>
      </c>
      <c r="J298" s="106">
        <v>-3.71</v>
      </c>
      <c r="K298" s="106">
        <v>0.62595855567552805</v>
      </c>
      <c r="L298" s="106">
        <v>0.60032518470199203</v>
      </c>
      <c r="M298" s="106">
        <v>0.43329950697348601</v>
      </c>
      <c r="N298" s="106">
        <v>0.62360504734405497</v>
      </c>
      <c r="P298" s="106">
        <v>1.5901704188401438</v>
      </c>
      <c r="Q298" s="106">
        <v>1.4986026463067563</v>
      </c>
      <c r="R298" s="106">
        <v>1.6359543051068377</v>
      </c>
      <c r="S298" s="106">
        <v>1.4528187600400624</v>
      </c>
      <c r="AA298" s="106">
        <v>2533</v>
      </c>
      <c r="AB298" s="106">
        <v>2613.5536480686696</v>
      </c>
    </row>
    <row r="299" spans="1:28" x14ac:dyDescent="0.2">
      <c r="A299" s="14">
        <v>43495</v>
      </c>
      <c r="B299" s="106">
        <v>2546</v>
      </c>
      <c r="C299" s="106">
        <v>2528</v>
      </c>
      <c r="D299" s="106">
        <v>1675</v>
      </c>
      <c r="E299" s="106">
        <v>1689</v>
      </c>
      <c r="F299" s="106">
        <v>1.4967436352871499</v>
      </c>
      <c r="G299" s="106">
        <v>1.54505055115901</v>
      </c>
      <c r="H299" s="106">
        <v>4.53365386201426E-2</v>
      </c>
      <c r="I299" s="106">
        <v>-1.0655183951427001</v>
      </c>
      <c r="J299" s="106">
        <v>-3.23</v>
      </c>
      <c r="K299" s="106">
        <v>0.63312045953409901</v>
      </c>
      <c r="L299" s="106">
        <v>0.40205339768953302</v>
      </c>
      <c r="M299" s="106">
        <v>0.43476679558583597</v>
      </c>
      <c r="N299" s="106">
        <v>0.61710999498757901</v>
      </c>
      <c r="P299" s="106">
        <v>1.5903870897791526</v>
      </c>
      <c r="Q299" s="106">
        <v>1.4997140125388675</v>
      </c>
      <c r="R299" s="106">
        <v>1.6357236283992953</v>
      </c>
      <c r="S299" s="106">
        <v>1.4543774739187247</v>
      </c>
      <c r="AA299" s="106">
        <v>2528</v>
      </c>
      <c r="AB299" s="106">
        <v>2595.1158798283259</v>
      </c>
    </row>
    <row r="300" spans="1:28" x14ac:dyDescent="0.2">
      <c r="A300" s="14">
        <v>43494</v>
      </c>
      <c r="B300" s="106">
        <v>2501</v>
      </c>
      <c r="C300" s="106">
        <v>2530</v>
      </c>
      <c r="D300" s="106">
        <v>1651</v>
      </c>
      <c r="E300" s="106">
        <v>1675</v>
      </c>
      <c r="F300" s="106">
        <v>1.5104477611940299</v>
      </c>
      <c r="G300" s="106">
        <v>1.5454582487539399</v>
      </c>
      <c r="H300" s="106">
        <v>4.5036791510454401E-2</v>
      </c>
      <c r="I300" s="106">
        <v>-0.77737526110820998</v>
      </c>
      <c r="J300" s="106">
        <v>-2.3199999999999998</v>
      </c>
      <c r="K300" s="106">
        <v>0.61145965931787505</v>
      </c>
      <c r="L300" s="106">
        <v>0.59561249561955099</v>
      </c>
      <c r="M300" s="106">
        <v>0.43661357424285002</v>
      </c>
      <c r="N300" s="106">
        <v>0.61135375723662799</v>
      </c>
      <c r="P300" s="106">
        <v>1.5904950402643943</v>
      </c>
      <c r="Q300" s="106">
        <v>1.5004214572434855</v>
      </c>
      <c r="R300" s="106">
        <v>1.6355318317748486</v>
      </c>
      <c r="S300" s="106">
        <v>1.4553846657330312</v>
      </c>
      <c r="AA300" s="106">
        <v>2530</v>
      </c>
      <c r="AB300" s="106">
        <v>2573.6051502145924</v>
      </c>
    </row>
    <row r="301" spans="1:28" x14ac:dyDescent="0.2">
      <c r="A301" s="14">
        <v>43493</v>
      </c>
      <c r="B301" s="106">
        <v>2515</v>
      </c>
      <c r="C301" s="106">
        <v>2518</v>
      </c>
      <c r="D301" s="106">
        <v>1661</v>
      </c>
      <c r="E301" s="106">
        <v>1650</v>
      </c>
      <c r="F301" s="106">
        <v>1.5260606060605999</v>
      </c>
      <c r="G301" s="106">
        <v>1.54578671888321</v>
      </c>
      <c r="H301" s="106">
        <v>4.4869776521817402E-2</v>
      </c>
      <c r="I301" s="106">
        <v>-0.43963028906586499</v>
      </c>
      <c r="J301" s="106">
        <v>-1.29</v>
      </c>
      <c r="K301" s="106">
        <v>0.61070115298445504</v>
      </c>
      <c r="L301" s="106">
        <v>0.64484111144652601</v>
      </c>
      <c r="M301" s="106">
        <v>0.43922035470635201</v>
      </c>
      <c r="N301" s="106">
        <v>0.61224309221961004</v>
      </c>
      <c r="P301" s="106">
        <v>1.5906564954050273</v>
      </c>
      <c r="Q301" s="106">
        <v>1.5009169423613926</v>
      </c>
      <c r="R301" s="106">
        <v>1.6355262719268449</v>
      </c>
      <c r="S301" s="106">
        <v>1.4560471658395751</v>
      </c>
      <c r="AA301" s="106">
        <v>2518</v>
      </c>
      <c r="AB301" s="106">
        <v>2535.1931330472103</v>
      </c>
    </row>
    <row r="302" spans="1:28" x14ac:dyDescent="0.2">
      <c r="A302" s="14">
        <v>43490</v>
      </c>
      <c r="B302" s="106">
        <v>2497</v>
      </c>
      <c r="C302" s="106">
        <v>2504</v>
      </c>
      <c r="D302" s="106">
        <v>1657</v>
      </c>
      <c r="E302" s="106">
        <v>1669</v>
      </c>
      <c r="F302" s="106">
        <v>1.5002995805871699</v>
      </c>
      <c r="G302" s="106">
        <v>1.5458024919989799</v>
      </c>
      <c r="H302" s="106">
        <v>4.4863046833029899E-2</v>
      </c>
      <c r="I302" s="106">
        <v>-1.01426261977168</v>
      </c>
      <c r="J302" s="106">
        <v>-3.03</v>
      </c>
      <c r="K302" s="106">
        <v>0.61570994235083998</v>
      </c>
      <c r="L302" s="106">
        <v>0.28215730749477702</v>
      </c>
      <c r="M302" s="106">
        <v>0.44210754374385602</v>
      </c>
      <c r="N302" s="106">
        <v>0.62005244550537397</v>
      </c>
      <c r="P302" s="106">
        <v>1.5906655388320099</v>
      </c>
      <c r="Q302" s="106">
        <v>1.5009394451659499</v>
      </c>
      <c r="R302" s="106">
        <v>1.6355285856650397</v>
      </c>
      <c r="S302" s="106">
        <v>1.4560763983329201</v>
      </c>
      <c r="AA302" s="106">
        <v>2504</v>
      </c>
      <c r="AB302" s="106">
        <v>2564.3862660944205</v>
      </c>
    </row>
    <row r="303" spans="1:28" x14ac:dyDescent="0.2">
      <c r="A303" s="14">
        <v>43489</v>
      </c>
      <c r="B303" s="106">
        <v>2500</v>
      </c>
      <c r="C303" s="106">
        <v>2503</v>
      </c>
      <c r="D303" s="106">
        <v>1628</v>
      </c>
      <c r="E303" s="106">
        <v>1667</v>
      </c>
      <c r="F303" s="106">
        <v>1.5014997000599799</v>
      </c>
      <c r="G303" s="106">
        <v>1.5459494542350001</v>
      </c>
      <c r="H303" s="106">
        <v>4.4731608471438998E-2</v>
      </c>
      <c r="I303" s="106">
        <v>-0.99369899035484099</v>
      </c>
      <c r="J303" s="106">
        <v>-2.96</v>
      </c>
      <c r="K303" s="106">
        <v>0.61243740881522102</v>
      </c>
      <c r="L303" s="106">
        <v>0.36507996347967703</v>
      </c>
      <c r="M303" s="106">
        <v>0.44468359653991102</v>
      </c>
      <c r="N303" s="106">
        <v>0.62107639616320798</v>
      </c>
      <c r="P303" s="106">
        <v>1.5906810627064392</v>
      </c>
      <c r="Q303" s="106">
        <v>1.501217845763561</v>
      </c>
      <c r="R303" s="106">
        <v>1.635412671177878</v>
      </c>
      <c r="S303" s="106">
        <v>1.4564862372921221</v>
      </c>
      <c r="AA303" s="106">
        <v>2503</v>
      </c>
      <c r="AB303" s="106">
        <v>2561.3133047210299</v>
      </c>
    </row>
    <row r="304" spans="1:28" x14ac:dyDescent="0.2">
      <c r="A304" s="14">
        <v>43488</v>
      </c>
      <c r="B304" s="106">
        <v>2480</v>
      </c>
      <c r="C304" s="106">
        <v>2501</v>
      </c>
      <c r="D304" s="106">
        <v>1619</v>
      </c>
      <c r="E304" s="106">
        <v>1626</v>
      </c>
      <c r="F304" s="106">
        <v>1.5381303813038101</v>
      </c>
      <c r="G304" s="106">
        <v>1.5464296368694299</v>
      </c>
      <c r="H304" s="106">
        <v>4.4444250169637503E-2</v>
      </c>
      <c r="I304" s="106">
        <v>-0.186734066475232</v>
      </c>
      <c r="J304" s="106">
        <v>-0.54</v>
      </c>
      <c r="K304" s="106">
        <v>0.626683682745938</v>
      </c>
      <c r="L304" s="106">
        <v>0.18109994766346399</v>
      </c>
      <c r="M304" s="106">
        <v>0.44600522209131999</v>
      </c>
      <c r="N304" s="106">
        <v>0.62261146761965702</v>
      </c>
      <c r="P304" s="106">
        <v>1.5908738870390675</v>
      </c>
      <c r="Q304" s="106">
        <v>1.5019853866997923</v>
      </c>
      <c r="R304" s="106">
        <v>1.6353181372087049</v>
      </c>
      <c r="S304" s="106">
        <v>1.4575411365301549</v>
      </c>
      <c r="AA304" s="106">
        <v>2501</v>
      </c>
      <c r="AB304" s="106">
        <v>2498.3175965665237</v>
      </c>
    </row>
    <row r="305" spans="1:28" x14ac:dyDescent="0.2">
      <c r="A305" s="14">
        <v>43487</v>
      </c>
      <c r="B305" s="106">
        <v>2510</v>
      </c>
      <c r="C305" s="106">
        <v>2498</v>
      </c>
      <c r="D305" s="106">
        <v>1644</v>
      </c>
      <c r="E305" s="106">
        <v>1615</v>
      </c>
      <c r="F305" s="106">
        <v>1.5467492260061899</v>
      </c>
      <c r="G305" s="106">
        <v>1.5461036879257299</v>
      </c>
      <c r="H305" s="106">
        <v>4.4593313412888198E-2</v>
      </c>
      <c r="I305" s="106">
        <v>1.44761183023776E-2</v>
      </c>
      <c r="J305" s="106">
        <v>0.04</v>
      </c>
      <c r="K305" s="106">
        <v>0.63549470575782496</v>
      </c>
      <c r="L305" s="106">
        <v>0.14990362655499201</v>
      </c>
      <c r="M305" s="106">
        <v>0.44689676623332403</v>
      </c>
      <c r="N305" s="106">
        <v>0.62402409510188706</v>
      </c>
      <c r="P305" s="106">
        <v>1.5906970013386181</v>
      </c>
      <c r="Q305" s="106">
        <v>1.5015103745128418</v>
      </c>
      <c r="R305" s="106">
        <v>1.6352903147515063</v>
      </c>
      <c r="S305" s="106">
        <v>1.4569170610999536</v>
      </c>
      <c r="AA305" s="106">
        <v>2498</v>
      </c>
      <c r="AB305" s="106">
        <v>2481.4163090128754</v>
      </c>
    </row>
    <row r="306" spans="1:28" x14ac:dyDescent="0.2">
      <c r="A306" s="14">
        <v>43486</v>
      </c>
      <c r="B306" s="106">
        <v>2515</v>
      </c>
      <c r="C306" s="106">
        <v>2515</v>
      </c>
      <c r="D306" s="106">
        <v>1630</v>
      </c>
      <c r="E306" s="106">
        <v>1627</v>
      </c>
      <c r="F306" s="106">
        <v>1.5457897971727099</v>
      </c>
      <c r="G306" s="106">
        <v>1.5460524102442099</v>
      </c>
      <c r="H306" s="106">
        <v>4.4594752756281997E-2</v>
      </c>
      <c r="I306" s="106">
        <v>-5.8888782932601602E-3</v>
      </c>
      <c r="J306" s="106">
        <v>-0.02</v>
      </c>
      <c r="K306" s="106">
        <v>0.66719476068818195</v>
      </c>
      <c r="L306" s="106">
        <v>0.14298616087227201</v>
      </c>
      <c r="M306" s="106">
        <v>0.44790635875521401</v>
      </c>
      <c r="N306" s="106">
        <v>0.61200969790322701</v>
      </c>
      <c r="P306" s="106">
        <v>1.5906471630004919</v>
      </c>
      <c r="Q306" s="106">
        <v>1.5014576574879279</v>
      </c>
      <c r="R306" s="106">
        <v>1.6352419157567739</v>
      </c>
      <c r="S306" s="106">
        <v>1.4568629047316459</v>
      </c>
      <c r="AA306" s="106">
        <v>2515</v>
      </c>
      <c r="AB306" s="106">
        <v>2499.8540772532187</v>
      </c>
    </row>
    <row r="307" spans="1:28" x14ac:dyDescent="0.2">
      <c r="A307" s="14">
        <v>43483</v>
      </c>
      <c r="B307" s="106">
        <v>2482</v>
      </c>
      <c r="C307" s="106">
        <v>2486</v>
      </c>
      <c r="D307" s="106">
        <v>1612</v>
      </c>
      <c r="E307" s="106">
        <v>1629</v>
      </c>
      <c r="F307" s="106">
        <v>1.5260896255371299</v>
      </c>
      <c r="G307" s="106">
        <v>1.5458085637430501</v>
      </c>
      <c r="H307" s="106">
        <v>4.4645494403628798E-2</v>
      </c>
      <c r="I307" s="106">
        <v>-0.44167812383580701</v>
      </c>
      <c r="J307" s="106">
        <v>-1.29</v>
      </c>
      <c r="K307" s="106">
        <v>0.69095296029245401</v>
      </c>
      <c r="L307" s="106">
        <v>0.14424550235316499</v>
      </c>
      <c r="M307" s="106">
        <v>0.44822770723289102</v>
      </c>
      <c r="N307" s="106">
        <v>0.62756335537991603</v>
      </c>
      <c r="P307" s="106">
        <v>1.5904540581466788</v>
      </c>
      <c r="Q307" s="106">
        <v>1.5011630693394213</v>
      </c>
      <c r="R307" s="106">
        <v>1.6350995525503076</v>
      </c>
      <c r="S307" s="106">
        <v>1.4565175749357926</v>
      </c>
      <c r="AA307" s="106">
        <v>2486</v>
      </c>
      <c r="AB307" s="106">
        <v>2502.9270386266094</v>
      </c>
    </row>
    <row r="308" spans="1:28" x14ac:dyDescent="0.2">
      <c r="A308" s="14">
        <v>43482</v>
      </c>
      <c r="B308" s="106">
        <v>2519</v>
      </c>
      <c r="C308" s="106">
        <v>2463</v>
      </c>
      <c r="D308" s="106">
        <v>1622</v>
      </c>
      <c r="E308" s="106">
        <v>1599</v>
      </c>
      <c r="F308" s="106">
        <v>1.5403377110694101</v>
      </c>
      <c r="G308" s="106">
        <v>1.54526924907777</v>
      </c>
      <c r="H308" s="106">
        <v>4.5122203608276998E-2</v>
      </c>
      <c r="I308" s="106">
        <v>-0.10929293372214401</v>
      </c>
      <c r="J308" s="106">
        <v>-0.32</v>
      </c>
      <c r="K308" s="106">
        <v>0.71158435122596697</v>
      </c>
      <c r="L308" s="106">
        <v>0.14321293533846599</v>
      </c>
      <c r="M308" s="106">
        <v>0.44661831457004397</v>
      </c>
      <c r="N308" s="106">
        <v>0.58240564392982197</v>
      </c>
      <c r="P308" s="106">
        <v>1.590391452686047</v>
      </c>
      <c r="Q308" s="106">
        <v>1.500147045469493</v>
      </c>
      <c r="R308" s="106">
        <v>1.635513656294324</v>
      </c>
      <c r="S308" s="106">
        <v>1.4550248418612159</v>
      </c>
      <c r="AA308" s="106">
        <v>2463</v>
      </c>
      <c r="AB308" s="106">
        <v>2456.8326180257509</v>
      </c>
    </row>
    <row r="309" spans="1:28" x14ac:dyDescent="0.2">
      <c r="A309" s="14">
        <v>43481</v>
      </c>
      <c r="B309" s="106">
        <v>2499</v>
      </c>
      <c r="C309" s="106">
        <v>2473</v>
      </c>
      <c r="D309" s="106">
        <v>1631</v>
      </c>
      <c r="E309" s="106">
        <v>1615</v>
      </c>
      <c r="F309" s="106">
        <v>1.5312693498451999</v>
      </c>
      <c r="G309" s="106">
        <v>1.54490379639544</v>
      </c>
      <c r="H309" s="106">
        <v>4.5271413332443597E-2</v>
      </c>
      <c r="I309" s="106">
        <v>-0.30117121482641701</v>
      </c>
      <c r="J309" s="106">
        <v>-0.89</v>
      </c>
      <c r="K309" s="106">
        <v>0.72614264866874501</v>
      </c>
      <c r="L309" s="106">
        <v>0.20094337614367899</v>
      </c>
      <c r="M309" s="106">
        <v>0.44632115080270901</v>
      </c>
      <c r="N309" s="106">
        <v>0.58466522833604495</v>
      </c>
      <c r="P309" s="106">
        <v>1.5901752097278836</v>
      </c>
      <c r="Q309" s="106">
        <v>1.4996323830629963</v>
      </c>
      <c r="R309" s="106">
        <v>1.6354466230603271</v>
      </c>
      <c r="S309" s="106">
        <v>1.4543609697305528</v>
      </c>
      <c r="AA309" s="106">
        <v>2473</v>
      </c>
      <c r="AB309" s="106">
        <v>2481.4163090128754</v>
      </c>
    </row>
    <row r="310" spans="1:28" x14ac:dyDescent="0.2">
      <c r="A310" s="14">
        <v>43480</v>
      </c>
      <c r="B310" s="106">
        <v>2440</v>
      </c>
      <c r="C310" s="106">
        <v>2483</v>
      </c>
      <c r="D310" s="106">
        <v>1599</v>
      </c>
      <c r="E310" s="106">
        <v>1618</v>
      </c>
      <c r="F310" s="106">
        <v>1.5346106304079099</v>
      </c>
      <c r="G310" s="106">
        <v>1.5444761248205701</v>
      </c>
      <c r="H310" s="106">
        <v>4.5548850872379497E-2</v>
      </c>
      <c r="I310" s="106">
        <v>-0.21659151051486999</v>
      </c>
      <c r="J310" s="106">
        <v>-0.64</v>
      </c>
      <c r="K310" s="106">
        <v>0.73272701131013496</v>
      </c>
      <c r="L310" s="106">
        <v>0.13588282915695399</v>
      </c>
      <c r="M310" s="106">
        <v>0.44669245768641402</v>
      </c>
      <c r="N310" s="106">
        <v>0.56061343024928201</v>
      </c>
      <c r="P310" s="106">
        <v>1.5900249756929496</v>
      </c>
      <c r="Q310" s="106">
        <v>1.4989272739481905</v>
      </c>
      <c r="R310" s="106">
        <v>1.635573826565329</v>
      </c>
      <c r="S310" s="106">
        <v>1.4533784230758111</v>
      </c>
      <c r="AA310" s="106">
        <v>2483</v>
      </c>
      <c r="AB310" s="106">
        <v>2486.0257510729612</v>
      </c>
    </row>
    <row r="311" spans="1:28" x14ac:dyDescent="0.2">
      <c r="A311" s="14">
        <v>43476</v>
      </c>
      <c r="B311" s="106">
        <v>2471</v>
      </c>
      <c r="C311" s="106">
        <v>2439</v>
      </c>
      <c r="D311" s="106">
        <v>1620</v>
      </c>
      <c r="E311" s="106">
        <v>1604</v>
      </c>
      <c r="F311" s="106">
        <v>1.5205735660847799</v>
      </c>
      <c r="G311" s="106">
        <v>1.54360110251139</v>
      </c>
      <c r="H311" s="106">
        <v>4.6353230850444099E-2</v>
      </c>
      <c r="I311" s="106">
        <v>-0.496783848808793</v>
      </c>
      <c r="J311" s="106">
        <v>-1.51</v>
      </c>
      <c r="K311" s="106">
        <v>0.746463577332107</v>
      </c>
      <c r="L311" s="106">
        <v>0.130543295771025</v>
      </c>
      <c r="M311" s="106">
        <v>0.45151527176441197</v>
      </c>
      <c r="N311" s="106">
        <v>0.60178738843879198</v>
      </c>
      <c r="P311" s="106">
        <v>1.5899543333618342</v>
      </c>
      <c r="Q311" s="106">
        <v>1.4972478716609459</v>
      </c>
      <c r="R311" s="106">
        <v>1.6363075642122782</v>
      </c>
      <c r="S311" s="106">
        <v>1.4508946408105019</v>
      </c>
      <c r="AA311" s="106">
        <v>2439</v>
      </c>
      <c r="AB311" s="106">
        <v>2464.5150214592272</v>
      </c>
    </row>
    <row r="312" spans="1:28" x14ac:dyDescent="0.2">
      <c r="A312" s="14">
        <v>43475</v>
      </c>
      <c r="B312" s="106">
        <v>2491</v>
      </c>
      <c r="C312" s="106">
        <v>2504</v>
      </c>
      <c r="D312" s="106">
        <v>1610</v>
      </c>
      <c r="E312" s="106">
        <v>1616</v>
      </c>
      <c r="F312" s="106">
        <v>1.54950495049504</v>
      </c>
      <c r="G312" s="106">
        <v>1.54319251139618</v>
      </c>
      <c r="H312" s="106">
        <v>4.6688261475559503E-2</v>
      </c>
      <c r="I312" s="106">
        <v>0.135203987027184</v>
      </c>
      <c r="J312" s="106">
        <v>0.41</v>
      </c>
      <c r="K312" s="106">
        <v>0.75689046917404801</v>
      </c>
      <c r="L312" s="106">
        <v>0.112040292383147</v>
      </c>
      <c r="M312" s="106">
        <v>0.45257072153197803</v>
      </c>
      <c r="N312" s="106">
        <v>0.60725779473540398</v>
      </c>
      <c r="P312" s="106">
        <v>1.5898807728717395</v>
      </c>
      <c r="Q312" s="106">
        <v>1.4965042499206205</v>
      </c>
      <c r="R312" s="106">
        <v>1.6365690343472989</v>
      </c>
      <c r="S312" s="106">
        <v>1.449815988445061</v>
      </c>
      <c r="AA312" s="106">
        <v>2504</v>
      </c>
      <c r="AB312" s="106">
        <v>2482.9527896995705</v>
      </c>
    </row>
    <row r="313" spans="1:28" x14ac:dyDescent="0.2">
      <c r="A313" s="14">
        <v>43474</v>
      </c>
      <c r="B313" s="106">
        <v>2554</v>
      </c>
      <c r="C313" s="106">
        <v>2521</v>
      </c>
      <c r="D313" s="106">
        <v>1620</v>
      </c>
      <c r="E313" s="106">
        <v>1637</v>
      </c>
      <c r="F313" s="106">
        <v>1.54001221747098</v>
      </c>
      <c r="G313" s="106">
        <v>1.5424506001514899</v>
      </c>
      <c r="H313" s="106">
        <v>4.7022964712392E-2</v>
      </c>
      <c r="I313" s="106">
        <v>-5.1855145574523601E-2</v>
      </c>
      <c r="J313" s="106">
        <v>-0.16</v>
      </c>
      <c r="K313" s="106">
        <v>0.77855709197546497</v>
      </c>
      <c r="L313" s="106">
        <v>0.105210844408595</v>
      </c>
      <c r="M313" s="106">
        <v>0.45420202892874301</v>
      </c>
      <c r="N313" s="106">
        <v>0.62392739821378296</v>
      </c>
      <c r="P313" s="106">
        <v>1.589473564863882</v>
      </c>
      <c r="Q313" s="106">
        <v>1.4954276354390978</v>
      </c>
      <c r="R313" s="106">
        <v>1.6364965295762739</v>
      </c>
      <c r="S313" s="106">
        <v>1.448404670726706</v>
      </c>
      <c r="AA313" s="106">
        <v>2521</v>
      </c>
      <c r="AB313" s="106">
        <v>2515.2188841201714</v>
      </c>
    </row>
    <row r="314" spans="1:28" x14ac:dyDescent="0.2">
      <c r="A314" s="14">
        <v>43473</v>
      </c>
      <c r="B314" s="106">
        <v>2533</v>
      </c>
      <c r="C314" s="106">
        <v>2559</v>
      </c>
      <c r="D314" s="106">
        <v>1629</v>
      </c>
      <c r="E314" s="106">
        <v>1605</v>
      </c>
      <c r="F314" s="106">
        <v>1.59439252336448</v>
      </c>
      <c r="G314" s="106">
        <v>1.54151881618357</v>
      </c>
      <c r="H314" s="106">
        <v>4.7748839598191303E-2</v>
      </c>
      <c r="I314" s="106">
        <v>1.10732967807904</v>
      </c>
      <c r="J314" s="106">
        <v>3.32</v>
      </c>
      <c r="K314" s="106">
        <v>0.79282423103983002</v>
      </c>
      <c r="L314" s="106">
        <v>9.6135608679430995E-2</v>
      </c>
      <c r="M314" s="106">
        <v>0.45565979390734401</v>
      </c>
      <c r="N314" s="106">
        <v>0.61357953095512496</v>
      </c>
      <c r="P314" s="106">
        <v>1.5892676557817613</v>
      </c>
      <c r="Q314" s="106">
        <v>1.4937699765853787</v>
      </c>
      <c r="R314" s="106">
        <v>1.6370164953799526</v>
      </c>
      <c r="S314" s="106">
        <v>1.4460211369871874</v>
      </c>
      <c r="AA314" s="106">
        <v>2559</v>
      </c>
      <c r="AB314" s="106">
        <v>2466.0515021459228</v>
      </c>
    </row>
    <row r="315" spans="1:28" x14ac:dyDescent="0.2">
      <c r="A315" s="14">
        <v>43472</v>
      </c>
      <c r="B315" s="106">
        <v>2542</v>
      </c>
      <c r="C315" s="106">
        <v>2538</v>
      </c>
      <c r="D315" s="106">
        <v>1610</v>
      </c>
      <c r="E315" s="106">
        <v>1592</v>
      </c>
      <c r="F315" s="106">
        <v>1.5942211055276301</v>
      </c>
      <c r="G315" s="106">
        <v>1.5393750951437499</v>
      </c>
      <c r="H315" s="106">
        <v>4.8921658580277902E-2</v>
      </c>
      <c r="I315" s="106">
        <v>1.12109875207693</v>
      </c>
      <c r="J315" s="106">
        <v>3.44</v>
      </c>
      <c r="K315" s="106">
        <v>0.79580625985835896</v>
      </c>
      <c r="L315" s="106">
        <v>9.9598442153785299E-2</v>
      </c>
      <c r="M315" s="106">
        <v>0.45110157502363701</v>
      </c>
      <c r="N315" s="106">
        <v>0.59416276456973305</v>
      </c>
      <c r="P315" s="106">
        <v>1.5882967537240278</v>
      </c>
      <c r="Q315" s="106">
        <v>1.4904534365634721</v>
      </c>
      <c r="R315" s="106">
        <v>1.6372184123043056</v>
      </c>
      <c r="S315" s="106">
        <v>1.4415317779831942</v>
      </c>
      <c r="AA315" s="106">
        <v>2538</v>
      </c>
      <c r="AB315" s="106">
        <v>2446.0772532188839</v>
      </c>
    </row>
    <row r="316" spans="1:28" x14ac:dyDescent="0.2">
      <c r="A316" s="14">
        <v>43469</v>
      </c>
      <c r="B316" s="106">
        <v>2454</v>
      </c>
      <c r="C316" s="106">
        <v>2467</v>
      </c>
      <c r="D316" s="106">
        <v>1543</v>
      </c>
      <c r="E316" s="106">
        <v>1557</v>
      </c>
      <c r="F316" s="106">
        <v>1.5844572896596001</v>
      </c>
      <c r="G316" s="106">
        <v>1.5372053699061401</v>
      </c>
      <c r="H316" s="106">
        <v>5.0036961291805002E-2</v>
      </c>
      <c r="I316" s="106">
        <v>0.94434031431064802</v>
      </c>
      <c r="J316" s="106">
        <v>2.98</v>
      </c>
      <c r="K316" s="106">
        <v>0.809963725138094</v>
      </c>
      <c r="L316" s="106">
        <v>0.10347748498544</v>
      </c>
      <c r="M316" s="106">
        <v>0.451025060680812</v>
      </c>
      <c r="N316" s="106">
        <v>0.61998244206130004</v>
      </c>
      <c r="P316" s="106">
        <v>1.5872423311979451</v>
      </c>
      <c r="Q316" s="106">
        <v>1.4871684086143351</v>
      </c>
      <c r="R316" s="106">
        <v>1.6372792924897501</v>
      </c>
      <c r="S316" s="106">
        <v>1.4371314473225301</v>
      </c>
      <c r="AA316" s="106">
        <v>2467</v>
      </c>
      <c r="AB316" s="106">
        <v>2392.3004291845491</v>
      </c>
    </row>
    <row r="317" spans="1:28" x14ac:dyDescent="0.2">
      <c r="A317" s="14">
        <v>43462</v>
      </c>
      <c r="B317" s="106">
        <v>2477</v>
      </c>
      <c r="C317" s="106">
        <v>2503</v>
      </c>
      <c r="D317" s="106">
        <v>1601</v>
      </c>
      <c r="E317" s="106">
        <v>1581</v>
      </c>
      <c r="F317" s="106">
        <v>1.5831752055660899</v>
      </c>
      <c r="G317" s="106">
        <v>1.53526392498886</v>
      </c>
      <c r="H317" s="106">
        <v>5.0981809653932501E-2</v>
      </c>
      <c r="I317" s="106">
        <v>0.93977206581047101</v>
      </c>
      <c r="J317" s="106">
        <v>3.03</v>
      </c>
      <c r="K317" s="106">
        <v>0.84707942124720503</v>
      </c>
      <c r="L317" s="106">
        <v>0.10179081901974001</v>
      </c>
      <c r="M317" s="106">
        <v>0.45557077921775502</v>
      </c>
      <c r="N317" s="106">
        <v>0.591293667631967</v>
      </c>
      <c r="P317" s="106">
        <v>1.5862457346427925</v>
      </c>
      <c r="Q317" s="106">
        <v>1.4842821153349275</v>
      </c>
      <c r="R317" s="106">
        <v>1.637227544296725</v>
      </c>
      <c r="S317" s="106">
        <v>1.433300305680995</v>
      </c>
      <c r="AA317" s="106">
        <v>2503</v>
      </c>
      <c r="AB317" s="106">
        <v>2429.1759656652362</v>
      </c>
    </row>
    <row r="318" spans="1:28" x14ac:dyDescent="0.2">
      <c r="A318" s="14">
        <v>43461</v>
      </c>
      <c r="B318" s="106">
        <v>2408</v>
      </c>
      <c r="C318" s="106">
        <v>2483</v>
      </c>
      <c r="D318" s="106">
        <v>1576</v>
      </c>
      <c r="E318" s="106">
        <v>1596</v>
      </c>
      <c r="F318" s="106">
        <v>1.5557644110275599</v>
      </c>
      <c r="G318" s="106">
        <v>1.5333614480173501</v>
      </c>
      <c r="H318" s="106">
        <v>5.1813913942581599E-2</v>
      </c>
      <c r="I318" s="106">
        <v>0.43237349402011499</v>
      </c>
      <c r="J318" s="106">
        <v>1.44</v>
      </c>
      <c r="K318" s="106">
        <v>0.85138507732425495</v>
      </c>
      <c r="L318" s="106">
        <v>0.110547821669759</v>
      </c>
      <c r="M318" s="106">
        <v>0.45468036351246799</v>
      </c>
      <c r="N318" s="106">
        <v>0.50156606097712597</v>
      </c>
      <c r="P318" s="106">
        <v>1.5851753619599316</v>
      </c>
      <c r="Q318" s="106">
        <v>1.4815475340747686</v>
      </c>
      <c r="R318" s="106">
        <v>1.6369892759025133</v>
      </c>
      <c r="S318" s="106">
        <v>1.4297336201321869</v>
      </c>
      <c r="AA318" s="106">
        <v>2483</v>
      </c>
      <c r="AB318" s="106">
        <v>2452.2231759656652</v>
      </c>
    </row>
    <row r="319" spans="1:28" x14ac:dyDescent="0.2">
      <c r="A319" s="14">
        <v>43460</v>
      </c>
      <c r="B319" s="106">
        <v>2274</v>
      </c>
      <c r="C319" s="106">
        <v>2321</v>
      </c>
      <c r="D319" s="106">
        <v>1504</v>
      </c>
      <c r="E319" s="106">
        <v>1531</v>
      </c>
      <c r="F319" s="106">
        <v>1.5160026126714501</v>
      </c>
      <c r="G319" s="106">
        <v>1.53214384846291</v>
      </c>
      <c r="H319" s="106">
        <v>5.2343429429477499E-2</v>
      </c>
      <c r="I319" s="106">
        <v>-0.30837176637816799</v>
      </c>
      <c r="J319" s="106">
        <v>-1.06</v>
      </c>
      <c r="K319" s="106">
        <v>0.847675584053869</v>
      </c>
      <c r="L319" s="106">
        <v>9.6230449493797096E-2</v>
      </c>
      <c r="M319" s="106">
        <v>0.44980868788748501</v>
      </c>
      <c r="N319" s="106">
        <v>0.46349594275957401</v>
      </c>
      <c r="P319" s="106">
        <v>1.5844872778923875</v>
      </c>
      <c r="Q319" s="106">
        <v>1.4798004190334324</v>
      </c>
      <c r="R319" s="106">
        <v>1.6368307073218649</v>
      </c>
      <c r="S319" s="106">
        <v>1.4274569896039551</v>
      </c>
      <c r="AA319" s="106">
        <v>2321</v>
      </c>
      <c r="AB319" s="106">
        <v>2352.3519313304719</v>
      </c>
    </row>
    <row r="320" spans="1:28" x14ac:dyDescent="0.2">
      <c r="A320" s="14">
        <v>43459</v>
      </c>
      <c r="B320" s="106">
        <v>2302</v>
      </c>
      <c r="C320" s="106">
        <v>2274</v>
      </c>
      <c r="D320" s="106">
        <v>1564</v>
      </c>
      <c r="E320" s="106">
        <v>1499</v>
      </c>
      <c r="F320" s="106">
        <v>1.5170113408939201</v>
      </c>
      <c r="G320" s="106">
        <v>1.53084182200159</v>
      </c>
      <c r="H320" s="106">
        <v>5.3919545915371798E-2</v>
      </c>
      <c r="I320" s="106">
        <v>-0.25650218066318198</v>
      </c>
      <c r="J320" s="106">
        <v>-0.91</v>
      </c>
      <c r="K320" s="106">
        <v>0.84199943562939905</v>
      </c>
      <c r="L320" s="106">
        <v>7.5604661898588402E-2</v>
      </c>
      <c r="M320" s="106">
        <v>0.44244016234067202</v>
      </c>
      <c r="N320" s="106">
        <v>0.48157129590777797</v>
      </c>
      <c r="P320" s="106">
        <v>1.5847613679169619</v>
      </c>
      <c r="Q320" s="106">
        <v>1.4769222760862182</v>
      </c>
      <c r="R320" s="106">
        <v>1.6386809138323337</v>
      </c>
      <c r="S320" s="106">
        <v>1.4230027301708463</v>
      </c>
      <c r="AA320" s="106">
        <v>2274</v>
      </c>
      <c r="AB320" s="106">
        <v>2303.1845493562232</v>
      </c>
    </row>
    <row r="321" spans="1:28" x14ac:dyDescent="0.2">
      <c r="A321" s="14">
        <v>43455</v>
      </c>
      <c r="B321" s="106">
        <v>2400</v>
      </c>
      <c r="C321" s="106">
        <v>2352</v>
      </c>
      <c r="D321" s="106">
        <v>1615</v>
      </c>
      <c r="E321" s="106">
        <v>1580</v>
      </c>
      <c r="F321" s="106">
        <v>1.4886075949366999</v>
      </c>
      <c r="G321" s="106">
        <v>1.52916417123745</v>
      </c>
      <c r="H321" s="106">
        <v>5.6231634873173203E-2</v>
      </c>
      <c r="I321" s="106">
        <v>-0.72124127979247998</v>
      </c>
      <c r="J321" s="106">
        <v>-2.72</v>
      </c>
      <c r="K321" s="106">
        <v>0.84033655237911098</v>
      </c>
      <c r="L321" s="106">
        <v>8.5197761360295804E-2</v>
      </c>
      <c r="M321" s="106">
        <v>0.44301397225540301</v>
      </c>
      <c r="N321" s="106">
        <v>0.51484818181776404</v>
      </c>
      <c r="P321" s="106">
        <v>1.5853958061106233</v>
      </c>
      <c r="Q321" s="106">
        <v>1.4729325363642767</v>
      </c>
      <c r="R321" s="106">
        <v>1.6416274409837963</v>
      </c>
      <c r="S321" s="106">
        <v>1.4167009014911036</v>
      </c>
      <c r="AA321" s="106">
        <v>2352</v>
      </c>
      <c r="AB321" s="106">
        <v>2427.6394849785406</v>
      </c>
    </row>
    <row r="322" spans="1:28" x14ac:dyDescent="0.2">
      <c r="A322" s="14">
        <v>43454</v>
      </c>
      <c r="B322" s="106">
        <v>2491</v>
      </c>
      <c r="C322" s="106">
        <v>2412</v>
      </c>
      <c r="D322" s="106">
        <v>1635</v>
      </c>
      <c r="E322" s="106">
        <v>1615</v>
      </c>
      <c r="F322" s="106">
        <v>1.49349845201238</v>
      </c>
      <c r="G322" s="106">
        <v>1.5279698817909499</v>
      </c>
      <c r="H322" s="106">
        <v>5.8003599556449903E-2</v>
      </c>
      <c r="I322" s="106">
        <v>-0.59429811325800197</v>
      </c>
      <c r="J322" s="106">
        <v>-2.31</v>
      </c>
      <c r="K322" s="106">
        <v>0.84268318176969503</v>
      </c>
      <c r="L322" s="106">
        <v>0.10362082618816899</v>
      </c>
      <c r="M322" s="106">
        <v>0.44038027705520399</v>
      </c>
      <c r="N322" s="106">
        <v>0.57658162675989999</v>
      </c>
      <c r="P322" s="106">
        <v>1.5859734813473998</v>
      </c>
      <c r="Q322" s="106">
        <v>1.4699662822345001</v>
      </c>
      <c r="R322" s="106">
        <v>1.6439770809038499</v>
      </c>
      <c r="S322" s="106">
        <v>1.41196268267805</v>
      </c>
      <c r="AA322" s="106">
        <v>2412</v>
      </c>
      <c r="AB322" s="106">
        <v>2481.4163090128754</v>
      </c>
    </row>
    <row r="323" spans="1:28" x14ac:dyDescent="0.2">
      <c r="A323" s="14">
        <v>43453</v>
      </c>
      <c r="B323" s="106">
        <v>2495</v>
      </c>
      <c r="C323" s="106">
        <v>2506</v>
      </c>
      <c r="D323" s="106">
        <v>1651</v>
      </c>
      <c r="E323" s="106">
        <v>1631</v>
      </c>
      <c r="F323" s="106">
        <v>1.53648068669527</v>
      </c>
      <c r="G323" s="106">
        <v>1.5272038977536799</v>
      </c>
      <c r="H323" s="106">
        <v>5.8827245607496699E-2</v>
      </c>
      <c r="I323" s="106">
        <v>0.15769544954536299</v>
      </c>
      <c r="J323" s="106">
        <v>0.6</v>
      </c>
      <c r="K323" s="106">
        <v>0.84062632098061496</v>
      </c>
      <c r="L323" s="106">
        <v>8.5489414890793494E-2</v>
      </c>
      <c r="M323" s="106">
        <v>0.438639497352589</v>
      </c>
      <c r="N323" s="106">
        <v>0.54005026887517105</v>
      </c>
      <c r="P323" s="106">
        <v>1.5860311433611767</v>
      </c>
      <c r="Q323" s="106">
        <v>1.4683766521461832</v>
      </c>
      <c r="R323" s="106">
        <v>1.6448583889686734</v>
      </c>
      <c r="S323" s="106">
        <v>1.4095494065386864</v>
      </c>
      <c r="AA323" s="106">
        <v>2506</v>
      </c>
      <c r="AB323" s="106">
        <v>2506</v>
      </c>
    </row>
    <row r="324" spans="1:28" x14ac:dyDescent="0.2">
      <c r="A324" s="14"/>
    </row>
    <row r="325" spans="1:28" x14ac:dyDescent="0.2">
      <c r="A325" s="14"/>
    </row>
    <row r="326" spans="1:28" x14ac:dyDescent="0.2">
      <c r="A326" s="14"/>
    </row>
    <row r="327" spans="1:28" x14ac:dyDescent="0.2">
      <c r="A327" s="14"/>
    </row>
    <row r="328" spans="1:28" x14ac:dyDescent="0.2">
      <c r="A328" s="14"/>
    </row>
    <row r="329" spans="1:28" x14ac:dyDescent="0.2">
      <c r="A329" s="14"/>
    </row>
    <row r="330" spans="1:28" x14ac:dyDescent="0.2">
      <c r="A330" s="14"/>
    </row>
    <row r="331" spans="1:28" x14ac:dyDescent="0.2">
      <c r="A331" s="14"/>
    </row>
    <row r="332" spans="1:28" x14ac:dyDescent="0.2">
      <c r="A332" s="14"/>
    </row>
    <row r="333" spans="1:28" x14ac:dyDescent="0.2">
      <c r="A333" s="14"/>
    </row>
    <row r="334" spans="1:28" x14ac:dyDescent="0.2">
      <c r="A334" s="14"/>
    </row>
    <row r="335" spans="1:28" x14ac:dyDescent="0.2">
      <c r="A335" s="14"/>
    </row>
    <row r="336" spans="1:28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3"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1"/>
  <sheetViews>
    <sheetView showGridLines="0" zoomScale="115" zoomScaleNormal="115" workbookViewId="0">
      <selection activeCell="F15" sqref="F15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71</v>
      </c>
      <c r="G8" s="151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72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73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67</v>
      </c>
      <c r="C17" s="321" t="s">
        <v>1883</v>
      </c>
      <c r="D17" s="322"/>
      <c r="E17" s="322"/>
      <c r="F17" s="322"/>
      <c r="G17" s="323"/>
    </row>
    <row r="18" spans="2:9" x14ac:dyDescent="0.2">
      <c r="B18" s="4" t="s">
        <v>66</v>
      </c>
      <c r="C18" s="317" t="str">
        <f>C17 &amp; "\master\" &amp; H18</f>
        <v>G:\Stock\pairs_trade\pair_trade\stock_data\master\master.csv</v>
      </c>
      <c r="D18" s="318"/>
      <c r="E18" s="318"/>
      <c r="F18" s="318"/>
      <c r="G18" s="318"/>
      <c r="H18" s="315" t="s">
        <v>943</v>
      </c>
      <c r="I18" s="316"/>
    </row>
    <row r="19" spans="2:9" x14ac:dyDescent="0.2">
      <c r="B19" s="4" t="s">
        <v>337</v>
      </c>
      <c r="C19" s="319" t="str">
        <f>C17 &amp; "\master\" &amp; H19</f>
        <v>G:\Stock\pairs_trade\pair_trade\stock_data\master\fiscal_data.csv</v>
      </c>
      <c r="D19" s="320"/>
      <c r="E19" s="320"/>
      <c r="F19" s="320"/>
      <c r="G19" s="320"/>
      <c r="H19" s="315" t="s">
        <v>942</v>
      </c>
      <c r="I19" s="316"/>
    </row>
    <row r="20" spans="2:9" x14ac:dyDescent="0.2">
      <c r="B20" s="4" t="s">
        <v>1041</v>
      </c>
      <c r="C20" s="188" t="str">
        <f>C17 &amp; "\master\" &amp; H20</f>
        <v>G:\Stock\pairs_trade\pair_trade\stock_data\master\gyakunipo_data.csv</v>
      </c>
      <c r="D20" s="189"/>
      <c r="E20" s="189"/>
      <c r="F20" s="189"/>
      <c r="G20" s="189"/>
      <c r="H20" s="315" t="s">
        <v>1042</v>
      </c>
      <c r="I20" s="316"/>
    </row>
    <row r="21" spans="2:9" x14ac:dyDescent="0.2">
      <c r="B21" s="4" t="s">
        <v>1881</v>
      </c>
      <c r="C21" s="188" t="str">
        <f>C17 &amp; "\" &amp; H21</f>
        <v>G:\Stock\pairs_trade\pair_trade\stock_data\trade</v>
      </c>
      <c r="D21" s="189"/>
      <c r="E21" s="189"/>
      <c r="F21" s="189"/>
      <c r="G21" s="189"/>
      <c r="H21" s="315" t="s">
        <v>1882</v>
      </c>
      <c r="I21" s="316"/>
    </row>
  </sheetData>
  <mergeCells count="7">
    <mergeCell ref="H21:I21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zoomScaleNormal="100" workbookViewId="0">
      <selection activeCell="A15" sqref="A15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30" t="s">
        <v>1007</v>
      </c>
      <c r="F2" s="328" t="s">
        <v>1866</v>
      </c>
      <c r="G2" s="325"/>
      <c r="H2" s="325"/>
      <c r="I2" s="325"/>
      <c r="J2" s="325"/>
      <c r="K2" s="325"/>
      <c r="L2" s="185"/>
      <c r="M2" s="185"/>
      <c r="N2" s="184"/>
      <c r="O2" s="329" t="s">
        <v>278</v>
      </c>
      <c r="P2" s="325"/>
      <c r="Q2" s="325"/>
      <c r="R2" s="325"/>
      <c r="S2" s="325"/>
      <c r="T2" s="325"/>
      <c r="U2" s="325"/>
      <c r="V2" s="325"/>
      <c r="W2" s="326"/>
      <c r="X2" s="324" t="s">
        <v>986</v>
      </c>
      <c r="Y2" s="325"/>
      <c r="Z2" s="325"/>
      <c r="AA2" s="325"/>
      <c r="AB2" s="325"/>
      <c r="AC2" s="325"/>
      <c r="AD2" s="325"/>
      <c r="AE2" s="326"/>
      <c r="AF2" s="327" t="s">
        <v>279</v>
      </c>
      <c r="AG2" s="325"/>
      <c r="AH2" s="325"/>
      <c r="AI2" s="325"/>
      <c r="AJ2" s="325"/>
      <c r="AK2" s="325"/>
      <c r="AL2" s="325"/>
      <c r="AM2" s="325"/>
      <c r="AN2" s="325"/>
      <c r="AO2" s="326"/>
      <c r="AP2" s="111" t="s">
        <v>2383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31"/>
      <c r="F3" s="109" t="s">
        <v>280</v>
      </c>
      <c r="G3" s="125" t="s">
        <v>281</v>
      </c>
      <c r="H3" s="125" t="s">
        <v>282</v>
      </c>
      <c r="I3" s="125" t="s">
        <v>283</v>
      </c>
      <c r="J3" s="125" t="s">
        <v>284</v>
      </c>
      <c r="K3" s="183" t="s">
        <v>336</v>
      </c>
      <c r="L3" s="183" t="s">
        <v>1006</v>
      </c>
      <c r="M3" s="183"/>
      <c r="N3" s="126"/>
      <c r="O3" s="110" t="s">
        <v>280</v>
      </c>
      <c r="P3" s="114" t="s">
        <v>281</v>
      </c>
      <c r="Q3" s="114" t="s">
        <v>282</v>
      </c>
      <c r="R3" s="114" t="s">
        <v>283</v>
      </c>
      <c r="S3" s="114" t="s">
        <v>284</v>
      </c>
      <c r="T3" s="186" t="s">
        <v>336</v>
      </c>
      <c r="U3" s="186" t="s">
        <v>1006</v>
      </c>
      <c r="V3" s="186"/>
      <c r="W3" s="115"/>
      <c r="X3" s="116" t="s">
        <v>987</v>
      </c>
      <c r="Y3" s="117" t="s">
        <v>988</v>
      </c>
      <c r="Z3" s="187" t="s">
        <v>1872</v>
      </c>
      <c r="AA3" s="187" t="s">
        <v>1873</v>
      </c>
      <c r="AB3" s="187" t="s">
        <v>1861</v>
      </c>
      <c r="AC3" s="117"/>
      <c r="AD3" s="117"/>
      <c r="AE3" s="118"/>
      <c r="AF3" s="119" t="s">
        <v>1862</v>
      </c>
      <c r="AG3" s="120" t="s">
        <v>285</v>
      </c>
      <c r="AH3" s="108" t="s">
        <v>286</v>
      </c>
      <c r="AI3" s="108" t="s">
        <v>287</v>
      </c>
      <c r="AJ3" s="108" t="s">
        <v>288</v>
      </c>
      <c r="AK3" s="120" t="s">
        <v>289</v>
      </c>
      <c r="AL3" s="120" t="s">
        <v>290</v>
      </c>
      <c r="AM3" s="108"/>
      <c r="AN3" s="120"/>
      <c r="AO3" s="121"/>
      <c r="AP3" s="122" t="s">
        <v>989</v>
      </c>
      <c r="AQ3" s="123" t="s">
        <v>291</v>
      </c>
      <c r="AR3" s="123" t="s">
        <v>990</v>
      </c>
      <c r="AS3" s="150" t="s">
        <v>292</v>
      </c>
    </row>
    <row r="4" spans="1:68" x14ac:dyDescent="0.2">
      <c r="A4" s="124" t="s">
        <v>1038</v>
      </c>
      <c r="B4" s="124" t="s">
        <v>1040</v>
      </c>
      <c r="C4" s="124" t="s">
        <v>1039</v>
      </c>
      <c r="D4"/>
      <c r="E4">
        <v>1</v>
      </c>
      <c r="F4">
        <v>1963</v>
      </c>
      <c r="G4" t="s">
        <v>129</v>
      </c>
      <c r="H4" t="s">
        <v>78</v>
      </c>
      <c r="I4">
        <v>1805</v>
      </c>
      <c r="J4">
        <v>500</v>
      </c>
      <c r="L4"/>
      <c r="M4"/>
      <c r="N4"/>
      <c r="O4">
        <v>7272</v>
      </c>
      <c r="P4" t="s">
        <v>297</v>
      </c>
      <c r="Q4" t="s">
        <v>84</v>
      </c>
      <c r="R4">
        <v>2293</v>
      </c>
      <c r="S4">
        <v>400</v>
      </c>
      <c r="T4"/>
      <c r="U4"/>
      <c r="V4"/>
      <c r="W4"/>
      <c r="X4">
        <v>2.7046620402844201</v>
      </c>
      <c r="Y4">
        <v>7.16</v>
      </c>
      <c r="Z4">
        <v>902500</v>
      </c>
      <c r="AA4">
        <v>917200</v>
      </c>
      <c r="AB4">
        <v>1.6</v>
      </c>
      <c r="AC4"/>
      <c r="AD4"/>
      <c r="AE4"/>
      <c r="AF4">
        <v>348955</v>
      </c>
      <c r="AG4">
        <v>16617</v>
      </c>
      <c r="AH4" s="133">
        <v>21</v>
      </c>
      <c r="AI4" s="133">
        <v>14</v>
      </c>
      <c r="AJ4" s="133" t="s">
        <v>2359</v>
      </c>
      <c r="AK4">
        <v>66.67</v>
      </c>
      <c r="AL4">
        <v>10</v>
      </c>
      <c r="AM4"/>
      <c r="AN4"/>
      <c r="AO4"/>
      <c r="AP4">
        <v>0.92827089208745905</v>
      </c>
      <c r="AQ4">
        <v>0.92214673755676002</v>
      </c>
      <c r="AR4">
        <v>4.0001925612773701E-2</v>
      </c>
      <c r="AS4">
        <v>1.6685181761333801E-5</v>
      </c>
    </row>
    <row r="5" spans="1:68" s="134" customFormat="1" x14ac:dyDescent="0.2">
      <c r="A5" s="225" t="s">
        <v>1038</v>
      </c>
      <c r="B5" s="225" t="s">
        <v>1040</v>
      </c>
      <c r="C5" s="225" t="s">
        <v>1039</v>
      </c>
      <c r="E5" s="134">
        <v>2</v>
      </c>
      <c r="F5" s="134">
        <v>1963</v>
      </c>
      <c r="G5" s="134" t="s">
        <v>129</v>
      </c>
      <c r="H5" s="134" t="s">
        <v>78</v>
      </c>
      <c r="I5" s="134">
        <v>1805</v>
      </c>
      <c r="J5" s="134">
        <v>500</v>
      </c>
      <c r="O5" s="223">
        <v>7267</v>
      </c>
      <c r="P5" s="134" t="s">
        <v>118</v>
      </c>
      <c r="Q5" s="134" t="s">
        <v>84</v>
      </c>
      <c r="R5" s="134">
        <v>3170</v>
      </c>
      <c r="S5" s="134">
        <v>300</v>
      </c>
      <c r="X5" s="134">
        <v>2.2627459706895401</v>
      </c>
      <c r="Y5" s="134">
        <v>8.85</v>
      </c>
      <c r="Z5" s="134">
        <v>902500</v>
      </c>
      <c r="AA5" s="134">
        <v>951000</v>
      </c>
      <c r="AB5" s="134">
        <v>5.0999999999999996</v>
      </c>
      <c r="AF5" s="134">
        <v>259201</v>
      </c>
      <c r="AG5" s="134">
        <v>12960</v>
      </c>
      <c r="AH5" s="224">
        <v>20</v>
      </c>
      <c r="AI5" s="224">
        <v>13</v>
      </c>
      <c r="AJ5" s="224" t="s">
        <v>2360</v>
      </c>
      <c r="AK5" s="134">
        <v>65</v>
      </c>
      <c r="AL5" s="134">
        <v>10</v>
      </c>
      <c r="AP5" s="134">
        <v>0.92556070424914405</v>
      </c>
      <c r="AQ5" s="134">
        <v>0.91791993340752198</v>
      </c>
      <c r="AR5" s="134">
        <v>1.7593641001632299E-2</v>
      </c>
      <c r="AS5" s="134">
        <v>9.0535470024187797E-5</v>
      </c>
    </row>
    <row r="6" spans="1:68" s="134" customFormat="1" x14ac:dyDescent="0.2">
      <c r="A6" s="124" t="s">
        <v>1038</v>
      </c>
      <c r="B6" s="124" t="s">
        <v>1040</v>
      </c>
      <c r="C6" s="124" t="s">
        <v>1039</v>
      </c>
      <c r="D6"/>
      <c r="E6">
        <v>3</v>
      </c>
      <c r="F6">
        <v>3635</v>
      </c>
      <c r="G6" t="s">
        <v>85</v>
      </c>
      <c r="H6" t="s">
        <v>79</v>
      </c>
      <c r="I6">
        <v>2878</v>
      </c>
      <c r="J6">
        <v>300</v>
      </c>
      <c r="K6"/>
      <c r="L6" s="191">
        <v>0.05</v>
      </c>
      <c r="M6"/>
      <c r="N6"/>
      <c r="O6">
        <v>8593</v>
      </c>
      <c r="P6" t="s">
        <v>308</v>
      </c>
      <c r="Q6" t="s">
        <v>296</v>
      </c>
      <c r="R6">
        <v>724</v>
      </c>
      <c r="S6">
        <v>1200</v>
      </c>
      <c r="T6"/>
      <c r="U6"/>
      <c r="V6"/>
      <c r="W6"/>
      <c r="X6">
        <v>2.71113543711281</v>
      </c>
      <c r="Y6">
        <v>7.14</v>
      </c>
      <c r="Z6">
        <v>863400</v>
      </c>
      <c r="AA6">
        <v>868800</v>
      </c>
      <c r="AB6">
        <v>0.63</v>
      </c>
      <c r="AC6"/>
      <c r="AD6"/>
      <c r="AE6"/>
      <c r="AF6">
        <v>218633</v>
      </c>
      <c r="AG6">
        <v>12861</v>
      </c>
      <c r="AH6" s="133">
        <v>17</v>
      </c>
      <c r="AI6" s="133">
        <v>10</v>
      </c>
      <c r="AJ6" s="133" t="s">
        <v>2361</v>
      </c>
      <c r="AK6">
        <v>58.82</v>
      </c>
      <c r="AL6">
        <v>12</v>
      </c>
      <c r="AM6"/>
      <c r="AN6"/>
      <c r="AO6"/>
      <c r="AP6">
        <v>0.918801349330438</v>
      </c>
      <c r="AQ6">
        <v>0.94370079179361999</v>
      </c>
      <c r="AR6">
        <v>2.1814230501271001E-2</v>
      </c>
      <c r="AS6">
        <v>4.4334094898708203E-3</v>
      </c>
      <c r="AT6"/>
      <c r="AU6"/>
      <c r="AV6"/>
      <c r="AW6"/>
      <c r="AX6"/>
      <c r="AY6"/>
      <c r="AZ6"/>
    </row>
    <row r="7" spans="1:68" s="134" customFormat="1" x14ac:dyDescent="0.2">
      <c r="A7" s="225" t="s">
        <v>1038</v>
      </c>
      <c r="B7" s="225" t="s">
        <v>1040</v>
      </c>
      <c r="C7" s="225" t="s">
        <v>1039</v>
      </c>
      <c r="E7" s="134">
        <v>4</v>
      </c>
      <c r="F7" s="223">
        <v>5991</v>
      </c>
      <c r="G7" s="134" t="s">
        <v>115</v>
      </c>
      <c r="H7" s="134" t="s">
        <v>116</v>
      </c>
      <c r="I7" s="134">
        <v>1030</v>
      </c>
      <c r="J7" s="134">
        <v>1000</v>
      </c>
      <c r="L7" s="223">
        <v>0.05</v>
      </c>
      <c r="O7" s="134">
        <v>4182</v>
      </c>
      <c r="P7" s="134" t="s">
        <v>88</v>
      </c>
      <c r="Q7" s="134" t="s">
        <v>62</v>
      </c>
      <c r="R7" s="134">
        <v>1691</v>
      </c>
      <c r="S7" s="134">
        <v>600</v>
      </c>
      <c r="X7" s="134">
        <v>-2.0302082768523899</v>
      </c>
      <c r="Y7" s="134">
        <v>-4.6900000000000004</v>
      </c>
      <c r="Z7" s="134">
        <v>1030000</v>
      </c>
      <c r="AA7" s="134">
        <v>1014600</v>
      </c>
      <c r="AB7" s="134">
        <v>1.52</v>
      </c>
      <c r="AF7" s="134">
        <v>196981</v>
      </c>
      <c r="AG7" s="134">
        <v>10367</v>
      </c>
      <c r="AH7" s="224">
        <v>19</v>
      </c>
      <c r="AI7" s="224">
        <v>11</v>
      </c>
      <c r="AJ7" s="224" t="s">
        <v>2362</v>
      </c>
      <c r="AK7" s="134">
        <v>57.89</v>
      </c>
      <c r="AL7" s="134">
        <v>12</v>
      </c>
      <c r="AP7" s="134">
        <v>0.96613538094560403</v>
      </c>
      <c r="AQ7" s="134">
        <v>0.959736677184029</v>
      </c>
      <c r="AR7" s="134">
        <v>8.32651564905805E-3</v>
      </c>
      <c r="AS7" s="134">
        <v>0.23336147164583099</v>
      </c>
    </row>
    <row r="8" spans="1:68" s="134" customFormat="1" x14ac:dyDescent="0.2">
      <c r="A8" s="124" t="s">
        <v>1038</v>
      </c>
      <c r="B8" s="124" t="s">
        <v>1040</v>
      </c>
      <c r="C8" s="124" t="s">
        <v>1039</v>
      </c>
      <c r="D8"/>
      <c r="E8">
        <v>5</v>
      </c>
      <c r="F8">
        <v>6674</v>
      </c>
      <c r="G8" t="s">
        <v>326</v>
      </c>
      <c r="H8" t="s">
        <v>87</v>
      </c>
      <c r="I8">
        <v>2409</v>
      </c>
      <c r="J8">
        <v>400</v>
      </c>
      <c r="K8"/>
      <c r="L8"/>
      <c r="M8"/>
      <c r="N8"/>
      <c r="O8">
        <v>6752</v>
      </c>
      <c r="P8" t="s">
        <v>105</v>
      </c>
      <c r="Q8" t="s">
        <v>87</v>
      </c>
      <c r="R8">
        <v>1016.5</v>
      </c>
      <c r="S8">
        <v>900</v>
      </c>
      <c r="T8"/>
      <c r="U8"/>
      <c r="V8"/>
      <c r="W8"/>
      <c r="X8">
        <v>2.3544342352007899</v>
      </c>
      <c r="Y8">
        <v>8.2200000000000006</v>
      </c>
      <c r="Z8">
        <v>963600</v>
      </c>
      <c r="AA8">
        <v>914850</v>
      </c>
      <c r="AB8">
        <v>5.0599999999999996</v>
      </c>
      <c r="AC8"/>
      <c r="AD8"/>
      <c r="AE8"/>
      <c r="AF8">
        <v>150976</v>
      </c>
      <c r="AG8">
        <v>10065</v>
      </c>
      <c r="AH8" s="133">
        <v>15</v>
      </c>
      <c r="AI8" s="133">
        <v>9</v>
      </c>
      <c r="AJ8" s="133" t="s">
        <v>2363</v>
      </c>
      <c r="AK8">
        <v>60</v>
      </c>
      <c r="AL8">
        <v>13</v>
      </c>
      <c r="AM8"/>
      <c r="AN8"/>
      <c r="AO8"/>
      <c r="AP8">
        <v>0.94846643383808604</v>
      </c>
      <c r="AQ8">
        <v>0.91033580432399097</v>
      </c>
      <c r="AR8">
        <v>2.2374125902534799E-2</v>
      </c>
      <c r="AS8">
        <v>0.24848615331342899</v>
      </c>
      <c r="AT8"/>
      <c r="AU8"/>
      <c r="AV8"/>
      <c r="AW8"/>
      <c r="AX8"/>
      <c r="AY8"/>
      <c r="AZ8"/>
    </row>
    <row r="9" spans="1:68" s="134" customFormat="1" x14ac:dyDescent="0.2">
      <c r="A9" s="124" t="s">
        <v>1038</v>
      </c>
      <c r="B9" s="124" t="s">
        <v>1040</v>
      </c>
      <c r="C9" s="124" t="s">
        <v>1039</v>
      </c>
      <c r="D9"/>
      <c r="E9">
        <v>6</v>
      </c>
      <c r="F9">
        <v>1963</v>
      </c>
      <c r="G9" t="s">
        <v>129</v>
      </c>
      <c r="H9" t="s">
        <v>78</v>
      </c>
      <c r="I9">
        <v>1805</v>
      </c>
      <c r="J9">
        <v>600</v>
      </c>
      <c r="K9"/>
      <c r="L9"/>
      <c r="M9"/>
      <c r="N9"/>
      <c r="O9">
        <v>8002</v>
      </c>
      <c r="P9" t="s">
        <v>31</v>
      </c>
      <c r="Q9" t="s">
        <v>101</v>
      </c>
      <c r="R9">
        <v>816</v>
      </c>
      <c r="S9">
        <v>1300</v>
      </c>
      <c r="T9"/>
      <c r="U9"/>
      <c r="V9"/>
      <c r="W9"/>
      <c r="X9">
        <v>2.3289920568270301</v>
      </c>
      <c r="Y9">
        <v>9.17</v>
      </c>
      <c r="Z9">
        <v>1083000</v>
      </c>
      <c r="AA9">
        <v>1060800</v>
      </c>
      <c r="AB9">
        <v>2.0499999999999998</v>
      </c>
      <c r="AC9"/>
      <c r="AD9"/>
      <c r="AE9"/>
      <c r="AF9">
        <v>144680</v>
      </c>
      <c r="AG9">
        <v>6576</v>
      </c>
      <c r="AH9" s="133">
        <v>22</v>
      </c>
      <c r="AI9" s="133">
        <v>14</v>
      </c>
      <c r="AJ9" s="133" t="s">
        <v>2608</v>
      </c>
      <c r="AK9">
        <v>63.64</v>
      </c>
      <c r="AL9">
        <v>13</v>
      </c>
      <c r="AM9"/>
      <c r="AN9"/>
      <c r="AO9"/>
      <c r="AP9">
        <v>0.90972656940104502</v>
      </c>
      <c r="AQ9">
        <v>0.90774869981944195</v>
      </c>
      <c r="AR9">
        <v>0.15723134210161499</v>
      </c>
      <c r="AS9">
        <v>1.0541374274070699E-3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4" customFormat="1" x14ac:dyDescent="0.2">
      <c r="A10" s="124" t="s">
        <v>1038</v>
      </c>
      <c r="B10" s="124" t="s">
        <v>1040</v>
      </c>
      <c r="C10" s="124" t="s">
        <v>1039</v>
      </c>
      <c r="D10"/>
      <c r="E10">
        <v>7</v>
      </c>
      <c r="F10">
        <v>6920</v>
      </c>
      <c r="G10" t="s">
        <v>86</v>
      </c>
      <c r="H10" t="s">
        <v>87</v>
      </c>
      <c r="I10">
        <v>10830</v>
      </c>
      <c r="J10">
        <v>100</v>
      </c>
      <c r="K10" t="s">
        <v>509</v>
      </c>
      <c r="L10"/>
      <c r="M10"/>
      <c r="N10"/>
      <c r="O10">
        <v>6702</v>
      </c>
      <c r="P10" t="s">
        <v>328</v>
      </c>
      <c r="Q10" t="s">
        <v>87</v>
      </c>
      <c r="R10">
        <v>10410</v>
      </c>
      <c r="S10">
        <v>100</v>
      </c>
      <c r="T10"/>
      <c r="U10" s="191">
        <v>0.2</v>
      </c>
      <c r="V10"/>
      <c r="W10"/>
      <c r="X10">
        <v>-2.0196514947342901</v>
      </c>
      <c r="Y10">
        <v>-21.62</v>
      </c>
      <c r="Z10">
        <v>1083000</v>
      </c>
      <c r="AA10">
        <v>1041000</v>
      </c>
      <c r="AB10">
        <v>3.88</v>
      </c>
      <c r="AC10"/>
      <c r="AD10"/>
      <c r="AE10"/>
      <c r="AF10">
        <v>111057</v>
      </c>
      <c r="AG10">
        <v>11106</v>
      </c>
      <c r="AH10" s="133">
        <v>10</v>
      </c>
      <c r="AI10" s="133">
        <v>5</v>
      </c>
      <c r="AJ10" s="133" t="s">
        <v>2609</v>
      </c>
      <c r="AK10">
        <v>50</v>
      </c>
      <c r="AL10">
        <v>7</v>
      </c>
      <c r="AM10"/>
      <c r="AN10"/>
      <c r="AO10"/>
      <c r="AP10">
        <v>0.92755546161689695</v>
      </c>
      <c r="AQ10">
        <v>0.97631945860040004</v>
      </c>
      <c r="AR10">
        <v>0.117493973824984</v>
      </c>
      <c r="AS10">
        <v>6.2231862544902603E-5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4" customFormat="1" x14ac:dyDescent="0.2">
      <c r="A11" s="225" t="s">
        <v>1038</v>
      </c>
      <c r="B11" s="225" t="s">
        <v>1040</v>
      </c>
      <c r="C11" s="225" t="s">
        <v>1039</v>
      </c>
      <c r="E11" s="134">
        <v>8</v>
      </c>
      <c r="F11" s="223">
        <v>5991</v>
      </c>
      <c r="G11" s="134" t="s">
        <v>115</v>
      </c>
      <c r="H11" s="134" t="s">
        <v>116</v>
      </c>
      <c r="I11" s="134">
        <v>1030</v>
      </c>
      <c r="J11" s="134">
        <v>1000</v>
      </c>
      <c r="L11" s="223">
        <v>0.05</v>
      </c>
      <c r="O11" s="134">
        <v>6752</v>
      </c>
      <c r="P11" s="134" t="s">
        <v>105</v>
      </c>
      <c r="Q11" s="134" t="s">
        <v>87</v>
      </c>
      <c r="R11" s="134">
        <v>1016.5</v>
      </c>
      <c r="S11" s="134">
        <v>1000</v>
      </c>
      <c r="X11" s="134">
        <v>2.7874889716684299</v>
      </c>
      <c r="Y11" s="134">
        <v>6.27</v>
      </c>
      <c r="Z11" s="134">
        <v>1030000</v>
      </c>
      <c r="AA11" s="134">
        <v>1016500</v>
      </c>
      <c r="AB11" s="134">
        <v>1.31</v>
      </c>
      <c r="AF11" s="134">
        <v>34237</v>
      </c>
      <c r="AG11" s="134">
        <v>2014</v>
      </c>
      <c r="AH11" s="224">
        <v>17</v>
      </c>
      <c r="AI11" s="224">
        <v>9</v>
      </c>
      <c r="AJ11" s="224" t="s">
        <v>2364</v>
      </c>
      <c r="AK11" s="134">
        <v>52.94</v>
      </c>
      <c r="AL11" s="134">
        <v>12</v>
      </c>
      <c r="AP11" s="134">
        <v>0.95876425079187799</v>
      </c>
      <c r="AQ11" s="134">
        <v>0.93778617360054495</v>
      </c>
      <c r="AR11" s="134">
        <v>1.4204860110690401E-3</v>
      </c>
      <c r="AS11" s="134">
        <v>0.26171676693534801</v>
      </c>
    </row>
    <row r="12" spans="1:68" s="134" customFormat="1" ht="17.25" hidden="1" customHeight="1" x14ac:dyDescent="0.2">
      <c r="A12" s="225" t="s">
        <v>1038</v>
      </c>
      <c r="B12" s="225" t="s">
        <v>1040</v>
      </c>
      <c r="C12" s="225" t="s">
        <v>1039</v>
      </c>
      <c r="E12" s="134">
        <v>9</v>
      </c>
      <c r="F12" s="223">
        <v>5991</v>
      </c>
      <c r="G12" s="134" t="s">
        <v>115</v>
      </c>
      <c r="H12" s="134" t="s">
        <v>116</v>
      </c>
      <c r="I12" s="134">
        <v>1030</v>
      </c>
      <c r="J12" s="134">
        <v>1000</v>
      </c>
      <c r="L12" s="223">
        <v>0.05</v>
      </c>
      <c r="O12" s="134">
        <v>8002</v>
      </c>
      <c r="P12" s="134" t="s">
        <v>31</v>
      </c>
      <c r="Q12" s="134" t="s">
        <v>101</v>
      </c>
      <c r="R12" s="134">
        <v>816</v>
      </c>
      <c r="S12" s="134">
        <v>1300</v>
      </c>
      <c r="X12" s="134">
        <v>2.2832012687844498</v>
      </c>
      <c r="Y12" s="134">
        <v>7.12</v>
      </c>
      <c r="Z12" s="134">
        <v>1030000</v>
      </c>
      <c r="AA12" s="134">
        <v>1060800</v>
      </c>
      <c r="AB12" s="134">
        <v>2.99</v>
      </c>
      <c r="AF12" s="134">
        <v>10934</v>
      </c>
      <c r="AG12" s="134">
        <v>643</v>
      </c>
      <c r="AH12" s="224">
        <v>17</v>
      </c>
      <c r="AI12" s="224">
        <v>8</v>
      </c>
      <c r="AJ12" s="224" t="s">
        <v>2365</v>
      </c>
      <c r="AK12" s="134">
        <v>47.06</v>
      </c>
      <c r="AL12" s="134">
        <v>14</v>
      </c>
      <c r="AP12" s="134">
        <v>0.97369511759368699</v>
      </c>
      <c r="AQ12" s="134">
        <v>0.92750960320875198</v>
      </c>
      <c r="AR12" s="134">
        <v>2.5283365231038898E-2</v>
      </c>
      <c r="AS12" s="134">
        <v>2.9811143727478701E-2</v>
      </c>
    </row>
    <row r="13" spans="1:68" s="134" customFormat="1" ht="17.25" hidden="1" customHeight="1" x14ac:dyDescent="0.2">
      <c r="A13" s="124" t="s">
        <v>1038</v>
      </c>
      <c r="B13" s="124" t="s">
        <v>1040</v>
      </c>
      <c r="C13" s="124" t="s">
        <v>1039</v>
      </c>
      <c r="D13"/>
      <c r="E13">
        <v>10</v>
      </c>
      <c r="F13">
        <v>7282</v>
      </c>
      <c r="G13" t="s">
        <v>782</v>
      </c>
      <c r="H13" t="s">
        <v>84</v>
      </c>
      <c r="I13">
        <v>2790</v>
      </c>
      <c r="J13">
        <v>300</v>
      </c>
      <c r="K13" t="s">
        <v>490</v>
      </c>
      <c r="L13" s="191">
        <v>0.05</v>
      </c>
      <c r="M13"/>
      <c r="N13"/>
      <c r="O13">
        <v>6995</v>
      </c>
      <c r="P13" t="s">
        <v>91</v>
      </c>
      <c r="Q13" t="s">
        <v>84</v>
      </c>
      <c r="R13">
        <v>2227</v>
      </c>
      <c r="S13">
        <v>400</v>
      </c>
      <c r="T13"/>
      <c r="U13" s="191">
        <v>0.05</v>
      </c>
      <c r="V13"/>
      <c r="W13"/>
      <c r="X13">
        <v>-2.0222028277620301</v>
      </c>
      <c r="Y13">
        <v>-4.83</v>
      </c>
      <c r="Z13">
        <v>837000</v>
      </c>
      <c r="AA13">
        <v>890800</v>
      </c>
      <c r="AB13">
        <v>6.43</v>
      </c>
      <c r="AC13"/>
      <c r="AD13"/>
      <c r="AE13"/>
      <c r="AF13">
        <v>-4300</v>
      </c>
      <c r="AG13">
        <v>-287</v>
      </c>
      <c r="AH13" s="133">
        <v>15</v>
      </c>
      <c r="AI13" s="133">
        <v>7</v>
      </c>
      <c r="AJ13" s="133" t="s">
        <v>2610</v>
      </c>
      <c r="AK13">
        <v>46.67</v>
      </c>
      <c r="AL13">
        <v>13</v>
      </c>
      <c r="AM13"/>
      <c r="AN13"/>
      <c r="AO13"/>
      <c r="AP13">
        <v>0.98982415356489994</v>
      </c>
      <c r="AQ13">
        <v>0.97545015725172002</v>
      </c>
      <c r="AR13">
        <v>3.6499194463996E-2</v>
      </c>
      <c r="AS13">
        <v>5.2460704564921204E-3</v>
      </c>
      <c r="AT13"/>
      <c r="AU13"/>
      <c r="AV13"/>
      <c r="AW13"/>
      <c r="AX13"/>
      <c r="AY13"/>
      <c r="AZ13"/>
    </row>
    <row r="14" spans="1:68" s="134" customFormat="1" ht="17.25" hidden="1" customHeight="1" x14ac:dyDescent="0.2">
      <c r="A14" s="124" t="s">
        <v>1038</v>
      </c>
      <c r="B14" s="124" t="s">
        <v>1040</v>
      </c>
      <c r="C14" s="124" t="s">
        <v>1039</v>
      </c>
      <c r="D14"/>
      <c r="E14">
        <v>11</v>
      </c>
      <c r="F14">
        <v>6755</v>
      </c>
      <c r="G14" t="s">
        <v>980</v>
      </c>
      <c r="H14" t="s">
        <v>87</v>
      </c>
      <c r="I14">
        <v>2431</v>
      </c>
      <c r="J14">
        <v>400</v>
      </c>
      <c r="K14"/>
      <c r="L14" s="191">
        <v>0.05</v>
      </c>
      <c r="M14"/>
      <c r="N14"/>
      <c r="O14">
        <v>6702</v>
      </c>
      <c r="P14" t="s">
        <v>328</v>
      </c>
      <c r="Q14" t="s">
        <v>87</v>
      </c>
      <c r="R14">
        <v>10410</v>
      </c>
      <c r="S14">
        <v>100</v>
      </c>
      <c r="T14"/>
      <c r="U14" s="191">
        <v>0.2</v>
      </c>
      <c r="V14"/>
      <c r="W14"/>
      <c r="X14">
        <v>-2.2446207931452098</v>
      </c>
      <c r="Y14">
        <v>-11.05</v>
      </c>
      <c r="Z14">
        <v>972400</v>
      </c>
      <c r="AA14">
        <v>1041000</v>
      </c>
      <c r="AB14">
        <v>6.59</v>
      </c>
      <c r="AC14"/>
      <c r="AD14"/>
      <c r="AE14"/>
      <c r="AF14">
        <v>-16047</v>
      </c>
      <c r="AG14">
        <v>-944</v>
      </c>
      <c r="AH14" s="133">
        <v>17</v>
      </c>
      <c r="AI14" s="133">
        <v>7</v>
      </c>
      <c r="AJ14" s="133" t="s">
        <v>2366</v>
      </c>
      <c r="AK14">
        <v>41.18</v>
      </c>
      <c r="AL14">
        <v>13</v>
      </c>
      <c r="AM14"/>
      <c r="AN14"/>
      <c r="AO14"/>
      <c r="AP14">
        <v>0.90619119581778695</v>
      </c>
      <c r="AQ14">
        <v>0.92144624439237199</v>
      </c>
      <c r="AR14">
        <v>0.34337637227740098</v>
      </c>
      <c r="AS14">
        <v>4.7154509505613298E-2</v>
      </c>
      <c r="AT14"/>
      <c r="AU14"/>
      <c r="AV14"/>
      <c r="AW14"/>
      <c r="AX14"/>
      <c r="AY14"/>
      <c r="AZ14"/>
    </row>
    <row r="15" spans="1:68" s="134" customFormat="1" x14ac:dyDescent="0.2">
      <c r="A15" s="124" t="s">
        <v>1038</v>
      </c>
      <c r="B15" s="124" t="s">
        <v>1040</v>
      </c>
      <c r="C15" s="124" t="s">
        <v>1039</v>
      </c>
      <c r="D15"/>
      <c r="E15">
        <v>12</v>
      </c>
      <c r="F15">
        <v>7205</v>
      </c>
      <c r="G15" t="s">
        <v>117</v>
      </c>
      <c r="H15" t="s">
        <v>84</v>
      </c>
      <c r="I15">
        <v>1170</v>
      </c>
      <c r="J15">
        <v>900</v>
      </c>
      <c r="K15"/>
      <c r="L15" s="191">
        <v>0.05</v>
      </c>
      <c r="M15"/>
      <c r="N15"/>
      <c r="O15">
        <v>8002</v>
      </c>
      <c r="P15" t="s">
        <v>31</v>
      </c>
      <c r="Q15" t="s">
        <v>101</v>
      </c>
      <c r="R15">
        <v>816</v>
      </c>
      <c r="S15">
        <v>1300</v>
      </c>
      <c r="T15"/>
      <c r="U15"/>
      <c r="V15"/>
      <c r="W15"/>
      <c r="X15">
        <v>2.14580190712226</v>
      </c>
      <c r="Y15">
        <v>9.16</v>
      </c>
      <c r="Z15">
        <v>1053000</v>
      </c>
      <c r="AA15">
        <v>1060800</v>
      </c>
      <c r="AB15">
        <v>0.74</v>
      </c>
      <c r="AC15"/>
      <c r="AD15"/>
      <c r="AE15"/>
      <c r="AF15">
        <v>-42476</v>
      </c>
      <c r="AG15">
        <v>-2655</v>
      </c>
      <c r="AH15" s="133">
        <v>16</v>
      </c>
      <c r="AI15" s="133">
        <v>7</v>
      </c>
      <c r="AJ15" s="133" t="s">
        <v>997</v>
      </c>
      <c r="AK15">
        <v>43.75</v>
      </c>
      <c r="AL15">
        <v>16</v>
      </c>
      <c r="AM15"/>
      <c r="AN15"/>
      <c r="AO15"/>
      <c r="AP15">
        <v>0.95674990205738297</v>
      </c>
      <c r="AQ15">
        <v>0.90631700363745205</v>
      </c>
      <c r="AR15">
        <v>6.6478446088254997E-2</v>
      </c>
      <c r="AS15">
        <v>2.9539090904972899E-2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4" customFormat="1" x14ac:dyDescent="0.2">
      <c r="A16" s="124" t="s">
        <v>1038</v>
      </c>
      <c r="B16" s="124" t="s">
        <v>1040</v>
      </c>
      <c r="C16" s="124" t="s">
        <v>1039</v>
      </c>
      <c r="D16"/>
      <c r="E16">
        <v>13</v>
      </c>
      <c r="F16">
        <v>8795</v>
      </c>
      <c r="G16" t="s">
        <v>134</v>
      </c>
      <c r="H16" t="s">
        <v>110</v>
      </c>
      <c r="I16">
        <v>1433</v>
      </c>
      <c r="J16">
        <v>700</v>
      </c>
      <c r="K16"/>
      <c r="L16" s="191">
        <v>0.05</v>
      </c>
      <c r="M16"/>
      <c r="N16"/>
      <c r="O16">
        <v>6752</v>
      </c>
      <c r="P16" t="s">
        <v>105</v>
      </c>
      <c r="Q16" t="s">
        <v>87</v>
      </c>
      <c r="R16">
        <v>1016.5</v>
      </c>
      <c r="S16">
        <v>1000</v>
      </c>
      <c r="T16"/>
      <c r="U16"/>
      <c r="V16"/>
      <c r="W16"/>
      <c r="X16">
        <v>-2.8140612143613999</v>
      </c>
      <c r="Y16">
        <v>-8.11</v>
      </c>
      <c r="Z16">
        <v>1003100</v>
      </c>
      <c r="AA16">
        <v>1016500</v>
      </c>
      <c r="AB16">
        <v>1.34</v>
      </c>
      <c r="AC16"/>
      <c r="AD16"/>
      <c r="AE16"/>
      <c r="AF16">
        <v>-86216</v>
      </c>
      <c r="AG16">
        <v>-5388</v>
      </c>
      <c r="AH16" s="133">
        <v>16</v>
      </c>
      <c r="AI16" s="133">
        <v>6</v>
      </c>
      <c r="AJ16" s="133" t="s">
        <v>2367</v>
      </c>
      <c r="AK16">
        <v>37.5</v>
      </c>
      <c r="AL16">
        <v>14</v>
      </c>
      <c r="AM16"/>
      <c r="AN16"/>
      <c r="AO16"/>
      <c r="AP16">
        <v>0.90524543736923602</v>
      </c>
      <c r="AQ16">
        <v>0.91052373189302604</v>
      </c>
      <c r="AR16">
        <v>4.6756204401709599E-2</v>
      </c>
      <c r="AS16">
        <v>6.1995489679687E-3</v>
      </c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4" customFormat="1" x14ac:dyDescent="0.2">
      <c r="A17" s="124" t="s">
        <v>1038</v>
      </c>
      <c r="B17" s="124" t="s">
        <v>1040</v>
      </c>
      <c r="C17" s="124" t="s">
        <v>1039</v>
      </c>
      <c r="D17"/>
      <c r="E17">
        <v>14</v>
      </c>
      <c r="F17">
        <v>9956</v>
      </c>
      <c r="G17" t="s">
        <v>314</v>
      </c>
      <c r="H17" t="s">
        <v>95</v>
      </c>
      <c r="I17">
        <v>2139</v>
      </c>
      <c r="J17">
        <v>400</v>
      </c>
      <c r="K17"/>
      <c r="L17"/>
      <c r="M17"/>
      <c r="N17"/>
      <c r="O17">
        <v>8058</v>
      </c>
      <c r="P17" t="s">
        <v>1034</v>
      </c>
      <c r="Q17" t="s">
        <v>101</v>
      </c>
      <c r="R17">
        <v>2913</v>
      </c>
      <c r="S17">
        <v>300</v>
      </c>
      <c r="T17"/>
      <c r="U17"/>
      <c r="V17"/>
      <c r="W17"/>
      <c r="X17">
        <v>-2.1394853569392902</v>
      </c>
      <c r="Y17">
        <v>-5.87</v>
      </c>
      <c r="Z17">
        <v>855600</v>
      </c>
      <c r="AA17">
        <v>873900</v>
      </c>
      <c r="AB17">
        <v>2.09</v>
      </c>
      <c r="AC17"/>
      <c r="AD17"/>
      <c r="AE17"/>
      <c r="AF17">
        <v>-248503</v>
      </c>
      <c r="AG17">
        <v>-15531</v>
      </c>
      <c r="AH17" s="133">
        <v>16</v>
      </c>
      <c r="AI17" s="133">
        <v>4</v>
      </c>
      <c r="AJ17" s="133" t="s">
        <v>2611</v>
      </c>
      <c r="AK17">
        <v>25</v>
      </c>
      <c r="AL17">
        <v>14</v>
      </c>
      <c r="AM17"/>
      <c r="AN17"/>
      <c r="AO17"/>
      <c r="AP17">
        <v>0.95104919735174598</v>
      </c>
      <c r="AQ17">
        <v>0.93165537923543795</v>
      </c>
      <c r="AR17">
        <v>1.5899250021643499E-3</v>
      </c>
      <c r="AS17">
        <v>7.7392416745674202E-3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 x14ac:dyDescent="0.2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 x14ac:dyDescent="0.2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 x14ac:dyDescent="0.2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4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4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A33" sqref="A33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5"/>
      <c r="B1" s="194" t="s">
        <v>2626</v>
      </c>
      <c r="C1" s="192">
        <v>7205</v>
      </c>
      <c r="D1" s="193" t="s">
        <v>2627</v>
      </c>
      <c r="E1" s="191"/>
      <c r="F1" s="191"/>
      <c r="G1" s="191"/>
      <c r="H1" s="195" t="s">
        <v>2628</v>
      </c>
      <c r="I1" s="137">
        <v>8002</v>
      </c>
      <c r="J1" s="138" t="s">
        <v>2629</v>
      </c>
      <c r="N1" s="175"/>
      <c r="O1" s="196">
        <v>12</v>
      </c>
      <c r="P1" s="136" t="s">
        <v>2638</v>
      </c>
      <c r="Q1" s="197">
        <v>14</v>
      </c>
      <c r="R1" s="136"/>
      <c r="T1" s="175"/>
      <c r="U1" s="136" t="s">
        <v>1863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7" t="s">
        <v>2630</v>
      </c>
      <c r="X2" s="176">
        <v>2.14580190712226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8" t="s">
        <v>2631</v>
      </c>
      <c r="X3" s="176">
        <v>9.16</v>
      </c>
    </row>
    <row r="4" spans="1:24" x14ac:dyDescent="0.2">
      <c r="A4" s="207" t="s">
        <v>2612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8" t="s">
        <v>2632</v>
      </c>
      <c r="X4" s="176">
        <v>0.74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7" t="s">
        <v>2633</v>
      </c>
      <c r="X5" s="176">
        <v>-42476</v>
      </c>
    </row>
    <row r="6" spans="1:24" ht="15" customHeight="1" x14ac:dyDescent="0.2">
      <c r="A6" s="207" t="s">
        <v>1864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9" t="s">
        <v>2634</v>
      </c>
      <c r="X6" s="176">
        <v>0.95674990205738297</v>
      </c>
    </row>
    <row r="7" spans="1:24" x14ac:dyDescent="0.2">
      <c r="A7" s="208">
        <v>1.4480922755956298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9" t="s">
        <v>2635</v>
      </c>
      <c r="X7" s="176">
        <v>0.90631700363745205</v>
      </c>
    </row>
    <row r="8" spans="1:24" x14ac:dyDescent="0.2">
      <c r="A8" s="207" t="s">
        <v>1865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7" t="s">
        <v>2636</v>
      </c>
      <c r="X8" s="176">
        <v>6.6478446088254997E-2</v>
      </c>
    </row>
    <row r="9" spans="1:24" x14ac:dyDescent="0.2">
      <c r="A9" s="208">
        <v>1.0013793392006303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7" t="s">
        <v>2637</v>
      </c>
      <c r="X9" s="176">
        <v>2.9539090904972899E-2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944</v>
      </c>
      <c r="B41" s="106" t="s">
        <v>2392</v>
      </c>
      <c r="C41" s="106" t="s">
        <v>2393</v>
      </c>
      <c r="D41" s="106" t="s">
        <v>2373</v>
      </c>
      <c r="E41" s="106" t="s">
        <v>2374</v>
      </c>
      <c r="F41" s="106" t="s">
        <v>945</v>
      </c>
      <c r="G41" s="106" t="s">
        <v>946</v>
      </c>
      <c r="H41" s="106" t="s">
        <v>947</v>
      </c>
      <c r="I41" s="106" t="s">
        <v>948</v>
      </c>
      <c r="J41" s="106" t="s">
        <v>949</v>
      </c>
      <c r="L41" s="106" t="s">
        <v>273</v>
      </c>
      <c r="M41" s="106" t="s">
        <v>274</v>
      </c>
      <c r="N41" s="106" t="s">
        <v>275</v>
      </c>
      <c r="O41" s="106" t="s">
        <v>276</v>
      </c>
    </row>
    <row r="42" spans="1:20" x14ac:dyDescent="0.2">
      <c r="A42" s="14">
        <v>43819</v>
      </c>
      <c r="B42">
        <v>1174</v>
      </c>
      <c r="C42">
        <v>1170</v>
      </c>
      <c r="D42">
        <v>819.4</v>
      </c>
      <c r="E42">
        <v>816</v>
      </c>
      <c r="F42">
        <v>1.4338235294117601</v>
      </c>
      <c r="G42">
        <v>1.3025140428578199</v>
      </c>
      <c r="H42">
        <v>6.1193666627894203E-2</v>
      </c>
      <c r="I42">
        <v>2.1458019071222498</v>
      </c>
      <c r="J42">
        <v>9.16</v>
      </c>
      <c r="L42">
        <v>1.3637077094857142</v>
      </c>
      <c r="M42">
        <v>1.2413203762299256</v>
      </c>
      <c r="N42">
        <v>1.4249013761136082</v>
      </c>
      <c r="O42">
        <v>1.1801267096020316</v>
      </c>
    </row>
    <row r="43" spans="1:20" x14ac:dyDescent="0.2">
      <c r="A43" s="14">
        <v>43818</v>
      </c>
      <c r="B43">
        <v>1160</v>
      </c>
      <c r="C43">
        <v>1165</v>
      </c>
      <c r="D43">
        <v>821</v>
      </c>
      <c r="E43">
        <v>819</v>
      </c>
      <c r="F43">
        <v>1.4224664224664201</v>
      </c>
      <c r="G43">
        <v>1.29983448261019</v>
      </c>
      <c r="H43">
        <v>5.9768592635961702E-2</v>
      </c>
      <c r="I43">
        <v>2.0517789435524798</v>
      </c>
      <c r="J43">
        <v>8.6199999999999992</v>
      </c>
      <c r="L43">
        <v>1.3596030752461516</v>
      </c>
      <c r="M43">
        <v>1.2400658899742283</v>
      </c>
      <c r="N43">
        <v>1.4193716678821133</v>
      </c>
      <c r="O43">
        <v>1.1802972973382666</v>
      </c>
    </row>
    <row r="44" spans="1:20" x14ac:dyDescent="0.2">
      <c r="A44" s="14">
        <v>43817</v>
      </c>
      <c r="B44">
        <v>1177</v>
      </c>
      <c r="C44">
        <v>1170</v>
      </c>
      <c r="D44">
        <v>834.2</v>
      </c>
      <c r="E44">
        <v>825</v>
      </c>
      <c r="F44">
        <v>1.41818181818181</v>
      </c>
      <c r="G44">
        <v>1.29746262913886</v>
      </c>
      <c r="H44">
        <v>5.8368276135377699E-2</v>
      </c>
      <c r="I44">
        <v>2.0682329004023599</v>
      </c>
      <c r="J44">
        <v>8.51</v>
      </c>
      <c r="L44">
        <v>1.3558309052742377</v>
      </c>
      <c r="M44">
        <v>1.2390943530034824</v>
      </c>
      <c r="N44">
        <v>1.4141991814096153</v>
      </c>
      <c r="O44">
        <v>1.1807260768681047</v>
      </c>
    </row>
    <row r="45" spans="1:20" x14ac:dyDescent="0.2">
      <c r="A45" s="14">
        <v>43816</v>
      </c>
      <c r="B45">
        <v>1181</v>
      </c>
      <c r="C45">
        <v>1172</v>
      </c>
      <c r="D45">
        <v>831.2</v>
      </c>
      <c r="E45">
        <v>833</v>
      </c>
      <c r="F45">
        <v>1.40696278511404</v>
      </c>
      <c r="G45">
        <v>1.2949718231412</v>
      </c>
      <c r="H45">
        <v>5.7136537987034601E-2</v>
      </c>
      <c r="I45">
        <v>1.9600585880483901</v>
      </c>
      <c r="J45">
        <v>7.96</v>
      </c>
      <c r="L45">
        <v>1.3521083611282345</v>
      </c>
      <c r="M45">
        <v>1.2378352851541654</v>
      </c>
      <c r="N45">
        <v>1.4092448991152691</v>
      </c>
      <c r="O45">
        <v>1.1806987471671309</v>
      </c>
    </row>
    <row r="46" spans="1:20" x14ac:dyDescent="0.2">
      <c r="A46" s="14">
        <v>43815</v>
      </c>
      <c r="B46">
        <v>1174</v>
      </c>
      <c r="C46">
        <v>1168</v>
      </c>
      <c r="D46">
        <v>833.2</v>
      </c>
      <c r="E46">
        <v>829</v>
      </c>
      <c r="F46">
        <v>1.40892641737032</v>
      </c>
      <c r="G46">
        <v>1.29256622015537</v>
      </c>
      <c r="H46">
        <v>5.6160527880442297E-2</v>
      </c>
      <c r="I46">
        <v>2.0719213584078502</v>
      </c>
      <c r="J46">
        <v>8.26</v>
      </c>
      <c r="L46">
        <v>1.3487267480358123</v>
      </c>
      <c r="M46">
        <v>1.2364056922749278</v>
      </c>
      <c r="N46">
        <v>1.4048872759162547</v>
      </c>
      <c r="O46">
        <v>1.1802451643944853</v>
      </c>
    </row>
    <row r="47" spans="1:20" x14ac:dyDescent="0.2">
      <c r="A47" s="14">
        <v>43812</v>
      </c>
      <c r="B47">
        <v>1175</v>
      </c>
      <c r="C47">
        <v>1181</v>
      </c>
      <c r="D47">
        <v>834.9</v>
      </c>
      <c r="E47">
        <v>837.7</v>
      </c>
      <c r="F47">
        <v>1.4098125820699501</v>
      </c>
      <c r="G47">
        <v>1.2900583207312299</v>
      </c>
      <c r="H47">
        <v>5.50980303933978E-2</v>
      </c>
      <c r="I47">
        <v>2.1734762655520101</v>
      </c>
      <c r="J47">
        <v>8.49</v>
      </c>
      <c r="L47">
        <v>1.3451563511246278</v>
      </c>
      <c r="M47">
        <v>1.2349602903378321</v>
      </c>
      <c r="N47">
        <v>1.4002543815180255</v>
      </c>
      <c r="O47">
        <v>1.1798622599444344</v>
      </c>
    </row>
    <row r="48" spans="1:20" x14ac:dyDescent="0.2">
      <c r="A48" s="14">
        <v>43811</v>
      </c>
      <c r="B48">
        <v>1167</v>
      </c>
      <c r="C48">
        <v>1155</v>
      </c>
      <c r="D48">
        <v>824</v>
      </c>
      <c r="E48">
        <v>814.9</v>
      </c>
      <c r="F48">
        <v>1.4173518223094801</v>
      </c>
      <c r="G48">
        <v>1.2875397745438699</v>
      </c>
      <c r="H48">
        <v>5.38699101451377E-2</v>
      </c>
      <c r="I48">
        <v>2.40973202694917</v>
      </c>
      <c r="J48">
        <v>9.16</v>
      </c>
      <c r="L48">
        <v>1.3414096846890076</v>
      </c>
      <c r="M48">
        <v>1.2336698643987323</v>
      </c>
      <c r="N48">
        <v>1.3952795948341454</v>
      </c>
      <c r="O48">
        <v>1.1797999542535944</v>
      </c>
    </row>
    <row r="49" spans="1:15" x14ac:dyDescent="0.2">
      <c r="A49" s="14">
        <v>43810</v>
      </c>
      <c r="B49">
        <v>1149</v>
      </c>
      <c r="C49">
        <v>1173</v>
      </c>
      <c r="D49">
        <v>827.2</v>
      </c>
      <c r="E49">
        <v>823.4</v>
      </c>
      <c r="F49">
        <v>1.42458100558659</v>
      </c>
      <c r="G49">
        <v>1.28467228459755</v>
      </c>
      <c r="H49">
        <v>5.2592419901658402E-2</v>
      </c>
      <c r="I49">
        <v>2.6602449792317202</v>
      </c>
      <c r="J49">
        <v>9.82</v>
      </c>
      <c r="L49">
        <v>1.3372647044992083</v>
      </c>
      <c r="M49">
        <v>1.2320798646958917</v>
      </c>
      <c r="N49">
        <v>1.3898571244008668</v>
      </c>
      <c r="O49">
        <v>1.1794874447942332</v>
      </c>
    </row>
    <row r="50" spans="1:15" x14ac:dyDescent="0.2">
      <c r="A50" s="14">
        <v>43809</v>
      </c>
      <c r="B50">
        <v>1148</v>
      </c>
      <c r="C50">
        <v>1151</v>
      </c>
      <c r="D50">
        <v>835</v>
      </c>
      <c r="E50">
        <v>829.2</v>
      </c>
      <c r="F50">
        <v>1.3880849011095</v>
      </c>
      <c r="G50">
        <v>1.2819963381231101</v>
      </c>
      <c r="H50">
        <v>5.0468575958573701E-2</v>
      </c>
      <c r="I50">
        <v>2.1020716549140102</v>
      </c>
      <c r="J50">
        <v>7.64</v>
      </c>
      <c r="L50">
        <v>1.3324649140816838</v>
      </c>
      <c r="M50">
        <v>1.2315277621645364</v>
      </c>
      <c r="N50">
        <v>1.3829334900402575</v>
      </c>
      <c r="O50">
        <v>1.1810591862059627</v>
      </c>
    </row>
    <row r="51" spans="1:15" x14ac:dyDescent="0.2">
      <c r="A51" s="14">
        <v>43808</v>
      </c>
      <c r="B51">
        <v>1145</v>
      </c>
      <c r="C51">
        <v>1147</v>
      </c>
      <c r="D51">
        <v>830.7</v>
      </c>
      <c r="E51">
        <v>831</v>
      </c>
      <c r="F51">
        <v>1.38026474127557</v>
      </c>
      <c r="G51">
        <v>1.28017972312312</v>
      </c>
      <c r="H51">
        <v>4.9049359566614797E-2</v>
      </c>
      <c r="I51">
        <v>2.0404959215934002</v>
      </c>
      <c r="J51">
        <v>7.25</v>
      </c>
      <c r="L51">
        <v>1.3292290826897348</v>
      </c>
      <c r="M51">
        <v>1.2311303635565052</v>
      </c>
      <c r="N51">
        <v>1.3782784422563497</v>
      </c>
      <c r="O51">
        <v>1.1820810039898904</v>
      </c>
    </row>
    <row r="52" spans="1:15" x14ac:dyDescent="0.2">
      <c r="A52" s="14">
        <v>43805</v>
      </c>
      <c r="B52">
        <v>1131</v>
      </c>
      <c r="C52">
        <v>1137</v>
      </c>
      <c r="D52">
        <v>826.6</v>
      </c>
      <c r="E52">
        <v>824.9</v>
      </c>
      <c r="F52">
        <v>1.37834889077463</v>
      </c>
      <c r="G52">
        <v>1.27841571951628</v>
      </c>
      <c r="H52">
        <v>4.7780806329717602E-2</v>
      </c>
      <c r="I52">
        <v>2.09149193859882</v>
      </c>
      <c r="J52">
        <v>7.25</v>
      </c>
      <c r="L52">
        <v>1.3261965258459976</v>
      </c>
      <c r="M52">
        <v>1.2306349131865624</v>
      </c>
      <c r="N52">
        <v>1.3739773321757152</v>
      </c>
      <c r="O52">
        <v>1.1828541068568448</v>
      </c>
    </row>
    <row r="53" spans="1:15" x14ac:dyDescent="0.2">
      <c r="A53" s="14">
        <v>43804</v>
      </c>
      <c r="B53">
        <v>1096</v>
      </c>
      <c r="C53">
        <v>1114</v>
      </c>
      <c r="D53">
        <v>819.2</v>
      </c>
      <c r="E53">
        <v>826.1</v>
      </c>
      <c r="F53">
        <v>1.3485050236048901</v>
      </c>
      <c r="G53">
        <v>1.2766110373591899</v>
      </c>
      <c r="H53">
        <v>4.6511495141478398E-2</v>
      </c>
      <c r="I53">
        <v>1.54572511649016</v>
      </c>
      <c r="J53">
        <v>5.33</v>
      </c>
      <c r="L53">
        <v>1.3231225325006684</v>
      </c>
      <c r="M53">
        <v>1.2300995422177115</v>
      </c>
      <c r="N53">
        <v>1.3696340276421468</v>
      </c>
      <c r="O53">
        <v>1.183588047076233</v>
      </c>
    </row>
    <row r="54" spans="1:15" x14ac:dyDescent="0.2">
      <c r="A54" s="14">
        <v>43803</v>
      </c>
      <c r="B54">
        <v>1080</v>
      </c>
      <c r="C54">
        <v>1096</v>
      </c>
      <c r="D54">
        <v>809</v>
      </c>
      <c r="E54">
        <v>813.2</v>
      </c>
      <c r="F54">
        <v>1.34776192818494</v>
      </c>
      <c r="G54">
        <v>1.2752240142975699</v>
      </c>
      <c r="H54">
        <v>4.5893851292991401E-2</v>
      </c>
      <c r="I54">
        <v>1.5805584374316901</v>
      </c>
      <c r="J54">
        <v>5.38</v>
      </c>
      <c r="L54">
        <v>1.3211178655905613</v>
      </c>
      <c r="M54">
        <v>1.2293301630045785</v>
      </c>
      <c r="N54">
        <v>1.3670117168835527</v>
      </c>
      <c r="O54">
        <v>1.1834363117115871</v>
      </c>
    </row>
    <row r="55" spans="1:15" x14ac:dyDescent="0.2">
      <c r="A55" s="14">
        <v>43802</v>
      </c>
      <c r="B55">
        <v>1084</v>
      </c>
      <c r="C55">
        <v>1093</v>
      </c>
      <c r="D55">
        <v>814.4</v>
      </c>
      <c r="E55">
        <v>815.2</v>
      </c>
      <c r="F55">
        <v>1.34077526987242</v>
      </c>
      <c r="G55">
        <v>1.2739078283447201</v>
      </c>
      <c r="H55">
        <v>4.52050039720324E-2</v>
      </c>
      <c r="I55">
        <v>1.4792044165966201</v>
      </c>
      <c r="J55">
        <v>4.99</v>
      </c>
      <c r="L55">
        <v>1.3191128323167525</v>
      </c>
      <c r="M55">
        <v>1.2287028243726876</v>
      </c>
      <c r="N55">
        <v>1.3643178362887849</v>
      </c>
      <c r="O55">
        <v>1.1834978204006552</v>
      </c>
    </row>
    <row r="56" spans="1:15" x14ac:dyDescent="0.2">
      <c r="A56" s="14">
        <v>43801</v>
      </c>
      <c r="B56">
        <v>1078</v>
      </c>
      <c r="C56">
        <v>1102</v>
      </c>
      <c r="D56">
        <v>810.7</v>
      </c>
      <c r="E56">
        <v>825.2</v>
      </c>
      <c r="F56">
        <v>1.335433834222</v>
      </c>
      <c r="G56">
        <v>1.27268448074434</v>
      </c>
      <c r="H56">
        <v>4.4616532898006302E-2</v>
      </c>
      <c r="I56">
        <v>1.40641482880588</v>
      </c>
      <c r="J56">
        <v>4.7</v>
      </c>
      <c r="L56">
        <v>1.3173010136423464</v>
      </c>
      <c r="M56">
        <v>1.2280679478463337</v>
      </c>
      <c r="N56">
        <v>1.3619175465403526</v>
      </c>
      <c r="O56">
        <v>1.1834514149483275</v>
      </c>
    </row>
    <row r="57" spans="1:15" x14ac:dyDescent="0.2">
      <c r="A57" s="14">
        <v>43798</v>
      </c>
      <c r="B57">
        <v>1073</v>
      </c>
      <c r="C57">
        <v>1071</v>
      </c>
      <c r="D57">
        <v>812</v>
      </c>
      <c r="E57">
        <v>808.2</v>
      </c>
      <c r="F57">
        <v>1.32516703786191</v>
      </c>
      <c r="G57">
        <v>1.27142622480516</v>
      </c>
      <c r="H57">
        <v>4.4157478495502597E-2</v>
      </c>
      <c r="I57">
        <v>1.21702630874239</v>
      </c>
      <c r="J57">
        <v>4.0599999999999996</v>
      </c>
      <c r="L57">
        <v>1.3155837033006625</v>
      </c>
      <c r="M57">
        <v>1.2272687463096574</v>
      </c>
      <c r="N57">
        <v>1.3597411817961651</v>
      </c>
      <c r="O57">
        <v>1.1831112678141549</v>
      </c>
    </row>
    <row r="58" spans="1:15" x14ac:dyDescent="0.2">
      <c r="A58" s="14">
        <v>43797</v>
      </c>
      <c r="B58">
        <v>1063</v>
      </c>
      <c r="C58">
        <v>1069</v>
      </c>
      <c r="D58">
        <v>808.9</v>
      </c>
      <c r="E58">
        <v>811.6</v>
      </c>
      <c r="F58">
        <v>1.3171513060620901</v>
      </c>
      <c r="G58">
        <v>1.27028389880031</v>
      </c>
      <c r="H58">
        <v>4.38596294378805E-2</v>
      </c>
      <c r="I58">
        <v>1.06857736516374</v>
      </c>
      <c r="J58">
        <v>3.56</v>
      </c>
      <c r="L58">
        <v>1.3141435282381906</v>
      </c>
      <c r="M58">
        <v>1.2264242693624294</v>
      </c>
      <c r="N58">
        <v>1.3580031576760709</v>
      </c>
      <c r="O58">
        <v>1.1825646399245491</v>
      </c>
    </row>
    <row r="59" spans="1:15" x14ac:dyDescent="0.2">
      <c r="A59" s="14">
        <v>43796</v>
      </c>
      <c r="B59">
        <v>1070</v>
      </c>
      <c r="C59">
        <v>1060</v>
      </c>
      <c r="D59">
        <v>806.3</v>
      </c>
      <c r="E59">
        <v>809.7</v>
      </c>
      <c r="F59">
        <v>1.3091268371001601</v>
      </c>
      <c r="G59">
        <v>1.26914758419739</v>
      </c>
      <c r="H59">
        <v>4.37344767976783E-2</v>
      </c>
      <c r="I59">
        <v>0.91413584499284695</v>
      </c>
      <c r="J59">
        <v>3.05</v>
      </c>
      <c r="L59">
        <v>1.3128820609950684</v>
      </c>
      <c r="M59">
        <v>1.2254131073997117</v>
      </c>
      <c r="N59">
        <v>1.3566165377927466</v>
      </c>
      <c r="O59">
        <v>1.1816786306020335</v>
      </c>
    </row>
    <row r="60" spans="1:15" x14ac:dyDescent="0.2">
      <c r="A60" s="14">
        <v>43795</v>
      </c>
      <c r="B60">
        <v>1076</v>
      </c>
      <c r="C60">
        <v>1069</v>
      </c>
      <c r="D60">
        <v>809.9</v>
      </c>
      <c r="E60">
        <v>804.8</v>
      </c>
      <c r="F60">
        <v>1.32828031809145</v>
      </c>
      <c r="G60">
        <v>1.2687012707613401</v>
      </c>
      <c r="H60">
        <v>4.3494348895641903E-2</v>
      </c>
      <c r="I60">
        <v>1.36981122474234</v>
      </c>
      <c r="J60">
        <v>4.49</v>
      </c>
      <c r="L60">
        <v>1.3121956196569819</v>
      </c>
      <c r="M60">
        <v>1.2252069218656982</v>
      </c>
      <c r="N60">
        <v>1.3556899685526238</v>
      </c>
      <c r="O60">
        <v>1.1817125729700564</v>
      </c>
    </row>
    <row r="61" spans="1:15" x14ac:dyDescent="0.2">
      <c r="A61" s="14">
        <v>43794</v>
      </c>
      <c r="B61">
        <v>1064</v>
      </c>
      <c r="C61">
        <v>1063</v>
      </c>
      <c r="D61">
        <v>806.7</v>
      </c>
      <c r="E61">
        <v>805.2</v>
      </c>
      <c r="F61">
        <v>1.32016890213611</v>
      </c>
      <c r="G61">
        <v>1.2683339119589001</v>
      </c>
      <c r="H61">
        <v>4.3104188835198301E-2</v>
      </c>
      <c r="I61">
        <v>1.20255111110887</v>
      </c>
      <c r="J61">
        <v>3.93</v>
      </c>
      <c r="L61">
        <v>1.3114381007940985</v>
      </c>
      <c r="M61">
        <v>1.2252297231237017</v>
      </c>
      <c r="N61">
        <v>1.3545422896292967</v>
      </c>
      <c r="O61">
        <v>1.1821255342885035</v>
      </c>
    </row>
    <row r="62" spans="1:15" x14ac:dyDescent="0.2">
      <c r="A62" s="14">
        <v>43791</v>
      </c>
      <c r="B62">
        <v>1068</v>
      </c>
      <c r="C62">
        <v>1084</v>
      </c>
      <c r="D62">
        <v>798</v>
      </c>
      <c r="E62">
        <v>796.9</v>
      </c>
      <c r="F62">
        <v>1.36027105031999</v>
      </c>
      <c r="G62">
        <v>1.2673207169734899</v>
      </c>
      <c r="H62">
        <v>4.2765627935454402E-2</v>
      </c>
      <c r="I62">
        <v>2.17348225277519</v>
      </c>
      <c r="J62">
        <v>6.83</v>
      </c>
      <c r="L62">
        <v>1.3100863449089444</v>
      </c>
      <c r="M62">
        <v>1.2245550890380354</v>
      </c>
      <c r="N62">
        <v>1.3528519728443986</v>
      </c>
      <c r="O62">
        <v>1.1817894611025812</v>
      </c>
    </row>
    <row r="63" spans="1:15" x14ac:dyDescent="0.2">
      <c r="A63" s="14">
        <v>43790</v>
      </c>
      <c r="B63">
        <v>1053</v>
      </c>
      <c r="C63">
        <v>1069</v>
      </c>
      <c r="D63">
        <v>794.1</v>
      </c>
      <c r="E63">
        <v>797.4</v>
      </c>
      <c r="F63">
        <v>1.34060697266114</v>
      </c>
      <c r="G63">
        <v>1.2657801128145101</v>
      </c>
      <c r="H63">
        <v>4.1450400714282298E-2</v>
      </c>
      <c r="I63">
        <v>1.8052143901434301</v>
      </c>
      <c r="J63">
        <v>5.58</v>
      </c>
      <c r="L63">
        <v>1.3072305135287925</v>
      </c>
      <c r="M63">
        <v>1.2243297121002277</v>
      </c>
      <c r="N63">
        <v>1.3486809142430747</v>
      </c>
      <c r="O63">
        <v>1.1828793113859455</v>
      </c>
    </row>
    <row r="64" spans="1:15" x14ac:dyDescent="0.2">
      <c r="A64" s="14">
        <v>43789</v>
      </c>
      <c r="B64">
        <v>1042</v>
      </c>
      <c r="C64">
        <v>1053</v>
      </c>
      <c r="D64">
        <v>798.5</v>
      </c>
      <c r="E64">
        <v>793.8</v>
      </c>
      <c r="F64">
        <v>1.3265306122448901</v>
      </c>
      <c r="G64">
        <v>1.2643748367470999</v>
      </c>
      <c r="H64">
        <v>4.0668983141794603E-2</v>
      </c>
      <c r="I64">
        <v>1.5283336512516501</v>
      </c>
      <c r="J64">
        <v>4.6900000000000004</v>
      </c>
      <c r="L64">
        <v>1.3050438198888945</v>
      </c>
      <c r="M64">
        <v>1.2237058536053054</v>
      </c>
      <c r="N64">
        <v>1.3457128030306891</v>
      </c>
      <c r="O64">
        <v>1.1830368704635108</v>
      </c>
    </row>
    <row r="65" spans="1:15" x14ac:dyDescent="0.2">
      <c r="A65" s="14">
        <v>43788</v>
      </c>
      <c r="B65">
        <v>1054</v>
      </c>
      <c r="C65">
        <v>1051</v>
      </c>
      <c r="D65">
        <v>808</v>
      </c>
      <c r="E65">
        <v>805</v>
      </c>
      <c r="F65">
        <v>1.3055900621118</v>
      </c>
      <c r="G65">
        <v>1.26231174594021</v>
      </c>
      <c r="H65">
        <v>4.1381996132042798E-2</v>
      </c>
      <c r="I65">
        <v>1.0458247599631401</v>
      </c>
      <c r="J65">
        <v>3.31</v>
      </c>
      <c r="L65">
        <v>1.3036937420722527</v>
      </c>
      <c r="M65">
        <v>1.2209297498081673</v>
      </c>
      <c r="N65">
        <v>1.3450757382042955</v>
      </c>
      <c r="O65">
        <v>1.1795477536761245</v>
      </c>
    </row>
    <row r="66" spans="1:15" x14ac:dyDescent="0.2">
      <c r="A66" s="14">
        <v>43787</v>
      </c>
      <c r="B66">
        <v>1068</v>
      </c>
      <c r="C66">
        <v>1059</v>
      </c>
      <c r="D66">
        <v>810</v>
      </c>
      <c r="E66">
        <v>810.6</v>
      </c>
      <c r="F66">
        <v>1.3064396743153199</v>
      </c>
      <c r="G66">
        <v>1.26065720710691</v>
      </c>
      <c r="H66">
        <v>4.2093149109407202E-2</v>
      </c>
      <c r="I66">
        <v>1.0876465215137401</v>
      </c>
      <c r="J66">
        <v>3.5</v>
      </c>
      <c r="L66">
        <v>1.3027503562163172</v>
      </c>
      <c r="M66">
        <v>1.2185640579975028</v>
      </c>
      <c r="N66">
        <v>1.3448435053257244</v>
      </c>
      <c r="O66">
        <v>1.1764709088880956</v>
      </c>
    </row>
    <row r="67" spans="1:15" x14ac:dyDescent="0.2">
      <c r="A67" s="14">
        <v>43784</v>
      </c>
      <c r="B67">
        <v>1063</v>
      </c>
      <c r="C67">
        <v>1065</v>
      </c>
      <c r="D67">
        <v>799.9</v>
      </c>
      <c r="E67">
        <v>811</v>
      </c>
      <c r="F67">
        <v>1.3131935881627601</v>
      </c>
      <c r="G67">
        <v>1.25914169337573</v>
      </c>
      <c r="H67">
        <v>4.2462067129124099E-2</v>
      </c>
      <c r="I67">
        <v>1.2729454414608401</v>
      </c>
      <c r="J67">
        <v>4.12</v>
      </c>
      <c r="L67">
        <v>1.301603760504854</v>
      </c>
      <c r="M67">
        <v>1.216679626246606</v>
      </c>
      <c r="N67">
        <v>1.3440658276339783</v>
      </c>
      <c r="O67">
        <v>1.1742175591174817</v>
      </c>
    </row>
    <row r="68" spans="1:15" x14ac:dyDescent="0.2">
      <c r="A68" s="14">
        <v>43783</v>
      </c>
      <c r="B68">
        <v>1067</v>
      </c>
      <c r="C68">
        <v>1063</v>
      </c>
      <c r="D68">
        <v>802</v>
      </c>
      <c r="E68">
        <v>793.8</v>
      </c>
      <c r="F68">
        <v>1.33912824389014</v>
      </c>
      <c r="G68">
        <v>1.2576302313071599</v>
      </c>
      <c r="H68">
        <v>4.2528657029568498E-2</v>
      </c>
      <c r="I68">
        <v>1.91630816196057</v>
      </c>
      <c r="J68">
        <v>6.09</v>
      </c>
      <c r="L68">
        <v>1.3001588883367283</v>
      </c>
      <c r="M68">
        <v>1.2151015742775915</v>
      </c>
      <c r="N68">
        <v>1.342687545366297</v>
      </c>
      <c r="O68">
        <v>1.1725729172480228</v>
      </c>
    </row>
    <row r="69" spans="1:15" x14ac:dyDescent="0.2">
      <c r="A69" s="14">
        <v>43782</v>
      </c>
      <c r="B69">
        <v>1062</v>
      </c>
      <c r="C69">
        <v>1067</v>
      </c>
      <c r="D69">
        <v>814</v>
      </c>
      <c r="E69">
        <v>804.7</v>
      </c>
      <c r="F69">
        <v>1.32595998508761</v>
      </c>
      <c r="G69">
        <v>1.2557663653367901</v>
      </c>
      <c r="H69">
        <v>4.1975703144001703E-2</v>
      </c>
      <c r="I69">
        <v>1.67224404818207</v>
      </c>
      <c r="J69">
        <v>5.29</v>
      </c>
      <c r="L69">
        <v>1.2977420684807919</v>
      </c>
      <c r="M69">
        <v>1.2137906621927883</v>
      </c>
      <c r="N69">
        <v>1.3397177716247934</v>
      </c>
      <c r="O69">
        <v>1.1718149590487867</v>
      </c>
    </row>
    <row r="70" spans="1:15" x14ac:dyDescent="0.2">
      <c r="A70" s="14">
        <v>43781</v>
      </c>
      <c r="B70">
        <v>1042</v>
      </c>
      <c r="C70">
        <v>1068</v>
      </c>
      <c r="D70">
        <v>801</v>
      </c>
      <c r="E70">
        <v>815.9</v>
      </c>
      <c r="F70">
        <v>1.30898394411079</v>
      </c>
      <c r="G70">
        <v>1.25419415730631</v>
      </c>
      <c r="H70">
        <v>4.1522978311457001E-2</v>
      </c>
      <c r="I70">
        <v>1.31950522415594</v>
      </c>
      <c r="J70">
        <v>4.1900000000000004</v>
      </c>
      <c r="L70">
        <v>1.295717135617767</v>
      </c>
      <c r="M70">
        <v>1.212671178994853</v>
      </c>
      <c r="N70">
        <v>1.337240113929224</v>
      </c>
      <c r="O70">
        <v>1.171148200683396</v>
      </c>
    </row>
    <row r="71" spans="1:15" x14ac:dyDescent="0.2">
      <c r="A71" s="14">
        <v>43780</v>
      </c>
      <c r="B71">
        <v>1071</v>
      </c>
      <c r="C71">
        <v>1056</v>
      </c>
      <c r="D71">
        <v>803.2</v>
      </c>
      <c r="E71">
        <v>806.1</v>
      </c>
      <c r="F71">
        <v>1.3100111648678801</v>
      </c>
      <c r="G71">
        <v>1.2528992617664001</v>
      </c>
      <c r="H71">
        <v>4.1307910340623998E-2</v>
      </c>
      <c r="I71">
        <v>1.3825899841103999</v>
      </c>
      <c r="J71">
        <v>4.3600000000000003</v>
      </c>
      <c r="L71">
        <v>1.2942071721070241</v>
      </c>
      <c r="M71">
        <v>1.2115913514257761</v>
      </c>
      <c r="N71">
        <v>1.335515082447648</v>
      </c>
      <c r="O71">
        <v>1.1702834410851521</v>
      </c>
    </row>
    <row r="72" spans="1:15" x14ac:dyDescent="0.2">
      <c r="A72" s="14">
        <v>43777</v>
      </c>
      <c r="B72">
        <v>1068</v>
      </c>
      <c r="C72">
        <v>1069</v>
      </c>
      <c r="D72">
        <v>796.9</v>
      </c>
      <c r="E72">
        <v>800.2</v>
      </c>
      <c r="F72">
        <v>1.33591602099475</v>
      </c>
      <c r="G72">
        <v>1.25151763609051</v>
      </c>
      <c r="H72">
        <v>4.1107015664892999E-2</v>
      </c>
      <c r="I72">
        <v>2.05313821835809</v>
      </c>
      <c r="J72">
        <v>6.32</v>
      </c>
      <c r="L72">
        <v>1.292624651755403</v>
      </c>
      <c r="M72">
        <v>1.2104106204256171</v>
      </c>
      <c r="N72">
        <v>1.3337316674202961</v>
      </c>
      <c r="O72">
        <v>1.1693036047607239</v>
      </c>
    </row>
    <row r="73" spans="1:15" x14ac:dyDescent="0.2">
      <c r="A73" s="14">
        <v>43776</v>
      </c>
      <c r="B73">
        <v>1047</v>
      </c>
      <c r="C73">
        <v>1049</v>
      </c>
      <c r="D73">
        <v>784</v>
      </c>
      <c r="E73">
        <v>785.8</v>
      </c>
      <c r="F73">
        <v>1.3349452786968601</v>
      </c>
      <c r="G73">
        <v>1.2499218962040799</v>
      </c>
      <c r="H73">
        <v>4.0110641314872103E-2</v>
      </c>
      <c r="I73">
        <v>2.1197213434046498</v>
      </c>
      <c r="J73">
        <v>6.37</v>
      </c>
      <c r="L73">
        <v>1.2900325375189521</v>
      </c>
      <c r="M73">
        <v>1.2098112548892077</v>
      </c>
      <c r="N73">
        <v>1.330143178833824</v>
      </c>
      <c r="O73">
        <v>1.1697006135743357</v>
      </c>
    </row>
    <row r="74" spans="1:15" x14ac:dyDescent="0.2">
      <c r="A74" s="14">
        <v>43775</v>
      </c>
      <c r="B74">
        <v>1060</v>
      </c>
      <c r="C74">
        <v>1045</v>
      </c>
      <c r="D74">
        <v>770</v>
      </c>
      <c r="E74">
        <v>784.8</v>
      </c>
      <c r="F74">
        <v>1.3315494393476</v>
      </c>
      <c r="G74">
        <v>1.24804468566836</v>
      </c>
      <c r="H74">
        <v>3.9375373054174802E-2</v>
      </c>
      <c r="I74">
        <v>2.1207355563171202</v>
      </c>
      <c r="J74">
        <v>6.27</v>
      </c>
      <c r="L74">
        <v>1.2874200587225348</v>
      </c>
      <c r="M74">
        <v>1.2086693126141852</v>
      </c>
      <c r="N74">
        <v>1.3267954317767097</v>
      </c>
      <c r="O74">
        <v>1.1692939395600104</v>
      </c>
    </row>
    <row r="75" spans="1:15" x14ac:dyDescent="0.2">
      <c r="A75" s="14">
        <v>43774</v>
      </c>
      <c r="B75">
        <v>1049</v>
      </c>
      <c r="C75">
        <v>1058</v>
      </c>
      <c r="D75">
        <v>769</v>
      </c>
      <c r="E75">
        <v>768.5</v>
      </c>
      <c r="F75">
        <v>1.37670787247885</v>
      </c>
      <c r="G75">
        <v>1.24609863404862</v>
      </c>
      <c r="H75">
        <v>3.88028031454411E-2</v>
      </c>
      <c r="I75">
        <v>3.3659743070798198</v>
      </c>
      <c r="J75">
        <v>9.49</v>
      </c>
      <c r="L75">
        <v>1.284901437194061</v>
      </c>
      <c r="M75">
        <v>1.2072958309031789</v>
      </c>
      <c r="N75">
        <v>1.3237042403395023</v>
      </c>
      <c r="O75">
        <v>1.1684930277577377</v>
      </c>
    </row>
    <row r="76" spans="1:15" x14ac:dyDescent="0.2">
      <c r="A76" s="14">
        <v>43770</v>
      </c>
      <c r="B76">
        <v>1002</v>
      </c>
      <c r="C76">
        <v>1024</v>
      </c>
      <c r="D76">
        <v>758.8</v>
      </c>
      <c r="E76">
        <v>756.1</v>
      </c>
      <c r="F76">
        <v>1.3543182118767301</v>
      </c>
      <c r="G76">
        <v>1.24350508615986</v>
      </c>
      <c r="H76">
        <v>3.6413393291106003E-2</v>
      </c>
      <c r="I76">
        <v>3.0431969037045801</v>
      </c>
      <c r="J76">
        <v>8.18</v>
      </c>
      <c r="L76">
        <v>1.2799184794509659</v>
      </c>
      <c r="M76">
        <v>1.2070916928687541</v>
      </c>
      <c r="N76">
        <v>1.3163318727420721</v>
      </c>
      <c r="O76">
        <v>1.1706782995776479</v>
      </c>
    </row>
    <row r="77" spans="1:15" x14ac:dyDescent="0.2">
      <c r="A77" s="14">
        <v>43769</v>
      </c>
      <c r="B77">
        <v>998</v>
      </c>
      <c r="C77">
        <v>1032</v>
      </c>
      <c r="D77">
        <v>762</v>
      </c>
      <c r="E77">
        <v>765.8</v>
      </c>
      <c r="F77">
        <v>1.34761034212588</v>
      </c>
      <c r="G77">
        <v>1.24130865573386</v>
      </c>
      <c r="H77">
        <v>3.45853619140623E-2</v>
      </c>
      <c r="I77">
        <v>3.0736034122226799</v>
      </c>
      <c r="J77">
        <v>7.89</v>
      </c>
      <c r="L77">
        <v>1.2758940176479223</v>
      </c>
      <c r="M77">
        <v>1.2067232938197976</v>
      </c>
      <c r="N77">
        <v>1.3104793795619845</v>
      </c>
      <c r="O77">
        <v>1.1721379319057355</v>
      </c>
    </row>
    <row r="78" spans="1:15" x14ac:dyDescent="0.2">
      <c r="A78" s="14">
        <v>43768</v>
      </c>
      <c r="B78">
        <v>1011</v>
      </c>
      <c r="C78">
        <v>1009</v>
      </c>
      <c r="D78">
        <v>765</v>
      </c>
      <c r="E78">
        <v>766.7</v>
      </c>
      <c r="F78">
        <v>1.3160297378374799</v>
      </c>
      <c r="G78">
        <v>1.2391391767898901</v>
      </c>
      <c r="H78">
        <v>3.29120038252151E-2</v>
      </c>
      <c r="I78">
        <v>2.33624672189308</v>
      </c>
      <c r="J78">
        <v>5.84</v>
      </c>
      <c r="L78">
        <v>1.2720511806151051</v>
      </c>
      <c r="M78">
        <v>1.206227172964675</v>
      </c>
      <c r="N78">
        <v>1.3049631844403202</v>
      </c>
      <c r="O78">
        <v>1.1733151691394599</v>
      </c>
    </row>
    <row r="79" spans="1:15" x14ac:dyDescent="0.2">
      <c r="A79" s="14">
        <v>43767</v>
      </c>
      <c r="B79">
        <v>1002</v>
      </c>
      <c r="C79">
        <v>1010</v>
      </c>
      <c r="D79">
        <v>759</v>
      </c>
      <c r="E79">
        <v>761.9</v>
      </c>
      <c r="F79">
        <v>1.3256332852080299</v>
      </c>
      <c r="G79">
        <v>1.2370368306170001</v>
      </c>
      <c r="H79">
        <v>3.2969204421112001E-2</v>
      </c>
      <c r="I79">
        <v>2.6872487870619599</v>
      </c>
      <c r="J79">
        <v>6.68</v>
      </c>
      <c r="L79">
        <v>1.2700060350381122</v>
      </c>
      <c r="M79">
        <v>1.204067626195888</v>
      </c>
      <c r="N79">
        <v>1.302975239459224</v>
      </c>
      <c r="O79">
        <v>1.1710984217747762</v>
      </c>
    </row>
    <row r="80" spans="1:15" x14ac:dyDescent="0.2">
      <c r="A80" s="14">
        <v>43766</v>
      </c>
      <c r="B80">
        <v>989</v>
      </c>
      <c r="C80">
        <v>993</v>
      </c>
      <c r="D80">
        <v>755</v>
      </c>
      <c r="E80">
        <v>753.8</v>
      </c>
      <c r="F80">
        <v>1.3173255505439101</v>
      </c>
      <c r="G80">
        <v>1.2348740347481799</v>
      </c>
      <c r="H80">
        <v>3.2401930652212703E-2</v>
      </c>
      <c r="I80">
        <v>2.54464823965955</v>
      </c>
      <c r="J80">
        <v>6.26</v>
      </c>
      <c r="L80">
        <v>1.2672759654003927</v>
      </c>
      <c r="M80">
        <v>1.2024721040959672</v>
      </c>
      <c r="N80">
        <v>1.2996778960526054</v>
      </c>
      <c r="O80">
        <v>1.1700701734437544</v>
      </c>
    </row>
    <row r="81" spans="1:15" x14ac:dyDescent="0.2">
      <c r="A81" s="14">
        <v>43763</v>
      </c>
      <c r="B81">
        <v>981</v>
      </c>
      <c r="C81">
        <v>980</v>
      </c>
      <c r="D81">
        <v>751.9</v>
      </c>
      <c r="E81">
        <v>753.1</v>
      </c>
      <c r="F81">
        <v>1.30128800956048</v>
      </c>
      <c r="G81">
        <v>1.23306001162099</v>
      </c>
      <c r="H81">
        <v>3.1531849136755698E-2</v>
      </c>
      <c r="I81">
        <v>2.1637804254225999</v>
      </c>
      <c r="J81">
        <v>5.24</v>
      </c>
      <c r="L81">
        <v>1.2645918607577458</v>
      </c>
      <c r="M81">
        <v>1.2015281624842342</v>
      </c>
      <c r="N81">
        <v>1.2961237098945013</v>
      </c>
      <c r="O81">
        <v>1.1699963133474787</v>
      </c>
    </row>
    <row r="82" spans="1:15" x14ac:dyDescent="0.2">
      <c r="A82" s="14">
        <v>43762</v>
      </c>
      <c r="B82">
        <v>975</v>
      </c>
      <c r="C82">
        <v>996</v>
      </c>
      <c r="D82">
        <v>753.7</v>
      </c>
      <c r="E82">
        <v>752.5</v>
      </c>
      <c r="F82">
        <v>1.3235880398671001</v>
      </c>
      <c r="G82">
        <v>1.23157132432404</v>
      </c>
      <c r="H82">
        <v>3.0904938967166201E-2</v>
      </c>
      <c r="I82">
        <v>2.97741133353539</v>
      </c>
      <c r="J82">
        <v>6.95</v>
      </c>
      <c r="L82">
        <v>1.2624762632912063</v>
      </c>
      <c r="M82">
        <v>1.2006663853568738</v>
      </c>
      <c r="N82">
        <v>1.2933812022583724</v>
      </c>
      <c r="O82">
        <v>1.1697614463897077</v>
      </c>
    </row>
    <row r="83" spans="1:15" x14ac:dyDescent="0.2">
      <c r="A83" s="14">
        <v>43761</v>
      </c>
      <c r="B83">
        <v>952</v>
      </c>
      <c r="C83">
        <v>960</v>
      </c>
      <c r="D83">
        <v>745.9</v>
      </c>
      <c r="E83">
        <v>748.6</v>
      </c>
      <c r="F83">
        <v>1.2823938017632901</v>
      </c>
      <c r="G83">
        <v>1.2301676023800301</v>
      </c>
      <c r="H83">
        <v>2.9027499010909699E-2</v>
      </c>
      <c r="I83">
        <v>1.7991973529523499</v>
      </c>
      <c r="J83">
        <v>4.07</v>
      </c>
      <c r="L83">
        <v>1.2591951013909397</v>
      </c>
      <c r="M83">
        <v>1.2011401033691205</v>
      </c>
      <c r="N83">
        <v>1.2882226004018495</v>
      </c>
      <c r="O83">
        <v>1.1721126043582106</v>
      </c>
    </row>
    <row r="84" spans="1:15" x14ac:dyDescent="0.2">
      <c r="A84" s="14">
        <v>43759</v>
      </c>
      <c r="B84">
        <v>948</v>
      </c>
      <c r="C84">
        <v>944</v>
      </c>
      <c r="D84">
        <v>734.7</v>
      </c>
      <c r="E84">
        <v>741.7</v>
      </c>
      <c r="F84">
        <v>1.2727517864365601</v>
      </c>
      <c r="G84">
        <v>1.2292393072394501</v>
      </c>
      <c r="H84">
        <v>2.84499772032498E-2</v>
      </c>
      <c r="I84">
        <v>1.5294381041592799</v>
      </c>
      <c r="J84">
        <v>3.42</v>
      </c>
      <c r="L84">
        <v>1.2576892844426999</v>
      </c>
      <c r="M84">
        <v>1.2007893300362003</v>
      </c>
      <c r="N84">
        <v>1.2861392616459497</v>
      </c>
      <c r="O84">
        <v>1.1723393528329504</v>
      </c>
    </row>
    <row r="85" spans="1:15" x14ac:dyDescent="0.2">
      <c r="A85" s="14">
        <v>43756</v>
      </c>
      <c r="B85">
        <v>946</v>
      </c>
      <c r="C85">
        <v>940</v>
      </c>
      <c r="D85">
        <v>733.2</v>
      </c>
      <c r="E85">
        <v>733.7</v>
      </c>
      <c r="F85">
        <v>1.28117759302167</v>
      </c>
      <c r="G85">
        <v>1.2286640521947301</v>
      </c>
      <c r="H85">
        <v>2.7996921538837399E-2</v>
      </c>
      <c r="I85">
        <v>1.8756898237575701</v>
      </c>
      <c r="J85">
        <v>4.0999999999999996</v>
      </c>
      <c r="L85">
        <v>1.2566609737335674</v>
      </c>
      <c r="M85">
        <v>1.2006671306558927</v>
      </c>
      <c r="N85">
        <v>1.2846578952724048</v>
      </c>
      <c r="O85">
        <v>1.1726702091170553</v>
      </c>
    </row>
    <row r="86" spans="1:15" x14ac:dyDescent="0.2">
      <c r="A86" s="14">
        <v>43755</v>
      </c>
      <c r="B86">
        <v>943</v>
      </c>
      <c r="C86">
        <v>938</v>
      </c>
      <c r="D86">
        <v>736.5</v>
      </c>
      <c r="E86">
        <v>731.6</v>
      </c>
      <c r="F86">
        <v>1.2821213778020699</v>
      </c>
      <c r="G86">
        <v>1.22854288110872</v>
      </c>
      <c r="H86">
        <v>2.7788268569335701E-2</v>
      </c>
      <c r="I86">
        <v>1.9280976992023999</v>
      </c>
      <c r="J86">
        <v>4.18</v>
      </c>
      <c r="L86">
        <v>1.2563311496780558</v>
      </c>
      <c r="M86">
        <v>1.2007546125393842</v>
      </c>
      <c r="N86">
        <v>1.2841194182473914</v>
      </c>
      <c r="O86">
        <v>1.1729663439700486</v>
      </c>
    </row>
    <row r="87" spans="1:15" x14ac:dyDescent="0.2">
      <c r="A87" s="14">
        <v>43754</v>
      </c>
      <c r="B87">
        <v>946</v>
      </c>
      <c r="C87">
        <v>938</v>
      </c>
      <c r="D87">
        <v>749.5</v>
      </c>
      <c r="E87">
        <v>736</v>
      </c>
      <c r="F87">
        <v>1.2744565217391299</v>
      </c>
      <c r="G87">
        <v>1.22850068753111</v>
      </c>
      <c r="H87">
        <v>2.77091731240003E-2</v>
      </c>
      <c r="I87">
        <v>1.6585061561513801</v>
      </c>
      <c r="J87">
        <v>3.61</v>
      </c>
      <c r="L87">
        <v>1.2562098606551102</v>
      </c>
      <c r="M87">
        <v>1.2007915144071097</v>
      </c>
      <c r="N87">
        <v>1.2839190337791107</v>
      </c>
      <c r="O87">
        <v>1.1730823412831093</v>
      </c>
    </row>
    <row r="88" spans="1:15" x14ac:dyDescent="0.2">
      <c r="A88" s="14">
        <v>43753</v>
      </c>
      <c r="B88">
        <v>918</v>
      </c>
      <c r="C88">
        <v>926</v>
      </c>
      <c r="D88">
        <v>744</v>
      </c>
      <c r="E88">
        <v>746.1</v>
      </c>
      <c r="F88">
        <v>1.2411204932314699</v>
      </c>
      <c r="G88">
        <v>1.2280565941883601</v>
      </c>
      <c r="H88">
        <v>2.7231876790532801E-2</v>
      </c>
      <c r="I88">
        <v>0.479728192940794</v>
      </c>
      <c r="J88">
        <v>1.05</v>
      </c>
      <c r="L88">
        <v>1.255288470978893</v>
      </c>
      <c r="M88">
        <v>1.2008247173978273</v>
      </c>
      <c r="N88">
        <v>1.2825203477694258</v>
      </c>
      <c r="O88">
        <v>1.1735928406072944</v>
      </c>
    </row>
    <row r="89" spans="1:15" x14ac:dyDescent="0.2">
      <c r="A89" s="14">
        <v>43749</v>
      </c>
      <c r="B89">
        <v>891</v>
      </c>
      <c r="C89">
        <v>896</v>
      </c>
      <c r="D89">
        <v>727.3</v>
      </c>
      <c r="E89">
        <v>734.5</v>
      </c>
      <c r="F89">
        <v>1.2198774676650701</v>
      </c>
      <c r="G89">
        <v>1.22799123163987</v>
      </c>
      <c r="H89">
        <v>2.7206313265647899E-2</v>
      </c>
      <c r="I89">
        <v>-0.29823092513749799</v>
      </c>
      <c r="J89">
        <v>-0.67</v>
      </c>
      <c r="L89">
        <v>1.2551975449055179</v>
      </c>
      <c r="M89">
        <v>1.2007849183742221</v>
      </c>
      <c r="N89">
        <v>1.2824038581711659</v>
      </c>
      <c r="O89">
        <v>1.1735786051085741</v>
      </c>
    </row>
    <row r="90" spans="1:15" x14ac:dyDescent="0.2">
      <c r="A90" s="14">
        <v>43748</v>
      </c>
      <c r="B90">
        <v>868</v>
      </c>
      <c r="C90">
        <v>876</v>
      </c>
      <c r="D90">
        <v>709.8</v>
      </c>
      <c r="E90">
        <v>717.2</v>
      </c>
      <c r="F90">
        <v>1.2214166201896199</v>
      </c>
      <c r="G90">
        <v>1.22814601954586</v>
      </c>
      <c r="H90">
        <v>2.7192731461368101E-2</v>
      </c>
      <c r="I90">
        <v>-0.24747051857581301</v>
      </c>
      <c r="J90">
        <v>-0.55000000000000004</v>
      </c>
      <c r="L90">
        <v>1.255338751007228</v>
      </c>
      <c r="M90">
        <v>1.200953288084492</v>
      </c>
      <c r="N90">
        <v>1.2825314824685963</v>
      </c>
      <c r="O90">
        <v>1.1737605566231237</v>
      </c>
    </row>
    <row r="91" spans="1:15" x14ac:dyDescent="0.2">
      <c r="A91" s="14">
        <v>43747</v>
      </c>
      <c r="B91">
        <v>872</v>
      </c>
      <c r="C91">
        <v>870</v>
      </c>
      <c r="D91">
        <v>714.1</v>
      </c>
      <c r="E91">
        <v>711.2</v>
      </c>
      <c r="F91">
        <v>1.22328458942632</v>
      </c>
      <c r="G91">
        <v>1.2282045506315</v>
      </c>
      <c r="H91">
        <v>2.71829064292432E-2</v>
      </c>
      <c r="I91">
        <v>-0.180994670970611</v>
      </c>
      <c r="J91">
        <v>-0.4</v>
      </c>
      <c r="L91">
        <v>1.2553874570607433</v>
      </c>
      <c r="M91">
        <v>1.2010216442022568</v>
      </c>
      <c r="N91">
        <v>1.2825703634899863</v>
      </c>
      <c r="O91">
        <v>1.1738387377730137</v>
      </c>
    </row>
    <row r="92" spans="1:15" x14ac:dyDescent="0.2">
      <c r="A92" s="14">
        <v>43746</v>
      </c>
      <c r="B92">
        <v>879</v>
      </c>
      <c r="C92">
        <v>877</v>
      </c>
      <c r="D92">
        <v>710.4</v>
      </c>
      <c r="E92">
        <v>722.7</v>
      </c>
      <c r="F92">
        <v>1.2135049121350401</v>
      </c>
      <c r="G92">
        <v>1.2285260676085199</v>
      </c>
      <c r="H92">
        <v>2.7265295049851299E-2</v>
      </c>
      <c r="I92">
        <v>-0.55092583615967505</v>
      </c>
      <c r="J92">
        <v>-1.24</v>
      </c>
      <c r="L92">
        <v>1.2557913626583712</v>
      </c>
      <c r="M92">
        <v>1.2012607725586686</v>
      </c>
      <c r="N92">
        <v>1.2830566577082225</v>
      </c>
      <c r="O92">
        <v>1.1739954775088173</v>
      </c>
    </row>
    <row r="93" spans="1:15" x14ac:dyDescent="0.2">
      <c r="A93" s="14">
        <v>43745</v>
      </c>
      <c r="B93">
        <v>878</v>
      </c>
      <c r="C93">
        <v>875</v>
      </c>
      <c r="D93">
        <v>698.5</v>
      </c>
      <c r="E93">
        <v>694.6</v>
      </c>
      <c r="F93">
        <v>1.2597178232076001</v>
      </c>
      <c r="G93">
        <v>1.22872539107828</v>
      </c>
      <c r="H93">
        <v>2.7209340033747201E-2</v>
      </c>
      <c r="I93">
        <v>1.1390365253578001</v>
      </c>
      <c r="J93">
        <v>2.46</v>
      </c>
      <c r="L93">
        <v>1.2559347311120272</v>
      </c>
      <c r="M93">
        <v>1.2015160510445329</v>
      </c>
      <c r="N93">
        <v>1.2831440711457744</v>
      </c>
      <c r="O93">
        <v>1.1743067110107857</v>
      </c>
    </row>
    <row r="94" spans="1:15" x14ac:dyDescent="0.2">
      <c r="A94" s="14">
        <v>43742</v>
      </c>
      <c r="B94">
        <v>872</v>
      </c>
      <c r="C94">
        <v>872</v>
      </c>
      <c r="D94">
        <v>694.9</v>
      </c>
      <c r="E94">
        <v>694.1</v>
      </c>
      <c r="F94">
        <v>1.2563031263506601</v>
      </c>
      <c r="G94">
        <v>1.22861725173527</v>
      </c>
      <c r="H94">
        <v>2.71018550521922E-2</v>
      </c>
      <c r="I94">
        <v>1.0215490623088599</v>
      </c>
      <c r="J94">
        <v>2.2000000000000002</v>
      </c>
      <c r="L94">
        <v>1.2557191067874622</v>
      </c>
      <c r="M94">
        <v>1.2015153966830778</v>
      </c>
      <c r="N94">
        <v>1.2828209618396544</v>
      </c>
      <c r="O94">
        <v>1.1744135416308856</v>
      </c>
    </row>
    <row r="95" spans="1:15" x14ac:dyDescent="0.2">
      <c r="A95" s="14">
        <v>43741</v>
      </c>
      <c r="B95">
        <v>870</v>
      </c>
      <c r="C95">
        <v>866</v>
      </c>
      <c r="D95">
        <v>700</v>
      </c>
      <c r="E95">
        <v>699.6</v>
      </c>
      <c r="F95">
        <v>1.2378502001143501</v>
      </c>
      <c r="G95">
        <v>1.22835349665844</v>
      </c>
      <c r="H95">
        <v>2.6926825028185501E-2</v>
      </c>
      <c r="I95">
        <v>0.35268560054750597</v>
      </c>
      <c r="J95">
        <v>0.77</v>
      </c>
      <c r="L95">
        <v>1.2552803216866255</v>
      </c>
      <c r="M95">
        <v>1.2014266716302544</v>
      </c>
      <c r="N95">
        <v>1.2822071467148111</v>
      </c>
      <c r="O95">
        <v>1.1744998466020689</v>
      </c>
    </row>
    <row r="96" spans="1:15" x14ac:dyDescent="0.2">
      <c r="A96" s="14">
        <v>43740</v>
      </c>
      <c r="B96">
        <v>882</v>
      </c>
      <c r="C96">
        <v>884</v>
      </c>
      <c r="D96">
        <v>714.3</v>
      </c>
      <c r="E96">
        <v>712.7</v>
      </c>
      <c r="F96">
        <v>1.2403535849586</v>
      </c>
      <c r="G96">
        <v>1.2281053523049399</v>
      </c>
      <c r="H96">
        <v>2.6923918647041498E-2</v>
      </c>
      <c r="I96">
        <v>0.45492013306937001</v>
      </c>
      <c r="J96">
        <v>0.99</v>
      </c>
      <c r="L96">
        <v>1.2550292709519815</v>
      </c>
      <c r="M96">
        <v>1.2011814336578983</v>
      </c>
      <c r="N96">
        <v>1.2819531895990228</v>
      </c>
      <c r="O96">
        <v>1.174257515010857</v>
      </c>
    </row>
    <row r="97" spans="1:15" x14ac:dyDescent="0.2">
      <c r="A97" s="14">
        <v>43739</v>
      </c>
      <c r="B97">
        <v>896</v>
      </c>
      <c r="C97">
        <v>905</v>
      </c>
      <c r="D97">
        <v>718.4</v>
      </c>
      <c r="E97">
        <v>729.3</v>
      </c>
      <c r="F97">
        <v>1.24091594679829</v>
      </c>
      <c r="G97">
        <v>1.2278397561033501</v>
      </c>
      <c r="H97">
        <v>2.6900023912715999E-2</v>
      </c>
      <c r="I97">
        <v>0.48610331118574601</v>
      </c>
      <c r="J97">
        <v>1.05</v>
      </c>
      <c r="L97">
        <v>1.254739780016066</v>
      </c>
      <c r="M97">
        <v>1.2009397321906341</v>
      </c>
      <c r="N97">
        <v>1.281639803928782</v>
      </c>
      <c r="O97">
        <v>1.1740397082779181</v>
      </c>
    </row>
    <row r="98" spans="1:15" x14ac:dyDescent="0.2">
      <c r="A98" s="14">
        <v>43738</v>
      </c>
      <c r="B98">
        <v>911</v>
      </c>
      <c r="C98">
        <v>890</v>
      </c>
      <c r="D98">
        <v>724</v>
      </c>
      <c r="E98">
        <v>717.7</v>
      </c>
      <c r="F98">
        <v>1.24007245367145</v>
      </c>
      <c r="G98">
        <v>1.22746745576007</v>
      </c>
      <c r="H98">
        <v>2.6909695358929502E-2</v>
      </c>
      <c r="I98">
        <v>0.46841845451032199</v>
      </c>
      <c r="J98">
        <v>1.02</v>
      </c>
      <c r="L98">
        <v>1.2543771511189994</v>
      </c>
      <c r="M98">
        <v>1.2005577604011406</v>
      </c>
      <c r="N98">
        <v>1.281286846477929</v>
      </c>
      <c r="O98">
        <v>1.173648065042211</v>
      </c>
    </row>
    <row r="99" spans="1:15" x14ac:dyDescent="0.2">
      <c r="A99" s="14">
        <v>43735</v>
      </c>
      <c r="B99">
        <v>904</v>
      </c>
      <c r="C99">
        <v>907</v>
      </c>
      <c r="D99">
        <v>736</v>
      </c>
      <c r="E99">
        <v>727.9</v>
      </c>
      <c r="F99">
        <v>1.24605028163209</v>
      </c>
      <c r="G99">
        <v>1.2273132636064801</v>
      </c>
      <c r="H99">
        <v>2.6870130015677299E-2</v>
      </c>
      <c r="I99">
        <v>0.69731772844701501</v>
      </c>
      <c r="J99">
        <v>1.5</v>
      </c>
      <c r="L99">
        <v>1.2541833936221574</v>
      </c>
      <c r="M99">
        <v>1.2004431335908028</v>
      </c>
      <c r="N99">
        <v>1.2810535236378346</v>
      </c>
      <c r="O99">
        <v>1.1735730035751255</v>
      </c>
    </row>
    <row r="100" spans="1:15" x14ac:dyDescent="0.2">
      <c r="A100" s="14">
        <v>43734</v>
      </c>
      <c r="B100">
        <v>934</v>
      </c>
      <c r="C100">
        <v>921</v>
      </c>
      <c r="D100">
        <v>755.2</v>
      </c>
      <c r="E100">
        <v>755.9</v>
      </c>
      <c r="F100">
        <v>1.21841513427702</v>
      </c>
      <c r="G100">
        <v>1.22731159153104</v>
      </c>
      <c r="H100">
        <v>2.68689678725508E-2</v>
      </c>
      <c r="I100">
        <v>-0.33110528458806199</v>
      </c>
      <c r="J100">
        <v>-0.73</v>
      </c>
      <c r="L100">
        <v>1.2541805594035909</v>
      </c>
      <c r="M100">
        <v>1.2004426236584891</v>
      </c>
      <c r="N100">
        <v>1.2810495272761415</v>
      </c>
      <c r="O100">
        <v>1.1735736557859384</v>
      </c>
    </row>
    <row r="101" spans="1:15" x14ac:dyDescent="0.2">
      <c r="A101" s="14">
        <v>43733</v>
      </c>
      <c r="B101">
        <v>920</v>
      </c>
      <c r="C101">
        <v>920</v>
      </c>
      <c r="D101">
        <v>743.1</v>
      </c>
      <c r="E101">
        <v>752.9</v>
      </c>
      <c r="F101">
        <v>1.2219418249435501</v>
      </c>
      <c r="G101">
        <v>1.2274463542309499</v>
      </c>
      <c r="H101">
        <v>2.6849348711821999E-2</v>
      </c>
      <c r="I101">
        <v>-0.20501537472963099</v>
      </c>
      <c r="J101">
        <v>-0.45</v>
      </c>
      <c r="L101">
        <v>1.2542957029427719</v>
      </c>
      <c r="M101">
        <v>1.200597005519128</v>
      </c>
      <c r="N101">
        <v>1.2811450516545939</v>
      </c>
      <c r="O101">
        <v>1.173747656807306</v>
      </c>
    </row>
    <row r="102" spans="1:15" x14ac:dyDescent="0.2">
      <c r="A102" s="14">
        <v>43732</v>
      </c>
      <c r="B102">
        <v>936</v>
      </c>
      <c r="C102">
        <v>929</v>
      </c>
      <c r="D102">
        <v>751</v>
      </c>
      <c r="E102">
        <v>752.9</v>
      </c>
      <c r="F102">
        <v>1.23389560366582</v>
      </c>
      <c r="G102">
        <v>1.22753854910708</v>
      </c>
      <c r="H102">
        <v>2.68421597436025E-2</v>
      </c>
      <c r="I102">
        <v>0.236830963658061</v>
      </c>
      <c r="J102">
        <v>0.52</v>
      </c>
      <c r="L102">
        <v>1.2543807088506826</v>
      </c>
      <c r="M102">
        <v>1.2006963893634774</v>
      </c>
      <c r="N102">
        <v>1.281222868594285</v>
      </c>
      <c r="O102">
        <v>1.1738542296198751</v>
      </c>
    </row>
    <row r="103" spans="1:15" x14ac:dyDescent="0.2">
      <c r="A103" s="14">
        <v>43728</v>
      </c>
      <c r="B103">
        <v>933</v>
      </c>
      <c r="C103">
        <v>933</v>
      </c>
      <c r="D103">
        <v>758</v>
      </c>
      <c r="E103">
        <v>754</v>
      </c>
      <c r="F103">
        <v>1.2374005305039699</v>
      </c>
      <c r="G103">
        <v>1.2282679449062099</v>
      </c>
      <c r="H103">
        <v>2.7733454646562399E-2</v>
      </c>
      <c r="I103">
        <v>0.32929852101566998</v>
      </c>
      <c r="J103">
        <v>0.74</v>
      </c>
      <c r="L103">
        <v>1.2560013995527723</v>
      </c>
      <c r="M103">
        <v>1.2005344902596475</v>
      </c>
      <c r="N103">
        <v>1.2837348541993348</v>
      </c>
      <c r="O103">
        <v>1.1728010356130851</v>
      </c>
    </row>
    <row r="104" spans="1:15" x14ac:dyDescent="0.2">
      <c r="A104" s="14">
        <v>43727</v>
      </c>
      <c r="B104">
        <v>942</v>
      </c>
      <c r="C104">
        <v>939</v>
      </c>
      <c r="D104">
        <v>755</v>
      </c>
      <c r="E104">
        <v>753.2</v>
      </c>
      <c r="F104">
        <v>1.24668082846521</v>
      </c>
      <c r="G104">
        <v>1.2288357817961499</v>
      </c>
      <c r="H104">
        <v>2.8343899007088301E-2</v>
      </c>
      <c r="I104">
        <v>0.62959039843447995</v>
      </c>
      <c r="J104">
        <v>1.43</v>
      </c>
      <c r="L104">
        <v>1.2571796808032383</v>
      </c>
      <c r="M104">
        <v>1.2004918827890616</v>
      </c>
      <c r="N104">
        <v>1.2855235798103266</v>
      </c>
      <c r="O104">
        <v>1.1721479837819733</v>
      </c>
    </row>
    <row r="105" spans="1:15" x14ac:dyDescent="0.2">
      <c r="A105" s="14">
        <v>43726</v>
      </c>
      <c r="B105">
        <v>926</v>
      </c>
      <c r="C105">
        <v>932</v>
      </c>
      <c r="D105">
        <v>763.2</v>
      </c>
      <c r="E105">
        <v>753.8</v>
      </c>
      <c r="F105">
        <v>1.23640222870788</v>
      </c>
      <c r="G105">
        <v>1.2293140006165399</v>
      </c>
      <c r="H105">
        <v>2.89373043843437E-2</v>
      </c>
      <c r="I105">
        <v>0.24495122272601999</v>
      </c>
      <c r="J105">
        <v>0.56999999999999995</v>
      </c>
      <c r="L105">
        <v>1.2582513050008837</v>
      </c>
      <c r="M105">
        <v>1.2003766962321962</v>
      </c>
      <c r="N105">
        <v>1.2871886093852274</v>
      </c>
      <c r="O105">
        <v>1.1714393918478525</v>
      </c>
    </row>
    <row r="106" spans="1:15" x14ac:dyDescent="0.2">
      <c r="A106" s="14">
        <v>43725</v>
      </c>
      <c r="B106">
        <v>942</v>
      </c>
      <c r="C106">
        <v>941</v>
      </c>
      <c r="D106">
        <v>753.9</v>
      </c>
      <c r="E106">
        <v>766.7</v>
      </c>
      <c r="F106">
        <v>1.2273379418286099</v>
      </c>
      <c r="G106">
        <v>1.2296269987026001</v>
      </c>
      <c r="H106">
        <v>2.9138538158655101E-2</v>
      </c>
      <c r="I106">
        <v>-7.8557711492637503E-2</v>
      </c>
      <c r="J106">
        <v>-0.19</v>
      </c>
      <c r="L106">
        <v>1.2587655368612551</v>
      </c>
      <c r="M106">
        <v>1.200488460543945</v>
      </c>
      <c r="N106">
        <v>1.2879040750199102</v>
      </c>
      <c r="O106">
        <v>1.1713499223852899</v>
      </c>
    </row>
    <row r="107" spans="1:15" x14ac:dyDescent="0.2">
      <c r="A107" s="14">
        <v>43721</v>
      </c>
      <c r="B107">
        <v>935</v>
      </c>
      <c r="C107">
        <v>942</v>
      </c>
      <c r="D107">
        <v>754.7</v>
      </c>
      <c r="E107">
        <v>748.8</v>
      </c>
      <c r="F107">
        <v>1.25801282051282</v>
      </c>
      <c r="G107">
        <v>1.23029230932531</v>
      </c>
      <c r="H107">
        <v>2.9643949921397499E-2</v>
      </c>
      <c r="I107">
        <v>0.93511530214457295</v>
      </c>
      <c r="J107">
        <v>2.2000000000000002</v>
      </c>
      <c r="L107">
        <v>1.2599362592467074</v>
      </c>
      <c r="M107">
        <v>1.2006483594039126</v>
      </c>
      <c r="N107">
        <v>1.289580209168105</v>
      </c>
      <c r="O107">
        <v>1.1710044094825149</v>
      </c>
    </row>
    <row r="108" spans="1:15" x14ac:dyDescent="0.2">
      <c r="A108" s="14">
        <v>43720</v>
      </c>
      <c r="B108">
        <v>927</v>
      </c>
      <c r="C108">
        <v>929</v>
      </c>
      <c r="D108">
        <v>750</v>
      </c>
      <c r="E108">
        <v>747.5</v>
      </c>
      <c r="F108">
        <v>1.2428093645484899</v>
      </c>
      <c r="G108">
        <v>1.2306158145339301</v>
      </c>
      <c r="H108">
        <v>3.0073971176629601E-2</v>
      </c>
      <c r="I108">
        <v>0.40545194191151201</v>
      </c>
      <c r="J108">
        <v>0.98</v>
      </c>
      <c r="L108">
        <v>1.2606897857105597</v>
      </c>
      <c r="M108">
        <v>1.2005418433573005</v>
      </c>
      <c r="N108">
        <v>1.2907637568871893</v>
      </c>
      <c r="O108">
        <v>1.1704678721806709</v>
      </c>
    </row>
    <row r="109" spans="1:15" x14ac:dyDescent="0.2">
      <c r="A109" s="14">
        <v>43719</v>
      </c>
      <c r="B109">
        <v>933</v>
      </c>
      <c r="C109">
        <v>920</v>
      </c>
      <c r="D109">
        <v>733.9</v>
      </c>
      <c r="E109">
        <v>740.5</v>
      </c>
      <c r="F109">
        <v>1.2424037812288899</v>
      </c>
      <c r="G109">
        <v>1.2310691581249</v>
      </c>
      <c r="H109">
        <v>3.0507507080745101E-2</v>
      </c>
      <c r="I109">
        <v>0.37153553956397201</v>
      </c>
      <c r="J109">
        <v>0.91</v>
      </c>
      <c r="L109">
        <v>1.261576665205645</v>
      </c>
      <c r="M109">
        <v>1.200561651044155</v>
      </c>
      <c r="N109">
        <v>1.2920841722863903</v>
      </c>
      <c r="O109">
        <v>1.1700541439634098</v>
      </c>
    </row>
    <row r="110" spans="1:15" x14ac:dyDescent="0.2">
      <c r="A110" s="14">
        <v>43718</v>
      </c>
      <c r="B110">
        <v>885</v>
      </c>
      <c r="C110">
        <v>908</v>
      </c>
      <c r="D110">
        <v>711</v>
      </c>
      <c r="E110">
        <v>725.4</v>
      </c>
      <c r="F110">
        <v>1.25172318720705</v>
      </c>
      <c r="G110">
        <v>1.2313547485721299</v>
      </c>
      <c r="H110">
        <v>3.07118493306258E-2</v>
      </c>
      <c r="I110">
        <v>0.66321107581811001</v>
      </c>
      <c r="J110">
        <v>1.63</v>
      </c>
      <c r="L110">
        <v>1.2620665979027557</v>
      </c>
      <c r="M110">
        <v>1.2006428992415041</v>
      </c>
      <c r="N110">
        <v>1.2927784472333814</v>
      </c>
      <c r="O110">
        <v>1.1699310499108784</v>
      </c>
    </row>
    <row r="111" spans="1:15" x14ac:dyDescent="0.2">
      <c r="A111" s="14">
        <v>43717</v>
      </c>
      <c r="B111">
        <v>865</v>
      </c>
      <c r="C111">
        <v>870</v>
      </c>
      <c r="D111">
        <v>695.9</v>
      </c>
      <c r="E111">
        <v>701.4</v>
      </c>
      <c r="F111">
        <v>1.24037639007698</v>
      </c>
      <c r="G111">
        <v>1.23149059457348</v>
      </c>
      <c r="H111">
        <v>3.08239717956998E-2</v>
      </c>
      <c r="I111">
        <v>0.28827548774046702</v>
      </c>
      <c r="J111">
        <v>0.72</v>
      </c>
      <c r="L111">
        <v>1.2623145663691797</v>
      </c>
      <c r="M111">
        <v>1.2006666227777802</v>
      </c>
      <c r="N111">
        <v>1.2931385381648797</v>
      </c>
      <c r="O111">
        <v>1.1698426509820803</v>
      </c>
    </row>
    <row r="112" spans="1:15" x14ac:dyDescent="0.2">
      <c r="A112" s="14">
        <v>43714</v>
      </c>
      <c r="B112">
        <v>874</v>
      </c>
      <c r="C112">
        <v>867</v>
      </c>
      <c r="D112">
        <v>693.5</v>
      </c>
      <c r="E112">
        <v>695.7</v>
      </c>
      <c r="F112">
        <v>1.24622682190599</v>
      </c>
      <c r="G112">
        <v>1.2316427529585301</v>
      </c>
      <c r="H112">
        <v>3.08955432827435E-2</v>
      </c>
      <c r="I112">
        <v>0.47204442446577399</v>
      </c>
      <c r="J112">
        <v>1.17</v>
      </c>
      <c r="L112">
        <v>1.2625382962412737</v>
      </c>
      <c r="M112">
        <v>1.2007472096757865</v>
      </c>
      <c r="N112">
        <v>1.293433839524017</v>
      </c>
      <c r="O112">
        <v>1.1698516663930432</v>
      </c>
    </row>
    <row r="113" spans="1:15" x14ac:dyDescent="0.2">
      <c r="A113" s="14">
        <v>43713</v>
      </c>
      <c r="B113">
        <v>843</v>
      </c>
      <c r="C113">
        <v>866</v>
      </c>
      <c r="D113">
        <v>675.4</v>
      </c>
      <c r="E113">
        <v>685</v>
      </c>
      <c r="F113">
        <v>1.26423357664233</v>
      </c>
      <c r="G113">
        <v>1.23193020865127</v>
      </c>
      <c r="H113">
        <v>3.1129308045505202E-2</v>
      </c>
      <c r="I113">
        <v>1.03771558120847</v>
      </c>
      <c r="J113">
        <v>2.56</v>
      </c>
      <c r="L113">
        <v>1.2630595166967753</v>
      </c>
      <c r="M113">
        <v>1.2008009006057647</v>
      </c>
      <c r="N113">
        <v>1.2941888247422804</v>
      </c>
      <c r="O113">
        <v>1.1696715925602597</v>
      </c>
    </row>
    <row r="114" spans="1:15" x14ac:dyDescent="0.2">
      <c r="A114" s="14">
        <v>43712</v>
      </c>
      <c r="B114">
        <v>835</v>
      </c>
      <c r="C114">
        <v>833</v>
      </c>
      <c r="D114">
        <v>674.9</v>
      </c>
      <c r="E114">
        <v>670.3</v>
      </c>
      <c r="F114">
        <v>1.2427271371027899</v>
      </c>
      <c r="G114">
        <v>1.23201804585645</v>
      </c>
      <c r="H114">
        <v>3.1229467370377E-2</v>
      </c>
      <c r="I114">
        <v>0.34291623098563501</v>
      </c>
      <c r="J114">
        <v>0.86</v>
      </c>
      <c r="L114">
        <v>1.263247513226827</v>
      </c>
      <c r="M114">
        <v>1.200788578486073</v>
      </c>
      <c r="N114">
        <v>1.2944769805972041</v>
      </c>
      <c r="O114">
        <v>1.169559111115696</v>
      </c>
    </row>
    <row r="115" spans="1:15" x14ac:dyDescent="0.2">
      <c r="A115" s="14">
        <v>43711</v>
      </c>
      <c r="B115">
        <v>832</v>
      </c>
      <c r="C115">
        <v>844</v>
      </c>
      <c r="D115">
        <v>670.6</v>
      </c>
      <c r="E115">
        <v>677.3</v>
      </c>
      <c r="F115">
        <v>1.2461243171415901</v>
      </c>
      <c r="G115">
        <v>1.23279392346234</v>
      </c>
      <c r="H115">
        <v>3.2193857935668903E-2</v>
      </c>
      <c r="I115">
        <v>0.41406636340038999</v>
      </c>
      <c r="J115">
        <v>1.07</v>
      </c>
      <c r="L115">
        <v>1.2649877813980088</v>
      </c>
      <c r="M115">
        <v>1.2006000655266711</v>
      </c>
      <c r="N115">
        <v>1.2971816393336777</v>
      </c>
      <c r="O115">
        <v>1.1684062075910022</v>
      </c>
    </row>
    <row r="116" spans="1:15" x14ac:dyDescent="0.2">
      <c r="A116" s="14">
        <v>43710</v>
      </c>
      <c r="B116">
        <v>838</v>
      </c>
      <c r="C116">
        <v>830</v>
      </c>
      <c r="D116">
        <v>673.8</v>
      </c>
      <c r="E116">
        <v>671.7</v>
      </c>
      <c r="F116">
        <v>1.23567068631829</v>
      </c>
      <c r="G116">
        <v>1.23338687759206</v>
      </c>
      <c r="H116">
        <v>3.2837038738973201E-2</v>
      </c>
      <c r="I116">
        <v>6.9549777139959107E-2</v>
      </c>
      <c r="J116">
        <v>0.18</v>
      </c>
      <c r="L116">
        <v>1.2662239163310332</v>
      </c>
      <c r="M116">
        <v>1.2005498388530869</v>
      </c>
      <c r="N116">
        <v>1.2990609550700065</v>
      </c>
      <c r="O116">
        <v>1.1677128001141135</v>
      </c>
    </row>
    <row r="117" spans="1:15" x14ac:dyDescent="0.2">
      <c r="A117" s="14">
        <v>43707</v>
      </c>
      <c r="B117">
        <v>838</v>
      </c>
      <c r="C117">
        <v>836</v>
      </c>
      <c r="D117">
        <v>671.6</v>
      </c>
      <c r="E117">
        <v>678.1</v>
      </c>
      <c r="F117">
        <v>1.2328565108391001</v>
      </c>
      <c r="G117">
        <v>1.23428933172928</v>
      </c>
      <c r="H117">
        <v>3.3803261901416297E-2</v>
      </c>
      <c r="I117">
        <v>-4.2387059992946098E-2</v>
      </c>
      <c r="J117">
        <v>-0.12</v>
      </c>
      <c r="L117">
        <v>1.2680925936306964</v>
      </c>
      <c r="M117">
        <v>1.2004860698278637</v>
      </c>
      <c r="N117">
        <v>1.3018958555321125</v>
      </c>
      <c r="O117">
        <v>1.1666828079264475</v>
      </c>
    </row>
    <row r="118" spans="1:15" x14ac:dyDescent="0.2">
      <c r="A118" s="14">
        <v>43706</v>
      </c>
      <c r="B118">
        <v>826</v>
      </c>
      <c r="C118">
        <v>832</v>
      </c>
      <c r="D118">
        <v>666.3</v>
      </c>
      <c r="E118">
        <v>668.5</v>
      </c>
      <c r="F118">
        <v>1.2445774121166699</v>
      </c>
      <c r="G118">
        <v>1.2352614323325199</v>
      </c>
      <c r="H118">
        <v>3.4782226958637502E-2</v>
      </c>
      <c r="I118">
        <v>0.26783735829300698</v>
      </c>
      <c r="J118">
        <v>0.75</v>
      </c>
      <c r="L118">
        <v>1.2700436592911575</v>
      </c>
      <c r="M118">
        <v>1.2004792053738824</v>
      </c>
      <c r="N118">
        <v>1.304825886249795</v>
      </c>
      <c r="O118">
        <v>1.1656969784152449</v>
      </c>
    </row>
    <row r="119" spans="1:15" x14ac:dyDescent="0.2">
      <c r="A119" s="14">
        <v>43705</v>
      </c>
      <c r="B119">
        <v>824</v>
      </c>
      <c r="C119">
        <v>818</v>
      </c>
      <c r="D119">
        <v>666.6</v>
      </c>
      <c r="E119">
        <v>664.3</v>
      </c>
      <c r="F119">
        <v>1.2313713683576699</v>
      </c>
      <c r="G119">
        <v>1.2363955461702101</v>
      </c>
      <c r="H119">
        <v>3.6415847181374798E-2</v>
      </c>
      <c r="I119">
        <v>-0.137966797463801</v>
      </c>
      <c r="J119">
        <v>-0.41</v>
      </c>
      <c r="L119">
        <v>1.2728113933515848</v>
      </c>
      <c r="M119">
        <v>1.1999796989888354</v>
      </c>
      <c r="N119">
        <v>1.3092272405329597</v>
      </c>
      <c r="O119">
        <v>1.1635638518074605</v>
      </c>
    </row>
    <row r="120" spans="1:15" x14ac:dyDescent="0.2">
      <c r="A120" s="14">
        <v>43704</v>
      </c>
      <c r="B120">
        <v>820</v>
      </c>
      <c r="C120">
        <v>817</v>
      </c>
      <c r="D120">
        <v>671</v>
      </c>
      <c r="E120">
        <v>666.1</v>
      </c>
      <c r="F120">
        <v>1.226542561177</v>
      </c>
      <c r="G120">
        <v>1.23775253371274</v>
      </c>
      <c r="H120">
        <v>3.8062358789674899E-2</v>
      </c>
      <c r="I120">
        <v>-0.29451597042863897</v>
      </c>
      <c r="J120">
        <v>-0.91</v>
      </c>
      <c r="L120">
        <v>1.2758148925024149</v>
      </c>
      <c r="M120">
        <v>1.1996901749230651</v>
      </c>
      <c r="N120">
        <v>1.3138772512920898</v>
      </c>
      <c r="O120">
        <v>1.1616278161333902</v>
      </c>
    </row>
    <row r="121" spans="1:15" x14ac:dyDescent="0.2">
      <c r="A121" s="14">
        <v>43703</v>
      </c>
      <c r="B121">
        <v>798</v>
      </c>
      <c r="C121">
        <v>811</v>
      </c>
      <c r="D121">
        <v>659.4</v>
      </c>
      <c r="E121">
        <v>664.3</v>
      </c>
      <c r="F121">
        <v>1.2208339605599801</v>
      </c>
      <c r="G121">
        <v>1.2390855171478801</v>
      </c>
      <c r="H121">
        <v>3.9374411224481397E-2</v>
      </c>
      <c r="I121">
        <v>-0.46353852718803001</v>
      </c>
      <c r="J121">
        <v>-1.5</v>
      </c>
      <c r="L121">
        <v>1.2784599283723614</v>
      </c>
      <c r="M121">
        <v>1.1997111059233987</v>
      </c>
      <c r="N121">
        <v>1.3178343395968428</v>
      </c>
      <c r="O121">
        <v>1.1603366946989173</v>
      </c>
    </row>
    <row r="122" spans="1:15" x14ac:dyDescent="0.2">
      <c r="A122" s="14">
        <v>43700</v>
      </c>
      <c r="B122">
        <v>814</v>
      </c>
      <c r="C122">
        <v>824</v>
      </c>
      <c r="D122">
        <v>675.1</v>
      </c>
      <c r="E122">
        <v>674.9</v>
      </c>
      <c r="F122">
        <v>1.22092161801748</v>
      </c>
      <c r="G122">
        <v>1.24054235883879</v>
      </c>
      <c r="H122">
        <v>4.0672124272881097E-2</v>
      </c>
      <c r="I122">
        <v>-0.482412491899117</v>
      </c>
      <c r="J122">
        <v>-1.61</v>
      </c>
      <c r="L122">
        <v>1.2812144831116712</v>
      </c>
      <c r="M122">
        <v>1.1998702345659089</v>
      </c>
      <c r="N122">
        <v>1.3218866073845523</v>
      </c>
      <c r="O122">
        <v>1.1591981102930278</v>
      </c>
    </row>
    <row r="123" spans="1:15" x14ac:dyDescent="0.2">
      <c r="A123" s="14">
        <v>43699</v>
      </c>
      <c r="B123">
        <v>822</v>
      </c>
      <c r="C123">
        <v>819</v>
      </c>
      <c r="D123">
        <v>669.7</v>
      </c>
      <c r="E123">
        <v>681.2</v>
      </c>
      <c r="F123">
        <v>1.2022900763358699</v>
      </c>
      <c r="G123">
        <v>1.24150723273672</v>
      </c>
      <c r="H123">
        <v>4.1051811808917399E-2</v>
      </c>
      <c r="I123">
        <v>-0.95530878352924098</v>
      </c>
      <c r="J123">
        <v>-3.26</v>
      </c>
      <c r="L123">
        <v>1.2825590445456374</v>
      </c>
      <c r="M123">
        <v>1.2004554209278027</v>
      </c>
      <c r="N123">
        <v>1.3236108563545548</v>
      </c>
      <c r="O123">
        <v>1.1594036091188853</v>
      </c>
    </row>
    <row r="124" spans="1:15" x14ac:dyDescent="0.2">
      <c r="A124" s="14">
        <v>43698</v>
      </c>
      <c r="B124">
        <v>836</v>
      </c>
      <c r="C124">
        <v>826</v>
      </c>
      <c r="D124">
        <v>670.1</v>
      </c>
      <c r="E124">
        <v>674.9</v>
      </c>
      <c r="F124">
        <v>1.2238850200029601</v>
      </c>
      <c r="G124">
        <v>1.2427049686465099</v>
      </c>
      <c r="H124">
        <v>4.1200314764603299E-2</v>
      </c>
      <c r="I124">
        <v>-0.45679138014052401</v>
      </c>
      <c r="J124">
        <v>-1.54</v>
      </c>
      <c r="L124">
        <v>1.2839052834111133</v>
      </c>
      <c r="M124">
        <v>1.2015046538819065</v>
      </c>
      <c r="N124">
        <v>1.3251055981757165</v>
      </c>
      <c r="O124">
        <v>1.1603043391173034</v>
      </c>
    </row>
    <row r="125" spans="1:15" x14ac:dyDescent="0.2">
      <c r="A125" s="14">
        <v>43697</v>
      </c>
      <c r="B125">
        <v>845</v>
      </c>
      <c r="C125">
        <v>851</v>
      </c>
      <c r="D125">
        <v>674.5</v>
      </c>
      <c r="E125">
        <v>679.8</v>
      </c>
      <c r="F125">
        <v>1.25183877611062</v>
      </c>
      <c r="G125">
        <v>1.2439608110243301</v>
      </c>
      <c r="H125">
        <v>4.2034563449141499E-2</v>
      </c>
      <c r="I125">
        <v>0.18741636500679101</v>
      </c>
      <c r="J125">
        <v>0.63</v>
      </c>
      <c r="L125">
        <v>1.2859953744734716</v>
      </c>
      <c r="M125">
        <v>1.2019262475751886</v>
      </c>
      <c r="N125">
        <v>1.328029937922613</v>
      </c>
      <c r="O125">
        <v>1.1598916841260472</v>
      </c>
    </row>
    <row r="126" spans="1:15" x14ac:dyDescent="0.2">
      <c r="A126" s="14">
        <v>43696</v>
      </c>
      <c r="B126">
        <v>827</v>
      </c>
      <c r="C126">
        <v>843</v>
      </c>
      <c r="D126">
        <v>665.9</v>
      </c>
      <c r="E126">
        <v>675.5</v>
      </c>
      <c r="F126">
        <v>1.24796447076239</v>
      </c>
      <c r="G126">
        <v>1.24412091972285</v>
      </c>
      <c r="H126">
        <v>4.20871020704566E-2</v>
      </c>
      <c r="I126">
        <v>9.13237274714261E-2</v>
      </c>
      <c r="J126">
        <v>0.31</v>
      </c>
      <c r="L126">
        <v>1.2862080217933065</v>
      </c>
      <c r="M126">
        <v>1.2020338176523935</v>
      </c>
      <c r="N126">
        <v>1.3282951238637632</v>
      </c>
      <c r="O126">
        <v>1.1599467155819367</v>
      </c>
    </row>
    <row r="127" spans="1:15" x14ac:dyDescent="0.2">
      <c r="A127" s="14">
        <v>43693</v>
      </c>
      <c r="B127">
        <v>812</v>
      </c>
      <c r="C127">
        <v>821</v>
      </c>
      <c r="D127">
        <v>656.3</v>
      </c>
      <c r="E127">
        <v>660.5</v>
      </c>
      <c r="F127">
        <v>1.24299772899318</v>
      </c>
      <c r="G127">
        <v>1.2447275686894099</v>
      </c>
      <c r="H127">
        <v>4.2464352495944303E-2</v>
      </c>
      <c r="I127">
        <v>-4.0736278656160099E-2</v>
      </c>
      <c r="J127">
        <v>-0.14000000000000001</v>
      </c>
      <c r="L127">
        <v>1.2871919211853542</v>
      </c>
      <c r="M127">
        <v>1.2022632161934657</v>
      </c>
      <c r="N127">
        <v>1.3296562736812985</v>
      </c>
      <c r="O127">
        <v>1.1597988636975214</v>
      </c>
    </row>
    <row r="128" spans="1:15" x14ac:dyDescent="0.2">
      <c r="A128" s="14">
        <v>43692</v>
      </c>
      <c r="B128">
        <v>805</v>
      </c>
      <c r="C128">
        <v>817</v>
      </c>
      <c r="D128">
        <v>641.29999999999995</v>
      </c>
      <c r="E128">
        <v>656.5</v>
      </c>
      <c r="F128">
        <v>1.2444782939832399</v>
      </c>
      <c r="G128">
        <v>1.24545342778501</v>
      </c>
      <c r="H128">
        <v>4.28917064094924E-2</v>
      </c>
      <c r="I128">
        <v>-2.27347868247612E-2</v>
      </c>
      <c r="J128">
        <v>-0.08</v>
      </c>
      <c r="L128">
        <v>1.2883451341945025</v>
      </c>
      <c r="M128">
        <v>1.2025617213755175</v>
      </c>
      <c r="N128">
        <v>1.3312368406039947</v>
      </c>
      <c r="O128">
        <v>1.1596700149660253</v>
      </c>
    </row>
    <row r="129" spans="1:15" x14ac:dyDescent="0.2">
      <c r="A129" s="14">
        <v>43691</v>
      </c>
      <c r="B129">
        <v>815</v>
      </c>
      <c r="C129">
        <v>820</v>
      </c>
      <c r="D129">
        <v>650.5</v>
      </c>
      <c r="E129">
        <v>656.5</v>
      </c>
      <c r="F129">
        <v>1.2490479817212401</v>
      </c>
      <c r="G129">
        <v>1.2462849094248001</v>
      </c>
      <c r="H129">
        <v>4.3465361313282998E-2</v>
      </c>
      <c r="I129">
        <v>6.3569523246939E-2</v>
      </c>
      <c r="J129">
        <v>0.22</v>
      </c>
      <c r="L129">
        <v>1.289750270738083</v>
      </c>
      <c r="M129">
        <v>1.2028195481115171</v>
      </c>
      <c r="N129">
        <v>1.3332156320513662</v>
      </c>
      <c r="O129">
        <v>1.159354186798234</v>
      </c>
    </row>
    <row r="130" spans="1:15" x14ac:dyDescent="0.2">
      <c r="A130" s="14">
        <v>43690</v>
      </c>
      <c r="B130">
        <v>811</v>
      </c>
      <c r="C130">
        <v>800</v>
      </c>
      <c r="D130">
        <v>650</v>
      </c>
      <c r="E130">
        <v>640.5</v>
      </c>
      <c r="F130">
        <v>1.24902419984387</v>
      </c>
      <c r="G130">
        <v>1.2472362448060601</v>
      </c>
      <c r="H130">
        <v>4.4288460545973803E-2</v>
      </c>
      <c r="I130">
        <v>4.0370674793497402E-2</v>
      </c>
      <c r="J130">
        <v>0.14000000000000001</v>
      </c>
      <c r="L130">
        <v>1.291524705352034</v>
      </c>
      <c r="M130">
        <v>1.2029477842600862</v>
      </c>
      <c r="N130">
        <v>1.3358131658980077</v>
      </c>
      <c r="O130">
        <v>1.1586593237141125</v>
      </c>
    </row>
    <row r="131" spans="1:15" x14ac:dyDescent="0.2">
      <c r="A131" s="14">
        <v>43686</v>
      </c>
      <c r="B131">
        <v>811</v>
      </c>
      <c r="C131">
        <v>816</v>
      </c>
      <c r="D131">
        <v>658.9</v>
      </c>
      <c r="E131">
        <v>657.5</v>
      </c>
      <c r="F131">
        <v>1.24106463878327</v>
      </c>
      <c r="G131">
        <v>1.2476278521431601</v>
      </c>
      <c r="H131">
        <v>4.4432155662688502E-2</v>
      </c>
      <c r="I131">
        <v>-0.14771314292556401</v>
      </c>
      <c r="J131">
        <v>-0.53</v>
      </c>
      <c r="L131">
        <v>1.2920600078058486</v>
      </c>
      <c r="M131">
        <v>1.2031956964804715</v>
      </c>
      <c r="N131">
        <v>1.3364921634685372</v>
      </c>
      <c r="O131">
        <v>1.158763540817783</v>
      </c>
    </row>
    <row r="132" spans="1:15" x14ac:dyDescent="0.2">
      <c r="A132" s="14">
        <v>43685</v>
      </c>
      <c r="B132">
        <v>799</v>
      </c>
      <c r="C132">
        <v>811</v>
      </c>
      <c r="D132">
        <v>659.3</v>
      </c>
      <c r="E132">
        <v>654.29999999999995</v>
      </c>
      <c r="F132">
        <v>1.23949258749808</v>
      </c>
      <c r="G132">
        <v>1.2478176293685901</v>
      </c>
      <c r="H132">
        <v>4.4434114138151903E-2</v>
      </c>
      <c r="I132" s="15">
        <v>-0.18735698982590801</v>
      </c>
      <c r="J132">
        <v>-0.67</v>
      </c>
      <c r="L132">
        <v>1.292251743506742</v>
      </c>
      <c r="M132">
        <v>1.2033835152304382</v>
      </c>
      <c r="N132">
        <v>1.3366858576448939</v>
      </c>
      <c r="O132">
        <v>1.1589494010922863</v>
      </c>
    </row>
    <row r="133" spans="1:15" x14ac:dyDescent="0.2">
      <c r="A133" s="14">
        <v>43684</v>
      </c>
      <c r="B133">
        <v>850</v>
      </c>
      <c r="C133">
        <v>818</v>
      </c>
      <c r="D133">
        <v>673.9</v>
      </c>
      <c r="E133">
        <v>664</v>
      </c>
      <c r="F133">
        <v>1.2319277108433699</v>
      </c>
      <c r="G133">
        <v>1.2478506618207901</v>
      </c>
      <c r="H133">
        <v>4.4428833551213701E-2</v>
      </c>
      <c r="I133" s="15">
        <v>-0.35839228052361699</v>
      </c>
      <c r="J133">
        <v>-1.29</v>
      </c>
      <c r="L133">
        <v>1.2922794953720038</v>
      </c>
      <c r="M133">
        <v>1.2034218282695763</v>
      </c>
      <c r="N133">
        <v>1.3367083289232176</v>
      </c>
      <c r="O133">
        <v>1.1589929947183626</v>
      </c>
    </row>
    <row r="134" spans="1:15" x14ac:dyDescent="0.2">
      <c r="A134" s="14">
        <v>43683</v>
      </c>
      <c r="B134">
        <v>839</v>
      </c>
      <c r="C134">
        <v>864</v>
      </c>
      <c r="D134">
        <v>654</v>
      </c>
      <c r="E134">
        <v>677.3</v>
      </c>
      <c r="F134">
        <v>1.2756533293961301</v>
      </c>
      <c r="G134">
        <v>1.2480770841497699</v>
      </c>
      <c r="H134">
        <v>4.4390363714333997E-2</v>
      </c>
      <c r="I134">
        <v>0.62122143048477296</v>
      </c>
      <c r="J134">
        <v>2.16</v>
      </c>
      <c r="L134">
        <v>1.2924674478641038</v>
      </c>
      <c r="M134">
        <v>1.203686720435436</v>
      </c>
      <c r="N134">
        <v>1.336857811578438</v>
      </c>
      <c r="O134">
        <v>1.1592963567211019</v>
      </c>
    </row>
    <row r="135" spans="1:15" x14ac:dyDescent="0.2">
      <c r="A135" s="14">
        <v>43682</v>
      </c>
      <c r="B135">
        <v>856</v>
      </c>
      <c r="C135">
        <v>875</v>
      </c>
      <c r="D135">
        <v>678</v>
      </c>
      <c r="E135">
        <v>672.7</v>
      </c>
      <c r="F135">
        <v>1.30072840790842</v>
      </c>
      <c r="G135">
        <v>1.2477096203373801</v>
      </c>
      <c r="H135">
        <v>4.4274485210156901E-2</v>
      </c>
      <c r="I135">
        <v>1.1975020673730401</v>
      </c>
      <c r="J135">
        <v>4.08</v>
      </c>
      <c r="L135">
        <v>1.291984105547537</v>
      </c>
      <c r="M135">
        <v>1.2034351351272232</v>
      </c>
      <c r="N135">
        <v>1.3362585907576938</v>
      </c>
      <c r="O135">
        <v>1.1591606499170664</v>
      </c>
    </row>
    <row r="136" spans="1:15" x14ac:dyDescent="0.2">
      <c r="A136" s="14">
        <v>43679</v>
      </c>
      <c r="B136">
        <v>855</v>
      </c>
      <c r="C136">
        <v>855</v>
      </c>
      <c r="D136">
        <v>697.3</v>
      </c>
      <c r="E136">
        <v>687.2</v>
      </c>
      <c r="F136">
        <v>1.2441792782304999</v>
      </c>
      <c r="G136">
        <v>1.24713130586134</v>
      </c>
      <c r="H136">
        <v>4.3859504109965697E-2</v>
      </c>
      <c r="I136">
        <v>-6.7306452518089199E-2</v>
      </c>
      <c r="J136">
        <v>-0.24</v>
      </c>
      <c r="L136">
        <v>1.2909908099713057</v>
      </c>
      <c r="M136">
        <v>1.2032718017513744</v>
      </c>
      <c r="N136">
        <v>1.3348503140812715</v>
      </c>
      <c r="O136">
        <v>1.1594122976414085</v>
      </c>
    </row>
    <row r="137" spans="1:15" x14ac:dyDescent="0.2">
      <c r="A137" s="14">
        <v>43678</v>
      </c>
      <c r="B137">
        <v>862</v>
      </c>
      <c r="C137">
        <v>885</v>
      </c>
      <c r="D137">
        <v>703</v>
      </c>
      <c r="E137">
        <v>711</v>
      </c>
      <c r="F137">
        <v>1.2447257383966199</v>
      </c>
      <c r="G137">
        <v>1.24703779113457</v>
      </c>
      <c r="H137">
        <v>4.3873173434249998E-2</v>
      </c>
      <c r="I137">
        <v>-5.2698552599972498E-2</v>
      </c>
      <c r="J137">
        <v>-0.19</v>
      </c>
      <c r="L137">
        <v>1.2909109645688199</v>
      </c>
      <c r="M137">
        <v>1.2031646177003201</v>
      </c>
      <c r="N137">
        <v>1.3347841380030701</v>
      </c>
      <c r="O137">
        <v>1.15929144426607</v>
      </c>
    </row>
    <row r="138" spans="1:15" x14ac:dyDescent="0.2">
      <c r="A138" s="14">
        <v>43677</v>
      </c>
      <c r="B138">
        <v>867</v>
      </c>
      <c r="C138">
        <v>877</v>
      </c>
      <c r="D138">
        <v>711</v>
      </c>
      <c r="E138">
        <v>710</v>
      </c>
      <c r="F138">
        <v>1.2352112676056299</v>
      </c>
      <c r="G138">
        <v>1.2468037196597299</v>
      </c>
      <c r="H138">
        <v>4.3931675794069001E-2</v>
      </c>
      <c r="I138">
        <v>-0.26387456987616897</v>
      </c>
      <c r="J138">
        <v>-0.94</v>
      </c>
      <c r="L138">
        <v>1.290735395453799</v>
      </c>
      <c r="M138">
        <v>1.2028720438656608</v>
      </c>
      <c r="N138">
        <v>1.3346670712478679</v>
      </c>
      <c r="O138">
        <v>1.158940368071592</v>
      </c>
    </row>
    <row r="139" spans="1:15" x14ac:dyDescent="0.2">
      <c r="A139" s="14">
        <v>43676</v>
      </c>
      <c r="B139">
        <v>843</v>
      </c>
      <c r="C139">
        <v>841</v>
      </c>
      <c r="D139">
        <v>718.4</v>
      </c>
      <c r="E139">
        <v>717.7</v>
      </c>
      <c r="F139">
        <v>1.1717988017277401</v>
      </c>
      <c r="G139">
        <v>1.2464612674773401</v>
      </c>
      <c r="H139">
        <v>4.41204045525442E-2</v>
      </c>
      <c r="I139">
        <v>-1.69224345304184</v>
      </c>
      <c r="J139">
        <v>-6.37</v>
      </c>
      <c r="L139">
        <v>1.2905816720298844</v>
      </c>
      <c r="M139">
        <v>1.2023408629247958</v>
      </c>
      <c r="N139">
        <v>1.3347020765824285</v>
      </c>
      <c r="O139">
        <v>1.1582204583722517</v>
      </c>
    </row>
    <row r="140" spans="1:15" x14ac:dyDescent="0.2">
      <c r="A140" s="14">
        <v>43675</v>
      </c>
      <c r="B140">
        <v>845</v>
      </c>
      <c r="C140">
        <v>843</v>
      </c>
      <c r="D140">
        <v>713.6</v>
      </c>
      <c r="E140">
        <v>713.5</v>
      </c>
      <c r="F140">
        <v>1.18149964961457</v>
      </c>
      <c r="G140">
        <v>1.24719230713917</v>
      </c>
      <c r="H140">
        <v>4.33242963647959E-2</v>
      </c>
      <c r="I140">
        <v>-1.5163006219756101</v>
      </c>
      <c r="J140">
        <v>-5.56</v>
      </c>
      <c r="L140">
        <v>1.2905166035039659</v>
      </c>
      <c r="M140">
        <v>1.203868010774374</v>
      </c>
      <c r="N140">
        <v>1.3338408998687616</v>
      </c>
      <c r="O140">
        <v>1.1605437144095783</v>
      </c>
    </row>
    <row r="141" spans="1:15" x14ac:dyDescent="0.2">
      <c r="A141" s="14">
        <v>43672</v>
      </c>
      <c r="B141">
        <v>869</v>
      </c>
      <c r="C141">
        <v>852</v>
      </c>
      <c r="D141">
        <v>714.6</v>
      </c>
      <c r="E141">
        <v>714.3</v>
      </c>
      <c r="F141">
        <v>1.1927761444771099</v>
      </c>
      <c r="G141">
        <v>1.2478388944616801</v>
      </c>
      <c r="H141">
        <v>4.2696371493214397E-2</v>
      </c>
      <c r="I141">
        <v>-1.28963534977021</v>
      </c>
      <c r="J141">
        <v>-4.62</v>
      </c>
      <c r="L141">
        <v>1.2905352659548945</v>
      </c>
      <c r="M141">
        <v>1.2051425229684656</v>
      </c>
      <c r="N141">
        <v>1.3332316374481088</v>
      </c>
      <c r="O141">
        <v>1.1624461514752513</v>
      </c>
    </row>
    <row r="142" spans="1:15" x14ac:dyDescent="0.2">
      <c r="A142" s="14">
        <v>43671</v>
      </c>
      <c r="B142">
        <v>868</v>
      </c>
      <c r="C142">
        <v>867</v>
      </c>
      <c r="D142">
        <v>722.6</v>
      </c>
      <c r="E142">
        <v>722.6</v>
      </c>
      <c r="F142">
        <v>1.1998339330196499</v>
      </c>
      <c r="G142">
        <v>1.2483638742312599</v>
      </c>
      <c r="H142">
        <v>4.2255900856738103E-2</v>
      </c>
      <c r="I142">
        <v>-1.14847725945176</v>
      </c>
      <c r="J142">
        <v>-4.04</v>
      </c>
      <c r="L142">
        <v>1.290619775087998</v>
      </c>
      <c r="M142">
        <v>1.2061079733745219</v>
      </c>
      <c r="N142">
        <v>1.3328756759447362</v>
      </c>
      <c r="O142">
        <v>1.1638520725177837</v>
      </c>
    </row>
    <row r="143" spans="1:15" x14ac:dyDescent="0.2">
      <c r="A143" s="14">
        <v>43670</v>
      </c>
      <c r="B143">
        <v>871</v>
      </c>
      <c r="C143">
        <v>870</v>
      </c>
      <c r="D143">
        <v>726.8</v>
      </c>
      <c r="E143">
        <v>725.4</v>
      </c>
      <c r="F143">
        <v>1.1993382961124801</v>
      </c>
      <c r="G143">
        <v>1.24886251338105</v>
      </c>
      <c r="H143">
        <v>4.1899435963866603E-2</v>
      </c>
      <c r="I143">
        <v>-1.18197813715865</v>
      </c>
      <c r="J143">
        <v>-4.13</v>
      </c>
      <c r="L143">
        <v>1.2907619493449167</v>
      </c>
      <c r="M143">
        <v>1.2069630774171833</v>
      </c>
      <c r="N143">
        <v>1.3326613853087832</v>
      </c>
      <c r="O143">
        <v>1.1650636414533169</v>
      </c>
    </row>
    <row r="144" spans="1:15" x14ac:dyDescent="0.2">
      <c r="A144" s="14">
        <v>43669</v>
      </c>
      <c r="B144">
        <v>860</v>
      </c>
      <c r="C144">
        <v>871</v>
      </c>
      <c r="D144">
        <v>715.4</v>
      </c>
      <c r="E144">
        <v>721</v>
      </c>
      <c r="F144">
        <v>1.20804438280166</v>
      </c>
      <c r="G144">
        <v>1.24889357516956</v>
      </c>
      <c r="H144">
        <v>4.1863558261729397E-2</v>
      </c>
      <c r="I144">
        <v>-0.97576971628904696</v>
      </c>
      <c r="J144">
        <v>-3.38</v>
      </c>
      <c r="L144">
        <v>1.2907571334312895</v>
      </c>
      <c r="M144">
        <v>1.2070300169078305</v>
      </c>
      <c r="N144">
        <v>1.3326206916930188</v>
      </c>
      <c r="O144">
        <v>1.1651664586461012</v>
      </c>
    </row>
    <row r="145" spans="1:15" x14ac:dyDescent="0.2">
      <c r="A145" s="14">
        <v>43668</v>
      </c>
      <c r="B145">
        <v>867</v>
      </c>
      <c r="C145">
        <v>866</v>
      </c>
      <c r="D145">
        <v>715.9</v>
      </c>
      <c r="E145">
        <v>714.6</v>
      </c>
      <c r="F145">
        <v>1.2118667786174</v>
      </c>
      <c r="G145">
        <v>1.2490303254468</v>
      </c>
      <c r="H145">
        <v>4.1746485849787497E-2</v>
      </c>
      <c r="I145">
        <v>-0.89021976515861001</v>
      </c>
      <c r="J145">
        <v>-3.07</v>
      </c>
      <c r="L145">
        <v>1.2907768112965876</v>
      </c>
      <c r="M145">
        <v>1.2072838395970125</v>
      </c>
      <c r="N145">
        <v>1.332523297146375</v>
      </c>
      <c r="O145">
        <v>1.1655373537472251</v>
      </c>
    </row>
    <row r="146" spans="1:15" x14ac:dyDescent="0.2">
      <c r="A146" s="14">
        <v>43665</v>
      </c>
      <c r="B146">
        <v>852</v>
      </c>
      <c r="C146">
        <v>861</v>
      </c>
      <c r="D146">
        <v>698.4</v>
      </c>
      <c r="E146">
        <v>713.7</v>
      </c>
      <c r="F146">
        <v>1.20638923917612</v>
      </c>
      <c r="G146">
        <v>1.2489925700262801</v>
      </c>
      <c r="H146">
        <v>4.1781345315763101E-2</v>
      </c>
      <c r="I146">
        <v>-1.0196735056802499</v>
      </c>
      <c r="J146">
        <v>-3.53</v>
      </c>
      <c r="L146">
        <v>1.2907739153420432</v>
      </c>
      <c r="M146">
        <v>1.2072112247105169</v>
      </c>
      <c r="N146">
        <v>1.3325552606578062</v>
      </c>
      <c r="O146">
        <v>1.165429879394754</v>
      </c>
    </row>
    <row r="147" spans="1:15" x14ac:dyDescent="0.2">
      <c r="A147" s="14">
        <v>43664</v>
      </c>
      <c r="B147">
        <v>852</v>
      </c>
      <c r="C147">
        <v>851</v>
      </c>
      <c r="D147">
        <v>710</v>
      </c>
      <c r="E147">
        <v>699.7</v>
      </c>
      <c r="F147">
        <v>1.2162355295126399</v>
      </c>
      <c r="G147">
        <v>1.2489584983814599</v>
      </c>
      <c r="H147">
        <v>4.1817099999943597E-2</v>
      </c>
      <c r="I147">
        <v>-0.78252602090683399</v>
      </c>
      <c r="J147">
        <v>-2.69</v>
      </c>
      <c r="L147">
        <v>1.2907755983814035</v>
      </c>
      <c r="M147">
        <v>1.2071413983815162</v>
      </c>
      <c r="N147">
        <v>1.332592698381347</v>
      </c>
      <c r="O147">
        <v>1.1653242983815728</v>
      </c>
    </row>
    <row r="148" spans="1:15" x14ac:dyDescent="0.2">
      <c r="A148" s="14">
        <v>43663</v>
      </c>
      <c r="B148">
        <v>856</v>
      </c>
      <c r="C148">
        <v>858</v>
      </c>
      <c r="D148">
        <v>721</v>
      </c>
      <c r="E148">
        <v>718.5</v>
      </c>
      <c r="F148">
        <v>1.19415448851774</v>
      </c>
      <c r="G148">
        <v>1.2486426457726401</v>
      </c>
      <c r="H148">
        <v>4.2151198974567601E-2</v>
      </c>
      <c r="I148">
        <v>-1.29268344864341</v>
      </c>
      <c r="J148">
        <v>-4.5599999999999996</v>
      </c>
      <c r="L148">
        <v>1.2907938447472076</v>
      </c>
      <c r="M148">
        <v>1.2064914467980725</v>
      </c>
      <c r="N148">
        <v>1.3329450437217754</v>
      </c>
      <c r="O148">
        <v>1.1643402478235048</v>
      </c>
    </row>
    <row r="149" spans="1:15" x14ac:dyDescent="0.2">
      <c r="A149" s="14">
        <v>43662</v>
      </c>
      <c r="B149">
        <v>859</v>
      </c>
      <c r="C149">
        <v>856</v>
      </c>
      <c r="D149">
        <v>728.7</v>
      </c>
      <c r="E149">
        <v>722</v>
      </c>
      <c r="F149">
        <v>1.18559556786703</v>
      </c>
      <c r="G149">
        <v>1.2486954607241401</v>
      </c>
      <c r="H149">
        <v>4.2085323014580199E-2</v>
      </c>
      <c r="I149">
        <v>-1.4993325068515799</v>
      </c>
      <c r="J149">
        <v>-5.32</v>
      </c>
      <c r="L149">
        <v>1.2907807837387202</v>
      </c>
      <c r="M149">
        <v>1.2066101377095599</v>
      </c>
      <c r="N149">
        <v>1.3328661067533005</v>
      </c>
      <c r="O149">
        <v>1.1645248146949796</v>
      </c>
    </row>
    <row r="150" spans="1:15" x14ac:dyDescent="0.2">
      <c r="A150" s="14">
        <v>43658</v>
      </c>
      <c r="B150">
        <v>869</v>
      </c>
      <c r="C150">
        <v>863</v>
      </c>
      <c r="D150">
        <v>727.8</v>
      </c>
      <c r="E150">
        <v>730</v>
      </c>
      <c r="F150">
        <v>1.18219178082191</v>
      </c>
      <c r="G150">
        <v>1.2488365622976401</v>
      </c>
      <c r="H150">
        <v>4.1890819272267003E-2</v>
      </c>
      <c r="I150">
        <v>-1.59091616333803</v>
      </c>
      <c r="J150">
        <v>-5.64</v>
      </c>
      <c r="L150">
        <v>1.290727381569907</v>
      </c>
      <c r="M150">
        <v>1.2069457430253732</v>
      </c>
      <c r="N150">
        <v>1.3326182008421741</v>
      </c>
      <c r="O150">
        <v>1.165054923753106</v>
      </c>
    </row>
    <row r="151" spans="1:15" x14ac:dyDescent="0.2">
      <c r="A151" s="14">
        <v>43657</v>
      </c>
      <c r="B151">
        <v>857</v>
      </c>
      <c r="C151">
        <v>859</v>
      </c>
      <c r="D151">
        <v>721</v>
      </c>
      <c r="E151">
        <v>722.1</v>
      </c>
      <c r="F151">
        <v>1.1895859299266001</v>
      </c>
      <c r="G151">
        <v>1.2491372489860399</v>
      </c>
      <c r="H151">
        <v>4.1490394862884E-2</v>
      </c>
      <c r="I151">
        <v>-1.43530374334219</v>
      </c>
      <c r="J151">
        <v>-5.01</v>
      </c>
      <c r="L151">
        <v>1.2906276438489239</v>
      </c>
      <c r="M151">
        <v>1.207646854123156</v>
      </c>
      <c r="N151">
        <v>1.3321180387118079</v>
      </c>
      <c r="O151">
        <v>1.166156459260272</v>
      </c>
    </row>
    <row r="152" spans="1:15" x14ac:dyDescent="0.2">
      <c r="A152" s="14">
        <v>43656</v>
      </c>
      <c r="B152">
        <v>848</v>
      </c>
      <c r="C152">
        <v>860</v>
      </c>
      <c r="D152">
        <v>724.9</v>
      </c>
      <c r="E152">
        <v>725.8</v>
      </c>
      <c r="F152">
        <v>1.18489942132818</v>
      </c>
      <c r="G152">
        <v>1.2493759631441499</v>
      </c>
      <c r="H152">
        <v>4.1197551251719998E-2</v>
      </c>
      <c r="I152">
        <v>-1.5650576273819099</v>
      </c>
      <c r="J152">
        <v>-5.44</v>
      </c>
      <c r="L152">
        <v>1.2905735143958699</v>
      </c>
      <c r="M152">
        <v>1.2081784118924299</v>
      </c>
      <c r="N152">
        <v>1.3317710656475898</v>
      </c>
      <c r="O152">
        <v>1.1669808606407099</v>
      </c>
    </row>
    <row r="153" spans="1:15" x14ac:dyDescent="0.2">
      <c r="A153" s="14">
        <v>43655</v>
      </c>
      <c r="B153">
        <v>852</v>
      </c>
      <c r="C153">
        <v>850</v>
      </c>
      <c r="D153">
        <v>737.9</v>
      </c>
      <c r="E153">
        <v>733.8</v>
      </c>
      <c r="F153">
        <v>1.1583537748705299</v>
      </c>
      <c r="G153">
        <v>1.2497456604102199</v>
      </c>
      <c r="H153">
        <v>4.0739153841723399E-2</v>
      </c>
      <c r="I153">
        <v>-2.2433427531351802</v>
      </c>
      <c r="J153">
        <v>-7.89</v>
      </c>
      <c r="L153">
        <v>1.2904848142519434</v>
      </c>
      <c r="M153">
        <v>1.2090065065684965</v>
      </c>
      <c r="N153">
        <v>1.3312239680936668</v>
      </c>
      <c r="O153">
        <v>1.1682673527267731</v>
      </c>
    </row>
    <row r="154" spans="1:15" x14ac:dyDescent="0.2">
      <c r="A154" s="14">
        <v>43654</v>
      </c>
      <c r="B154">
        <v>864</v>
      </c>
      <c r="C154">
        <v>855</v>
      </c>
      <c r="D154">
        <v>736.2</v>
      </c>
      <c r="E154">
        <v>734.9</v>
      </c>
      <c r="F154">
        <v>1.16342359504694</v>
      </c>
      <c r="G154">
        <v>1.2505377371157</v>
      </c>
      <c r="H154">
        <v>3.9513623170660497E-2</v>
      </c>
      <c r="I154">
        <v>-2.2046609518066802</v>
      </c>
      <c r="J154">
        <v>-7.49</v>
      </c>
      <c r="L154">
        <v>1.2900513602863606</v>
      </c>
      <c r="M154">
        <v>1.2110241139450395</v>
      </c>
      <c r="N154">
        <v>1.3295649834570211</v>
      </c>
      <c r="O154">
        <v>1.171510490774379</v>
      </c>
    </row>
    <row r="155" spans="1:15" x14ac:dyDescent="0.2">
      <c r="A155" s="14">
        <v>43651</v>
      </c>
      <c r="B155">
        <v>868</v>
      </c>
      <c r="C155">
        <v>868</v>
      </c>
      <c r="D155">
        <v>737.3</v>
      </c>
      <c r="E155">
        <v>734.8</v>
      </c>
      <c r="F155">
        <v>1.1812738160043501</v>
      </c>
      <c r="G155">
        <v>1.2510417970833201</v>
      </c>
      <c r="H155">
        <v>3.8630384028412901E-2</v>
      </c>
      <c r="I155">
        <v>-1.8060390242990301</v>
      </c>
      <c r="J155">
        <v>-5.91</v>
      </c>
      <c r="L155">
        <v>1.2896721811117331</v>
      </c>
      <c r="M155">
        <v>1.2124114130549071</v>
      </c>
      <c r="N155">
        <v>1.3283025651401459</v>
      </c>
      <c r="O155">
        <v>1.1737810290264943</v>
      </c>
    </row>
    <row r="156" spans="1:15" x14ac:dyDescent="0.2">
      <c r="A156" s="14">
        <v>43650</v>
      </c>
      <c r="B156">
        <v>883</v>
      </c>
      <c r="C156">
        <v>877</v>
      </c>
      <c r="D156">
        <v>739.3</v>
      </c>
      <c r="E156">
        <v>737.2</v>
      </c>
      <c r="F156">
        <v>1.18963646228974</v>
      </c>
      <c r="G156">
        <v>1.2514156701108099</v>
      </c>
      <c r="H156">
        <v>3.8085189176082702E-2</v>
      </c>
      <c r="I156">
        <v>-1.6221320980037099</v>
      </c>
      <c r="J156">
        <v>-5.19</v>
      </c>
      <c r="L156">
        <v>1.2895008592868926</v>
      </c>
      <c r="M156">
        <v>1.2133304809347272</v>
      </c>
      <c r="N156">
        <v>1.3275860484629753</v>
      </c>
      <c r="O156">
        <v>1.1752452917586445</v>
      </c>
    </row>
    <row r="157" spans="1:15" x14ac:dyDescent="0.2">
      <c r="A157" s="14">
        <v>43649</v>
      </c>
      <c r="B157">
        <v>896</v>
      </c>
      <c r="C157">
        <v>889</v>
      </c>
      <c r="D157">
        <v>736.5</v>
      </c>
      <c r="E157">
        <v>729.7</v>
      </c>
      <c r="F157">
        <v>1.21830889406605</v>
      </c>
      <c r="G157">
        <v>1.25175672696456</v>
      </c>
      <c r="H157">
        <v>3.7642381083279698E-2</v>
      </c>
      <c r="I157">
        <v>-0.88856846819839097</v>
      </c>
      <c r="J157">
        <v>-2.75</v>
      </c>
      <c r="L157">
        <v>1.2893991080478397</v>
      </c>
      <c r="M157">
        <v>1.2141143458812802</v>
      </c>
      <c r="N157">
        <v>1.3270414891311193</v>
      </c>
      <c r="O157">
        <v>1.1764719647980006</v>
      </c>
    </row>
    <row r="158" spans="1:15" x14ac:dyDescent="0.2">
      <c r="A158" s="14">
        <v>43648</v>
      </c>
      <c r="B158">
        <v>903</v>
      </c>
      <c r="C158">
        <v>904</v>
      </c>
      <c r="D158">
        <v>738.1</v>
      </c>
      <c r="E158">
        <v>745.4</v>
      </c>
      <c r="F158">
        <v>1.2127716662194701</v>
      </c>
      <c r="G158">
        <v>1.2518941532189001</v>
      </c>
      <c r="H158">
        <v>3.7538689308699399E-2</v>
      </c>
      <c r="I158">
        <v>-1.04219107592438</v>
      </c>
      <c r="J158">
        <v>-3.23</v>
      </c>
      <c r="L158">
        <v>1.2894328425275994</v>
      </c>
      <c r="M158">
        <v>1.2143554639102008</v>
      </c>
      <c r="N158">
        <v>1.3269715318362989</v>
      </c>
      <c r="O158">
        <v>1.1768167746015012</v>
      </c>
    </row>
    <row r="159" spans="1:15" x14ac:dyDescent="0.2">
      <c r="A159" s="14">
        <v>43647</v>
      </c>
      <c r="B159">
        <v>922</v>
      </c>
      <c r="C159">
        <v>912</v>
      </c>
      <c r="D159">
        <v>725.3</v>
      </c>
      <c r="E159">
        <v>741.7</v>
      </c>
      <c r="F159">
        <v>1.2296076580827799</v>
      </c>
      <c r="G159">
        <v>1.25233611456452</v>
      </c>
      <c r="H159">
        <v>3.7269643793765302E-2</v>
      </c>
      <c r="I159">
        <v>-0.60983830721628596</v>
      </c>
      <c r="J159">
        <v>-1.85</v>
      </c>
      <c r="L159">
        <v>1.2896057583582854</v>
      </c>
      <c r="M159">
        <v>1.2150664707707546</v>
      </c>
      <c r="N159">
        <v>1.3268754021520506</v>
      </c>
      <c r="O159">
        <v>1.1777968269769894</v>
      </c>
    </row>
    <row r="160" spans="1:15" x14ac:dyDescent="0.2">
      <c r="A160" s="14">
        <v>43644</v>
      </c>
      <c r="B160">
        <v>921</v>
      </c>
      <c r="C160">
        <v>907</v>
      </c>
      <c r="D160">
        <v>715</v>
      </c>
      <c r="E160">
        <v>713</v>
      </c>
      <c r="F160">
        <v>1.27208976157082</v>
      </c>
      <c r="G160">
        <v>1.2526889392818601</v>
      </c>
      <c r="H160">
        <v>3.7177949605282999E-2</v>
      </c>
      <c r="I160">
        <v>0.52183680097843399</v>
      </c>
      <c r="J160">
        <v>1.53</v>
      </c>
      <c r="L160">
        <v>1.2898668888871432</v>
      </c>
      <c r="M160">
        <v>1.215510989676577</v>
      </c>
      <c r="N160">
        <v>1.327044838492426</v>
      </c>
      <c r="O160">
        <v>1.1783330400712941</v>
      </c>
    </row>
    <row r="161" spans="1:15" x14ac:dyDescent="0.2">
      <c r="A161" s="14">
        <v>43643</v>
      </c>
      <c r="B161">
        <v>907</v>
      </c>
      <c r="C161">
        <v>922</v>
      </c>
      <c r="D161">
        <v>714.3</v>
      </c>
      <c r="E161">
        <v>720.9</v>
      </c>
      <c r="F161">
        <v>1.2789568594812</v>
      </c>
      <c r="G161">
        <v>1.2526460692384001</v>
      </c>
      <c r="H161">
        <v>3.7157401804618198E-2</v>
      </c>
      <c r="I161">
        <v>0.70809015068237602</v>
      </c>
      <c r="J161">
        <v>2.06</v>
      </c>
      <c r="L161">
        <v>1.2898034710430182</v>
      </c>
      <c r="M161">
        <v>1.2154886674337819</v>
      </c>
      <c r="N161">
        <v>1.3269608728476365</v>
      </c>
      <c r="O161">
        <v>1.1783312656291636</v>
      </c>
    </row>
    <row r="162" spans="1:15" x14ac:dyDescent="0.2">
      <c r="A162" s="14">
        <v>43642</v>
      </c>
      <c r="B162">
        <v>892</v>
      </c>
      <c r="C162">
        <v>894</v>
      </c>
      <c r="D162">
        <v>722</v>
      </c>
      <c r="E162">
        <v>720.3</v>
      </c>
      <c r="F162">
        <v>1.2411495210329</v>
      </c>
      <c r="G162">
        <v>1.2527011171786999</v>
      </c>
      <c r="H162">
        <v>3.7199374442254803E-2</v>
      </c>
      <c r="I162">
        <v>-0.310532000040385</v>
      </c>
      <c r="J162">
        <v>-0.93</v>
      </c>
      <c r="L162">
        <v>1.2899004916209547</v>
      </c>
      <c r="M162">
        <v>1.2155017427364452</v>
      </c>
      <c r="N162">
        <v>1.3270998660632096</v>
      </c>
      <c r="O162">
        <v>1.1783023682941902</v>
      </c>
    </row>
    <row r="163" spans="1:15" x14ac:dyDescent="0.2">
      <c r="A163" s="14">
        <v>43641</v>
      </c>
      <c r="B163">
        <v>902</v>
      </c>
      <c r="C163">
        <v>897</v>
      </c>
      <c r="D163">
        <v>730</v>
      </c>
      <c r="E163">
        <v>725.6</v>
      </c>
      <c r="F163">
        <v>1.2362183020948101</v>
      </c>
      <c r="G163">
        <v>1.25351469945163</v>
      </c>
      <c r="H163">
        <v>3.7602910840727602E-2</v>
      </c>
      <c r="I163">
        <v>-0.45997495858981102</v>
      </c>
      <c r="J163">
        <v>-1.4</v>
      </c>
      <c r="L163">
        <v>1.2911176102923576</v>
      </c>
      <c r="M163">
        <v>1.2159117886109023</v>
      </c>
      <c r="N163">
        <v>1.3287205211330853</v>
      </c>
      <c r="O163">
        <v>1.1783088777701747</v>
      </c>
    </row>
    <row r="164" spans="1:15" x14ac:dyDescent="0.2">
      <c r="A164" s="14">
        <v>43640</v>
      </c>
      <c r="B164">
        <v>895</v>
      </c>
      <c r="C164">
        <v>898</v>
      </c>
      <c r="D164">
        <v>725.5</v>
      </c>
      <c r="E164">
        <v>729.2</v>
      </c>
      <c r="F164">
        <v>1.2314865606143699</v>
      </c>
      <c r="G164">
        <v>1.25418254947626</v>
      </c>
      <c r="H164">
        <v>3.7734359082850798E-2</v>
      </c>
      <c r="I164">
        <v>-0.60146745336424501</v>
      </c>
      <c r="J164">
        <v>-1.84</v>
      </c>
      <c r="L164">
        <v>1.2919169085591107</v>
      </c>
      <c r="M164">
        <v>1.2164481903934092</v>
      </c>
      <c r="N164">
        <v>1.3296512676419616</v>
      </c>
      <c r="O164">
        <v>1.1787138313105583</v>
      </c>
    </row>
    <row r="165" spans="1:15" x14ac:dyDescent="0.2">
      <c r="A165" s="14">
        <v>43637</v>
      </c>
      <c r="B165">
        <v>899</v>
      </c>
      <c r="C165">
        <v>893</v>
      </c>
      <c r="D165">
        <v>725</v>
      </c>
      <c r="E165">
        <v>728.5</v>
      </c>
      <c r="F165">
        <v>1.2258064516128999</v>
      </c>
      <c r="G165">
        <v>1.25492643824401</v>
      </c>
      <c r="H165">
        <v>3.78294156699365E-2</v>
      </c>
      <c r="I165">
        <v>-0.76977098682107703</v>
      </c>
      <c r="J165">
        <v>-2.38</v>
      </c>
      <c r="L165">
        <v>1.2927558539139465</v>
      </c>
      <c r="M165">
        <v>1.2170970225740734</v>
      </c>
      <c r="N165">
        <v>1.3305852695838829</v>
      </c>
      <c r="O165">
        <v>1.179267606904137</v>
      </c>
    </row>
    <row r="166" spans="1:15" x14ac:dyDescent="0.2">
      <c r="A166" s="14">
        <v>43636</v>
      </c>
      <c r="B166">
        <v>904</v>
      </c>
      <c r="C166">
        <v>899</v>
      </c>
      <c r="D166">
        <v>725.1</v>
      </c>
      <c r="E166">
        <v>720.7</v>
      </c>
      <c r="F166">
        <v>1.2473983627029199</v>
      </c>
      <c r="G166">
        <v>1.25575608455833</v>
      </c>
      <c r="H166">
        <v>3.7863983853707803E-2</v>
      </c>
      <c r="I166">
        <v>-0.22073012411214399</v>
      </c>
      <c r="J166">
        <v>-0.67</v>
      </c>
      <c r="L166">
        <v>1.2936200684120378</v>
      </c>
      <c r="M166">
        <v>1.2178921007046222</v>
      </c>
      <c r="N166">
        <v>1.3314840522657456</v>
      </c>
      <c r="O166">
        <v>1.1800281168509144</v>
      </c>
    </row>
    <row r="167" spans="1:15" x14ac:dyDescent="0.2">
      <c r="A167" s="14">
        <v>43635</v>
      </c>
      <c r="B167">
        <v>896</v>
      </c>
      <c r="C167">
        <v>898</v>
      </c>
      <c r="D167">
        <v>719</v>
      </c>
      <c r="E167">
        <v>731</v>
      </c>
      <c r="F167">
        <v>1.22845417236662</v>
      </c>
      <c r="G167">
        <v>1.2564409870238</v>
      </c>
      <c r="H167">
        <v>3.8169956606186002E-2</v>
      </c>
      <c r="I167">
        <v>-0.73321578397207798</v>
      </c>
      <c r="J167">
        <v>-2.2799999999999998</v>
      </c>
      <c r="L167">
        <v>1.294610943629986</v>
      </c>
      <c r="M167">
        <v>1.2182710304176141</v>
      </c>
      <c r="N167">
        <v>1.3327809002361721</v>
      </c>
      <c r="O167">
        <v>1.1801010738114279</v>
      </c>
    </row>
    <row r="168" spans="1:15" x14ac:dyDescent="0.2">
      <c r="A168" s="14">
        <v>43634</v>
      </c>
      <c r="B168">
        <v>884</v>
      </c>
      <c r="C168">
        <v>876</v>
      </c>
      <c r="D168">
        <v>710</v>
      </c>
      <c r="E168">
        <v>699.9</v>
      </c>
      <c r="F168">
        <v>1.25160737248178</v>
      </c>
      <c r="G168">
        <v>1.25727124739987</v>
      </c>
      <c r="H168">
        <v>3.8229353779615498E-2</v>
      </c>
      <c r="I168">
        <v>-0.14815513102171901</v>
      </c>
      <c r="J168">
        <v>-0.45</v>
      </c>
      <c r="L168">
        <v>1.2955006011794854</v>
      </c>
      <c r="M168">
        <v>1.2190418936202545</v>
      </c>
      <c r="N168">
        <v>1.3337299549591008</v>
      </c>
      <c r="O168">
        <v>1.1808125398406391</v>
      </c>
    </row>
    <row r="169" spans="1:15" x14ac:dyDescent="0.2">
      <c r="A169" s="14">
        <v>43633</v>
      </c>
      <c r="B169">
        <v>874</v>
      </c>
      <c r="C169">
        <v>883</v>
      </c>
      <c r="D169">
        <v>712.2</v>
      </c>
      <c r="E169">
        <v>714.1</v>
      </c>
      <c r="F169">
        <v>1.2365214955888499</v>
      </c>
      <c r="G169">
        <v>1.2576174324541001</v>
      </c>
      <c r="H169">
        <v>3.82940002546973E-2</v>
      </c>
      <c r="I169">
        <v>-0.55089404932737296</v>
      </c>
      <c r="J169">
        <v>-1.71</v>
      </c>
      <c r="L169">
        <v>1.2959114327087973</v>
      </c>
      <c r="M169">
        <v>1.2193234321994029</v>
      </c>
      <c r="N169">
        <v>1.3342054329634947</v>
      </c>
      <c r="O169">
        <v>1.1810294319447054</v>
      </c>
    </row>
    <row r="170" spans="1:15" x14ac:dyDescent="0.2">
      <c r="A170" s="14">
        <v>43630</v>
      </c>
      <c r="B170">
        <v>875</v>
      </c>
      <c r="C170">
        <v>872</v>
      </c>
      <c r="D170">
        <v>715</v>
      </c>
      <c r="E170">
        <v>715.2</v>
      </c>
      <c r="F170">
        <v>1.2192393736017799</v>
      </c>
      <c r="G170">
        <v>1.2578520976108101</v>
      </c>
      <c r="H170">
        <v>3.8217855843743397E-2</v>
      </c>
      <c r="I170">
        <v>-1.0103320334583601</v>
      </c>
      <c r="J170">
        <v>-3.17</v>
      </c>
      <c r="L170">
        <v>1.2960699534545534</v>
      </c>
      <c r="M170">
        <v>1.2196342417670667</v>
      </c>
      <c r="N170">
        <v>1.3342878092982968</v>
      </c>
      <c r="O170">
        <v>1.1814163859233233</v>
      </c>
    </row>
    <row r="171" spans="1:15" x14ac:dyDescent="0.2">
      <c r="A171" s="14">
        <v>43629</v>
      </c>
      <c r="B171">
        <v>881</v>
      </c>
      <c r="C171">
        <v>872</v>
      </c>
      <c r="D171">
        <v>720.4</v>
      </c>
      <c r="E171">
        <v>714.5</v>
      </c>
      <c r="F171">
        <v>1.22043386983904</v>
      </c>
      <c r="G171">
        <v>1.25840024871324</v>
      </c>
      <c r="H171">
        <v>3.7954025392933299E-2</v>
      </c>
      <c r="I171">
        <v>-1.00032548540321</v>
      </c>
      <c r="J171">
        <v>-3.11</v>
      </c>
      <c r="L171">
        <v>1.2963542741061733</v>
      </c>
      <c r="M171">
        <v>1.2204462233203066</v>
      </c>
      <c r="N171">
        <v>1.3343082994991065</v>
      </c>
      <c r="O171">
        <v>1.1824921979273735</v>
      </c>
    </row>
    <row r="172" spans="1:15" x14ac:dyDescent="0.2">
      <c r="A172" s="14">
        <v>43628</v>
      </c>
      <c r="B172">
        <v>879</v>
      </c>
      <c r="C172">
        <v>885</v>
      </c>
      <c r="D172">
        <v>721.2</v>
      </c>
      <c r="E172">
        <v>729.6</v>
      </c>
      <c r="F172">
        <v>1.2129934210526301</v>
      </c>
      <c r="G172">
        <v>1.25913502105759</v>
      </c>
      <c r="H172">
        <v>3.7744756490901199E-2</v>
      </c>
      <c r="I172">
        <v>-1.22246384119833</v>
      </c>
      <c r="J172">
        <v>-3.8</v>
      </c>
      <c r="L172">
        <v>1.2968797775484913</v>
      </c>
      <c r="M172">
        <v>1.2213902645666888</v>
      </c>
      <c r="N172">
        <v>1.3346245340393925</v>
      </c>
      <c r="O172">
        <v>1.1836455080757875</v>
      </c>
    </row>
    <row r="173" spans="1:15" x14ac:dyDescent="0.2">
      <c r="A173" s="14">
        <v>43627</v>
      </c>
      <c r="B173">
        <v>876</v>
      </c>
      <c r="C173">
        <v>886</v>
      </c>
      <c r="D173">
        <v>710.8</v>
      </c>
      <c r="E173">
        <v>721.2</v>
      </c>
      <c r="F173">
        <v>1.2285080421519601</v>
      </c>
      <c r="G173">
        <v>1.2600316178948601</v>
      </c>
      <c r="H173">
        <v>3.7435456095152898E-2</v>
      </c>
      <c r="I173">
        <v>-0.84207804661904295</v>
      </c>
      <c r="J173">
        <v>-2.57</v>
      </c>
      <c r="L173">
        <v>1.2974670739900129</v>
      </c>
      <c r="M173">
        <v>1.2225961617997072</v>
      </c>
      <c r="N173">
        <v>1.3349025300851658</v>
      </c>
      <c r="O173">
        <v>1.1851607057045543</v>
      </c>
    </row>
    <row r="174" spans="1:15" x14ac:dyDescent="0.2">
      <c r="A174" s="14">
        <v>43626</v>
      </c>
      <c r="B174">
        <v>872</v>
      </c>
      <c r="C174">
        <v>879</v>
      </c>
      <c r="D174">
        <v>708.6</v>
      </c>
      <c r="E174">
        <v>705.5</v>
      </c>
      <c r="F174">
        <v>1.2459248759744801</v>
      </c>
      <c r="G174">
        <v>1.26088530108432</v>
      </c>
      <c r="H174">
        <v>3.7436885938798001E-2</v>
      </c>
      <c r="I174">
        <v>-0.39961724205091498</v>
      </c>
      <c r="J174">
        <v>-1.2</v>
      </c>
      <c r="L174">
        <v>1.2983221870231179</v>
      </c>
      <c r="M174">
        <v>1.2234484151455221</v>
      </c>
      <c r="N174">
        <v>1.335759072961916</v>
      </c>
      <c r="O174">
        <v>1.1860115292067239</v>
      </c>
    </row>
    <row r="175" spans="1:15" x14ac:dyDescent="0.2">
      <c r="A175" s="14">
        <v>43623</v>
      </c>
      <c r="B175">
        <v>857</v>
      </c>
      <c r="C175">
        <v>858</v>
      </c>
      <c r="D175">
        <v>693.1</v>
      </c>
      <c r="E175">
        <v>698.4</v>
      </c>
      <c r="F175">
        <v>1.22852233676975</v>
      </c>
      <c r="G175">
        <v>1.26146363877586</v>
      </c>
      <c r="H175">
        <v>3.75362116531913E-2</v>
      </c>
      <c r="I175">
        <v>-0.87758728319351298</v>
      </c>
      <c r="J175">
        <v>-2.68</v>
      </c>
      <c r="L175">
        <v>1.2989998504290512</v>
      </c>
      <c r="M175">
        <v>1.2239274271226688</v>
      </c>
      <c r="N175">
        <v>1.3365360620822426</v>
      </c>
      <c r="O175">
        <v>1.1863912154694773</v>
      </c>
    </row>
    <row r="176" spans="1:15" x14ac:dyDescent="0.2">
      <c r="A176" s="14">
        <v>43622</v>
      </c>
      <c r="B176">
        <v>853</v>
      </c>
      <c r="C176">
        <v>850</v>
      </c>
      <c r="D176">
        <v>693.9</v>
      </c>
      <c r="E176">
        <v>691.7</v>
      </c>
      <c r="F176">
        <v>1.2288564406534599</v>
      </c>
      <c r="G176">
        <v>1.2622478979142799</v>
      </c>
      <c r="H176">
        <v>3.7454142205269901E-2</v>
      </c>
      <c r="I176">
        <v>-0.89152908850034696</v>
      </c>
      <c r="J176">
        <v>-2.72</v>
      </c>
      <c r="L176">
        <v>1.2997020401195498</v>
      </c>
      <c r="M176">
        <v>1.2247937557090101</v>
      </c>
      <c r="N176">
        <v>1.3371561823248197</v>
      </c>
      <c r="O176">
        <v>1.1873396135037402</v>
      </c>
    </row>
    <row r="177" spans="1:15" x14ac:dyDescent="0.2">
      <c r="A177" s="14">
        <v>43621</v>
      </c>
      <c r="B177">
        <v>890</v>
      </c>
      <c r="C177">
        <v>893</v>
      </c>
      <c r="D177">
        <v>693.6</v>
      </c>
      <c r="E177">
        <v>693</v>
      </c>
      <c r="F177">
        <v>1.2886002886002801</v>
      </c>
      <c r="G177">
        <v>1.2631218556542001</v>
      </c>
      <c r="H177">
        <v>3.74295161737132E-2</v>
      </c>
      <c r="I177">
        <v>0.68070430907608304</v>
      </c>
      <c r="J177">
        <v>1.98</v>
      </c>
      <c r="L177">
        <v>1.3005513718279134</v>
      </c>
      <c r="M177">
        <v>1.2256923394804868</v>
      </c>
      <c r="N177">
        <v>1.3379808880016264</v>
      </c>
      <c r="O177">
        <v>1.1882628233067738</v>
      </c>
    </row>
    <row r="178" spans="1:15" x14ac:dyDescent="0.2">
      <c r="A178" s="14">
        <v>43620</v>
      </c>
      <c r="B178">
        <v>867</v>
      </c>
      <c r="C178">
        <v>875</v>
      </c>
      <c r="D178">
        <v>674</v>
      </c>
      <c r="E178">
        <v>683.6</v>
      </c>
      <c r="F178">
        <v>1.27998829724985</v>
      </c>
      <c r="G178">
        <v>1.2632421264128799</v>
      </c>
      <c r="H178">
        <v>3.7525560835490898E-2</v>
      </c>
      <c r="I178">
        <v>0.446260374638489</v>
      </c>
      <c r="J178">
        <v>1.31</v>
      </c>
      <c r="L178">
        <v>1.3007676872483709</v>
      </c>
      <c r="M178">
        <v>1.225716565577389</v>
      </c>
      <c r="N178">
        <v>1.3382932480838616</v>
      </c>
      <c r="O178">
        <v>1.1881910047418982</v>
      </c>
    </row>
    <row r="179" spans="1:15" x14ac:dyDescent="0.2">
      <c r="A179" s="14">
        <v>43619</v>
      </c>
      <c r="B179">
        <v>851</v>
      </c>
      <c r="C179">
        <v>862</v>
      </c>
      <c r="D179">
        <v>668.4</v>
      </c>
      <c r="E179">
        <v>672.1</v>
      </c>
      <c r="F179">
        <v>1.2825472399940401</v>
      </c>
      <c r="G179">
        <v>1.26277817988545</v>
      </c>
      <c r="H179">
        <v>3.7530751292059301E-2</v>
      </c>
      <c r="I179">
        <v>0.52674298882946102</v>
      </c>
      <c r="J179">
        <v>1.54</v>
      </c>
      <c r="L179">
        <v>1.3003089311775093</v>
      </c>
      <c r="M179">
        <v>1.2252474285933908</v>
      </c>
      <c r="N179">
        <v>1.3378396824695686</v>
      </c>
      <c r="O179">
        <v>1.1877166773013315</v>
      </c>
    </row>
    <row r="180" spans="1:15" x14ac:dyDescent="0.2">
      <c r="A180" s="14">
        <v>43616</v>
      </c>
      <c r="B180">
        <v>880</v>
      </c>
      <c r="C180">
        <v>861</v>
      </c>
      <c r="D180">
        <v>689.1</v>
      </c>
      <c r="E180">
        <v>683.4</v>
      </c>
      <c r="F180">
        <v>1.2598770851624199</v>
      </c>
      <c r="G180">
        <v>1.26251948944145</v>
      </c>
      <c r="H180">
        <v>3.7460396338839602E-2</v>
      </c>
      <c r="I180">
        <v>-7.0538609766085003E-2</v>
      </c>
      <c r="J180">
        <v>-0.21</v>
      </c>
      <c r="L180">
        <v>1.2999798857802896</v>
      </c>
      <c r="M180">
        <v>1.2250590931026104</v>
      </c>
      <c r="N180">
        <v>1.3374402821191291</v>
      </c>
      <c r="O180">
        <v>1.1875986967637708</v>
      </c>
    </row>
    <row r="181" spans="1:15" x14ac:dyDescent="0.2">
      <c r="A181" s="14">
        <v>43615</v>
      </c>
      <c r="B181">
        <v>872</v>
      </c>
      <c r="C181">
        <v>891</v>
      </c>
      <c r="D181">
        <v>680</v>
      </c>
      <c r="E181">
        <v>697.6</v>
      </c>
      <c r="F181">
        <v>1.2772362385321101</v>
      </c>
      <c r="G181">
        <v>1.26229159204333</v>
      </c>
      <c r="H181">
        <v>3.75277103293526E-2</v>
      </c>
      <c r="I181">
        <v>0.398229637716081</v>
      </c>
      <c r="J181">
        <v>1.17</v>
      </c>
      <c r="L181">
        <v>1.2998193023726825</v>
      </c>
      <c r="M181">
        <v>1.2247638817139774</v>
      </c>
      <c r="N181">
        <v>1.3373470127020353</v>
      </c>
      <c r="O181">
        <v>1.1872361713846247</v>
      </c>
    </row>
    <row r="182" spans="1:15" x14ac:dyDescent="0.2">
      <c r="A182" s="14">
        <v>43614</v>
      </c>
      <c r="B182">
        <v>881</v>
      </c>
      <c r="C182">
        <v>879</v>
      </c>
      <c r="D182">
        <v>688</v>
      </c>
      <c r="E182">
        <v>685.5</v>
      </c>
      <c r="F182">
        <v>1.28227571115973</v>
      </c>
      <c r="G182">
        <v>1.2616299406345399</v>
      </c>
      <c r="H182">
        <v>3.7695472688074397E-2</v>
      </c>
      <c r="I182">
        <v>0.54769894241762895</v>
      </c>
      <c r="J182">
        <v>1.61</v>
      </c>
      <c r="L182">
        <v>1.2993254133226144</v>
      </c>
      <c r="M182">
        <v>1.2239344679464654</v>
      </c>
      <c r="N182">
        <v>1.3370208860106887</v>
      </c>
      <c r="O182">
        <v>1.1862389952583912</v>
      </c>
    </row>
    <row r="183" spans="1:15" x14ac:dyDescent="0.2">
      <c r="A183" s="14">
        <v>43613</v>
      </c>
      <c r="B183">
        <v>881</v>
      </c>
      <c r="C183">
        <v>887</v>
      </c>
      <c r="D183">
        <v>697.7</v>
      </c>
      <c r="E183">
        <v>694.7</v>
      </c>
      <c r="F183">
        <v>1.2768101338707301</v>
      </c>
      <c r="G183">
        <v>1.26122164102376</v>
      </c>
      <c r="H183">
        <v>3.7635432445743099E-2</v>
      </c>
      <c r="I183">
        <v>0.41419725598859503</v>
      </c>
      <c r="J183">
        <v>1.22</v>
      </c>
      <c r="L183">
        <v>1.2988570734695031</v>
      </c>
      <c r="M183">
        <v>1.2235862085780169</v>
      </c>
      <c r="N183">
        <v>1.3364925059152462</v>
      </c>
      <c r="O183">
        <v>1.1859507761322738</v>
      </c>
    </row>
    <row r="184" spans="1:15" x14ac:dyDescent="0.2">
      <c r="A184" s="14">
        <v>43612</v>
      </c>
      <c r="B184">
        <v>878</v>
      </c>
      <c r="C184">
        <v>880</v>
      </c>
      <c r="D184">
        <v>694.8</v>
      </c>
      <c r="E184">
        <v>696.3</v>
      </c>
      <c r="F184">
        <v>1.2638230647709301</v>
      </c>
      <c r="G184">
        <v>1.2613799612169201</v>
      </c>
      <c r="H184">
        <v>3.7725542444863598E-2</v>
      </c>
      <c r="I184">
        <v>6.4759931751096303E-2</v>
      </c>
      <c r="J184">
        <v>0.19</v>
      </c>
      <c r="L184">
        <v>1.2991055036617838</v>
      </c>
      <c r="M184">
        <v>1.2236544187720564</v>
      </c>
      <c r="N184">
        <v>1.3368310461066473</v>
      </c>
      <c r="O184">
        <v>1.1859288763271929</v>
      </c>
    </row>
    <row r="185" spans="1:15" x14ac:dyDescent="0.2">
      <c r="A185" s="14">
        <v>43609</v>
      </c>
      <c r="B185">
        <v>867</v>
      </c>
      <c r="C185">
        <v>874</v>
      </c>
      <c r="D185">
        <v>685</v>
      </c>
      <c r="E185">
        <v>692.6</v>
      </c>
      <c r="F185">
        <v>1.26191163730869</v>
      </c>
      <c r="G185">
        <v>1.26165553316651</v>
      </c>
      <c r="H185">
        <v>3.7817755181043203E-2</v>
      </c>
      <c r="I185">
        <v>6.7720609262674203E-3</v>
      </c>
      <c r="J185">
        <v>0.02</v>
      </c>
      <c r="L185">
        <v>1.2994732883475533</v>
      </c>
      <c r="M185">
        <v>1.2238377779854668</v>
      </c>
      <c r="N185">
        <v>1.3372910435285965</v>
      </c>
      <c r="O185">
        <v>1.1860200228044235</v>
      </c>
    </row>
    <row r="186" spans="1:15" x14ac:dyDescent="0.2">
      <c r="A186" s="14">
        <v>43608</v>
      </c>
      <c r="B186">
        <v>873</v>
      </c>
      <c r="C186">
        <v>875</v>
      </c>
      <c r="D186">
        <v>700.1</v>
      </c>
      <c r="E186">
        <v>699</v>
      </c>
      <c r="F186">
        <v>1.2517882689556501</v>
      </c>
      <c r="G186">
        <v>1.26261322602671</v>
      </c>
      <c r="H186">
        <v>3.87110338356082E-2</v>
      </c>
      <c r="I186">
        <v>-0.27963492571730297</v>
      </c>
      <c r="J186">
        <v>-0.86</v>
      </c>
      <c r="L186">
        <v>1.3013242598623183</v>
      </c>
      <c r="M186">
        <v>1.2239021921911017</v>
      </c>
      <c r="N186">
        <v>1.3400352936979263</v>
      </c>
      <c r="O186">
        <v>1.1851911583554937</v>
      </c>
    </row>
    <row r="187" spans="1:15" x14ac:dyDescent="0.2">
      <c r="A187" s="14">
        <v>43607</v>
      </c>
      <c r="B187">
        <v>888</v>
      </c>
      <c r="C187">
        <v>891</v>
      </c>
      <c r="D187">
        <v>698.1</v>
      </c>
      <c r="E187">
        <v>702.8</v>
      </c>
      <c r="F187">
        <v>1.26778599886169</v>
      </c>
      <c r="G187">
        <v>1.26419624925375</v>
      </c>
      <c r="H187">
        <v>4.0616659776930901E-2</v>
      </c>
      <c r="I187">
        <v>8.8381211740693993E-2</v>
      </c>
      <c r="J187">
        <v>0.28000000000000003</v>
      </c>
      <c r="L187">
        <v>1.3048129090306808</v>
      </c>
      <c r="M187">
        <v>1.2235795894768191</v>
      </c>
      <c r="N187">
        <v>1.3454295688076117</v>
      </c>
      <c r="O187">
        <v>1.1829629296998883</v>
      </c>
    </row>
    <row r="188" spans="1:15" x14ac:dyDescent="0.2">
      <c r="A188" s="14">
        <v>43606</v>
      </c>
      <c r="B188">
        <v>895</v>
      </c>
      <c r="C188">
        <v>885</v>
      </c>
      <c r="D188">
        <v>690.2</v>
      </c>
      <c r="E188">
        <v>696.4</v>
      </c>
      <c r="F188">
        <v>1.27082136703044</v>
      </c>
      <c r="G188">
        <v>1.26545822076804</v>
      </c>
      <c r="H188">
        <v>4.2150014359978998E-2</v>
      </c>
      <c r="I188">
        <v>0.12723948838051999</v>
      </c>
      <c r="J188">
        <v>0.42</v>
      </c>
      <c r="L188">
        <v>1.3076082351280189</v>
      </c>
      <c r="M188">
        <v>1.2233082064080611</v>
      </c>
      <c r="N188">
        <v>1.3497582494879981</v>
      </c>
      <c r="O188">
        <v>1.181158192048082</v>
      </c>
    </row>
    <row r="189" spans="1:15" x14ac:dyDescent="0.2">
      <c r="A189" s="14">
        <v>43605</v>
      </c>
      <c r="B189">
        <v>909</v>
      </c>
      <c r="C189">
        <v>907</v>
      </c>
      <c r="D189">
        <v>703.9</v>
      </c>
      <c r="E189">
        <v>697.2</v>
      </c>
      <c r="F189">
        <v>1.30091795754446</v>
      </c>
      <c r="G189">
        <v>1.2665886554740799</v>
      </c>
      <c r="H189">
        <v>4.3397147349849403E-2</v>
      </c>
      <c r="I189">
        <v>0.79104973867598505</v>
      </c>
      <c r="J189">
        <v>2.64</v>
      </c>
      <c r="L189">
        <v>1.3099858028239293</v>
      </c>
      <c r="M189">
        <v>1.2231915081242306</v>
      </c>
      <c r="N189">
        <v>1.3533829501737789</v>
      </c>
      <c r="O189">
        <v>1.179794360774381</v>
      </c>
    </row>
    <row r="190" spans="1:15" x14ac:dyDescent="0.2">
      <c r="A190" s="14">
        <v>43602</v>
      </c>
      <c r="B190">
        <v>913</v>
      </c>
      <c r="C190">
        <v>914</v>
      </c>
      <c r="D190">
        <v>710</v>
      </c>
      <c r="E190">
        <v>708.2</v>
      </c>
      <c r="F190">
        <v>1.29059587687094</v>
      </c>
      <c r="G190">
        <v>1.2673832267801599</v>
      </c>
      <c r="H190">
        <v>4.4548692218117601E-2</v>
      </c>
      <c r="I190">
        <v>0.52106243606700597</v>
      </c>
      <c r="J190">
        <v>1.8</v>
      </c>
      <c r="L190">
        <v>1.3119319189982774</v>
      </c>
      <c r="M190">
        <v>1.2228345345620424</v>
      </c>
      <c r="N190">
        <v>1.3564806112163952</v>
      </c>
      <c r="O190">
        <v>1.1782858423439246</v>
      </c>
    </row>
    <row r="191" spans="1:15" x14ac:dyDescent="0.2">
      <c r="A191" s="14">
        <v>43601</v>
      </c>
      <c r="B191">
        <v>919</v>
      </c>
      <c r="C191">
        <v>913</v>
      </c>
      <c r="D191">
        <v>701.4</v>
      </c>
      <c r="E191">
        <v>700.5</v>
      </c>
      <c r="F191">
        <v>1.3033547466095601</v>
      </c>
      <c r="G191">
        <v>1.26834521639574</v>
      </c>
      <c r="H191">
        <v>4.58009608254525E-2</v>
      </c>
      <c r="I191">
        <v>0.76438418720603196</v>
      </c>
      <c r="J191">
        <v>2.69</v>
      </c>
      <c r="L191">
        <v>1.3141461772211926</v>
      </c>
      <c r="M191">
        <v>1.2225442555702875</v>
      </c>
      <c r="N191">
        <v>1.359947138046645</v>
      </c>
      <c r="O191">
        <v>1.1767432947448351</v>
      </c>
    </row>
    <row r="192" spans="1:15" x14ac:dyDescent="0.2">
      <c r="A192" s="14">
        <v>43600</v>
      </c>
      <c r="B192">
        <v>932</v>
      </c>
      <c r="C192">
        <v>922</v>
      </c>
      <c r="D192">
        <v>709</v>
      </c>
      <c r="E192">
        <v>706.1</v>
      </c>
      <c r="F192">
        <v>1.3057640560827</v>
      </c>
      <c r="G192">
        <v>1.2688445172806</v>
      </c>
      <c r="H192">
        <v>4.63803502898779E-2</v>
      </c>
      <c r="I192">
        <v>0.79601681684917502</v>
      </c>
      <c r="J192">
        <v>2.83</v>
      </c>
      <c r="L192">
        <v>1.3152248675704779</v>
      </c>
      <c r="M192">
        <v>1.2224641669907221</v>
      </c>
      <c r="N192">
        <v>1.3616052178603557</v>
      </c>
      <c r="O192">
        <v>1.1760838167008443</v>
      </c>
    </row>
    <row r="193" spans="1:15" x14ac:dyDescent="0.2">
      <c r="A193" s="14">
        <v>43599</v>
      </c>
      <c r="B193">
        <v>931</v>
      </c>
      <c r="C193">
        <v>935</v>
      </c>
      <c r="D193">
        <v>691</v>
      </c>
      <c r="E193">
        <v>703.2</v>
      </c>
      <c r="F193">
        <v>1.3296359499431101</v>
      </c>
      <c r="G193">
        <v>1.26921427857785</v>
      </c>
      <c r="H193">
        <v>4.6782018543328703E-2</v>
      </c>
      <c r="I193">
        <v>1.2915575951323199</v>
      </c>
      <c r="J193">
        <v>4.54</v>
      </c>
      <c r="L193">
        <v>1.3159962971211787</v>
      </c>
      <c r="M193">
        <v>1.2224322600345212</v>
      </c>
      <c r="N193">
        <v>1.3627783156645075</v>
      </c>
      <c r="O193">
        <v>1.1756502414911925</v>
      </c>
    </row>
    <row r="194" spans="1:15" x14ac:dyDescent="0.2">
      <c r="A194" s="14">
        <v>43598</v>
      </c>
      <c r="B194">
        <v>945</v>
      </c>
      <c r="C194">
        <v>946</v>
      </c>
      <c r="D194">
        <v>707.2</v>
      </c>
      <c r="E194">
        <v>709.6</v>
      </c>
      <c r="F194">
        <v>1.3331454340473501</v>
      </c>
      <c r="G194">
        <v>1.2694428152605499</v>
      </c>
      <c r="H194">
        <v>4.7117293457885401E-2</v>
      </c>
      <c r="I194">
        <v>1.35200080717149</v>
      </c>
      <c r="J194">
        <v>4.78</v>
      </c>
      <c r="L194">
        <v>1.3165601087184353</v>
      </c>
      <c r="M194">
        <v>1.2223255218026645</v>
      </c>
      <c r="N194">
        <v>1.3636774021763207</v>
      </c>
      <c r="O194">
        <v>1.1752082283447791</v>
      </c>
    </row>
    <row r="195" spans="1:15" x14ac:dyDescent="0.2">
      <c r="A195" s="14">
        <v>43595</v>
      </c>
      <c r="B195">
        <v>950</v>
      </c>
      <c r="C195">
        <v>947</v>
      </c>
      <c r="D195">
        <v>723.9</v>
      </c>
      <c r="E195">
        <v>713.9</v>
      </c>
      <c r="F195">
        <v>1.32651631881215</v>
      </c>
      <c r="G195">
        <v>1.26992892461252</v>
      </c>
      <c r="H195">
        <v>4.7952670317988201E-2</v>
      </c>
      <c r="I195">
        <v>1.18006763386441</v>
      </c>
      <c r="J195">
        <v>4.2699999999999996</v>
      </c>
      <c r="L195">
        <v>1.3178815949305083</v>
      </c>
      <c r="M195">
        <v>1.2219762542945318</v>
      </c>
      <c r="N195">
        <v>1.3658342652484965</v>
      </c>
      <c r="O195">
        <v>1.1740235839765436</v>
      </c>
    </row>
    <row r="196" spans="1:15" x14ac:dyDescent="0.2">
      <c r="A196" s="14">
        <v>43594</v>
      </c>
      <c r="B196">
        <v>962</v>
      </c>
      <c r="C196">
        <v>959</v>
      </c>
      <c r="D196">
        <v>741.3</v>
      </c>
      <c r="E196">
        <v>721</v>
      </c>
      <c r="F196">
        <v>1.33009708737864</v>
      </c>
      <c r="G196">
        <v>1.27041628657192</v>
      </c>
      <c r="H196">
        <v>4.87051566216073E-2</v>
      </c>
      <c r="I196">
        <v>1.2253487093856299</v>
      </c>
      <c r="J196">
        <v>4.49</v>
      </c>
      <c r="L196">
        <v>1.3191214431935272</v>
      </c>
      <c r="M196">
        <v>1.2217111299503127</v>
      </c>
      <c r="N196">
        <v>1.3678265998151347</v>
      </c>
      <c r="O196">
        <v>1.1730059733287053</v>
      </c>
    </row>
    <row r="197" spans="1:15" x14ac:dyDescent="0.2">
      <c r="A197" s="14">
        <v>43593</v>
      </c>
      <c r="B197">
        <v>984</v>
      </c>
      <c r="C197">
        <v>971</v>
      </c>
      <c r="D197">
        <v>761</v>
      </c>
      <c r="E197">
        <v>750.8</v>
      </c>
      <c r="F197">
        <v>1.29328716036228</v>
      </c>
      <c r="G197">
        <v>1.2709198617408</v>
      </c>
      <c r="H197">
        <v>4.9508234957193198E-2</v>
      </c>
      <c r="I197">
        <v>0.45178945766940398</v>
      </c>
      <c r="J197">
        <v>1.73</v>
      </c>
      <c r="L197">
        <v>1.3204280966979931</v>
      </c>
      <c r="M197">
        <v>1.2214116267836068</v>
      </c>
      <c r="N197">
        <v>1.3699363316551865</v>
      </c>
      <c r="O197">
        <v>1.1719033918264135</v>
      </c>
    </row>
    <row r="198" spans="1:15" x14ac:dyDescent="0.2">
      <c r="A198" s="14">
        <v>43592</v>
      </c>
      <c r="B198">
        <v>1026</v>
      </c>
      <c r="C198">
        <v>997</v>
      </c>
      <c r="D198">
        <v>794.1</v>
      </c>
      <c r="E198">
        <v>771.6</v>
      </c>
      <c r="F198">
        <v>1.29212026956972</v>
      </c>
      <c r="G198">
        <v>1.2716308535965399</v>
      </c>
      <c r="H198">
        <v>5.0202380022135597E-2</v>
      </c>
      <c r="I198">
        <v>0.40813634660647902</v>
      </c>
      <c r="J198">
        <v>1.59</v>
      </c>
      <c r="L198">
        <v>1.3218332336186756</v>
      </c>
      <c r="M198">
        <v>1.2214284735744043</v>
      </c>
      <c r="N198">
        <v>1.3720356136408112</v>
      </c>
      <c r="O198">
        <v>1.1712260935522687</v>
      </c>
    </row>
    <row r="199" spans="1:15" x14ac:dyDescent="0.2">
      <c r="A199" s="14">
        <v>43581</v>
      </c>
      <c r="B199">
        <v>1094</v>
      </c>
      <c r="C199">
        <v>1048</v>
      </c>
      <c r="D199">
        <v>786.8</v>
      </c>
      <c r="E199">
        <v>795.1</v>
      </c>
      <c r="F199">
        <v>1.3180731983398299</v>
      </c>
      <c r="G199">
        <v>1.2723065859929701</v>
      </c>
      <c r="H199">
        <v>5.0811013966453301E-2</v>
      </c>
      <c r="I199">
        <v>0.90072227995825405</v>
      </c>
      <c r="J199">
        <v>3.47</v>
      </c>
      <c r="L199">
        <v>1.3231175999594234</v>
      </c>
      <c r="M199">
        <v>1.2214955720265168</v>
      </c>
      <c r="N199">
        <v>1.3739286139258766</v>
      </c>
      <c r="O199">
        <v>1.1706845580600636</v>
      </c>
    </row>
    <row r="200" spans="1:15" x14ac:dyDescent="0.2">
      <c r="A200" s="14">
        <v>43580</v>
      </c>
      <c r="B200">
        <v>1013</v>
      </c>
      <c r="C200">
        <v>1004</v>
      </c>
      <c r="D200">
        <v>789</v>
      </c>
      <c r="E200">
        <v>794.4</v>
      </c>
      <c r="F200">
        <v>1.26384692849949</v>
      </c>
      <c r="G200">
        <v>1.2725179068349</v>
      </c>
      <c r="H200">
        <v>5.10333871036842E-2</v>
      </c>
      <c r="I200">
        <v>-0.16990795296003799</v>
      </c>
      <c r="J200">
        <v>-0.69</v>
      </c>
      <c r="L200">
        <v>1.3235512939385841</v>
      </c>
      <c r="M200">
        <v>1.2214845197312159</v>
      </c>
      <c r="N200">
        <v>1.3745846810422684</v>
      </c>
      <c r="O200">
        <v>1.1704511326275315</v>
      </c>
    </row>
    <row r="201" spans="1:15" x14ac:dyDescent="0.2">
      <c r="A201" s="14">
        <v>43579</v>
      </c>
      <c r="B201">
        <v>1053</v>
      </c>
      <c r="C201">
        <v>1023</v>
      </c>
      <c r="D201">
        <v>811.5</v>
      </c>
      <c r="E201">
        <v>790.9</v>
      </c>
      <c r="F201">
        <v>1.2934631432545201</v>
      </c>
      <c r="G201">
        <v>1.2736299288129</v>
      </c>
      <c r="H201">
        <v>5.1736155978225402E-2</v>
      </c>
      <c r="I201">
        <v>0.38335307420132098</v>
      </c>
      <c r="J201">
        <v>1.53</v>
      </c>
      <c r="L201">
        <v>1.3253660847911255</v>
      </c>
      <c r="M201">
        <v>1.2218937728346746</v>
      </c>
      <c r="N201">
        <v>1.3771022407693509</v>
      </c>
      <c r="O201">
        <v>1.1701576168564491</v>
      </c>
    </row>
    <row r="202" spans="1:15" x14ac:dyDescent="0.2">
      <c r="A202" s="14">
        <v>43578</v>
      </c>
      <c r="B202">
        <v>1055</v>
      </c>
      <c r="C202">
        <v>1053</v>
      </c>
      <c r="D202">
        <v>805</v>
      </c>
      <c r="E202">
        <v>811.6</v>
      </c>
      <c r="F202">
        <v>1.2974371611631299</v>
      </c>
      <c r="G202">
        <v>1.2741626967975199</v>
      </c>
      <c r="H202">
        <v>5.2141798266436799E-2</v>
      </c>
      <c r="I202">
        <v>0.446368655079456</v>
      </c>
      <c r="J202">
        <v>1.79</v>
      </c>
      <c r="L202">
        <v>1.3263044950639566</v>
      </c>
      <c r="M202">
        <v>1.2220208985310832</v>
      </c>
      <c r="N202">
        <v>1.3784462933303936</v>
      </c>
      <c r="O202">
        <v>1.1698791002646463</v>
      </c>
    </row>
    <row r="203" spans="1:15" x14ac:dyDescent="0.2">
      <c r="A203" s="14">
        <v>43577</v>
      </c>
      <c r="B203">
        <v>1044</v>
      </c>
      <c r="C203">
        <v>1049</v>
      </c>
      <c r="D203">
        <v>795</v>
      </c>
      <c r="E203">
        <v>802.7</v>
      </c>
      <c r="F203">
        <v>1.30683941696773</v>
      </c>
      <c r="G203">
        <v>1.2748162361850099</v>
      </c>
      <c r="H203">
        <v>5.2733244741092103E-2</v>
      </c>
      <c r="I203">
        <v>0.60726740673637802</v>
      </c>
      <c r="J203">
        <v>2.4500000000000002</v>
      </c>
      <c r="L203">
        <v>1.3275494809261021</v>
      </c>
      <c r="M203">
        <v>1.2220829914439177</v>
      </c>
      <c r="N203">
        <v>1.3802827256671941</v>
      </c>
      <c r="O203">
        <v>1.1693497467028258</v>
      </c>
    </row>
    <row r="204" spans="1:15" x14ac:dyDescent="0.2">
      <c r="A204" s="14">
        <v>43574</v>
      </c>
      <c r="B204">
        <v>1026</v>
      </c>
      <c r="C204">
        <v>1048</v>
      </c>
      <c r="D204">
        <v>797.1</v>
      </c>
      <c r="E204">
        <v>793.7</v>
      </c>
      <c r="F204">
        <v>1.32039813531561</v>
      </c>
      <c r="G204">
        <v>1.27541905353311</v>
      </c>
      <c r="H204">
        <v>5.3350671285747997E-2</v>
      </c>
      <c r="I204">
        <v>0.84308370819911305</v>
      </c>
      <c r="J204">
        <v>3.41</v>
      </c>
      <c r="L204">
        <v>1.3287697248188581</v>
      </c>
      <c r="M204">
        <v>1.2220683822473619</v>
      </c>
      <c r="N204">
        <v>1.382120396104606</v>
      </c>
      <c r="O204">
        <v>1.168717710961614</v>
      </c>
    </row>
    <row r="205" spans="1:15" x14ac:dyDescent="0.2">
      <c r="A205" s="14">
        <v>43573</v>
      </c>
      <c r="B205">
        <v>1000</v>
      </c>
      <c r="C205">
        <v>1013</v>
      </c>
      <c r="D205">
        <v>798.4</v>
      </c>
      <c r="E205">
        <v>792.4</v>
      </c>
      <c r="F205">
        <v>1.2783947501261901</v>
      </c>
      <c r="G205">
        <v>1.2763209874277599</v>
      </c>
      <c r="H205">
        <v>5.4659201558244802E-2</v>
      </c>
      <c r="I205">
        <v>3.7939864456712803E-2</v>
      </c>
      <c r="J205">
        <v>0.16</v>
      </c>
      <c r="L205">
        <v>1.3309801889860047</v>
      </c>
      <c r="M205">
        <v>1.2216617858695151</v>
      </c>
      <c r="N205">
        <v>1.3856393905442494</v>
      </c>
      <c r="O205">
        <v>1.1670025843112704</v>
      </c>
    </row>
    <row r="206" spans="1:15" x14ac:dyDescent="0.2">
      <c r="A206" s="14">
        <v>43572</v>
      </c>
      <c r="B206">
        <v>999</v>
      </c>
      <c r="C206">
        <v>1007</v>
      </c>
      <c r="D206">
        <v>794.9</v>
      </c>
      <c r="E206">
        <v>802.2</v>
      </c>
      <c r="F206">
        <v>1.2552979306906</v>
      </c>
      <c r="G206">
        <v>1.2779135153082299</v>
      </c>
      <c r="H206">
        <v>5.6408404502522602E-2</v>
      </c>
      <c r="I206">
        <v>-0.40092579850626098</v>
      </c>
      <c r="J206">
        <v>-1.8</v>
      </c>
      <c r="L206">
        <v>1.3343219198107525</v>
      </c>
      <c r="M206">
        <v>1.2215051108057073</v>
      </c>
      <c r="N206">
        <v>1.3907303243132751</v>
      </c>
      <c r="O206">
        <v>1.1650967063031847</v>
      </c>
    </row>
    <row r="207" spans="1:15" x14ac:dyDescent="0.2">
      <c r="A207" s="14">
        <v>43571</v>
      </c>
      <c r="B207">
        <v>988</v>
      </c>
      <c r="C207">
        <v>986</v>
      </c>
      <c r="D207">
        <v>801.4</v>
      </c>
      <c r="E207">
        <v>793.9</v>
      </c>
      <c r="F207">
        <v>1.2419700214132701</v>
      </c>
      <c r="G207">
        <v>1.27948404270287</v>
      </c>
      <c r="H207">
        <v>5.73881213679737E-2</v>
      </c>
      <c r="I207">
        <v>-0.65368965554837299</v>
      </c>
      <c r="J207">
        <v>-3.02</v>
      </c>
      <c r="L207">
        <v>1.3368721640708436</v>
      </c>
      <c r="M207">
        <v>1.2220959213348963</v>
      </c>
      <c r="N207">
        <v>1.3942602854388173</v>
      </c>
      <c r="O207">
        <v>1.1647077999669226</v>
      </c>
    </row>
    <row r="208" spans="1:15" x14ac:dyDescent="0.2">
      <c r="A208" s="14">
        <v>43570</v>
      </c>
      <c r="B208">
        <v>990</v>
      </c>
      <c r="C208">
        <v>1002</v>
      </c>
      <c r="D208">
        <v>796.6</v>
      </c>
      <c r="E208">
        <v>802.3</v>
      </c>
      <c r="F208">
        <v>1.24890938551663</v>
      </c>
      <c r="G208">
        <v>1.28126632275924</v>
      </c>
      <c r="H208">
        <v>5.8264381340048903E-2</v>
      </c>
      <c r="I208">
        <v>-0.55534679161459699</v>
      </c>
      <c r="J208">
        <v>-2.59</v>
      </c>
      <c r="L208">
        <v>1.339530704099289</v>
      </c>
      <c r="M208">
        <v>1.2230019414191911</v>
      </c>
      <c r="N208">
        <v>1.3977950854393377</v>
      </c>
      <c r="O208">
        <v>1.1647375600791423</v>
      </c>
    </row>
    <row r="209" spans="1:15" x14ac:dyDescent="0.2">
      <c r="A209" s="14">
        <v>43567</v>
      </c>
      <c r="B209">
        <v>982</v>
      </c>
      <c r="C209">
        <v>982</v>
      </c>
      <c r="D209">
        <v>787.9</v>
      </c>
      <c r="E209">
        <v>786.8</v>
      </c>
      <c r="F209">
        <v>1.2480935434672</v>
      </c>
      <c r="G209">
        <v>1.28313457170051</v>
      </c>
      <c r="H209">
        <v>5.9431664197902898E-2</v>
      </c>
      <c r="I209">
        <v>-0.58960200267364005</v>
      </c>
      <c r="J209">
        <v>-2.81</v>
      </c>
      <c r="L209">
        <v>1.342566235898413</v>
      </c>
      <c r="M209">
        <v>1.2237029075026071</v>
      </c>
      <c r="N209">
        <v>1.4019979000963159</v>
      </c>
      <c r="O209">
        <v>1.1642712433047042</v>
      </c>
    </row>
    <row r="210" spans="1:15" x14ac:dyDescent="0.2">
      <c r="A210" s="14">
        <v>43566</v>
      </c>
      <c r="B210">
        <v>976</v>
      </c>
      <c r="C210">
        <v>983</v>
      </c>
      <c r="D210">
        <v>780.4</v>
      </c>
      <c r="E210">
        <v>781.8</v>
      </c>
      <c r="F210">
        <v>1.25735482220516</v>
      </c>
      <c r="G210">
        <v>1.2849682058157601</v>
      </c>
      <c r="H210">
        <v>6.0435268683155803E-2</v>
      </c>
      <c r="I210">
        <v>-0.45690842801362902</v>
      </c>
      <c r="J210">
        <v>-2.2000000000000002</v>
      </c>
      <c r="L210">
        <v>1.3454034744989158</v>
      </c>
      <c r="M210">
        <v>1.2245329371326044</v>
      </c>
      <c r="N210">
        <v>1.4058387431820718</v>
      </c>
      <c r="O210">
        <v>1.1640976684494484</v>
      </c>
    </row>
    <row r="211" spans="1:15" x14ac:dyDescent="0.2">
      <c r="A211" s="14">
        <v>43565</v>
      </c>
      <c r="B211">
        <v>968</v>
      </c>
      <c r="C211">
        <v>976</v>
      </c>
      <c r="D211">
        <v>793.5</v>
      </c>
      <c r="E211">
        <v>788.9</v>
      </c>
      <c r="F211">
        <v>1.2371656737229</v>
      </c>
      <c r="G211">
        <v>1.2864807009771899</v>
      </c>
      <c r="H211">
        <v>6.1140632659378497E-2</v>
      </c>
      <c r="I211">
        <v>-0.80658352897705399</v>
      </c>
      <c r="J211">
        <v>-3.99</v>
      </c>
      <c r="L211">
        <v>1.3476213336365683</v>
      </c>
      <c r="M211">
        <v>1.2253400683178115</v>
      </c>
      <c r="N211">
        <v>1.408761966295947</v>
      </c>
      <c r="O211">
        <v>1.1641994356584329</v>
      </c>
    </row>
    <row r="212" spans="1:15" x14ac:dyDescent="0.2">
      <c r="A212" s="14">
        <v>43564</v>
      </c>
      <c r="B212">
        <v>970</v>
      </c>
      <c r="C212">
        <v>981</v>
      </c>
      <c r="D212">
        <v>801.1</v>
      </c>
      <c r="E212">
        <v>799.4</v>
      </c>
      <c r="F212">
        <v>1.22717037778333</v>
      </c>
      <c r="G212">
        <v>1.2880253193034601</v>
      </c>
      <c r="H212">
        <v>6.1338273203101097E-2</v>
      </c>
      <c r="I212">
        <v>-0.99212022677298195</v>
      </c>
      <c r="J212">
        <v>-4.96</v>
      </c>
      <c r="L212">
        <v>1.3493635925065612</v>
      </c>
      <c r="M212">
        <v>1.2266870461003589</v>
      </c>
      <c r="N212">
        <v>1.4107018657096624</v>
      </c>
      <c r="O212">
        <v>1.1653487728972578</v>
      </c>
    </row>
    <row r="213" spans="1:15" x14ac:dyDescent="0.2">
      <c r="A213" s="14">
        <v>43563</v>
      </c>
      <c r="B213">
        <v>988</v>
      </c>
      <c r="C213">
        <v>975</v>
      </c>
      <c r="D213">
        <v>808</v>
      </c>
      <c r="E213">
        <v>806.1</v>
      </c>
      <c r="F213">
        <v>1.2095273539263101</v>
      </c>
      <c r="G213">
        <v>1.28979458541379</v>
      </c>
      <c r="H213">
        <v>6.14710417863732E-2</v>
      </c>
      <c r="I213">
        <v>-1.3057730787520301</v>
      </c>
      <c r="J213">
        <v>-6.64</v>
      </c>
      <c r="L213">
        <v>1.3512656272001633</v>
      </c>
      <c r="M213">
        <v>1.2283235436274167</v>
      </c>
      <c r="N213">
        <v>1.4127366689865364</v>
      </c>
      <c r="O213">
        <v>1.1668525018410436</v>
      </c>
    </row>
    <row r="214" spans="1:15" x14ac:dyDescent="0.2">
      <c r="A214" s="14">
        <v>43560</v>
      </c>
      <c r="B214">
        <v>977</v>
      </c>
      <c r="C214">
        <v>984</v>
      </c>
      <c r="D214">
        <v>792.4</v>
      </c>
      <c r="E214">
        <v>802.2</v>
      </c>
      <c r="F214">
        <v>1.2266267763649901</v>
      </c>
      <c r="G214">
        <v>1.2916040425528299</v>
      </c>
      <c r="H214">
        <v>6.1077776223628803E-2</v>
      </c>
      <c r="I214">
        <v>-1.06384466176267</v>
      </c>
      <c r="J214">
        <v>-5.3</v>
      </c>
      <c r="L214">
        <v>1.3526818187764587</v>
      </c>
      <c r="M214">
        <v>1.2305262663292011</v>
      </c>
      <c r="N214">
        <v>1.4137595950000874</v>
      </c>
      <c r="O214">
        <v>1.1694484901055724</v>
      </c>
    </row>
    <row r="215" spans="1:15" x14ac:dyDescent="0.2">
      <c r="A215" s="14">
        <v>43559</v>
      </c>
      <c r="B215">
        <v>971</v>
      </c>
      <c r="C215">
        <v>976</v>
      </c>
      <c r="D215">
        <v>789</v>
      </c>
      <c r="E215">
        <v>793.5</v>
      </c>
      <c r="F215">
        <v>1.22999369880277</v>
      </c>
      <c r="G215">
        <v>1.29339777780069</v>
      </c>
      <c r="H215">
        <v>6.1118611710335002E-2</v>
      </c>
      <c r="I215">
        <v>-1.0373939659889599</v>
      </c>
      <c r="J215">
        <v>-5.15</v>
      </c>
      <c r="L215">
        <v>1.354516389511025</v>
      </c>
      <c r="M215">
        <v>1.2322791660903549</v>
      </c>
      <c r="N215">
        <v>1.4156350012213599</v>
      </c>
      <c r="O215">
        <v>1.1711605543800201</v>
      </c>
    </row>
    <row r="216" spans="1:15" x14ac:dyDescent="0.2">
      <c r="A216" s="14">
        <v>43558</v>
      </c>
      <c r="B216">
        <v>969</v>
      </c>
      <c r="C216">
        <v>975</v>
      </c>
      <c r="D216">
        <v>785</v>
      </c>
      <c r="E216">
        <v>791.3</v>
      </c>
      <c r="F216">
        <v>1.2321496271957499</v>
      </c>
      <c r="G216">
        <v>1.2951774283801201</v>
      </c>
      <c r="H216">
        <v>6.1189705369653999E-2</v>
      </c>
      <c r="I216">
        <v>-1.0300392983364499</v>
      </c>
      <c r="J216">
        <v>-5.12</v>
      </c>
      <c r="L216">
        <v>1.356367133749774</v>
      </c>
      <c r="M216">
        <v>1.2339877230104661</v>
      </c>
      <c r="N216">
        <v>1.417556839119428</v>
      </c>
      <c r="O216">
        <v>1.1727980176408122</v>
      </c>
    </row>
    <row r="217" spans="1:15" x14ac:dyDescent="0.2">
      <c r="A217" s="14">
        <v>43557</v>
      </c>
      <c r="B217">
        <v>963</v>
      </c>
      <c r="C217">
        <v>969</v>
      </c>
      <c r="D217">
        <v>797</v>
      </c>
      <c r="E217">
        <v>783.2</v>
      </c>
      <c r="F217">
        <v>1.23723186925434</v>
      </c>
      <c r="G217">
        <v>1.2967946050436501</v>
      </c>
      <c r="H217">
        <v>6.1105279080334203E-2</v>
      </c>
      <c r="I217">
        <v>-0.97475597339151798</v>
      </c>
      <c r="J217">
        <v>-4.8099999999999996</v>
      </c>
      <c r="L217">
        <v>1.3578998841239842</v>
      </c>
      <c r="M217">
        <v>1.2356893259633159</v>
      </c>
      <c r="N217">
        <v>1.4190051632043186</v>
      </c>
      <c r="O217">
        <v>1.1745840468829816</v>
      </c>
    </row>
    <row r="218" spans="1:15" x14ac:dyDescent="0.2">
      <c r="A218" s="14">
        <v>43556</v>
      </c>
      <c r="B218">
        <v>943</v>
      </c>
      <c r="C218">
        <v>951</v>
      </c>
      <c r="D218">
        <v>779</v>
      </c>
      <c r="E218">
        <v>791.4</v>
      </c>
      <c r="F218">
        <v>1.20166793025018</v>
      </c>
      <c r="G218">
        <v>1.2984866122773999</v>
      </c>
      <c r="H218">
        <v>6.1189441240316403E-2</v>
      </c>
      <c r="I218">
        <v>-1.5822775966685501</v>
      </c>
      <c r="J218">
        <v>-8.06</v>
      </c>
      <c r="L218">
        <v>1.3596760535177164</v>
      </c>
      <c r="M218">
        <v>1.2372971710370835</v>
      </c>
      <c r="N218">
        <v>1.4208654947580328</v>
      </c>
      <c r="O218">
        <v>1.176107729796767</v>
      </c>
    </row>
    <row r="219" spans="1:15" x14ac:dyDescent="0.2">
      <c r="A219" s="14">
        <v>43553</v>
      </c>
      <c r="B219">
        <v>936</v>
      </c>
      <c r="C219">
        <v>932</v>
      </c>
      <c r="D219">
        <v>768.4</v>
      </c>
      <c r="E219">
        <v>765</v>
      </c>
      <c r="F219">
        <v>1.21830065359477</v>
      </c>
      <c r="G219">
        <v>1.3006751341115701</v>
      </c>
      <c r="H219">
        <v>6.0620133443740398E-2</v>
      </c>
      <c r="I219">
        <v>-1.35886339797082</v>
      </c>
      <c r="J219">
        <v>-6.76</v>
      </c>
      <c r="L219">
        <v>1.3612952675553105</v>
      </c>
      <c r="M219">
        <v>1.2400550006678297</v>
      </c>
      <c r="N219">
        <v>1.4219154009990509</v>
      </c>
      <c r="O219">
        <v>1.1794348672240893</v>
      </c>
    </row>
    <row r="220" spans="1:15" x14ac:dyDescent="0.2">
      <c r="A220" s="14">
        <v>43552</v>
      </c>
      <c r="B220">
        <v>934</v>
      </c>
      <c r="C220">
        <v>926</v>
      </c>
      <c r="D220">
        <v>779.9</v>
      </c>
      <c r="E220">
        <v>765.9</v>
      </c>
      <c r="F220">
        <v>1.2090351220786</v>
      </c>
      <c r="G220">
        <v>1.3029443829727301</v>
      </c>
      <c r="H220">
        <v>6.0679539184810997E-2</v>
      </c>
      <c r="I220">
        <v>-1.5476264677640199</v>
      </c>
      <c r="J220">
        <v>-7.77</v>
      </c>
      <c r="L220">
        <v>1.363623922157541</v>
      </c>
      <c r="M220">
        <v>1.2422648437879191</v>
      </c>
      <c r="N220">
        <v>1.424303461342352</v>
      </c>
      <c r="O220">
        <v>1.1815853046031082</v>
      </c>
    </row>
    <row r="221" spans="1:15" x14ac:dyDescent="0.2">
      <c r="A221" s="14">
        <v>43551</v>
      </c>
      <c r="B221">
        <v>948</v>
      </c>
      <c r="C221">
        <v>942</v>
      </c>
      <c r="D221">
        <v>785.2</v>
      </c>
      <c r="E221">
        <v>782.5</v>
      </c>
      <c r="F221">
        <v>1.2038338658146901</v>
      </c>
      <c r="G221">
        <v>1.3048605228788901</v>
      </c>
      <c r="H221">
        <v>5.9948458940368703E-2</v>
      </c>
      <c r="I221">
        <v>-1.6852252559935601</v>
      </c>
      <c r="J221">
        <v>-8.39</v>
      </c>
      <c r="L221">
        <v>1.3648089818192588</v>
      </c>
      <c r="M221">
        <v>1.2449120639385214</v>
      </c>
      <c r="N221">
        <v>1.4247574407596275</v>
      </c>
      <c r="O221">
        <v>1.1849636049981527</v>
      </c>
    </row>
    <row r="222" spans="1:15" x14ac:dyDescent="0.2">
      <c r="A222" s="14">
        <v>43550</v>
      </c>
      <c r="B222">
        <v>950</v>
      </c>
      <c r="C222">
        <v>960</v>
      </c>
      <c r="D222">
        <v>789.7</v>
      </c>
      <c r="E222">
        <v>805</v>
      </c>
      <c r="F222">
        <v>1.1925465838509299</v>
      </c>
      <c r="G222">
        <v>1.30705915884699</v>
      </c>
      <c r="H222">
        <v>5.9222394871403697E-2</v>
      </c>
      <c r="I222">
        <v>-1.9336025712016001</v>
      </c>
      <c r="J222">
        <v>-9.6</v>
      </c>
      <c r="L222">
        <v>1.3662815537183937</v>
      </c>
      <c r="M222">
        <v>1.2478367639755863</v>
      </c>
      <c r="N222">
        <v>1.4255039485897973</v>
      </c>
      <c r="O222">
        <v>1.1886143691041826</v>
      </c>
    </row>
    <row r="223" spans="1:15" x14ac:dyDescent="0.2">
      <c r="A223" s="14">
        <v>43549</v>
      </c>
      <c r="B223">
        <v>942</v>
      </c>
      <c r="C223">
        <v>941</v>
      </c>
      <c r="D223">
        <v>793.6</v>
      </c>
      <c r="E223">
        <v>785.4</v>
      </c>
      <c r="F223">
        <v>1.1981156098803101</v>
      </c>
      <c r="G223">
        <v>1.3091105665273499</v>
      </c>
      <c r="H223">
        <v>5.7869511311846797E-2</v>
      </c>
      <c r="I223">
        <v>-1.91802132298836</v>
      </c>
      <c r="J223">
        <v>-9.26</v>
      </c>
      <c r="L223">
        <v>1.3669800778391967</v>
      </c>
      <c r="M223">
        <v>1.2512410552155031</v>
      </c>
      <c r="N223">
        <v>1.4248495891510435</v>
      </c>
      <c r="O223">
        <v>1.1933715439036563</v>
      </c>
    </row>
    <row r="224" spans="1:15" x14ac:dyDescent="0.2">
      <c r="A224" s="14">
        <v>43546</v>
      </c>
      <c r="B224">
        <v>965</v>
      </c>
      <c r="C224">
        <v>964</v>
      </c>
      <c r="D224">
        <v>795</v>
      </c>
      <c r="E224">
        <v>805.9</v>
      </c>
      <c r="F224">
        <v>1.19617818587914</v>
      </c>
      <c r="G224">
        <v>1.31091451933416</v>
      </c>
      <c r="H224">
        <v>5.6473314018765999E-2</v>
      </c>
      <c r="I224">
        <v>-2.0316911703976501</v>
      </c>
      <c r="J224">
        <v>-9.59</v>
      </c>
      <c r="L224">
        <v>1.3673878333529261</v>
      </c>
      <c r="M224">
        <v>1.2544412053153939</v>
      </c>
      <c r="N224">
        <v>1.423861147371692</v>
      </c>
      <c r="O224">
        <v>1.1979678912966281</v>
      </c>
    </row>
    <row r="225" spans="1:15" x14ac:dyDescent="0.2">
      <c r="A225" s="14">
        <v>43544</v>
      </c>
      <c r="B225">
        <v>949</v>
      </c>
      <c r="C225">
        <v>955</v>
      </c>
      <c r="D225">
        <v>785.2</v>
      </c>
      <c r="E225">
        <v>792.7</v>
      </c>
      <c r="F225">
        <v>1.2047432824523701</v>
      </c>
      <c r="G225">
        <v>1.3125814486702101</v>
      </c>
      <c r="H225">
        <v>5.4884795967651397E-2</v>
      </c>
      <c r="I225">
        <v>-1.9648094580036299</v>
      </c>
      <c r="J225">
        <v>-8.9499999999999993</v>
      </c>
      <c r="L225">
        <v>1.3674662446378616</v>
      </c>
      <c r="M225">
        <v>1.2576966527025586</v>
      </c>
      <c r="N225">
        <v>1.4223510406055129</v>
      </c>
      <c r="O225">
        <v>1.2028118567349073</v>
      </c>
    </row>
    <row r="226" spans="1:15" x14ac:dyDescent="0.2">
      <c r="A226" s="14">
        <v>43543</v>
      </c>
      <c r="B226">
        <v>952</v>
      </c>
      <c r="C226">
        <v>948</v>
      </c>
      <c r="D226">
        <v>781</v>
      </c>
      <c r="E226">
        <v>785.1</v>
      </c>
      <c r="F226">
        <v>1.2074894917844801</v>
      </c>
      <c r="G226">
        <v>1.3138264991138899</v>
      </c>
      <c r="H226">
        <v>5.3465166790738199E-2</v>
      </c>
      <c r="I226">
        <v>-1.98890256427339</v>
      </c>
      <c r="J226">
        <v>-8.81</v>
      </c>
      <c r="L226">
        <v>1.3672916659046281</v>
      </c>
      <c r="M226">
        <v>1.2603613323231517</v>
      </c>
      <c r="N226">
        <v>1.4207568326953663</v>
      </c>
      <c r="O226">
        <v>1.2068961655324135</v>
      </c>
    </row>
    <row r="227" spans="1:15" x14ac:dyDescent="0.2">
      <c r="A227" s="14">
        <v>43542</v>
      </c>
      <c r="B227">
        <v>946</v>
      </c>
      <c r="C227">
        <v>945</v>
      </c>
      <c r="D227">
        <v>778.6</v>
      </c>
      <c r="E227">
        <v>779.3</v>
      </c>
      <c r="F227">
        <v>1.21262671628384</v>
      </c>
      <c r="G227">
        <v>1.3145751667372101</v>
      </c>
      <c r="H227">
        <v>5.2352451216916701E-2</v>
      </c>
      <c r="I227">
        <v>-1.9473481772794099</v>
      </c>
      <c r="J227">
        <v>-8.41</v>
      </c>
      <c r="L227">
        <v>1.3669276179541268</v>
      </c>
      <c r="M227">
        <v>1.2622227155202934</v>
      </c>
      <c r="N227">
        <v>1.4192800691710434</v>
      </c>
      <c r="O227">
        <v>1.2098702643033767</v>
      </c>
    </row>
    <row r="228" spans="1:15" x14ac:dyDescent="0.2">
      <c r="A228" s="14">
        <v>43539</v>
      </c>
      <c r="B228">
        <v>949</v>
      </c>
      <c r="C228">
        <v>949</v>
      </c>
      <c r="D228">
        <v>781.6</v>
      </c>
      <c r="E228">
        <v>779.3</v>
      </c>
      <c r="F228">
        <v>1.21775952778134</v>
      </c>
      <c r="G228">
        <v>1.3151247349740001</v>
      </c>
      <c r="H228">
        <v>5.1488578892519302E-2</v>
      </c>
      <c r="I228">
        <v>-1.8910059140670801</v>
      </c>
      <c r="J228">
        <v>-8</v>
      </c>
      <c r="L228">
        <v>1.3666133138665193</v>
      </c>
      <c r="M228">
        <v>1.2636361560814808</v>
      </c>
      <c r="N228">
        <v>1.4181018927590388</v>
      </c>
      <c r="O228">
        <v>1.2121475771889614</v>
      </c>
    </row>
    <row r="229" spans="1:15" x14ac:dyDescent="0.2">
      <c r="A229" s="14">
        <v>43538</v>
      </c>
      <c r="B229">
        <v>945</v>
      </c>
      <c r="C229">
        <v>939</v>
      </c>
      <c r="D229">
        <v>786.5</v>
      </c>
      <c r="E229">
        <v>781.7</v>
      </c>
      <c r="F229">
        <v>1.20122809261865</v>
      </c>
      <c r="G229">
        <v>1.31525548230415</v>
      </c>
      <c r="H229">
        <v>5.1253080829864399E-2</v>
      </c>
      <c r="I229">
        <v>-2.2247909362564902</v>
      </c>
      <c r="J229">
        <v>-9.49</v>
      </c>
      <c r="L229">
        <v>1.3665085631340144</v>
      </c>
      <c r="M229">
        <v>1.2640024014742857</v>
      </c>
      <c r="N229">
        <v>1.4177616439638787</v>
      </c>
      <c r="O229">
        <v>1.2127493206444213</v>
      </c>
    </row>
    <row r="230" spans="1:15" x14ac:dyDescent="0.2">
      <c r="A230" s="14">
        <v>43537</v>
      </c>
      <c r="B230">
        <v>950</v>
      </c>
      <c r="C230">
        <v>940</v>
      </c>
      <c r="D230">
        <v>779.7</v>
      </c>
      <c r="E230">
        <v>777.3</v>
      </c>
      <c r="F230">
        <v>1.2093142930657399</v>
      </c>
      <c r="G230">
        <v>1.3157047849158601</v>
      </c>
      <c r="H230">
        <v>5.0391976310692699E-2</v>
      </c>
      <c r="I230">
        <v>-2.1112585700980699</v>
      </c>
      <c r="J230">
        <v>-8.8000000000000007</v>
      </c>
      <c r="L230">
        <v>1.3660967612265527</v>
      </c>
      <c r="M230">
        <v>1.2653128086051675</v>
      </c>
      <c r="N230">
        <v>1.4164887375372455</v>
      </c>
      <c r="O230">
        <v>1.2149208322944747</v>
      </c>
    </row>
    <row r="231" spans="1:15" x14ac:dyDescent="0.2">
      <c r="A231" s="14">
        <v>43536</v>
      </c>
      <c r="B231">
        <v>950</v>
      </c>
      <c r="C231">
        <v>952</v>
      </c>
      <c r="D231">
        <v>782</v>
      </c>
      <c r="E231">
        <v>783.4</v>
      </c>
      <c r="F231">
        <v>1.21521572632116</v>
      </c>
      <c r="G231">
        <v>1.3157802610470799</v>
      </c>
      <c r="H231">
        <v>5.0236569776255201E-2</v>
      </c>
      <c r="I231">
        <v>-2.0018192956607801</v>
      </c>
      <c r="J231">
        <v>-8.2799999999999994</v>
      </c>
      <c r="L231">
        <v>1.3660168308233351</v>
      </c>
      <c r="M231">
        <v>1.2655436912708247</v>
      </c>
      <c r="N231">
        <v>1.4162534005995904</v>
      </c>
      <c r="O231">
        <v>1.2153071214945694</v>
      </c>
    </row>
    <row r="232" spans="1:15" x14ac:dyDescent="0.2">
      <c r="A232" s="14">
        <v>43535</v>
      </c>
      <c r="B232">
        <v>961</v>
      </c>
      <c r="C232">
        <v>948</v>
      </c>
      <c r="D232">
        <v>766</v>
      </c>
      <c r="E232">
        <v>771.6</v>
      </c>
      <c r="F232">
        <v>1.22861586314152</v>
      </c>
      <c r="G232">
        <v>1.31605346404269</v>
      </c>
      <c r="H232">
        <v>4.97422077263385E-2</v>
      </c>
      <c r="I232">
        <v>-1.7578150407439199</v>
      </c>
      <c r="J232">
        <v>-7.12</v>
      </c>
      <c r="L232">
        <v>1.3657956717690285</v>
      </c>
      <c r="M232">
        <v>1.2663112563163514</v>
      </c>
      <c r="N232">
        <v>1.415537879495367</v>
      </c>
      <c r="O232">
        <v>1.2165690485900129</v>
      </c>
    </row>
    <row r="233" spans="1:15" x14ac:dyDescent="0.2">
      <c r="A233" s="14">
        <v>43532</v>
      </c>
      <c r="B233">
        <v>968</v>
      </c>
      <c r="C233">
        <v>954</v>
      </c>
      <c r="D233">
        <v>774</v>
      </c>
      <c r="E233">
        <v>765.7</v>
      </c>
      <c r="F233">
        <v>1.24591876714117</v>
      </c>
      <c r="G233">
        <v>1.3164694503543599</v>
      </c>
      <c r="H233">
        <v>4.9136003505985799E-2</v>
      </c>
      <c r="I233">
        <v>-1.4358246128949299</v>
      </c>
      <c r="J233">
        <v>-5.66</v>
      </c>
      <c r="L233">
        <v>1.3656054538603457</v>
      </c>
      <c r="M233">
        <v>1.2673334468483741</v>
      </c>
      <c r="N233">
        <v>1.4147414573663315</v>
      </c>
      <c r="O233">
        <v>1.2181974433423883</v>
      </c>
    </row>
    <row r="234" spans="1:15" x14ac:dyDescent="0.2">
      <c r="A234" s="14">
        <v>43531</v>
      </c>
      <c r="B234">
        <v>1000</v>
      </c>
      <c r="C234">
        <v>983</v>
      </c>
      <c r="D234">
        <v>790.1</v>
      </c>
      <c r="E234">
        <v>782.6</v>
      </c>
      <c r="F234">
        <v>1.2560695118834599</v>
      </c>
      <c r="G234">
        <v>1.3161132636833499</v>
      </c>
      <c r="H234">
        <v>4.9739255808896897E-2</v>
      </c>
      <c r="I234">
        <v>-1.2071702888074001</v>
      </c>
      <c r="J234">
        <v>-4.78</v>
      </c>
      <c r="L234">
        <v>1.3658525194922468</v>
      </c>
      <c r="M234">
        <v>1.266374007874453</v>
      </c>
      <c r="N234">
        <v>1.4155917753011438</v>
      </c>
      <c r="O234">
        <v>1.216634752065556</v>
      </c>
    </row>
    <row r="235" spans="1:15" x14ac:dyDescent="0.2">
      <c r="A235" s="14">
        <v>43530</v>
      </c>
      <c r="B235">
        <v>1000</v>
      </c>
      <c r="C235">
        <v>1000</v>
      </c>
      <c r="D235">
        <v>792.4</v>
      </c>
      <c r="E235">
        <v>788.1</v>
      </c>
      <c r="F235">
        <v>1.2688745083111199</v>
      </c>
      <c r="G235">
        <v>1.3156772497684599</v>
      </c>
      <c r="H235">
        <v>5.0402593116940397E-2</v>
      </c>
      <c r="I235">
        <v>-0.92857804654508402</v>
      </c>
      <c r="J235">
        <v>-3.69</v>
      </c>
      <c r="L235">
        <v>1.3660798428854002</v>
      </c>
      <c r="M235">
        <v>1.2652746566515196</v>
      </c>
      <c r="N235">
        <v>1.4164824360023407</v>
      </c>
      <c r="O235">
        <v>1.2148720635345791</v>
      </c>
    </row>
    <row r="236" spans="1:15" x14ac:dyDescent="0.2">
      <c r="A236" s="14">
        <v>43529</v>
      </c>
      <c r="B236">
        <v>1024</v>
      </c>
      <c r="C236">
        <v>1018</v>
      </c>
      <c r="D236">
        <v>791.4</v>
      </c>
      <c r="E236">
        <v>793.4</v>
      </c>
      <c r="F236">
        <v>1.28308545500378</v>
      </c>
      <c r="G236">
        <v>1.3150682587315901</v>
      </c>
      <c r="H236">
        <v>5.1233491771976801E-2</v>
      </c>
      <c r="I236">
        <v>-0.62425578701839401</v>
      </c>
      <c r="J236">
        <v>-2.4900000000000002</v>
      </c>
      <c r="L236">
        <v>1.3663017505035668</v>
      </c>
      <c r="M236">
        <v>1.2638347669596133</v>
      </c>
      <c r="N236">
        <v>1.4175352422755436</v>
      </c>
      <c r="O236">
        <v>1.2126012751876365</v>
      </c>
    </row>
    <row r="237" spans="1:15" x14ac:dyDescent="0.2">
      <c r="A237" s="14">
        <v>43528</v>
      </c>
      <c r="B237">
        <v>1037</v>
      </c>
      <c r="C237">
        <v>1039</v>
      </c>
      <c r="D237">
        <v>799.5</v>
      </c>
      <c r="E237">
        <v>797.9</v>
      </c>
      <c r="F237">
        <v>1.3021681915026899</v>
      </c>
      <c r="G237">
        <v>1.31413155334302</v>
      </c>
      <c r="H237">
        <v>5.2437738940815597E-2</v>
      </c>
      <c r="I237">
        <v>-0.228144120665288</v>
      </c>
      <c r="J237">
        <v>-0.92</v>
      </c>
      <c r="L237">
        <v>1.3665692922838355</v>
      </c>
      <c r="M237">
        <v>1.2616938144022045</v>
      </c>
      <c r="N237">
        <v>1.4190070312246512</v>
      </c>
      <c r="O237">
        <v>1.2092560754613888</v>
      </c>
    </row>
    <row r="238" spans="1:15" x14ac:dyDescent="0.2">
      <c r="A238" s="14">
        <v>43525</v>
      </c>
      <c r="B238">
        <v>1019</v>
      </c>
      <c r="C238">
        <v>1023</v>
      </c>
      <c r="D238">
        <v>799.3</v>
      </c>
      <c r="E238">
        <v>795.3</v>
      </c>
      <c r="F238">
        <v>1.2863070539418999</v>
      </c>
      <c r="G238">
        <v>1.31333217122794</v>
      </c>
      <c r="H238">
        <v>5.3067220870182202E-2</v>
      </c>
      <c r="I238">
        <v>-0.50926196704645299</v>
      </c>
      <c r="J238">
        <v>-2.1</v>
      </c>
      <c r="L238">
        <v>1.3663993920981221</v>
      </c>
      <c r="M238">
        <v>1.2602649503577579</v>
      </c>
      <c r="N238">
        <v>1.4194666129683045</v>
      </c>
      <c r="O238">
        <v>1.2071977294875755</v>
      </c>
    </row>
    <row r="239" spans="1:15" x14ac:dyDescent="0.2">
      <c r="A239" s="14">
        <v>43524</v>
      </c>
      <c r="B239">
        <v>1035</v>
      </c>
      <c r="C239">
        <v>1023</v>
      </c>
      <c r="D239">
        <v>798.2</v>
      </c>
      <c r="E239">
        <v>794.7</v>
      </c>
      <c r="F239">
        <v>1.28727821819554</v>
      </c>
      <c r="G239">
        <v>1.31259464843358</v>
      </c>
      <c r="H239">
        <v>5.3816770262297302E-2</v>
      </c>
      <c r="I239">
        <v>-0.47041898119585401</v>
      </c>
      <c r="J239">
        <v>-1.97</v>
      </c>
      <c r="L239">
        <v>1.3664114186958773</v>
      </c>
      <c r="M239">
        <v>1.2587778781712826</v>
      </c>
      <c r="N239">
        <v>1.4202281889581745</v>
      </c>
      <c r="O239">
        <v>1.2049611079089855</v>
      </c>
    </row>
    <row r="240" spans="1:15" x14ac:dyDescent="0.2">
      <c r="A240" s="14">
        <v>43523</v>
      </c>
      <c r="B240">
        <v>1040</v>
      </c>
      <c r="C240">
        <v>1033</v>
      </c>
      <c r="D240">
        <v>800.6</v>
      </c>
      <c r="E240">
        <v>802</v>
      </c>
      <c r="F240">
        <v>1.28802992518703</v>
      </c>
      <c r="G240">
        <v>1.3123789076621999</v>
      </c>
      <c r="H240">
        <v>5.3950093566121099E-2</v>
      </c>
      <c r="I240">
        <v>-0.45132419363341197</v>
      </c>
      <c r="J240">
        <v>-1.89</v>
      </c>
      <c r="L240">
        <v>1.3663290012283209</v>
      </c>
      <c r="M240">
        <v>1.2584288140960789</v>
      </c>
      <c r="N240">
        <v>1.4202790947944421</v>
      </c>
      <c r="O240">
        <v>1.2044787205299576</v>
      </c>
    </row>
    <row r="241" spans="1:15" x14ac:dyDescent="0.2">
      <c r="A241" s="14">
        <v>43522</v>
      </c>
      <c r="B241">
        <v>1025</v>
      </c>
      <c r="C241">
        <v>1042</v>
      </c>
      <c r="D241">
        <v>805</v>
      </c>
      <c r="E241">
        <v>802.3</v>
      </c>
      <c r="F241">
        <v>1.29876604761311</v>
      </c>
      <c r="G241">
        <v>1.3113346759071001</v>
      </c>
      <c r="H241">
        <v>5.5155739811221197E-2</v>
      </c>
      <c r="I241">
        <v>-0.22787525535887301</v>
      </c>
      <c r="J241">
        <v>-0.97</v>
      </c>
      <c r="L241">
        <v>1.3664904157183213</v>
      </c>
      <c r="M241">
        <v>1.2561789360958788</v>
      </c>
      <c r="N241">
        <v>1.4216461555295425</v>
      </c>
      <c r="O241">
        <v>1.2010231962846576</v>
      </c>
    </row>
    <row r="242" spans="1:15" x14ac:dyDescent="0.2">
      <c r="A242" s="14">
        <v>43521</v>
      </c>
      <c r="B242">
        <v>1030</v>
      </c>
      <c r="C242">
        <v>1038</v>
      </c>
      <c r="D242">
        <v>812.1</v>
      </c>
      <c r="E242">
        <v>804.2</v>
      </c>
      <c r="F242">
        <v>1.29072370057199</v>
      </c>
      <c r="G242">
        <v>1.31036359449037</v>
      </c>
      <c r="H242">
        <v>5.6003106088756097E-2</v>
      </c>
      <c r="I242">
        <v>-0.35069293991039602</v>
      </c>
      <c r="J242">
        <v>-1.52</v>
      </c>
      <c r="L242">
        <v>1.366366700579126</v>
      </c>
      <c r="M242">
        <v>1.254360488401614</v>
      </c>
      <c r="N242">
        <v>1.4223698066678823</v>
      </c>
      <c r="O242">
        <v>1.1983573823128577</v>
      </c>
    </row>
    <row r="243" spans="1:15" x14ac:dyDescent="0.2">
      <c r="A243" s="14">
        <v>43518</v>
      </c>
      <c r="B243">
        <v>1028</v>
      </c>
      <c r="C243">
        <v>1031</v>
      </c>
      <c r="D243">
        <v>793</v>
      </c>
      <c r="E243">
        <v>807</v>
      </c>
      <c r="F243">
        <v>1.2775712515489399</v>
      </c>
      <c r="G243">
        <v>1.3089420785846</v>
      </c>
      <c r="H243">
        <v>5.7807586764883602E-2</v>
      </c>
      <c r="I243">
        <v>-0.54267664144594396</v>
      </c>
      <c r="J243">
        <v>-2.46</v>
      </c>
      <c r="L243">
        <v>1.3667496653494835</v>
      </c>
      <c r="M243">
        <v>1.2511344918197165</v>
      </c>
      <c r="N243">
        <v>1.4245572521143672</v>
      </c>
      <c r="O243">
        <v>1.1933269050548327</v>
      </c>
    </row>
    <row r="244" spans="1:15" x14ac:dyDescent="0.2">
      <c r="A244" s="14">
        <v>43517</v>
      </c>
      <c r="B244">
        <v>1031</v>
      </c>
      <c r="C244">
        <v>1027</v>
      </c>
      <c r="D244">
        <v>816.1</v>
      </c>
      <c r="E244">
        <v>818.9</v>
      </c>
      <c r="F244">
        <v>1.25412138234216</v>
      </c>
      <c r="G244">
        <v>1.30775635345206</v>
      </c>
      <c r="H244">
        <v>5.9330863016864202E-2</v>
      </c>
      <c r="I244">
        <v>-0.903997824785572</v>
      </c>
      <c r="J244">
        <v>-4.28</v>
      </c>
      <c r="L244">
        <v>1.3670872164689243</v>
      </c>
      <c r="M244">
        <v>1.2484254904351957</v>
      </c>
      <c r="N244">
        <v>1.4264180794857884</v>
      </c>
      <c r="O244">
        <v>1.1890946274183316</v>
      </c>
    </row>
    <row r="245" spans="1:15" x14ac:dyDescent="0.2">
      <c r="A245" s="14">
        <v>43516</v>
      </c>
      <c r="B245">
        <v>1034</v>
      </c>
      <c r="C245">
        <v>1035</v>
      </c>
      <c r="D245">
        <v>812</v>
      </c>
      <c r="E245">
        <v>821.2</v>
      </c>
      <c r="F245">
        <v>1.26035070628348</v>
      </c>
      <c r="G245">
        <v>1.30685190537115</v>
      </c>
      <c r="H245">
        <v>6.0644087495842797E-2</v>
      </c>
      <c r="I245">
        <v>-0.76678866824167802</v>
      </c>
      <c r="J245">
        <v>-3.69</v>
      </c>
      <c r="L245">
        <v>1.3674959928669927</v>
      </c>
      <c r="M245">
        <v>1.2462078178753073</v>
      </c>
      <c r="N245">
        <v>1.4281400803628357</v>
      </c>
      <c r="O245">
        <v>1.1855637303794644</v>
      </c>
    </row>
    <row r="246" spans="1:15" x14ac:dyDescent="0.2">
      <c r="A246" s="14">
        <v>43515</v>
      </c>
      <c r="B246">
        <v>1034</v>
      </c>
      <c r="C246">
        <v>1030</v>
      </c>
      <c r="D246">
        <v>800</v>
      </c>
      <c r="E246">
        <v>807.5</v>
      </c>
      <c r="F246">
        <v>1.2755417956656301</v>
      </c>
      <c r="G246">
        <v>1.30590088782396</v>
      </c>
      <c r="H246">
        <v>6.1911876118840602E-2</v>
      </c>
      <c r="I246">
        <v>-0.49035975101211199</v>
      </c>
      <c r="J246">
        <v>-2.38</v>
      </c>
      <c r="L246">
        <v>1.3678127639428006</v>
      </c>
      <c r="M246">
        <v>1.2439890117051193</v>
      </c>
      <c r="N246">
        <v>1.4297246400616412</v>
      </c>
      <c r="O246">
        <v>1.1820771355862787</v>
      </c>
    </row>
    <row r="247" spans="1:15" x14ac:dyDescent="0.2">
      <c r="A247" s="14">
        <v>43514</v>
      </c>
      <c r="B247">
        <v>1039</v>
      </c>
      <c r="C247">
        <v>1032</v>
      </c>
      <c r="D247">
        <v>802</v>
      </c>
      <c r="E247">
        <v>806.1</v>
      </c>
      <c r="F247">
        <v>1.28023818384815</v>
      </c>
      <c r="G247">
        <v>1.3048924529989401</v>
      </c>
      <c r="H247">
        <v>6.3004478849191706E-2</v>
      </c>
      <c r="I247">
        <v>-0.39130978624233098</v>
      </c>
      <c r="J247">
        <v>-1.93</v>
      </c>
      <c r="L247">
        <v>1.3678969318481318</v>
      </c>
      <c r="M247">
        <v>1.2418879741497484</v>
      </c>
      <c r="N247">
        <v>1.4309014106973235</v>
      </c>
      <c r="O247">
        <v>1.1788834953005567</v>
      </c>
    </row>
    <row r="248" spans="1:15" x14ac:dyDescent="0.2">
      <c r="A248" s="14">
        <v>43511</v>
      </c>
      <c r="B248">
        <v>1015</v>
      </c>
      <c r="C248">
        <v>1018</v>
      </c>
      <c r="D248">
        <v>780.9</v>
      </c>
      <c r="E248">
        <v>787.6</v>
      </c>
      <c r="F248">
        <v>1.2925342813610901</v>
      </c>
      <c r="G248">
        <v>1.30372863367703</v>
      </c>
      <c r="H248">
        <v>6.4243145667908605E-2</v>
      </c>
      <c r="I248">
        <v>-0.17424975379951399</v>
      </c>
      <c r="J248">
        <v>-0.87</v>
      </c>
      <c r="L248">
        <v>1.3679717793449386</v>
      </c>
      <c r="M248">
        <v>1.2394854880091213</v>
      </c>
      <c r="N248">
        <v>1.4322149250128471</v>
      </c>
      <c r="O248">
        <v>1.1752423423412128</v>
      </c>
    </row>
    <row r="249" spans="1:15" x14ac:dyDescent="0.2">
      <c r="A249" s="14">
        <v>43510</v>
      </c>
      <c r="B249">
        <v>1014</v>
      </c>
      <c r="C249">
        <v>1017</v>
      </c>
      <c r="D249">
        <v>800.4</v>
      </c>
      <c r="E249">
        <v>788.8</v>
      </c>
      <c r="F249">
        <v>1.28930020283975</v>
      </c>
      <c r="G249">
        <v>1.3023460655174299</v>
      </c>
      <c r="H249">
        <v>6.5571230615622006E-2</v>
      </c>
      <c r="I249">
        <v>-0.19895711206262501</v>
      </c>
      <c r="J249">
        <v>-1.01</v>
      </c>
      <c r="L249">
        <v>1.3679172961330519</v>
      </c>
      <c r="M249">
        <v>1.236774834901808</v>
      </c>
      <c r="N249">
        <v>1.4334885267486739</v>
      </c>
      <c r="O249">
        <v>1.171203604286186</v>
      </c>
    </row>
    <row r="250" spans="1:15" x14ac:dyDescent="0.2">
      <c r="A250" s="14">
        <v>43509</v>
      </c>
      <c r="B250">
        <v>1030</v>
      </c>
      <c r="C250">
        <v>1017</v>
      </c>
      <c r="D250">
        <v>799.8</v>
      </c>
      <c r="E250">
        <v>790</v>
      </c>
      <c r="F250">
        <v>1.2873417721518901</v>
      </c>
      <c r="G250">
        <v>1.3010801918247901</v>
      </c>
      <c r="H250">
        <v>6.6717279563790297E-2</v>
      </c>
      <c r="I250">
        <v>-0.205919962005642</v>
      </c>
      <c r="J250">
        <v>-1.07</v>
      </c>
      <c r="L250">
        <v>1.3677974713885803</v>
      </c>
      <c r="M250">
        <v>1.2343629122609998</v>
      </c>
      <c r="N250">
        <v>1.4345147509523706</v>
      </c>
      <c r="O250">
        <v>1.1676456326972096</v>
      </c>
    </row>
    <row r="251" spans="1:15" x14ac:dyDescent="0.2">
      <c r="A251" s="14">
        <v>43508</v>
      </c>
      <c r="B251">
        <v>1002</v>
      </c>
      <c r="C251">
        <v>1013</v>
      </c>
      <c r="D251">
        <v>776</v>
      </c>
      <c r="E251">
        <v>782.6</v>
      </c>
      <c r="F251">
        <v>1.29440327114745</v>
      </c>
      <c r="G251">
        <v>1.2997650859866501</v>
      </c>
      <c r="H251">
        <v>6.7936099338106806E-2</v>
      </c>
      <c r="I251">
        <v>-7.8924384700335498E-2</v>
      </c>
      <c r="J251">
        <v>-0.41</v>
      </c>
      <c r="L251">
        <v>1.3677011853247569</v>
      </c>
      <c r="M251">
        <v>1.2318289866485432</v>
      </c>
      <c r="N251">
        <v>1.4356372846628638</v>
      </c>
      <c r="O251">
        <v>1.1638928873104364</v>
      </c>
    </row>
    <row r="252" spans="1:15" x14ac:dyDescent="0.2">
      <c r="A252" s="14">
        <v>43504</v>
      </c>
      <c r="B252">
        <v>1017</v>
      </c>
      <c r="C252">
        <v>998</v>
      </c>
      <c r="D252">
        <v>799.9</v>
      </c>
      <c r="E252">
        <v>769.1</v>
      </c>
      <c r="F252">
        <v>1.2976205955012301</v>
      </c>
      <c r="G252">
        <v>1.29834659609036</v>
      </c>
      <c r="H252">
        <v>6.9133359234038502E-2</v>
      </c>
      <c r="I252">
        <v>-1.05014510675471E-2</v>
      </c>
      <c r="J252">
        <v>-0.06</v>
      </c>
      <c r="L252">
        <v>1.3674799553243984</v>
      </c>
      <c r="M252">
        <v>1.2292132368563216</v>
      </c>
      <c r="N252">
        <v>1.436613314558437</v>
      </c>
      <c r="O252">
        <v>1.1600798776222829</v>
      </c>
    </row>
    <row r="253" spans="1:15" x14ac:dyDescent="0.2">
      <c r="A253" s="14">
        <v>43503</v>
      </c>
      <c r="B253">
        <v>1058</v>
      </c>
      <c r="C253">
        <v>1036</v>
      </c>
      <c r="D253">
        <v>849.2</v>
      </c>
      <c r="E253">
        <v>832</v>
      </c>
      <c r="F253">
        <v>1.2451923076922999</v>
      </c>
      <c r="G253">
        <v>1.2968176443472299</v>
      </c>
      <c r="H253">
        <v>7.0389137746841995E-2</v>
      </c>
      <c r="I253">
        <v>-0.733427604136903</v>
      </c>
      <c r="J253">
        <v>-4.1500000000000004</v>
      </c>
      <c r="L253">
        <v>1.3672067820940719</v>
      </c>
      <c r="M253">
        <v>1.2264285066003879</v>
      </c>
      <c r="N253">
        <v>1.4375959198409138</v>
      </c>
      <c r="O253">
        <v>1.156039368853546</v>
      </c>
    </row>
    <row r="254" spans="1:15" x14ac:dyDescent="0.2">
      <c r="A254" s="14">
        <v>43502</v>
      </c>
      <c r="B254">
        <v>1059</v>
      </c>
      <c r="C254">
        <v>1069</v>
      </c>
      <c r="D254">
        <v>853.8</v>
      </c>
      <c r="E254">
        <v>846.3</v>
      </c>
      <c r="F254">
        <v>1.26314545669384</v>
      </c>
      <c r="G254">
        <v>1.2958750355019399</v>
      </c>
      <c r="H254">
        <v>7.1538140574765693E-2</v>
      </c>
      <c r="I254">
        <v>-0.45751229407330102</v>
      </c>
      <c r="J254">
        <v>-2.59</v>
      </c>
      <c r="L254">
        <v>1.3674131760767056</v>
      </c>
      <c r="M254">
        <v>1.2243368949271742</v>
      </c>
      <c r="N254">
        <v>1.4389513166514714</v>
      </c>
      <c r="O254">
        <v>1.1527987543524085</v>
      </c>
    </row>
    <row r="255" spans="1:15" x14ac:dyDescent="0.2">
      <c r="A255" s="14">
        <v>43501</v>
      </c>
      <c r="B255">
        <v>1057</v>
      </c>
      <c r="C255">
        <v>1055</v>
      </c>
      <c r="D255">
        <v>845</v>
      </c>
      <c r="E255">
        <v>848.9</v>
      </c>
      <c r="F255">
        <v>1.24278478030392</v>
      </c>
      <c r="G255">
        <v>1.2946870043980701</v>
      </c>
      <c r="H255">
        <v>7.2800535692079393E-2</v>
      </c>
      <c r="I255">
        <v>-0.71293739257196997</v>
      </c>
      <c r="J255">
        <v>-4.18</v>
      </c>
      <c r="L255">
        <v>1.3674875400901494</v>
      </c>
      <c r="M255">
        <v>1.2218864687059907</v>
      </c>
      <c r="N255">
        <v>1.4402880757822287</v>
      </c>
      <c r="O255">
        <v>1.1490859330139114</v>
      </c>
    </row>
    <row r="256" spans="1:15" x14ac:dyDescent="0.2">
      <c r="A256" s="14">
        <v>43500</v>
      </c>
      <c r="B256">
        <v>1025</v>
      </c>
      <c r="C256">
        <v>1035</v>
      </c>
      <c r="D256">
        <v>835.2</v>
      </c>
      <c r="E256">
        <v>843.1</v>
      </c>
      <c r="F256">
        <v>1.2276123828727299</v>
      </c>
      <c r="G256">
        <v>1.29380040214498</v>
      </c>
      <c r="H256">
        <v>7.3824927753318406E-2</v>
      </c>
      <c r="I256">
        <v>-0.89655379675297397</v>
      </c>
      <c r="J256">
        <v>-5.39</v>
      </c>
      <c r="L256">
        <v>1.3676253298982985</v>
      </c>
      <c r="M256">
        <v>1.2199754743916615</v>
      </c>
      <c r="N256">
        <v>1.4414502576516168</v>
      </c>
      <c r="O256">
        <v>1.1461505466383433</v>
      </c>
    </row>
    <row r="257" spans="1:15" x14ac:dyDescent="0.2">
      <c r="A257" s="14">
        <v>43497</v>
      </c>
      <c r="B257">
        <v>1065</v>
      </c>
      <c r="C257">
        <v>1041</v>
      </c>
      <c r="D257">
        <v>841.9</v>
      </c>
      <c r="E257">
        <v>831.7</v>
      </c>
      <c r="F257">
        <v>1.2516532403510801</v>
      </c>
      <c r="G257">
        <v>1.29288862649234</v>
      </c>
      <c r="H257">
        <v>7.5048890630941403E-2</v>
      </c>
      <c r="I257">
        <v>-0.54944697775795304</v>
      </c>
      <c r="J257">
        <v>-3.29</v>
      </c>
      <c r="L257">
        <v>1.3679375171232815</v>
      </c>
      <c r="M257">
        <v>1.2178397358613986</v>
      </c>
      <c r="N257">
        <v>1.4429864077542229</v>
      </c>
      <c r="O257">
        <v>1.1427908452304572</v>
      </c>
    </row>
    <row r="258" spans="1:15" x14ac:dyDescent="0.2">
      <c r="A258" s="14">
        <v>43496</v>
      </c>
      <c r="B258">
        <v>1087</v>
      </c>
      <c r="C258">
        <v>1091</v>
      </c>
      <c r="D258">
        <v>850</v>
      </c>
      <c r="E258">
        <v>846.6</v>
      </c>
      <c r="F258">
        <v>1.2886841483581299</v>
      </c>
      <c r="G258">
        <v>1.2911769117027001</v>
      </c>
      <c r="H258">
        <v>7.7397157713469097E-2</v>
      </c>
      <c r="I258">
        <v>-3.22074274845527E-2</v>
      </c>
      <c r="J258">
        <v>-0.19</v>
      </c>
      <c r="L258">
        <v>1.3685740694161692</v>
      </c>
      <c r="M258">
        <v>1.213779753989231</v>
      </c>
      <c r="N258">
        <v>1.4459712271296383</v>
      </c>
      <c r="O258">
        <v>1.1363825962757619</v>
      </c>
    </row>
    <row r="259" spans="1:15" x14ac:dyDescent="0.2">
      <c r="A259" s="14">
        <v>43495</v>
      </c>
      <c r="B259">
        <v>1092</v>
      </c>
      <c r="C259">
        <v>1080</v>
      </c>
      <c r="D259">
        <v>831.1</v>
      </c>
      <c r="E259">
        <v>840.8</v>
      </c>
      <c r="F259">
        <v>1.2844909609895301</v>
      </c>
      <c r="G259">
        <v>1.28928520948945</v>
      </c>
      <c r="H259">
        <v>7.9148991853996806E-2</v>
      </c>
      <c r="I259">
        <v>-6.05724518735773E-2</v>
      </c>
      <c r="J259">
        <v>-0.37</v>
      </c>
      <c r="L259">
        <v>1.3684342013434467</v>
      </c>
      <c r="M259">
        <v>1.2101362176354533</v>
      </c>
      <c r="N259">
        <v>1.4475831931974437</v>
      </c>
      <c r="O259">
        <v>1.1309872257814564</v>
      </c>
    </row>
    <row r="260" spans="1:15" x14ac:dyDescent="0.2">
      <c r="A260" s="14">
        <v>43494</v>
      </c>
      <c r="B260">
        <v>1100</v>
      </c>
      <c r="C260">
        <v>1097</v>
      </c>
      <c r="D260">
        <v>821.8</v>
      </c>
      <c r="E260">
        <v>822.5</v>
      </c>
      <c r="F260">
        <v>1.3337386018237001</v>
      </c>
      <c r="G260">
        <v>1.2879336713326901</v>
      </c>
      <c r="H260">
        <v>8.0079302131469896E-2</v>
      </c>
      <c r="I260">
        <v>0.57199462622451203</v>
      </c>
      <c r="J260">
        <v>3.43</v>
      </c>
      <c r="L260">
        <v>1.36801297346416</v>
      </c>
      <c r="M260">
        <v>1.2078543692012202</v>
      </c>
      <c r="N260">
        <v>1.4480922755956298</v>
      </c>
      <c r="O260">
        <v>1.1277750670697504</v>
      </c>
    </row>
    <row r="261" spans="1:15" x14ac:dyDescent="0.2">
      <c r="A261" s="14">
        <v>43493</v>
      </c>
      <c r="B261">
        <v>1134</v>
      </c>
      <c r="C261">
        <v>1123</v>
      </c>
      <c r="D261">
        <v>833.2</v>
      </c>
      <c r="E261">
        <v>819.4</v>
      </c>
      <c r="F261">
        <v>1.3705150109836399</v>
      </c>
      <c r="G261">
        <v>1.2859057722203899</v>
      </c>
      <c r="H261">
        <v>8.0816055397522596E-2</v>
      </c>
      <c r="I261">
        <v>1.04693601224495</v>
      </c>
      <c r="J261">
        <v>6.17</v>
      </c>
      <c r="L261">
        <v>1.3667218276179125</v>
      </c>
      <c r="M261">
        <v>1.2050897168228674</v>
      </c>
      <c r="N261">
        <v>1.4475378830154351</v>
      </c>
      <c r="O261">
        <v>1.1242736614253448</v>
      </c>
    </row>
    <row r="262" spans="1:15" x14ac:dyDescent="0.2">
      <c r="A262" s="14">
        <v>43490</v>
      </c>
      <c r="B262">
        <v>1132</v>
      </c>
      <c r="C262">
        <v>1133</v>
      </c>
      <c r="D262">
        <v>821.2</v>
      </c>
      <c r="E262">
        <v>831.6</v>
      </c>
      <c r="F262">
        <v>1.3624338624338601</v>
      </c>
      <c r="G262">
        <v>1.2834960794599399</v>
      </c>
      <c r="H262">
        <v>8.0951591031727499E-2</v>
      </c>
      <c r="I262">
        <v>0.97512330477824705</v>
      </c>
      <c r="J262">
        <v>5.79</v>
      </c>
      <c r="L262">
        <v>1.3644476704916675</v>
      </c>
      <c r="M262">
        <v>1.2025444884282124</v>
      </c>
      <c r="N262">
        <v>1.445399261523395</v>
      </c>
      <c r="O262">
        <v>1.1215928973964848</v>
      </c>
    </row>
    <row r="263" spans="1:15" x14ac:dyDescent="0.2">
      <c r="A263" s="14">
        <v>43489</v>
      </c>
      <c r="B263">
        <v>1100</v>
      </c>
      <c r="C263">
        <v>1120</v>
      </c>
      <c r="D263">
        <v>813.6</v>
      </c>
      <c r="E263">
        <v>826.2</v>
      </c>
      <c r="F263">
        <v>1.35560396998305</v>
      </c>
      <c r="G263">
        <v>1.2810439074395501</v>
      </c>
      <c r="H263">
        <v>8.1308025241973295E-2</v>
      </c>
      <c r="I263">
        <v>0.91700742111998901</v>
      </c>
      <c r="J263">
        <v>5.5</v>
      </c>
      <c r="L263">
        <v>1.3623519326815234</v>
      </c>
      <c r="M263">
        <v>1.1997358821975768</v>
      </c>
      <c r="N263">
        <v>1.4436599579234968</v>
      </c>
      <c r="O263">
        <v>1.1184278569556034</v>
      </c>
    </row>
    <row r="264" spans="1:15" x14ac:dyDescent="0.2">
      <c r="A264" s="14">
        <v>43488</v>
      </c>
      <c r="B264">
        <v>1102</v>
      </c>
      <c r="C264">
        <v>1108</v>
      </c>
      <c r="D264">
        <v>813</v>
      </c>
      <c r="E264">
        <v>814.4</v>
      </c>
      <c r="F264">
        <v>1.36051080550098</v>
      </c>
      <c r="G264">
        <v>1.2788188454285601</v>
      </c>
      <c r="H264">
        <v>8.1520304917529901E-2</v>
      </c>
      <c r="I264">
        <v>1.00210567361172</v>
      </c>
      <c r="J264">
        <v>6</v>
      </c>
      <c r="L264">
        <v>1.36033915034609</v>
      </c>
      <c r="M264">
        <v>1.1972985405110301</v>
      </c>
      <c r="N264">
        <v>1.4418594552636199</v>
      </c>
      <c r="O264">
        <v>1.1157782355935002</v>
      </c>
    </row>
    <row r="265" spans="1:15" x14ac:dyDescent="0.2">
      <c r="A265" s="14">
        <v>43487</v>
      </c>
      <c r="B265">
        <v>1126</v>
      </c>
      <c r="C265">
        <v>1112</v>
      </c>
      <c r="D265">
        <v>833.4</v>
      </c>
      <c r="E265">
        <v>816</v>
      </c>
      <c r="F265">
        <v>1.36274509803921</v>
      </c>
      <c r="G265">
        <v>1.27662741930393</v>
      </c>
      <c r="H265">
        <v>8.15039269539546E-2</v>
      </c>
      <c r="I265">
        <v>1.0566077237472</v>
      </c>
      <c r="J265">
        <v>6.32</v>
      </c>
      <c r="L265">
        <v>1.3581313462578846</v>
      </c>
      <c r="M265">
        <v>1.1951234923499754</v>
      </c>
      <c r="N265">
        <v>1.4396352732118392</v>
      </c>
      <c r="O265">
        <v>1.1136195653960208</v>
      </c>
    </row>
    <row r="266" spans="1:15" x14ac:dyDescent="0.2">
      <c r="A266" s="14">
        <v>43486</v>
      </c>
      <c r="B266">
        <v>1108</v>
      </c>
      <c r="C266">
        <v>1113</v>
      </c>
      <c r="D266">
        <v>831.9</v>
      </c>
      <c r="E266">
        <v>830.1</v>
      </c>
      <c r="F266">
        <v>1.34080231297434</v>
      </c>
      <c r="G266">
        <v>1.27461069582405</v>
      </c>
      <c r="H266">
        <v>8.12189009123961E-2</v>
      </c>
      <c r="I266">
        <v>0.81497799658331005</v>
      </c>
      <c r="J266">
        <v>4.9400000000000004</v>
      </c>
      <c r="L266">
        <v>1.355829596736446</v>
      </c>
      <c r="M266">
        <v>1.1933917949116539</v>
      </c>
      <c r="N266">
        <v>1.4370484976488422</v>
      </c>
      <c r="O266">
        <v>1.1121728939992577</v>
      </c>
    </row>
    <row r="267" spans="1:15" x14ac:dyDescent="0.2">
      <c r="A267" s="14">
        <v>43483</v>
      </c>
      <c r="B267">
        <v>1078</v>
      </c>
      <c r="C267">
        <v>1092</v>
      </c>
      <c r="D267">
        <v>805</v>
      </c>
      <c r="E267">
        <v>818.9</v>
      </c>
      <c r="F267">
        <v>1.33349615337648</v>
      </c>
      <c r="G267">
        <v>1.2728889531479299</v>
      </c>
      <c r="H267">
        <v>8.1166159461225906E-2</v>
      </c>
      <c r="I267">
        <v>0.74670528494697896</v>
      </c>
      <c r="J267">
        <v>4.54</v>
      </c>
      <c r="L267">
        <v>1.3540551126091558</v>
      </c>
      <c r="M267">
        <v>1.1917227936867041</v>
      </c>
      <c r="N267">
        <v>1.4352212720703816</v>
      </c>
      <c r="O267">
        <v>1.1105566342254782</v>
      </c>
    </row>
    <row r="268" spans="1:15" x14ac:dyDescent="0.2">
      <c r="A268" s="14">
        <v>43482</v>
      </c>
      <c r="B268">
        <v>1097</v>
      </c>
      <c r="C268">
        <v>1082</v>
      </c>
      <c r="D268">
        <v>795.7</v>
      </c>
      <c r="E268">
        <v>803.4</v>
      </c>
      <c r="F268">
        <v>1.3467762011451301</v>
      </c>
      <c r="G268">
        <v>1.2713742409062601</v>
      </c>
      <c r="H268">
        <v>8.1080963489595301E-2</v>
      </c>
      <c r="I268">
        <v>0.92995885832741998</v>
      </c>
      <c r="J268">
        <v>5.6</v>
      </c>
      <c r="L268">
        <v>1.3524552043958553</v>
      </c>
      <c r="M268">
        <v>1.1902932774166648</v>
      </c>
      <c r="N268">
        <v>1.4335361678854506</v>
      </c>
      <c r="O268">
        <v>1.1092123139270695</v>
      </c>
    </row>
    <row r="269" spans="1:15" x14ac:dyDescent="0.2">
      <c r="A269" s="14">
        <v>43481</v>
      </c>
      <c r="B269">
        <v>1088</v>
      </c>
      <c r="C269">
        <v>1085</v>
      </c>
      <c r="D269">
        <v>797.8</v>
      </c>
      <c r="E269">
        <v>792.2</v>
      </c>
      <c r="F269">
        <v>1.3696036354455901</v>
      </c>
      <c r="G269">
        <v>1.2699852722282701</v>
      </c>
      <c r="H269">
        <v>8.06686062448322E-2</v>
      </c>
      <c r="I269">
        <v>1.2349086944055701</v>
      </c>
      <c r="J269">
        <v>7.27</v>
      </c>
      <c r="L269">
        <v>1.3506538784731024</v>
      </c>
      <c r="M269">
        <v>1.1893166659834378</v>
      </c>
      <c r="N269">
        <v>1.4313224847179344</v>
      </c>
      <c r="O269">
        <v>1.1086480597386057</v>
      </c>
    </row>
    <row r="270" spans="1:15" x14ac:dyDescent="0.2">
      <c r="A270" s="14">
        <v>43480</v>
      </c>
      <c r="B270">
        <v>1073</v>
      </c>
      <c r="C270">
        <v>1091</v>
      </c>
      <c r="D270">
        <v>785.5</v>
      </c>
      <c r="E270">
        <v>800.4</v>
      </c>
      <c r="F270">
        <v>1.3630684657671099</v>
      </c>
      <c r="G270">
        <v>1.268388882552</v>
      </c>
      <c r="H270">
        <v>7.9862072475979498E-2</v>
      </c>
      <c r="I270">
        <v>1.18553877052949</v>
      </c>
      <c r="J270">
        <v>6.95</v>
      </c>
      <c r="L270">
        <v>1.3482509550279795</v>
      </c>
      <c r="M270">
        <v>1.1885268100760205</v>
      </c>
      <c r="N270">
        <v>1.4281130275039591</v>
      </c>
      <c r="O270">
        <v>1.1086647376000409</v>
      </c>
    </row>
    <row r="271" spans="1:15" x14ac:dyDescent="0.2">
      <c r="A271" s="14">
        <v>43476</v>
      </c>
      <c r="B271">
        <v>1085</v>
      </c>
      <c r="C271">
        <v>1088</v>
      </c>
      <c r="D271">
        <v>797.1</v>
      </c>
      <c r="E271">
        <v>795.4</v>
      </c>
      <c r="F271">
        <v>1.367865225044</v>
      </c>
      <c r="G271">
        <v>1.26673759603698</v>
      </c>
      <c r="H271">
        <v>7.9164661760054406E-2</v>
      </c>
      <c r="I271">
        <v>1.27743398075181</v>
      </c>
      <c r="J271">
        <v>7.39</v>
      </c>
      <c r="L271">
        <v>1.3459022577970343</v>
      </c>
      <c r="M271">
        <v>1.1875729342769257</v>
      </c>
      <c r="N271">
        <v>1.4250669195570889</v>
      </c>
      <c r="O271">
        <v>1.1084082725168711</v>
      </c>
    </row>
    <row r="272" spans="1:15" x14ac:dyDescent="0.2">
      <c r="A272" s="14">
        <v>43475</v>
      </c>
      <c r="B272">
        <v>1068</v>
      </c>
      <c r="C272">
        <v>1075</v>
      </c>
      <c r="D272">
        <v>799.2</v>
      </c>
      <c r="E272">
        <v>798.3</v>
      </c>
      <c r="F272">
        <v>1.34661154954277</v>
      </c>
      <c r="G272">
        <v>1.26468996673695</v>
      </c>
      <c r="H272">
        <v>7.8505834335509395E-2</v>
      </c>
      <c r="I272">
        <v>1.0435094856226299</v>
      </c>
      <c r="J272">
        <v>6.08</v>
      </c>
      <c r="L272">
        <v>1.3431958010724594</v>
      </c>
      <c r="M272">
        <v>1.1861841324014406</v>
      </c>
      <c r="N272">
        <v>1.4217016354079688</v>
      </c>
      <c r="O272">
        <v>1.1076782980659312</v>
      </c>
    </row>
    <row r="273" spans="1:15" x14ac:dyDescent="0.2">
      <c r="A273" s="14">
        <v>43474</v>
      </c>
      <c r="B273">
        <v>1074</v>
      </c>
      <c r="C273">
        <v>1078</v>
      </c>
      <c r="D273">
        <v>800.5</v>
      </c>
      <c r="E273">
        <v>802.8</v>
      </c>
      <c r="F273">
        <v>1.3428001993024401</v>
      </c>
      <c r="G273">
        <v>1.2626911104019101</v>
      </c>
      <c r="H273">
        <v>7.8302801017206894E-2</v>
      </c>
      <c r="I273">
        <v>1.0230679855618801</v>
      </c>
      <c r="J273">
        <v>5.97</v>
      </c>
      <c r="L273">
        <v>1.3409939114191169</v>
      </c>
      <c r="M273">
        <v>1.1843883093847032</v>
      </c>
      <c r="N273">
        <v>1.4192967124363238</v>
      </c>
      <c r="O273">
        <v>1.1060855083674963</v>
      </c>
    </row>
    <row r="274" spans="1:15" x14ac:dyDescent="0.2">
      <c r="A274" s="14">
        <v>43473</v>
      </c>
      <c r="B274">
        <v>1064</v>
      </c>
      <c r="C274">
        <v>1057</v>
      </c>
      <c r="D274">
        <v>787</v>
      </c>
      <c r="E274">
        <v>792.4</v>
      </c>
      <c r="F274">
        <v>1.33392226148409</v>
      </c>
      <c r="G274">
        <v>1.2607015886478701</v>
      </c>
      <c r="H274">
        <v>7.8137556021012494E-2</v>
      </c>
      <c r="I274">
        <v>0.937074008515558</v>
      </c>
      <c r="J274">
        <v>5.49</v>
      </c>
      <c r="L274">
        <v>1.3388391446688825</v>
      </c>
      <c r="M274">
        <v>1.1825640326268576</v>
      </c>
      <c r="N274">
        <v>1.416976700689895</v>
      </c>
      <c r="O274">
        <v>1.1044264766058451</v>
      </c>
    </row>
    <row r="275" spans="1:15" x14ac:dyDescent="0.2">
      <c r="A275" s="14">
        <v>43472</v>
      </c>
      <c r="B275">
        <v>1047</v>
      </c>
      <c r="C275">
        <v>1065</v>
      </c>
      <c r="D275">
        <v>795</v>
      </c>
      <c r="E275">
        <v>790.5</v>
      </c>
      <c r="F275">
        <v>1.3472485768500899</v>
      </c>
      <c r="G275">
        <v>1.2590586076941701</v>
      </c>
      <c r="H275">
        <v>7.7875746634080797E-2</v>
      </c>
      <c r="I275">
        <v>1.13244460525434</v>
      </c>
      <c r="J275">
        <v>6.55</v>
      </c>
      <c r="L275">
        <v>1.3369343543282508</v>
      </c>
      <c r="M275">
        <v>1.1811828610600894</v>
      </c>
      <c r="N275">
        <v>1.4148101009623317</v>
      </c>
      <c r="O275">
        <v>1.1033071144260085</v>
      </c>
    </row>
    <row r="276" spans="1:15" x14ac:dyDescent="0.2">
      <c r="A276" s="14">
        <v>43469</v>
      </c>
      <c r="B276">
        <v>999</v>
      </c>
      <c r="C276">
        <v>1017</v>
      </c>
      <c r="D276">
        <v>757.4</v>
      </c>
      <c r="E276">
        <v>762.7</v>
      </c>
      <c r="F276">
        <v>1.33342074210043</v>
      </c>
      <c r="G276">
        <v>1.2575026276922201</v>
      </c>
      <c r="H276">
        <v>7.7261553930630597E-2</v>
      </c>
      <c r="I276">
        <v>0.98261179779491103</v>
      </c>
      <c r="J276">
        <v>5.69</v>
      </c>
      <c r="L276">
        <v>1.3347641816228506</v>
      </c>
      <c r="M276">
        <v>1.1802410737615896</v>
      </c>
      <c r="N276">
        <v>1.4120257355534813</v>
      </c>
      <c r="O276">
        <v>1.1029795198309589</v>
      </c>
    </row>
    <row r="277" spans="1:15" x14ac:dyDescent="0.2">
      <c r="A277" s="14">
        <v>43462</v>
      </c>
      <c r="B277">
        <v>1028</v>
      </c>
      <c r="C277">
        <v>1040</v>
      </c>
      <c r="D277">
        <v>758.1</v>
      </c>
      <c r="E277">
        <v>772.4</v>
      </c>
      <c r="F277">
        <v>1.34645261522527</v>
      </c>
      <c r="G277">
        <v>1.2560355064903199</v>
      </c>
      <c r="H277">
        <v>7.6849635439742298E-2</v>
      </c>
      <c r="I277">
        <v>1.1765457079602999</v>
      </c>
      <c r="J277">
        <v>6.72</v>
      </c>
      <c r="L277">
        <v>1.3328851419300622</v>
      </c>
      <c r="M277">
        <v>1.1791858710505776</v>
      </c>
      <c r="N277">
        <v>1.4097347773698046</v>
      </c>
      <c r="O277">
        <v>1.1023362356108353</v>
      </c>
    </row>
    <row r="278" spans="1:15" x14ac:dyDescent="0.2">
      <c r="A278" s="14">
        <v>43461</v>
      </c>
      <c r="B278">
        <v>1033</v>
      </c>
      <c r="C278">
        <v>1045</v>
      </c>
      <c r="D278">
        <v>760</v>
      </c>
      <c r="E278">
        <v>772.9</v>
      </c>
      <c r="F278">
        <v>1.3520507180747801</v>
      </c>
      <c r="G278">
        <v>1.2541120286982801</v>
      </c>
      <c r="H278">
        <v>7.6366344748824894E-2</v>
      </c>
      <c r="I278">
        <v>1.2824849702919101</v>
      </c>
      <c r="J278">
        <v>7.24</v>
      </c>
      <c r="L278">
        <v>1.3304783734471051</v>
      </c>
      <c r="M278">
        <v>1.1777456839494551</v>
      </c>
      <c r="N278">
        <v>1.4068447181959298</v>
      </c>
      <c r="O278">
        <v>1.1013793392006304</v>
      </c>
    </row>
    <row r="279" spans="1:15" x14ac:dyDescent="0.2">
      <c r="A279" s="14">
        <v>43460</v>
      </c>
      <c r="B279">
        <v>1000</v>
      </c>
      <c r="C279">
        <v>1003</v>
      </c>
      <c r="D279">
        <v>719</v>
      </c>
      <c r="E279">
        <v>722.6</v>
      </c>
      <c r="F279">
        <v>1.38804317741489</v>
      </c>
      <c r="G279">
        <v>1.25267019560322</v>
      </c>
      <c r="H279">
        <v>7.5519755302261807E-2</v>
      </c>
      <c r="I279">
        <v>1.7925505885161901</v>
      </c>
      <c r="J279">
        <v>9.75</v>
      </c>
      <c r="L279">
        <v>1.3281899509054818</v>
      </c>
      <c r="M279">
        <v>1.1771504403009583</v>
      </c>
      <c r="N279">
        <v>1.4037097062077437</v>
      </c>
      <c r="O279">
        <v>1.1016306849986963</v>
      </c>
    </row>
    <row r="280" spans="1:15" x14ac:dyDescent="0.2">
      <c r="A280" s="14">
        <v>43459</v>
      </c>
      <c r="B280">
        <v>1024</v>
      </c>
      <c r="C280">
        <v>994</v>
      </c>
      <c r="D280">
        <v>734.7</v>
      </c>
      <c r="E280">
        <v>711.1</v>
      </c>
      <c r="F280">
        <v>1.3978343411615799</v>
      </c>
      <c r="G280">
        <v>1.2509831019118201</v>
      </c>
      <c r="H280">
        <v>7.3872083582746204E-2</v>
      </c>
      <c r="I280">
        <v>1.9879125121096699</v>
      </c>
      <c r="J280">
        <v>10.51</v>
      </c>
      <c r="L280">
        <v>1.3248551854945663</v>
      </c>
      <c r="M280">
        <v>1.1771110183290738</v>
      </c>
      <c r="N280">
        <v>1.3987272690773125</v>
      </c>
      <c r="O280">
        <v>1.1032389347463276</v>
      </c>
    </row>
    <row r="281" spans="1:15" x14ac:dyDescent="0.2">
      <c r="A281" s="14">
        <v>43455</v>
      </c>
      <c r="B281">
        <v>1052</v>
      </c>
      <c r="C281">
        <v>1050</v>
      </c>
      <c r="D281">
        <v>778.2</v>
      </c>
      <c r="E281">
        <v>764.7</v>
      </c>
      <c r="F281">
        <v>1.3730874852883399</v>
      </c>
      <c r="G281">
        <v>1.24913435179223</v>
      </c>
      <c r="H281">
        <v>7.1882022362708103E-2</v>
      </c>
      <c r="I281">
        <v>1.72439685782163</v>
      </c>
      <c r="J281">
        <v>9.0299999999999994</v>
      </c>
      <c r="L281">
        <v>1.3210163741549381</v>
      </c>
      <c r="M281">
        <v>1.1772523294295218</v>
      </c>
      <c r="N281">
        <v>1.3928983965176462</v>
      </c>
      <c r="O281">
        <v>1.1053703070668137</v>
      </c>
    </row>
    <row r="282" spans="1:15" x14ac:dyDescent="0.2">
      <c r="A282" s="14">
        <v>43454</v>
      </c>
      <c r="B282">
        <v>1103</v>
      </c>
      <c r="C282">
        <v>1073</v>
      </c>
      <c r="D282">
        <v>798</v>
      </c>
      <c r="E282">
        <v>780</v>
      </c>
      <c r="F282">
        <v>1.3756410256410201</v>
      </c>
      <c r="G282">
        <v>1.24775565251331</v>
      </c>
      <c r="H282">
        <v>7.04691209916566E-2</v>
      </c>
      <c r="I282">
        <v>1.8147717940578101</v>
      </c>
      <c r="J282">
        <v>9.3000000000000007</v>
      </c>
      <c r="L282">
        <v>1.3182247735049666</v>
      </c>
      <c r="M282">
        <v>1.1772865315216534</v>
      </c>
      <c r="N282">
        <v>1.3886938944966232</v>
      </c>
      <c r="O282">
        <v>1.1068174105299968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tabSelected="1" zoomScaleNormal="100" workbookViewId="0">
      <selection activeCell="D34" sqref="D34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371">
        <v>12</v>
      </c>
      <c r="F1" s="372" t="s">
        <v>2391</v>
      </c>
      <c r="G1" s="373">
        <v>14</v>
      </c>
      <c r="N1" s="258" t="s">
        <v>2390</v>
      </c>
      <c r="O1" s="259" t="s">
        <v>2388</v>
      </c>
      <c r="P1" s="260" t="s">
        <v>2389</v>
      </c>
    </row>
    <row r="2" spans="1:16" s="106" customFormat="1" x14ac:dyDescent="0.2">
      <c r="B2" s="213"/>
      <c r="C2" s="211" t="s">
        <v>1867</v>
      </c>
      <c r="D2" s="211" t="s">
        <v>1868</v>
      </c>
      <c r="E2" s="211" t="s">
        <v>1869</v>
      </c>
      <c r="F2" s="211" t="s">
        <v>1870</v>
      </c>
      <c r="G2" s="212" t="s">
        <v>1874</v>
      </c>
      <c r="H2" s="212" t="s">
        <v>1871</v>
      </c>
      <c r="I2" s="212" t="s">
        <v>1006</v>
      </c>
      <c r="J2" s="261" t="s">
        <v>1877</v>
      </c>
      <c r="K2" s="262"/>
      <c r="M2" s="254" t="s">
        <v>2380</v>
      </c>
      <c r="N2" s="256">
        <v>2.14580190712226</v>
      </c>
      <c r="O2" s="252">
        <f>MAX(I42:I1000)</f>
        <v>3.3659743070798198</v>
      </c>
      <c r="P2" s="253">
        <f>MIN(I42:I1000)</f>
        <v>-0.55092583615967505</v>
      </c>
    </row>
    <row r="3" spans="1:16" s="106" customFormat="1" x14ac:dyDescent="0.2">
      <c r="B3" s="214" t="s">
        <v>1878</v>
      </c>
      <c r="C3" s="264">
        <v>7205</v>
      </c>
      <c r="D3" s="265" t="s">
        <v>2639</v>
      </c>
      <c r="E3" s="264" t="s">
        <v>2625</v>
      </c>
      <c r="F3" s="264">
        <v>1170</v>
      </c>
      <c r="G3" s="264">
        <v>900</v>
      </c>
      <c r="H3" s="264"/>
      <c r="I3" s="266">
        <v>0.05</v>
      </c>
      <c r="J3" s="267">
        <v>1053000</v>
      </c>
      <c r="K3" s="263"/>
      <c r="M3" s="254" t="s">
        <v>2381</v>
      </c>
      <c r="N3" s="256">
        <v>9.16</v>
      </c>
      <c r="O3" s="253">
        <f>MAX(J42:J1000)</f>
        <v>9.82</v>
      </c>
      <c r="P3" s="253">
        <f>MIN(J42:J1000)</f>
        <v>-1.24</v>
      </c>
    </row>
    <row r="4" spans="1:16" s="106" customFormat="1" x14ac:dyDescent="0.2">
      <c r="B4" s="215" t="s">
        <v>1879</v>
      </c>
      <c r="C4" s="268">
        <v>8002</v>
      </c>
      <c r="D4" s="268" t="s">
        <v>2640</v>
      </c>
      <c r="E4" s="268" t="s">
        <v>2641</v>
      </c>
      <c r="F4" s="268">
        <v>816</v>
      </c>
      <c r="G4" s="268">
        <v>1300</v>
      </c>
      <c r="H4" s="268"/>
      <c r="I4" s="269"/>
      <c r="J4" s="270">
        <v>1060800</v>
      </c>
      <c r="K4" s="263"/>
      <c r="M4" s="255" t="s">
        <v>2382</v>
      </c>
      <c r="N4" s="256">
        <v>0.74</v>
      </c>
      <c r="O4" s="374"/>
      <c r="P4" s="375"/>
    </row>
    <row r="5" spans="1:16" s="106" customFormat="1" x14ac:dyDescent="0.2">
      <c r="M5" s="255" t="s">
        <v>2384</v>
      </c>
      <c r="N5" s="256">
        <v>0.95674990205738297</v>
      </c>
      <c r="O5" s="374"/>
      <c r="P5" s="375"/>
    </row>
    <row r="6" spans="1:16" s="106" customFormat="1" ht="15" thickBot="1" x14ac:dyDescent="0.25">
      <c r="M6" s="255" t="s">
        <v>2385</v>
      </c>
      <c r="N6" s="256">
        <v>0.90631700363745205</v>
      </c>
      <c r="O6" s="374"/>
      <c r="P6" s="375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55" t="s">
        <v>2386</v>
      </c>
      <c r="N7" s="256">
        <v>6.6478446088254997E-2</v>
      </c>
      <c r="O7" s="374"/>
      <c r="P7" s="375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55" t="s">
        <v>2387</v>
      </c>
      <c r="N8" s="257">
        <v>2.9539090904972899E-2</v>
      </c>
      <c r="O8" s="376"/>
      <c r="P8" s="377"/>
    </row>
    <row r="9" spans="1:16" s="106" customFormat="1" x14ac:dyDescent="0.2">
      <c r="A9" s="206" t="s">
        <v>1876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379" t="s">
        <v>2376</v>
      </c>
      <c r="B10" s="97"/>
      <c r="C10" s="10"/>
      <c r="D10" s="10"/>
      <c r="E10" s="199"/>
      <c r="F10" s="200"/>
      <c r="G10" s="200"/>
      <c r="H10" s="216"/>
      <c r="I10" s="202"/>
      <c r="J10" s="202"/>
      <c r="K10" s="201"/>
    </row>
    <row r="11" spans="1:16" x14ac:dyDescent="0.2">
      <c r="A11" s="209" t="s">
        <v>1864</v>
      </c>
      <c r="B11" s="199"/>
      <c r="C11" s="332"/>
      <c r="D11" s="333"/>
      <c r="E11" s="199"/>
      <c r="F11" s="199"/>
      <c r="G11" s="200"/>
      <c r="H11" s="206"/>
      <c r="I11" s="199"/>
      <c r="J11" s="203"/>
      <c r="K11" s="204"/>
      <c r="L11" s="95"/>
      <c r="M11" s="95"/>
      <c r="N11" s="95"/>
      <c r="O11" s="95"/>
      <c r="P11" s="96"/>
    </row>
    <row r="12" spans="1:16" x14ac:dyDescent="0.2">
      <c r="A12" s="378">
        <v>1181</v>
      </c>
      <c r="B12" s="199"/>
      <c r="C12" s="332"/>
      <c r="D12" s="333"/>
      <c r="E12" s="199"/>
      <c r="F12" s="199"/>
      <c r="G12" s="199"/>
      <c r="H12" s="206"/>
      <c r="I12" s="199"/>
      <c r="J12" s="205"/>
      <c r="K12" s="10"/>
      <c r="L12" s="10"/>
      <c r="M12" s="10"/>
      <c r="N12" s="10"/>
      <c r="O12" s="10"/>
      <c r="P12" s="98"/>
    </row>
    <row r="13" spans="1:16" x14ac:dyDescent="0.2">
      <c r="A13" s="209" t="s">
        <v>1865</v>
      </c>
      <c r="B13" s="199"/>
      <c r="C13" s="332"/>
      <c r="D13" s="333"/>
      <c r="E13" s="199"/>
      <c r="F13" s="199"/>
      <c r="G13" s="199"/>
      <c r="H13" s="206"/>
      <c r="I13" s="199"/>
      <c r="J13" s="205"/>
      <c r="K13" s="10"/>
      <c r="L13" s="10"/>
      <c r="M13" s="10"/>
      <c r="N13" s="10"/>
      <c r="O13" s="10"/>
      <c r="P13" s="98"/>
    </row>
    <row r="14" spans="1:16" x14ac:dyDescent="0.2">
      <c r="A14" s="378">
        <v>865.32116303770579</v>
      </c>
      <c r="B14" s="199"/>
      <c r="C14" s="332"/>
      <c r="D14" s="333"/>
      <c r="E14" s="199"/>
      <c r="F14" s="199"/>
      <c r="G14" s="199"/>
      <c r="H14" s="206"/>
      <c r="I14" s="199"/>
      <c r="J14" s="205"/>
      <c r="K14" s="10"/>
      <c r="L14" s="10"/>
      <c r="M14" s="10"/>
      <c r="N14" s="10"/>
      <c r="O14" s="10"/>
      <c r="P14" s="98"/>
    </row>
    <row r="15" spans="1:16" x14ac:dyDescent="0.2">
      <c r="A15" s="209" t="s">
        <v>1875</v>
      </c>
      <c r="B15" s="199"/>
      <c r="C15" s="332"/>
      <c r="D15" s="333"/>
      <c r="E15" s="199"/>
      <c r="F15" s="199"/>
      <c r="G15" s="199"/>
      <c r="H15" s="206"/>
      <c r="I15" s="199"/>
      <c r="J15" s="205"/>
      <c r="K15" s="10"/>
      <c r="L15" s="10"/>
      <c r="M15" s="10"/>
      <c r="N15" s="10"/>
      <c r="O15" s="10"/>
      <c r="P15" s="98"/>
    </row>
    <row r="16" spans="1:16" x14ac:dyDescent="0.2">
      <c r="A16" s="378">
        <v>1.2466808284652151</v>
      </c>
      <c r="B16" s="199"/>
      <c r="C16" s="332"/>
      <c r="D16" s="333"/>
      <c r="E16" s="199"/>
      <c r="F16" s="199"/>
      <c r="G16" s="199"/>
      <c r="H16" s="206"/>
      <c r="I16" s="199"/>
      <c r="J16" s="205"/>
      <c r="K16" s="10"/>
      <c r="L16" s="10"/>
      <c r="M16" s="10"/>
      <c r="N16" s="10"/>
      <c r="O16" s="10"/>
      <c r="P16" s="98"/>
    </row>
    <row r="17" spans="1:16" x14ac:dyDescent="0.2">
      <c r="A17" s="380"/>
      <c r="B17" s="199"/>
      <c r="C17" s="332"/>
      <c r="D17" s="333"/>
      <c r="E17" s="199"/>
      <c r="F17" s="199"/>
      <c r="G17" s="199"/>
      <c r="H17" s="206"/>
      <c r="I17" s="199"/>
      <c r="J17" s="205"/>
      <c r="K17" s="198"/>
      <c r="L17" s="10"/>
      <c r="M17" s="10"/>
      <c r="N17" s="10"/>
      <c r="O17" s="10"/>
      <c r="P17" s="98"/>
    </row>
    <row r="18" spans="1:16" x14ac:dyDescent="0.2">
      <c r="A18" s="381"/>
      <c r="B18" s="199"/>
      <c r="C18" s="332"/>
      <c r="D18" s="333"/>
      <c r="E18" s="199"/>
      <c r="F18" s="199"/>
      <c r="G18" s="199"/>
      <c r="H18" s="206"/>
      <c r="I18" s="199"/>
      <c r="J18" s="205"/>
      <c r="K18" s="198"/>
      <c r="L18" s="10"/>
      <c r="M18" s="10"/>
      <c r="N18" s="10"/>
      <c r="O18" s="10"/>
      <c r="P18" s="98"/>
    </row>
    <row r="19" spans="1:16" x14ac:dyDescent="0.2">
      <c r="A19" s="199"/>
      <c r="B19" s="205"/>
      <c r="C19" s="332"/>
      <c r="D19" s="333"/>
      <c r="E19" s="199"/>
      <c r="F19" s="199"/>
      <c r="G19" s="199"/>
      <c r="H19" s="206"/>
      <c r="I19" s="199"/>
      <c r="J19" s="205"/>
      <c r="K19" s="198"/>
      <c r="L19" s="10"/>
      <c r="M19" s="10"/>
      <c r="N19" s="10"/>
      <c r="O19" s="10"/>
      <c r="P19" s="98"/>
    </row>
    <row r="20" spans="1:16" x14ac:dyDescent="0.2">
      <c r="A20" s="199"/>
      <c r="B20" s="205"/>
      <c r="C20" s="199"/>
      <c r="D20" s="199"/>
      <c r="E20" s="199"/>
      <c r="F20" s="199"/>
      <c r="G20" s="199"/>
      <c r="H20" s="206"/>
      <c r="I20" s="199"/>
      <c r="J20" s="205"/>
      <c r="K20" s="198"/>
      <c r="L20" s="10"/>
      <c r="M20" s="10"/>
      <c r="N20" s="10"/>
      <c r="O20" s="10"/>
      <c r="P20" s="98"/>
    </row>
    <row r="21" spans="1:16" x14ac:dyDescent="0.2">
      <c r="A21" s="199"/>
      <c r="B21" s="205"/>
      <c r="C21" s="199"/>
      <c r="E21" s="199"/>
      <c r="F21" s="199"/>
      <c r="G21" s="199"/>
      <c r="H21" s="206"/>
      <c r="I21" s="199"/>
      <c r="J21" s="205"/>
      <c r="K21" s="10"/>
      <c r="L21" s="10"/>
      <c r="M21" s="10"/>
      <c r="N21" s="10"/>
      <c r="O21" s="10"/>
      <c r="P21" s="98"/>
    </row>
    <row r="22" spans="1:16" x14ac:dyDescent="0.2">
      <c r="A22" s="199"/>
      <c r="B22" s="205"/>
      <c r="C22" s="199"/>
      <c r="D22" s="199"/>
      <c r="E22" s="199"/>
      <c r="F22" s="199"/>
      <c r="G22" s="199"/>
      <c r="H22" s="206"/>
      <c r="I22" s="199"/>
      <c r="J22" s="205"/>
      <c r="K22" s="10"/>
      <c r="L22" s="10"/>
      <c r="M22" s="10"/>
      <c r="N22" s="10"/>
      <c r="O22" s="10"/>
      <c r="P22" s="98"/>
    </row>
    <row r="23" spans="1:16" x14ac:dyDescent="0.2">
      <c r="A23" s="199"/>
      <c r="B23" s="205"/>
      <c r="C23" s="199"/>
      <c r="D23" s="199"/>
      <c r="E23" s="199"/>
      <c r="F23" s="199"/>
      <c r="G23" s="199"/>
      <c r="H23" s="206"/>
      <c r="I23" s="199"/>
      <c r="J23" s="205"/>
      <c r="K23" s="10"/>
      <c r="L23" s="10"/>
      <c r="M23" s="10"/>
      <c r="N23" s="10"/>
      <c r="O23" s="10"/>
      <c r="P23" s="98"/>
    </row>
    <row r="24" spans="1:16" x14ac:dyDescent="0.2">
      <c r="A24" s="199"/>
      <c r="B24" s="205"/>
      <c r="C24" s="199"/>
      <c r="D24" s="199"/>
      <c r="E24" s="199"/>
      <c r="F24" s="199"/>
      <c r="G24" s="199"/>
      <c r="H24" s="206"/>
      <c r="I24" s="199"/>
      <c r="J24" s="205"/>
      <c r="K24" s="10"/>
      <c r="L24" s="10"/>
      <c r="M24" s="10"/>
      <c r="N24" s="10"/>
      <c r="O24" s="10"/>
      <c r="P24" s="98"/>
    </row>
    <row r="25" spans="1:16" x14ac:dyDescent="0.2">
      <c r="A25" s="199"/>
      <c r="B25" s="205"/>
      <c r="C25" s="200"/>
      <c r="D25" s="200"/>
      <c r="E25" s="200"/>
      <c r="F25" s="199"/>
      <c r="G25" s="199"/>
      <c r="H25" s="206"/>
      <c r="I25" s="199"/>
      <c r="J25" s="205"/>
      <c r="K25" s="10"/>
      <c r="L25" s="10"/>
      <c r="M25" s="10"/>
      <c r="N25" s="10"/>
      <c r="O25" s="10"/>
      <c r="P25" s="98"/>
    </row>
    <row r="26" spans="1:16" x14ac:dyDescent="0.2">
      <c r="A26" s="199"/>
      <c r="B26" s="205"/>
      <c r="C26" s="199"/>
      <c r="D26" s="199"/>
      <c r="E26" s="199"/>
      <c r="F26" s="199"/>
      <c r="G26" s="199"/>
      <c r="H26" s="206"/>
      <c r="I26" s="199"/>
      <c r="J26" s="205"/>
      <c r="K26" s="10"/>
      <c r="L26" s="10"/>
      <c r="M26" s="10"/>
      <c r="N26" s="10"/>
      <c r="O26" s="10"/>
      <c r="P26" s="98"/>
    </row>
    <row r="27" spans="1:16" x14ac:dyDescent="0.2">
      <c r="A27" s="199"/>
      <c r="B27" s="205"/>
      <c r="C27" s="199"/>
      <c r="D27" s="199"/>
      <c r="E27" s="199"/>
      <c r="F27" s="199"/>
      <c r="G27" s="199"/>
      <c r="H27" s="206"/>
      <c r="I27" s="199"/>
      <c r="J27" s="205"/>
      <c r="K27" s="10"/>
      <c r="L27" s="10"/>
      <c r="M27" s="10"/>
      <c r="N27" s="10"/>
      <c r="O27" s="10"/>
      <c r="P27" s="98"/>
    </row>
    <row r="28" spans="1:16" x14ac:dyDescent="0.2">
      <c r="A28" s="199"/>
      <c r="B28" s="205"/>
      <c r="C28" s="199"/>
      <c r="D28" s="199"/>
      <c r="E28" s="199"/>
      <c r="F28" s="199"/>
      <c r="G28" s="199"/>
      <c r="H28" s="206"/>
      <c r="I28" s="199"/>
      <c r="J28" s="205"/>
      <c r="K28" s="10"/>
      <c r="L28" s="10"/>
      <c r="M28" s="10"/>
      <c r="N28" s="10"/>
      <c r="O28" s="10"/>
      <c r="P28" s="98"/>
    </row>
    <row r="29" spans="1:16" x14ac:dyDescent="0.2">
      <c r="A29" s="199"/>
      <c r="B29" s="205"/>
      <c r="C29" s="199"/>
      <c r="D29" s="199"/>
      <c r="E29" s="199"/>
      <c r="F29" s="199"/>
      <c r="G29" s="199"/>
      <c r="H29" s="206"/>
      <c r="I29" s="199"/>
      <c r="J29" s="205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944</v>
      </c>
      <c r="B41" s="106" t="s">
        <v>2392</v>
      </c>
      <c r="C41" s="106" t="s">
        <v>2393</v>
      </c>
      <c r="D41" s="106" t="s">
        <v>2373</v>
      </c>
      <c r="E41" s="106" t="s">
        <v>2374</v>
      </c>
      <c r="F41" s="106" t="s">
        <v>945</v>
      </c>
      <c r="G41" s="106" t="s">
        <v>946</v>
      </c>
      <c r="H41" s="106" t="s">
        <v>947</v>
      </c>
      <c r="I41" s="106" t="s">
        <v>948</v>
      </c>
      <c r="J41" s="106" t="s">
        <v>949</v>
      </c>
      <c r="K41" s="106" t="s">
        <v>2394</v>
      </c>
      <c r="L41" s="106" t="s">
        <v>2375</v>
      </c>
    </row>
    <row r="42" spans="1:13" x14ac:dyDescent="0.2">
      <c r="A42" s="14">
        <v>43819</v>
      </c>
      <c r="B42">
        <v>1174</v>
      </c>
      <c r="C42">
        <v>1170</v>
      </c>
      <c r="D42">
        <v>819.4</v>
      </c>
      <c r="E42">
        <v>816</v>
      </c>
      <c r="F42">
        <v>1.4338235294117601</v>
      </c>
      <c r="G42">
        <v>1.3025140428578199</v>
      </c>
      <c r="H42">
        <v>6.1193666627894203E-2</v>
      </c>
      <c r="I42">
        <v>2.1458019071222498</v>
      </c>
      <c r="J42">
        <v>9.16</v>
      </c>
      <c r="K42">
        <v>1170</v>
      </c>
      <c r="L42">
        <v>1017.2915560276156</v>
      </c>
    </row>
    <row r="43" spans="1:13" x14ac:dyDescent="0.2">
      <c r="A43" s="210">
        <v>43818</v>
      </c>
      <c r="B43" s="10">
        <v>1160</v>
      </c>
      <c r="C43" s="10">
        <v>1165</v>
      </c>
      <c r="D43" s="10">
        <v>821</v>
      </c>
      <c r="E43" s="10">
        <v>819</v>
      </c>
      <c r="F43" s="10">
        <v>1.4224664224664201</v>
      </c>
      <c r="G43" s="10">
        <v>1.29983448261019</v>
      </c>
      <c r="H43" s="10">
        <v>5.9768592635961702E-2</v>
      </c>
      <c r="I43" s="10">
        <v>2.0517789435524798</v>
      </c>
      <c r="J43" s="10">
        <v>8.6199999999999992</v>
      </c>
      <c r="K43" s="10">
        <v>1165</v>
      </c>
      <c r="L43" s="10">
        <v>1021.0315985130112</v>
      </c>
      <c r="M43" s="10"/>
    </row>
    <row r="44" spans="1:13" x14ac:dyDescent="0.2">
      <c r="A44" s="14">
        <v>43817</v>
      </c>
      <c r="B44" s="106">
        <v>1177</v>
      </c>
      <c r="C44" s="106">
        <v>1170</v>
      </c>
      <c r="D44" s="106">
        <v>834.2</v>
      </c>
      <c r="E44" s="106">
        <v>825</v>
      </c>
      <c r="F44" s="106">
        <v>1.41818181818181</v>
      </c>
      <c r="G44" s="106">
        <v>1.29746262913886</v>
      </c>
      <c r="H44" s="106">
        <v>5.8368276135377699E-2</v>
      </c>
      <c r="I44" s="106">
        <v>2.0682329004023599</v>
      </c>
      <c r="J44" s="106">
        <v>8.51</v>
      </c>
      <c r="K44">
        <v>1170</v>
      </c>
      <c r="L44" s="106">
        <v>1028.5116834838025</v>
      </c>
    </row>
    <row r="45" spans="1:13" x14ac:dyDescent="0.2">
      <c r="A45" s="14">
        <v>43816</v>
      </c>
      <c r="B45">
        <v>1181</v>
      </c>
      <c r="C45">
        <v>1172</v>
      </c>
      <c r="D45">
        <v>831.2</v>
      </c>
      <c r="E45">
        <v>833</v>
      </c>
      <c r="F45">
        <v>1.40696278511404</v>
      </c>
      <c r="G45">
        <v>1.2949718231412</v>
      </c>
      <c r="H45">
        <v>5.7136537987034601E-2</v>
      </c>
      <c r="I45">
        <v>1.9600585880483901</v>
      </c>
      <c r="J45">
        <v>7.96</v>
      </c>
      <c r="K45">
        <v>1172</v>
      </c>
      <c r="L45">
        <v>1038.4851301115241</v>
      </c>
    </row>
    <row r="46" spans="1:13" x14ac:dyDescent="0.2">
      <c r="A46" s="14">
        <v>43815</v>
      </c>
      <c r="B46">
        <v>1174</v>
      </c>
      <c r="C46">
        <v>1168</v>
      </c>
      <c r="D46">
        <v>833.2</v>
      </c>
      <c r="E46">
        <v>829</v>
      </c>
      <c r="F46">
        <v>1.40892641737032</v>
      </c>
      <c r="G46">
        <v>1.29256622015537</v>
      </c>
      <c r="H46">
        <v>5.6160527880442297E-2</v>
      </c>
      <c r="I46">
        <v>2.0719213584078502</v>
      </c>
      <c r="J46">
        <v>8.26</v>
      </c>
      <c r="K46">
        <v>1168</v>
      </c>
      <c r="L46">
        <v>1033.4984067976634</v>
      </c>
    </row>
    <row r="47" spans="1:13" x14ac:dyDescent="0.2">
      <c r="A47" s="14">
        <v>43812</v>
      </c>
      <c r="B47">
        <v>1175</v>
      </c>
      <c r="C47">
        <v>1181</v>
      </c>
      <c r="D47">
        <v>834.9</v>
      </c>
      <c r="E47">
        <v>837.7</v>
      </c>
      <c r="F47">
        <v>1.4098125820699501</v>
      </c>
      <c r="G47">
        <v>1.2900583207312299</v>
      </c>
      <c r="H47">
        <v>5.50980303933978E-2</v>
      </c>
      <c r="I47">
        <v>2.1734762655520101</v>
      </c>
      <c r="J47">
        <v>8.49</v>
      </c>
      <c r="K47">
        <v>1181</v>
      </c>
      <c r="L47">
        <v>1044.3445300053108</v>
      </c>
    </row>
    <row r="48" spans="1:13" x14ac:dyDescent="0.2">
      <c r="A48" s="14">
        <v>43811</v>
      </c>
      <c r="B48">
        <v>1167</v>
      </c>
      <c r="C48">
        <v>1155</v>
      </c>
      <c r="D48">
        <v>824</v>
      </c>
      <c r="E48">
        <v>814.9</v>
      </c>
      <c r="F48">
        <v>1.4173518223094801</v>
      </c>
      <c r="G48">
        <v>1.2875397745438699</v>
      </c>
      <c r="H48">
        <v>5.38699101451377E-2</v>
      </c>
      <c r="I48">
        <v>2.40973202694917</v>
      </c>
      <c r="J48">
        <v>9.16</v>
      </c>
      <c r="K48">
        <v>1155</v>
      </c>
      <c r="L48">
        <v>1015.9202071163038</v>
      </c>
    </row>
    <row r="49" spans="1:12" x14ac:dyDescent="0.2">
      <c r="A49" s="14">
        <v>43810</v>
      </c>
      <c r="B49">
        <v>1149</v>
      </c>
      <c r="C49">
        <v>1173</v>
      </c>
      <c r="D49">
        <v>827.2</v>
      </c>
      <c r="E49">
        <v>823.4</v>
      </c>
      <c r="F49">
        <v>1.42458100558659</v>
      </c>
      <c r="G49">
        <v>1.28467228459755</v>
      </c>
      <c r="H49">
        <v>5.2592419901658402E-2</v>
      </c>
      <c r="I49">
        <v>2.6602449792317202</v>
      </c>
      <c r="J49">
        <v>9.82</v>
      </c>
      <c r="K49">
        <v>1173</v>
      </c>
      <c r="L49">
        <v>1026.5169941582581</v>
      </c>
    </row>
    <row r="50" spans="1:12" x14ac:dyDescent="0.2">
      <c r="A50" s="14">
        <v>43809</v>
      </c>
      <c r="B50">
        <v>1148</v>
      </c>
      <c r="C50">
        <v>1151</v>
      </c>
      <c r="D50">
        <v>835</v>
      </c>
      <c r="E50">
        <v>829.2</v>
      </c>
      <c r="F50">
        <v>1.3880849011095</v>
      </c>
      <c r="G50">
        <v>1.2819963381231101</v>
      </c>
      <c r="H50">
        <v>5.0468575958573701E-2</v>
      </c>
      <c r="I50">
        <v>2.1020716549140102</v>
      </c>
      <c r="J50">
        <v>7.64</v>
      </c>
      <c r="K50">
        <v>1151</v>
      </c>
      <c r="L50">
        <v>1033.7477429633564</v>
      </c>
    </row>
    <row r="51" spans="1:12" x14ac:dyDescent="0.2">
      <c r="A51" s="14">
        <v>43808</v>
      </c>
      <c r="B51">
        <v>1145</v>
      </c>
      <c r="C51">
        <v>1147</v>
      </c>
      <c r="D51">
        <v>830.7</v>
      </c>
      <c r="E51">
        <v>831</v>
      </c>
      <c r="F51">
        <v>1.38026474127557</v>
      </c>
      <c r="G51">
        <v>1.28017972312312</v>
      </c>
      <c r="H51">
        <v>4.9049359566614797E-2</v>
      </c>
      <c r="I51">
        <v>2.0404959215934002</v>
      </c>
      <c r="J51">
        <v>7.25</v>
      </c>
      <c r="K51">
        <v>1147</v>
      </c>
      <c r="L51">
        <v>1035.9917684545937</v>
      </c>
    </row>
    <row r="52" spans="1:12" x14ac:dyDescent="0.2">
      <c r="A52" s="14">
        <v>43805</v>
      </c>
      <c r="B52">
        <v>1131</v>
      </c>
      <c r="C52">
        <v>1137</v>
      </c>
      <c r="D52">
        <v>826.6</v>
      </c>
      <c r="E52">
        <v>824.9</v>
      </c>
      <c r="F52">
        <v>1.37834889077463</v>
      </c>
      <c r="G52">
        <v>1.27841571951628</v>
      </c>
      <c r="H52">
        <v>4.7780806329717602E-2</v>
      </c>
      <c r="I52">
        <v>2.09149193859882</v>
      </c>
      <c r="J52">
        <v>7.25</v>
      </c>
      <c r="K52">
        <v>1137</v>
      </c>
      <c r="L52">
        <v>1028.387015400956</v>
      </c>
    </row>
    <row r="53" spans="1:12" x14ac:dyDescent="0.2">
      <c r="A53" s="14">
        <v>43804</v>
      </c>
      <c r="B53">
        <v>1096</v>
      </c>
      <c r="C53">
        <v>1114</v>
      </c>
      <c r="D53">
        <v>819.2</v>
      </c>
      <c r="E53">
        <v>826.1</v>
      </c>
      <c r="F53">
        <v>1.3485050236048901</v>
      </c>
      <c r="G53">
        <v>1.2766110373591899</v>
      </c>
      <c r="H53">
        <v>4.6511495141478398E-2</v>
      </c>
      <c r="I53">
        <v>1.54572511649016</v>
      </c>
      <c r="J53">
        <v>5.33</v>
      </c>
      <c r="K53">
        <v>1114</v>
      </c>
      <c r="L53">
        <v>1029.8830323951142</v>
      </c>
    </row>
    <row r="54" spans="1:12" x14ac:dyDescent="0.2">
      <c r="A54" s="14">
        <v>43803</v>
      </c>
      <c r="B54">
        <v>1080</v>
      </c>
      <c r="C54">
        <v>1096</v>
      </c>
      <c r="D54">
        <v>809</v>
      </c>
      <c r="E54">
        <v>813.2</v>
      </c>
      <c r="F54">
        <v>1.34776192818494</v>
      </c>
      <c r="G54">
        <v>1.2752240142975699</v>
      </c>
      <c r="H54">
        <v>4.5893851292991401E-2</v>
      </c>
      <c r="I54">
        <v>1.5805584374316901</v>
      </c>
      <c r="J54">
        <v>5.38</v>
      </c>
      <c r="K54">
        <v>1096</v>
      </c>
      <c r="L54">
        <v>1013.800849707913</v>
      </c>
    </row>
    <row r="55" spans="1:12" x14ac:dyDescent="0.2">
      <c r="A55" s="14">
        <v>43802</v>
      </c>
      <c r="B55">
        <v>1084</v>
      </c>
      <c r="C55">
        <v>1093</v>
      </c>
      <c r="D55">
        <v>814.4</v>
      </c>
      <c r="E55">
        <v>815.2</v>
      </c>
      <c r="F55">
        <v>1.34077526987242</v>
      </c>
      <c r="G55">
        <v>1.2739078283447201</v>
      </c>
      <c r="H55">
        <v>4.52050039720324E-2</v>
      </c>
      <c r="I55">
        <v>1.4792044165966201</v>
      </c>
      <c r="J55">
        <v>4.99</v>
      </c>
      <c r="K55">
        <v>1093</v>
      </c>
      <c r="L55">
        <v>1016.2942113648434</v>
      </c>
    </row>
    <row r="56" spans="1:12" x14ac:dyDescent="0.2">
      <c r="A56" s="14">
        <v>43801</v>
      </c>
      <c r="B56">
        <v>1078</v>
      </c>
      <c r="C56">
        <v>1102</v>
      </c>
      <c r="D56">
        <v>810.7</v>
      </c>
      <c r="E56">
        <v>825.2</v>
      </c>
      <c r="F56">
        <v>1.335433834222</v>
      </c>
      <c r="G56">
        <v>1.27268448074434</v>
      </c>
      <c r="H56">
        <v>4.4616532898006302E-2</v>
      </c>
      <c r="I56">
        <v>1.40641482880588</v>
      </c>
      <c r="J56">
        <v>4.7</v>
      </c>
      <c r="K56">
        <v>1102</v>
      </c>
      <c r="L56">
        <v>1028.7610196494957</v>
      </c>
    </row>
    <row r="57" spans="1:12" x14ac:dyDescent="0.2">
      <c r="A57" s="14">
        <v>43798</v>
      </c>
      <c r="B57">
        <v>1073</v>
      </c>
      <c r="C57">
        <v>1071</v>
      </c>
      <c r="D57">
        <v>812</v>
      </c>
      <c r="E57">
        <v>808.2</v>
      </c>
      <c r="F57">
        <v>1.32516703786191</v>
      </c>
      <c r="G57">
        <v>1.27142622480516</v>
      </c>
      <c r="H57">
        <v>4.4157478495502597E-2</v>
      </c>
      <c r="I57">
        <v>1.21702630874239</v>
      </c>
      <c r="J57">
        <v>4.0599999999999996</v>
      </c>
      <c r="K57">
        <v>1071</v>
      </c>
      <c r="L57">
        <v>1007.5674455655869</v>
      </c>
    </row>
    <row r="58" spans="1:12" x14ac:dyDescent="0.2">
      <c r="A58" s="14">
        <v>43797</v>
      </c>
      <c r="B58">
        <v>1063</v>
      </c>
      <c r="C58">
        <v>1069</v>
      </c>
      <c r="D58">
        <v>808.9</v>
      </c>
      <c r="E58">
        <v>811.6</v>
      </c>
      <c r="F58">
        <v>1.3171513060620901</v>
      </c>
      <c r="G58">
        <v>1.27028389880031</v>
      </c>
      <c r="H58">
        <v>4.38596294378805E-2</v>
      </c>
      <c r="I58">
        <v>1.06857736516374</v>
      </c>
      <c r="J58">
        <v>3.56</v>
      </c>
      <c r="K58">
        <v>1069</v>
      </c>
      <c r="L58">
        <v>1011.8061603823686</v>
      </c>
    </row>
    <row r="59" spans="1:12" x14ac:dyDescent="0.2">
      <c r="A59" s="14">
        <v>43796</v>
      </c>
      <c r="B59">
        <v>1070</v>
      </c>
      <c r="C59">
        <v>1060</v>
      </c>
      <c r="D59">
        <v>806.3</v>
      </c>
      <c r="E59">
        <v>809.7</v>
      </c>
      <c r="F59">
        <v>1.3091268371001601</v>
      </c>
      <c r="G59">
        <v>1.26914758419739</v>
      </c>
      <c r="H59">
        <v>4.37344767976783E-2</v>
      </c>
      <c r="I59">
        <v>0.91413584499284695</v>
      </c>
      <c r="J59">
        <v>3.05</v>
      </c>
      <c r="K59">
        <v>1060</v>
      </c>
      <c r="L59">
        <v>1009.4374668082847</v>
      </c>
    </row>
    <row r="60" spans="1:12" x14ac:dyDescent="0.2">
      <c r="A60" s="14">
        <v>43795</v>
      </c>
      <c r="B60">
        <v>1076</v>
      </c>
      <c r="C60">
        <v>1069</v>
      </c>
      <c r="D60">
        <v>809.9</v>
      </c>
      <c r="E60">
        <v>804.8</v>
      </c>
      <c r="F60">
        <v>1.32828031809145</v>
      </c>
      <c r="G60">
        <v>1.2687012707613401</v>
      </c>
      <c r="H60">
        <v>4.3494348895641903E-2</v>
      </c>
      <c r="I60">
        <v>1.36981122474234</v>
      </c>
      <c r="J60">
        <v>4.49</v>
      </c>
      <c r="K60">
        <v>1069</v>
      </c>
      <c r="L60">
        <v>1003.328730748805</v>
      </c>
    </row>
    <row r="61" spans="1:12" x14ac:dyDescent="0.2">
      <c r="A61" s="14">
        <v>43794</v>
      </c>
      <c r="B61">
        <v>1064</v>
      </c>
      <c r="C61">
        <v>1063</v>
      </c>
      <c r="D61">
        <v>806.7</v>
      </c>
      <c r="E61">
        <v>805.2</v>
      </c>
      <c r="F61">
        <v>1.32016890213611</v>
      </c>
      <c r="G61">
        <v>1.2683339119589001</v>
      </c>
      <c r="H61">
        <v>4.3104188835198301E-2</v>
      </c>
      <c r="I61">
        <v>1.20255111110887</v>
      </c>
      <c r="J61">
        <v>3.93</v>
      </c>
      <c r="K61">
        <v>1063</v>
      </c>
      <c r="L61">
        <v>1003.8274030801913</v>
      </c>
    </row>
    <row r="62" spans="1:12" x14ac:dyDescent="0.2">
      <c r="A62" s="14">
        <v>43791</v>
      </c>
      <c r="B62">
        <v>1068</v>
      </c>
      <c r="C62">
        <v>1084</v>
      </c>
      <c r="D62">
        <v>798</v>
      </c>
      <c r="E62">
        <v>796.9</v>
      </c>
      <c r="F62">
        <v>1.36027105031999</v>
      </c>
      <c r="G62">
        <v>1.2673207169734899</v>
      </c>
      <c r="H62">
        <v>4.2765627935454402E-2</v>
      </c>
      <c r="I62">
        <v>2.17348225277519</v>
      </c>
      <c r="J62">
        <v>6.83</v>
      </c>
      <c r="K62">
        <v>1084</v>
      </c>
      <c r="L62">
        <v>993.47995220392988</v>
      </c>
    </row>
    <row r="63" spans="1:12" x14ac:dyDescent="0.2">
      <c r="A63" s="14">
        <v>43790</v>
      </c>
      <c r="B63">
        <v>1053</v>
      </c>
      <c r="C63">
        <v>1069</v>
      </c>
      <c r="D63">
        <v>794.1</v>
      </c>
      <c r="E63">
        <v>797.4</v>
      </c>
      <c r="F63">
        <v>1.34060697266114</v>
      </c>
      <c r="G63">
        <v>1.2657801128145101</v>
      </c>
      <c r="H63">
        <v>4.1450400714282298E-2</v>
      </c>
      <c r="I63">
        <v>1.8052143901434301</v>
      </c>
      <c r="J63">
        <v>5.58</v>
      </c>
      <c r="K63">
        <v>1069</v>
      </c>
      <c r="L63">
        <v>994.10329261816253</v>
      </c>
    </row>
    <row r="64" spans="1:12" x14ac:dyDescent="0.2">
      <c r="A64" s="14">
        <v>43789</v>
      </c>
      <c r="B64">
        <v>1042</v>
      </c>
      <c r="C64">
        <v>1053</v>
      </c>
      <c r="D64">
        <v>798.5</v>
      </c>
      <c r="E64">
        <v>793.8</v>
      </c>
      <c r="F64">
        <v>1.3265306122448901</v>
      </c>
      <c r="G64">
        <v>1.2643748367470999</v>
      </c>
      <c r="H64">
        <v>4.0668983141794603E-2</v>
      </c>
      <c r="I64">
        <v>1.5283336512516501</v>
      </c>
      <c r="J64">
        <v>4.6900000000000004</v>
      </c>
      <c r="K64">
        <v>1053</v>
      </c>
      <c r="L64">
        <v>989.61524163568765</v>
      </c>
    </row>
    <row r="65" spans="1:12" x14ac:dyDescent="0.2">
      <c r="A65" s="14">
        <v>43788</v>
      </c>
      <c r="B65">
        <v>1054</v>
      </c>
      <c r="C65">
        <v>1051</v>
      </c>
      <c r="D65">
        <v>808</v>
      </c>
      <c r="E65">
        <v>805</v>
      </c>
      <c r="F65">
        <v>1.3055900621118</v>
      </c>
      <c r="G65">
        <v>1.26231174594021</v>
      </c>
      <c r="H65">
        <v>4.1381996132042798E-2</v>
      </c>
      <c r="I65">
        <v>1.0458247599631401</v>
      </c>
      <c r="J65">
        <v>3.31</v>
      </c>
      <c r="K65">
        <v>1051</v>
      </c>
      <c r="L65">
        <v>1003.5780669144982</v>
      </c>
    </row>
    <row r="66" spans="1:12" x14ac:dyDescent="0.2">
      <c r="A66" s="14">
        <v>43787</v>
      </c>
      <c r="B66">
        <v>1068</v>
      </c>
      <c r="C66">
        <v>1059</v>
      </c>
      <c r="D66">
        <v>810</v>
      </c>
      <c r="E66">
        <v>810.6</v>
      </c>
      <c r="F66">
        <v>1.3064396743153199</v>
      </c>
      <c r="G66">
        <v>1.26065720710691</v>
      </c>
      <c r="H66">
        <v>4.2093149109407202E-2</v>
      </c>
      <c r="I66">
        <v>1.0876465215137401</v>
      </c>
      <c r="J66">
        <v>3.5</v>
      </c>
      <c r="K66">
        <v>1059</v>
      </c>
      <c r="L66">
        <v>1010.5594795539034</v>
      </c>
    </row>
    <row r="67" spans="1:12" x14ac:dyDescent="0.2">
      <c r="A67" s="14">
        <v>43784</v>
      </c>
      <c r="B67">
        <v>1063</v>
      </c>
      <c r="C67">
        <v>1065</v>
      </c>
      <c r="D67">
        <v>799.9</v>
      </c>
      <c r="E67">
        <v>811</v>
      </c>
      <c r="F67">
        <v>1.3131935881627601</v>
      </c>
      <c r="G67">
        <v>1.25914169337573</v>
      </c>
      <c r="H67">
        <v>4.2462067129124099E-2</v>
      </c>
      <c r="I67">
        <v>1.2729454414608401</v>
      </c>
      <c r="J67">
        <v>4.12</v>
      </c>
      <c r="K67">
        <v>1065</v>
      </c>
      <c r="L67">
        <v>1011.0581518852895</v>
      </c>
    </row>
    <row r="68" spans="1:12" x14ac:dyDescent="0.2">
      <c r="A68" s="14">
        <v>43783</v>
      </c>
      <c r="B68">
        <v>1067</v>
      </c>
      <c r="C68">
        <v>1063</v>
      </c>
      <c r="D68">
        <v>802</v>
      </c>
      <c r="E68">
        <v>793.8</v>
      </c>
      <c r="F68">
        <v>1.33912824389014</v>
      </c>
      <c r="G68">
        <v>1.2576302313071599</v>
      </c>
      <c r="H68">
        <v>4.2528657029568498E-2</v>
      </c>
      <c r="I68">
        <v>1.91630816196057</v>
      </c>
      <c r="J68">
        <v>6.09</v>
      </c>
      <c r="K68">
        <v>1063</v>
      </c>
      <c r="L68">
        <v>989.61524163568765</v>
      </c>
    </row>
    <row r="69" spans="1:12" x14ac:dyDescent="0.2">
      <c r="A69" s="14">
        <v>43782</v>
      </c>
      <c r="B69">
        <v>1062</v>
      </c>
      <c r="C69">
        <v>1067</v>
      </c>
      <c r="D69">
        <v>814</v>
      </c>
      <c r="E69">
        <v>804.7</v>
      </c>
      <c r="F69">
        <v>1.32595998508761</v>
      </c>
      <c r="G69">
        <v>1.2557663653367901</v>
      </c>
      <c r="H69">
        <v>4.1975703144001703E-2</v>
      </c>
      <c r="I69">
        <v>1.67224404818207</v>
      </c>
      <c r="J69">
        <v>5.29</v>
      </c>
      <c r="K69">
        <v>1067</v>
      </c>
      <c r="L69">
        <v>1003.2040626659586</v>
      </c>
    </row>
    <row r="70" spans="1:12" x14ac:dyDescent="0.2">
      <c r="A70" s="14">
        <v>43781</v>
      </c>
      <c r="B70">
        <v>1042</v>
      </c>
      <c r="C70">
        <v>1068</v>
      </c>
      <c r="D70">
        <v>801</v>
      </c>
      <c r="E70">
        <v>815.9</v>
      </c>
      <c r="F70">
        <v>1.30898394411079</v>
      </c>
      <c r="G70">
        <v>1.25419415730631</v>
      </c>
      <c r="H70">
        <v>4.1522978311457001E-2</v>
      </c>
      <c r="I70">
        <v>1.31950522415594</v>
      </c>
      <c r="J70">
        <v>4.1900000000000004</v>
      </c>
      <c r="K70">
        <v>1068</v>
      </c>
      <c r="L70">
        <v>1017.166887944769</v>
      </c>
    </row>
    <row r="71" spans="1:12" x14ac:dyDescent="0.2">
      <c r="A71" s="14">
        <v>43780</v>
      </c>
      <c r="B71">
        <v>1071</v>
      </c>
      <c r="C71">
        <v>1056</v>
      </c>
      <c r="D71">
        <v>803.2</v>
      </c>
      <c r="E71">
        <v>806.1</v>
      </c>
      <c r="F71">
        <v>1.3100111648678801</v>
      </c>
      <c r="G71">
        <v>1.2528992617664001</v>
      </c>
      <c r="H71">
        <v>4.1307910340623998E-2</v>
      </c>
      <c r="I71">
        <v>1.3825899841103999</v>
      </c>
      <c r="J71">
        <v>4.3600000000000003</v>
      </c>
      <c r="K71">
        <v>1056</v>
      </c>
      <c r="L71">
        <v>1004.94941582581</v>
      </c>
    </row>
    <row r="72" spans="1:12" x14ac:dyDescent="0.2">
      <c r="A72" s="14">
        <v>43777</v>
      </c>
      <c r="B72">
        <v>1068</v>
      </c>
      <c r="C72">
        <v>1069</v>
      </c>
      <c r="D72">
        <v>796.9</v>
      </c>
      <c r="E72">
        <v>800.2</v>
      </c>
      <c r="F72">
        <v>1.33591602099475</v>
      </c>
      <c r="G72">
        <v>1.25151763609051</v>
      </c>
      <c r="H72">
        <v>4.1107015664892999E-2</v>
      </c>
      <c r="I72">
        <v>2.05313821835809</v>
      </c>
      <c r="J72">
        <v>6.32</v>
      </c>
      <c r="K72">
        <v>1069</v>
      </c>
      <c r="L72">
        <v>997.59399893786519</v>
      </c>
    </row>
    <row r="73" spans="1:12" x14ac:dyDescent="0.2">
      <c r="A73" s="14">
        <v>43776</v>
      </c>
      <c r="B73">
        <v>1047</v>
      </c>
      <c r="C73">
        <v>1049</v>
      </c>
      <c r="D73">
        <v>784</v>
      </c>
      <c r="E73">
        <v>785.8</v>
      </c>
      <c r="F73">
        <v>1.3349452786968601</v>
      </c>
      <c r="G73">
        <v>1.2499218962040799</v>
      </c>
      <c r="H73">
        <v>4.0110641314872103E-2</v>
      </c>
      <c r="I73">
        <v>2.1197213434046498</v>
      </c>
      <c r="J73">
        <v>6.37</v>
      </c>
      <c r="K73">
        <v>1049</v>
      </c>
      <c r="L73">
        <v>979.64179500796592</v>
      </c>
    </row>
    <row r="74" spans="1:12" x14ac:dyDescent="0.2">
      <c r="A74" s="14">
        <v>43775</v>
      </c>
      <c r="B74">
        <v>1060</v>
      </c>
      <c r="C74">
        <v>1045</v>
      </c>
      <c r="D74">
        <v>770</v>
      </c>
      <c r="E74">
        <v>784.8</v>
      </c>
      <c r="F74">
        <v>1.3315494393476</v>
      </c>
      <c r="G74">
        <v>1.24804468566836</v>
      </c>
      <c r="H74">
        <v>3.9375373054174802E-2</v>
      </c>
      <c r="I74">
        <v>2.1207355563171202</v>
      </c>
      <c r="J74">
        <v>6.27</v>
      </c>
      <c r="K74">
        <v>1045</v>
      </c>
      <c r="L74">
        <v>978.39511417950075</v>
      </c>
    </row>
    <row r="75" spans="1:12" x14ac:dyDescent="0.2">
      <c r="A75" s="14">
        <v>43774</v>
      </c>
      <c r="B75">
        <v>1049</v>
      </c>
      <c r="C75">
        <v>1058</v>
      </c>
      <c r="D75">
        <v>769</v>
      </c>
      <c r="E75">
        <v>768.5</v>
      </c>
      <c r="F75">
        <v>1.37670787247885</v>
      </c>
      <c r="G75">
        <v>1.24609863404862</v>
      </c>
      <c r="H75">
        <v>3.88028031454411E-2</v>
      </c>
      <c r="I75">
        <v>3.3659743070798198</v>
      </c>
      <c r="J75">
        <v>9.49</v>
      </c>
      <c r="K75">
        <v>1058</v>
      </c>
      <c r="L75">
        <v>958.07421667551785</v>
      </c>
    </row>
    <row r="76" spans="1:12" x14ac:dyDescent="0.2">
      <c r="A76" s="14">
        <v>43770</v>
      </c>
      <c r="B76">
        <v>1002</v>
      </c>
      <c r="C76">
        <v>1024</v>
      </c>
      <c r="D76">
        <v>758.8</v>
      </c>
      <c r="E76">
        <v>756.1</v>
      </c>
      <c r="F76">
        <v>1.3543182118767301</v>
      </c>
      <c r="G76">
        <v>1.24350508615986</v>
      </c>
      <c r="H76">
        <v>3.6413393291106003E-2</v>
      </c>
      <c r="I76">
        <v>3.0431969037045801</v>
      </c>
      <c r="J76">
        <v>8.18</v>
      </c>
      <c r="K76">
        <v>1024</v>
      </c>
      <c r="L76">
        <v>942.61537440254915</v>
      </c>
    </row>
    <row r="77" spans="1:12" x14ac:dyDescent="0.2">
      <c r="A77" s="14">
        <v>43769</v>
      </c>
      <c r="B77">
        <v>998</v>
      </c>
      <c r="C77">
        <v>1032</v>
      </c>
      <c r="D77">
        <v>762</v>
      </c>
      <c r="E77">
        <v>765.8</v>
      </c>
      <c r="F77">
        <v>1.34761034212588</v>
      </c>
      <c r="G77">
        <v>1.24130865573386</v>
      </c>
      <c r="H77">
        <v>3.45853619140623E-2</v>
      </c>
      <c r="I77">
        <v>3.0736034122226799</v>
      </c>
      <c r="J77">
        <v>7.89</v>
      </c>
      <c r="K77">
        <v>1032</v>
      </c>
      <c r="L77">
        <v>954.70817843866166</v>
      </c>
    </row>
    <row r="78" spans="1:12" x14ac:dyDescent="0.2">
      <c r="A78" s="14">
        <v>43768</v>
      </c>
      <c r="B78">
        <v>1011</v>
      </c>
      <c r="C78">
        <v>1009</v>
      </c>
      <c r="D78">
        <v>765</v>
      </c>
      <c r="E78">
        <v>766.7</v>
      </c>
      <c r="F78">
        <v>1.3160297378374799</v>
      </c>
      <c r="G78">
        <v>1.2391391767898901</v>
      </c>
      <c r="H78">
        <v>3.29120038252151E-2</v>
      </c>
      <c r="I78">
        <v>2.33624672189308</v>
      </c>
      <c r="J78">
        <v>5.84</v>
      </c>
      <c r="K78">
        <v>1009</v>
      </c>
      <c r="L78">
        <v>955.83019118428047</v>
      </c>
    </row>
    <row r="79" spans="1:12" x14ac:dyDescent="0.2">
      <c r="A79" s="14">
        <v>43767</v>
      </c>
      <c r="B79">
        <v>1002</v>
      </c>
      <c r="C79">
        <v>1010</v>
      </c>
      <c r="D79">
        <v>759</v>
      </c>
      <c r="E79">
        <v>761.9</v>
      </c>
      <c r="F79">
        <v>1.3256332852080299</v>
      </c>
      <c r="G79">
        <v>1.2370368306170001</v>
      </c>
      <c r="H79">
        <v>3.2969204421112001E-2</v>
      </c>
      <c r="I79">
        <v>2.6872487870619599</v>
      </c>
      <c r="J79">
        <v>6.68</v>
      </c>
      <c r="K79">
        <v>1010</v>
      </c>
      <c r="L79">
        <v>949.84612320764734</v>
      </c>
    </row>
    <row r="80" spans="1:12" x14ac:dyDescent="0.2">
      <c r="A80" s="14">
        <v>43766</v>
      </c>
      <c r="B80">
        <v>989</v>
      </c>
      <c r="C80">
        <v>993</v>
      </c>
      <c r="D80">
        <v>755</v>
      </c>
      <c r="E80">
        <v>753.8</v>
      </c>
      <c r="F80">
        <v>1.3173255505439101</v>
      </c>
      <c r="G80">
        <v>1.2348740347481799</v>
      </c>
      <c r="H80">
        <v>3.2401930652212703E-2</v>
      </c>
      <c r="I80">
        <v>2.54464823965955</v>
      </c>
      <c r="J80">
        <v>6.26</v>
      </c>
      <c r="K80">
        <v>993</v>
      </c>
      <c r="L80">
        <v>939.74800849707913</v>
      </c>
    </row>
    <row r="81" spans="1:12" x14ac:dyDescent="0.2">
      <c r="A81" s="14">
        <v>43763</v>
      </c>
      <c r="B81">
        <v>981</v>
      </c>
      <c r="C81">
        <v>980</v>
      </c>
      <c r="D81">
        <v>751.9</v>
      </c>
      <c r="E81">
        <v>753.1</v>
      </c>
      <c r="F81">
        <v>1.30128800956048</v>
      </c>
      <c r="G81">
        <v>1.23306001162099</v>
      </c>
      <c r="H81">
        <v>3.1531849136755698E-2</v>
      </c>
      <c r="I81">
        <v>2.1637804254225999</v>
      </c>
      <c r="J81">
        <v>5.24</v>
      </c>
      <c r="K81">
        <v>980</v>
      </c>
      <c r="L81">
        <v>938.87533191715352</v>
      </c>
    </row>
    <row r="82" spans="1:12" x14ac:dyDescent="0.2">
      <c r="A82" s="14">
        <v>43762</v>
      </c>
      <c r="B82">
        <v>975</v>
      </c>
      <c r="C82">
        <v>996</v>
      </c>
      <c r="D82">
        <v>753.7</v>
      </c>
      <c r="E82">
        <v>752.5</v>
      </c>
      <c r="F82">
        <v>1.3235880398671001</v>
      </c>
      <c r="G82">
        <v>1.23157132432404</v>
      </c>
      <c r="H82">
        <v>3.0904938967166201E-2</v>
      </c>
      <c r="I82">
        <v>2.97741133353539</v>
      </c>
      <c r="J82">
        <v>6.95</v>
      </c>
      <c r="K82">
        <v>996</v>
      </c>
      <c r="L82">
        <v>938.12732342007439</v>
      </c>
    </row>
    <row r="83" spans="1:12" x14ac:dyDescent="0.2">
      <c r="A83" s="14">
        <v>43761</v>
      </c>
      <c r="B83">
        <v>952</v>
      </c>
      <c r="C83">
        <v>960</v>
      </c>
      <c r="D83">
        <v>745.9</v>
      </c>
      <c r="E83">
        <v>748.6</v>
      </c>
      <c r="F83">
        <v>1.2823938017632901</v>
      </c>
      <c r="G83">
        <v>1.2301676023800301</v>
      </c>
      <c r="H83">
        <v>2.9027499010909699E-2</v>
      </c>
      <c r="I83">
        <v>1.7991973529523499</v>
      </c>
      <c r="J83">
        <v>4.07</v>
      </c>
      <c r="K83">
        <v>960</v>
      </c>
      <c r="L83">
        <v>933.26526818906007</v>
      </c>
    </row>
    <row r="84" spans="1:12" x14ac:dyDescent="0.2">
      <c r="A84" s="14">
        <v>43759</v>
      </c>
      <c r="B84">
        <v>948</v>
      </c>
      <c r="C84">
        <v>944</v>
      </c>
      <c r="D84">
        <v>734.7</v>
      </c>
      <c r="E84">
        <v>741.7</v>
      </c>
      <c r="F84">
        <v>1.2727517864365601</v>
      </c>
      <c r="G84">
        <v>1.2292393072394501</v>
      </c>
      <c r="H84">
        <v>2.84499772032498E-2</v>
      </c>
      <c r="I84">
        <v>1.5294381041592799</v>
      </c>
      <c r="J84">
        <v>3.42</v>
      </c>
      <c r="K84">
        <v>944</v>
      </c>
      <c r="L84">
        <v>924.66317047265011</v>
      </c>
    </row>
    <row r="85" spans="1:12" x14ac:dyDescent="0.2">
      <c r="A85" s="14">
        <v>43756</v>
      </c>
      <c r="B85">
        <v>946</v>
      </c>
      <c r="C85">
        <v>940</v>
      </c>
      <c r="D85">
        <v>733.2</v>
      </c>
      <c r="E85">
        <v>733.7</v>
      </c>
      <c r="F85">
        <v>1.28117759302167</v>
      </c>
      <c r="G85">
        <v>1.2286640521947301</v>
      </c>
      <c r="H85">
        <v>2.7996921538837399E-2</v>
      </c>
      <c r="I85">
        <v>1.8756898237575701</v>
      </c>
      <c r="J85">
        <v>4.0999999999999996</v>
      </c>
      <c r="K85">
        <v>940</v>
      </c>
      <c r="L85">
        <v>914.68972384492838</v>
      </c>
    </row>
    <row r="86" spans="1:12" x14ac:dyDescent="0.2">
      <c r="A86" s="14">
        <v>43755</v>
      </c>
      <c r="B86">
        <v>943</v>
      </c>
      <c r="C86">
        <v>938</v>
      </c>
      <c r="D86">
        <v>736.5</v>
      </c>
      <c r="E86">
        <v>731.6</v>
      </c>
      <c r="F86">
        <v>1.2821213778020699</v>
      </c>
      <c r="G86">
        <v>1.22854288110872</v>
      </c>
      <c r="H86">
        <v>2.7788268569335701E-2</v>
      </c>
      <c r="I86">
        <v>1.9280976992023999</v>
      </c>
      <c r="J86">
        <v>4.18</v>
      </c>
      <c r="K86">
        <v>938</v>
      </c>
      <c r="L86">
        <v>912.07169410515144</v>
      </c>
    </row>
    <row r="87" spans="1:12" x14ac:dyDescent="0.2">
      <c r="A87" s="14">
        <v>43754</v>
      </c>
      <c r="B87">
        <v>946</v>
      </c>
      <c r="C87">
        <v>938</v>
      </c>
      <c r="D87">
        <v>749.5</v>
      </c>
      <c r="E87">
        <v>736</v>
      </c>
      <c r="F87">
        <v>1.2744565217391299</v>
      </c>
      <c r="G87">
        <v>1.22850068753111</v>
      </c>
      <c r="H87">
        <v>2.77091731240003E-2</v>
      </c>
      <c r="I87">
        <v>1.6585061561513801</v>
      </c>
      <c r="J87">
        <v>3.61</v>
      </c>
      <c r="K87">
        <v>938</v>
      </c>
      <c r="L87">
        <v>917.55708975039829</v>
      </c>
    </row>
    <row r="88" spans="1:12" x14ac:dyDescent="0.2">
      <c r="A88" s="14">
        <v>43753</v>
      </c>
      <c r="B88">
        <v>918</v>
      </c>
      <c r="C88">
        <v>926</v>
      </c>
      <c r="D88">
        <v>744</v>
      </c>
      <c r="E88">
        <v>746.1</v>
      </c>
      <c r="F88">
        <v>1.2411204932314699</v>
      </c>
      <c r="G88">
        <v>1.2280565941883601</v>
      </c>
      <c r="H88">
        <v>2.7231876790532801E-2</v>
      </c>
      <c r="I88">
        <v>0.479728192940794</v>
      </c>
      <c r="J88">
        <v>1.05</v>
      </c>
      <c r="K88">
        <v>926</v>
      </c>
      <c r="L88">
        <v>930.14856611789708</v>
      </c>
    </row>
    <row r="89" spans="1:12" x14ac:dyDescent="0.2">
      <c r="A89" s="14">
        <v>43749</v>
      </c>
      <c r="B89">
        <v>891</v>
      </c>
      <c r="C89">
        <v>896</v>
      </c>
      <c r="D89">
        <v>727.3</v>
      </c>
      <c r="E89">
        <v>734.5</v>
      </c>
      <c r="F89">
        <v>1.2198774676650701</v>
      </c>
      <c r="G89">
        <v>1.22799123163987</v>
      </c>
      <c r="H89">
        <v>2.7206313265647899E-2</v>
      </c>
      <c r="I89">
        <v>-0.29823092513749799</v>
      </c>
      <c r="J89">
        <v>-0.67</v>
      </c>
      <c r="K89">
        <v>896</v>
      </c>
      <c r="L89">
        <v>915.68706850770047</v>
      </c>
    </row>
    <row r="90" spans="1:12" x14ac:dyDescent="0.2">
      <c r="A90" s="14">
        <v>43748</v>
      </c>
      <c r="B90">
        <v>868</v>
      </c>
      <c r="C90">
        <v>876</v>
      </c>
      <c r="D90">
        <v>709.8</v>
      </c>
      <c r="E90">
        <v>717.2</v>
      </c>
      <c r="F90">
        <v>1.2214166201896199</v>
      </c>
      <c r="G90">
        <v>1.22814601954586</v>
      </c>
      <c r="H90">
        <v>2.7192731461368101E-2</v>
      </c>
      <c r="I90">
        <v>-0.24747051857581301</v>
      </c>
      <c r="J90">
        <v>-0.55000000000000004</v>
      </c>
      <c r="K90">
        <v>876</v>
      </c>
      <c r="L90">
        <v>894.11949017525228</v>
      </c>
    </row>
    <row r="91" spans="1:12" x14ac:dyDescent="0.2">
      <c r="A91" s="14">
        <v>43747</v>
      </c>
      <c r="B91">
        <v>872</v>
      </c>
      <c r="C91">
        <v>870</v>
      </c>
      <c r="D91">
        <v>714.1</v>
      </c>
      <c r="E91">
        <v>711.2</v>
      </c>
      <c r="F91">
        <v>1.22328458942632</v>
      </c>
      <c r="G91">
        <v>1.2282045506315</v>
      </c>
      <c r="H91">
        <v>2.71829064292432E-2</v>
      </c>
      <c r="I91">
        <v>-0.180994670970611</v>
      </c>
      <c r="J91">
        <v>-0.4</v>
      </c>
      <c r="K91">
        <v>870</v>
      </c>
      <c r="L91">
        <v>886.63940520446101</v>
      </c>
    </row>
    <row r="92" spans="1:12" x14ac:dyDescent="0.2">
      <c r="A92" s="14">
        <v>43746</v>
      </c>
      <c r="B92">
        <v>879</v>
      </c>
      <c r="C92">
        <v>877</v>
      </c>
      <c r="D92">
        <v>710.4</v>
      </c>
      <c r="E92">
        <v>722.7</v>
      </c>
      <c r="F92">
        <v>1.2135049121350401</v>
      </c>
      <c r="G92">
        <v>1.2285260676085199</v>
      </c>
      <c r="H92">
        <v>2.7265295049851299E-2</v>
      </c>
      <c r="I92">
        <v>-0.55092583615967505</v>
      </c>
      <c r="J92">
        <v>-1.24</v>
      </c>
      <c r="K92">
        <v>877</v>
      </c>
      <c r="L92">
        <v>900.97623473181102</v>
      </c>
    </row>
    <row r="93" spans="1:12" x14ac:dyDescent="0.2">
      <c r="A93" s="14">
        <v>43745</v>
      </c>
      <c r="B93">
        <v>878</v>
      </c>
      <c r="C93">
        <v>875</v>
      </c>
      <c r="D93">
        <v>698.5</v>
      </c>
      <c r="E93">
        <v>694.6</v>
      </c>
      <c r="F93">
        <v>1.2597178232076001</v>
      </c>
      <c r="G93">
        <v>1.22872539107828</v>
      </c>
      <c r="H93">
        <v>2.7209340033747201E-2</v>
      </c>
      <c r="I93">
        <v>1.1390365253578001</v>
      </c>
      <c r="J93">
        <v>2.46</v>
      </c>
      <c r="K93">
        <v>875</v>
      </c>
      <c r="L93">
        <v>865.94450345193843</v>
      </c>
    </row>
    <row r="94" spans="1:12" x14ac:dyDescent="0.2">
      <c r="A94" s="14">
        <v>43742</v>
      </c>
      <c r="B94">
        <v>872</v>
      </c>
      <c r="C94">
        <v>872</v>
      </c>
      <c r="D94">
        <v>694.9</v>
      </c>
      <c r="E94">
        <v>694.1</v>
      </c>
      <c r="F94">
        <v>1.2563031263506601</v>
      </c>
      <c r="G94">
        <v>1.22861725173527</v>
      </c>
      <c r="H94">
        <v>2.71018550521922E-2</v>
      </c>
      <c r="I94">
        <v>1.0215490623088599</v>
      </c>
      <c r="J94">
        <v>2.2000000000000002</v>
      </c>
      <c r="K94">
        <v>872</v>
      </c>
      <c r="L94">
        <v>865.32116303770579</v>
      </c>
    </row>
    <row r="95" spans="1:12" x14ac:dyDescent="0.2">
      <c r="A95" s="14">
        <v>43741</v>
      </c>
      <c r="B95">
        <v>870</v>
      </c>
      <c r="C95">
        <v>866</v>
      </c>
      <c r="D95">
        <v>700</v>
      </c>
      <c r="E95">
        <v>699.6</v>
      </c>
      <c r="F95">
        <v>1.2378502001143501</v>
      </c>
      <c r="G95">
        <v>1.22835349665844</v>
      </c>
      <c r="H95">
        <v>2.6926825028185501E-2</v>
      </c>
      <c r="I95">
        <v>0.35268560054750597</v>
      </c>
      <c r="J95">
        <v>0.77</v>
      </c>
      <c r="K95">
        <v>866</v>
      </c>
      <c r="L95">
        <v>872.17790759426452</v>
      </c>
    </row>
    <row r="96" spans="1:12" x14ac:dyDescent="0.2">
      <c r="A96" s="14">
        <v>43740</v>
      </c>
      <c r="B96">
        <v>882</v>
      </c>
      <c r="C96">
        <v>884</v>
      </c>
      <c r="D96">
        <v>714.3</v>
      </c>
      <c r="E96">
        <v>712.7</v>
      </c>
      <c r="F96">
        <v>1.2403535849586</v>
      </c>
      <c r="G96">
        <v>1.2281053523049399</v>
      </c>
      <c r="H96">
        <v>2.6923918647041498E-2</v>
      </c>
      <c r="I96">
        <v>0.45492013306937001</v>
      </c>
      <c r="J96">
        <v>0.99</v>
      </c>
      <c r="K96">
        <v>884</v>
      </c>
      <c r="L96">
        <v>888.50942644715883</v>
      </c>
    </row>
    <row r="97" spans="1:12" x14ac:dyDescent="0.2">
      <c r="A97" s="14">
        <v>43739</v>
      </c>
      <c r="B97">
        <v>896</v>
      </c>
      <c r="C97">
        <v>905</v>
      </c>
      <c r="D97">
        <v>718.4</v>
      </c>
      <c r="E97">
        <v>729.3</v>
      </c>
      <c r="F97">
        <v>1.24091594679829</v>
      </c>
      <c r="G97">
        <v>1.2278397561033501</v>
      </c>
      <c r="H97">
        <v>2.6900023912715999E-2</v>
      </c>
      <c r="I97">
        <v>0.48610331118574601</v>
      </c>
      <c r="J97">
        <v>1.05</v>
      </c>
      <c r="K97">
        <v>905</v>
      </c>
      <c r="L97">
        <v>909.2043281996813</v>
      </c>
    </row>
    <row r="98" spans="1:12" x14ac:dyDescent="0.2">
      <c r="A98" s="14">
        <v>43738</v>
      </c>
      <c r="B98">
        <v>911</v>
      </c>
      <c r="C98">
        <v>890</v>
      </c>
      <c r="D98">
        <v>724</v>
      </c>
      <c r="E98">
        <v>717.7</v>
      </c>
      <c r="F98">
        <v>1.24007245367145</v>
      </c>
      <c r="G98">
        <v>1.22746745576007</v>
      </c>
      <c r="H98">
        <v>2.6909695358929502E-2</v>
      </c>
      <c r="I98">
        <v>0.46841845451032199</v>
      </c>
      <c r="J98">
        <v>1.02</v>
      </c>
      <c r="K98">
        <v>890</v>
      </c>
      <c r="L98">
        <v>894.74283058948492</v>
      </c>
    </row>
    <row r="99" spans="1:12" x14ac:dyDescent="0.2">
      <c r="A99" s="14">
        <v>43735</v>
      </c>
      <c r="B99">
        <v>904</v>
      </c>
      <c r="C99">
        <v>907</v>
      </c>
      <c r="D99">
        <v>736</v>
      </c>
      <c r="E99">
        <v>727.9</v>
      </c>
      <c r="F99">
        <v>1.24605028163209</v>
      </c>
      <c r="G99">
        <v>1.2273132636064801</v>
      </c>
      <c r="H99">
        <v>2.6870130015677299E-2</v>
      </c>
      <c r="I99">
        <v>0.69731772844701501</v>
      </c>
      <c r="J99">
        <v>1.5</v>
      </c>
      <c r="K99">
        <v>907</v>
      </c>
      <c r="L99">
        <v>907.45897503983008</v>
      </c>
    </row>
    <row r="100" spans="1:12" x14ac:dyDescent="0.2">
      <c r="A100" s="14">
        <v>43734</v>
      </c>
      <c r="B100">
        <v>934</v>
      </c>
      <c r="C100">
        <v>921</v>
      </c>
      <c r="D100">
        <v>755.2</v>
      </c>
      <c r="E100">
        <v>755.9</v>
      </c>
      <c r="F100">
        <v>1.21841513427702</v>
      </c>
      <c r="G100">
        <v>1.22731159153104</v>
      </c>
      <c r="H100">
        <v>2.68689678725508E-2</v>
      </c>
      <c r="I100">
        <v>-0.33110528458806199</v>
      </c>
      <c r="J100">
        <v>-0.73</v>
      </c>
      <c r="K100">
        <v>921</v>
      </c>
      <c r="L100">
        <v>942.36603823685607</v>
      </c>
    </row>
    <row r="101" spans="1:12" x14ac:dyDescent="0.2">
      <c r="A101" s="14">
        <v>43733</v>
      </c>
      <c r="B101">
        <v>920</v>
      </c>
      <c r="C101">
        <v>920</v>
      </c>
      <c r="D101">
        <v>743.1</v>
      </c>
      <c r="E101">
        <v>752.9</v>
      </c>
      <c r="F101">
        <v>1.2219418249435501</v>
      </c>
      <c r="G101">
        <v>1.2274463542309499</v>
      </c>
      <c r="H101">
        <v>2.6849348711821999E-2</v>
      </c>
      <c r="I101">
        <v>-0.20501537472963099</v>
      </c>
      <c r="J101">
        <v>-0.45</v>
      </c>
      <c r="K101">
        <v>920</v>
      </c>
      <c r="L101">
        <v>938.62599575146044</v>
      </c>
    </row>
    <row r="102" spans="1:12" x14ac:dyDescent="0.2">
      <c r="A102" s="14">
        <v>43732</v>
      </c>
      <c r="B102">
        <v>936</v>
      </c>
      <c r="C102">
        <v>929</v>
      </c>
      <c r="D102">
        <v>751</v>
      </c>
      <c r="E102">
        <v>752.9</v>
      </c>
      <c r="F102">
        <v>1.23389560366582</v>
      </c>
      <c r="G102">
        <v>1.22753854910708</v>
      </c>
      <c r="H102">
        <v>2.68421597436025E-2</v>
      </c>
      <c r="I102">
        <v>0.236830963658061</v>
      </c>
      <c r="J102">
        <v>0.52</v>
      </c>
      <c r="K102">
        <v>929</v>
      </c>
      <c r="L102">
        <v>938.62599575146044</v>
      </c>
    </row>
    <row r="103" spans="1:12" x14ac:dyDescent="0.2">
      <c r="A103" s="14">
        <v>43728</v>
      </c>
      <c r="B103">
        <v>933</v>
      </c>
      <c r="C103">
        <v>933</v>
      </c>
      <c r="D103">
        <v>758</v>
      </c>
      <c r="E103">
        <v>754</v>
      </c>
      <c r="F103">
        <v>1.2374005305039699</v>
      </c>
      <c r="G103">
        <v>1.2282679449062099</v>
      </c>
      <c r="H103">
        <v>2.7733454646562399E-2</v>
      </c>
      <c r="I103">
        <v>0.32929852101566998</v>
      </c>
      <c r="J103">
        <v>0.74</v>
      </c>
      <c r="K103">
        <v>933</v>
      </c>
      <c r="L103">
        <v>939.99734466277221</v>
      </c>
    </row>
    <row r="104" spans="1:12" x14ac:dyDescent="0.2">
      <c r="A104" s="14">
        <v>43727</v>
      </c>
      <c r="B104">
        <v>942</v>
      </c>
      <c r="C104">
        <v>939</v>
      </c>
      <c r="D104">
        <v>755</v>
      </c>
      <c r="E104">
        <v>753.2</v>
      </c>
      <c r="F104">
        <v>1.24668082846521</v>
      </c>
      <c r="G104">
        <v>1.2288357817961499</v>
      </c>
      <c r="H104">
        <v>2.8343899007088301E-2</v>
      </c>
      <c r="I104">
        <v>0.62959039843447995</v>
      </c>
      <c r="J104">
        <v>1.43</v>
      </c>
      <c r="K104">
        <v>939</v>
      </c>
      <c r="L104">
        <v>939.00000000000011</v>
      </c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382" t="s">
        <v>2613</v>
      </c>
    </row>
    <row r="2" spans="2:23" s="106" customFormat="1" ht="24.75" thickBot="1" x14ac:dyDescent="0.25">
      <c r="C2" s="58" t="s">
        <v>145</v>
      </c>
      <c r="D2" s="68" t="s">
        <v>169</v>
      </c>
      <c r="E2" s="60"/>
      <c r="F2" s="59" t="s">
        <v>69</v>
      </c>
      <c r="G2" s="61" t="s">
        <v>70</v>
      </c>
      <c r="H2" s="62" t="s">
        <v>146</v>
      </c>
      <c r="I2" s="62" t="s">
        <v>147</v>
      </c>
      <c r="J2" s="60" t="s">
        <v>22</v>
      </c>
      <c r="K2" s="60" t="s">
        <v>148</v>
      </c>
      <c r="L2" s="62" t="s">
        <v>149</v>
      </c>
      <c r="M2" s="63" t="s">
        <v>170</v>
      </c>
      <c r="N2" s="60" t="s">
        <v>150</v>
      </c>
      <c r="O2" s="63" t="s">
        <v>164</v>
      </c>
      <c r="P2" s="60" t="s">
        <v>257</v>
      </c>
      <c r="Q2" s="60" t="s">
        <v>151</v>
      </c>
      <c r="R2" s="63" t="s">
        <v>166</v>
      </c>
      <c r="S2" s="66" t="s">
        <v>167</v>
      </c>
      <c r="T2" s="65"/>
      <c r="U2" s="67" t="s">
        <v>263</v>
      </c>
      <c r="V2" s="67" t="s">
        <v>168</v>
      </c>
      <c r="W2" s="64" t="s">
        <v>165</v>
      </c>
    </row>
    <row r="3" spans="2:23" s="106" customFormat="1" x14ac:dyDescent="0.2">
      <c r="B3" s="124" t="s">
        <v>272</v>
      </c>
      <c r="C3" s="273">
        <f>ROW()/2-1</f>
        <v>0.5</v>
      </c>
      <c r="D3" s="275">
        <v>43807</v>
      </c>
      <c r="E3" s="33" t="s">
        <v>260</v>
      </c>
      <c r="F3" s="33">
        <v>3105</v>
      </c>
      <c r="G3" s="55" t="s">
        <v>991</v>
      </c>
      <c r="H3" s="49"/>
      <c r="I3" s="49">
        <v>1000</v>
      </c>
      <c r="J3" s="50">
        <f t="shared" ref="J3:J4" si="0">H3*I3</f>
        <v>0</v>
      </c>
      <c r="K3" s="52" t="s">
        <v>993</v>
      </c>
      <c r="L3" s="49"/>
      <c r="M3" s="33"/>
      <c r="N3" s="145">
        <f>IF(OR(K3="現物",J3=0),0,IF(E3="売",J3*Fee_Refer!$B$12/365*V3, J3*Fee_Refer!$B$11/365*#REF!))</f>
        <v>0</v>
      </c>
      <c r="O3" s="52">
        <v>0</v>
      </c>
      <c r="P3" s="148">
        <f>IF(L3 &gt;0,(H3-L3)*I3-M3-N3-O3,0)</f>
        <v>0</v>
      </c>
      <c r="Q3" s="51" t="e">
        <f t="shared" ref="Q3:Q4" si="1">P3/J3</f>
        <v>#DIV/0!</v>
      </c>
      <c r="R3" s="277">
        <f>P3+P4</f>
        <v>0</v>
      </c>
      <c r="S3" s="278" t="e">
        <f t="shared" ref="S3" si="2">R3/(J3+J4)</f>
        <v>#DIV/0!</v>
      </c>
      <c r="U3" s="280">
        <f>$P$1</f>
        <v>0</v>
      </c>
      <c r="V3" s="271">
        <f t="shared" ref="V3" si="3">IF(U3&gt;D3,DATEDIF(D3,U3,"d"),0)</f>
        <v>0</v>
      </c>
      <c r="W3" s="272"/>
    </row>
    <row r="4" spans="2:23" s="106" customFormat="1" x14ac:dyDescent="0.2">
      <c r="B4" s="124" t="s">
        <v>838</v>
      </c>
      <c r="C4" s="274"/>
      <c r="D4" s="276">
        <v>43748</v>
      </c>
      <c r="E4" s="29" t="s">
        <v>262</v>
      </c>
      <c r="F4" s="29">
        <v>7762</v>
      </c>
      <c r="G4" s="54" t="s">
        <v>992</v>
      </c>
      <c r="H4" s="46"/>
      <c r="I4" s="46">
        <v>1700</v>
      </c>
      <c r="J4" s="47">
        <f t="shared" si="0"/>
        <v>0</v>
      </c>
      <c r="K4" s="146" t="s">
        <v>993</v>
      </c>
      <c r="L4" s="41"/>
      <c r="M4" s="31"/>
      <c r="N4" s="147">
        <f>IF(OR(K4="現物",J4=0),0,IF(E4="売",J4*Fee_Refer!$B$12/365*V4, J4*Fee_Refer!$B$11/365*V3))</f>
        <v>0</v>
      </c>
      <c r="O4" s="170">
        <v>0</v>
      </c>
      <c r="P4" s="149">
        <f>IF(L4&gt;0,(L4-H4)*I4-M4-N4-O4,0)</f>
        <v>0</v>
      </c>
      <c r="Q4" s="48" t="e">
        <f t="shared" si="1"/>
        <v>#DIV/0!</v>
      </c>
      <c r="R4" s="277"/>
      <c r="S4" s="279"/>
      <c r="U4" s="271"/>
      <c r="V4" s="271"/>
      <c r="W4" s="271"/>
    </row>
    <row r="6" spans="2:23" x14ac:dyDescent="0.2">
      <c r="C6" s="14">
        <v>43806</v>
      </c>
      <c r="D6" s="106" t="s">
        <v>996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4" x14ac:dyDescent="0.2">
      <c r="B1" s="106" t="s">
        <v>303</v>
      </c>
      <c r="C1" s="106" t="s">
        <v>34</v>
      </c>
      <c r="D1" s="106" t="s">
        <v>35</v>
      </c>
      <c r="E1" s="106" t="s">
        <v>36</v>
      </c>
      <c r="F1" s="106" t="s">
        <v>37</v>
      </c>
      <c r="G1" s="106" t="s">
        <v>38</v>
      </c>
      <c r="H1" s="106" t="s">
        <v>39</v>
      </c>
      <c r="I1" s="106" t="s">
        <v>40</v>
      </c>
      <c r="J1" s="106" t="s">
        <v>25</v>
      </c>
      <c r="K1" s="106" t="s">
        <v>41</v>
      </c>
      <c r="L1" s="106" t="s">
        <v>42</v>
      </c>
      <c r="M1" s="106" t="s">
        <v>43</v>
      </c>
      <c r="N1" s="106" t="s">
        <v>44</v>
      </c>
      <c r="O1" s="106" t="s">
        <v>45</v>
      </c>
      <c r="P1" s="106" t="s">
        <v>46</v>
      </c>
      <c r="Q1" s="106" t="s">
        <v>47</v>
      </c>
      <c r="R1" s="106" t="s">
        <v>48</v>
      </c>
      <c r="S1" s="106" t="s">
        <v>49</v>
      </c>
      <c r="T1" s="106" t="s">
        <v>74</v>
      </c>
      <c r="U1" s="106" t="s">
        <v>50</v>
      </c>
      <c r="V1" s="106" t="s">
        <v>51</v>
      </c>
      <c r="W1" s="106" t="s">
        <v>52</v>
      </c>
      <c r="X1" s="106" t="s">
        <v>53</v>
      </c>
      <c r="Y1" s="106" t="s">
        <v>54</v>
      </c>
      <c r="Z1" s="106" t="s">
        <v>55</v>
      </c>
      <c r="AA1" s="106" t="s">
        <v>56</v>
      </c>
      <c r="AB1" s="106" t="s">
        <v>57</v>
      </c>
      <c r="AC1" s="106" t="s">
        <v>58</v>
      </c>
      <c r="AD1" s="106" t="s">
        <v>59</v>
      </c>
      <c r="AE1" s="106" t="s">
        <v>60</v>
      </c>
      <c r="AF1" s="106" t="s">
        <v>75</v>
      </c>
      <c r="AG1" s="106" t="s">
        <v>76</v>
      </c>
      <c r="AH1" s="106" t="s">
        <v>77</v>
      </c>
    </row>
    <row r="2" spans="1:34" x14ac:dyDescent="0.2">
      <c r="A2" s="102">
        <v>90</v>
      </c>
      <c r="B2" s="106">
        <v>7189</v>
      </c>
      <c r="C2" s="106" t="s">
        <v>81</v>
      </c>
      <c r="D2" s="106" t="s">
        <v>82</v>
      </c>
      <c r="E2" s="106">
        <v>869</v>
      </c>
      <c r="F2" s="106">
        <v>879</v>
      </c>
      <c r="G2" s="106">
        <v>1100</v>
      </c>
      <c r="H2" s="106" t="s">
        <v>63</v>
      </c>
      <c r="I2" s="106">
        <v>7278</v>
      </c>
      <c r="J2" s="106" t="s">
        <v>83</v>
      </c>
      <c r="K2" s="106" t="s">
        <v>84</v>
      </c>
      <c r="L2" s="106">
        <v>2512</v>
      </c>
      <c r="M2" s="106">
        <v>2522</v>
      </c>
      <c r="N2" s="106">
        <v>400</v>
      </c>
      <c r="O2" s="106" t="s">
        <v>61</v>
      </c>
      <c r="P2" s="106">
        <v>0.91140815869133096</v>
      </c>
      <c r="Q2" s="106">
        <v>0.92978838276228504</v>
      </c>
      <c r="R2" s="15">
        <v>0.13394468263418999</v>
      </c>
      <c r="S2" s="106">
        <v>1.8855345063177001E-2</v>
      </c>
      <c r="T2" s="106">
        <v>0.23685670457181901</v>
      </c>
      <c r="U2" s="106">
        <v>0.23685670457181901</v>
      </c>
      <c r="V2" s="106">
        <v>0.77</v>
      </c>
      <c r="W2" s="106">
        <v>4.1500000000000004</v>
      </c>
      <c r="X2" s="106">
        <v>709033</v>
      </c>
      <c r="Y2" s="106">
        <v>35452</v>
      </c>
      <c r="Z2" s="106">
        <v>1.81</v>
      </c>
      <c r="AA2" s="106">
        <v>20</v>
      </c>
      <c r="AB2" s="106">
        <v>13</v>
      </c>
      <c r="AC2" s="106">
        <v>7</v>
      </c>
      <c r="AD2" s="106">
        <v>65</v>
      </c>
      <c r="AE2" s="106">
        <v>11</v>
      </c>
      <c r="AF2" s="106">
        <v>11</v>
      </c>
      <c r="AG2" s="106">
        <v>3</v>
      </c>
      <c r="AH2" s="106">
        <v>6</v>
      </c>
    </row>
    <row r="3" spans="1:34" x14ac:dyDescent="0.2">
      <c r="A3" s="102">
        <v>169</v>
      </c>
      <c r="B3">
        <v>1973</v>
      </c>
      <c r="C3" s="106" t="s">
        <v>307</v>
      </c>
      <c r="D3" s="106" t="s">
        <v>79</v>
      </c>
      <c r="E3">
        <v>3560</v>
      </c>
      <c r="F3">
        <v>3580</v>
      </c>
      <c r="G3">
        <v>300</v>
      </c>
      <c r="H3" s="106" t="s">
        <v>61</v>
      </c>
      <c r="I3">
        <v>4062</v>
      </c>
      <c r="J3" s="106" t="s">
        <v>322</v>
      </c>
      <c r="K3" s="106" t="s">
        <v>87</v>
      </c>
      <c r="L3">
        <v>2640</v>
      </c>
      <c r="M3">
        <v>2659</v>
      </c>
      <c r="N3">
        <v>400</v>
      </c>
      <c r="O3" s="106" t="s">
        <v>63</v>
      </c>
      <c r="P3">
        <v>0.91041262914078003</v>
      </c>
      <c r="Q3">
        <v>0.90975599849002398</v>
      </c>
      <c r="R3" s="15">
        <v>4.9505903723643399E-2</v>
      </c>
      <c r="S3" s="106">
        <v>4.5857431588091503E-2</v>
      </c>
      <c r="T3">
        <v>-0.12554827957199599</v>
      </c>
      <c r="U3">
        <v>0.12554827957199599</v>
      </c>
      <c r="V3">
        <v>-0.35</v>
      </c>
      <c r="W3">
        <v>0.97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 x14ac:dyDescent="0.2">
      <c r="A4" s="102">
        <v>133</v>
      </c>
      <c r="B4">
        <v>3105</v>
      </c>
      <c r="C4" s="106" t="s">
        <v>90</v>
      </c>
      <c r="D4" s="106" t="s">
        <v>87</v>
      </c>
      <c r="E4">
        <v>1051</v>
      </c>
      <c r="F4">
        <v>1053</v>
      </c>
      <c r="G4">
        <v>800</v>
      </c>
      <c r="H4" s="106" t="s">
        <v>63</v>
      </c>
      <c r="I4">
        <v>6995</v>
      </c>
      <c r="J4" s="106" t="s">
        <v>91</v>
      </c>
      <c r="K4" s="106" t="s">
        <v>84</v>
      </c>
      <c r="L4">
        <v>2250</v>
      </c>
      <c r="M4">
        <v>2227</v>
      </c>
      <c r="N4">
        <v>400</v>
      </c>
      <c r="O4" s="106" t="s">
        <v>61</v>
      </c>
      <c r="P4">
        <v>0.93669613914141103</v>
      </c>
      <c r="Q4">
        <v>0.91769675467367695</v>
      </c>
      <c r="R4">
        <v>0.27146971769684097</v>
      </c>
      <c r="S4">
        <v>0.122022307097732</v>
      </c>
      <c r="T4">
        <v>0.83497215508794798</v>
      </c>
      <c r="U4">
        <v>0.83497215508794798</v>
      </c>
      <c r="V4">
        <v>2.19</v>
      </c>
      <c r="W4">
        <v>5.43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 x14ac:dyDescent="0.2">
      <c r="A5" s="102">
        <v>91</v>
      </c>
      <c r="B5">
        <v>4626</v>
      </c>
      <c r="C5" s="106" t="s">
        <v>777</v>
      </c>
      <c r="D5" s="106" t="s">
        <v>62</v>
      </c>
      <c r="E5">
        <v>4385</v>
      </c>
      <c r="F5">
        <v>4380</v>
      </c>
      <c r="G5">
        <v>200</v>
      </c>
      <c r="H5" s="106" t="s">
        <v>61</v>
      </c>
      <c r="I5">
        <v>6134</v>
      </c>
      <c r="J5" s="106" t="s">
        <v>778</v>
      </c>
      <c r="K5" s="106" t="s">
        <v>99</v>
      </c>
      <c r="L5">
        <v>1990</v>
      </c>
      <c r="M5">
        <v>1998</v>
      </c>
      <c r="N5">
        <v>400</v>
      </c>
      <c r="O5" s="106" t="s">
        <v>63</v>
      </c>
      <c r="P5">
        <v>0.92444644339190696</v>
      </c>
      <c r="Q5">
        <v>0.92958762010696805</v>
      </c>
      <c r="R5">
        <v>4.2497641631949898E-2</v>
      </c>
      <c r="S5">
        <v>0.19942587039227799</v>
      </c>
      <c r="T5">
        <v>-0.320023924619593</v>
      </c>
      <c r="U5">
        <v>0.320023924619593</v>
      </c>
      <c r="V5">
        <v>-1.06</v>
      </c>
      <c r="W5">
        <v>8.77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 x14ac:dyDescent="0.2">
      <c r="A6" s="102">
        <v>2</v>
      </c>
      <c r="B6">
        <v>3635</v>
      </c>
      <c r="C6" s="106" t="s">
        <v>85</v>
      </c>
      <c r="D6" s="106" t="s">
        <v>79</v>
      </c>
      <c r="E6">
        <v>2844</v>
      </c>
      <c r="F6">
        <v>2878</v>
      </c>
      <c r="G6">
        <v>400</v>
      </c>
      <c r="H6" s="106" t="s">
        <v>61</v>
      </c>
      <c r="I6">
        <v>6920</v>
      </c>
      <c r="J6" s="106" t="s">
        <v>86</v>
      </c>
      <c r="K6" s="106" t="s">
        <v>87</v>
      </c>
      <c r="L6">
        <v>10290</v>
      </c>
      <c r="M6">
        <v>10830</v>
      </c>
      <c r="N6">
        <v>100</v>
      </c>
      <c r="O6" s="106" t="s">
        <v>63</v>
      </c>
      <c r="P6">
        <v>0.94329609412183102</v>
      </c>
      <c r="Q6">
        <v>0.97228828084444396</v>
      </c>
      <c r="R6">
        <v>5.9327679928122198E-2</v>
      </c>
      <c r="S6" s="15">
        <v>4.4582128433483898E-3</v>
      </c>
      <c r="T6">
        <v>-1.62644528241857</v>
      </c>
      <c r="U6">
        <v>1.62644528241857</v>
      </c>
      <c r="V6">
        <v>-16.71</v>
      </c>
      <c r="W6">
        <v>6.3</v>
      </c>
      <c r="X6">
        <v>537240</v>
      </c>
      <c r="Y6">
        <v>25583</v>
      </c>
      <c r="Z6">
        <v>1.35</v>
      </c>
      <c r="AA6">
        <v>21</v>
      </c>
      <c r="AB6">
        <v>14</v>
      </c>
      <c r="AC6">
        <v>7</v>
      </c>
      <c r="AD6">
        <v>66.67</v>
      </c>
      <c r="AE6">
        <v>10</v>
      </c>
      <c r="AF6">
        <v>10</v>
      </c>
      <c r="AG6">
        <v>6</v>
      </c>
      <c r="AH6">
        <v>5</v>
      </c>
    </row>
    <row r="7" spans="1:34" x14ac:dyDescent="0.2">
      <c r="A7" s="102">
        <v>70</v>
      </c>
      <c r="B7">
        <v>2914</v>
      </c>
      <c r="C7" s="106" t="s">
        <v>96</v>
      </c>
      <c r="D7" s="106" t="s">
        <v>97</v>
      </c>
      <c r="E7">
        <v>2539.5</v>
      </c>
      <c r="F7">
        <v>2522.5</v>
      </c>
      <c r="G7">
        <v>400</v>
      </c>
      <c r="H7" s="106" t="s">
        <v>61</v>
      </c>
      <c r="I7">
        <v>7189</v>
      </c>
      <c r="J7" s="106" t="s">
        <v>81</v>
      </c>
      <c r="K7" s="106" t="s">
        <v>82</v>
      </c>
      <c r="L7">
        <v>869</v>
      </c>
      <c r="M7">
        <v>879</v>
      </c>
      <c r="N7">
        <v>1100</v>
      </c>
      <c r="O7" s="106" t="s">
        <v>63</v>
      </c>
      <c r="P7">
        <v>0.90350761344079999</v>
      </c>
      <c r="Q7">
        <v>0.934712980410775</v>
      </c>
      <c r="R7">
        <v>9.9216383914793302E-2</v>
      </c>
      <c r="S7">
        <v>3.0491003319211001E-2</v>
      </c>
      <c r="T7">
        <v>-1.0188620615300401</v>
      </c>
      <c r="U7">
        <v>1.0188620615300401</v>
      </c>
      <c r="V7">
        <v>-6</v>
      </c>
      <c r="W7">
        <v>4.17</v>
      </c>
      <c r="X7">
        <v>526842</v>
      </c>
      <c r="Y7">
        <v>23947</v>
      </c>
      <c r="Z7">
        <v>1.21</v>
      </c>
      <c r="AA7">
        <v>22</v>
      </c>
      <c r="AB7">
        <v>16</v>
      </c>
      <c r="AC7">
        <v>6</v>
      </c>
      <c r="AD7">
        <v>72.73</v>
      </c>
      <c r="AE7">
        <v>14</v>
      </c>
      <c r="AF7">
        <v>12</v>
      </c>
      <c r="AG7">
        <v>3</v>
      </c>
      <c r="AH7">
        <v>7</v>
      </c>
    </row>
    <row r="8" spans="1:34" x14ac:dyDescent="0.2">
      <c r="A8" s="102">
        <v>138</v>
      </c>
      <c r="B8">
        <v>5393</v>
      </c>
      <c r="C8" s="106" t="s">
        <v>329</v>
      </c>
      <c r="D8" s="106" t="s">
        <v>106</v>
      </c>
      <c r="E8">
        <v>2744</v>
      </c>
      <c r="F8">
        <v>2768</v>
      </c>
      <c r="G8">
        <v>300</v>
      </c>
      <c r="H8" s="106" t="s">
        <v>63</v>
      </c>
      <c r="I8">
        <v>8253</v>
      </c>
      <c r="J8" s="106" t="s">
        <v>979</v>
      </c>
      <c r="K8" s="106" t="s">
        <v>296</v>
      </c>
      <c r="L8">
        <v>1875</v>
      </c>
      <c r="M8">
        <v>1886</v>
      </c>
      <c r="N8">
        <v>400</v>
      </c>
      <c r="O8" s="106" t="s">
        <v>61</v>
      </c>
      <c r="P8">
        <v>0.96910924365832996</v>
      </c>
      <c r="Q8">
        <v>0.916960748618179</v>
      </c>
      <c r="R8">
        <v>0.305234914934779</v>
      </c>
      <c r="S8" s="15">
        <v>0.12885046250763299</v>
      </c>
      <c r="T8">
        <v>0.82238550385104003</v>
      </c>
      <c r="U8">
        <v>0.82238550385104003</v>
      </c>
      <c r="V8">
        <v>3.39</v>
      </c>
      <c r="W8">
        <v>9.15</v>
      </c>
      <c r="X8">
        <v>477201</v>
      </c>
      <c r="Y8">
        <v>28071</v>
      </c>
      <c r="Z8">
        <v>1.44</v>
      </c>
      <c r="AA8">
        <v>17</v>
      </c>
      <c r="AB8">
        <v>14</v>
      </c>
      <c r="AC8">
        <v>3</v>
      </c>
      <c r="AD8">
        <v>82.35</v>
      </c>
      <c r="AE8">
        <v>12</v>
      </c>
      <c r="AF8">
        <v>9</v>
      </c>
      <c r="AG8">
        <v>1</v>
      </c>
      <c r="AH8">
        <v>7</v>
      </c>
    </row>
    <row r="9" spans="1:34" x14ac:dyDescent="0.2">
      <c r="A9" s="102">
        <v>16</v>
      </c>
      <c r="B9">
        <v>1928</v>
      </c>
      <c r="C9" s="106" t="s">
        <v>299</v>
      </c>
      <c r="D9" s="106" t="s">
        <v>78</v>
      </c>
      <c r="E9">
        <v>2388</v>
      </c>
      <c r="F9">
        <v>2373</v>
      </c>
      <c r="G9">
        <v>400</v>
      </c>
      <c r="H9" s="106" t="s">
        <v>61</v>
      </c>
      <c r="I9">
        <v>4062</v>
      </c>
      <c r="J9" s="106" t="s">
        <v>322</v>
      </c>
      <c r="K9" s="106" t="s">
        <v>87</v>
      </c>
      <c r="L9">
        <v>2640</v>
      </c>
      <c r="M9">
        <v>2659</v>
      </c>
      <c r="N9">
        <v>400</v>
      </c>
      <c r="O9" s="106" t="s">
        <v>63</v>
      </c>
      <c r="P9">
        <v>0.90345534109026704</v>
      </c>
      <c r="Q9">
        <v>0.95510026946640203</v>
      </c>
      <c r="R9">
        <v>2.4085312520278599E-2</v>
      </c>
      <c r="S9" s="15">
        <v>6.5573293362785098E-2</v>
      </c>
      <c r="T9">
        <v>-1.90699173262318</v>
      </c>
      <c r="U9">
        <v>1.90699173262318</v>
      </c>
      <c r="V9">
        <v>-5.93</v>
      </c>
      <c r="W9">
        <v>10.76</v>
      </c>
      <c r="X9">
        <v>454397</v>
      </c>
      <c r="Y9">
        <v>28400</v>
      </c>
      <c r="Z9">
        <v>1.52</v>
      </c>
      <c r="AA9">
        <v>16</v>
      </c>
      <c r="AB9">
        <v>13</v>
      </c>
      <c r="AC9">
        <v>3</v>
      </c>
      <c r="AD9">
        <v>81.25</v>
      </c>
      <c r="AE9">
        <v>11</v>
      </c>
      <c r="AF9">
        <v>9</v>
      </c>
      <c r="AG9">
        <v>2</v>
      </c>
      <c r="AH9">
        <v>5</v>
      </c>
    </row>
    <row r="10" spans="1:34" x14ac:dyDescent="0.2">
      <c r="A10" s="102">
        <v>36</v>
      </c>
      <c r="B10">
        <v>4204</v>
      </c>
      <c r="C10" s="106" t="s">
        <v>320</v>
      </c>
      <c r="D10" s="106" t="s">
        <v>62</v>
      </c>
      <c r="E10">
        <v>1929</v>
      </c>
      <c r="F10">
        <v>1924</v>
      </c>
      <c r="G10">
        <v>500</v>
      </c>
      <c r="H10" s="106" t="s">
        <v>61</v>
      </c>
      <c r="I10">
        <v>4626</v>
      </c>
      <c r="J10" s="106" t="s">
        <v>777</v>
      </c>
      <c r="K10" s="106" t="s">
        <v>62</v>
      </c>
      <c r="L10">
        <v>4385</v>
      </c>
      <c r="M10">
        <v>4380</v>
      </c>
      <c r="N10">
        <v>200</v>
      </c>
      <c r="O10" s="106" t="s">
        <v>63</v>
      </c>
      <c r="P10">
        <v>0.94153407649290399</v>
      </c>
      <c r="Q10">
        <v>0.94484477580112203</v>
      </c>
      <c r="R10">
        <v>0.208046464265354</v>
      </c>
      <c r="S10">
        <v>3.19592035611568E-3</v>
      </c>
      <c r="T10">
        <v>-1.3320636485738599</v>
      </c>
      <c r="U10">
        <v>1.3320636485738599</v>
      </c>
      <c r="V10">
        <v>-5</v>
      </c>
      <c r="W10">
        <v>9.82</v>
      </c>
      <c r="X10">
        <v>440364</v>
      </c>
      <c r="Y10">
        <v>23177</v>
      </c>
      <c r="Z10">
        <v>1.21</v>
      </c>
      <c r="AA10">
        <v>19</v>
      </c>
      <c r="AB10">
        <v>13</v>
      </c>
      <c r="AC10">
        <v>6</v>
      </c>
      <c r="AD10">
        <v>68.42</v>
      </c>
      <c r="AE10">
        <v>15</v>
      </c>
      <c r="AF10">
        <v>9</v>
      </c>
      <c r="AG10">
        <v>1</v>
      </c>
      <c r="AH10">
        <v>9</v>
      </c>
    </row>
    <row r="11" spans="1:34" x14ac:dyDescent="0.2">
      <c r="A11" s="102">
        <v>23</v>
      </c>
      <c r="B11">
        <v>5991</v>
      </c>
      <c r="C11" s="106" t="s">
        <v>115</v>
      </c>
      <c r="D11" s="106" t="s">
        <v>116</v>
      </c>
      <c r="E11">
        <v>1023</v>
      </c>
      <c r="F11">
        <v>1030</v>
      </c>
      <c r="G11">
        <v>1000</v>
      </c>
      <c r="H11" s="106" t="s">
        <v>63</v>
      </c>
      <c r="I11">
        <v>7278</v>
      </c>
      <c r="J11" s="106" t="s">
        <v>83</v>
      </c>
      <c r="K11" s="106" t="s">
        <v>84</v>
      </c>
      <c r="L11">
        <v>2512</v>
      </c>
      <c r="M11">
        <v>2522</v>
      </c>
      <c r="N11">
        <v>400</v>
      </c>
      <c r="O11" s="106" t="s">
        <v>61</v>
      </c>
      <c r="P11">
        <v>0.92808185627780404</v>
      </c>
      <c r="Q11">
        <v>0.95095373003991901</v>
      </c>
      <c r="R11">
        <v>0.16681067701194499</v>
      </c>
      <c r="S11">
        <v>7.2818935902543604E-3</v>
      </c>
      <c r="T11">
        <v>1.8016645611734901</v>
      </c>
      <c r="U11">
        <v>1.8016645611734901</v>
      </c>
      <c r="V11">
        <v>4.37</v>
      </c>
      <c r="W11">
        <v>2.1</v>
      </c>
      <c r="X11">
        <v>437615</v>
      </c>
      <c r="Y11">
        <v>24312</v>
      </c>
      <c r="Z11">
        <v>1.1399999999999999</v>
      </c>
      <c r="AA11">
        <v>18</v>
      </c>
      <c r="AB11">
        <v>13</v>
      </c>
      <c r="AC11">
        <v>5</v>
      </c>
      <c r="AD11">
        <v>72.22</v>
      </c>
      <c r="AE11">
        <v>13</v>
      </c>
      <c r="AF11">
        <v>8</v>
      </c>
      <c r="AG11">
        <v>1</v>
      </c>
      <c r="AH11">
        <v>9</v>
      </c>
    </row>
    <row r="12" spans="1:34" x14ac:dyDescent="0.2">
      <c r="A12" s="102">
        <v>27</v>
      </c>
      <c r="B12">
        <v>1973</v>
      </c>
      <c r="C12" s="106" t="s">
        <v>307</v>
      </c>
      <c r="D12" s="106" t="s">
        <v>79</v>
      </c>
      <c r="E12">
        <v>3560</v>
      </c>
      <c r="F12">
        <v>3580</v>
      </c>
      <c r="G12">
        <v>300</v>
      </c>
      <c r="H12" s="106" t="s">
        <v>61</v>
      </c>
      <c r="I12">
        <v>3635</v>
      </c>
      <c r="J12" s="106" t="s">
        <v>85</v>
      </c>
      <c r="K12" s="106" t="s">
        <v>79</v>
      </c>
      <c r="L12">
        <v>2844</v>
      </c>
      <c r="M12">
        <v>2878</v>
      </c>
      <c r="N12">
        <v>400</v>
      </c>
      <c r="O12" s="106" t="s">
        <v>63</v>
      </c>
      <c r="P12">
        <v>0.92518274430791403</v>
      </c>
      <c r="Q12">
        <v>0.94862618027513002</v>
      </c>
      <c r="R12">
        <v>2.02478303569756E-2</v>
      </c>
      <c r="S12" s="15">
        <v>1.4893581761655899E-2</v>
      </c>
      <c r="T12">
        <v>-1.7427641497167901</v>
      </c>
      <c r="U12">
        <v>1.7427641497167901</v>
      </c>
      <c r="V12">
        <v>-5.0999999999999996</v>
      </c>
      <c r="W12">
        <v>7.19</v>
      </c>
      <c r="X12">
        <v>416117</v>
      </c>
      <c r="Y12">
        <v>26007</v>
      </c>
      <c r="Z12">
        <v>1.37</v>
      </c>
      <c r="AA12">
        <v>16</v>
      </c>
      <c r="AB12">
        <v>12</v>
      </c>
      <c r="AC12">
        <v>4</v>
      </c>
      <c r="AD12">
        <v>75</v>
      </c>
      <c r="AE12">
        <v>13</v>
      </c>
      <c r="AF12">
        <v>8</v>
      </c>
      <c r="AG12">
        <v>1</v>
      </c>
      <c r="AH12">
        <v>7</v>
      </c>
    </row>
    <row r="13" spans="1:34" x14ac:dyDescent="0.2">
      <c r="A13" s="102">
        <v>160</v>
      </c>
      <c r="B13">
        <v>8593</v>
      </c>
      <c r="C13" s="106" t="s">
        <v>308</v>
      </c>
      <c r="D13" s="106" t="s">
        <v>296</v>
      </c>
      <c r="E13">
        <v>721</v>
      </c>
      <c r="F13">
        <v>724</v>
      </c>
      <c r="G13">
        <v>1300</v>
      </c>
      <c r="H13" s="106" t="s">
        <v>63</v>
      </c>
      <c r="I13">
        <v>9437</v>
      </c>
      <c r="J13" s="106" t="s">
        <v>841</v>
      </c>
      <c r="K13" s="106" t="s">
        <v>79</v>
      </c>
      <c r="L13">
        <v>3070</v>
      </c>
      <c r="M13">
        <v>3048</v>
      </c>
      <c r="N13">
        <v>300</v>
      </c>
      <c r="O13" s="106" t="s">
        <v>61</v>
      </c>
      <c r="P13">
        <v>0.90789660736452105</v>
      </c>
      <c r="Q13">
        <v>0.91224899233610202</v>
      </c>
      <c r="R13">
        <v>2.9334573925838801E-2</v>
      </c>
      <c r="S13" s="15">
        <v>0.15600095410836601</v>
      </c>
      <c r="T13">
        <v>1.3779141147335601</v>
      </c>
      <c r="U13">
        <v>1.3779141147335601</v>
      </c>
      <c r="V13">
        <v>3.57</v>
      </c>
      <c r="W13">
        <v>2.93</v>
      </c>
      <c r="X13">
        <v>399560</v>
      </c>
      <c r="Y13">
        <v>33297</v>
      </c>
      <c r="Z13">
        <v>1.73</v>
      </c>
      <c r="AA13">
        <v>12</v>
      </c>
      <c r="AB13">
        <v>9</v>
      </c>
      <c r="AC13">
        <v>3</v>
      </c>
      <c r="AD13">
        <v>75</v>
      </c>
      <c r="AE13">
        <v>12</v>
      </c>
      <c r="AF13">
        <v>7</v>
      </c>
      <c r="AG13">
        <v>1</v>
      </c>
      <c r="AH13">
        <v>4</v>
      </c>
    </row>
    <row r="14" spans="1:34" x14ac:dyDescent="0.2">
      <c r="A14" s="102">
        <v>140</v>
      </c>
      <c r="B14">
        <v>4182</v>
      </c>
      <c r="C14" s="106" t="s">
        <v>88</v>
      </c>
      <c r="D14" s="106" t="s">
        <v>62</v>
      </c>
      <c r="E14">
        <v>1702</v>
      </c>
      <c r="F14">
        <v>1691</v>
      </c>
      <c r="G14">
        <v>500</v>
      </c>
      <c r="H14" s="106" t="s">
        <v>63</v>
      </c>
      <c r="I14">
        <v>7259</v>
      </c>
      <c r="J14" s="106" t="s">
        <v>29</v>
      </c>
      <c r="K14" s="106" t="s">
        <v>84</v>
      </c>
      <c r="L14">
        <v>4140</v>
      </c>
      <c r="M14">
        <v>4180</v>
      </c>
      <c r="N14">
        <v>200</v>
      </c>
      <c r="O14" s="106" t="s">
        <v>61</v>
      </c>
      <c r="P14">
        <v>0.90924179930821203</v>
      </c>
      <c r="Q14">
        <v>0.91635797875276703</v>
      </c>
      <c r="R14">
        <v>0.34817116344302501</v>
      </c>
      <c r="S14" s="15">
        <v>5.4369227342091798E-2</v>
      </c>
      <c r="T14">
        <v>0.125879021595179</v>
      </c>
      <c r="U14">
        <v>0.125879021595179</v>
      </c>
      <c r="V14">
        <v>0.46</v>
      </c>
      <c r="W14">
        <v>1.1399999999999999</v>
      </c>
      <c r="X14">
        <v>398323</v>
      </c>
      <c r="Y14">
        <v>22129</v>
      </c>
      <c r="Z14">
        <v>1.2</v>
      </c>
      <c r="AA14">
        <v>18</v>
      </c>
      <c r="AB14">
        <v>13</v>
      </c>
      <c r="AC14">
        <v>5</v>
      </c>
      <c r="AD14">
        <v>72.22</v>
      </c>
      <c r="AE14">
        <v>12</v>
      </c>
      <c r="AF14">
        <v>9</v>
      </c>
      <c r="AG14">
        <v>2</v>
      </c>
      <c r="AH14">
        <v>7</v>
      </c>
    </row>
    <row r="15" spans="1:34" x14ac:dyDescent="0.2">
      <c r="A15" s="102">
        <v>113</v>
      </c>
      <c r="B15">
        <v>6952</v>
      </c>
      <c r="C15" s="106" t="s">
        <v>786</v>
      </c>
      <c r="D15" s="106" t="s">
        <v>87</v>
      </c>
      <c r="E15">
        <v>2200</v>
      </c>
      <c r="F15">
        <v>2206</v>
      </c>
      <c r="G15">
        <v>400</v>
      </c>
      <c r="H15" s="106" t="s">
        <v>61</v>
      </c>
      <c r="I15">
        <v>7729</v>
      </c>
      <c r="J15" s="106" t="s">
        <v>1010</v>
      </c>
      <c r="K15" s="106" t="s">
        <v>93</v>
      </c>
      <c r="L15">
        <v>4250</v>
      </c>
      <c r="M15">
        <v>4300</v>
      </c>
      <c r="N15">
        <v>200</v>
      </c>
      <c r="O15" s="106" t="s">
        <v>63</v>
      </c>
      <c r="P15">
        <v>0.95418417066759498</v>
      </c>
      <c r="Q15">
        <v>0.92186113030989003</v>
      </c>
      <c r="R15" s="106">
        <v>6.26664816457628E-2</v>
      </c>
      <c r="S15" s="15">
        <v>6.8296946244986598E-2</v>
      </c>
      <c r="T15">
        <v>-0.17295440585452099</v>
      </c>
      <c r="U15">
        <v>0.17295440585452099</v>
      </c>
      <c r="V15">
        <v>-0.55000000000000004</v>
      </c>
      <c r="W15">
        <v>2.6</v>
      </c>
      <c r="X15">
        <v>385325</v>
      </c>
      <c r="Y15">
        <v>18349</v>
      </c>
      <c r="Z15">
        <v>0.8</v>
      </c>
      <c r="AA15">
        <v>21</v>
      </c>
      <c r="AB15">
        <v>12</v>
      </c>
      <c r="AC15">
        <v>9</v>
      </c>
      <c r="AD15">
        <v>57.14</v>
      </c>
      <c r="AE15">
        <v>11</v>
      </c>
      <c r="AF15">
        <v>11</v>
      </c>
      <c r="AG15">
        <v>6</v>
      </c>
      <c r="AH15">
        <v>4</v>
      </c>
    </row>
    <row r="16" spans="1:34" x14ac:dyDescent="0.2">
      <c r="A16" s="102">
        <v>105</v>
      </c>
      <c r="B16">
        <v>1963</v>
      </c>
      <c r="C16" s="106" t="s">
        <v>129</v>
      </c>
      <c r="D16" s="106" t="s">
        <v>78</v>
      </c>
      <c r="E16">
        <v>1792</v>
      </c>
      <c r="F16">
        <v>1805</v>
      </c>
      <c r="G16">
        <v>600</v>
      </c>
      <c r="H16" s="106" t="s">
        <v>63</v>
      </c>
      <c r="I16">
        <v>5802</v>
      </c>
      <c r="J16" s="106" t="s">
        <v>130</v>
      </c>
      <c r="K16" s="106" t="s">
        <v>131</v>
      </c>
      <c r="L16">
        <v>1685</v>
      </c>
      <c r="M16">
        <v>1663</v>
      </c>
      <c r="N16">
        <v>700</v>
      </c>
      <c r="O16" s="106" t="s">
        <v>61</v>
      </c>
      <c r="P16">
        <v>0.91497576523867397</v>
      </c>
      <c r="Q16">
        <v>0.92374732440669505</v>
      </c>
      <c r="R16">
        <v>7.1072673099885297E-2</v>
      </c>
      <c r="S16" s="15">
        <v>1.0572852200065499E-3</v>
      </c>
      <c r="T16">
        <v>1.53159966299685</v>
      </c>
      <c r="U16">
        <v>1.53159966299685</v>
      </c>
      <c r="V16">
        <v>4.42</v>
      </c>
      <c r="W16">
        <v>7.49</v>
      </c>
      <c r="X16">
        <v>383249</v>
      </c>
      <c r="Y16">
        <v>14740</v>
      </c>
      <c r="Z16">
        <v>0.74</v>
      </c>
      <c r="AA16">
        <v>26</v>
      </c>
      <c r="AB16">
        <v>16</v>
      </c>
      <c r="AC16">
        <v>10</v>
      </c>
      <c r="AD16">
        <v>61.54</v>
      </c>
      <c r="AE16">
        <v>13</v>
      </c>
      <c r="AF16">
        <v>13</v>
      </c>
      <c r="AG16">
        <v>6</v>
      </c>
      <c r="AH16">
        <v>7</v>
      </c>
    </row>
    <row r="17" spans="1:34" x14ac:dyDescent="0.2">
      <c r="A17" s="102">
        <v>150</v>
      </c>
      <c r="B17">
        <v>1941</v>
      </c>
      <c r="C17" s="106" t="s">
        <v>1011</v>
      </c>
      <c r="D17" s="106" t="s">
        <v>78</v>
      </c>
      <c r="E17">
        <v>2602</v>
      </c>
      <c r="F17">
        <v>2584</v>
      </c>
      <c r="G17">
        <v>400</v>
      </c>
      <c r="H17" s="106" t="s">
        <v>61</v>
      </c>
      <c r="I17">
        <v>6287</v>
      </c>
      <c r="J17" s="106" t="s">
        <v>780</v>
      </c>
      <c r="K17" s="106" t="s">
        <v>99</v>
      </c>
      <c r="L17">
        <v>3435</v>
      </c>
      <c r="M17">
        <v>3435</v>
      </c>
      <c r="N17">
        <v>300</v>
      </c>
      <c r="O17" s="106" t="s">
        <v>63</v>
      </c>
      <c r="P17">
        <v>0.92589454461908505</v>
      </c>
      <c r="Q17">
        <v>0.91447600339497004</v>
      </c>
      <c r="R17">
        <v>0.31514069706210501</v>
      </c>
      <c r="S17" s="15">
        <v>4.74817323965508E-4</v>
      </c>
      <c r="T17">
        <v>-1.4155368633282299</v>
      </c>
      <c r="U17">
        <v>1.4155368633282299</v>
      </c>
      <c r="V17">
        <v>-6.26</v>
      </c>
      <c r="W17">
        <v>0.3</v>
      </c>
      <c r="X17">
        <v>380168</v>
      </c>
      <c r="Y17">
        <v>25345</v>
      </c>
      <c r="Z17">
        <v>1.27</v>
      </c>
      <c r="AA17">
        <v>15</v>
      </c>
      <c r="AB17">
        <v>10</v>
      </c>
      <c r="AC17">
        <v>5</v>
      </c>
      <c r="AD17">
        <v>66.67</v>
      </c>
      <c r="AE17">
        <v>14</v>
      </c>
      <c r="AF17">
        <v>6</v>
      </c>
      <c r="AG17">
        <v>2</v>
      </c>
      <c r="AH17">
        <v>7</v>
      </c>
    </row>
    <row r="18" spans="1:34" x14ac:dyDescent="0.2">
      <c r="A18" s="102">
        <v>139</v>
      </c>
      <c r="B18">
        <v>1719</v>
      </c>
      <c r="C18" s="106" t="s">
        <v>1012</v>
      </c>
      <c r="D18" s="106" t="s">
        <v>78</v>
      </c>
      <c r="E18">
        <v>962</v>
      </c>
      <c r="F18">
        <v>966</v>
      </c>
      <c r="G18">
        <v>1100</v>
      </c>
      <c r="H18" s="106" t="s">
        <v>63</v>
      </c>
      <c r="I18">
        <v>1803</v>
      </c>
      <c r="J18" s="106" t="s">
        <v>1013</v>
      </c>
      <c r="K18" s="106" t="s">
        <v>78</v>
      </c>
      <c r="L18">
        <v>1126</v>
      </c>
      <c r="M18">
        <v>1130</v>
      </c>
      <c r="N18">
        <v>900</v>
      </c>
      <c r="O18" s="106" t="s">
        <v>61</v>
      </c>
      <c r="P18">
        <v>0.94924830312314301</v>
      </c>
      <c r="Q18">
        <v>0.91666309940399604</v>
      </c>
      <c r="R18" s="106">
        <v>1.1231457913029401E-2</v>
      </c>
      <c r="S18" s="15">
        <v>5.0983508846423199E-2</v>
      </c>
      <c r="T18">
        <v>1.0326863364911201</v>
      </c>
      <c r="U18">
        <v>1.0326863364911201</v>
      </c>
      <c r="V18">
        <v>4.04</v>
      </c>
      <c r="W18">
        <v>4.4800000000000004</v>
      </c>
      <c r="X18">
        <v>366456</v>
      </c>
      <c r="Y18">
        <v>16657</v>
      </c>
      <c r="Z18">
        <v>0.79</v>
      </c>
      <c r="AA18">
        <v>22</v>
      </c>
      <c r="AB18">
        <v>13</v>
      </c>
      <c r="AC18">
        <v>9</v>
      </c>
      <c r="AD18">
        <v>59.09</v>
      </c>
      <c r="AE18">
        <v>11</v>
      </c>
      <c r="AF18">
        <v>12</v>
      </c>
      <c r="AG18">
        <v>4</v>
      </c>
      <c r="AH18">
        <v>6</v>
      </c>
    </row>
    <row r="19" spans="1:34" x14ac:dyDescent="0.2">
      <c r="A19" s="102">
        <v>69</v>
      </c>
      <c r="B19">
        <v>3635</v>
      </c>
      <c r="C19" s="106" t="s">
        <v>85</v>
      </c>
      <c r="D19" s="106" t="s">
        <v>79</v>
      </c>
      <c r="E19">
        <v>2844</v>
      </c>
      <c r="F19">
        <v>2878</v>
      </c>
      <c r="G19">
        <v>300</v>
      </c>
      <c r="H19" s="106" t="s">
        <v>61</v>
      </c>
      <c r="I19">
        <v>6755</v>
      </c>
      <c r="J19" s="106" t="s">
        <v>980</v>
      </c>
      <c r="K19" s="106" t="s">
        <v>87</v>
      </c>
      <c r="L19">
        <v>2417</v>
      </c>
      <c r="M19">
        <v>2431</v>
      </c>
      <c r="N19">
        <v>400</v>
      </c>
      <c r="O19" s="106" t="s">
        <v>63</v>
      </c>
      <c r="P19">
        <v>0.953388081833352</v>
      </c>
      <c r="Q19">
        <v>0.93473598052804596</v>
      </c>
      <c r="R19" s="15">
        <v>3.3400565521780001E-2</v>
      </c>
      <c r="S19">
        <v>0.112039546458419</v>
      </c>
      <c r="T19">
        <v>-1.4317656050927201</v>
      </c>
      <c r="U19">
        <v>1.4317656050927201</v>
      </c>
      <c r="V19">
        <v>-6.57</v>
      </c>
      <c r="W19">
        <v>12.62</v>
      </c>
      <c r="X19">
        <v>365863</v>
      </c>
      <c r="Y19">
        <v>20326</v>
      </c>
      <c r="Z19">
        <v>1.01</v>
      </c>
      <c r="AA19">
        <v>18</v>
      </c>
      <c r="AB19">
        <v>11</v>
      </c>
      <c r="AC19">
        <v>7</v>
      </c>
      <c r="AD19">
        <v>61.11</v>
      </c>
      <c r="AE19">
        <v>12</v>
      </c>
      <c r="AF19">
        <v>10</v>
      </c>
      <c r="AG19">
        <v>4</v>
      </c>
      <c r="AH19">
        <v>4</v>
      </c>
    </row>
    <row r="20" spans="1:34" x14ac:dyDescent="0.2">
      <c r="A20" s="102">
        <v>114</v>
      </c>
      <c r="B20">
        <v>5991</v>
      </c>
      <c r="C20" s="106" t="s">
        <v>115</v>
      </c>
      <c r="D20" s="106" t="s">
        <v>116</v>
      </c>
      <c r="E20">
        <v>1023</v>
      </c>
      <c r="F20">
        <v>1030</v>
      </c>
      <c r="G20">
        <v>900</v>
      </c>
      <c r="H20" s="106" t="s">
        <v>63</v>
      </c>
      <c r="I20">
        <v>6923</v>
      </c>
      <c r="J20" s="106" t="s">
        <v>112</v>
      </c>
      <c r="K20" s="106" t="s">
        <v>87</v>
      </c>
      <c r="L20">
        <v>3155</v>
      </c>
      <c r="M20">
        <v>3200</v>
      </c>
      <c r="N20">
        <v>300</v>
      </c>
      <c r="O20" s="106" t="s">
        <v>61</v>
      </c>
      <c r="P20">
        <v>0.91484772625762301</v>
      </c>
      <c r="Q20">
        <v>0.92178262248296605</v>
      </c>
      <c r="R20">
        <v>0.17384363358784699</v>
      </c>
      <c r="S20">
        <v>0.10845322907586399</v>
      </c>
      <c r="T20">
        <v>1.2977345548088199</v>
      </c>
      <c r="U20">
        <v>1.2977345548088199</v>
      </c>
      <c r="V20">
        <v>5.63</v>
      </c>
      <c r="W20">
        <v>3.44</v>
      </c>
      <c r="X20">
        <v>365550</v>
      </c>
      <c r="Y20">
        <v>19239</v>
      </c>
      <c r="Z20">
        <v>0.98</v>
      </c>
      <c r="AA20">
        <v>19</v>
      </c>
      <c r="AB20">
        <v>13</v>
      </c>
      <c r="AC20">
        <v>6</v>
      </c>
      <c r="AD20">
        <v>68.42</v>
      </c>
      <c r="AE20">
        <v>14</v>
      </c>
      <c r="AF20">
        <v>8</v>
      </c>
      <c r="AG20">
        <v>2</v>
      </c>
      <c r="AH20">
        <v>9</v>
      </c>
    </row>
    <row r="21" spans="1:34" x14ac:dyDescent="0.2">
      <c r="A21" s="102">
        <v>103</v>
      </c>
      <c r="B21">
        <v>1820</v>
      </c>
      <c r="C21" s="106" t="s">
        <v>121</v>
      </c>
      <c r="D21" s="106" t="s">
        <v>78</v>
      </c>
      <c r="E21">
        <v>2476</v>
      </c>
      <c r="F21">
        <v>2480</v>
      </c>
      <c r="G21">
        <v>400</v>
      </c>
      <c r="H21" s="106" t="s">
        <v>63</v>
      </c>
      <c r="I21">
        <v>7278</v>
      </c>
      <c r="J21" s="106" t="s">
        <v>83</v>
      </c>
      <c r="K21" s="106" t="s">
        <v>84</v>
      </c>
      <c r="L21">
        <v>2512</v>
      </c>
      <c r="M21">
        <v>2522</v>
      </c>
      <c r="N21">
        <v>400</v>
      </c>
      <c r="O21" s="106" t="s">
        <v>61</v>
      </c>
      <c r="P21">
        <v>0.93384763019059203</v>
      </c>
      <c r="Q21">
        <v>0.925344509042756</v>
      </c>
      <c r="R21">
        <v>0.22622671105427</v>
      </c>
      <c r="S21" s="106">
        <v>2.22165305480846E-2</v>
      </c>
      <c r="T21">
        <v>0.83819697757925204</v>
      </c>
      <c r="U21">
        <v>0.83819697757925204</v>
      </c>
      <c r="V21">
        <v>2.44</v>
      </c>
      <c r="W21">
        <v>1.67</v>
      </c>
      <c r="X21">
        <v>350930</v>
      </c>
      <c r="Y21">
        <v>25066</v>
      </c>
      <c r="Z21">
        <v>1.22</v>
      </c>
      <c r="AA21">
        <v>14</v>
      </c>
      <c r="AB21">
        <v>9</v>
      </c>
      <c r="AC21">
        <v>5</v>
      </c>
      <c r="AD21">
        <v>64.290000000000006</v>
      </c>
      <c r="AE21">
        <v>12</v>
      </c>
      <c r="AF21">
        <v>8</v>
      </c>
      <c r="AG21">
        <v>2</v>
      </c>
      <c r="AH21">
        <v>4</v>
      </c>
    </row>
    <row r="22" spans="1:34" x14ac:dyDescent="0.2">
      <c r="A22" s="102">
        <v>112</v>
      </c>
      <c r="B22">
        <v>1963</v>
      </c>
      <c r="C22" s="106" t="s">
        <v>129</v>
      </c>
      <c r="D22" s="106" t="s">
        <v>78</v>
      </c>
      <c r="E22">
        <v>1792</v>
      </c>
      <c r="F22">
        <v>1805</v>
      </c>
      <c r="G22">
        <v>500</v>
      </c>
      <c r="H22" s="106" t="s">
        <v>63</v>
      </c>
      <c r="I22">
        <v>7272</v>
      </c>
      <c r="J22" s="106" t="s">
        <v>297</v>
      </c>
      <c r="K22" s="106" t="s">
        <v>84</v>
      </c>
      <c r="L22">
        <v>2300</v>
      </c>
      <c r="M22">
        <v>2293</v>
      </c>
      <c r="N22">
        <v>400</v>
      </c>
      <c r="O22" s="106" t="s">
        <v>61</v>
      </c>
      <c r="P22">
        <v>0.92827089208745905</v>
      </c>
      <c r="Q22">
        <v>0.92214673755676002</v>
      </c>
      <c r="R22" s="15">
        <v>4.0001925612773701E-2</v>
      </c>
      <c r="S22" s="15">
        <v>1.6685181761333801E-5</v>
      </c>
      <c r="T22">
        <v>2.7046620402844201</v>
      </c>
      <c r="U22">
        <v>2.7046620402844201</v>
      </c>
      <c r="V22">
        <v>7.16</v>
      </c>
      <c r="W22">
        <v>1.6</v>
      </c>
      <c r="X22">
        <v>348955</v>
      </c>
      <c r="Y22">
        <v>16617</v>
      </c>
      <c r="Z22">
        <v>0.82</v>
      </c>
      <c r="AA22">
        <v>21</v>
      </c>
      <c r="AB22">
        <v>14</v>
      </c>
      <c r="AC22">
        <v>7</v>
      </c>
      <c r="AD22">
        <v>66.67</v>
      </c>
      <c r="AE22">
        <v>10</v>
      </c>
      <c r="AF22">
        <v>12</v>
      </c>
      <c r="AG22">
        <v>5</v>
      </c>
      <c r="AH22">
        <v>4</v>
      </c>
    </row>
    <row r="23" spans="1:34" x14ac:dyDescent="0.2">
      <c r="A23" s="102">
        <v>67</v>
      </c>
      <c r="B23">
        <v>5802</v>
      </c>
      <c r="C23" s="106" t="s">
        <v>130</v>
      </c>
      <c r="D23" s="106" t="s">
        <v>131</v>
      </c>
      <c r="E23">
        <v>1685</v>
      </c>
      <c r="F23">
        <v>1663</v>
      </c>
      <c r="G23">
        <v>500</v>
      </c>
      <c r="H23" s="106" t="s">
        <v>63</v>
      </c>
      <c r="I23">
        <v>6995</v>
      </c>
      <c r="J23" s="106" t="s">
        <v>91</v>
      </c>
      <c r="K23" s="106" t="s">
        <v>84</v>
      </c>
      <c r="L23">
        <v>2250</v>
      </c>
      <c r="M23">
        <v>2227</v>
      </c>
      <c r="N23">
        <v>400</v>
      </c>
      <c r="O23" s="106" t="s">
        <v>61</v>
      </c>
      <c r="P23">
        <v>0.96437842083999903</v>
      </c>
      <c r="Q23">
        <v>0.93591375196751203</v>
      </c>
      <c r="R23" s="106">
        <v>0.255731483687128</v>
      </c>
      <c r="S23" s="15">
        <v>0.26728133028200901</v>
      </c>
      <c r="T23">
        <v>0.14258010591448</v>
      </c>
      <c r="U23">
        <v>0.14258010591448</v>
      </c>
      <c r="V23">
        <v>0.25</v>
      </c>
      <c r="W23">
        <v>6.66</v>
      </c>
      <c r="X23">
        <v>346891</v>
      </c>
      <c r="Y23">
        <v>19272</v>
      </c>
      <c r="Z23">
        <v>0.95</v>
      </c>
      <c r="AA23">
        <v>18</v>
      </c>
      <c r="AB23">
        <v>12</v>
      </c>
      <c r="AC23">
        <v>6</v>
      </c>
      <c r="AD23">
        <v>66.67</v>
      </c>
      <c r="AE23">
        <v>15</v>
      </c>
      <c r="AF23">
        <v>6</v>
      </c>
      <c r="AG23">
        <v>0</v>
      </c>
      <c r="AH23">
        <v>12</v>
      </c>
    </row>
    <row r="24" spans="1:34" x14ac:dyDescent="0.2">
      <c r="A24" s="102">
        <v>58</v>
      </c>
      <c r="B24">
        <v>6588</v>
      </c>
      <c r="C24" s="106" t="s">
        <v>784</v>
      </c>
      <c r="D24" s="106" t="s">
        <v>87</v>
      </c>
      <c r="E24">
        <v>4640</v>
      </c>
      <c r="F24">
        <v>4610</v>
      </c>
      <c r="G24">
        <v>200</v>
      </c>
      <c r="H24" s="106" t="s">
        <v>63</v>
      </c>
      <c r="I24">
        <v>8425</v>
      </c>
      <c r="J24" s="106" t="s">
        <v>315</v>
      </c>
      <c r="K24" s="106" t="s">
        <v>296</v>
      </c>
      <c r="L24">
        <v>3445</v>
      </c>
      <c r="M24">
        <v>3460</v>
      </c>
      <c r="N24">
        <v>300</v>
      </c>
      <c r="O24" s="106" t="s">
        <v>61</v>
      </c>
      <c r="P24">
        <v>0.91483796891819003</v>
      </c>
      <c r="Q24">
        <v>0.93811302068766</v>
      </c>
      <c r="R24" s="106">
        <v>0.26047688489780102</v>
      </c>
      <c r="S24">
        <v>0.12507069055842401</v>
      </c>
      <c r="T24">
        <v>0.851499765510076</v>
      </c>
      <c r="U24">
        <v>0.851499765510076</v>
      </c>
      <c r="V24">
        <v>6.98</v>
      </c>
      <c r="W24">
        <v>12.58</v>
      </c>
      <c r="X24">
        <v>346252</v>
      </c>
      <c r="Y24">
        <v>24732</v>
      </c>
      <c r="Z24">
        <v>1.26</v>
      </c>
      <c r="AA24">
        <v>14</v>
      </c>
      <c r="AB24">
        <v>10</v>
      </c>
      <c r="AC24">
        <v>4</v>
      </c>
      <c r="AD24">
        <v>71.430000000000007</v>
      </c>
      <c r="AE24">
        <v>13</v>
      </c>
      <c r="AF24">
        <v>6</v>
      </c>
      <c r="AG24">
        <v>1</v>
      </c>
      <c r="AH24">
        <v>7</v>
      </c>
    </row>
    <row r="25" spans="1:34" x14ac:dyDescent="0.2">
      <c r="A25" s="102">
        <v>63</v>
      </c>
      <c r="B25">
        <v>4182</v>
      </c>
      <c r="C25" s="106" t="s">
        <v>88</v>
      </c>
      <c r="D25" s="106" t="s">
        <v>62</v>
      </c>
      <c r="E25">
        <v>1702</v>
      </c>
      <c r="F25">
        <v>1691</v>
      </c>
      <c r="G25">
        <v>600</v>
      </c>
      <c r="H25" s="106" t="s">
        <v>61</v>
      </c>
      <c r="I25">
        <v>7278</v>
      </c>
      <c r="J25" s="106" t="s">
        <v>83</v>
      </c>
      <c r="K25" s="106" t="s">
        <v>84</v>
      </c>
      <c r="L25">
        <v>2512</v>
      </c>
      <c r="M25">
        <v>2522</v>
      </c>
      <c r="N25">
        <v>400</v>
      </c>
      <c r="O25" s="106" t="s">
        <v>63</v>
      </c>
      <c r="P25">
        <v>0.93214894092660905</v>
      </c>
      <c r="Q25">
        <v>0.93653513111870201</v>
      </c>
      <c r="R25">
        <v>1.3174175383886599E-2</v>
      </c>
      <c r="S25" s="106">
        <v>1.6461124001833499E-2</v>
      </c>
      <c r="T25">
        <v>-3.4079351390075202E-2</v>
      </c>
      <c r="U25">
        <v>3.4079351390075202E-2</v>
      </c>
      <c r="V25">
        <v>-0.09</v>
      </c>
      <c r="W25">
        <v>0.56999999999999995</v>
      </c>
      <c r="X25">
        <v>344277</v>
      </c>
      <c r="Y25">
        <v>26483</v>
      </c>
      <c r="Z25">
        <v>1.33</v>
      </c>
      <c r="AA25">
        <v>13</v>
      </c>
      <c r="AB25">
        <v>8</v>
      </c>
      <c r="AC25">
        <v>5</v>
      </c>
      <c r="AD25">
        <v>61.54</v>
      </c>
      <c r="AE25">
        <v>10</v>
      </c>
      <c r="AF25">
        <v>7</v>
      </c>
      <c r="AG25">
        <v>3</v>
      </c>
      <c r="AH25">
        <v>3</v>
      </c>
    </row>
    <row r="26" spans="1:34" x14ac:dyDescent="0.2">
      <c r="A26" s="102">
        <v>81</v>
      </c>
      <c r="B26">
        <v>1820</v>
      </c>
      <c r="C26" s="106" t="s">
        <v>121</v>
      </c>
      <c r="D26" s="106" t="s">
        <v>78</v>
      </c>
      <c r="E26">
        <v>2476</v>
      </c>
      <c r="F26">
        <v>2480</v>
      </c>
      <c r="G26">
        <v>400</v>
      </c>
      <c r="H26" s="106" t="s">
        <v>63</v>
      </c>
      <c r="I26">
        <v>7189</v>
      </c>
      <c r="J26" s="106" t="s">
        <v>81</v>
      </c>
      <c r="K26" s="106" t="s">
        <v>82</v>
      </c>
      <c r="L26">
        <v>869</v>
      </c>
      <c r="M26">
        <v>879</v>
      </c>
      <c r="N26">
        <v>1100</v>
      </c>
      <c r="O26" s="106" t="s">
        <v>61</v>
      </c>
      <c r="P26">
        <v>0.95433284780447603</v>
      </c>
      <c r="Q26">
        <v>0.93188918503887597</v>
      </c>
      <c r="R26" s="15">
        <v>0.149673945966596</v>
      </c>
      <c r="S26" s="15">
        <v>0.107219129313089</v>
      </c>
      <c r="T26">
        <v>0.54761961293947503</v>
      </c>
      <c r="U26">
        <v>0.54761961293947503</v>
      </c>
      <c r="V26">
        <v>1.63</v>
      </c>
      <c r="W26">
        <v>2.5299999999999998</v>
      </c>
      <c r="X26">
        <v>341373</v>
      </c>
      <c r="Y26">
        <v>18965</v>
      </c>
      <c r="Z26">
        <v>0.99</v>
      </c>
      <c r="AA26">
        <v>18</v>
      </c>
      <c r="AB26">
        <v>11</v>
      </c>
      <c r="AC26">
        <v>7</v>
      </c>
      <c r="AD26">
        <v>61.11</v>
      </c>
      <c r="AE26">
        <v>14</v>
      </c>
      <c r="AF26">
        <v>8</v>
      </c>
      <c r="AG26">
        <v>1</v>
      </c>
      <c r="AH26">
        <v>9</v>
      </c>
    </row>
    <row r="27" spans="1:34" x14ac:dyDescent="0.2">
      <c r="A27" s="102">
        <v>130</v>
      </c>
      <c r="B27">
        <v>6371</v>
      </c>
      <c r="C27" s="106" t="s">
        <v>108</v>
      </c>
      <c r="D27" s="106" t="s">
        <v>99</v>
      </c>
      <c r="E27">
        <v>3925</v>
      </c>
      <c r="F27">
        <v>3965</v>
      </c>
      <c r="G27">
        <v>200</v>
      </c>
      <c r="H27" s="106" t="s">
        <v>61</v>
      </c>
      <c r="I27">
        <v>7259</v>
      </c>
      <c r="J27" s="106" t="s">
        <v>29</v>
      </c>
      <c r="K27" s="106" t="s">
        <v>84</v>
      </c>
      <c r="L27">
        <v>4140</v>
      </c>
      <c r="M27">
        <v>4180</v>
      </c>
      <c r="N27">
        <v>200</v>
      </c>
      <c r="O27" s="106" t="s">
        <v>63</v>
      </c>
      <c r="P27">
        <v>0.94419587694657303</v>
      </c>
      <c r="Q27">
        <v>0.91830994326798299</v>
      </c>
      <c r="R27" s="106">
        <v>1.9697571360548699E-2</v>
      </c>
      <c r="S27" s="15">
        <v>4.0959489300757502E-3</v>
      </c>
      <c r="T27">
        <v>-7.0650280128889006E-2</v>
      </c>
      <c r="U27">
        <v>7.0650280128889006E-2</v>
      </c>
      <c r="V27">
        <v>-0.3</v>
      </c>
      <c r="W27">
        <v>5.14</v>
      </c>
      <c r="X27">
        <v>326064</v>
      </c>
      <c r="Y27">
        <v>36229</v>
      </c>
      <c r="Z27">
        <v>2.0699999999999998</v>
      </c>
      <c r="AA27">
        <v>9</v>
      </c>
      <c r="AB27">
        <v>7</v>
      </c>
      <c r="AC27">
        <v>2</v>
      </c>
      <c r="AD27">
        <v>77.78</v>
      </c>
      <c r="AE27">
        <v>11</v>
      </c>
      <c r="AF27">
        <v>6</v>
      </c>
      <c r="AG27">
        <v>0</v>
      </c>
      <c r="AH27">
        <v>3</v>
      </c>
    </row>
    <row r="28" spans="1:34" x14ac:dyDescent="0.2">
      <c r="A28" s="102">
        <v>145</v>
      </c>
      <c r="B28">
        <v>4182</v>
      </c>
      <c r="C28" s="106" t="s">
        <v>88</v>
      </c>
      <c r="D28" s="106" t="s">
        <v>62</v>
      </c>
      <c r="E28">
        <v>1702</v>
      </c>
      <c r="F28">
        <v>1691</v>
      </c>
      <c r="G28">
        <v>600</v>
      </c>
      <c r="H28" s="106" t="s">
        <v>63</v>
      </c>
      <c r="I28">
        <v>4208</v>
      </c>
      <c r="J28" s="106" t="s">
        <v>98</v>
      </c>
      <c r="K28" s="106" t="s">
        <v>62</v>
      </c>
      <c r="L28">
        <v>2450</v>
      </c>
      <c r="M28">
        <v>2432</v>
      </c>
      <c r="N28">
        <v>400</v>
      </c>
      <c r="O28" s="106" t="s">
        <v>61</v>
      </c>
      <c r="P28">
        <v>0.92026903183377895</v>
      </c>
      <c r="Q28">
        <v>0.91573659895682602</v>
      </c>
      <c r="R28">
        <v>8.4610759193031695E-2</v>
      </c>
      <c r="S28">
        <v>0.229008500692329</v>
      </c>
      <c r="T28">
        <v>0.65436654034823305</v>
      </c>
      <c r="U28">
        <v>0.65436654034823305</v>
      </c>
      <c r="V28">
        <v>2.69</v>
      </c>
      <c r="W28">
        <v>4.3</v>
      </c>
      <c r="X28">
        <v>323980</v>
      </c>
      <c r="Y28">
        <v>16199</v>
      </c>
      <c r="Z28">
        <v>0.85</v>
      </c>
      <c r="AA28">
        <v>20</v>
      </c>
      <c r="AB28">
        <v>14</v>
      </c>
      <c r="AC28">
        <v>6</v>
      </c>
      <c r="AD28">
        <v>70</v>
      </c>
      <c r="AE28">
        <v>13</v>
      </c>
      <c r="AF28">
        <v>8</v>
      </c>
      <c r="AG28">
        <v>2</v>
      </c>
      <c r="AH28">
        <v>10</v>
      </c>
    </row>
    <row r="29" spans="1:34" x14ac:dyDescent="0.2">
      <c r="A29" s="102">
        <v>151</v>
      </c>
      <c r="B29">
        <v>4208</v>
      </c>
      <c r="C29" s="106" t="s">
        <v>98</v>
      </c>
      <c r="D29" s="106" t="s">
        <v>62</v>
      </c>
      <c r="E29">
        <v>2450</v>
      </c>
      <c r="F29">
        <v>2432</v>
      </c>
      <c r="G29">
        <v>400</v>
      </c>
      <c r="H29" s="106" t="s">
        <v>61</v>
      </c>
      <c r="I29">
        <v>7762</v>
      </c>
      <c r="J29" s="106" t="s">
        <v>107</v>
      </c>
      <c r="K29" s="106" t="s">
        <v>93</v>
      </c>
      <c r="L29">
        <v>618</v>
      </c>
      <c r="M29">
        <v>609</v>
      </c>
      <c r="N29">
        <v>1600</v>
      </c>
      <c r="O29" s="106" t="s">
        <v>63</v>
      </c>
      <c r="P29">
        <v>0.92696736710821004</v>
      </c>
      <c r="Q29">
        <v>0.91444108116009704</v>
      </c>
      <c r="R29" s="15">
        <v>0.24987334979846601</v>
      </c>
      <c r="S29" s="15">
        <v>2.9462093748070899E-3</v>
      </c>
      <c r="T29">
        <v>-0.14622310221399801</v>
      </c>
      <c r="U29">
        <v>0.14622310221399801</v>
      </c>
      <c r="V29">
        <v>-0.33</v>
      </c>
      <c r="W29">
        <v>0.16</v>
      </c>
      <c r="X29">
        <v>318939</v>
      </c>
      <c r="Y29">
        <v>22781</v>
      </c>
      <c r="Z29">
        <v>1.17</v>
      </c>
      <c r="AA29">
        <v>14</v>
      </c>
      <c r="AB29">
        <v>10</v>
      </c>
      <c r="AC29">
        <v>4</v>
      </c>
      <c r="AD29">
        <v>71.430000000000007</v>
      </c>
      <c r="AE29">
        <v>13</v>
      </c>
      <c r="AF29">
        <v>5</v>
      </c>
      <c r="AG29">
        <v>1</v>
      </c>
      <c r="AH29">
        <v>8</v>
      </c>
    </row>
    <row r="30" spans="1:34" x14ac:dyDescent="0.2">
      <c r="A30" s="102">
        <v>39</v>
      </c>
      <c r="B30">
        <v>4182</v>
      </c>
      <c r="C30" s="106" t="s">
        <v>88</v>
      </c>
      <c r="D30" s="106" t="s">
        <v>62</v>
      </c>
      <c r="E30">
        <v>1702</v>
      </c>
      <c r="F30">
        <v>1691</v>
      </c>
      <c r="G30">
        <v>500</v>
      </c>
      <c r="H30" s="106" t="s">
        <v>63</v>
      </c>
      <c r="I30">
        <v>7272</v>
      </c>
      <c r="J30" s="106" t="s">
        <v>297</v>
      </c>
      <c r="K30" s="106" t="s">
        <v>84</v>
      </c>
      <c r="L30">
        <v>2300</v>
      </c>
      <c r="M30">
        <v>2293</v>
      </c>
      <c r="N30">
        <v>400</v>
      </c>
      <c r="O30" s="106" t="s">
        <v>61</v>
      </c>
      <c r="P30">
        <v>0.92603625744497697</v>
      </c>
      <c r="Q30">
        <v>0.94275524447813697</v>
      </c>
      <c r="R30">
        <v>1.7379920707783901E-2</v>
      </c>
      <c r="S30" s="15">
        <v>1.3950367276461099E-3</v>
      </c>
      <c r="T30">
        <v>0.26147559119427399</v>
      </c>
      <c r="U30">
        <v>0.26147559119427399</v>
      </c>
      <c r="V30">
        <v>0.63</v>
      </c>
      <c r="W30">
        <v>7.82</v>
      </c>
      <c r="X30">
        <v>303536</v>
      </c>
      <c r="Y30">
        <v>23349</v>
      </c>
      <c r="Z30">
        <v>1.1599999999999999</v>
      </c>
      <c r="AA30">
        <v>13</v>
      </c>
      <c r="AB30">
        <v>9</v>
      </c>
      <c r="AC30">
        <v>4</v>
      </c>
      <c r="AD30">
        <v>69.23</v>
      </c>
      <c r="AE30">
        <v>12</v>
      </c>
      <c r="AF30">
        <v>6</v>
      </c>
      <c r="AG30">
        <v>1</v>
      </c>
      <c r="AH30">
        <v>6</v>
      </c>
    </row>
    <row r="31" spans="1:34" x14ac:dyDescent="0.2">
      <c r="A31" s="102">
        <v>96</v>
      </c>
      <c r="B31">
        <v>6988</v>
      </c>
      <c r="C31" s="106" t="s">
        <v>138</v>
      </c>
      <c r="D31" s="106" t="s">
        <v>62</v>
      </c>
      <c r="E31">
        <v>6340</v>
      </c>
      <c r="F31">
        <v>6230</v>
      </c>
      <c r="G31">
        <v>100</v>
      </c>
      <c r="H31" s="106" t="s">
        <v>61</v>
      </c>
      <c r="I31">
        <v>7272</v>
      </c>
      <c r="J31" s="106" t="s">
        <v>297</v>
      </c>
      <c r="K31" s="106" t="s">
        <v>84</v>
      </c>
      <c r="L31">
        <v>2300</v>
      </c>
      <c r="M31">
        <v>2293</v>
      </c>
      <c r="N31">
        <v>300</v>
      </c>
      <c r="O31" s="106" t="s">
        <v>63</v>
      </c>
      <c r="P31">
        <v>0.94260005603922203</v>
      </c>
      <c r="Q31">
        <v>0.92830758217770404</v>
      </c>
      <c r="R31">
        <v>0.112650815048682</v>
      </c>
      <c r="S31">
        <v>0.181807307267317</v>
      </c>
      <c r="T31">
        <v>-0.22383944779204101</v>
      </c>
      <c r="U31">
        <v>0.22383944779204101</v>
      </c>
      <c r="V31">
        <v>-0.67</v>
      </c>
      <c r="W31">
        <v>10.42</v>
      </c>
      <c r="X31">
        <v>300982</v>
      </c>
      <c r="Y31">
        <v>25082</v>
      </c>
      <c r="Z31">
        <v>1.21</v>
      </c>
      <c r="AA31">
        <v>12</v>
      </c>
      <c r="AB31">
        <v>7</v>
      </c>
      <c r="AC31">
        <v>5</v>
      </c>
      <c r="AD31">
        <v>58.33</v>
      </c>
      <c r="AE31">
        <v>12</v>
      </c>
      <c r="AF31">
        <v>6</v>
      </c>
      <c r="AG31">
        <v>3</v>
      </c>
      <c r="AH31">
        <v>3</v>
      </c>
    </row>
    <row r="32" spans="1:34" x14ac:dyDescent="0.2">
      <c r="A32" s="102">
        <v>129</v>
      </c>
      <c r="B32">
        <v>6406</v>
      </c>
      <c r="C32" s="106" t="s">
        <v>1014</v>
      </c>
      <c r="D32" s="106" t="s">
        <v>99</v>
      </c>
      <c r="E32">
        <v>1767</v>
      </c>
      <c r="F32">
        <v>1754</v>
      </c>
      <c r="G32">
        <v>500</v>
      </c>
      <c r="H32" s="106" t="s">
        <v>61</v>
      </c>
      <c r="I32">
        <v>6807</v>
      </c>
      <c r="J32" s="106" t="s">
        <v>331</v>
      </c>
      <c r="K32" s="106" t="s">
        <v>87</v>
      </c>
      <c r="L32">
        <v>2270</v>
      </c>
      <c r="M32">
        <v>2291</v>
      </c>
      <c r="N32">
        <v>400</v>
      </c>
      <c r="O32" s="106" t="s">
        <v>63</v>
      </c>
      <c r="P32">
        <v>0.94698713204175</v>
      </c>
      <c r="Q32">
        <v>0.91857514921888905</v>
      </c>
      <c r="R32">
        <v>0.163214241639425</v>
      </c>
      <c r="S32" s="106">
        <v>3.51981859118514E-2</v>
      </c>
      <c r="T32">
        <v>-1.4983853266431899</v>
      </c>
      <c r="U32">
        <v>1.4983853266431899</v>
      </c>
      <c r="V32">
        <v>-8.0399999999999991</v>
      </c>
      <c r="W32">
        <v>4.3</v>
      </c>
      <c r="X32">
        <v>297032</v>
      </c>
      <c r="Y32">
        <v>12376</v>
      </c>
      <c r="Z32">
        <v>0.62</v>
      </c>
      <c r="AA32">
        <v>24</v>
      </c>
      <c r="AB32">
        <v>14</v>
      </c>
      <c r="AC32">
        <v>10</v>
      </c>
      <c r="AD32">
        <v>58.33</v>
      </c>
      <c r="AE32">
        <v>11</v>
      </c>
      <c r="AF32">
        <v>9</v>
      </c>
      <c r="AG32">
        <v>7</v>
      </c>
      <c r="AH32">
        <v>8</v>
      </c>
    </row>
    <row r="33" spans="1:34" x14ac:dyDescent="0.2">
      <c r="A33" s="102">
        <v>4</v>
      </c>
      <c r="B33">
        <v>2413</v>
      </c>
      <c r="C33" s="106" t="s">
        <v>977</v>
      </c>
      <c r="D33" s="106" t="s">
        <v>120</v>
      </c>
      <c r="E33">
        <v>3180</v>
      </c>
      <c r="F33">
        <v>3195</v>
      </c>
      <c r="G33">
        <v>200</v>
      </c>
      <c r="H33" s="106" t="s">
        <v>61</v>
      </c>
      <c r="I33">
        <v>4686</v>
      </c>
      <c r="J33" s="106" t="s">
        <v>978</v>
      </c>
      <c r="K33" s="106" t="s">
        <v>79</v>
      </c>
      <c r="L33">
        <v>6150</v>
      </c>
      <c r="M33">
        <v>6160</v>
      </c>
      <c r="N33">
        <v>100</v>
      </c>
      <c r="O33" s="106" t="s">
        <v>63</v>
      </c>
      <c r="P33">
        <v>0.94140113265449998</v>
      </c>
      <c r="Q33">
        <v>0.96432142175838798</v>
      </c>
      <c r="R33">
        <v>8.5158095261138794E-2</v>
      </c>
      <c r="S33" s="106">
        <v>3.3055007317983401E-2</v>
      </c>
      <c r="T33">
        <v>-1.1089177663160299</v>
      </c>
      <c r="U33">
        <v>1.1089177663160299</v>
      </c>
      <c r="V33">
        <v>-12</v>
      </c>
      <c r="W33">
        <v>3.73</v>
      </c>
      <c r="X33">
        <v>295619</v>
      </c>
      <c r="Y33">
        <v>16423</v>
      </c>
      <c r="Z33">
        <v>0.89</v>
      </c>
      <c r="AA33">
        <v>18</v>
      </c>
      <c r="AB33">
        <v>11</v>
      </c>
      <c r="AC33">
        <v>7</v>
      </c>
      <c r="AD33">
        <v>61.11</v>
      </c>
      <c r="AE33">
        <v>10</v>
      </c>
      <c r="AF33">
        <v>10</v>
      </c>
      <c r="AG33">
        <v>5</v>
      </c>
      <c r="AH33">
        <v>3</v>
      </c>
    </row>
    <row r="34" spans="1:34" x14ac:dyDescent="0.2">
      <c r="A34" s="102">
        <v>79</v>
      </c>
      <c r="B34">
        <v>6371</v>
      </c>
      <c r="C34" s="106" t="s">
        <v>108</v>
      </c>
      <c r="D34" s="106" t="s">
        <v>99</v>
      </c>
      <c r="E34">
        <v>3925</v>
      </c>
      <c r="F34">
        <v>3965</v>
      </c>
      <c r="G34">
        <v>200</v>
      </c>
      <c r="H34" s="106" t="s">
        <v>63</v>
      </c>
      <c r="I34">
        <v>7762</v>
      </c>
      <c r="J34" s="106" t="s">
        <v>107</v>
      </c>
      <c r="K34" s="106" t="s">
        <v>93</v>
      </c>
      <c r="L34">
        <v>618</v>
      </c>
      <c r="M34">
        <v>609</v>
      </c>
      <c r="N34">
        <v>1300</v>
      </c>
      <c r="O34" s="106" t="s">
        <v>61</v>
      </c>
      <c r="P34">
        <v>0.96131377712243304</v>
      </c>
      <c r="Q34">
        <v>0.931991385434082</v>
      </c>
      <c r="R34" s="15">
        <v>6.4882568858049203E-3</v>
      </c>
      <c r="S34">
        <v>8.5421155640098806E-2</v>
      </c>
      <c r="T34">
        <v>1.2919692701172101</v>
      </c>
      <c r="U34">
        <v>1.2919692701172101</v>
      </c>
      <c r="V34">
        <v>1.74</v>
      </c>
      <c r="W34">
        <v>0.16</v>
      </c>
      <c r="X34">
        <v>295597</v>
      </c>
      <c r="Y34">
        <v>14780</v>
      </c>
      <c r="Z34">
        <v>0.81</v>
      </c>
      <c r="AA34">
        <v>20</v>
      </c>
      <c r="AB34">
        <v>14</v>
      </c>
      <c r="AC34">
        <v>6</v>
      </c>
      <c r="AD34">
        <v>70</v>
      </c>
      <c r="AE34">
        <v>13</v>
      </c>
      <c r="AF34">
        <v>7</v>
      </c>
      <c r="AG34">
        <v>4</v>
      </c>
      <c r="AH34">
        <v>9</v>
      </c>
    </row>
    <row r="35" spans="1:34" x14ac:dyDescent="0.2">
      <c r="A35" s="102">
        <v>135</v>
      </c>
      <c r="B35">
        <v>8425</v>
      </c>
      <c r="C35" s="106" t="s">
        <v>315</v>
      </c>
      <c r="D35" s="106" t="s">
        <v>296</v>
      </c>
      <c r="E35">
        <v>3445</v>
      </c>
      <c r="F35">
        <v>3460</v>
      </c>
      <c r="G35">
        <v>300</v>
      </c>
      <c r="H35" s="106" t="s">
        <v>63</v>
      </c>
      <c r="I35">
        <v>9934</v>
      </c>
      <c r="J35" s="106" t="s">
        <v>779</v>
      </c>
      <c r="K35" s="106" t="s">
        <v>101</v>
      </c>
      <c r="L35">
        <v>2783</v>
      </c>
      <c r="M35">
        <v>2809</v>
      </c>
      <c r="N35">
        <v>400</v>
      </c>
      <c r="O35" s="106" t="s">
        <v>61</v>
      </c>
      <c r="P35">
        <v>0.95184453542561398</v>
      </c>
      <c r="Q35">
        <v>0.91706278582402001</v>
      </c>
      <c r="R35" s="106">
        <v>1.1073272794748499E-3</v>
      </c>
      <c r="S35" s="15">
        <v>2.5455586161495899E-2</v>
      </c>
      <c r="T35">
        <v>0.45010537402428202</v>
      </c>
      <c r="U35">
        <v>0.45010537402428202</v>
      </c>
      <c r="V35">
        <v>0.97</v>
      </c>
      <c r="W35">
        <v>8.25</v>
      </c>
      <c r="X35">
        <v>290684</v>
      </c>
      <c r="Y35">
        <v>16149</v>
      </c>
      <c r="Z35">
        <v>0.84</v>
      </c>
      <c r="AA35">
        <v>18</v>
      </c>
      <c r="AB35">
        <v>15</v>
      </c>
      <c r="AC35">
        <v>3</v>
      </c>
      <c r="AD35">
        <v>83.33</v>
      </c>
      <c r="AE35">
        <v>13</v>
      </c>
      <c r="AF35">
        <v>6</v>
      </c>
      <c r="AG35">
        <v>2</v>
      </c>
      <c r="AH35">
        <v>10</v>
      </c>
    </row>
    <row r="36" spans="1:34" x14ac:dyDescent="0.2">
      <c r="A36" s="102">
        <v>46</v>
      </c>
      <c r="B36">
        <v>6752</v>
      </c>
      <c r="C36" s="106" t="s">
        <v>105</v>
      </c>
      <c r="D36" s="106" t="s">
        <v>87</v>
      </c>
      <c r="E36">
        <v>1020</v>
      </c>
      <c r="F36">
        <v>1016.5</v>
      </c>
      <c r="G36">
        <v>1000</v>
      </c>
      <c r="H36" s="106" t="s">
        <v>61</v>
      </c>
      <c r="I36">
        <v>7278</v>
      </c>
      <c r="J36" s="106" t="s">
        <v>83</v>
      </c>
      <c r="K36" s="106" t="s">
        <v>84</v>
      </c>
      <c r="L36">
        <v>2512</v>
      </c>
      <c r="M36">
        <v>2522</v>
      </c>
      <c r="N36">
        <v>400</v>
      </c>
      <c r="O36" s="106" t="s">
        <v>63</v>
      </c>
      <c r="P36">
        <v>0.93014845668763402</v>
      </c>
      <c r="Q36">
        <v>0.94011542857513197</v>
      </c>
      <c r="R36">
        <v>1.0312562286634901E-2</v>
      </c>
      <c r="S36">
        <v>1.4813244821190801E-2</v>
      </c>
      <c r="T36">
        <v>-0.82510585212638998</v>
      </c>
      <c r="U36">
        <v>0.82510585212638998</v>
      </c>
      <c r="V36">
        <v>-2.0499999999999998</v>
      </c>
      <c r="W36">
        <v>0.76</v>
      </c>
      <c r="X36">
        <v>283523</v>
      </c>
      <c r="Y36">
        <v>14922</v>
      </c>
      <c r="Z36">
        <v>0.75</v>
      </c>
      <c r="AA36">
        <v>19</v>
      </c>
      <c r="AB36">
        <v>11</v>
      </c>
      <c r="AC36">
        <v>8</v>
      </c>
      <c r="AD36">
        <v>57.89</v>
      </c>
      <c r="AE36">
        <v>11</v>
      </c>
      <c r="AF36">
        <v>8</v>
      </c>
      <c r="AG36">
        <v>2</v>
      </c>
      <c r="AH36">
        <v>9</v>
      </c>
    </row>
    <row r="37" spans="1:34" x14ac:dyDescent="0.2">
      <c r="A37" s="102">
        <v>15</v>
      </c>
      <c r="B37">
        <v>3635</v>
      </c>
      <c r="C37" s="106" t="s">
        <v>85</v>
      </c>
      <c r="D37" s="106" t="s">
        <v>79</v>
      </c>
      <c r="E37">
        <v>2844</v>
      </c>
      <c r="F37">
        <v>2878</v>
      </c>
      <c r="G37">
        <v>300</v>
      </c>
      <c r="H37" s="106" t="s">
        <v>63</v>
      </c>
      <c r="I37">
        <v>4062</v>
      </c>
      <c r="J37" s="106" t="s">
        <v>322</v>
      </c>
      <c r="K37" s="106" t="s">
        <v>87</v>
      </c>
      <c r="L37">
        <v>2640</v>
      </c>
      <c r="M37">
        <v>2659</v>
      </c>
      <c r="N37">
        <v>300</v>
      </c>
      <c r="O37" s="106" t="s">
        <v>61</v>
      </c>
      <c r="P37">
        <v>0.91231477825252005</v>
      </c>
      <c r="Q37">
        <v>0.95545049678411997</v>
      </c>
      <c r="R37">
        <v>2.16558402373675E-2</v>
      </c>
      <c r="S37" s="15">
        <v>0.14333932612571701</v>
      </c>
      <c r="T37">
        <v>1.7648494138608699</v>
      </c>
      <c r="U37">
        <v>1.7648494138608699</v>
      </c>
      <c r="V37">
        <v>4.4800000000000004</v>
      </c>
      <c r="W37">
        <v>7.61</v>
      </c>
      <c r="X37">
        <v>272145</v>
      </c>
      <c r="Y37">
        <v>20934</v>
      </c>
      <c r="Z37">
        <v>1.08</v>
      </c>
      <c r="AA37">
        <v>13</v>
      </c>
      <c r="AB37">
        <v>8</v>
      </c>
      <c r="AC37">
        <v>5</v>
      </c>
      <c r="AD37">
        <v>61.54</v>
      </c>
      <c r="AE37">
        <v>12</v>
      </c>
      <c r="AF37">
        <v>6</v>
      </c>
      <c r="AG37">
        <v>2</v>
      </c>
      <c r="AH37">
        <v>5</v>
      </c>
    </row>
    <row r="38" spans="1:34" x14ac:dyDescent="0.2">
      <c r="A38" s="102">
        <v>120</v>
      </c>
      <c r="B38">
        <v>6588</v>
      </c>
      <c r="C38" s="106" t="s">
        <v>784</v>
      </c>
      <c r="D38" s="106" t="s">
        <v>87</v>
      </c>
      <c r="E38">
        <v>4640</v>
      </c>
      <c r="F38">
        <v>4610</v>
      </c>
      <c r="G38">
        <v>200</v>
      </c>
      <c r="H38" s="106" t="s">
        <v>63</v>
      </c>
      <c r="I38">
        <v>8593</v>
      </c>
      <c r="J38" s="106" t="s">
        <v>308</v>
      </c>
      <c r="K38" s="106" t="s">
        <v>296</v>
      </c>
      <c r="L38">
        <v>721</v>
      </c>
      <c r="M38">
        <v>724</v>
      </c>
      <c r="N38">
        <v>1300</v>
      </c>
      <c r="O38" s="106" t="s">
        <v>61</v>
      </c>
      <c r="P38">
        <v>0.93893636196061603</v>
      </c>
      <c r="Q38">
        <v>0.92035023707656405</v>
      </c>
      <c r="R38">
        <v>0.119999553456271</v>
      </c>
      <c r="S38" s="15">
        <v>1.39107632108804E-2</v>
      </c>
      <c r="T38">
        <v>1.1884075839486701</v>
      </c>
      <c r="U38">
        <v>1.1884075839486701</v>
      </c>
      <c r="V38">
        <v>9.85</v>
      </c>
      <c r="W38">
        <v>2.08</v>
      </c>
      <c r="X38">
        <v>270216</v>
      </c>
      <c r="Y38">
        <v>16888</v>
      </c>
      <c r="Z38">
        <v>0.8</v>
      </c>
      <c r="AA38">
        <v>16</v>
      </c>
      <c r="AB38">
        <v>11</v>
      </c>
      <c r="AC38">
        <v>5</v>
      </c>
      <c r="AD38">
        <v>68.75</v>
      </c>
      <c r="AE38">
        <v>13</v>
      </c>
      <c r="AF38">
        <v>6</v>
      </c>
      <c r="AG38">
        <v>4</v>
      </c>
      <c r="AH38">
        <v>6</v>
      </c>
    </row>
    <row r="39" spans="1:34" x14ac:dyDescent="0.2">
      <c r="A39" s="102">
        <v>11</v>
      </c>
      <c r="B39">
        <v>3105</v>
      </c>
      <c r="C39" s="106" t="s">
        <v>90</v>
      </c>
      <c r="D39" s="106" t="s">
        <v>87</v>
      </c>
      <c r="E39">
        <v>1051</v>
      </c>
      <c r="F39">
        <v>1053</v>
      </c>
      <c r="G39">
        <v>800</v>
      </c>
      <c r="H39" s="106" t="s">
        <v>61</v>
      </c>
      <c r="I39">
        <v>7282</v>
      </c>
      <c r="J39" s="106" t="s">
        <v>782</v>
      </c>
      <c r="K39" s="106" t="s">
        <v>84</v>
      </c>
      <c r="L39">
        <v>2822</v>
      </c>
      <c r="M39">
        <v>2790</v>
      </c>
      <c r="N39">
        <v>300</v>
      </c>
      <c r="O39" s="106" t="s">
        <v>63</v>
      </c>
      <c r="P39">
        <v>0.95199548569377501</v>
      </c>
      <c r="Q39">
        <v>0.95885192843785205</v>
      </c>
      <c r="R39">
        <v>0.30210066384803602</v>
      </c>
      <c r="S39" s="15">
        <v>1.6175830057756201E-2</v>
      </c>
      <c r="T39">
        <v>-0.94812268763063701</v>
      </c>
      <c r="U39">
        <v>0.94812268763063701</v>
      </c>
      <c r="V39">
        <v>-2.5099999999999998</v>
      </c>
      <c r="W39">
        <v>0.65</v>
      </c>
      <c r="X39">
        <v>268452</v>
      </c>
      <c r="Y39">
        <v>11672</v>
      </c>
      <c r="Z39">
        <v>0.57999999999999996</v>
      </c>
      <c r="AA39">
        <v>23</v>
      </c>
      <c r="AB39">
        <v>14</v>
      </c>
      <c r="AC39">
        <v>9</v>
      </c>
      <c r="AD39">
        <v>60.87</v>
      </c>
      <c r="AE39">
        <v>11</v>
      </c>
      <c r="AF39">
        <v>10</v>
      </c>
      <c r="AG39">
        <v>7</v>
      </c>
      <c r="AH39">
        <v>6</v>
      </c>
    </row>
    <row r="40" spans="1:34" x14ac:dyDescent="0.2">
      <c r="A40" s="102">
        <v>20</v>
      </c>
      <c r="B40">
        <v>6457</v>
      </c>
      <c r="C40" s="106" t="s">
        <v>311</v>
      </c>
      <c r="D40" s="106" t="s">
        <v>99</v>
      </c>
      <c r="E40">
        <v>3375</v>
      </c>
      <c r="F40">
        <v>3370</v>
      </c>
      <c r="G40">
        <v>300</v>
      </c>
      <c r="H40" s="106" t="s">
        <v>61</v>
      </c>
      <c r="I40">
        <v>8593</v>
      </c>
      <c r="J40" s="106" t="s">
        <v>308</v>
      </c>
      <c r="K40" s="106" t="s">
        <v>296</v>
      </c>
      <c r="L40">
        <v>721</v>
      </c>
      <c r="M40">
        <v>724</v>
      </c>
      <c r="N40">
        <v>1400</v>
      </c>
      <c r="O40" s="106" t="s">
        <v>63</v>
      </c>
      <c r="P40">
        <v>0.93010871980263898</v>
      </c>
      <c r="Q40">
        <v>0.95232092871930696</v>
      </c>
      <c r="R40">
        <v>2.9824934017510501E-3</v>
      </c>
      <c r="S40" s="106">
        <v>1.7406146111501499E-3</v>
      </c>
      <c r="T40">
        <v>-1.3747373278666</v>
      </c>
      <c r="U40">
        <v>1.3747373278666</v>
      </c>
      <c r="V40">
        <v>-2.8</v>
      </c>
      <c r="W40">
        <v>0.26</v>
      </c>
      <c r="X40">
        <v>267124</v>
      </c>
      <c r="Y40">
        <v>14840</v>
      </c>
      <c r="Z40">
        <v>0.88</v>
      </c>
      <c r="AA40">
        <v>18</v>
      </c>
      <c r="AB40">
        <v>11</v>
      </c>
      <c r="AC40">
        <v>7</v>
      </c>
      <c r="AD40">
        <v>61.11</v>
      </c>
      <c r="AE40">
        <v>12</v>
      </c>
      <c r="AF40">
        <v>8</v>
      </c>
      <c r="AG40">
        <v>3</v>
      </c>
      <c r="AH40">
        <v>7</v>
      </c>
    </row>
    <row r="41" spans="1:34" x14ac:dyDescent="0.2">
      <c r="A41" s="102">
        <v>24</v>
      </c>
      <c r="B41">
        <v>6807</v>
      </c>
      <c r="C41" s="106" t="s">
        <v>331</v>
      </c>
      <c r="D41" s="106" t="s">
        <v>87</v>
      </c>
      <c r="E41">
        <v>2270</v>
      </c>
      <c r="F41">
        <v>2291</v>
      </c>
      <c r="G41">
        <v>400</v>
      </c>
      <c r="H41" s="106" t="s">
        <v>63</v>
      </c>
      <c r="I41">
        <v>7274</v>
      </c>
      <c r="J41" s="106" t="s">
        <v>332</v>
      </c>
      <c r="K41" s="106" t="s">
        <v>84</v>
      </c>
      <c r="L41">
        <v>2269</v>
      </c>
      <c r="M41">
        <v>2262</v>
      </c>
      <c r="N41">
        <v>400</v>
      </c>
      <c r="O41" s="106" t="s">
        <v>61</v>
      </c>
      <c r="P41">
        <v>0.95896981834948603</v>
      </c>
      <c r="Q41">
        <v>0.94938198383821104</v>
      </c>
      <c r="R41">
        <v>6.9123867439265199E-2</v>
      </c>
      <c r="S41">
        <v>0.11479081681735399</v>
      </c>
      <c r="T41">
        <v>0.48178514341152701</v>
      </c>
      <c r="U41">
        <v>0.48178514341152701</v>
      </c>
      <c r="V41">
        <v>2.4900000000000002</v>
      </c>
      <c r="W41">
        <v>1.27</v>
      </c>
      <c r="X41">
        <v>261307</v>
      </c>
      <c r="Y41">
        <v>13753</v>
      </c>
      <c r="Z41">
        <v>0.61</v>
      </c>
      <c r="AA41">
        <v>19</v>
      </c>
      <c r="AB41">
        <v>12</v>
      </c>
      <c r="AC41">
        <v>7</v>
      </c>
      <c r="AD41">
        <v>63.16</v>
      </c>
      <c r="AE41">
        <v>11</v>
      </c>
      <c r="AF41">
        <v>10</v>
      </c>
      <c r="AG41">
        <v>4</v>
      </c>
      <c r="AH41">
        <v>5</v>
      </c>
    </row>
    <row r="42" spans="1:34" x14ac:dyDescent="0.2">
      <c r="A42" s="102">
        <v>132</v>
      </c>
      <c r="B42">
        <v>1963</v>
      </c>
      <c r="C42" s="106" t="s">
        <v>129</v>
      </c>
      <c r="D42" s="106" t="s">
        <v>78</v>
      </c>
      <c r="E42">
        <v>1792</v>
      </c>
      <c r="F42">
        <v>1805</v>
      </c>
      <c r="G42">
        <v>500</v>
      </c>
      <c r="H42" s="106" t="s">
        <v>63</v>
      </c>
      <c r="I42">
        <v>7267</v>
      </c>
      <c r="J42" s="106" t="s">
        <v>118</v>
      </c>
      <c r="K42" s="106" t="s">
        <v>84</v>
      </c>
      <c r="L42">
        <v>3178</v>
      </c>
      <c r="M42">
        <v>3170</v>
      </c>
      <c r="N42">
        <v>300</v>
      </c>
      <c r="O42" s="106" t="s">
        <v>61</v>
      </c>
      <c r="P42">
        <v>0.92556070424914405</v>
      </c>
      <c r="Q42">
        <v>0.91791993340752198</v>
      </c>
      <c r="R42">
        <v>1.7593641001632299E-2</v>
      </c>
      <c r="S42" s="15">
        <v>9.0535470024187797E-5</v>
      </c>
      <c r="T42">
        <v>2.2627459706895401</v>
      </c>
      <c r="U42">
        <v>2.2627459706895401</v>
      </c>
      <c r="V42">
        <v>8.85</v>
      </c>
      <c r="W42">
        <v>5.0999999999999996</v>
      </c>
      <c r="X42">
        <v>259201</v>
      </c>
      <c r="Y42">
        <v>12960</v>
      </c>
      <c r="Z42">
        <v>0.65</v>
      </c>
      <c r="AA42">
        <v>20</v>
      </c>
      <c r="AB42">
        <v>13</v>
      </c>
      <c r="AC42">
        <v>7</v>
      </c>
      <c r="AD42">
        <v>65</v>
      </c>
      <c r="AE42">
        <v>10</v>
      </c>
      <c r="AF42">
        <v>10</v>
      </c>
      <c r="AG42">
        <v>5</v>
      </c>
      <c r="AH42">
        <v>5</v>
      </c>
    </row>
    <row r="43" spans="1:34" x14ac:dyDescent="0.2">
      <c r="A43" s="102">
        <v>33</v>
      </c>
      <c r="B43">
        <v>7181</v>
      </c>
      <c r="C43" s="106" t="s">
        <v>136</v>
      </c>
      <c r="D43" s="106" t="s">
        <v>110</v>
      </c>
      <c r="E43">
        <v>1904</v>
      </c>
      <c r="F43">
        <v>1907</v>
      </c>
      <c r="G43">
        <v>600</v>
      </c>
      <c r="H43" s="106" t="s">
        <v>61</v>
      </c>
      <c r="I43">
        <v>9956</v>
      </c>
      <c r="J43" s="106" t="s">
        <v>314</v>
      </c>
      <c r="K43" s="106" t="s">
        <v>95</v>
      </c>
      <c r="L43">
        <v>2140</v>
      </c>
      <c r="M43">
        <v>2139</v>
      </c>
      <c r="N43">
        <v>500</v>
      </c>
      <c r="O43" s="106" t="s">
        <v>63</v>
      </c>
      <c r="P43">
        <v>0.92641910064203303</v>
      </c>
      <c r="Q43">
        <v>0.945963263110978</v>
      </c>
      <c r="R43">
        <v>1.8004852707880801E-2</v>
      </c>
      <c r="S43">
        <v>0.19133220465926901</v>
      </c>
      <c r="T43">
        <v>-0.57754873960261999</v>
      </c>
      <c r="U43">
        <v>0.57754873960261999</v>
      </c>
      <c r="V43">
        <v>-1.58</v>
      </c>
      <c r="W43">
        <v>6.98</v>
      </c>
      <c r="X43">
        <v>258578</v>
      </c>
      <c r="Y43">
        <v>18470</v>
      </c>
      <c r="Z43">
        <v>0.88</v>
      </c>
      <c r="AA43">
        <v>14</v>
      </c>
      <c r="AB43">
        <v>10</v>
      </c>
      <c r="AC43">
        <v>4</v>
      </c>
      <c r="AD43">
        <v>71.430000000000007</v>
      </c>
      <c r="AE43">
        <v>14</v>
      </c>
      <c r="AF43">
        <v>4</v>
      </c>
      <c r="AG43">
        <v>1</v>
      </c>
      <c r="AH43">
        <v>9</v>
      </c>
    </row>
    <row r="44" spans="1:34" x14ac:dyDescent="0.2">
      <c r="A44" s="102">
        <v>53</v>
      </c>
      <c r="B44">
        <v>6457</v>
      </c>
      <c r="C44" s="106" t="s">
        <v>311</v>
      </c>
      <c r="D44" s="106" t="s">
        <v>99</v>
      </c>
      <c r="E44">
        <v>3375</v>
      </c>
      <c r="F44">
        <v>3370</v>
      </c>
      <c r="G44">
        <v>300</v>
      </c>
      <c r="H44" s="106" t="s">
        <v>63</v>
      </c>
      <c r="I44">
        <v>6925</v>
      </c>
      <c r="J44" s="106" t="s">
        <v>310</v>
      </c>
      <c r="K44" s="106" t="s">
        <v>87</v>
      </c>
      <c r="L44">
        <v>1638</v>
      </c>
      <c r="M44">
        <v>1625</v>
      </c>
      <c r="N44">
        <v>600</v>
      </c>
      <c r="O44" s="106" t="s">
        <v>61</v>
      </c>
      <c r="P44">
        <v>0.913135676004459</v>
      </c>
      <c r="Q44">
        <v>0.93890808360579303</v>
      </c>
      <c r="R44" s="15">
        <v>1.7308243565219199E-2</v>
      </c>
      <c r="S44" s="15">
        <v>2.1269965421135901E-3</v>
      </c>
      <c r="T44">
        <v>1.83321464353897</v>
      </c>
      <c r="U44">
        <v>1.83321464353897</v>
      </c>
      <c r="V44">
        <v>2.93</v>
      </c>
      <c r="W44">
        <v>3.56</v>
      </c>
      <c r="X44">
        <v>257915</v>
      </c>
      <c r="Y44">
        <v>17194</v>
      </c>
      <c r="Z44">
        <v>1.01</v>
      </c>
      <c r="AA44">
        <v>15</v>
      </c>
      <c r="AB44">
        <v>10</v>
      </c>
      <c r="AC44">
        <v>5</v>
      </c>
      <c r="AD44">
        <v>66.67</v>
      </c>
      <c r="AE44">
        <v>11</v>
      </c>
      <c r="AF44">
        <v>7</v>
      </c>
      <c r="AG44">
        <v>4</v>
      </c>
      <c r="AH44">
        <v>4</v>
      </c>
    </row>
    <row r="45" spans="1:34" x14ac:dyDescent="0.2">
      <c r="A45" s="102">
        <v>41</v>
      </c>
      <c r="B45">
        <v>4061</v>
      </c>
      <c r="C45" s="106" t="s">
        <v>122</v>
      </c>
      <c r="D45" s="106" t="s">
        <v>62</v>
      </c>
      <c r="E45">
        <v>3360</v>
      </c>
      <c r="F45">
        <v>3315</v>
      </c>
      <c r="G45">
        <v>300</v>
      </c>
      <c r="H45" s="106" t="s">
        <v>61</v>
      </c>
      <c r="I45">
        <v>4401</v>
      </c>
      <c r="J45" s="106" t="s">
        <v>313</v>
      </c>
      <c r="K45" s="106" t="s">
        <v>62</v>
      </c>
      <c r="L45">
        <v>1665</v>
      </c>
      <c r="M45">
        <v>1669</v>
      </c>
      <c r="N45">
        <v>600</v>
      </c>
      <c r="O45" s="106" t="s">
        <v>63</v>
      </c>
      <c r="P45">
        <v>0.94215560280421795</v>
      </c>
      <c r="Q45">
        <v>0.94225529279850495</v>
      </c>
      <c r="R45" s="106">
        <v>3.11204959824189E-3</v>
      </c>
      <c r="S45" s="15">
        <v>2.3415184699456601E-6</v>
      </c>
      <c r="T45">
        <v>-0.956571121527374</v>
      </c>
      <c r="U45">
        <v>0.956571121527374</v>
      </c>
      <c r="V45">
        <v>-4.1900000000000004</v>
      </c>
      <c r="W45">
        <v>0.69</v>
      </c>
      <c r="X45">
        <v>256424</v>
      </c>
      <c r="Y45">
        <v>17095</v>
      </c>
      <c r="Z45">
        <v>0.97</v>
      </c>
      <c r="AA45">
        <v>15</v>
      </c>
      <c r="AB45">
        <v>9</v>
      </c>
      <c r="AC45">
        <v>6</v>
      </c>
      <c r="AD45">
        <v>60</v>
      </c>
      <c r="AE45">
        <v>12</v>
      </c>
      <c r="AF45">
        <v>7</v>
      </c>
      <c r="AG45">
        <v>1</v>
      </c>
      <c r="AH45">
        <v>7</v>
      </c>
    </row>
    <row r="46" spans="1:34" x14ac:dyDescent="0.2">
      <c r="A46" s="102">
        <v>68</v>
      </c>
      <c r="B46">
        <v>6807</v>
      </c>
      <c r="C46" s="106" t="s">
        <v>331</v>
      </c>
      <c r="D46" s="106" t="s">
        <v>87</v>
      </c>
      <c r="E46">
        <v>2270</v>
      </c>
      <c r="F46">
        <v>2291</v>
      </c>
      <c r="G46">
        <v>300</v>
      </c>
      <c r="H46" s="106" t="s">
        <v>63</v>
      </c>
      <c r="I46">
        <v>9706</v>
      </c>
      <c r="J46" s="106" t="s">
        <v>333</v>
      </c>
      <c r="K46" s="106" t="s">
        <v>114</v>
      </c>
      <c r="L46">
        <v>6140</v>
      </c>
      <c r="M46">
        <v>6170</v>
      </c>
      <c r="N46">
        <v>100</v>
      </c>
      <c r="O46" s="106" t="s">
        <v>61</v>
      </c>
      <c r="P46">
        <v>0.91489335150429496</v>
      </c>
      <c r="Q46">
        <v>0.93588883086859798</v>
      </c>
      <c r="R46">
        <v>6.4446121108231599E-2</v>
      </c>
      <c r="S46" s="15">
        <v>2.7669598899846801E-2</v>
      </c>
      <c r="T46">
        <v>0.53314352946965504</v>
      </c>
      <c r="U46">
        <v>0.53314352946965504</v>
      </c>
      <c r="V46">
        <v>3.31</v>
      </c>
      <c r="W46">
        <v>11.39</v>
      </c>
      <c r="X46">
        <v>252142</v>
      </c>
      <c r="Y46">
        <v>14008</v>
      </c>
      <c r="Z46">
        <v>0.88</v>
      </c>
      <c r="AA46">
        <v>18</v>
      </c>
      <c r="AB46">
        <v>11</v>
      </c>
      <c r="AC46">
        <v>7</v>
      </c>
      <c r="AD46">
        <v>61.11</v>
      </c>
      <c r="AE46">
        <v>10</v>
      </c>
      <c r="AF46">
        <v>9</v>
      </c>
      <c r="AG46">
        <v>5</v>
      </c>
      <c r="AH46">
        <v>4</v>
      </c>
    </row>
    <row r="47" spans="1:34" x14ac:dyDescent="0.2">
      <c r="A47" s="102">
        <v>42</v>
      </c>
      <c r="B47">
        <v>5393</v>
      </c>
      <c r="C47" s="106" t="s">
        <v>329</v>
      </c>
      <c r="D47" s="106" t="s">
        <v>106</v>
      </c>
      <c r="E47">
        <v>2744</v>
      </c>
      <c r="F47">
        <v>2768</v>
      </c>
      <c r="G47">
        <v>300</v>
      </c>
      <c r="H47" s="106" t="s">
        <v>63</v>
      </c>
      <c r="I47">
        <v>5947</v>
      </c>
      <c r="J47" s="106" t="s">
        <v>321</v>
      </c>
      <c r="K47" s="106" t="s">
        <v>116</v>
      </c>
      <c r="L47">
        <v>8650</v>
      </c>
      <c r="M47">
        <v>8690</v>
      </c>
      <c r="N47">
        <v>100</v>
      </c>
      <c r="O47" s="106" t="s">
        <v>61</v>
      </c>
      <c r="P47">
        <v>0.95566118592888705</v>
      </c>
      <c r="Q47">
        <v>0.94164545993109905</v>
      </c>
      <c r="R47" s="15">
        <v>0.12643657605639799</v>
      </c>
      <c r="S47" s="15">
        <v>4.0459644385208701E-2</v>
      </c>
      <c r="T47">
        <v>1.5424658119416199</v>
      </c>
      <c r="U47">
        <v>1.5424658119416199</v>
      </c>
      <c r="V47">
        <v>10.79</v>
      </c>
      <c r="W47">
        <v>4.4400000000000004</v>
      </c>
      <c r="X47">
        <v>243463</v>
      </c>
      <c r="Y47">
        <v>18728</v>
      </c>
      <c r="Z47">
        <v>1.01</v>
      </c>
      <c r="AA47">
        <v>13</v>
      </c>
      <c r="AB47">
        <v>8</v>
      </c>
      <c r="AC47">
        <v>5</v>
      </c>
      <c r="AD47">
        <v>61.54</v>
      </c>
      <c r="AE47">
        <v>11</v>
      </c>
      <c r="AF47">
        <v>6</v>
      </c>
      <c r="AG47">
        <v>3</v>
      </c>
      <c r="AH47">
        <v>4</v>
      </c>
    </row>
    <row r="48" spans="1:34" x14ac:dyDescent="0.2">
      <c r="A48" s="102">
        <v>88</v>
      </c>
      <c r="B48">
        <v>6702</v>
      </c>
      <c r="C48" s="106" t="s">
        <v>328</v>
      </c>
      <c r="D48" s="106" t="s">
        <v>87</v>
      </c>
      <c r="E48">
        <v>10255</v>
      </c>
      <c r="F48">
        <v>10410</v>
      </c>
      <c r="G48">
        <v>100</v>
      </c>
      <c r="H48" s="106" t="s">
        <v>63</v>
      </c>
      <c r="I48">
        <v>8425</v>
      </c>
      <c r="J48" s="106" t="s">
        <v>315</v>
      </c>
      <c r="K48" s="106" t="s">
        <v>296</v>
      </c>
      <c r="L48">
        <v>3445</v>
      </c>
      <c r="M48">
        <v>3460</v>
      </c>
      <c r="N48">
        <v>300</v>
      </c>
      <c r="O48" s="106" t="s">
        <v>61</v>
      </c>
      <c r="P48">
        <v>0.91406362322912305</v>
      </c>
      <c r="Q48">
        <v>0.93035123079531801</v>
      </c>
      <c r="R48">
        <v>5.5141272651123202E-2</v>
      </c>
      <c r="S48" s="15">
        <v>4.4590254080952296E-3</v>
      </c>
      <c r="T48">
        <v>4.2874820081538201E-2</v>
      </c>
      <c r="U48">
        <v>4.2874820081538201E-2</v>
      </c>
      <c r="V48">
        <v>0.13</v>
      </c>
      <c r="W48">
        <v>0.28999999999999998</v>
      </c>
      <c r="X48">
        <v>243048</v>
      </c>
      <c r="Y48">
        <v>17361</v>
      </c>
      <c r="Z48">
        <v>1.17</v>
      </c>
      <c r="AA48">
        <v>14</v>
      </c>
      <c r="AB48">
        <v>10</v>
      </c>
      <c r="AC48">
        <v>4</v>
      </c>
      <c r="AD48">
        <v>71.430000000000007</v>
      </c>
      <c r="AE48">
        <v>13</v>
      </c>
      <c r="AF48">
        <v>8</v>
      </c>
      <c r="AG48">
        <v>1</v>
      </c>
      <c r="AH48">
        <v>5</v>
      </c>
    </row>
    <row r="49" spans="1:34" x14ac:dyDescent="0.2">
      <c r="A49" s="102">
        <v>170</v>
      </c>
      <c r="B49">
        <v>1820</v>
      </c>
      <c r="C49" s="106" t="s">
        <v>121</v>
      </c>
      <c r="D49" s="106" t="s">
        <v>78</v>
      </c>
      <c r="E49">
        <v>2476</v>
      </c>
      <c r="F49">
        <v>2480</v>
      </c>
      <c r="G49">
        <v>400</v>
      </c>
      <c r="H49" s="106" t="s">
        <v>63</v>
      </c>
      <c r="I49">
        <v>6752</v>
      </c>
      <c r="J49" s="106" t="s">
        <v>105</v>
      </c>
      <c r="K49" s="106" t="s">
        <v>87</v>
      </c>
      <c r="L49">
        <v>1020</v>
      </c>
      <c r="M49">
        <v>1016.5</v>
      </c>
      <c r="N49">
        <v>1000</v>
      </c>
      <c r="O49" s="106" t="s">
        <v>61</v>
      </c>
      <c r="P49">
        <v>0.94609479085590298</v>
      </c>
      <c r="Q49">
        <v>0.90940274019532796</v>
      </c>
      <c r="R49">
        <v>0.272810102430734</v>
      </c>
      <c r="S49" s="15">
        <v>2.3128344321283901E-2</v>
      </c>
      <c r="T49">
        <v>1.3127031594004701</v>
      </c>
      <c r="U49">
        <v>1.3127031594004701</v>
      </c>
      <c r="V49">
        <v>4.3600000000000003</v>
      </c>
      <c r="W49">
        <v>2.4700000000000002</v>
      </c>
      <c r="X49">
        <v>241478</v>
      </c>
      <c r="Y49">
        <v>15092</v>
      </c>
      <c r="Z49">
        <v>0.73</v>
      </c>
      <c r="AA49">
        <v>16</v>
      </c>
      <c r="AB49">
        <v>11</v>
      </c>
      <c r="AC49">
        <v>5</v>
      </c>
      <c r="AD49">
        <v>68.75</v>
      </c>
      <c r="AE49">
        <v>13</v>
      </c>
      <c r="AF49">
        <v>7</v>
      </c>
      <c r="AG49">
        <v>3</v>
      </c>
      <c r="AH49">
        <v>6</v>
      </c>
    </row>
    <row r="50" spans="1:34" x14ac:dyDescent="0.2">
      <c r="A50" s="102">
        <v>34</v>
      </c>
      <c r="B50">
        <v>6588</v>
      </c>
      <c r="C50" s="106" t="s">
        <v>784</v>
      </c>
      <c r="D50" s="106" t="s">
        <v>87</v>
      </c>
      <c r="E50">
        <v>4640</v>
      </c>
      <c r="F50">
        <v>4610</v>
      </c>
      <c r="G50">
        <v>200</v>
      </c>
      <c r="H50" s="106" t="s">
        <v>63</v>
      </c>
      <c r="I50">
        <v>6702</v>
      </c>
      <c r="J50" s="106" t="s">
        <v>328</v>
      </c>
      <c r="K50" s="106" t="s">
        <v>87</v>
      </c>
      <c r="L50">
        <v>10255</v>
      </c>
      <c r="M50">
        <v>10410</v>
      </c>
      <c r="N50">
        <v>100</v>
      </c>
      <c r="O50" s="106" t="s">
        <v>61</v>
      </c>
      <c r="P50">
        <v>0.94320567380062303</v>
      </c>
      <c r="Q50">
        <v>0.94525969931855802</v>
      </c>
      <c r="R50">
        <v>0.15701715501291399</v>
      </c>
      <c r="S50">
        <v>2.4673667682338599E-2</v>
      </c>
      <c r="T50">
        <v>0.96663561169929701</v>
      </c>
      <c r="U50">
        <v>0.96663561169929701</v>
      </c>
      <c r="V50">
        <v>6.91</v>
      </c>
      <c r="W50">
        <v>11.43</v>
      </c>
      <c r="X50">
        <v>237430</v>
      </c>
      <c r="Y50">
        <v>21585</v>
      </c>
      <c r="Z50">
        <v>1.23</v>
      </c>
      <c r="AA50">
        <v>11</v>
      </c>
      <c r="AB50">
        <v>7</v>
      </c>
      <c r="AC50">
        <v>4</v>
      </c>
      <c r="AD50">
        <v>63.64</v>
      </c>
      <c r="AE50">
        <v>12</v>
      </c>
      <c r="AF50">
        <v>5</v>
      </c>
      <c r="AG50">
        <v>1</v>
      </c>
      <c r="AH50">
        <v>5</v>
      </c>
    </row>
    <row r="51" spans="1:34" x14ac:dyDescent="0.2">
      <c r="A51" s="102">
        <v>108</v>
      </c>
      <c r="B51">
        <v>5333</v>
      </c>
      <c r="C51" s="106" t="s">
        <v>330</v>
      </c>
      <c r="D51" s="106" t="s">
        <v>106</v>
      </c>
      <c r="E51">
        <v>1915</v>
      </c>
      <c r="F51">
        <v>1912</v>
      </c>
      <c r="G51">
        <v>400</v>
      </c>
      <c r="H51" s="106" t="s">
        <v>61</v>
      </c>
      <c r="I51">
        <v>7282</v>
      </c>
      <c r="J51" s="106" t="s">
        <v>782</v>
      </c>
      <c r="K51" s="106" t="s">
        <v>84</v>
      </c>
      <c r="L51">
        <v>2822</v>
      </c>
      <c r="M51">
        <v>2790</v>
      </c>
      <c r="N51">
        <v>300</v>
      </c>
      <c r="O51" s="106" t="s">
        <v>63</v>
      </c>
      <c r="P51">
        <v>0.97817719984995699</v>
      </c>
      <c r="Q51">
        <v>0.923066284645499</v>
      </c>
      <c r="R51">
        <v>8.2678060159838505E-3</v>
      </c>
      <c r="S51" s="15">
        <v>4.69109622866902E-2</v>
      </c>
      <c r="T51">
        <v>-1.70315134001728</v>
      </c>
      <c r="U51">
        <v>1.70315134001728</v>
      </c>
      <c r="V51">
        <v>-3.19</v>
      </c>
      <c r="W51">
        <v>8.6300000000000008</v>
      </c>
      <c r="X51">
        <v>231982</v>
      </c>
      <c r="Y51">
        <v>12888</v>
      </c>
      <c r="Z51">
        <v>0.65</v>
      </c>
      <c r="AA51">
        <v>18</v>
      </c>
      <c r="AB51">
        <v>10</v>
      </c>
      <c r="AC51">
        <v>8</v>
      </c>
      <c r="AD51">
        <v>55.56</v>
      </c>
      <c r="AE51">
        <v>13</v>
      </c>
      <c r="AF51">
        <v>6</v>
      </c>
      <c r="AG51">
        <v>2</v>
      </c>
      <c r="AH51">
        <v>10</v>
      </c>
    </row>
    <row r="52" spans="1:34" x14ac:dyDescent="0.2">
      <c r="A52" s="102">
        <v>38</v>
      </c>
      <c r="B52">
        <v>4819</v>
      </c>
      <c r="C52" s="106" t="s">
        <v>1015</v>
      </c>
      <c r="D52" s="106" t="s">
        <v>79</v>
      </c>
      <c r="E52">
        <v>4425</v>
      </c>
      <c r="F52">
        <v>4490</v>
      </c>
      <c r="G52">
        <v>200</v>
      </c>
      <c r="H52" s="106" t="s">
        <v>63</v>
      </c>
      <c r="I52">
        <v>6098</v>
      </c>
      <c r="J52" s="106" t="s">
        <v>335</v>
      </c>
      <c r="K52" s="106" t="s">
        <v>120</v>
      </c>
      <c r="L52">
        <v>4075</v>
      </c>
      <c r="M52">
        <v>4049</v>
      </c>
      <c r="N52">
        <v>200</v>
      </c>
      <c r="O52" s="106" t="s">
        <v>61</v>
      </c>
      <c r="P52">
        <v>0.92990129654405096</v>
      </c>
      <c r="Q52">
        <v>0.94339816897147399</v>
      </c>
      <c r="R52">
        <v>9.4319172067253307E-2</v>
      </c>
      <c r="S52" s="15">
        <v>1.15862427748949E-3</v>
      </c>
      <c r="T52">
        <v>1.9911739096407901</v>
      </c>
      <c r="U52">
        <v>1.9911739096407901</v>
      </c>
      <c r="V52">
        <v>7.59</v>
      </c>
      <c r="W52">
        <v>9.82</v>
      </c>
      <c r="X52">
        <v>225867</v>
      </c>
      <c r="Y52">
        <v>15058</v>
      </c>
      <c r="Z52">
        <v>0.81</v>
      </c>
      <c r="AA52">
        <v>15</v>
      </c>
      <c r="AB52">
        <v>9</v>
      </c>
      <c r="AC52">
        <v>6</v>
      </c>
      <c r="AD52">
        <v>60</v>
      </c>
      <c r="AE52">
        <v>10</v>
      </c>
      <c r="AF52">
        <v>7</v>
      </c>
      <c r="AG52">
        <v>3</v>
      </c>
      <c r="AH52">
        <v>5</v>
      </c>
    </row>
    <row r="53" spans="1:34" x14ac:dyDescent="0.2">
      <c r="A53" s="102">
        <v>17</v>
      </c>
      <c r="B53">
        <v>4519</v>
      </c>
      <c r="C53" s="106" t="s">
        <v>783</v>
      </c>
      <c r="D53" s="106" t="s">
        <v>135</v>
      </c>
      <c r="E53">
        <v>10000</v>
      </c>
      <c r="F53">
        <v>9960</v>
      </c>
      <c r="G53">
        <v>100</v>
      </c>
      <c r="H53" s="106" t="s">
        <v>61</v>
      </c>
      <c r="I53">
        <v>6588</v>
      </c>
      <c r="J53" s="106" t="s">
        <v>784</v>
      </c>
      <c r="K53" s="106" t="s">
        <v>87</v>
      </c>
      <c r="L53">
        <v>4640</v>
      </c>
      <c r="M53">
        <v>4610</v>
      </c>
      <c r="N53">
        <v>200</v>
      </c>
      <c r="O53" s="106" t="s">
        <v>63</v>
      </c>
      <c r="P53">
        <v>0.954176355007053</v>
      </c>
      <c r="Q53">
        <v>0.95429455032866095</v>
      </c>
      <c r="R53" s="106">
        <v>0.33254769679467</v>
      </c>
      <c r="S53" s="15">
        <v>6.5714683732281398E-3</v>
      </c>
      <c r="T53">
        <v>-1.09403104503544</v>
      </c>
      <c r="U53">
        <v>1.09403104503544</v>
      </c>
      <c r="V53">
        <v>-7.13</v>
      </c>
      <c r="W53">
        <v>7.43</v>
      </c>
      <c r="X53">
        <v>222279</v>
      </c>
      <c r="Y53">
        <v>13892</v>
      </c>
      <c r="Z53">
        <v>0.92</v>
      </c>
      <c r="AA53">
        <v>16</v>
      </c>
      <c r="AB53">
        <v>10</v>
      </c>
      <c r="AC53">
        <v>6</v>
      </c>
      <c r="AD53">
        <v>62.5</v>
      </c>
      <c r="AE53">
        <v>11</v>
      </c>
      <c r="AF53">
        <v>7</v>
      </c>
      <c r="AG53">
        <v>4</v>
      </c>
      <c r="AH53">
        <v>5</v>
      </c>
    </row>
    <row r="54" spans="1:34" x14ac:dyDescent="0.2">
      <c r="A54" s="102">
        <v>181</v>
      </c>
      <c r="B54">
        <v>2175</v>
      </c>
      <c r="C54" s="106" t="s">
        <v>323</v>
      </c>
      <c r="D54" s="106" t="s">
        <v>120</v>
      </c>
      <c r="E54">
        <v>2995</v>
      </c>
      <c r="F54">
        <v>3010</v>
      </c>
      <c r="G54">
        <v>200</v>
      </c>
      <c r="H54" s="106" t="s">
        <v>61</v>
      </c>
      <c r="I54">
        <v>4686</v>
      </c>
      <c r="J54" s="106" t="s">
        <v>978</v>
      </c>
      <c r="K54" s="106" t="s">
        <v>79</v>
      </c>
      <c r="L54">
        <v>6150</v>
      </c>
      <c r="M54">
        <v>6160</v>
      </c>
      <c r="N54">
        <v>100</v>
      </c>
      <c r="O54" s="106" t="s">
        <v>63</v>
      </c>
      <c r="P54">
        <v>0.933166656253825</v>
      </c>
      <c r="Q54">
        <v>0.90552305003328504</v>
      </c>
      <c r="R54" s="106">
        <v>1.9964149993595599E-2</v>
      </c>
      <c r="S54" s="15">
        <v>0.33679231258248199</v>
      </c>
      <c r="T54">
        <v>-1.5191664380012899</v>
      </c>
      <c r="U54">
        <v>1.5191664380012899</v>
      </c>
      <c r="V54">
        <v>-22.38</v>
      </c>
      <c r="W54">
        <v>2.27</v>
      </c>
      <c r="X54">
        <v>219732</v>
      </c>
      <c r="Y54">
        <v>14649</v>
      </c>
      <c r="Z54">
        <v>0.71</v>
      </c>
      <c r="AA54">
        <v>15</v>
      </c>
      <c r="AB54">
        <v>10</v>
      </c>
      <c r="AC54">
        <v>5</v>
      </c>
      <c r="AD54">
        <v>66.67</v>
      </c>
      <c r="AE54">
        <v>9</v>
      </c>
      <c r="AF54">
        <v>8</v>
      </c>
      <c r="AG54">
        <v>5</v>
      </c>
      <c r="AH54">
        <v>2</v>
      </c>
    </row>
    <row r="55" spans="1:34" x14ac:dyDescent="0.2">
      <c r="A55" s="102">
        <v>37</v>
      </c>
      <c r="B55">
        <v>3635</v>
      </c>
      <c r="C55" s="106" t="s">
        <v>85</v>
      </c>
      <c r="D55" s="106" t="s">
        <v>79</v>
      </c>
      <c r="E55">
        <v>2844</v>
      </c>
      <c r="F55">
        <v>2878</v>
      </c>
      <c r="G55">
        <v>300</v>
      </c>
      <c r="H55" s="106" t="s">
        <v>63</v>
      </c>
      <c r="I55">
        <v>8593</v>
      </c>
      <c r="J55" s="106" t="s">
        <v>308</v>
      </c>
      <c r="K55" s="106" t="s">
        <v>296</v>
      </c>
      <c r="L55">
        <v>721</v>
      </c>
      <c r="M55">
        <v>724</v>
      </c>
      <c r="N55">
        <v>1200</v>
      </c>
      <c r="O55" s="106" t="s">
        <v>61</v>
      </c>
      <c r="P55">
        <v>0.918801349330438</v>
      </c>
      <c r="Q55">
        <v>0.94370079179361999</v>
      </c>
      <c r="R55" s="106">
        <v>2.1814230501271001E-2</v>
      </c>
      <c r="S55">
        <v>4.4334094898708203E-3</v>
      </c>
      <c r="T55">
        <v>2.71113543711281</v>
      </c>
      <c r="U55">
        <v>2.71113543711281</v>
      </c>
      <c r="V55">
        <v>7.14</v>
      </c>
      <c r="W55">
        <v>0.63</v>
      </c>
      <c r="X55">
        <v>218633</v>
      </c>
      <c r="Y55">
        <v>12861</v>
      </c>
      <c r="Z55">
        <v>0.62</v>
      </c>
      <c r="AA55">
        <v>17</v>
      </c>
      <c r="AB55">
        <v>10</v>
      </c>
      <c r="AC55">
        <v>7</v>
      </c>
      <c r="AD55">
        <v>58.82</v>
      </c>
      <c r="AE55">
        <v>12</v>
      </c>
      <c r="AF55">
        <v>7</v>
      </c>
      <c r="AG55">
        <v>4</v>
      </c>
      <c r="AH55">
        <v>6</v>
      </c>
    </row>
    <row r="56" spans="1:34" x14ac:dyDescent="0.2">
      <c r="A56" s="102">
        <v>54</v>
      </c>
      <c r="B56">
        <v>3105</v>
      </c>
      <c r="C56" s="106" t="s">
        <v>90</v>
      </c>
      <c r="D56" s="106" t="s">
        <v>87</v>
      </c>
      <c r="E56">
        <v>1051</v>
      </c>
      <c r="F56">
        <v>1053</v>
      </c>
      <c r="G56">
        <v>1000</v>
      </c>
      <c r="H56" s="106" t="s">
        <v>63</v>
      </c>
      <c r="I56">
        <v>6770</v>
      </c>
      <c r="J56" s="106" t="s">
        <v>26</v>
      </c>
      <c r="K56" s="106" t="s">
        <v>87</v>
      </c>
      <c r="L56">
        <v>2515</v>
      </c>
      <c r="M56">
        <v>2522</v>
      </c>
      <c r="N56">
        <v>400</v>
      </c>
      <c r="O56" s="106" t="s">
        <v>61</v>
      </c>
      <c r="P56">
        <v>0.96118341759764003</v>
      </c>
      <c r="Q56">
        <v>0.93888028800601098</v>
      </c>
      <c r="R56" s="15">
        <v>0.14652676018438901</v>
      </c>
      <c r="S56">
        <v>5.2324475159845403E-2</v>
      </c>
      <c r="T56">
        <v>0.55274154509148898</v>
      </c>
      <c r="U56">
        <v>0.55274154509148898</v>
      </c>
      <c r="V56">
        <v>1.49</v>
      </c>
      <c r="W56">
        <v>4.38</v>
      </c>
      <c r="X56">
        <v>211945</v>
      </c>
      <c r="Y56">
        <v>10093</v>
      </c>
      <c r="Z56">
        <v>0.54</v>
      </c>
      <c r="AA56">
        <v>21</v>
      </c>
      <c r="AB56">
        <v>12</v>
      </c>
      <c r="AC56">
        <v>9</v>
      </c>
      <c r="AD56">
        <v>57.14</v>
      </c>
      <c r="AE56">
        <v>9</v>
      </c>
      <c r="AF56">
        <v>11</v>
      </c>
      <c r="AG56">
        <v>7</v>
      </c>
      <c r="AH56">
        <v>3</v>
      </c>
    </row>
    <row r="57" spans="1:34" x14ac:dyDescent="0.2">
      <c r="A57" s="102">
        <v>156</v>
      </c>
      <c r="B57">
        <v>4849</v>
      </c>
      <c r="C57" s="106" t="s">
        <v>1016</v>
      </c>
      <c r="D57" s="106" t="s">
        <v>120</v>
      </c>
      <c r="E57">
        <v>4975</v>
      </c>
      <c r="F57">
        <v>5020</v>
      </c>
      <c r="G57">
        <v>200</v>
      </c>
      <c r="H57" s="106" t="s">
        <v>63</v>
      </c>
      <c r="I57">
        <v>9433</v>
      </c>
      <c r="J57" s="106" t="s">
        <v>1017</v>
      </c>
      <c r="K57" s="106" t="s">
        <v>79</v>
      </c>
      <c r="L57">
        <v>3311</v>
      </c>
      <c r="M57">
        <v>3287</v>
      </c>
      <c r="N57">
        <v>300</v>
      </c>
      <c r="O57" s="106" t="s">
        <v>61</v>
      </c>
      <c r="P57">
        <v>0.90786687827028201</v>
      </c>
      <c r="Q57">
        <v>0.91357353827905496</v>
      </c>
      <c r="R57">
        <v>3.9354725783162202E-2</v>
      </c>
      <c r="S57" s="15">
        <v>4.2579024622392603E-2</v>
      </c>
      <c r="T57">
        <v>0.13927595497338199</v>
      </c>
      <c r="U57">
        <v>0.13927595497338199</v>
      </c>
      <c r="V57">
        <v>1.03</v>
      </c>
      <c r="W57">
        <v>1.78</v>
      </c>
      <c r="X57">
        <v>211635</v>
      </c>
      <c r="Y57">
        <v>10582</v>
      </c>
      <c r="Z57">
        <v>0.62</v>
      </c>
      <c r="AA57">
        <v>20</v>
      </c>
      <c r="AB57">
        <v>10</v>
      </c>
      <c r="AC57">
        <v>10</v>
      </c>
      <c r="AD57">
        <v>50</v>
      </c>
      <c r="AE57">
        <v>10</v>
      </c>
      <c r="AF57">
        <v>7</v>
      </c>
      <c r="AG57">
        <v>7</v>
      </c>
      <c r="AH57">
        <v>6</v>
      </c>
    </row>
    <row r="58" spans="1:34" x14ac:dyDescent="0.2">
      <c r="A58" s="102">
        <v>78</v>
      </c>
      <c r="B58">
        <v>5333</v>
      </c>
      <c r="C58" s="106" t="s">
        <v>330</v>
      </c>
      <c r="D58" s="106" t="s">
        <v>106</v>
      </c>
      <c r="E58">
        <v>1915</v>
      </c>
      <c r="F58">
        <v>1912</v>
      </c>
      <c r="G58">
        <v>500</v>
      </c>
      <c r="H58" s="106" t="s">
        <v>63</v>
      </c>
      <c r="I58">
        <v>6995</v>
      </c>
      <c r="J58" s="106" t="s">
        <v>91</v>
      </c>
      <c r="K58" s="106" t="s">
        <v>84</v>
      </c>
      <c r="L58">
        <v>2250</v>
      </c>
      <c r="M58">
        <v>2227</v>
      </c>
      <c r="N58">
        <v>400</v>
      </c>
      <c r="O58" s="106" t="s">
        <v>61</v>
      </c>
      <c r="P58">
        <v>0.97442469041478996</v>
      </c>
      <c r="Q58">
        <v>0.93289411045755399</v>
      </c>
      <c r="R58">
        <v>4.11764744402087E-2</v>
      </c>
      <c r="S58" s="15">
        <v>3.6770865251843199E-2</v>
      </c>
      <c r="T58">
        <v>0.72509453915697497</v>
      </c>
      <c r="U58">
        <v>0.72509453915697497</v>
      </c>
      <c r="V58">
        <v>1.54</v>
      </c>
      <c r="W58">
        <v>7.32</v>
      </c>
      <c r="X58">
        <v>207740</v>
      </c>
      <c r="Y58">
        <v>11541</v>
      </c>
      <c r="Z58">
        <v>0.59</v>
      </c>
      <c r="AA58">
        <v>18</v>
      </c>
      <c r="AB58">
        <v>12</v>
      </c>
      <c r="AC58">
        <v>6</v>
      </c>
      <c r="AD58">
        <v>66.67</v>
      </c>
      <c r="AE58">
        <v>15</v>
      </c>
      <c r="AF58">
        <v>4</v>
      </c>
      <c r="AG58">
        <v>2</v>
      </c>
      <c r="AH58">
        <v>12</v>
      </c>
    </row>
    <row r="59" spans="1:34" x14ac:dyDescent="0.2">
      <c r="A59" s="102">
        <v>152</v>
      </c>
      <c r="B59">
        <v>4183</v>
      </c>
      <c r="C59" s="106" t="s">
        <v>298</v>
      </c>
      <c r="D59" s="106" t="s">
        <v>62</v>
      </c>
      <c r="E59">
        <v>2713</v>
      </c>
      <c r="F59">
        <v>2696</v>
      </c>
      <c r="G59">
        <v>400</v>
      </c>
      <c r="H59" s="106" t="s">
        <v>61</v>
      </c>
      <c r="I59">
        <v>4208</v>
      </c>
      <c r="J59" s="106" t="s">
        <v>98</v>
      </c>
      <c r="K59" s="106" t="s">
        <v>62</v>
      </c>
      <c r="L59">
        <v>2450</v>
      </c>
      <c r="M59">
        <v>2432</v>
      </c>
      <c r="N59">
        <v>400</v>
      </c>
      <c r="O59" s="106" t="s">
        <v>63</v>
      </c>
      <c r="P59">
        <v>0.93683558219254404</v>
      </c>
      <c r="Q59">
        <v>0.91436237216588301</v>
      </c>
      <c r="R59">
        <v>1.5371971693001699E-2</v>
      </c>
      <c r="S59" s="15">
        <v>0.100370602345145</v>
      </c>
      <c r="T59">
        <v>-0.95061167725571005</v>
      </c>
      <c r="U59">
        <v>0.95061167725571005</v>
      </c>
      <c r="V59">
        <v>-1.42</v>
      </c>
      <c r="W59">
        <v>9.7899999999999991</v>
      </c>
      <c r="X59">
        <v>207621</v>
      </c>
      <c r="Y59">
        <v>20762</v>
      </c>
      <c r="Z59">
        <v>1.0900000000000001</v>
      </c>
      <c r="AA59">
        <v>10</v>
      </c>
      <c r="AB59">
        <v>9</v>
      </c>
      <c r="AC59">
        <v>1</v>
      </c>
      <c r="AD59">
        <v>90</v>
      </c>
      <c r="AE59">
        <v>14</v>
      </c>
      <c r="AF59">
        <v>3</v>
      </c>
      <c r="AG59">
        <v>0</v>
      </c>
      <c r="AH59">
        <v>7</v>
      </c>
    </row>
    <row r="60" spans="1:34" x14ac:dyDescent="0.2">
      <c r="A60" s="102">
        <v>73</v>
      </c>
      <c r="B60">
        <v>5333</v>
      </c>
      <c r="C60" s="106" t="s">
        <v>330</v>
      </c>
      <c r="D60" s="106" t="s">
        <v>106</v>
      </c>
      <c r="E60">
        <v>1915</v>
      </c>
      <c r="F60">
        <v>1912</v>
      </c>
      <c r="G60">
        <v>600</v>
      </c>
      <c r="H60" s="106" t="s">
        <v>61</v>
      </c>
      <c r="I60">
        <v>9810</v>
      </c>
      <c r="J60" s="106" t="s">
        <v>126</v>
      </c>
      <c r="K60" s="106" t="s">
        <v>101</v>
      </c>
      <c r="L60">
        <v>5300</v>
      </c>
      <c r="M60">
        <v>5310</v>
      </c>
      <c r="N60">
        <v>200</v>
      </c>
      <c r="O60" s="106" t="s">
        <v>63</v>
      </c>
      <c r="P60">
        <v>0.95478871217180405</v>
      </c>
      <c r="Q60">
        <v>0.93386386878299699</v>
      </c>
      <c r="R60" s="15">
        <v>0.30086852425754901</v>
      </c>
      <c r="S60" s="15">
        <v>2.2520899927495501E-2</v>
      </c>
      <c r="T60">
        <v>-0.24075492234120399</v>
      </c>
      <c r="U60">
        <v>0.24075492234120399</v>
      </c>
      <c r="V60">
        <v>-0.61</v>
      </c>
      <c r="W60">
        <v>8.02</v>
      </c>
      <c r="X60">
        <v>206989</v>
      </c>
      <c r="Y60">
        <v>12937</v>
      </c>
      <c r="Z60">
        <v>0.97</v>
      </c>
      <c r="AA60">
        <v>16</v>
      </c>
      <c r="AB60">
        <v>13</v>
      </c>
      <c r="AC60">
        <v>3</v>
      </c>
      <c r="AD60">
        <v>81.25</v>
      </c>
      <c r="AE60">
        <v>14</v>
      </c>
      <c r="AF60">
        <v>5</v>
      </c>
      <c r="AG60">
        <v>2</v>
      </c>
      <c r="AH60">
        <v>9</v>
      </c>
    </row>
    <row r="61" spans="1:34" x14ac:dyDescent="0.2">
      <c r="A61" s="102">
        <v>7</v>
      </c>
      <c r="B61">
        <v>6988</v>
      </c>
      <c r="C61" s="106" t="s">
        <v>138</v>
      </c>
      <c r="D61" s="106" t="s">
        <v>62</v>
      </c>
      <c r="E61">
        <v>6340</v>
      </c>
      <c r="F61">
        <v>6230</v>
      </c>
      <c r="G61">
        <v>100</v>
      </c>
      <c r="H61" s="106" t="s">
        <v>61</v>
      </c>
      <c r="I61">
        <v>7282</v>
      </c>
      <c r="J61" s="106" t="s">
        <v>782</v>
      </c>
      <c r="K61" s="106" t="s">
        <v>84</v>
      </c>
      <c r="L61">
        <v>2822</v>
      </c>
      <c r="M61">
        <v>2790</v>
      </c>
      <c r="N61">
        <v>200</v>
      </c>
      <c r="O61" s="106" t="s">
        <v>63</v>
      </c>
      <c r="P61">
        <v>0.93903880468776202</v>
      </c>
      <c r="Q61">
        <v>0.96262533740315703</v>
      </c>
      <c r="R61">
        <v>9.4161140382826206E-2</v>
      </c>
      <c r="S61">
        <v>1.10418258913306E-4</v>
      </c>
      <c r="T61">
        <v>-2.3259596822440698</v>
      </c>
      <c r="U61">
        <v>2.3259596822440698</v>
      </c>
      <c r="V61">
        <v>-8.34</v>
      </c>
      <c r="W61">
        <v>10.43</v>
      </c>
      <c r="X61">
        <v>206961</v>
      </c>
      <c r="Y61">
        <v>14783</v>
      </c>
      <c r="Z61">
        <v>0.78</v>
      </c>
      <c r="AA61">
        <v>14</v>
      </c>
      <c r="AB61">
        <v>10</v>
      </c>
      <c r="AC61">
        <v>4</v>
      </c>
      <c r="AD61">
        <v>71.430000000000007</v>
      </c>
      <c r="AE61">
        <v>10</v>
      </c>
      <c r="AF61">
        <v>9</v>
      </c>
      <c r="AG61">
        <v>3</v>
      </c>
      <c r="AH61">
        <v>2</v>
      </c>
    </row>
    <row r="62" spans="1:34" x14ac:dyDescent="0.2">
      <c r="A62" s="102">
        <v>94</v>
      </c>
      <c r="B62">
        <v>3291</v>
      </c>
      <c r="C62" s="106" t="s">
        <v>113</v>
      </c>
      <c r="D62" s="106" t="s">
        <v>114</v>
      </c>
      <c r="E62">
        <v>1957</v>
      </c>
      <c r="F62">
        <v>1957</v>
      </c>
      <c r="G62">
        <v>500</v>
      </c>
      <c r="H62" s="106" t="s">
        <v>63</v>
      </c>
      <c r="I62">
        <v>8086</v>
      </c>
      <c r="J62" s="106" t="s">
        <v>1018</v>
      </c>
      <c r="K62" s="106" t="s">
        <v>93</v>
      </c>
      <c r="L62">
        <v>1323</v>
      </c>
      <c r="M62">
        <v>1320</v>
      </c>
      <c r="N62">
        <v>700</v>
      </c>
      <c r="O62" s="106" t="s">
        <v>61</v>
      </c>
      <c r="P62">
        <v>0.92339970143184602</v>
      </c>
      <c r="Q62">
        <v>0.92871995963387799</v>
      </c>
      <c r="R62" s="15">
        <v>5.5130793203914102E-3</v>
      </c>
      <c r="S62">
        <v>4.7946158240323496E-3</v>
      </c>
      <c r="T62">
        <v>1.0261311848444701</v>
      </c>
      <c r="U62">
        <v>1.0261311848444701</v>
      </c>
      <c r="V62">
        <v>1.86</v>
      </c>
      <c r="W62">
        <v>5.57</v>
      </c>
      <c r="X62">
        <v>204433</v>
      </c>
      <c r="Y62">
        <v>17036</v>
      </c>
      <c r="Z62">
        <v>0.89</v>
      </c>
      <c r="AA62">
        <v>12</v>
      </c>
      <c r="AB62">
        <v>8</v>
      </c>
      <c r="AC62">
        <v>4</v>
      </c>
      <c r="AD62">
        <v>66.67</v>
      </c>
      <c r="AE62">
        <v>10</v>
      </c>
      <c r="AF62">
        <v>6</v>
      </c>
      <c r="AG62">
        <v>3</v>
      </c>
      <c r="AH62">
        <v>3</v>
      </c>
    </row>
    <row r="63" spans="1:34" x14ac:dyDescent="0.2">
      <c r="A63" s="102">
        <v>61</v>
      </c>
      <c r="B63">
        <v>5802</v>
      </c>
      <c r="C63" s="106" t="s">
        <v>130</v>
      </c>
      <c r="D63" s="106" t="s">
        <v>131</v>
      </c>
      <c r="E63">
        <v>1685</v>
      </c>
      <c r="F63">
        <v>1663</v>
      </c>
      <c r="G63">
        <v>500</v>
      </c>
      <c r="H63" s="106" t="s">
        <v>61</v>
      </c>
      <c r="I63">
        <v>7282</v>
      </c>
      <c r="J63" s="106" t="s">
        <v>782</v>
      </c>
      <c r="K63" s="106" t="s">
        <v>84</v>
      </c>
      <c r="L63">
        <v>2822</v>
      </c>
      <c r="M63">
        <v>2790</v>
      </c>
      <c r="N63">
        <v>300</v>
      </c>
      <c r="O63" s="106" t="s">
        <v>63</v>
      </c>
      <c r="P63">
        <v>0.966125123235266</v>
      </c>
      <c r="Q63">
        <v>0.93709841819463502</v>
      </c>
      <c r="R63" s="15">
        <v>6.24676334570511E-2</v>
      </c>
      <c r="S63">
        <v>0.120628504179376</v>
      </c>
      <c r="T63">
        <v>-1.75584984198884</v>
      </c>
      <c r="U63">
        <v>1.75584984198884</v>
      </c>
      <c r="V63">
        <v>-4.5599999999999996</v>
      </c>
      <c r="W63">
        <v>0.66</v>
      </c>
      <c r="X63">
        <v>204036</v>
      </c>
      <c r="Y63">
        <v>12752</v>
      </c>
      <c r="Z63">
        <v>0.61</v>
      </c>
      <c r="AA63">
        <v>16</v>
      </c>
      <c r="AB63">
        <v>11</v>
      </c>
      <c r="AC63">
        <v>5</v>
      </c>
      <c r="AD63">
        <v>68.75</v>
      </c>
      <c r="AE63">
        <v>14</v>
      </c>
      <c r="AF63">
        <v>5</v>
      </c>
      <c r="AG63">
        <v>2</v>
      </c>
      <c r="AH63">
        <v>9</v>
      </c>
    </row>
    <row r="64" spans="1:34" x14ac:dyDescent="0.2">
      <c r="A64" s="102">
        <v>107</v>
      </c>
      <c r="B64">
        <v>4182</v>
      </c>
      <c r="C64" s="106" t="s">
        <v>88</v>
      </c>
      <c r="D64" s="106" t="s">
        <v>62</v>
      </c>
      <c r="E64">
        <v>1702</v>
      </c>
      <c r="F64">
        <v>1691</v>
      </c>
      <c r="G64">
        <v>600</v>
      </c>
      <c r="H64" s="106" t="s">
        <v>61</v>
      </c>
      <c r="I64">
        <v>5802</v>
      </c>
      <c r="J64" s="106" t="s">
        <v>130</v>
      </c>
      <c r="K64" s="106" t="s">
        <v>131</v>
      </c>
      <c r="L64">
        <v>1685</v>
      </c>
      <c r="M64">
        <v>1663</v>
      </c>
      <c r="N64">
        <v>600</v>
      </c>
      <c r="O64" s="106" t="s">
        <v>63</v>
      </c>
      <c r="P64">
        <v>0.96547587829214399</v>
      </c>
      <c r="Q64">
        <v>0.92309869222803198</v>
      </c>
      <c r="R64" s="15">
        <v>0.21151846646859199</v>
      </c>
      <c r="S64" s="106">
        <v>0.15851474162751999</v>
      </c>
      <c r="T64">
        <v>-1.09854693396804</v>
      </c>
      <c r="U64">
        <v>1.09854693396804</v>
      </c>
      <c r="V64">
        <v>-2.2999999999999998</v>
      </c>
      <c r="W64">
        <v>1.66</v>
      </c>
      <c r="X64">
        <v>202282</v>
      </c>
      <c r="Y64">
        <v>11238</v>
      </c>
      <c r="Z64">
        <v>0.67</v>
      </c>
      <c r="AA64">
        <v>18</v>
      </c>
      <c r="AB64">
        <v>11</v>
      </c>
      <c r="AC64">
        <v>7</v>
      </c>
      <c r="AD64">
        <v>61.11</v>
      </c>
      <c r="AE64">
        <v>13</v>
      </c>
      <c r="AF64">
        <v>7</v>
      </c>
      <c r="AG64">
        <v>4</v>
      </c>
      <c r="AH64">
        <v>7</v>
      </c>
    </row>
    <row r="65" spans="1:34" x14ac:dyDescent="0.2">
      <c r="A65" s="102">
        <v>101</v>
      </c>
      <c r="B65">
        <v>1802</v>
      </c>
      <c r="C65" s="106" t="s">
        <v>2395</v>
      </c>
      <c r="D65" s="106" t="s">
        <v>78</v>
      </c>
      <c r="E65">
        <v>1240</v>
      </c>
      <c r="F65">
        <v>1236</v>
      </c>
      <c r="G65">
        <v>700</v>
      </c>
      <c r="H65" s="106" t="s">
        <v>61</v>
      </c>
      <c r="I65">
        <v>5393</v>
      </c>
      <c r="J65" s="106" t="s">
        <v>329</v>
      </c>
      <c r="K65" s="106" t="s">
        <v>106</v>
      </c>
      <c r="L65">
        <v>2744</v>
      </c>
      <c r="M65">
        <v>2768</v>
      </c>
      <c r="N65">
        <v>300</v>
      </c>
      <c r="O65" s="106" t="s">
        <v>63</v>
      </c>
      <c r="P65">
        <v>0.94501922530080196</v>
      </c>
      <c r="Q65">
        <v>0.92617309776121304</v>
      </c>
      <c r="R65">
        <v>0.38081722500156701</v>
      </c>
      <c r="S65">
        <v>4.2750366066482699E-2</v>
      </c>
      <c r="T65">
        <v>-1.2800287742363401</v>
      </c>
      <c r="U65">
        <v>1.2800287742363401</v>
      </c>
      <c r="V65">
        <v>-13.23</v>
      </c>
      <c r="W65">
        <v>4.1900000000000004</v>
      </c>
      <c r="X65">
        <v>200007</v>
      </c>
      <c r="Y65">
        <v>10527</v>
      </c>
      <c r="Z65">
        <v>0.49</v>
      </c>
      <c r="AA65">
        <v>19</v>
      </c>
      <c r="AB65">
        <v>12</v>
      </c>
      <c r="AC65">
        <v>7</v>
      </c>
      <c r="AD65">
        <v>63.16</v>
      </c>
      <c r="AE65">
        <v>12</v>
      </c>
      <c r="AF65">
        <v>9</v>
      </c>
      <c r="AG65">
        <v>5</v>
      </c>
      <c r="AH65">
        <v>5</v>
      </c>
    </row>
    <row r="66" spans="1:34" x14ac:dyDescent="0.2">
      <c r="A66" s="102">
        <v>173</v>
      </c>
      <c r="B66">
        <v>6471</v>
      </c>
      <c r="C66" s="106" t="s">
        <v>137</v>
      </c>
      <c r="D66" s="106" t="s">
        <v>99</v>
      </c>
      <c r="E66">
        <v>1064</v>
      </c>
      <c r="F66">
        <v>1063</v>
      </c>
      <c r="G66">
        <v>800</v>
      </c>
      <c r="H66" s="106" t="s">
        <v>61</v>
      </c>
      <c r="I66">
        <v>7259</v>
      </c>
      <c r="J66" s="106" t="s">
        <v>29</v>
      </c>
      <c r="K66" s="106" t="s">
        <v>84</v>
      </c>
      <c r="L66">
        <v>4140</v>
      </c>
      <c r="M66">
        <v>4180</v>
      </c>
      <c r="N66">
        <v>200</v>
      </c>
      <c r="O66" s="106" t="s">
        <v>63</v>
      </c>
      <c r="P66">
        <v>0.93756938330037998</v>
      </c>
      <c r="Q66">
        <v>0.90881025928071302</v>
      </c>
      <c r="R66">
        <v>3.3350213935498101E-4</v>
      </c>
      <c r="S66">
        <v>1.27914678317936E-2</v>
      </c>
      <c r="T66">
        <v>-0.74880296243494404</v>
      </c>
      <c r="U66">
        <v>0.74880296243494404</v>
      </c>
      <c r="V66">
        <v>-2.98</v>
      </c>
      <c r="W66">
        <v>1.72</v>
      </c>
      <c r="X66">
        <v>199833</v>
      </c>
      <c r="Y66">
        <v>9516</v>
      </c>
      <c r="Z66">
        <v>0.62</v>
      </c>
      <c r="AA66">
        <v>21</v>
      </c>
      <c r="AB66">
        <v>14</v>
      </c>
      <c r="AC66">
        <v>7</v>
      </c>
      <c r="AD66">
        <v>66.67</v>
      </c>
      <c r="AE66">
        <v>12</v>
      </c>
      <c r="AF66">
        <v>8</v>
      </c>
      <c r="AG66">
        <v>4</v>
      </c>
      <c r="AH66">
        <v>9</v>
      </c>
    </row>
    <row r="67" spans="1:34" x14ac:dyDescent="0.2">
      <c r="A67" s="102">
        <v>9</v>
      </c>
      <c r="B67">
        <v>4182</v>
      </c>
      <c r="C67" s="106" t="s">
        <v>88</v>
      </c>
      <c r="D67" s="106" t="s">
        <v>62</v>
      </c>
      <c r="E67">
        <v>1702</v>
      </c>
      <c r="F67">
        <v>1691</v>
      </c>
      <c r="G67">
        <v>600</v>
      </c>
      <c r="H67" s="106" t="s">
        <v>61</v>
      </c>
      <c r="I67">
        <v>5991</v>
      </c>
      <c r="J67" s="106" t="s">
        <v>115</v>
      </c>
      <c r="K67" s="106" t="s">
        <v>116</v>
      </c>
      <c r="L67">
        <v>1023</v>
      </c>
      <c r="M67">
        <v>1030</v>
      </c>
      <c r="N67">
        <v>1000</v>
      </c>
      <c r="O67" s="106" t="s">
        <v>63</v>
      </c>
      <c r="P67">
        <v>0.96613538094560403</v>
      </c>
      <c r="Q67">
        <v>0.959736677184029</v>
      </c>
      <c r="R67">
        <v>8.32651564905805E-3</v>
      </c>
      <c r="S67">
        <v>0.23336147164583099</v>
      </c>
      <c r="T67">
        <v>-2.0302082768523899</v>
      </c>
      <c r="U67">
        <v>2.0302082768523899</v>
      </c>
      <c r="V67">
        <v>-4.6900000000000004</v>
      </c>
      <c r="W67">
        <v>1.52</v>
      </c>
      <c r="X67">
        <v>196981</v>
      </c>
      <c r="Y67">
        <v>10367</v>
      </c>
      <c r="Z67">
        <v>0.49</v>
      </c>
      <c r="AA67">
        <v>19</v>
      </c>
      <c r="AB67">
        <v>11</v>
      </c>
      <c r="AC67">
        <v>8</v>
      </c>
      <c r="AD67">
        <v>57.89</v>
      </c>
      <c r="AE67">
        <v>12</v>
      </c>
      <c r="AF67">
        <v>7</v>
      </c>
      <c r="AG67">
        <v>3</v>
      </c>
      <c r="AH67">
        <v>9</v>
      </c>
    </row>
    <row r="68" spans="1:34" x14ac:dyDescent="0.2">
      <c r="A68" s="102">
        <v>26</v>
      </c>
      <c r="B68">
        <v>2379</v>
      </c>
      <c r="C68" s="106" t="s">
        <v>840</v>
      </c>
      <c r="D68" s="106" t="s">
        <v>120</v>
      </c>
      <c r="E68">
        <v>3260</v>
      </c>
      <c r="F68">
        <v>3240</v>
      </c>
      <c r="G68">
        <v>300</v>
      </c>
      <c r="H68" s="106" t="s">
        <v>63</v>
      </c>
      <c r="I68">
        <v>9437</v>
      </c>
      <c r="J68" s="106" t="s">
        <v>841</v>
      </c>
      <c r="K68" s="106" t="s">
        <v>79</v>
      </c>
      <c r="L68">
        <v>3070</v>
      </c>
      <c r="M68">
        <v>3048</v>
      </c>
      <c r="N68">
        <v>300</v>
      </c>
      <c r="O68" s="106" t="s">
        <v>61</v>
      </c>
      <c r="P68">
        <v>0.906180834759575</v>
      </c>
      <c r="Q68">
        <v>0.948793696274565</v>
      </c>
      <c r="R68">
        <v>0.116832685429291</v>
      </c>
      <c r="S68">
        <v>3.3492216413653603E-2</v>
      </c>
      <c r="T68">
        <v>1.2446170638932099</v>
      </c>
      <c r="U68">
        <v>1.2446170638932099</v>
      </c>
      <c r="V68">
        <v>7.32</v>
      </c>
      <c r="W68">
        <v>5.93</v>
      </c>
      <c r="X68">
        <v>196308</v>
      </c>
      <c r="Y68">
        <v>9348</v>
      </c>
      <c r="Z68">
        <v>0.5</v>
      </c>
      <c r="AA68">
        <v>21</v>
      </c>
      <c r="AB68">
        <v>11</v>
      </c>
      <c r="AC68">
        <v>10</v>
      </c>
      <c r="AD68">
        <v>52.38</v>
      </c>
      <c r="AE68">
        <v>10</v>
      </c>
      <c r="AF68">
        <v>8</v>
      </c>
      <c r="AG68">
        <v>6</v>
      </c>
      <c r="AH68">
        <v>7</v>
      </c>
    </row>
    <row r="69" spans="1:34" x14ac:dyDescent="0.2">
      <c r="A69" s="102">
        <v>184</v>
      </c>
      <c r="B69">
        <v>8002</v>
      </c>
      <c r="C69" s="106" t="s">
        <v>31</v>
      </c>
      <c r="D69" s="106" t="s">
        <v>101</v>
      </c>
      <c r="E69">
        <v>819.4</v>
      </c>
      <c r="F69">
        <v>816</v>
      </c>
      <c r="G69">
        <v>800</v>
      </c>
      <c r="H69" s="106" t="s">
        <v>63</v>
      </c>
      <c r="I69">
        <v>9062</v>
      </c>
      <c r="J69" s="106" t="s">
        <v>785</v>
      </c>
      <c r="K69" s="106" t="s">
        <v>119</v>
      </c>
      <c r="L69">
        <v>6510</v>
      </c>
      <c r="M69">
        <v>6510</v>
      </c>
      <c r="N69">
        <v>100</v>
      </c>
      <c r="O69" s="106" t="s">
        <v>61</v>
      </c>
      <c r="P69">
        <v>0.92833800417062995</v>
      </c>
      <c r="Q69">
        <v>0.90409212514196302</v>
      </c>
      <c r="R69" s="106">
        <v>0.29407670514062101</v>
      </c>
      <c r="S69" s="106">
        <v>4.8055932766129503E-2</v>
      </c>
      <c r="T69">
        <v>8.4451130277691605E-2</v>
      </c>
      <c r="U69">
        <v>8.4451130277691605E-2</v>
      </c>
      <c r="V69">
        <v>0.36</v>
      </c>
      <c r="W69">
        <v>0.28000000000000003</v>
      </c>
      <c r="X69">
        <v>187241</v>
      </c>
      <c r="Y69">
        <v>9362</v>
      </c>
      <c r="Z69">
        <v>0.65</v>
      </c>
      <c r="AA69">
        <v>20</v>
      </c>
      <c r="AB69">
        <v>12</v>
      </c>
      <c r="AC69">
        <v>8</v>
      </c>
      <c r="AD69">
        <v>60</v>
      </c>
      <c r="AE69">
        <v>12</v>
      </c>
      <c r="AF69">
        <v>8</v>
      </c>
      <c r="AG69">
        <v>5</v>
      </c>
      <c r="AH69">
        <v>7</v>
      </c>
    </row>
    <row r="70" spans="1:34" x14ac:dyDescent="0.2">
      <c r="A70" s="102">
        <v>18</v>
      </c>
      <c r="B70">
        <v>7203</v>
      </c>
      <c r="C70" s="106" t="s">
        <v>325</v>
      </c>
      <c r="D70" s="106" t="s">
        <v>84</v>
      </c>
      <c r="E70">
        <v>7830</v>
      </c>
      <c r="F70">
        <v>7744</v>
      </c>
      <c r="G70">
        <v>100</v>
      </c>
      <c r="H70" s="106" t="s">
        <v>61</v>
      </c>
      <c r="I70">
        <v>8593</v>
      </c>
      <c r="J70" s="106" t="s">
        <v>308</v>
      </c>
      <c r="K70" s="106" t="s">
        <v>296</v>
      </c>
      <c r="L70">
        <v>721</v>
      </c>
      <c r="M70">
        <v>724</v>
      </c>
      <c r="N70">
        <v>1100</v>
      </c>
      <c r="O70" s="106" t="s">
        <v>63</v>
      </c>
      <c r="P70">
        <v>0.90685397847690996</v>
      </c>
      <c r="Q70">
        <v>0.95339095404465102</v>
      </c>
      <c r="R70" s="106">
        <v>0.10644188118736</v>
      </c>
      <c r="S70" s="15">
        <v>6.7878504182624299E-4</v>
      </c>
      <c r="T70">
        <v>-1.81407406397296</v>
      </c>
      <c r="U70">
        <v>1.81407406397296</v>
      </c>
      <c r="V70">
        <v>-5.38</v>
      </c>
      <c r="W70">
        <v>2.84</v>
      </c>
      <c r="X70">
        <v>184460</v>
      </c>
      <c r="Y70">
        <v>13176</v>
      </c>
      <c r="Z70">
        <v>0.95</v>
      </c>
      <c r="AA70">
        <v>14</v>
      </c>
      <c r="AB70">
        <v>10</v>
      </c>
      <c r="AC70">
        <v>4</v>
      </c>
      <c r="AD70">
        <v>71.430000000000007</v>
      </c>
      <c r="AE70">
        <v>14</v>
      </c>
      <c r="AF70">
        <v>5</v>
      </c>
      <c r="AG70">
        <v>1</v>
      </c>
      <c r="AH70">
        <v>8</v>
      </c>
    </row>
    <row r="71" spans="1:34" x14ac:dyDescent="0.2">
      <c r="A71" s="102">
        <v>183</v>
      </c>
      <c r="B71">
        <v>4208</v>
      </c>
      <c r="C71" s="106" t="s">
        <v>98</v>
      </c>
      <c r="D71" s="106" t="s">
        <v>62</v>
      </c>
      <c r="E71">
        <v>2450</v>
      </c>
      <c r="F71">
        <v>2432</v>
      </c>
      <c r="G71">
        <v>400</v>
      </c>
      <c r="H71" s="106" t="s">
        <v>63</v>
      </c>
      <c r="I71">
        <v>6472</v>
      </c>
      <c r="J71" s="106" t="s">
        <v>133</v>
      </c>
      <c r="K71" s="106" t="s">
        <v>99</v>
      </c>
      <c r="L71">
        <v>347</v>
      </c>
      <c r="M71">
        <v>350</v>
      </c>
      <c r="N71">
        <v>2800</v>
      </c>
      <c r="O71" s="106" t="s">
        <v>61</v>
      </c>
      <c r="P71">
        <v>0.90828919693517196</v>
      </c>
      <c r="Q71">
        <v>0.90490512773647602</v>
      </c>
      <c r="R71">
        <v>4.9268873028413202E-3</v>
      </c>
      <c r="S71" s="15">
        <v>8.2416573238403706E-2</v>
      </c>
      <c r="T71">
        <v>0.38068967762198902</v>
      </c>
      <c r="U71">
        <v>0.38068967762198902</v>
      </c>
      <c r="V71">
        <v>0.75</v>
      </c>
      <c r="W71">
        <v>0.74</v>
      </c>
      <c r="X71">
        <v>180416</v>
      </c>
      <c r="Y71">
        <v>9021</v>
      </c>
      <c r="Z71">
        <v>0.48</v>
      </c>
      <c r="AA71">
        <v>20</v>
      </c>
      <c r="AB71">
        <v>13</v>
      </c>
      <c r="AC71">
        <v>7</v>
      </c>
      <c r="AD71">
        <v>65</v>
      </c>
      <c r="AE71">
        <v>13</v>
      </c>
      <c r="AF71">
        <v>7</v>
      </c>
      <c r="AG71">
        <v>5</v>
      </c>
      <c r="AH71">
        <v>8</v>
      </c>
    </row>
    <row r="72" spans="1:34" x14ac:dyDescent="0.2">
      <c r="A72" s="102">
        <v>166</v>
      </c>
      <c r="B72">
        <v>7167</v>
      </c>
      <c r="C72" s="106" t="s">
        <v>100</v>
      </c>
      <c r="D72" s="106" t="s">
        <v>82</v>
      </c>
      <c r="E72">
        <v>280</v>
      </c>
      <c r="F72">
        <v>282</v>
      </c>
      <c r="G72">
        <v>3700</v>
      </c>
      <c r="H72" s="106" t="s">
        <v>61</v>
      </c>
      <c r="I72">
        <v>7189</v>
      </c>
      <c r="J72" s="106" t="s">
        <v>81</v>
      </c>
      <c r="K72" s="106" t="s">
        <v>82</v>
      </c>
      <c r="L72">
        <v>869</v>
      </c>
      <c r="M72">
        <v>879</v>
      </c>
      <c r="N72">
        <v>1200</v>
      </c>
      <c r="O72" s="106" t="s">
        <v>63</v>
      </c>
      <c r="P72">
        <v>0.91181204169028496</v>
      </c>
      <c r="Q72">
        <v>0.91025795516625196</v>
      </c>
      <c r="R72">
        <v>0.172660785784673</v>
      </c>
      <c r="S72" s="15">
        <v>0.125245187822844</v>
      </c>
      <c r="T72">
        <v>-1.54086623586676</v>
      </c>
      <c r="U72">
        <v>1.54086623586676</v>
      </c>
      <c r="V72">
        <v>-7.12</v>
      </c>
      <c r="W72">
        <v>1.08</v>
      </c>
      <c r="X72">
        <v>179261</v>
      </c>
      <c r="Y72">
        <v>9435</v>
      </c>
      <c r="Z72">
        <v>0.45</v>
      </c>
      <c r="AA72">
        <v>19</v>
      </c>
      <c r="AB72">
        <v>11</v>
      </c>
      <c r="AC72">
        <v>8</v>
      </c>
      <c r="AD72">
        <v>57.89</v>
      </c>
      <c r="AE72">
        <v>15</v>
      </c>
      <c r="AF72">
        <v>6</v>
      </c>
      <c r="AG72">
        <v>2</v>
      </c>
      <c r="AH72">
        <v>11</v>
      </c>
    </row>
    <row r="73" spans="1:34" x14ac:dyDescent="0.2">
      <c r="A73" s="102">
        <v>22</v>
      </c>
      <c r="B73">
        <v>3635</v>
      </c>
      <c r="C73" s="106" t="s">
        <v>85</v>
      </c>
      <c r="D73" s="106" t="s">
        <v>79</v>
      </c>
      <c r="E73">
        <v>2844</v>
      </c>
      <c r="F73">
        <v>2878</v>
      </c>
      <c r="G73">
        <v>300</v>
      </c>
      <c r="H73" s="106" t="s">
        <v>63</v>
      </c>
      <c r="I73">
        <v>4519</v>
      </c>
      <c r="J73" s="106" t="s">
        <v>783</v>
      </c>
      <c r="K73" s="106" t="s">
        <v>135</v>
      </c>
      <c r="L73">
        <v>10000</v>
      </c>
      <c r="M73">
        <v>9960</v>
      </c>
      <c r="N73">
        <v>100</v>
      </c>
      <c r="O73" s="106" t="s">
        <v>61</v>
      </c>
      <c r="P73">
        <v>0.95730735987290405</v>
      </c>
      <c r="Q73">
        <v>0.95100474643736399</v>
      </c>
      <c r="R73" s="15">
        <v>3.6282828973447499E-5</v>
      </c>
      <c r="S73">
        <v>1.2551701862289801E-2</v>
      </c>
      <c r="T73">
        <v>1.04728756036507</v>
      </c>
      <c r="U73">
        <v>1.04728756036507</v>
      </c>
      <c r="V73">
        <v>3.26</v>
      </c>
      <c r="W73">
        <v>13.31</v>
      </c>
      <c r="X73">
        <v>177510</v>
      </c>
      <c r="Y73">
        <v>12679</v>
      </c>
      <c r="Z73">
        <v>1.08</v>
      </c>
      <c r="AA73">
        <v>14</v>
      </c>
      <c r="AB73">
        <v>8</v>
      </c>
      <c r="AC73">
        <v>6</v>
      </c>
      <c r="AD73">
        <v>57.14</v>
      </c>
      <c r="AE73">
        <v>11</v>
      </c>
      <c r="AF73">
        <v>8</v>
      </c>
      <c r="AG73">
        <v>2</v>
      </c>
      <c r="AH73">
        <v>4</v>
      </c>
    </row>
    <row r="74" spans="1:34" x14ac:dyDescent="0.2">
      <c r="A74" s="102">
        <v>6</v>
      </c>
      <c r="B74">
        <v>8425</v>
      </c>
      <c r="C74" s="106" t="s">
        <v>315</v>
      </c>
      <c r="D74" s="106" t="s">
        <v>296</v>
      </c>
      <c r="E74">
        <v>3445</v>
      </c>
      <c r="F74">
        <v>3460</v>
      </c>
      <c r="G74">
        <v>300</v>
      </c>
      <c r="H74" s="106" t="s">
        <v>63</v>
      </c>
      <c r="I74">
        <v>8593</v>
      </c>
      <c r="J74" s="106" t="s">
        <v>308</v>
      </c>
      <c r="K74" s="106" t="s">
        <v>296</v>
      </c>
      <c r="L74">
        <v>721</v>
      </c>
      <c r="M74">
        <v>724</v>
      </c>
      <c r="N74">
        <v>1400</v>
      </c>
      <c r="O74" s="106" t="s">
        <v>61</v>
      </c>
      <c r="P74">
        <v>0.90184101713857501</v>
      </c>
      <c r="Q74">
        <v>0.96305129267274203</v>
      </c>
      <c r="R74" s="15">
        <v>7.1247529370206605E-2</v>
      </c>
      <c r="S74" s="15">
        <v>1.5462201428185201E-3</v>
      </c>
      <c r="T74">
        <v>1.5874689577424299</v>
      </c>
      <c r="U74">
        <v>1.5874689577424299</v>
      </c>
      <c r="V74">
        <v>3.09</v>
      </c>
      <c r="W74">
        <v>2.35</v>
      </c>
      <c r="X74">
        <v>175709</v>
      </c>
      <c r="Y74">
        <v>12551</v>
      </c>
      <c r="Z74">
        <v>0.59</v>
      </c>
      <c r="AA74">
        <v>14</v>
      </c>
      <c r="AB74">
        <v>9</v>
      </c>
      <c r="AC74">
        <v>5</v>
      </c>
      <c r="AD74">
        <v>64.290000000000006</v>
      </c>
      <c r="AE74">
        <v>13</v>
      </c>
      <c r="AF74">
        <v>6</v>
      </c>
      <c r="AG74">
        <v>3</v>
      </c>
      <c r="AH74">
        <v>5</v>
      </c>
    </row>
    <row r="75" spans="1:34" x14ac:dyDescent="0.2">
      <c r="A75" s="102">
        <v>49</v>
      </c>
      <c r="B75">
        <v>5901</v>
      </c>
      <c r="C75" s="106" t="s">
        <v>318</v>
      </c>
      <c r="D75" s="106" t="s">
        <v>116</v>
      </c>
      <c r="E75">
        <v>1945</v>
      </c>
      <c r="F75">
        <v>1909</v>
      </c>
      <c r="G75">
        <v>500</v>
      </c>
      <c r="H75" s="106" t="s">
        <v>61</v>
      </c>
      <c r="I75">
        <v>8377</v>
      </c>
      <c r="J75" s="106" t="s">
        <v>94</v>
      </c>
      <c r="K75" s="106" t="s">
        <v>82</v>
      </c>
      <c r="L75">
        <v>1149</v>
      </c>
      <c r="M75">
        <v>1160</v>
      </c>
      <c r="N75">
        <v>800</v>
      </c>
      <c r="O75" s="106" t="s">
        <v>63</v>
      </c>
      <c r="P75">
        <v>0.94489594518888298</v>
      </c>
      <c r="Q75">
        <v>0.93982382489730099</v>
      </c>
      <c r="R75">
        <v>1.72065716825082E-3</v>
      </c>
      <c r="S75" s="106">
        <v>1.3906816043901999E-3</v>
      </c>
      <c r="T75">
        <v>-0.44588706718730903</v>
      </c>
      <c r="U75">
        <v>0.44588706718730903</v>
      </c>
      <c r="V75">
        <v>-1.31</v>
      </c>
      <c r="W75">
        <v>2.78</v>
      </c>
      <c r="X75">
        <v>160862</v>
      </c>
      <c r="Y75">
        <v>7312</v>
      </c>
      <c r="Z75">
        <v>0.31</v>
      </c>
      <c r="AA75">
        <v>22</v>
      </c>
      <c r="AB75">
        <v>14</v>
      </c>
      <c r="AC75">
        <v>8</v>
      </c>
      <c r="AD75">
        <v>63.64</v>
      </c>
      <c r="AE75">
        <v>14</v>
      </c>
      <c r="AF75">
        <v>9</v>
      </c>
      <c r="AG75">
        <v>6</v>
      </c>
      <c r="AH75">
        <v>7</v>
      </c>
    </row>
    <row r="76" spans="1:34" x14ac:dyDescent="0.2">
      <c r="A76" s="102">
        <v>14</v>
      </c>
      <c r="B76">
        <v>2175</v>
      </c>
      <c r="C76" s="106" t="s">
        <v>323</v>
      </c>
      <c r="D76" s="106" t="s">
        <v>120</v>
      </c>
      <c r="E76">
        <v>2995</v>
      </c>
      <c r="F76">
        <v>3010</v>
      </c>
      <c r="G76">
        <v>400</v>
      </c>
      <c r="H76" s="106" t="s">
        <v>63</v>
      </c>
      <c r="I76">
        <v>9759</v>
      </c>
      <c r="J76" s="106" t="s">
        <v>839</v>
      </c>
      <c r="K76" s="106" t="s">
        <v>79</v>
      </c>
      <c r="L76">
        <v>3630</v>
      </c>
      <c r="M76">
        <v>3595</v>
      </c>
      <c r="N76">
        <v>300</v>
      </c>
      <c r="O76" s="106" t="s">
        <v>61</v>
      </c>
      <c r="P76">
        <v>0.901267050499721</v>
      </c>
      <c r="Q76">
        <v>0.95565866158620005</v>
      </c>
      <c r="R76">
        <v>0.24006782185629699</v>
      </c>
      <c r="S76">
        <v>7.0924529027574304E-3</v>
      </c>
      <c r="T76">
        <v>3.63254417705366E-2</v>
      </c>
      <c r="U76">
        <v>3.63254417705366E-2</v>
      </c>
      <c r="V76">
        <v>0.11</v>
      </c>
      <c r="W76">
        <v>11.64</v>
      </c>
      <c r="X76">
        <v>158528</v>
      </c>
      <c r="Y76">
        <v>14412</v>
      </c>
      <c r="Z76">
        <v>0.81</v>
      </c>
      <c r="AA76">
        <v>11</v>
      </c>
      <c r="AB76">
        <v>7</v>
      </c>
      <c r="AC76">
        <v>4</v>
      </c>
      <c r="AD76">
        <v>63.64</v>
      </c>
      <c r="AE76">
        <v>11</v>
      </c>
      <c r="AF76">
        <v>6</v>
      </c>
      <c r="AG76">
        <v>3</v>
      </c>
      <c r="AH76">
        <v>2</v>
      </c>
    </row>
    <row r="77" spans="1:34" x14ac:dyDescent="0.2">
      <c r="A77" s="102">
        <v>168</v>
      </c>
      <c r="B77">
        <v>1820</v>
      </c>
      <c r="C77" s="106" t="s">
        <v>121</v>
      </c>
      <c r="D77" s="106" t="s">
        <v>78</v>
      </c>
      <c r="E77">
        <v>2476</v>
      </c>
      <c r="F77">
        <v>2480</v>
      </c>
      <c r="G77">
        <v>400</v>
      </c>
      <c r="H77" s="106" t="s">
        <v>63</v>
      </c>
      <c r="I77">
        <v>9072</v>
      </c>
      <c r="J77" s="106" t="s">
        <v>125</v>
      </c>
      <c r="K77" s="106" t="s">
        <v>119</v>
      </c>
      <c r="L77">
        <v>2753</v>
      </c>
      <c r="M77">
        <v>2749</v>
      </c>
      <c r="N77">
        <v>400</v>
      </c>
      <c r="O77" s="106" t="s">
        <v>61</v>
      </c>
      <c r="P77">
        <v>0.95160934748830905</v>
      </c>
      <c r="Q77">
        <v>0.90992899740936395</v>
      </c>
      <c r="R77">
        <v>4.2160185615807297E-2</v>
      </c>
      <c r="S77" s="15">
        <v>7.6060015211732897E-3</v>
      </c>
      <c r="T77">
        <v>1.2269050908400401</v>
      </c>
      <c r="U77">
        <v>1.2269050908400401</v>
      </c>
      <c r="V77">
        <v>6.05</v>
      </c>
      <c r="W77">
        <v>9.7899999999999991</v>
      </c>
      <c r="X77">
        <v>153371</v>
      </c>
      <c r="Y77">
        <v>10955</v>
      </c>
      <c r="Z77">
        <v>0.57999999999999996</v>
      </c>
      <c r="AA77">
        <v>14</v>
      </c>
      <c r="AB77">
        <v>8</v>
      </c>
      <c r="AC77">
        <v>6</v>
      </c>
      <c r="AD77">
        <v>57.14</v>
      </c>
      <c r="AE77">
        <v>16</v>
      </c>
      <c r="AF77">
        <v>5</v>
      </c>
      <c r="AG77">
        <v>1</v>
      </c>
      <c r="AH77">
        <v>8</v>
      </c>
    </row>
    <row r="78" spans="1:34" x14ac:dyDescent="0.2">
      <c r="A78" s="102">
        <v>186</v>
      </c>
      <c r="B78">
        <v>3101</v>
      </c>
      <c r="C78" s="106" t="s">
        <v>1020</v>
      </c>
      <c r="D78" s="106" t="s">
        <v>1021</v>
      </c>
      <c r="E78">
        <v>1636</v>
      </c>
      <c r="F78">
        <v>1631</v>
      </c>
      <c r="G78">
        <v>600</v>
      </c>
      <c r="H78" s="106" t="s">
        <v>61</v>
      </c>
      <c r="I78">
        <v>8410</v>
      </c>
      <c r="J78" s="106" t="s">
        <v>1022</v>
      </c>
      <c r="K78" s="106" t="s">
        <v>82</v>
      </c>
      <c r="L78">
        <v>355</v>
      </c>
      <c r="M78">
        <v>360</v>
      </c>
      <c r="N78">
        <v>2700</v>
      </c>
      <c r="O78" s="106" t="s">
        <v>63</v>
      </c>
      <c r="P78">
        <v>0.90786369187842397</v>
      </c>
      <c r="Q78">
        <v>0.90301351668319596</v>
      </c>
      <c r="R78">
        <v>0.11996795835025301</v>
      </c>
      <c r="S78" s="15">
        <v>7.53702821047796E-3</v>
      </c>
      <c r="T78">
        <v>-1.6566859857181</v>
      </c>
      <c r="U78">
        <v>1.6566859857181</v>
      </c>
      <c r="V78">
        <v>-4.99</v>
      </c>
      <c r="W78">
        <v>0.67</v>
      </c>
      <c r="X78">
        <v>152834</v>
      </c>
      <c r="Y78">
        <v>7642</v>
      </c>
      <c r="Z78">
        <v>0.4</v>
      </c>
      <c r="AA78">
        <v>20</v>
      </c>
      <c r="AB78">
        <v>13</v>
      </c>
      <c r="AC78">
        <v>7</v>
      </c>
      <c r="AD78">
        <v>65</v>
      </c>
      <c r="AE78">
        <v>13</v>
      </c>
      <c r="AF78">
        <v>9</v>
      </c>
      <c r="AG78">
        <v>4</v>
      </c>
      <c r="AH78">
        <v>7</v>
      </c>
    </row>
    <row r="79" spans="1:34" x14ac:dyDescent="0.2">
      <c r="A79" s="102">
        <v>165</v>
      </c>
      <c r="B79">
        <v>6674</v>
      </c>
      <c r="C79" s="106" t="s">
        <v>326</v>
      </c>
      <c r="D79" s="106" t="s">
        <v>87</v>
      </c>
      <c r="E79">
        <v>2414</v>
      </c>
      <c r="F79">
        <v>2409</v>
      </c>
      <c r="G79">
        <v>400</v>
      </c>
      <c r="H79" s="106" t="s">
        <v>63</v>
      </c>
      <c r="I79">
        <v>6752</v>
      </c>
      <c r="J79" s="106" t="s">
        <v>105</v>
      </c>
      <c r="K79" s="106" t="s">
        <v>87</v>
      </c>
      <c r="L79">
        <v>1020</v>
      </c>
      <c r="M79">
        <v>1016.5</v>
      </c>
      <c r="N79">
        <v>900</v>
      </c>
      <c r="O79" s="106" t="s">
        <v>61</v>
      </c>
      <c r="P79">
        <v>0.94846643383808604</v>
      </c>
      <c r="Q79">
        <v>0.91033580432399097</v>
      </c>
      <c r="R79" s="106">
        <v>2.2374125902534799E-2</v>
      </c>
      <c r="S79">
        <v>0.24848615331342899</v>
      </c>
      <c r="T79">
        <v>2.3544342352007899</v>
      </c>
      <c r="U79">
        <v>2.3544342352007899</v>
      </c>
      <c r="V79">
        <v>8.2200000000000006</v>
      </c>
      <c r="W79">
        <v>5.0599999999999996</v>
      </c>
      <c r="X79">
        <v>150976</v>
      </c>
      <c r="Y79">
        <v>10065</v>
      </c>
      <c r="Z79">
        <v>0.62</v>
      </c>
      <c r="AA79">
        <v>15</v>
      </c>
      <c r="AB79">
        <v>9</v>
      </c>
      <c r="AC79">
        <v>6</v>
      </c>
      <c r="AD79">
        <v>60</v>
      </c>
      <c r="AE79">
        <v>13</v>
      </c>
      <c r="AF79">
        <v>5</v>
      </c>
      <c r="AG79">
        <v>2</v>
      </c>
      <c r="AH79">
        <v>8</v>
      </c>
    </row>
    <row r="80" spans="1:34" x14ac:dyDescent="0.2">
      <c r="A80" s="102">
        <v>95</v>
      </c>
      <c r="B80">
        <v>2379</v>
      </c>
      <c r="C80" s="106" t="s">
        <v>840</v>
      </c>
      <c r="D80" s="106" t="s">
        <v>120</v>
      </c>
      <c r="E80">
        <v>3260</v>
      </c>
      <c r="F80">
        <v>3240</v>
      </c>
      <c r="G80">
        <v>300</v>
      </c>
      <c r="H80" s="106" t="s">
        <v>63</v>
      </c>
      <c r="I80">
        <v>8593</v>
      </c>
      <c r="J80" s="106" t="s">
        <v>308</v>
      </c>
      <c r="K80" s="106" t="s">
        <v>296</v>
      </c>
      <c r="L80">
        <v>721</v>
      </c>
      <c r="M80">
        <v>724</v>
      </c>
      <c r="N80">
        <v>1300</v>
      </c>
      <c r="O80" s="106" t="s">
        <v>61</v>
      </c>
      <c r="P80">
        <v>0.93969254445869399</v>
      </c>
      <c r="Q80">
        <v>0.928488016430986</v>
      </c>
      <c r="R80">
        <v>2.2123359034271799E-2</v>
      </c>
      <c r="S80" s="15">
        <v>8.0081582819876901E-2</v>
      </c>
      <c r="T80">
        <v>0.81686137999716701</v>
      </c>
      <c r="U80">
        <v>0.81686137999716701</v>
      </c>
      <c r="V80">
        <v>3.92</v>
      </c>
      <c r="W80">
        <v>3.17</v>
      </c>
      <c r="X80">
        <v>147299</v>
      </c>
      <c r="Y80">
        <v>6137</v>
      </c>
      <c r="Z80">
        <v>0.4</v>
      </c>
      <c r="AA80">
        <v>24</v>
      </c>
      <c r="AB80">
        <v>14</v>
      </c>
      <c r="AC80">
        <v>10</v>
      </c>
      <c r="AD80">
        <v>58.33</v>
      </c>
      <c r="AE80">
        <v>9</v>
      </c>
      <c r="AF80">
        <v>13</v>
      </c>
      <c r="AG80">
        <v>9</v>
      </c>
      <c r="AH80">
        <v>2</v>
      </c>
    </row>
    <row r="81" spans="1:34" x14ac:dyDescent="0.2">
      <c r="A81" s="102">
        <v>146</v>
      </c>
      <c r="B81">
        <v>1973</v>
      </c>
      <c r="C81" s="106" t="s">
        <v>307</v>
      </c>
      <c r="D81" s="106" t="s">
        <v>79</v>
      </c>
      <c r="E81">
        <v>3560</v>
      </c>
      <c r="F81">
        <v>3580</v>
      </c>
      <c r="G81">
        <v>300</v>
      </c>
      <c r="H81" s="106" t="s">
        <v>61</v>
      </c>
      <c r="I81">
        <v>6807</v>
      </c>
      <c r="J81" s="106" t="s">
        <v>331</v>
      </c>
      <c r="K81" s="106" t="s">
        <v>87</v>
      </c>
      <c r="L81">
        <v>2270</v>
      </c>
      <c r="M81">
        <v>2291</v>
      </c>
      <c r="N81">
        <v>500</v>
      </c>
      <c r="O81" s="106" t="s">
        <v>63</v>
      </c>
      <c r="P81">
        <v>0.97068196919674199</v>
      </c>
      <c r="Q81">
        <v>0.91573104790083004</v>
      </c>
      <c r="R81" s="106">
        <v>2.95279904025442E-2</v>
      </c>
      <c r="S81" s="15">
        <v>0.104614184954367</v>
      </c>
      <c r="T81">
        <v>-1.29704804392308</v>
      </c>
      <c r="U81">
        <v>1.29704804392308</v>
      </c>
      <c r="V81">
        <v>-11.15</v>
      </c>
      <c r="W81">
        <v>6.66</v>
      </c>
      <c r="X81">
        <v>145871</v>
      </c>
      <c r="Y81">
        <v>7294</v>
      </c>
      <c r="Z81">
        <v>0.31</v>
      </c>
      <c r="AA81">
        <v>20</v>
      </c>
      <c r="AB81">
        <v>13</v>
      </c>
      <c r="AC81">
        <v>7</v>
      </c>
      <c r="AD81">
        <v>65</v>
      </c>
      <c r="AE81">
        <v>12</v>
      </c>
      <c r="AF81">
        <v>8</v>
      </c>
      <c r="AG81">
        <v>6</v>
      </c>
      <c r="AH81">
        <v>6</v>
      </c>
    </row>
    <row r="82" spans="1:34" x14ac:dyDescent="0.2">
      <c r="A82" s="102">
        <v>28</v>
      </c>
      <c r="B82">
        <v>4182</v>
      </c>
      <c r="C82" s="106" t="s">
        <v>88</v>
      </c>
      <c r="D82" s="106" t="s">
        <v>62</v>
      </c>
      <c r="E82">
        <v>1702</v>
      </c>
      <c r="F82">
        <v>1691</v>
      </c>
      <c r="G82">
        <v>600</v>
      </c>
      <c r="H82" s="106" t="s">
        <v>63</v>
      </c>
      <c r="I82">
        <v>6752</v>
      </c>
      <c r="J82" s="106" t="s">
        <v>105</v>
      </c>
      <c r="K82" s="106" t="s">
        <v>87</v>
      </c>
      <c r="L82">
        <v>1020</v>
      </c>
      <c r="M82">
        <v>1016.5</v>
      </c>
      <c r="N82">
        <v>1000</v>
      </c>
      <c r="O82" s="106" t="s">
        <v>61</v>
      </c>
      <c r="P82">
        <v>0.95127065131051103</v>
      </c>
      <c r="Q82">
        <v>0.94851094595063001</v>
      </c>
      <c r="R82">
        <v>2.32686206832514E-2</v>
      </c>
      <c r="S82" s="15">
        <v>1.94269036482328E-2</v>
      </c>
      <c r="T82" s="15">
        <v>0.70880043360998701</v>
      </c>
      <c r="U82" s="15">
        <v>0.70880043360998701</v>
      </c>
      <c r="V82">
        <v>1.89</v>
      </c>
      <c r="W82">
        <v>0.19</v>
      </c>
      <c r="X82">
        <v>145761</v>
      </c>
      <c r="Y82">
        <v>8098</v>
      </c>
      <c r="Z82">
        <v>0.37</v>
      </c>
      <c r="AA82">
        <v>18</v>
      </c>
      <c r="AB82">
        <v>12</v>
      </c>
      <c r="AC82">
        <v>6</v>
      </c>
      <c r="AD82">
        <v>66.67</v>
      </c>
      <c r="AE82">
        <v>13</v>
      </c>
      <c r="AF82">
        <v>7</v>
      </c>
      <c r="AG82">
        <v>4</v>
      </c>
      <c r="AH82">
        <v>7</v>
      </c>
    </row>
    <row r="83" spans="1:34" x14ac:dyDescent="0.2">
      <c r="A83" s="102">
        <v>141</v>
      </c>
      <c r="B83">
        <v>1973</v>
      </c>
      <c r="C83" s="106" t="s">
        <v>307</v>
      </c>
      <c r="D83" s="106" t="s">
        <v>79</v>
      </c>
      <c r="E83">
        <v>3560</v>
      </c>
      <c r="F83">
        <v>3580</v>
      </c>
      <c r="G83">
        <v>300</v>
      </c>
      <c r="H83" s="106" t="s">
        <v>61</v>
      </c>
      <c r="I83">
        <v>6702</v>
      </c>
      <c r="J83" s="106" t="s">
        <v>328</v>
      </c>
      <c r="K83" s="106" t="s">
        <v>87</v>
      </c>
      <c r="L83">
        <v>10255</v>
      </c>
      <c r="M83">
        <v>10410</v>
      </c>
      <c r="N83">
        <v>100</v>
      </c>
      <c r="O83" s="106" t="s">
        <v>63</v>
      </c>
      <c r="P83">
        <v>0.95553088588371704</v>
      </c>
      <c r="Q83">
        <v>0.916219425643515</v>
      </c>
      <c r="R83" s="15">
        <v>4.5888428197104002E-2</v>
      </c>
      <c r="S83">
        <v>9.7728995763018495E-2</v>
      </c>
      <c r="T83">
        <v>-0.34263921913915801</v>
      </c>
      <c r="U83">
        <v>0.34263921913915801</v>
      </c>
      <c r="V83">
        <v>-0.85</v>
      </c>
      <c r="W83">
        <v>3.17</v>
      </c>
      <c r="X83">
        <v>145482</v>
      </c>
      <c r="Y83">
        <v>10392</v>
      </c>
      <c r="Z83">
        <v>0.72</v>
      </c>
      <c r="AA83">
        <v>14</v>
      </c>
      <c r="AB83">
        <v>9</v>
      </c>
      <c r="AC83">
        <v>5</v>
      </c>
      <c r="AD83">
        <v>64.290000000000006</v>
      </c>
      <c r="AE83">
        <v>14</v>
      </c>
      <c r="AF83">
        <v>5</v>
      </c>
      <c r="AG83">
        <v>1</v>
      </c>
      <c r="AH83">
        <v>8</v>
      </c>
    </row>
    <row r="84" spans="1:34" x14ac:dyDescent="0.2">
      <c r="A84" s="102">
        <v>175</v>
      </c>
      <c r="B84">
        <v>1963</v>
      </c>
      <c r="C84" s="106" t="s">
        <v>129</v>
      </c>
      <c r="D84" s="106" t="s">
        <v>78</v>
      </c>
      <c r="E84">
        <v>1792</v>
      </c>
      <c r="F84">
        <v>1805</v>
      </c>
      <c r="G84">
        <v>600</v>
      </c>
      <c r="H84" s="106" t="s">
        <v>63</v>
      </c>
      <c r="I84">
        <v>8002</v>
      </c>
      <c r="J84" s="106" t="s">
        <v>31</v>
      </c>
      <c r="K84" s="106" t="s">
        <v>101</v>
      </c>
      <c r="L84">
        <v>819.4</v>
      </c>
      <c r="M84">
        <v>816</v>
      </c>
      <c r="N84">
        <v>1300</v>
      </c>
      <c r="O84" s="106" t="s">
        <v>61</v>
      </c>
      <c r="P84">
        <v>0.90972656940104502</v>
      </c>
      <c r="Q84">
        <v>0.90774869981944195</v>
      </c>
      <c r="R84">
        <v>0.15723134210161499</v>
      </c>
      <c r="S84" s="106">
        <v>1.0541374274070699E-3</v>
      </c>
      <c r="T84">
        <v>2.3289920568270301</v>
      </c>
      <c r="U84">
        <v>2.3289920568270301</v>
      </c>
      <c r="V84">
        <v>9.17</v>
      </c>
      <c r="W84">
        <v>2.0499999999999998</v>
      </c>
      <c r="X84">
        <v>144680</v>
      </c>
      <c r="Y84">
        <v>6576</v>
      </c>
      <c r="Z84">
        <v>0.32</v>
      </c>
      <c r="AA84">
        <v>22</v>
      </c>
      <c r="AB84">
        <v>14</v>
      </c>
      <c r="AC84">
        <v>8</v>
      </c>
      <c r="AD84">
        <v>63.64</v>
      </c>
      <c r="AE84">
        <v>13</v>
      </c>
      <c r="AF84">
        <v>8</v>
      </c>
      <c r="AG84">
        <v>6</v>
      </c>
      <c r="AH84">
        <v>8</v>
      </c>
    </row>
    <row r="85" spans="1:34" x14ac:dyDescent="0.2">
      <c r="A85" s="102">
        <v>87</v>
      </c>
      <c r="B85">
        <v>6770</v>
      </c>
      <c r="C85" s="106" t="s">
        <v>26</v>
      </c>
      <c r="D85" s="106" t="s">
        <v>87</v>
      </c>
      <c r="E85">
        <v>2515</v>
      </c>
      <c r="F85">
        <v>2522</v>
      </c>
      <c r="G85">
        <v>400</v>
      </c>
      <c r="H85" s="106" t="s">
        <v>63</v>
      </c>
      <c r="I85">
        <v>6995</v>
      </c>
      <c r="J85" s="106" t="s">
        <v>91</v>
      </c>
      <c r="K85" s="106" t="s">
        <v>84</v>
      </c>
      <c r="L85">
        <v>2250</v>
      </c>
      <c r="M85">
        <v>2227</v>
      </c>
      <c r="N85">
        <v>500</v>
      </c>
      <c r="O85" s="106" t="s">
        <v>61</v>
      </c>
      <c r="P85">
        <v>0.96144824153233199</v>
      </c>
      <c r="Q85">
        <v>0.93058302465548304</v>
      </c>
      <c r="R85">
        <v>0.33193453452504001</v>
      </c>
      <c r="S85" s="15">
        <v>0.140793370529781</v>
      </c>
      <c r="T85">
        <v>0.236384660854072</v>
      </c>
      <c r="U85">
        <v>0.236384660854072</v>
      </c>
      <c r="V85">
        <v>0.67</v>
      </c>
      <c r="W85">
        <v>10.38</v>
      </c>
      <c r="X85">
        <v>142307</v>
      </c>
      <c r="Y85">
        <v>7906</v>
      </c>
      <c r="Z85">
        <v>0.35</v>
      </c>
      <c r="AA85">
        <v>18</v>
      </c>
      <c r="AB85">
        <v>10</v>
      </c>
      <c r="AC85">
        <v>8</v>
      </c>
      <c r="AD85">
        <v>55.56</v>
      </c>
      <c r="AE85">
        <v>12</v>
      </c>
      <c r="AF85">
        <v>7</v>
      </c>
      <c r="AG85">
        <v>4</v>
      </c>
      <c r="AH85">
        <v>7</v>
      </c>
    </row>
    <row r="86" spans="1:34" x14ac:dyDescent="0.2">
      <c r="A86" s="102">
        <v>180</v>
      </c>
      <c r="B86">
        <v>5802</v>
      </c>
      <c r="C86" s="106" t="s">
        <v>130</v>
      </c>
      <c r="D86" s="106" t="s">
        <v>131</v>
      </c>
      <c r="E86">
        <v>1685</v>
      </c>
      <c r="F86">
        <v>1663</v>
      </c>
      <c r="G86">
        <v>700</v>
      </c>
      <c r="H86" s="106" t="s">
        <v>63</v>
      </c>
      <c r="I86">
        <v>9072</v>
      </c>
      <c r="J86" s="106" t="s">
        <v>125</v>
      </c>
      <c r="K86" s="106" t="s">
        <v>119</v>
      </c>
      <c r="L86">
        <v>2753</v>
      </c>
      <c r="M86">
        <v>2749</v>
      </c>
      <c r="N86">
        <v>400</v>
      </c>
      <c r="O86" s="106" t="s">
        <v>61</v>
      </c>
      <c r="P86">
        <v>0.92163078395275699</v>
      </c>
      <c r="Q86">
        <v>0.90571991376536898</v>
      </c>
      <c r="R86">
        <v>0.19987349135391599</v>
      </c>
      <c r="S86" s="15">
        <v>2.8277514748300901E-3</v>
      </c>
      <c r="T86">
        <v>1.46434002981088</v>
      </c>
      <c r="U86">
        <v>1.46434002981088</v>
      </c>
      <c r="V86">
        <v>5.8</v>
      </c>
      <c r="W86">
        <v>5.87</v>
      </c>
      <c r="X86">
        <v>137504</v>
      </c>
      <c r="Y86">
        <v>6548</v>
      </c>
      <c r="Z86">
        <v>0.31</v>
      </c>
      <c r="AA86">
        <v>21</v>
      </c>
      <c r="AB86">
        <v>13</v>
      </c>
      <c r="AC86">
        <v>8</v>
      </c>
      <c r="AD86">
        <v>61.9</v>
      </c>
      <c r="AE86">
        <v>15</v>
      </c>
      <c r="AF86">
        <v>6</v>
      </c>
      <c r="AG86">
        <v>2</v>
      </c>
      <c r="AH86">
        <v>13</v>
      </c>
    </row>
    <row r="87" spans="1:34" x14ac:dyDescent="0.2">
      <c r="A87" s="102">
        <v>50</v>
      </c>
      <c r="B87">
        <v>6952</v>
      </c>
      <c r="C87" s="106" t="s">
        <v>786</v>
      </c>
      <c r="D87" s="106" t="s">
        <v>87</v>
      </c>
      <c r="E87">
        <v>2200</v>
      </c>
      <c r="F87">
        <v>2206</v>
      </c>
      <c r="G87">
        <v>400</v>
      </c>
      <c r="H87" s="106" t="s">
        <v>63</v>
      </c>
      <c r="I87">
        <v>8604</v>
      </c>
      <c r="J87" s="106" t="s">
        <v>787</v>
      </c>
      <c r="K87" s="106" t="s">
        <v>788</v>
      </c>
      <c r="L87">
        <v>562.29999999999995</v>
      </c>
      <c r="M87">
        <v>561.70000000000005</v>
      </c>
      <c r="N87">
        <v>1600</v>
      </c>
      <c r="O87" s="106" t="s">
        <v>61</v>
      </c>
      <c r="P87">
        <v>0.96624210005898403</v>
      </c>
      <c r="Q87">
        <v>0.93976141630471999</v>
      </c>
      <c r="R87">
        <v>2.1940401431896701E-2</v>
      </c>
      <c r="S87">
        <v>8.5966683681566E-2</v>
      </c>
      <c r="T87">
        <v>1.9153680870823999</v>
      </c>
      <c r="U87">
        <v>1.9153680870823999</v>
      </c>
      <c r="V87">
        <v>7.83</v>
      </c>
      <c r="W87">
        <v>1.85</v>
      </c>
      <c r="X87">
        <v>134282</v>
      </c>
      <c r="Y87">
        <v>7899</v>
      </c>
      <c r="Z87">
        <v>0.39</v>
      </c>
      <c r="AA87">
        <v>17</v>
      </c>
      <c r="AB87">
        <v>10</v>
      </c>
      <c r="AC87">
        <v>7</v>
      </c>
      <c r="AD87">
        <v>58.82</v>
      </c>
      <c r="AE87">
        <v>13</v>
      </c>
      <c r="AF87">
        <v>4</v>
      </c>
      <c r="AG87">
        <v>3</v>
      </c>
      <c r="AH87">
        <v>10</v>
      </c>
    </row>
    <row r="88" spans="1:34" x14ac:dyDescent="0.2">
      <c r="A88" s="102">
        <v>32</v>
      </c>
      <c r="B88">
        <v>3116</v>
      </c>
      <c r="C88" s="106" t="s">
        <v>124</v>
      </c>
      <c r="D88" s="106" t="s">
        <v>84</v>
      </c>
      <c r="E88">
        <v>1824</v>
      </c>
      <c r="F88">
        <v>1801</v>
      </c>
      <c r="G88">
        <v>600</v>
      </c>
      <c r="H88" s="106" t="s">
        <v>61</v>
      </c>
      <c r="I88">
        <v>5991</v>
      </c>
      <c r="J88" s="106" t="s">
        <v>115</v>
      </c>
      <c r="K88" s="106" t="s">
        <v>116</v>
      </c>
      <c r="L88">
        <v>1023</v>
      </c>
      <c r="M88">
        <v>1030</v>
      </c>
      <c r="N88">
        <v>1000</v>
      </c>
      <c r="O88" s="106" t="s">
        <v>63</v>
      </c>
      <c r="P88">
        <v>0.97674468468561704</v>
      </c>
      <c r="Q88">
        <v>0.946111194294456</v>
      </c>
      <c r="R88">
        <v>2.9935539937370401E-3</v>
      </c>
      <c r="S88" s="106">
        <v>0.12602029704471901</v>
      </c>
      <c r="T88">
        <v>-1.2734327530996199</v>
      </c>
      <c r="U88">
        <v>1.2734327530996199</v>
      </c>
      <c r="V88">
        <v>-2.78</v>
      </c>
      <c r="W88">
        <v>4.68</v>
      </c>
      <c r="X88">
        <v>130988</v>
      </c>
      <c r="Y88">
        <v>8187</v>
      </c>
      <c r="Z88">
        <v>0.46</v>
      </c>
      <c r="AA88">
        <v>16</v>
      </c>
      <c r="AB88">
        <v>10</v>
      </c>
      <c r="AC88">
        <v>6</v>
      </c>
      <c r="AD88">
        <v>62.5</v>
      </c>
      <c r="AE88">
        <v>10</v>
      </c>
      <c r="AF88">
        <v>7</v>
      </c>
      <c r="AG88">
        <v>4</v>
      </c>
      <c r="AH88">
        <v>5</v>
      </c>
    </row>
    <row r="89" spans="1:34" x14ac:dyDescent="0.2">
      <c r="A89" s="102">
        <v>162</v>
      </c>
      <c r="B89">
        <v>6995</v>
      </c>
      <c r="C89" s="106" t="s">
        <v>91</v>
      </c>
      <c r="D89" s="106" t="s">
        <v>84</v>
      </c>
      <c r="E89">
        <v>2250</v>
      </c>
      <c r="F89">
        <v>2227</v>
      </c>
      <c r="G89">
        <v>500</v>
      </c>
      <c r="H89" s="106" t="s">
        <v>61</v>
      </c>
      <c r="I89">
        <v>7251</v>
      </c>
      <c r="J89" s="106" t="s">
        <v>789</v>
      </c>
      <c r="K89" s="106" t="s">
        <v>84</v>
      </c>
      <c r="L89">
        <v>2564</v>
      </c>
      <c r="M89">
        <v>2559</v>
      </c>
      <c r="N89">
        <v>400</v>
      </c>
      <c r="O89" s="106" t="s">
        <v>63</v>
      </c>
      <c r="P89">
        <v>0.93720833208816801</v>
      </c>
      <c r="Q89">
        <v>0.91102020386181104</v>
      </c>
      <c r="R89" s="15">
        <v>0.214032112508454</v>
      </c>
      <c r="S89">
        <v>0.13977723876020501</v>
      </c>
      <c r="T89">
        <v>-0.769839060798304</v>
      </c>
      <c r="U89">
        <v>0.769839060798304</v>
      </c>
      <c r="V89">
        <v>-13.18</v>
      </c>
      <c r="W89">
        <v>8.7799999999999994</v>
      </c>
      <c r="X89">
        <v>130235</v>
      </c>
      <c r="Y89">
        <v>5920</v>
      </c>
      <c r="Z89">
        <v>0.36</v>
      </c>
      <c r="AA89">
        <v>22</v>
      </c>
      <c r="AB89">
        <v>13</v>
      </c>
      <c r="AC89">
        <v>9</v>
      </c>
      <c r="AD89">
        <v>59.09</v>
      </c>
      <c r="AE89">
        <v>13</v>
      </c>
      <c r="AF89">
        <v>8</v>
      </c>
      <c r="AG89">
        <v>5</v>
      </c>
      <c r="AH89">
        <v>9</v>
      </c>
    </row>
    <row r="90" spans="1:34" x14ac:dyDescent="0.2">
      <c r="A90" s="102">
        <v>142</v>
      </c>
      <c r="B90">
        <v>3116</v>
      </c>
      <c r="C90" s="106" t="s">
        <v>124</v>
      </c>
      <c r="D90" s="106" t="s">
        <v>84</v>
      </c>
      <c r="E90">
        <v>1824</v>
      </c>
      <c r="F90">
        <v>1801</v>
      </c>
      <c r="G90">
        <v>400</v>
      </c>
      <c r="H90" s="106" t="s">
        <v>63</v>
      </c>
      <c r="I90">
        <v>6371</v>
      </c>
      <c r="J90" s="106" t="s">
        <v>108</v>
      </c>
      <c r="K90" s="106" t="s">
        <v>99</v>
      </c>
      <c r="L90">
        <v>3925</v>
      </c>
      <c r="M90">
        <v>3965</v>
      </c>
      <c r="N90">
        <v>200</v>
      </c>
      <c r="O90" s="106" t="s">
        <v>61</v>
      </c>
      <c r="P90">
        <v>0.92809878608549001</v>
      </c>
      <c r="Q90">
        <v>0.91605971661757502</v>
      </c>
      <c r="R90">
        <v>0.198397437755194</v>
      </c>
      <c r="S90" s="15">
        <v>3.6855394261881697E-2</v>
      </c>
      <c r="T90">
        <v>0.97071587877421694</v>
      </c>
      <c r="U90">
        <v>0.97071587877421694</v>
      </c>
      <c r="V90">
        <v>2.5099999999999998</v>
      </c>
      <c r="W90">
        <v>9.16</v>
      </c>
      <c r="X90">
        <v>127732</v>
      </c>
      <c r="Y90">
        <v>7983</v>
      </c>
      <c r="Z90">
        <v>0.44</v>
      </c>
      <c r="AA90">
        <v>16</v>
      </c>
      <c r="AB90">
        <v>9</v>
      </c>
      <c r="AC90">
        <v>7</v>
      </c>
      <c r="AD90">
        <v>56.25</v>
      </c>
      <c r="AE90">
        <v>12</v>
      </c>
      <c r="AF90">
        <v>6</v>
      </c>
      <c r="AG90">
        <v>3</v>
      </c>
      <c r="AH90">
        <v>7</v>
      </c>
    </row>
    <row r="91" spans="1:34" x14ac:dyDescent="0.2">
      <c r="A91" s="102">
        <v>164</v>
      </c>
      <c r="B91">
        <v>4208</v>
      </c>
      <c r="C91" s="106" t="s">
        <v>98</v>
      </c>
      <c r="D91" s="106" t="s">
        <v>62</v>
      </c>
      <c r="E91">
        <v>2450</v>
      </c>
      <c r="F91">
        <v>2432</v>
      </c>
      <c r="G91">
        <v>500</v>
      </c>
      <c r="H91" s="106" t="s">
        <v>63</v>
      </c>
      <c r="I91">
        <v>9072</v>
      </c>
      <c r="J91" s="106" t="s">
        <v>125</v>
      </c>
      <c r="K91" s="106" t="s">
        <v>119</v>
      </c>
      <c r="L91">
        <v>2753</v>
      </c>
      <c r="M91">
        <v>2749</v>
      </c>
      <c r="N91">
        <v>400</v>
      </c>
      <c r="O91" s="106" t="s">
        <v>61</v>
      </c>
      <c r="P91">
        <v>0.91419464076204404</v>
      </c>
      <c r="Q91">
        <v>0.91039625126580903</v>
      </c>
      <c r="R91" s="15">
        <v>2.6960032150392398E-2</v>
      </c>
      <c r="S91">
        <v>2.1145557337288901E-2</v>
      </c>
      <c r="T91">
        <v>0.61194757402089495</v>
      </c>
      <c r="U91">
        <v>0.61194757402089495</v>
      </c>
      <c r="V91">
        <v>0.98</v>
      </c>
      <c r="W91">
        <v>10.59</v>
      </c>
      <c r="X91">
        <v>126426</v>
      </c>
      <c r="Y91">
        <v>11493</v>
      </c>
      <c r="Z91">
        <v>0.65</v>
      </c>
      <c r="AA91">
        <v>11</v>
      </c>
      <c r="AB91">
        <v>7</v>
      </c>
      <c r="AC91">
        <v>4</v>
      </c>
      <c r="AD91">
        <v>63.64</v>
      </c>
      <c r="AE91">
        <v>14</v>
      </c>
      <c r="AF91">
        <v>5</v>
      </c>
      <c r="AG91">
        <v>1</v>
      </c>
      <c r="AH91">
        <v>5</v>
      </c>
    </row>
    <row r="92" spans="1:34" x14ac:dyDescent="0.2">
      <c r="A92" s="102">
        <v>77</v>
      </c>
      <c r="B92">
        <v>3861</v>
      </c>
      <c r="C92" s="106" t="s">
        <v>65</v>
      </c>
      <c r="D92" s="106" t="s">
        <v>80</v>
      </c>
      <c r="E92">
        <v>618</v>
      </c>
      <c r="F92">
        <v>617</v>
      </c>
      <c r="G92">
        <v>1700</v>
      </c>
      <c r="H92" s="106" t="s">
        <v>61</v>
      </c>
      <c r="I92">
        <v>5703</v>
      </c>
      <c r="J92" s="106" t="s">
        <v>302</v>
      </c>
      <c r="K92" s="106" t="s">
        <v>131</v>
      </c>
      <c r="L92">
        <v>236</v>
      </c>
      <c r="M92">
        <v>234</v>
      </c>
      <c r="N92">
        <v>4500</v>
      </c>
      <c r="O92" s="106" t="s">
        <v>63</v>
      </c>
      <c r="P92">
        <v>0.96672540099578197</v>
      </c>
      <c r="Q92">
        <v>0.93328645619917605</v>
      </c>
      <c r="R92">
        <v>3.5111667078517102E-2</v>
      </c>
      <c r="S92">
        <v>0.120730247124473</v>
      </c>
      <c r="T92">
        <v>-0.51723966997044202</v>
      </c>
      <c r="U92">
        <v>0.51723966997044202</v>
      </c>
      <c r="V92">
        <v>-1.21</v>
      </c>
      <c r="W92">
        <v>0.39</v>
      </c>
      <c r="X92">
        <v>126217</v>
      </c>
      <c r="Y92">
        <v>5488</v>
      </c>
      <c r="Z92">
        <v>0.27</v>
      </c>
      <c r="AA92">
        <v>23</v>
      </c>
      <c r="AB92">
        <v>13</v>
      </c>
      <c r="AC92">
        <v>10</v>
      </c>
      <c r="AD92">
        <v>56.52</v>
      </c>
      <c r="AE92">
        <v>11</v>
      </c>
      <c r="AF92">
        <v>10</v>
      </c>
      <c r="AG92">
        <v>6</v>
      </c>
      <c r="AH92">
        <v>7</v>
      </c>
    </row>
    <row r="93" spans="1:34" x14ac:dyDescent="0.2">
      <c r="A93" s="102">
        <v>111</v>
      </c>
      <c r="B93">
        <v>5471</v>
      </c>
      <c r="C93" s="106" t="s">
        <v>300</v>
      </c>
      <c r="D93" s="106" t="s">
        <v>92</v>
      </c>
      <c r="E93">
        <v>4900</v>
      </c>
      <c r="F93">
        <v>4865</v>
      </c>
      <c r="G93">
        <v>100</v>
      </c>
      <c r="H93" s="106" t="s">
        <v>61</v>
      </c>
      <c r="I93">
        <v>6988</v>
      </c>
      <c r="J93" s="106" t="s">
        <v>138</v>
      </c>
      <c r="K93" s="106" t="s">
        <v>62</v>
      </c>
      <c r="L93">
        <v>6340</v>
      </c>
      <c r="M93">
        <v>6230</v>
      </c>
      <c r="N93">
        <v>100</v>
      </c>
      <c r="O93" s="106" t="s">
        <v>63</v>
      </c>
      <c r="P93">
        <v>0.93891474859170598</v>
      </c>
      <c r="Q93">
        <v>0.92271620900828299</v>
      </c>
      <c r="R93" s="106">
        <v>2.9267288888788701E-2</v>
      </c>
      <c r="S93">
        <v>0.30140882931074597</v>
      </c>
      <c r="T93">
        <v>-1.45849039839571</v>
      </c>
      <c r="U93">
        <v>1.45849039839571</v>
      </c>
      <c r="V93">
        <v>-3.64</v>
      </c>
      <c r="W93">
        <v>21.91</v>
      </c>
      <c r="X93">
        <v>114186</v>
      </c>
      <c r="Y93">
        <v>114186</v>
      </c>
      <c r="Z93">
        <v>5.01</v>
      </c>
      <c r="AA93">
        <v>1</v>
      </c>
      <c r="AB93">
        <v>1</v>
      </c>
      <c r="AC93">
        <v>0</v>
      </c>
      <c r="AD93">
        <v>100</v>
      </c>
      <c r="AE93">
        <v>2</v>
      </c>
      <c r="AF93">
        <v>1</v>
      </c>
      <c r="AG93">
        <v>0</v>
      </c>
      <c r="AH93">
        <v>0</v>
      </c>
    </row>
    <row r="94" spans="1:34" x14ac:dyDescent="0.2">
      <c r="A94" s="102">
        <v>115</v>
      </c>
      <c r="B94">
        <v>1820</v>
      </c>
      <c r="C94" s="106" t="s">
        <v>121</v>
      </c>
      <c r="D94" s="106" t="s">
        <v>78</v>
      </c>
      <c r="E94">
        <v>2476</v>
      </c>
      <c r="F94">
        <v>2480</v>
      </c>
      <c r="G94">
        <v>400</v>
      </c>
      <c r="H94" s="106" t="s">
        <v>61</v>
      </c>
      <c r="I94">
        <v>5991</v>
      </c>
      <c r="J94" s="106" t="s">
        <v>115</v>
      </c>
      <c r="K94" s="106" t="s">
        <v>116</v>
      </c>
      <c r="L94">
        <v>1023</v>
      </c>
      <c r="M94">
        <v>1030</v>
      </c>
      <c r="N94">
        <v>1000</v>
      </c>
      <c r="O94" s="106" t="s">
        <v>63</v>
      </c>
      <c r="P94">
        <v>0.97687836896728597</v>
      </c>
      <c r="Q94">
        <v>0.92168801398523803</v>
      </c>
      <c r="R94" s="15">
        <v>0.352646220781894</v>
      </c>
      <c r="S94" s="15">
        <v>7.9846561481885306E-3</v>
      </c>
      <c r="T94">
        <v>-0.88500581171269699</v>
      </c>
      <c r="U94">
        <v>0.88500581171269699</v>
      </c>
      <c r="V94">
        <v>-2.04</v>
      </c>
      <c r="W94">
        <v>3.83</v>
      </c>
      <c r="X94">
        <v>113865</v>
      </c>
      <c r="Y94">
        <v>6698</v>
      </c>
      <c r="Z94">
        <v>0.34</v>
      </c>
      <c r="AA94">
        <v>17</v>
      </c>
      <c r="AB94">
        <v>10</v>
      </c>
      <c r="AC94">
        <v>7</v>
      </c>
      <c r="AD94">
        <v>58.82</v>
      </c>
      <c r="AE94">
        <v>12</v>
      </c>
      <c r="AF94">
        <v>6</v>
      </c>
      <c r="AG94">
        <v>3</v>
      </c>
      <c r="AH94">
        <v>8</v>
      </c>
    </row>
    <row r="95" spans="1:34" x14ac:dyDescent="0.2">
      <c r="A95" s="102">
        <v>153</v>
      </c>
      <c r="B95">
        <v>6755</v>
      </c>
      <c r="C95" s="106" t="s">
        <v>980</v>
      </c>
      <c r="D95" s="106" t="s">
        <v>87</v>
      </c>
      <c r="E95">
        <v>2417</v>
      </c>
      <c r="F95">
        <v>2431</v>
      </c>
      <c r="G95">
        <v>300</v>
      </c>
      <c r="H95" s="106" t="s">
        <v>63</v>
      </c>
      <c r="I95">
        <v>8036</v>
      </c>
      <c r="J95" s="106" t="s">
        <v>317</v>
      </c>
      <c r="K95" s="106" t="s">
        <v>101</v>
      </c>
      <c r="L95">
        <v>7800</v>
      </c>
      <c r="M95">
        <v>7790</v>
      </c>
      <c r="N95">
        <v>100</v>
      </c>
      <c r="O95" s="106" t="s">
        <v>61</v>
      </c>
      <c r="P95">
        <v>0.96324161256948604</v>
      </c>
      <c r="Q95">
        <v>0.91426312449390201</v>
      </c>
      <c r="R95">
        <v>1.0063548958984101E-2</v>
      </c>
      <c r="S95" s="15">
        <v>4.3746203794887096E-3</v>
      </c>
      <c r="T95">
        <v>1.47222834743213</v>
      </c>
      <c r="U95">
        <v>1.47222834743213</v>
      </c>
      <c r="V95">
        <v>5.87</v>
      </c>
      <c r="W95">
        <v>6.38</v>
      </c>
      <c r="X95">
        <v>111584</v>
      </c>
      <c r="Y95">
        <v>6974</v>
      </c>
      <c r="Z95">
        <v>0.27</v>
      </c>
      <c r="AA95">
        <v>16</v>
      </c>
      <c r="AB95">
        <v>9</v>
      </c>
      <c r="AC95">
        <v>7</v>
      </c>
      <c r="AD95">
        <v>56.25</v>
      </c>
      <c r="AE95">
        <v>10</v>
      </c>
      <c r="AF95">
        <v>7</v>
      </c>
      <c r="AG95">
        <v>4</v>
      </c>
      <c r="AH95">
        <v>5</v>
      </c>
    </row>
    <row r="96" spans="1:34" x14ac:dyDescent="0.2">
      <c r="A96" s="102">
        <v>0</v>
      </c>
      <c r="B96">
        <v>6702</v>
      </c>
      <c r="C96" s="106" t="s">
        <v>328</v>
      </c>
      <c r="D96" s="106" t="s">
        <v>87</v>
      </c>
      <c r="E96">
        <v>10255</v>
      </c>
      <c r="F96">
        <v>10410</v>
      </c>
      <c r="G96">
        <v>100</v>
      </c>
      <c r="H96" s="106" t="s">
        <v>61</v>
      </c>
      <c r="I96">
        <v>6920</v>
      </c>
      <c r="J96" s="106" t="s">
        <v>86</v>
      </c>
      <c r="K96" s="106" t="s">
        <v>87</v>
      </c>
      <c r="L96">
        <v>10290</v>
      </c>
      <c r="M96">
        <v>10830</v>
      </c>
      <c r="N96">
        <v>100</v>
      </c>
      <c r="O96" s="106" t="s">
        <v>63</v>
      </c>
      <c r="P96">
        <v>0.92755546161689695</v>
      </c>
      <c r="Q96">
        <v>0.97631945860040004</v>
      </c>
      <c r="R96">
        <v>0.117493973824984</v>
      </c>
      <c r="S96" s="15">
        <v>6.2231862544902603E-5</v>
      </c>
      <c r="T96">
        <v>-2.0196514947342901</v>
      </c>
      <c r="U96">
        <v>2.0196514947342901</v>
      </c>
      <c r="V96">
        <v>-21.62</v>
      </c>
      <c r="W96">
        <v>3.88</v>
      </c>
      <c r="X96">
        <v>111057</v>
      </c>
      <c r="Y96">
        <v>11106</v>
      </c>
      <c r="Z96">
        <v>0.64</v>
      </c>
      <c r="AA96">
        <v>10</v>
      </c>
      <c r="AB96">
        <v>5</v>
      </c>
      <c r="AC96">
        <v>5</v>
      </c>
      <c r="AD96">
        <v>50</v>
      </c>
      <c r="AE96">
        <v>7</v>
      </c>
      <c r="AF96">
        <v>5</v>
      </c>
      <c r="AG96">
        <v>4</v>
      </c>
      <c r="AH96">
        <v>1</v>
      </c>
    </row>
    <row r="97" spans="1:34" x14ac:dyDescent="0.2">
      <c r="A97" s="102">
        <v>92</v>
      </c>
      <c r="B97">
        <v>3003</v>
      </c>
      <c r="C97" s="106" t="s">
        <v>1023</v>
      </c>
      <c r="D97" s="106" t="s">
        <v>114</v>
      </c>
      <c r="E97">
        <v>1345</v>
      </c>
      <c r="F97">
        <v>1337</v>
      </c>
      <c r="G97">
        <v>800</v>
      </c>
      <c r="H97" s="106" t="s">
        <v>63</v>
      </c>
      <c r="I97">
        <v>8604</v>
      </c>
      <c r="J97" s="106" t="s">
        <v>787</v>
      </c>
      <c r="K97" s="106" t="s">
        <v>788</v>
      </c>
      <c r="L97">
        <v>562.29999999999995</v>
      </c>
      <c r="M97">
        <v>561.70000000000005</v>
      </c>
      <c r="N97">
        <v>1900</v>
      </c>
      <c r="O97" s="106" t="s">
        <v>61</v>
      </c>
      <c r="P97">
        <v>0.90308167811885098</v>
      </c>
      <c r="Q97">
        <v>0.92956345411111696</v>
      </c>
      <c r="R97">
        <v>0.12959799172268699</v>
      </c>
      <c r="S97" s="15">
        <v>3.30933530236679E-2</v>
      </c>
      <c r="T97">
        <v>1.0135055345723201</v>
      </c>
      <c r="U97">
        <v>1.0135055345723201</v>
      </c>
      <c r="V97">
        <v>3.05</v>
      </c>
      <c r="W97">
        <v>0.22</v>
      </c>
      <c r="X97">
        <v>109255</v>
      </c>
      <c r="Y97">
        <v>6070</v>
      </c>
      <c r="Z97">
        <v>0.27</v>
      </c>
      <c r="AA97">
        <v>18</v>
      </c>
      <c r="AB97">
        <v>10</v>
      </c>
      <c r="AC97">
        <v>8</v>
      </c>
      <c r="AD97">
        <v>55.56</v>
      </c>
      <c r="AE97">
        <v>11</v>
      </c>
      <c r="AF97">
        <v>7</v>
      </c>
      <c r="AG97">
        <v>5</v>
      </c>
      <c r="AH97">
        <v>6</v>
      </c>
    </row>
    <row r="98" spans="1:34" x14ac:dyDescent="0.2">
      <c r="A98" s="102">
        <v>30</v>
      </c>
      <c r="B98">
        <v>4208</v>
      </c>
      <c r="C98" s="106" t="s">
        <v>98</v>
      </c>
      <c r="D98" s="106" t="s">
        <v>62</v>
      </c>
      <c r="E98">
        <v>2450</v>
      </c>
      <c r="F98">
        <v>2432</v>
      </c>
      <c r="G98">
        <v>300</v>
      </c>
      <c r="H98" s="106" t="s">
        <v>61</v>
      </c>
      <c r="I98">
        <v>6371</v>
      </c>
      <c r="J98" s="106" t="s">
        <v>108</v>
      </c>
      <c r="K98" s="106" t="s">
        <v>99</v>
      </c>
      <c r="L98">
        <v>3925</v>
      </c>
      <c r="M98">
        <v>3965</v>
      </c>
      <c r="N98">
        <v>200</v>
      </c>
      <c r="O98" s="106" t="s">
        <v>63</v>
      </c>
      <c r="P98">
        <v>0.95533630965529304</v>
      </c>
      <c r="Q98">
        <v>0.94706692881936105</v>
      </c>
      <c r="R98" s="15">
        <v>6.5358675414836998E-3</v>
      </c>
      <c r="S98">
        <v>3.6153088110385699E-3</v>
      </c>
      <c r="T98">
        <v>-1.02591078740271</v>
      </c>
      <c r="U98">
        <v>1.02591078740271</v>
      </c>
      <c r="V98">
        <v>-2.12</v>
      </c>
      <c r="W98">
        <v>7.99</v>
      </c>
      <c r="X98">
        <v>93305</v>
      </c>
      <c r="Y98">
        <v>6220</v>
      </c>
      <c r="Z98">
        <v>0.28999999999999998</v>
      </c>
      <c r="AA98">
        <v>15</v>
      </c>
      <c r="AB98">
        <v>9</v>
      </c>
      <c r="AC98">
        <v>6</v>
      </c>
      <c r="AD98">
        <v>60</v>
      </c>
      <c r="AE98">
        <v>13</v>
      </c>
      <c r="AF98">
        <v>4</v>
      </c>
      <c r="AG98">
        <v>4</v>
      </c>
      <c r="AH98">
        <v>7</v>
      </c>
    </row>
    <row r="99" spans="1:34" x14ac:dyDescent="0.2">
      <c r="A99" s="102">
        <v>155</v>
      </c>
      <c r="B99">
        <v>8002</v>
      </c>
      <c r="C99" s="106" t="s">
        <v>31</v>
      </c>
      <c r="D99" s="106" t="s">
        <v>101</v>
      </c>
      <c r="E99">
        <v>819.4</v>
      </c>
      <c r="F99">
        <v>816</v>
      </c>
      <c r="G99">
        <v>1300</v>
      </c>
      <c r="H99" s="106" t="s">
        <v>63</v>
      </c>
      <c r="I99">
        <v>9072</v>
      </c>
      <c r="J99" s="106" t="s">
        <v>125</v>
      </c>
      <c r="K99" s="106" t="s">
        <v>119</v>
      </c>
      <c r="L99">
        <v>2753</v>
      </c>
      <c r="M99">
        <v>2749</v>
      </c>
      <c r="N99">
        <v>400</v>
      </c>
      <c r="O99" s="106" t="s">
        <v>61</v>
      </c>
      <c r="P99">
        <v>0.95791872578561799</v>
      </c>
      <c r="Q99">
        <v>0.91415475372197497</v>
      </c>
      <c r="R99">
        <v>0.17050458426534601</v>
      </c>
      <c r="S99" s="15">
        <v>5.4119326861454004E-3</v>
      </c>
      <c r="T99">
        <v>0.47032272047624402</v>
      </c>
      <c r="U99">
        <v>0.47032272047624402</v>
      </c>
      <c r="V99">
        <v>0.9</v>
      </c>
      <c r="W99">
        <v>3.53</v>
      </c>
      <c r="X99">
        <v>93143</v>
      </c>
      <c r="Y99">
        <v>5479</v>
      </c>
      <c r="Z99">
        <v>0.27</v>
      </c>
      <c r="AA99">
        <v>17</v>
      </c>
      <c r="AB99">
        <v>9</v>
      </c>
      <c r="AC99">
        <v>8</v>
      </c>
      <c r="AD99">
        <v>52.94</v>
      </c>
      <c r="AE99">
        <v>16</v>
      </c>
      <c r="AF99">
        <v>4</v>
      </c>
      <c r="AG99">
        <v>1</v>
      </c>
      <c r="AH99">
        <v>12</v>
      </c>
    </row>
    <row r="100" spans="1:34" x14ac:dyDescent="0.2">
      <c r="A100" s="102">
        <v>86</v>
      </c>
      <c r="B100">
        <v>4182</v>
      </c>
      <c r="C100" s="106" t="s">
        <v>88</v>
      </c>
      <c r="D100" s="106" t="s">
        <v>62</v>
      </c>
      <c r="E100">
        <v>1702</v>
      </c>
      <c r="F100">
        <v>1691</v>
      </c>
      <c r="G100">
        <v>500</v>
      </c>
      <c r="H100" s="106" t="s">
        <v>63</v>
      </c>
      <c r="I100">
        <v>6371</v>
      </c>
      <c r="J100" s="106" t="s">
        <v>108</v>
      </c>
      <c r="K100" s="106" t="s">
        <v>99</v>
      </c>
      <c r="L100">
        <v>3925</v>
      </c>
      <c r="M100">
        <v>3965</v>
      </c>
      <c r="N100">
        <v>200</v>
      </c>
      <c r="O100" s="106" t="s">
        <v>61</v>
      </c>
      <c r="P100">
        <v>0.94744920664383903</v>
      </c>
      <c r="Q100">
        <v>0.93058611925332202</v>
      </c>
      <c r="R100">
        <v>6.4711447292985405E-2</v>
      </c>
      <c r="S100">
        <v>6.8569484824135704E-2</v>
      </c>
      <c r="T100">
        <v>0.239875043110822</v>
      </c>
      <c r="U100">
        <v>0.239875043110822</v>
      </c>
      <c r="V100">
        <v>0.7</v>
      </c>
      <c r="W100">
        <v>6.62</v>
      </c>
      <c r="X100">
        <v>88640</v>
      </c>
      <c r="Y100">
        <v>6818</v>
      </c>
      <c r="Z100">
        <v>0.47</v>
      </c>
      <c r="AA100">
        <v>13</v>
      </c>
      <c r="AB100">
        <v>8</v>
      </c>
      <c r="AC100">
        <v>5</v>
      </c>
      <c r="AD100">
        <v>61.54</v>
      </c>
      <c r="AE100">
        <v>12</v>
      </c>
      <c r="AF100">
        <v>4</v>
      </c>
      <c r="AG100">
        <v>2</v>
      </c>
      <c r="AH100">
        <v>7</v>
      </c>
    </row>
    <row r="101" spans="1:34" x14ac:dyDescent="0.2">
      <c r="A101" s="102">
        <v>172</v>
      </c>
      <c r="B101">
        <v>9062</v>
      </c>
      <c r="C101" s="106" t="s">
        <v>785</v>
      </c>
      <c r="D101" s="106" t="s">
        <v>119</v>
      </c>
      <c r="E101">
        <v>6510</v>
      </c>
      <c r="F101">
        <v>6510</v>
      </c>
      <c r="G101">
        <v>100</v>
      </c>
      <c r="H101" s="106" t="s">
        <v>63</v>
      </c>
      <c r="I101">
        <v>9072</v>
      </c>
      <c r="J101" s="106" t="s">
        <v>125</v>
      </c>
      <c r="K101" s="106" t="s">
        <v>119</v>
      </c>
      <c r="L101">
        <v>2753</v>
      </c>
      <c r="M101">
        <v>2749</v>
      </c>
      <c r="N101">
        <v>200</v>
      </c>
      <c r="O101" s="106" t="s">
        <v>61</v>
      </c>
      <c r="P101">
        <v>0.93707904370213202</v>
      </c>
      <c r="Q101">
        <v>0.90887788051317697</v>
      </c>
      <c r="R101">
        <v>0.118899647641076</v>
      </c>
      <c r="S101">
        <v>7.4447567586112401E-2</v>
      </c>
      <c r="T101">
        <v>7.1218681989330596E-2</v>
      </c>
      <c r="U101">
        <v>7.1218681989330596E-2</v>
      </c>
      <c r="V101">
        <v>0.35</v>
      </c>
      <c r="W101">
        <v>15.55</v>
      </c>
      <c r="X101">
        <v>86554</v>
      </c>
      <c r="Y101">
        <v>14426</v>
      </c>
      <c r="Z101">
        <v>0.91</v>
      </c>
      <c r="AA101">
        <v>6</v>
      </c>
      <c r="AB101">
        <v>4</v>
      </c>
      <c r="AC101">
        <v>2</v>
      </c>
      <c r="AD101">
        <v>66.67</v>
      </c>
      <c r="AE101">
        <v>14</v>
      </c>
      <c r="AF101">
        <v>2</v>
      </c>
      <c r="AG101">
        <v>0</v>
      </c>
      <c r="AH101">
        <v>4</v>
      </c>
    </row>
    <row r="102" spans="1:34" x14ac:dyDescent="0.2">
      <c r="A102" s="102">
        <v>126</v>
      </c>
      <c r="B102">
        <v>6301</v>
      </c>
      <c r="C102" s="106" t="s">
        <v>109</v>
      </c>
      <c r="D102" s="106" t="s">
        <v>99</v>
      </c>
      <c r="E102">
        <v>2698.5</v>
      </c>
      <c r="F102">
        <v>2652</v>
      </c>
      <c r="G102">
        <v>400</v>
      </c>
      <c r="H102" s="106" t="s">
        <v>61</v>
      </c>
      <c r="I102">
        <v>6472</v>
      </c>
      <c r="J102" s="106" t="s">
        <v>133</v>
      </c>
      <c r="K102" s="106" t="s">
        <v>99</v>
      </c>
      <c r="L102">
        <v>347</v>
      </c>
      <c r="M102">
        <v>350</v>
      </c>
      <c r="N102">
        <v>3000</v>
      </c>
      <c r="O102" s="106" t="s">
        <v>63</v>
      </c>
      <c r="P102">
        <v>0.914443498219638</v>
      </c>
      <c r="Q102">
        <v>0.91933566540497302</v>
      </c>
      <c r="R102">
        <v>0.21852060332074</v>
      </c>
      <c r="S102" s="15">
        <v>4.1760635261402203E-2</v>
      </c>
      <c r="T102">
        <v>-0.56850826348199901</v>
      </c>
      <c r="U102">
        <v>0.56850826348199901</v>
      </c>
      <c r="V102">
        <v>-1.1599999999999999</v>
      </c>
      <c r="W102">
        <v>1.02</v>
      </c>
      <c r="X102">
        <v>85896</v>
      </c>
      <c r="Y102">
        <v>4295</v>
      </c>
      <c r="Z102">
        <v>0.12</v>
      </c>
      <c r="AA102">
        <v>20</v>
      </c>
      <c r="AB102">
        <v>10</v>
      </c>
      <c r="AC102">
        <v>10</v>
      </c>
      <c r="AD102">
        <v>50</v>
      </c>
      <c r="AE102">
        <v>11</v>
      </c>
      <c r="AF102">
        <v>8</v>
      </c>
      <c r="AG102">
        <v>7</v>
      </c>
      <c r="AH102">
        <v>5</v>
      </c>
    </row>
    <row r="103" spans="1:34" x14ac:dyDescent="0.2">
      <c r="A103" s="102">
        <v>35</v>
      </c>
      <c r="B103">
        <v>5802</v>
      </c>
      <c r="C103" s="106" t="s">
        <v>130</v>
      </c>
      <c r="D103" s="106" t="s">
        <v>131</v>
      </c>
      <c r="E103">
        <v>1685</v>
      </c>
      <c r="F103">
        <v>1663</v>
      </c>
      <c r="G103">
        <v>600</v>
      </c>
      <c r="H103" s="106" t="s">
        <v>61</v>
      </c>
      <c r="I103">
        <v>9810</v>
      </c>
      <c r="J103" s="106" t="s">
        <v>126</v>
      </c>
      <c r="K103" s="106" t="s">
        <v>101</v>
      </c>
      <c r="L103">
        <v>5300</v>
      </c>
      <c r="M103">
        <v>5310</v>
      </c>
      <c r="N103">
        <v>200</v>
      </c>
      <c r="O103" s="106" t="s">
        <v>63</v>
      </c>
      <c r="P103">
        <v>0.95211627588287795</v>
      </c>
      <c r="Q103">
        <v>0.94487901345668801</v>
      </c>
      <c r="R103" s="106">
        <v>0.24998940852576601</v>
      </c>
      <c r="S103" s="106">
        <v>1.7642521126082701E-2</v>
      </c>
      <c r="T103">
        <v>-0.83956793368445604</v>
      </c>
      <c r="U103">
        <v>0.83956793368445604</v>
      </c>
      <c r="V103">
        <v>-1.92</v>
      </c>
      <c r="W103">
        <v>6.05</v>
      </c>
      <c r="X103">
        <v>84914</v>
      </c>
      <c r="Y103">
        <v>5661</v>
      </c>
      <c r="Z103">
        <v>0.45</v>
      </c>
      <c r="AA103">
        <v>15</v>
      </c>
      <c r="AB103">
        <v>10</v>
      </c>
      <c r="AC103">
        <v>5</v>
      </c>
      <c r="AD103">
        <v>66.67</v>
      </c>
      <c r="AE103">
        <v>14</v>
      </c>
      <c r="AF103">
        <v>3</v>
      </c>
      <c r="AG103">
        <v>2</v>
      </c>
      <c r="AH103">
        <v>10</v>
      </c>
    </row>
    <row r="104" spans="1:34" x14ac:dyDescent="0.2">
      <c r="A104" s="102">
        <v>21</v>
      </c>
      <c r="B104">
        <v>6770</v>
      </c>
      <c r="C104" s="106" t="s">
        <v>26</v>
      </c>
      <c r="D104" s="106" t="s">
        <v>87</v>
      </c>
      <c r="E104">
        <v>2515</v>
      </c>
      <c r="F104">
        <v>2522</v>
      </c>
      <c r="G104">
        <v>200</v>
      </c>
      <c r="H104" s="106" t="s">
        <v>63</v>
      </c>
      <c r="I104">
        <v>6988</v>
      </c>
      <c r="J104" s="106" t="s">
        <v>138</v>
      </c>
      <c r="K104" s="106" t="s">
        <v>62</v>
      </c>
      <c r="L104">
        <v>6340</v>
      </c>
      <c r="M104">
        <v>6230</v>
      </c>
      <c r="N104">
        <v>100</v>
      </c>
      <c r="O104" s="106" t="s">
        <v>61</v>
      </c>
      <c r="P104">
        <v>0.92002914525164703</v>
      </c>
      <c r="Q104">
        <v>0.95203251246074005</v>
      </c>
      <c r="R104">
        <v>0.38032409566040698</v>
      </c>
      <c r="S104" s="15">
        <v>1.40683049138801E-2</v>
      </c>
      <c r="T104">
        <v>1.08755736119692</v>
      </c>
      <c r="U104">
        <v>1.08755736119692</v>
      </c>
      <c r="V104">
        <v>3.83</v>
      </c>
      <c r="W104">
        <v>19.04</v>
      </c>
      <c r="X104">
        <v>80018</v>
      </c>
      <c r="Y104">
        <v>5716</v>
      </c>
      <c r="Z104">
        <v>0.28999999999999998</v>
      </c>
      <c r="AA104">
        <v>14</v>
      </c>
      <c r="AB104">
        <v>8</v>
      </c>
      <c r="AC104">
        <v>6</v>
      </c>
      <c r="AD104">
        <v>57.14</v>
      </c>
      <c r="AE104">
        <v>12</v>
      </c>
      <c r="AF104">
        <v>7</v>
      </c>
      <c r="AG104">
        <v>3</v>
      </c>
      <c r="AH104">
        <v>4</v>
      </c>
    </row>
    <row r="105" spans="1:34" x14ac:dyDescent="0.2">
      <c r="A105" s="102">
        <v>85</v>
      </c>
      <c r="B105">
        <v>8604</v>
      </c>
      <c r="C105" s="106" t="s">
        <v>787</v>
      </c>
      <c r="D105" s="106" t="s">
        <v>788</v>
      </c>
      <c r="E105">
        <v>562.29999999999995</v>
      </c>
      <c r="F105">
        <v>561.70000000000005</v>
      </c>
      <c r="G105">
        <v>1400</v>
      </c>
      <c r="H105" s="106" t="s">
        <v>63</v>
      </c>
      <c r="I105">
        <v>9989</v>
      </c>
      <c r="J105" s="106" t="s">
        <v>1024</v>
      </c>
      <c r="K105" s="106" t="s">
        <v>95</v>
      </c>
      <c r="L105">
        <v>4000</v>
      </c>
      <c r="M105">
        <v>4010</v>
      </c>
      <c r="N105">
        <v>200</v>
      </c>
      <c r="O105" s="106" t="s">
        <v>61</v>
      </c>
      <c r="P105">
        <v>0.95466680522318303</v>
      </c>
      <c r="Q105">
        <v>0.93067766501313998</v>
      </c>
      <c r="R105" s="106">
        <v>0.21110043972006701</v>
      </c>
      <c r="S105" s="106">
        <v>1.6922174501410099E-2</v>
      </c>
      <c r="T105">
        <v>0.31075882573368802</v>
      </c>
      <c r="U105">
        <v>0.31075882573368802</v>
      </c>
      <c r="V105">
        <v>0.79</v>
      </c>
      <c r="W105">
        <v>1.95</v>
      </c>
      <c r="X105">
        <v>77595</v>
      </c>
      <c r="Y105">
        <v>5542</v>
      </c>
      <c r="Z105">
        <v>0.28000000000000003</v>
      </c>
      <c r="AA105">
        <v>14</v>
      </c>
      <c r="AB105">
        <v>7</v>
      </c>
      <c r="AC105">
        <v>7</v>
      </c>
      <c r="AD105">
        <v>50</v>
      </c>
      <c r="AE105">
        <v>13</v>
      </c>
      <c r="AF105">
        <v>5</v>
      </c>
      <c r="AG105">
        <v>4</v>
      </c>
      <c r="AH105">
        <v>5</v>
      </c>
    </row>
    <row r="106" spans="1:34" x14ac:dyDescent="0.2">
      <c r="A106" s="102">
        <v>31</v>
      </c>
      <c r="B106">
        <v>4519</v>
      </c>
      <c r="C106" s="106" t="s">
        <v>783</v>
      </c>
      <c r="D106" s="106" t="s">
        <v>135</v>
      </c>
      <c r="E106">
        <v>10000</v>
      </c>
      <c r="F106">
        <v>9960</v>
      </c>
      <c r="G106">
        <v>100</v>
      </c>
      <c r="H106" s="106" t="s">
        <v>63</v>
      </c>
      <c r="I106">
        <v>6702</v>
      </c>
      <c r="J106" s="106" t="s">
        <v>328</v>
      </c>
      <c r="K106" s="106" t="s">
        <v>87</v>
      </c>
      <c r="L106">
        <v>10255</v>
      </c>
      <c r="M106">
        <v>10410</v>
      </c>
      <c r="N106">
        <v>100</v>
      </c>
      <c r="O106" s="106" t="s">
        <v>61</v>
      </c>
      <c r="P106">
        <v>0.96817231086574695</v>
      </c>
      <c r="Q106">
        <v>0.94674109670590301</v>
      </c>
      <c r="R106">
        <v>4.6732806090584202E-3</v>
      </c>
      <c r="S106" s="15">
        <v>2.7286527807624299E-2</v>
      </c>
      <c r="T106">
        <v>0.24751801492176201</v>
      </c>
      <c r="U106">
        <v>0.24751801492176201</v>
      </c>
      <c r="V106">
        <v>0.71</v>
      </c>
      <c r="W106">
        <v>4.32</v>
      </c>
      <c r="X106">
        <v>75944</v>
      </c>
      <c r="Y106">
        <v>10849</v>
      </c>
      <c r="Z106">
        <v>0.79</v>
      </c>
      <c r="AA106">
        <v>7</v>
      </c>
      <c r="AB106">
        <v>4</v>
      </c>
      <c r="AC106">
        <v>3</v>
      </c>
      <c r="AD106">
        <v>57.14</v>
      </c>
      <c r="AE106">
        <v>12</v>
      </c>
      <c r="AF106">
        <v>3</v>
      </c>
      <c r="AG106">
        <v>1</v>
      </c>
      <c r="AH106">
        <v>3</v>
      </c>
    </row>
    <row r="107" spans="1:34" x14ac:dyDescent="0.2">
      <c r="A107" s="102">
        <v>52</v>
      </c>
      <c r="B107">
        <v>1820</v>
      </c>
      <c r="C107" s="106" t="s">
        <v>121</v>
      </c>
      <c r="D107" s="106" t="s">
        <v>78</v>
      </c>
      <c r="E107">
        <v>2476</v>
      </c>
      <c r="F107">
        <v>2480</v>
      </c>
      <c r="G107">
        <v>400</v>
      </c>
      <c r="H107" s="106" t="s">
        <v>63</v>
      </c>
      <c r="I107">
        <v>4182</v>
      </c>
      <c r="J107" s="106" t="s">
        <v>88</v>
      </c>
      <c r="K107" s="106" t="s">
        <v>62</v>
      </c>
      <c r="L107">
        <v>1702</v>
      </c>
      <c r="M107">
        <v>1691</v>
      </c>
      <c r="N107">
        <v>600</v>
      </c>
      <c r="O107" s="106" t="s">
        <v>61</v>
      </c>
      <c r="P107">
        <v>0.96124481593032496</v>
      </c>
      <c r="Q107">
        <v>0.93935784570546899</v>
      </c>
      <c r="R107" s="15">
        <v>3.3389911974581701E-2</v>
      </c>
      <c r="S107" s="106">
        <v>1.07004428691057E-2</v>
      </c>
      <c r="T107">
        <v>0.9451202372859</v>
      </c>
      <c r="U107">
        <v>0.9451202372859</v>
      </c>
      <c r="V107">
        <v>2.5</v>
      </c>
      <c r="W107">
        <v>2.2799999999999998</v>
      </c>
      <c r="X107">
        <v>74834</v>
      </c>
      <c r="Y107">
        <v>6236</v>
      </c>
      <c r="Z107">
        <v>0.26</v>
      </c>
      <c r="AA107">
        <v>12</v>
      </c>
      <c r="AB107">
        <v>8</v>
      </c>
      <c r="AC107">
        <v>4</v>
      </c>
      <c r="AD107">
        <v>66.67</v>
      </c>
      <c r="AE107">
        <v>12</v>
      </c>
      <c r="AF107">
        <v>5</v>
      </c>
      <c r="AG107">
        <v>3</v>
      </c>
      <c r="AH107">
        <v>4</v>
      </c>
    </row>
    <row r="108" spans="1:34" x14ac:dyDescent="0.2">
      <c r="A108" s="102">
        <v>122</v>
      </c>
      <c r="B108">
        <v>2379</v>
      </c>
      <c r="C108" s="106" t="s">
        <v>840</v>
      </c>
      <c r="D108" s="106" t="s">
        <v>120</v>
      </c>
      <c r="E108">
        <v>3260</v>
      </c>
      <c r="F108">
        <v>3240</v>
      </c>
      <c r="G108">
        <v>300</v>
      </c>
      <c r="H108" s="106" t="s">
        <v>63</v>
      </c>
      <c r="I108">
        <v>6702</v>
      </c>
      <c r="J108" s="106" t="s">
        <v>328</v>
      </c>
      <c r="K108" s="106" t="s">
        <v>87</v>
      </c>
      <c r="L108">
        <v>10255</v>
      </c>
      <c r="M108">
        <v>10410</v>
      </c>
      <c r="N108">
        <v>100</v>
      </c>
      <c r="O108" s="106" t="s">
        <v>61</v>
      </c>
      <c r="P108">
        <v>0.91474106520058096</v>
      </c>
      <c r="Q108">
        <v>0.91989754568223803</v>
      </c>
      <c r="R108">
        <v>0.13182640089383801</v>
      </c>
      <c r="S108" s="106">
        <v>0.13263038387961201</v>
      </c>
      <c r="T108">
        <v>0.179740302539668</v>
      </c>
      <c r="U108">
        <v>0.179740302539668</v>
      </c>
      <c r="V108">
        <v>0.71</v>
      </c>
      <c r="W108">
        <v>6.63</v>
      </c>
      <c r="X108">
        <v>73060</v>
      </c>
      <c r="Y108">
        <v>4059</v>
      </c>
      <c r="Z108">
        <v>0.23</v>
      </c>
      <c r="AA108">
        <v>18</v>
      </c>
      <c r="AB108">
        <v>10</v>
      </c>
      <c r="AC108">
        <v>8</v>
      </c>
      <c r="AD108">
        <v>55.56</v>
      </c>
      <c r="AE108">
        <v>10</v>
      </c>
      <c r="AF108">
        <v>8</v>
      </c>
      <c r="AG108">
        <v>6</v>
      </c>
      <c r="AH108">
        <v>4</v>
      </c>
    </row>
    <row r="109" spans="1:34" x14ac:dyDescent="0.2">
      <c r="A109" s="102">
        <v>99</v>
      </c>
      <c r="B109">
        <v>5802</v>
      </c>
      <c r="C109" s="106" t="s">
        <v>130</v>
      </c>
      <c r="D109" s="106" t="s">
        <v>131</v>
      </c>
      <c r="E109">
        <v>1685</v>
      </c>
      <c r="F109">
        <v>1663</v>
      </c>
      <c r="G109">
        <v>600</v>
      </c>
      <c r="H109" s="106" t="s">
        <v>63</v>
      </c>
      <c r="I109">
        <v>7267</v>
      </c>
      <c r="J109" s="106" t="s">
        <v>118</v>
      </c>
      <c r="K109" s="106" t="s">
        <v>84</v>
      </c>
      <c r="L109">
        <v>3178</v>
      </c>
      <c r="M109">
        <v>3170</v>
      </c>
      <c r="N109">
        <v>300</v>
      </c>
      <c r="O109" s="106" t="s">
        <v>61</v>
      </c>
      <c r="P109">
        <v>0.92322234054059404</v>
      </c>
      <c r="Q109">
        <v>0.92704683544661404</v>
      </c>
      <c r="R109">
        <v>0.18979015068515401</v>
      </c>
      <c r="S109" s="15">
        <v>8.1603961852450592E-3</v>
      </c>
      <c r="T109">
        <v>1.3461645266968001</v>
      </c>
      <c r="U109">
        <v>1.3461645266968001</v>
      </c>
      <c r="V109">
        <v>4.62</v>
      </c>
      <c r="W109">
        <v>4.92</v>
      </c>
      <c r="X109">
        <v>71982</v>
      </c>
      <c r="Y109">
        <v>4234</v>
      </c>
      <c r="Z109">
        <v>0.18</v>
      </c>
      <c r="AA109">
        <v>17</v>
      </c>
      <c r="AB109">
        <v>10</v>
      </c>
      <c r="AC109">
        <v>7</v>
      </c>
      <c r="AD109">
        <v>58.82</v>
      </c>
      <c r="AE109">
        <v>16</v>
      </c>
      <c r="AF109">
        <v>1</v>
      </c>
      <c r="AG109">
        <v>1</v>
      </c>
      <c r="AH109">
        <v>15</v>
      </c>
    </row>
    <row r="110" spans="1:34" x14ac:dyDescent="0.2">
      <c r="A110" s="102">
        <v>117</v>
      </c>
      <c r="B110">
        <v>3116</v>
      </c>
      <c r="C110" s="106" t="s">
        <v>124</v>
      </c>
      <c r="D110" s="106" t="s">
        <v>84</v>
      </c>
      <c r="E110">
        <v>1824</v>
      </c>
      <c r="F110">
        <v>1801</v>
      </c>
      <c r="G110">
        <v>600</v>
      </c>
      <c r="H110" s="106" t="s">
        <v>63</v>
      </c>
      <c r="I110">
        <v>8002</v>
      </c>
      <c r="J110" s="106" t="s">
        <v>31</v>
      </c>
      <c r="K110" s="106" t="s">
        <v>101</v>
      </c>
      <c r="L110">
        <v>819.4</v>
      </c>
      <c r="M110">
        <v>816</v>
      </c>
      <c r="N110">
        <v>1300</v>
      </c>
      <c r="O110" s="106" t="s">
        <v>61</v>
      </c>
      <c r="P110">
        <v>0.94665137027433799</v>
      </c>
      <c r="Q110">
        <v>0.92118213554016704</v>
      </c>
      <c r="R110" s="15">
        <v>0.13148264151206901</v>
      </c>
      <c r="S110">
        <v>3.82122966179844E-2</v>
      </c>
      <c r="T110">
        <v>1.8608022490845899</v>
      </c>
      <c r="U110">
        <v>1.8608022490845899</v>
      </c>
      <c r="V110">
        <v>4.59</v>
      </c>
      <c r="W110">
        <v>1.83</v>
      </c>
      <c r="X110">
        <v>69702</v>
      </c>
      <c r="Y110">
        <v>5362</v>
      </c>
      <c r="Z110">
        <v>0.33</v>
      </c>
      <c r="AA110">
        <v>13</v>
      </c>
      <c r="AB110">
        <v>5</v>
      </c>
      <c r="AC110">
        <v>8</v>
      </c>
      <c r="AD110">
        <v>38.46</v>
      </c>
      <c r="AE110">
        <v>16</v>
      </c>
      <c r="AF110">
        <v>4</v>
      </c>
      <c r="AG110">
        <v>0</v>
      </c>
      <c r="AH110">
        <v>9</v>
      </c>
    </row>
    <row r="111" spans="1:34" x14ac:dyDescent="0.2">
      <c r="A111" s="102">
        <v>158</v>
      </c>
      <c r="B111">
        <v>6995</v>
      </c>
      <c r="C111" s="106" t="s">
        <v>91</v>
      </c>
      <c r="D111" s="106" t="s">
        <v>84</v>
      </c>
      <c r="E111">
        <v>2250</v>
      </c>
      <c r="F111">
        <v>2227</v>
      </c>
      <c r="G111">
        <v>500</v>
      </c>
      <c r="H111" s="106" t="s">
        <v>61</v>
      </c>
      <c r="I111">
        <v>9810</v>
      </c>
      <c r="J111" s="106" t="s">
        <v>126</v>
      </c>
      <c r="K111" s="106" t="s">
        <v>101</v>
      </c>
      <c r="L111">
        <v>5300</v>
      </c>
      <c r="M111">
        <v>5310</v>
      </c>
      <c r="N111">
        <v>200</v>
      </c>
      <c r="O111" s="106" t="s">
        <v>63</v>
      </c>
      <c r="P111">
        <v>0.92370115707889899</v>
      </c>
      <c r="Q111">
        <v>0.91338444818279196</v>
      </c>
      <c r="R111" s="106">
        <v>6.6827337303765402E-2</v>
      </c>
      <c r="S111">
        <v>4.5942894037016999E-2</v>
      </c>
      <c r="T111">
        <v>-0.76379762812124796</v>
      </c>
      <c r="U111">
        <v>0.76379762812124796</v>
      </c>
      <c r="V111">
        <v>-2.21</v>
      </c>
      <c r="W111">
        <v>4.8499999999999996</v>
      </c>
      <c r="X111">
        <v>68150</v>
      </c>
      <c r="Y111">
        <v>5242</v>
      </c>
      <c r="Z111">
        <v>0.48</v>
      </c>
      <c r="AA111">
        <v>13</v>
      </c>
      <c r="AB111">
        <v>8</v>
      </c>
      <c r="AC111">
        <v>5</v>
      </c>
      <c r="AD111">
        <v>61.54</v>
      </c>
      <c r="AE111">
        <v>11</v>
      </c>
      <c r="AF111">
        <v>5</v>
      </c>
      <c r="AG111">
        <v>4</v>
      </c>
      <c r="AH111">
        <v>4</v>
      </c>
    </row>
    <row r="112" spans="1:34" x14ac:dyDescent="0.2">
      <c r="A112" s="102">
        <v>176</v>
      </c>
      <c r="B112">
        <v>4819</v>
      </c>
      <c r="C112" s="106" t="s">
        <v>1015</v>
      </c>
      <c r="D112" s="106" t="s">
        <v>79</v>
      </c>
      <c r="E112">
        <v>4425</v>
      </c>
      <c r="F112">
        <v>4490</v>
      </c>
      <c r="G112">
        <v>200</v>
      </c>
      <c r="H112" s="106" t="s">
        <v>63</v>
      </c>
      <c r="I112">
        <v>9746</v>
      </c>
      <c r="J112" s="106" t="s">
        <v>1004</v>
      </c>
      <c r="K112" s="106" t="s">
        <v>79</v>
      </c>
      <c r="L112">
        <v>5250</v>
      </c>
      <c r="M112">
        <v>5240</v>
      </c>
      <c r="N112">
        <v>200</v>
      </c>
      <c r="O112" s="106" t="s">
        <v>61</v>
      </c>
      <c r="P112">
        <v>0.92462094372776604</v>
      </c>
      <c r="Q112">
        <v>0.90715639141752702</v>
      </c>
      <c r="R112">
        <v>4.1528954708854003E-2</v>
      </c>
      <c r="S112">
        <v>5.3231206371552996E-3</v>
      </c>
      <c r="T112">
        <v>2.4040946874678801</v>
      </c>
      <c r="U112">
        <v>2.4040946874678801</v>
      </c>
      <c r="V112">
        <v>9.51</v>
      </c>
      <c r="W112">
        <v>14.31</v>
      </c>
      <c r="X112">
        <v>66372</v>
      </c>
      <c r="Y112">
        <v>5531</v>
      </c>
      <c r="Z112">
        <v>0.37</v>
      </c>
      <c r="AA112">
        <v>12</v>
      </c>
      <c r="AB112">
        <v>7</v>
      </c>
      <c r="AC112">
        <v>5</v>
      </c>
      <c r="AD112">
        <v>58.33</v>
      </c>
      <c r="AE112">
        <v>9</v>
      </c>
      <c r="AF112">
        <v>7</v>
      </c>
      <c r="AG112">
        <v>4</v>
      </c>
      <c r="AH112">
        <v>1</v>
      </c>
    </row>
    <row r="113" spans="1:34" x14ac:dyDescent="0.2">
      <c r="A113" s="102">
        <v>48</v>
      </c>
      <c r="B113">
        <v>1973</v>
      </c>
      <c r="C113" s="106" t="s">
        <v>307</v>
      </c>
      <c r="D113" s="106" t="s">
        <v>79</v>
      </c>
      <c r="E113">
        <v>3560</v>
      </c>
      <c r="F113">
        <v>3580</v>
      </c>
      <c r="G113">
        <v>300</v>
      </c>
      <c r="H113" s="106" t="s">
        <v>61</v>
      </c>
      <c r="I113">
        <v>4519</v>
      </c>
      <c r="J113" s="106" t="s">
        <v>783</v>
      </c>
      <c r="K113" s="106" t="s">
        <v>135</v>
      </c>
      <c r="L113">
        <v>10000</v>
      </c>
      <c r="M113">
        <v>9960</v>
      </c>
      <c r="N113">
        <v>100</v>
      </c>
      <c r="O113" s="106" t="s">
        <v>63</v>
      </c>
      <c r="P113">
        <v>0.94669499919022804</v>
      </c>
      <c r="Q113">
        <v>0.94008558976949197</v>
      </c>
      <c r="R113">
        <v>9.8585377788791406E-3</v>
      </c>
      <c r="S113" s="15">
        <v>6.9924946301911997E-2</v>
      </c>
      <c r="T113">
        <v>-0.65825582298722995</v>
      </c>
      <c r="U113">
        <v>0.65825582298722995</v>
      </c>
      <c r="V113">
        <v>-1.61</v>
      </c>
      <c r="W113">
        <v>7.83</v>
      </c>
      <c r="X113">
        <v>61928</v>
      </c>
      <c r="Y113">
        <v>7741</v>
      </c>
      <c r="Z113">
        <v>0.22</v>
      </c>
      <c r="AA113">
        <v>8</v>
      </c>
      <c r="AB113">
        <v>5</v>
      </c>
      <c r="AC113">
        <v>3</v>
      </c>
      <c r="AD113">
        <v>62.5</v>
      </c>
      <c r="AE113">
        <v>12</v>
      </c>
      <c r="AF113">
        <v>3</v>
      </c>
      <c r="AG113">
        <v>3</v>
      </c>
      <c r="AH113">
        <v>2</v>
      </c>
    </row>
    <row r="114" spans="1:34" x14ac:dyDescent="0.2">
      <c r="A114" s="102">
        <v>10</v>
      </c>
      <c r="B114">
        <v>6770</v>
      </c>
      <c r="C114" s="106" t="s">
        <v>26</v>
      </c>
      <c r="D114" s="106" t="s">
        <v>87</v>
      </c>
      <c r="E114">
        <v>2515</v>
      </c>
      <c r="F114">
        <v>2522</v>
      </c>
      <c r="G114">
        <v>300</v>
      </c>
      <c r="H114" s="106" t="s">
        <v>61</v>
      </c>
      <c r="I114">
        <v>7282</v>
      </c>
      <c r="J114" s="106" t="s">
        <v>782</v>
      </c>
      <c r="K114" s="106" t="s">
        <v>84</v>
      </c>
      <c r="L114">
        <v>2822</v>
      </c>
      <c r="M114">
        <v>2790</v>
      </c>
      <c r="N114">
        <v>300</v>
      </c>
      <c r="O114" s="106" t="s">
        <v>63</v>
      </c>
      <c r="P114">
        <v>0.96802711915492601</v>
      </c>
      <c r="Q114">
        <v>0.95940993031099597</v>
      </c>
      <c r="R114">
        <v>4.99379126779027E-2</v>
      </c>
      <c r="S114" s="15">
        <v>1.1092472657718701E-3</v>
      </c>
      <c r="T114">
        <v>-1.7025389631324901</v>
      </c>
      <c r="U114">
        <v>1.7025389631324901</v>
      </c>
      <c r="V114">
        <v>-4.09</v>
      </c>
      <c r="W114">
        <v>9.61</v>
      </c>
      <c r="X114">
        <v>56663</v>
      </c>
      <c r="Y114">
        <v>3778</v>
      </c>
      <c r="Z114">
        <v>0.27</v>
      </c>
      <c r="AA114">
        <v>15</v>
      </c>
      <c r="AB114">
        <v>10</v>
      </c>
      <c r="AC114">
        <v>5</v>
      </c>
      <c r="AD114">
        <v>66.67</v>
      </c>
      <c r="AE114">
        <v>12</v>
      </c>
      <c r="AF114">
        <v>6</v>
      </c>
      <c r="AG114">
        <v>4</v>
      </c>
      <c r="AH114">
        <v>5</v>
      </c>
    </row>
    <row r="115" spans="1:34" x14ac:dyDescent="0.2">
      <c r="A115" s="102">
        <v>148</v>
      </c>
      <c r="B115">
        <v>6301</v>
      </c>
      <c r="C115" s="106" t="s">
        <v>109</v>
      </c>
      <c r="D115" s="106" t="s">
        <v>99</v>
      </c>
      <c r="E115">
        <v>2698.5</v>
      </c>
      <c r="F115">
        <v>2652</v>
      </c>
      <c r="G115">
        <v>300</v>
      </c>
      <c r="H115" s="106" t="s">
        <v>61</v>
      </c>
      <c r="I115">
        <v>6371</v>
      </c>
      <c r="J115" s="106" t="s">
        <v>108</v>
      </c>
      <c r="K115" s="106" t="s">
        <v>99</v>
      </c>
      <c r="L115">
        <v>3925</v>
      </c>
      <c r="M115">
        <v>3965</v>
      </c>
      <c r="N115">
        <v>200</v>
      </c>
      <c r="O115" s="106" t="s">
        <v>63</v>
      </c>
      <c r="P115">
        <v>0.92943703371918895</v>
      </c>
      <c r="Q115">
        <v>0.91495103783891096</v>
      </c>
      <c r="R115">
        <v>5.61830713945738E-3</v>
      </c>
      <c r="S115">
        <v>1.9690680187224299E-3</v>
      </c>
      <c r="T115">
        <v>-1.68359717188064</v>
      </c>
      <c r="U115">
        <v>1.68359717188064</v>
      </c>
      <c r="V115">
        <v>-4.09</v>
      </c>
      <c r="W115">
        <v>0.33</v>
      </c>
      <c r="X115">
        <v>51301</v>
      </c>
      <c r="Y115">
        <v>3206</v>
      </c>
      <c r="Z115">
        <v>0.19</v>
      </c>
      <c r="AA115">
        <v>16</v>
      </c>
      <c r="AB115">
        <v>8</v>
      </c>
      <c r="AC115">
        <v>8</v>
      </c>
      <c r="AD115">
        <v>50</v>
      </c>
      <c r="AE115">
        <v>13</v>
      </c>
      <c r="AF115">
        <v>4</v>
      </c>
      <c r="AG115">
        <v>3</v>
      </c>
      <c r="AH115">
        <v>9</v>
      </c>
    </row>
    <row r="116" spans="1:34" x14ac:dyDescent="0.2">
      <c r="A116" s="102">
        <v>154</v>
      </c>
      <c r="B116">
        <v>4182</v>
      </c>
      <c r="C116" s="106" t="s">
        <v>88</v>
      </c>
      <c r="D116" s="106" t="s">
        <v>62</v>
      </c>
      <c r="E116">
        <v>1702</v>
      </c>
      <c r="F116">
        <v>1691</v>
      </c>
      <c r="G116">
        <v>600</v>
      </c>
      <c r="H116" s="106" t="s">
        <v>63</v>
      </c>
      <c r="I116">
        <v>5463</v>
      </c>
      <c r="J116" s="106" t="s">
        <v>141</v>
      </c>
      <c r="K116" s="106" t="s">
        <v>92</v>
      </c>
      <c r="L116">
        <v>3150</v>
      </c>
      <c r="M116">
        <v>3115</v>
      </c>
      <c r="N116">
        <v>300</v>
      </c>
      <c r="O116" s="106" t="s">
        <v>61</v>
      </c>
      <c r="P116">
        <v>0.90494289389108296</v>
      </c>
      <c r="Q116">
        <v>0.91419894176115302</v>
      </c>
      <c r="R116">
        <v>0.248234047302171</v>
      </c>
      <c r="S116">
        <v>3.7113282664794599E-2</v>
      </c>
      <c r="T116">
        <v>1.3463854109205</v>
      </c>
      <c r="U116">
        <v>1.3463854109205</v>
      </c>
      <c r="V116">
        <v>3.97</v>
      </c>
      <c r="W116">
        <v>8.57</v>
      </c>
      <c r="X116">
        <v>49018</v>
      </c>
      <c r="Y116">
        <v>2723</v>
      </c>
      <c r="Z116">
        <v>0.22</v>
      </c>
      <c r="AA116">
        <v>18</v>
      </c>
      <c r="AB116">
        <v>10</v>
      </c>
      <c r="AC116">
        <v>8</v>
      </c>
      <c r="AD116">
        <v>55.56</v>
      </c>
      <c r="AE116">
        <v>11</v>
      </c>
      <c r="AF116">
        <v>7</v>
      </c>
      <c r="AG116">
        <v>6</v>
      </c>
      <c r="AH116">
        <v>5</v>
      </c>
    </row>
    <row r="117" spans="1:34" x14ac:dyDescent="0.2">
      <c r="A117" s="102">
        <v>178</v>
      </c>
      <c r="B117">
        <v>2602</v>
      </c>
      <c r="C117" s="106" t="s">
        <v>1025</v>
      </c>
      <c r="D117" s="106" t="s">
        <v>97</v>
      </c>
      <c r="E117">
        <v>3875</v>
      </c>
      <c r="F117">
        <v>3895</v>
      </c>
      <c r="G117">
        <v>200</v>
      </c>
      <c r="H117" s="106" t="s">
        <v>61</v>
      </c>
      <c r="I117">
        <v>7274</v>
      </c>
      <c r="J117" s="106" t="s">
        <v>332</v>
      </c>
      <c r="K117" s="106" t="s">
        <v>84</v>
      </c>
      <c r="L117">
        <v>2269</v>
      </c>
      <c r="M117">
        <v>2262</v>
      </c>
      <c r="N117">
        <v>300</v>
      </c>
      <c r="O117" s="106" t="s">
        <v>63</v>
      </c>
      <c r="P117">
        <v>0.93278695461783301</v>
      </c>
      <c r="Q117">
        <v>0.90702119687038496</v>
      </c>
      <c r="R117" s="15">
        <v>8.2047761394082402E-2</v>
      </c>
      <c r="S117" s="15">
        <v>9.51765996156268E-2</v>
      </c>
      <c r="T117">
        <v>-0.99449641342566997</v>
      </c>
      <c r="U117">
        <v>0.99449641342566997</v>
      </c>
      <c r="V117">
        <v>-15.22</v>
      </c>
      <c r="W117">
        <v>12.89</v>
      </c>
      <c r="X117">
        <v>48417</v>
      </c>
      <c r="Y117">
        <v>2548</v>
      </c>
      <c r="Z117">
        <v>0.14000000000000001</v>
      </c>
      <c r="AA117">
        <v>19</v>
      </c>
      <c r="AB117">
        <v>10</v>
      </c>
      <c r="AC117">
        <v>9</v>
      </c>
      <c r="AD117">
        <v>52.63</v>
      </c>
      <c r="AE117">
        <v>8</v>
      </c>
      <c r="AF117">
        <v>10</v>
      </c>
      <c r="AG117">
        <v>8</v>
      </c>
      <c r="AH117">
        <v>1</v>
      </c>
    </row>
    <row r="118" spans="1:34" x14ac:dyDescent="0.2">
      <c r="A118" s="102">
        <v>40</v>
      </c>
      <c r="B118">
        <v>9746</v>
      </c>
      <c r="C118" s="106" t="s">
        <v>1004</v>
      </c>
      <c r="D118" s="106" t="s">
        <v>79</v>
      </c>
      <c r="E118">
        <v>5250</v>
      </c>
      <c r="F118">
        <v>5240</v>
      </c>
      <c r="G118">
        <v>200</v>
      </c>
      <c r="H118" s="106" t="s">
        <v>63</v>
      </c>
      <c r="I118">
        <v>9759</v>
      </c>
      <c r="J118" s="106" t="s">
        <v>839</v>
      </c>
      <c r="K118" s="106" t="s">
        <v>79</v>
      </c>
      <c r="L118">
        <v>3630</v>
      </c>
      <c r="M118">
        <v>3595</v>
      </c>
      <c r="N118">
        <v>300</v>
      </c>
      <c r="O118" s="106" t="s">
        <v>61</v>
      </c>
      <c r="P118">
        <v>0.91355129071641294</v>
      </c>
      <c r="Q118">
        <v>0.94257620787057395</v>
      </c>
      <c r="R118">
        <v>0.215077874299205</v>
      </c>
      <c r="S118">
        <v>3.0745400161628902E-3</v>
      </c>
      <c r="T118">
        <v>0.56705844271430295</v>
      </c>
      <c r="U118">
        <v>0.56705844271430295</v>
      </c>
      <c r="V118">
        <v>1.5</v>
      </c>
      <c r="W118">
        <v>2.91</v>
      </c>
      <c r="X118">
        <v>40347</v>
      </c>
      <c r="Y118">
        <v>2882</v>
      </c>
      <c r="Z118">
        <v>0.18</v>
      </c>
      <c r="AA118">
        <v>14</v>
      </c>
      <c r="AB118">
        <v>8</v>
      </c>
      <c r="AC118">
        <v>6</v>
      </c>
      <c r="AD118">
        <v>57.14</v>
      </c>
      <c r="AE118">
        <v>14</v>
      </c>
      <c r="AF118">
        <v>5</v>
      </c>
      <c r="AG118">
        <v>2</v>
      </c>
      <c r="AH118">
        <v>7</v>
      </c>
    </row>
    <row r="119" spans="1:34" x14ac:dyDescent="0.2">
      <c r="A119" s="102">
        <v>157</v>
      </c>
      <c r="B119">
        <v>5471</v>
      </c>
      <c r="C119" s="106" t="s">
        <v>300</v>
      </c>
      <c r="D119" s="106" t="s">
        <v>92</v>
      </c>
      <c r="E119">
        <v>4900</v>
      </c>
      <c r="F119">
        <v>4865</v>
      </c>
      <c r="G119">
        <v>200</v>
      </c>
      <c r="H119" s="106" t="s">
        <v>61</v>
      </c>
      <c r="I119">
        <v>7251</v>
      </c>
      <c r="J119" s="106" t="s">
        <v>789</v>
      </c>
      <c r="K119" s="106" t="s">
        <v>84</v>
      </c>
      <c r="L119">
        <v>2564</v>
      </c>
      <c r="M119">
        <v>2559</v>
      </c>
      <c r="N119">
        <v>400</v>
      </c>
      <c r="O119" s="106" t="s">
        <v>63</v>
      </c>
      <c r="P119">
        <v>0.91411036729079598</v>
      </c>
      <c r="Q119">
        <v>0.91346667286556904</v>
      </c>
      <c r="R119" s="15">
        <v>0.108283291453401</v>
      </c>
      <c r="S119">
        <v>8.5592187286608595E-3</v>
      </c>
      <c r="T119">
        <v>-1.1163743557079999</v>
      </c>
      <c r="U119">
        <v>1.1163743557079999</v>
      </c>
      <c r="V119">
        <v>-21.27</v>
      </c>
      <c r="W119">
        <v>5.2</v>
      </c>
      <c r="X119">
        <v>35729</v>
      </c>
      <c r="Y119">
        <v>2233</v>
      </c>
      <c r="Z119">
        <v>0</v>
      </c>
      <c r="AA119">
        <v>16</v>
      </c>
      <c r="AB119">
        <v>10</v>
      </c>
      <c r="AC119">
        <v>6</v>
      </c>
      <c r="AD119">
        <v>62.5</v>
      </c>
      <c r="AE119">
        <v>14</v>
      </c>
      <c r="AF119">
        <v>4</v>
      </c>
      <c r="AG119">
        <v>3</v>
      </c>
      <c r="AH119">
        <v>9</v>
      </c>
    </row>
    <row r="120" spans="1:34" x14ac:dyDescent="0.2">
      <c r="A120" s="102">
        <v>59</v>
      </c>
      <c r="B120">
        <v>5991</v>
      </c>
      <c r="C120" s="106" t="s">
        <v>115</v>
      </c>
      <c r="D120" s="106" t="s">
        <v>116</v>
      </c>
      <c r="E120">
        <v>1023</v>
      </c>
      <c r="F120">
        <v>1030</v>
      </c>
      <c r="G120">
        <v>1000</v>
      </c>
      <c r="H120" s="106" t="s">
        <v>63</v>
      </c>
      <c r="I120">
        <v>6752</v>
      </c>
      <c r="J120" s="106" t="s">
        <v>105</v>
      </c>
      <c r="K120" s="106" t="s">
        <v>87</v>
      </c>
      <c r="L120">
        <v>1020</v>
      </c>
      <c r="M120">
        <v>1016.5</v>
      </c>
      <c r="N120">
        <v>1000</v>
      </c>
      <c r="O120" s="106" t="s">
        <v>61</v>
      </c>
      <c r="P120">
        <v>0.95876425079187799</v>
      </c>
      <c r="Q120">
        <v>0.93778617360054495</v>
      </c>
      <c r="R120">
        <v>1.4204860110690401E-3</v>
      </c>
      <c r="S120" s="106">
        <v>0.26171676693534801</v>
      </c>
      <c r="T120">
        <v>2.7874889716684299</v>
      </c>
      <c r="U120">
        <v>2.7874889716684299</v>
      </c>
      <c r="V120">
        <v>6.27</v>
      </c>
      <c r="W120">
        <v>1.31</v>
      </c>
      <c r="X120">
        <v>34237</v>
      </c>
      <c r="Y120">
        <v>2014</v>
      </c>
      <c r="Z120">
        <v>0.09</v>
      </c>
      <c r="AA120">
        <v>17</v>
      </c>
      <c r="AB120">
        <v>9</v>
      </c>
      <c r="AC120">
        <v>8</v>
      </c>
      <c r="AD120">
        <v>52.94</v>
      </c>
      <c r="AE120">
        <v>12</v>
      </c>
      <c r="AF120">
        <v>7</v>
      </c>
      <c r="AG120">
        <v>6</v>
      </c>
      <c r="AH120">
        <v>4</v>
      </c>
    </row>
    <row r="121" spans="1:34" x14ac:dyDescent="0.2">
      <c r="A121" s="102">
        <v>43</v>
      </c>
      <c r="B121">
        <v>7453</v>
      </c>
      <c r="C121" s="106" t="s">
        <v>104</v>
      </c>
      <c r="D121" s="106" t="s">
        <v>95</v>
      </c>
      <c r="E121">
        <v>2550</v>
      </c>
      <c r="F121">
        <v>2533</v>
      </c>
      <c r="G121">
        <v>400</v>
      </c>
      <c r="H121" s="106" t="s">
        <v>63</v>
      </c>
      <c r="I121">
        <v>8267</v>
      </c>
      <c r="J121" s="106" t="s">
        <v>301</v>
      </c>
      <c r="K121" s="106" t="s">
        <v>95</v>
      </c>
      <c r="L121">
        <v>2274</v>
      </c>
      <c r="M121">
        <v>2240</v>
      </c>
      <c r="N121">
        <v>500</v>
      </c>
      <c r="O121" s="106" t="s">
        <v>61</v>
      </c>
      <c r="P121">
        <v>0.92010888251231104</v>
      </c>
      <c r="Q121">
        <v>0.94155523348019499</v>
      </c>
      <c r="R121" s="15">
        <v>4.2249443537393301E-2</v>
      </c>
      <c r="S121" s="15">
        <v>2.6637252799287001E-2</v>
      </c>
      <c r="T121">
        <v>1.3003006407820401</v>
      </c>
      <c r="U121">
        <v>1.3003006407820401</v>
      </c>
      <c r="V121">
        <v>5.68</v>
      </c>
      <c r="W121">
        <v>10.54</v>
      </c>
      <c r="X121">
        <v>32083</v>
      </c>
      <c r="Y121">
        <v>1689</v>
      </c>
      <c r="Z121">
        <v>0.15</v>
      </c>
      <c r="AA121">
        <v>19</v>
      </c>
      <c r="AB121">
        <v>9</v>
      </c>
      <c r="AC121">
        <v>10</v>
      </c>
      <c r="AD121">
        <v>47.37</v>
      </c>
      <c r="AE121">
        <v>12</v>
      </c>
      <c r="AF121">
        <v>6</v>
      </c>
      <c r="AG121">
        <v>3</v>
      </c>
      <c r="AH121">
        <v>10</v>
      </c>
    </row>
    <row r="122" spans="1:34" x14ac:dyDescent="0.2">
      <c r="A122" s="102">
        <v>5</v>
      </c>
      <c r="B122">
        <v>3635</v>
      </c>
      <c r="C122" s="106" t="s">
        <v>85</v>
      </c>
      <c r="D122" s="106" t="s">
        <v>79</v>
      </c>
      <c r="E122">
        <v>2844</v>
      </c>
      <c r="F122">
        <v>2878</v>
      </c>
      <c r="G122">
        <v>400</v>
      </c>
      <c r="H122" s="106" t="s">
        <v>63</v>
      </c>
      <c r="I122">
        <v>6702</v>
      </c>
      <c r="J122" s="106" t="s">
        <v>328</v>
      </c>
      <c r="K122" s="106" t="s">
        <v>87</v>
      </c>
      <c r="L122">
        <v>10255</v>
      </c>
      <c r="M122">
        <v>10410</v>
      </c>
      <c r="N122">
        <v>100</v>
      </c>
      <c r="O122" s="106" t="s">
        <v>61</v>
      </c>
      <c r="P122">
        <v>0.94711447720493103</v>
      </c>
      <c r="Q122">
        <v>0.96354661620054605</v>
      </c>
      <c r="R122" s="106">
        <v>0.17738331417782299</v>
      </c>
      <c r="S122">
        <v>1.7543432883751001E-2</v>
      </c>
      <c r="T122">
        <v>2.10507990907035</v>
      </c>
      <c r="U122">
        <v>2.10507990907035</v>
      </c>
      <c r="V122">
        <v>4.0199999999999996</v>
      </c>
      <c r="W122">
        <v>10.59</v>
      </c>
      <c r="X122">
        <v>31031</v>
      </c>
      <c r="Y122">
        <v>2586</v>
      </c>
      <c r="Z122">
        <v>0.16</v>
      </c>
      <c r="AA122">
        <v>12</v>
      </c>
      <c r="AB122">
        <v>7</v>
      </c>
      <c r="AC122">
        <v>5</v>
      </c>
      <c r="AD122">
        <v>58.33</v>
      </c>
      <c r="AE122">
        <v>13</v>
      </c>
      <c r="AF122">
        <v>6</v>
      </c>
      <c r="AG122">
        <v>1</v>
      </c>
      <c r="AH122">
        <v>5</v>
      </c>
    </row>
    <row r="123" spans="1:34" x14ac:dyDescent="0.2">
      <c r="A123" s="102">
        <v>55</v>
      </c>
      <c r="B123">
        <v>6588</v>
      </c>
      <c r="C123" s="106" t="s">
        <v>784</v>
      </c>
      <c r="D123" s="106" t="s">
        <v>87</v>
      </c>
      <c r="E123">
        <v>4640</v>
      </c>
      <c r="F123">
        <v>4610</v>
      </c>
      <c r="G123">
        <v>100</v>
      </c>
      <c r="H123" s="106" t="s">
        <v>63</v>
      </c>
      <c r="I123">
        <v>9706</v>
      </c>
      <c r="J123" s="106" t="s">
        <v>333</v>
      </c>
      <c r="K123" s="106" t="s">
        <v>114</v>
      </c>
      <c r="L123">
        <v>6140</v>
      </c>
      <c r="M123">
        <v>6170</v>
      </c>
      <c r="N123">
        <v>100</v>
      </c>
      <c r="O123" s="106" t="s">
        <v>61</v>
      </c>
      <c r="P123">
        <v>0.96278781101071997</v>
      </c>
      <c r="Q123">
        <v>0.93881390894968997</v>
      </c>
      <c r="R123" s="106">
        <v>0.20608871471609699</v>
      </c>
      <c r="S123">
        <v>5.9437086795762498E-2</v>
      </c>
      <c r="T123">
        <v>0.33752899087219401</v>
      </c>
      <c r="U123">
        <v>0.33752899087219401</v>
      </c>
      <c r="V123">
        <v>1.47</v>
      </c>
      <c r="W123">
        <v>25.28</v>
      </c>
      <c r="X123">
        <v>26767</v>
      </c>
      <c r="Y123">
        <v>2059</v>
      </c>
      <c r="Z123">
        <v>0.15</v>
      </c>
      <c r="AA123">
        <v>13</v>
      </c>
      <c r="AB123">
        <v>8</v>
      </c>
      <c r="AC123">
        <v>5</v>
      </c>
      <c r="AD123">
        <v>61.54</v>
      </c>
      <c r="AE123">
        <v>11</v>
      </c>
      <c r="AF123">
        <v>5</v>
      </c>
      <c r="AG123">
        <v>4</v>
      </c>
      <c r="AH123">
        <v>4</v>
      </c>
    </row>
    <row r="124" spans="1:34" x14ac:dyDescent="0.2">
      <c r="A124" s="102">
        <v>51</v>
      </c>
      <c r="B124">
        <v>4519</v>
      </c>
      <c r="C124" s="106" t="s">
        <v>783</v>
      </c>
      <c r="D124" s="106" t="s">
        <v>135</v>
      </c>
      <c r="E124">
        <v>10000</v>
      </c>
      <c r="F124">
        <v>9960</v>
      </c>
      <c r="G124">
        <v>100</v>
      </c>
      <c r="H124" s="106" t="s">
        <v>63</v>
      </c>
      <c r="I124">
        <v>8425</v>
      </c>
      <c r="J124" s="106" t="s">
        <v>315</v>
      </c>
      <c r="K124" s="106" t="s">
        <v>296</v>
      </c>
      <c r="L124">
        <v>3445</v>
      </c>
      <c r="M124">
        <v>3460</v>
      </c>
      <c r="N124">
        <v>300</v>
      </c>
      <c r="O124" s="106" t="s">
        <v>61</v>
      </c>
      <c r="P124">
        <v>0.93963602564617799</v>
      </c>
      <c r="Q124">
        <v>0.93966100733597302</v>
      </c>
      <c r="R124" s="15">
        <v>2.93031795051799E-2</v>
      </c>
      <c r="S124">
        <v>3.3006848664726599E-2</v>
      </c>
      <c r="T124">
        <v>0.20128278556097501</v>
      </c>
      <c r="U124">
        <v>0.20128278556097501</v>
      </c>
      <c r="V124">
        <v>0.84</v>
      </c>
      <c r="W124">
        <v>4.22</v>
      </c>
      <c r="X124">
        <v>25042</v>
      </c>
      <c r="Y124">
        <v>1926</v>
      </c>
      <c r="Z124">
        <v>0.5</v>
      </c>
      <c r="AA124">
        <v>13</v>
      </c>
      <c r="AB124">
        <v>8</v>
      </c>
      <c r="AC124">
        <v>5</v>
      </c>
      <c r="AD124">
        <v>61.54</v>
      </c>
      <c r="AE124">
        <v>14</v>
      </c>
      <c r="AF124">
        <v>6</v>
      </c>
      <c r="AG124">
        <v>3</v>
      </c>
      <c r="AH124">
        <v>4</v>
      </c>
    </row>
    <row r="125" spans="1:34" x14ac:dyDescent="0.2">
      <c r="A125" s="102">
        <v>80</v>
      </c>
      <c r="B125">
        <v>6988</v>
      </c>
      <c r="C125" s="106" t="s">
        <v>138</v>
      </c>
      <c r="D125" s="106" t="s">
        <v>62</v>
      </c>
      <c r="E125">
        <v>6340</v>
      </c>
      <c r="F125">
        <v>6230</v>
      </c>
      <c r="G125">
        <v>100</v>
      </c>
      <c r="H125" s="106" t="s">
        <v>61</v>
      </c>
      <c r="I125">
        <v>6995</v>
      </c>
      <c r="J125" s="106" t="s">
        <v>91</v>
      </c>
      <c r="K125" s="106" t="s">
        <v>84</v>
      </c>
      <c r="L125">
        <v>2250</v>
      </c>
      <c r="M125">
        <v>2227</v>
      </c>
      <c r="N125">
        <v>300</v>
      </c>
      <c r="O125" s="106" t="s">
        <v>63</v>
      </c>
      <c r="P125">
        <v>0.94141259657518905</v>
      </c>
      <c r="Q125">
        <v>0.93198457642321497</v>
      </c>
      <c r="R125" s="15">
        <v>0.20989172927534699</v>
      </c>
      <c r="S125" s="15">
        <v>3.8623189311886297E-2</v>
      </c>
      <c r="T125">
        <v>-1.3494985593395601</v>
      </c>
      <c r="U125">
        <v>1.3494985593395601</v>
      </c>
      <c r="V125">
        <v>-3.35</v>
      </c>
      <c r="W125">
        <v>7.24</v>
      </c>
      <c r="X125">
        <v>22867</v>
      </c>
      <c r="Y125">
        <v>2287</v>
      </c>
      <c r="Z125">
        <v>0.11</v>
      </c>
      <c r="AA125">
        <v>10</v>
      </c>
      <c r="AB125">
        <v>7</v>
      </c>
      <c r="AC125">
        <v>3</v>
      </c>
      <c r="AD125">
        <v>70</v>
      </c>
      <c r="AE125">
        <v>13</v>
      </c>
      <c r="AF125">
        <v>2</v>
      </c>
      <c r="AG125">
        <v>2</v>
      </c>
      <c r="AH125">
        <v>6</v>
      </c>
    </row>
    <row r="126" spans="1:34" x14ac:dyDescent="0.2">
      <c r="A126" s="102">
        <v>131</v>
      </c>
      <c r="B126">
        <v>8425</v>
      </c>
      <c r="C126" s="106" t="s">
        <v>315</v>
      </c>
      <c r="D126" s="106" t="s">
        <v>296</v>
      </c>
      <c r="E126">
        <v>3445</v>
      </c>
      <c r="F126">
        <v>3460</v>
      </c>
      <c r="G126">
        <v>200</v>
      </c>
      <c r="H126" s="106" t="s">
        <v>61</v>
      </c>
      <c r="I126">
        <v>9706</v>
      </c>
      <c r="J126" s="106" t="s">
        <v>333</v>
      </c>
      <c r="K126" s="106" t="s">
        <v>114</v>
      </c>
      <c r="L126">
        <v>6140</v>
      </c>
      <c r="M126">
        <v>6170</v>
      </c>
      <c r="N126">
        <v>100</v>
      </c>
      <c r="O126" s="106" t="s">
        <v>63</v>
      </c>
      <c r="P126">
        <v>0.92343154354697798</v>
      </c>
      <c r="Q126">
        <v>0.91826691715919095</v>
      </c>
      <c r="R126">
        <v>0.19552943897532801</v>
      </c>
      <c r="S126" s="15">
        <v>7.6281165560738495E-2</v>
      </c>
      <c r="T126">
        <v>-1.04291471416238</v>
      </c>
      <c r="U126">
        <v>1.04291471416238</v>
      </c>
      <c r="V126">
        <v>-6.43</v>
      </c>
      <c r="W126">
        <v>12.16</v>
      </c>
      <c r="X126">
        <v>18162</v>
      </c>
      <c r="Y126">
        <v>1397</v>
      </c>
      <c r="Z126">
        <v>0.04</v>
      </c>
      <c r="AA126">
        <v>13</v>
      </c>
      <c r="AB126">
        <v>7</v>
      </c>
      <c r="AC126">
        <v>6</v>
      </c>
      <c r="AD126">
        <v>53.85</v>
      </c>
      <c r="AE126">
        <v>13</v>
      </c>
      <c r="AF126">
        <v>5</v>
      </c>
      <c r="AG126">
        <v>4</v>
      </c>
      <c r="AH126">
        <v>4</v>
      </c>
    </row>
    <row r="127" spans="1:34" x14ac:dyDescent="0.2">
      <c r="A127" s="102">
        <v>123</v>
      </c>
      <c r="B127">
        <v>4204</v>
      </c>
      <c r="C127" s="106" t="s">
        <v>320</v>
      </c>
      <c r="D127" s="106" t="s">
        <v>62</v>
      </c>
      <c r="E127">
        <v>1929</v>
      </c>
      <c r="F127">
        <v>1924</v>
      </c>
      <c r="G127">
        <v>400</v>
      </c>
      <c r="H127" s="106" t="s">
        <v>61</v>
      </c>
      <c r="I127">
        <v>5393</v>
      </c>
      <c r="J127" s="106" t="s">
        <v>329</v>
      </c>
      <c r="K127" s="106" t="s">
        <v>106</v>
      </c>
      <c r="L127">
        <v>2744</v>
      </c>
      <c r="M127">
        <v>2768</v>
      </c>
      <c r="N127">
        <v>300</v>
      </c>
      <c r="O127" s="106" t="s">
        <v>63</v>
      </c>
      <c r="P127">
        <v>0.93695075264915195</v>
      </c>
      <c r="Q127">
        <v>0.91976852517178298</v>
      </c>
      <c r="R127">
        <v>0.22955951966124699</v>
      </c>
      <c r="S127" s="106">
        <v>2.0099788956041899E-2</v>
      </c>
      <c r="T127">
        <v>-1.5206356348991501</v>
      </c>
      <c r="U127">
        <v>1.5206356348991501</v>
      </c>
      <c r="V127">
        <v>-16.649999999999999</v>
      </c>
      <c r="W127">
        <v>7.32</v>
      </c>
      <c r="X127">
        <v>13258</v>
      </c>
      <c r="Y127">
        <v>698</v>
      </c>
      <c r="Z127">
        <v>0.02</v>
      </c>
      <c r="AA127">
        <v>19</v>
      </c>
      <c r="AB127">
        <v>8</v>
      </c>
      <c r="AC127">
        <v>11</v>
      </c>
      <c r="AD127">
        <v>42.11</v>
      </c>
      <c r="AE127">
        <v>13</v>
      </c>
      <c r="AF127">
        <v>6</v>
      </c>
      <c r="AG127">
        <v>4</v>
      </c>
      <c r="AH127">
        <v>9</v>
      </c>
    </row>
    <row r="128" spans="1:34" x14ac:dyDescent="0.2">
      <c r="A128" s="102">
        <v>149</v>
      </c>
      <c r="B128">
        <v>3291</v>
      </c>
      <c r="C128" s="106" t="s">
        <v>113</v>
      </c>
      <c r="D128" s="106" t="s">
        <v>114</v>
      </c>
      <c r="E128">
        <v>1957</v>
      </c>
      <c r="F128">
        <v>1957</v>
      </c>
      <c r="G128">
        <v>500</v>
      </c>
      <c r="H128" s="106" t="s">
        <v>61</v>
      </c>
      <c r="I128">
        <v>8601</v>
      </c>
      <c r="J128" s="106" t="s">
        <v>27</v>
      </c>
      <c r="K128" s="106" t="s">
        <v>788</v>
      </c>
      <c r="L128">
        <v>560</v>
      </c>
      <c r="M128">
        <v>562.70000000000005</v>
      </c>
      <c r="N128">
        <v>1700</v>
      </c>
      <c r="O128" s="106" t="s">
        <v>63</v>
      </c>
      <c r="P128">
        <v>0.963270999825527</v>
      </c>
      <c r="Q128">
        <v>0.91491420804232504</v>
      </c>
      <c r="R128" s="15">
        <v>6.9199992882805906E-5</v>
      </c>
      <c r="S128">
        <v>0.211301817053202</v>
      </c>
      <c r="T128">
        <v>-1.4730873051175899</v>
      </c>
      <c r="U128">
        <v>1.4730873051175899</v>
      </c>
      <c r="V128">
        <v>-2.15</v>
      </c>
      <c r="W128">
        <v>2.2400000000000002</v>
      </c>
      <c r="X128">
        <v>12422</v>
      </c>
      <c r="Y128">
        <v>731</v>
      </c>
      <c r="Z128">
        <v>0.05</v>
      </c>
      <c r="AA128">
        <v>17</v>
      </c>
      <c r="AB128">
        <v>10</v>
      </c>
      <c r="AC128">
        <v>7</v>
      </c>
      <c r="AD128">
        <v>58.82</v>
      </c>
      <c r="AE128">
        <v>15</v>
      </c>
      <c r="AF128">
        <v>3</v>
      </c>
      <c r="AG128">
        <v>1</v>
      </c>
      <c r="AH128">
        <v>13</v>
      </c>
    </row>
    <row r="129" spans="1:34" x14ac:dyDescent="0.2">
      <c r="A129" s="102">
        <v>97</v>
      </c>
      <c r="B129">
        <v>5991</v>
      </c>
      <c r="C129" s="106" t="s">
        <v>115</v>
      </c>
      <c r="D129" s="106" t="s">
        <v>116</v>
      </c>
      <c r="E129">
        <v>1023</v>
      </c>
      <c r="F129">
        <v>1030</v>
      </c>
      <c r="G129">
        <v>1000</v>
      </c>
      <c r="H129" s="106" t="s">
        <v>63</v>
      </c>
      <c r="I129">
        <v>8002</v>
      </c>
      <c r="J129" s="106" t="s">
        <v>31</v>
      </c>
      <c r="K129" s="106" t="s">
        <v>101</v>
      </c>
      <c r="L129">
        <v>819.4</v>
      </c>
      <c r="M129">
        <v>816</v>
      </c>
      <c r="N129">
        <v>1300</v>
      </c>
      <c r="O129" s="106" t="s">
        <v>61</v>
      </c>
      <c r="P129">
        <v>0.97369511759368699</v>
      </c>
      <c r="Q129">
        <v>0.92750960320875198</v>
      </c>
      <c r="R129">
        <v>2.5283365231038898E-2</v>
      </c>
      <c r="S129" s="106">
        <v>2.9811143727478701E-2</v>
      </c>
      <c r="T129">
        <v>2.2832012687844498</v>
      </c>
      <c r="U129">
        <v>2.2832012687844498</v>
      </c>
      <c r="V129">
        <v>7.12</v>
      </c>
      <c r="W129">
        <v>2.99</v>
      </c>
      <c r="X129">
        <v>10934</v>
      </c>
      <c r="Y129">
        <v>643</v>
      </c>
      <c r="Z129">
        <v>0.05</v>
      </c>
      <c r="AA129">
        <v>17</v>
      </c>
      <c r="AB129">
        <v>8</v>
      </c>
      <c r="AC129">
        <v>9</v>
      </c>
      <c r="AD129">
        <v>47.06</v>
      </c>
      <c r="AE129">
        <v>14</v>
      </c>
      <c r="AF129">
        <v>5</v>
      </c>
      <c r="AG129">
        <v>3</v>
      </c>
      <c r="AH129">
        <v>9</v>
      </c>
    </row>
    <row r="130" spans="1:34" x14ac:dyDescent="0.2">
      <c r="A130" s="102">
        <v>119</v>
      </c>
      <c r="B130">
        <v>6448</v>
      </c>
      <c r="C130" s="106" t="s">
        <v>790</v>
      </c>
      <c r="D130" s="106" t="s">
        <v>87</v>
      </c>
      <c r="E130">
        <v>2270</v>
      </c>
      <c r="F130">
        <v>2270</v>
      </c>
      <c r="G130">
        <v>400</v>
      </c>
      <c r="H130" s="106" t="s">
        <v>63</v>
      </c>
      <c r="I130">
        <v>6965</v>
      </c>
      <c r="J130" s="106" t="s">
        <v>791</v>
      </c>
      <c r="K130" s="106" t="s">
        <v>87</v>
      </c>
      <c r="L130">
        <v>4570</v>
      </c>
      <c r="M130">
        <v>4575</v>
      </c>
      <c r="N130">
        <v>200</v>
      </c>
      <c r="O130" s="106" t="s">
        <v>61</v>
      </c>
      <c r="P130">
        <v>0.94868683885088301</v>
      </c>
      <c r="Q130">
        <v>0.92044934920495602</v>
      </c>
      <c r="R130" s="15">
        <v>4.79275762367821E-2</v>
      </c>
      <c r="S130">
        <v>3.2942221741772602E-2</v>
      </c>
      <c r="T130">
        <v>7.8759193533206706E-2</v>
      </c>
      <c r="U130">
        <v>7.8759193533206706E-2</v>
      </c>
      <c r="V130">
        <v>0.18</v>
      </c>
      <c r="W130">
        <v>0.77</v>
      </c>
      <c r="X130">
        <v>5132</v>
      </c>
      <c r="Y130">
        <v>321</v>
      </c>
      <c r="Z130">
        <v>0.05</v>
      </c>
      <c r="AA130">
        <v>16</v>
      </c>
      <c r="AB130">
        <v>9</v>
      </c>
      <c r="AC130">
        <v>7</v>
      </c>
      <c r="AD130">
        <v>56.25</v>
      </c>
      <c r="AE130">
        <v>13</v>
      </c>
      <c r="AF130">
        <v>4</v>
      </c>
      <c r="AG130">
        <v>4</v>
      </c>
      <c r="AH130">
        <v>8</v>
      </c>
    </row>
    <row r="131" spans="1:34" x14ac:dyDescent="0.2">
      <c r="A131" s="102">
        <v>93</v>
      </c>
      <c r="B131">
        <v>5233</v>
      </c>
      <c r="C131" s="106" t="s">
        <v>142</v>
      </c>
      <c r="D131" s="106" t="s">
        <v>106</v>
      </c>
      <c r="E131">
        <v>3430</v>
      </c>
      <c r="F131">
        <v>3360</v>
      </c>
      <c r="G131">
        <v>300</v>
      </c>
      <c r="H131" s="106" t="s">
        <v>61</v>
      </c>
      <c r="I131">
        <v>7327</v>
      </c>
      <c r="J131" s="106" t="s">
        <v>140</v>
      </c>
      <c r="K131" s="106" t="s">
        <v>82</v>
      </c>
      <c r="L131">
        <v>3070</v>
      </c>
      <c r="M131">
        <v>3100</v>
      </c>
      <c r="N131">
        <v>300</v>
      </c>
      <c r="O131" s="106" t="s">
        <v>63</v>
      </c>
      <c r="P131">
        <v>0.90403568558783498</v>
      </c>
      <c r="Q131">
        <v>0.92928780052962501</v>
      </c>
      <c r="R131" s="15">
        <v>3.2437672581950398E-2</v>
      </c>
      <c r="S131" s="106">
        <v>5.5385309267476299E-3</v>
      </c>
      <c r="T131">
        <v>-0.53390343126238204</v>
      </c>
      <c r="U131">
        <v>0.53390343126238204</v>
      </c>
      <c r="V131">
        <v>-1.33</v>
      </c>
      <c r="W131">
        <v>7.74</v>
      </c>
      <c r="X131">
        <v>4195</v>
      </c>
      <c r="Y131">
        <v>2098</v>
      </c>
      <c r="Z131">
        <v>-0.01</v>
      </c>
      <c r="AA131">
        <v>2</v>
      </c>
      <c r="AB131">
        <v>1</v>
      </c>
      <c r="AC131">
        <v>1</v>
      </c>
      <c r="AD131">
        <v>50</v>
      </c>
      <c r="AE131">
        <v>10</v>
      </c>
      <c r="AF131">
        <v>1</v>
      </c>
      <c r="AG131">
        <v>1</v>
      </c>
      <c r="AH131">
        <v>0</v>
      </c>
    </row>
    <row r="132" spans="1:34" x14ac:dyDescent="0.2">
      <c r="A132" s="102">
        <v>167</v>
      </c>
      <c r="B132">
        <v>5802</v>
      </c>
      <c r="C132" s="106" t="s">
        <v>130</v>
      </c>
      <c r="D132" s="106" t="s">
        <v>131</v>
      </c>
      <c r="E132">
        <v>1685</v>
      </c>
      <c r="F132">
        <v>1663</v>
      </c>
      <c r="G132">
        <v>600</v>
      </c>
      <c r="H132" s="106" t="s">
        <v>61</v>
      </c>
      <c r="I132">
        <v>6770</v>
      </c>
      <c r="J132" s="106" t="s">
        <v>26</v>
      </c>
      <c r="K132" s="106" t="s">
        <v>87</v>
      </c>
      <c r="L132">
        <v>2515</v>
      </c>
      <c r="M132">
        <v>2522</v>
      </c>
      <c r="N132">
        <v>400</v>
      </c>
      <c r="O132" s="106" t="s">
        <v>63</v>
      </c>
      <c r="P132">
        <v>0.96663062437852298</v>
      </c>
      <c r="Q132">
        <v>0.90997155067239199</v>
      </c>
      <c r="R132" s="15">
        <v>7.8905279074842401E-3</v>
      </c>
      <c r="S132" s="15">
        <v>0.15207199912520999</v>
      </c>
      <c r="T132">
        <v>-0.18515154528091399</v>
      </c>
      <c r="U132">
        <v>0.18515154528091399</v>
      </c>
      <c r="V132">
        <v>-0.48</v>
      </c>
      <c r="W132">
        <v>1.0900000000000001</v>
      </c>
      <c r="X132">
        <v>2858</v>
      </c>
      <c r="Y132">
        <v>179</v>
      </c>
      <c r="Z132">
        <v>0.09</v>
      </c>
      <c r="AA132">
        <v>16</v>
      </c>
      <c r="AB132">
        <v>7</v>
      </c>
      <c r="AC132">
        <v>9</v>
      </c>
      <c r="AD132">
        <v>43.75</v>
      </c>
      <c r="AE132">
        <v>14</v>
      </c>
      <c r="AF132">
        <v>5</v>
      </c>
      <c r="AG132">
        <v>4</v>
      </c>
      <c r="AH132">
        <v>7</v>
      </c>
    </row>
    <row r="133" spans="1:34" x14ac:dyDescent="0.2">
      <c r="A133" s="102">
        <v>12</v>
      </c>
      <c r="B133">
        <v>3110</v>
      </c>
      <c r="C133" s="106" t="s">
        <v>1005</v>
      </c>
      <c r="D133" s="106" t="s">
        <v>106</v>
      </c>
      <c r="E133">
        <v>4385</v>
      </c>
      <c r="F133">
        <v>4430</v>
      </c>
      <c r="G133">
        <v>200</v>
      </c>
      <c r="H133" s="106" t="s">
        <v>63</v>
      </c>
      <c r="I133">
        <v>6702</v>
      </c>
      <c r="J133" s="106" t="s">
        <v>328</v>
      </c>
      <c r="K133" s="106" t="s">
        <v>87</v>
      </c>
      <c r="L133">
        <v>10255</v>
      </c>
      <c r="M133">
        <v>10410</v>
      </c>
      <c r="N133">
        <v>100</v>
      </c>
      <c r="O133" s="106" t="s">
        <v>61</v>
      </c>
      <c r="P133">
        <v>0.91176385171319996</v>
      </c>
      <c r="Q133">
        <v>0.95845797379350905</v>
      </c>
      <c r="R133">
        <v>0.15482972553013499</v>
      </c>
      <c r="S133" s="106">
        <v>6.8093928094162303E-3</v>
      </c>
      <c r="T133">
        <v>1.9732012637663701</v>
      </c>
      <c r="U133">
        <v>1.9732012637663701</v>
      </c>
      <c r="V133">
        <v>10.95</v>
      </c>
      <c r="W133">
        <v>14.89</v>
      </c>
      <c r="X133">
        <v>2720</v>
      </c>
      <c r="Y133">
        <v>194</v>
      </c>
      <c r="Z133">
        <v>0.14000000000000001</v>
      </c>
      <c r="AA133">
        <v>14</v>
      </c>
      <c r="AB133">
        <v>6</v>
      </c>
      <c r="AC133">
        <v>8</v>
      </c>
      <c r="AD133">
        <v>42.86</v>
      </c>
      <c r="AE133">
        <v>9</v>
      </c>
      <c r="AF133">
        <v>5</v>
      </c>
      <c r="AG133">
        <v>6</v>
      </c>
      <c r="AH133">
        <v>3</v>
      </c>
    </row>
    <row r="134" spans="1:34" x14ac:dyDescent="0.2">
      <c r="A134" s="102">
        <v>171</v>
      </c>
      <c r="B134">
        <v>4183</v>
      </c>
      <c r="C134" s="106" t="s">
        <v>298</v>
      </c>
      <c r="D134" s="106" t="s">
        <v>62</v>
      </c>
      <c r="E134">
        <v>2713</v>
      </c>
      <c r="F134">
        <v>2696</v>
      </c>
      <c r="G134">
        <v>400</v>
      </c>
      <c r="H134" s="106" t="s">
        <v>61</v>
      </c>
      <c r="I134">
        <v>7762</v>
      </c>
      <c r="J134" s="106" t="s">
        <v>107</v>
      </c>
      <c r="K134" s="106" t="s">
        <v>93</v>
      </c>
      <c r="L134">
        <v>618</v>
      </c>
      <c r="M134">
        <v>609</v>
      </c>
      <c r="N134">
        <v>1800</v>
      </c>
      <c r="O134" s="106" t="s">
        <v>63</v>
      </c>
      <c r="P134">
        <v>0.91426595504448704</v>
      </c>
      <c r="Q134">
        <v>0.90892217065931002</v>
      </c>
      <c r="R134">
        <v>0.236343985575246</v>
      </c>
      <c r="S134">
        <v>2.4819291597267799E-3</v>
      </c>
      <c r="T134">
        <v>-0.78490949527788401</v>
      </c>
      <c r="U134">
        <v>0.78490949527788401</v>
      </c>
      <c r="V134">
        <v>-1.75</v>
      </c>
      <c r="W134">
        <v>1.65</v>
      </c>
      <c r="X134">
        <v>760</v>
      </c>
      <c r="Y134">
        <v>54</v>
      </c>
      <c r="Z134">
        <v>-0.05</v>
      </c>
      <c r="AA134">
        <v>14</v>
      </c>
      <c r="AB134">
        <v>8</v>
      </c>
      <c r="AC134">
        <v>6</v>
      </c>
      <c r="AD134">
        <v>57.14</v>
      </c>
      <c r="AE134">
        <v>15</v>
      </c>
      <c r="AF134">
        <v>3</v>
      </c>
      <c r="AG134">
        <v>4</v>
      </c>
      <c r="AH134">
        <v>7</v>
      </c>
    </row>
    <row r="135" spans="1:34" x14ac:dyDescent="0.2">
      <c r="A135" s="102">
        <v>144</v>
      </c>
      <c r="B135">
        <v>2175</v>
      </c>
      <c r="C135" s="106" t="s">
        <v>323</v>
      </c>
      <c r="D135" s="106" t="s">
        <v>120</v>
      </c>
      <c r="E135">
        <v>2995</v>
      </c>
      <c r="F135">
        <v>3010</v>
      </c>
      <c r="G135">
        <v>300</v>
      </c>
      <c r="H135" s="106" t="s">
        <v>61</v>
      </c>
      <c r="I135">
        <v>6098</v>
      </c>
      <c r="J135" s="106" t="s">
        <v>335</v>
      </c>
      <c r="K135" s="106" t="s">
        <v>120</v>
      </c>
      <c r="L135">
        <v>4075</v>
      </c>
      <c r="M135">
        <v>4049</v>
      </c>
      <c r="N135">
        <v>200</v>
      </c>
      <c r="O135" s="106" t="s">
        <v>63</v>
      </c>
      <c r="P135">
        <v>0.95322391544472995</v>
      </c>
      <c r="Q135">
        <v>0.91578506264899895</v>
      </c>
      <c r="R135" s="15">
        <v>1.01776799487622E-6</v>
      </c>
      <c r="S135">
        <v>6.1191938437623397E-2</v>
      </c>
      <c r="T135">
        <v>-1.1308261003388</v>
      </c>
      <c r="U135">
        <v>1.1308261003388</v>
      </c>
      <c r="V135">
        <v>-3.61</v>
      </c>
      <c r="W135">
        <v>11.51</v>
      </c>
      <c r="X135">
        <v>-1755</v>
      </c>
      <c r="Y135">
        <v>-103</v>
      </c>
      <c r="Z135">
        <v>0.05</v>
      </c>
      <c r="AA135">
        <v>17</v>
      </c>
      <c r="AB135">
        <v>9</v>
      </c>
      <c r="AC135">
        <v>8</v>
      </c>
      <c r="AD135">
        <v>52.94</v>
      </c>
      <c r="AE135">
        <v>10</v>
      </c>
      <c r="AF135">
        <v>8</v>
      </c>
      <c r="AG135">
        <v>5</v>
      </c>
      <c r="AH135">
        <v>4</v>
      </c>
    </row>
    <row r="136" spans="1:34" x14ac:dyDescent="0.2">
      <c r="A136" s="102">
        <v>109</v>
      </c>
      <c r="B136">
        <v>4208</v>
      </c>
      <c r="C136" s="106" t="s">
        <v>98</v>
      </c>
      <c r="D136" s="106" t="s">
        <v>62</v>
      </c>
      <c r="E136">
        <v>2450</v>
      </c>
      <c r="F136">
        <v>2432</v>
      </c>
      <c r="G136">
        <v>400</v>
      </c>
      <c r="H136" s="106" t="s">
        <v>61</v>
      </c>
      <c r="I136">
        <v>5991</v>
      </c>
      <c r="J136" s="106" t="s">
        <v>115</v>
      </c>
      <c r="K136" s="106" t="s">
        <v>116</v>
      </c>
      <c r="L136">
        <v>1023</v>
      </c>
      <c r="M136">
        <v>1030</v>
      </c>
      <c r="N136">
        <v>900</v>
      </c>
      <c r="O136" s="106" t="s">
        <v>63</v>
      </c>
      <c r="P136">
        <v>0.92107197960513099</v>
      </c>
      <c r="Q136">
        <v>0.92306384418765497</v>
      </c>
      <c r="R136">
        <v>5.4985166697189898E-2</v>
      </c>
      <c r="S136" s="106">
        <v>0.134328291775098</v>
      </c>
      <c r="T136" s="106">
        <v>-1.56206564376419</v>
      </c>
      <c r="U136" s="106">
        <v>1.56206564376419</v>
      </c>
      <c r="V136">
        <v>-7.77</v>
      </c>
      <c r="W136">
        <v>4.71</v>
      </c>
      <c r="X136">
        <v>-2779</v>
      </c>
      <c r="Y136">
        <v>-174</v>
      </c>
      <c r="Z136">
        <v>-0.06</v>
      </c>
      <c r="AA136">
        <v>16</v>
      </c>
      <c r="AB136">
        <v>8</v>
      </c>
      <c r="AC136">
        <v>8</v>
      </c>
      <c r="AD136">
        <v>50</v>
      </c>
      <c r="AE136">
        <v>12</v>
      </c>
      <c r="AF136">
        <v>6</v>
      </c>
      <c r="AG136">
        <v>4</v>
      </c>
      <c r="AH136">
        <v>6</v>
      </c>
    </row>
    <row r="137" spans="1:34" x14ac:dyDescent="0.2">
      <c r="A137" s="102">
        <v>100</v>
      </c>
      <c r="B137">
        <v>4183</v>
      </c>
      <c r="C137" s="106" t="s">
        <v>298</v>
      </c>
      <c r="D137" s="106" t="s">
        <v>62</v>
      </c>
      <c r="E137">
        <v>2713</v>
      </c>
      <c r="F137">
        <v>2696</v>
      </c>
      <c r="G137">
        <v>400</v>
      </c>
      <c r="H137" s="106" t="s">
        <v>63</v>
      </c>
      <c r="I137">
        <v>6301</v>
      </c>
      <c r="J137" s="106" t="s">
        <v>109</v>
      </c>
      <c r="K137" s="106" t="s">
        <v>99</v>
      </c>
      <c r="L137">
        <v>2698.5</v>
      </c>
      <c r="M137">
        <v>2652</v>
      </c>
      <c r="N137">
        <v>400</v>
      </c>
      <c r="O137" s="106" t="s">
        <v>61</v>
      </c>
      <c r="P137">
        <v>0.91983448155990899</v>
      </c>
      <c r="Q137">
        <v>0.92672408717306698</v>
      </c>
      <c r="R137">
        <v>0.181264460186191</v>
      </c>
      <c r="S137" s="106">
        <v>9.5900496564018897E-4</v>
      </c>
      <c r="T137">
        <v>0.29208988808240799</v>
      </c>
      <c r="U137">
        <v>0.29208988808240799</v>
      </c>
      <c r="V137">
        <v>0.49</v>
      </c>
      <c r="W137">
        <v>1.63</v>
      </c>
      <c r="X137">
        <v>-3844</v>
      </c>
      <c r="Y137">
        <v>-384</v>
      </c>
      <c r="Z137">
        <v>0.04</v>
      </c>
      <c r="AA137">
        <v>10</v>
      </c>
      <c r="AB137">
        <v>6</v>
      </c>
      <c r="AC137">
        <v>4</v>
      </c>
      <c r="AD137">
        <v>60</v>
      </c>
      <c r="AE137">
        <v>15</v>
      </c>
      <c r="AF137">
        <v>1</v>
      </c>
      <c r="AG137">
        <v>1</v>
      </c>
      <c r="AH137">
        <v>8</v>
      </c>
    </row>
    <row r="138" spans="1:34" x14ac:dyDescent="0.2">
      <c r="A138" s="102">
        <v>1</v>
      </c>
      <c r="B138">
        <v>6995</v>
      </c>
      <c r="C138" s="106" t="s">
        <v>91</v>
      </c>
      <c r="D138" s="106" t="s">
        <v>84</v>
      </c>
      <c r="E138">
        <v>2250</v>
      </c>
      <c r="F138">
        <v>2227</v>
      </c>
      <c r="G138">
        <v>400</v>
      </c>
      <c r="H138" s="106" t="s">
        <v>61</v>
      </c>
      <c r="I138">
        <v>7282</v>
      </c>
      <c r="J138" s="106" t="s">
        <v>782</v>
      </c>
      <c r="K138" s="106" t="s">
        <v>84</v>
      </c>
      <c r="L138">
        <v>2822</v>
      </c>
      <c r="M138">
        <v>2790</v>
      </c>
      <c r="N138">
        <v>300</v>
      </c>
      <c r="O138" s="106" t="s">
        <v>63</v>
      </c>
      <c r="P138">
        <v>0.98982415356489994</v>
      </c>
      <c r="Q138">
        <v>0.97545015725172002</v>
      </c>
      <c r="R138">
        <v>3.6499194463996E-2</v>
      </c>
      <c r="S138">
        <v>5.2460704564921204E-3</v>
      </c>
      <c r="T138">
        <v>-2.0222028277620301</v>
      </c>
      <c r="U138">
        <v>2.0222028277620301</v>
      </c>
      <c r="V138">
        <v>-4.83</v>
      </c>
      <c r="W138">
        <v>6.43</v>
      </c>
      <c r="X138">
        <v>-4300</v>
      </c>
      <c r="Y138">
        <v>-287</v>
      </c>
      <c r="Z138">
        <v>-0.08</v>
      </c>
      <c r="AA138">
        <v>15</v>
      </c>
      <c r="AB138">
        <v>7</v>
      </c>
      <c r="AC138">
        <v>8</v>
      </c>
      <c r="AD138">
        <v>46.67</v>
      </c>
      <c r="AE138">
        <v>13</v>
      </c>
      <c r="AF138">
        <v>3</v>
      </c>
      <c r="AG138">
        <v>2</v>
      </c>
      <c r="AH138">
        <v>10</v>
      </c>
    </row>
    <row r="139" spans="1:34" x14ac:dyDescent="0.2">
      <c r="A139" s="102">
        <v>65</v>
      </c>
      <c r="B139">
        <v>6752</v>
      </c>
      <c r="C139" s="106" t="s">
        <v>105</v>
      </c>
      <c r="D139" s="106" t="s">
        <v>87</v>
      </c>
      <c r="E139">
        <v>1020</v>
      </c>
      <c r="F139">
        <v>1016.5</v>
      </c>
      <c r="G139">
        <v>1000</v>
      </c>
      <c r="H139" s="106" t="s">
        <v>63</v>
      </c>
      <c r="I139">
        <v>8002</v>
      </c>
      <c r="J139" s="106" t="s">
        <v>31</v>
      </c>
      <c r="K139" s="106" t="s">
        <v>101</v>
      </c>
      <c r="L139">
        <v>819.4</v>
      </c>
      <c r="M139">
        <v>816</v>
      </c>
      <c r="N139">
        <v>1200</v>
      </c>
      <c r="O139" s="106" t="s">
        <v>61</v>
      </c>
      <c r="P139">
        <v>0.93649126414630701</v>
      </c>
      <c r="Q139">
        <v>0.93642878775317695</v>
      </c>
      <c r="R139" s="15">
        <v>2.9362973211417499E-2</v>
      </c>
      <c r="S139">
        <v>8.5498259394104501E-4</v>
      </c>
      <c r="T139">
        <v>0.34815521410425598</v>
      </c>
      <c r="U139">
        <v>0.34815521410425598</v>
      </c>
      <c r="V139">
        <v>0.91</v>
      </c>
      <c r="W139">
        <v>3.67</v>
      </c>
      <c r="X139">
        <v>-4844</v>
      </c>
      <c r="Y139">
        <v>-231</v>
      </c>
      <c r="Z139">
        <v>-0.02</v>
      </c>
      <c r="AA139">
        <v>21</v>
      </c>
      <c r="AB139">
        <v>11</v>
      </c>
      <c r="AC139">
        <v>10</v>
      </c>
      <c r="AD139">
        <v>52.38</v>
      </c>
      <c r="AE139">
        <v>15</v>
      </c>
      <c r="AF139">
        <v>5</v>
      </c>
      <c r="AG139">
        <v>4</v>
      </c>
      <c r="AH139">
        <v>12</v>
      </c>
    </row>
    <row r="140" spans="1:34" x14ac:dyDescent="0.2">
      <c r="A140" s="102">
        <v>64</v>
      </c>
      <c r="B140">
        <v>3003</v>
      </c>
      <c r="C140" s="106" t="s">
        <v>1023</v>
      </c>
      <c r="D140" s="106" t="s">
        <v>114</v>
      </c>
      <c r="E140">
        <v>1345</v>
      </c>
      <c r="F140">
        <v>1337</v>
      </c>
      <c r="G140">
        <v>700</v>
      </c>
      <c r="H140" s="106" t="s">
        <v>61</v>
      </c>
      <c r="I140">
        <v>6952</v>
      </c>
      <c r="J140" s="106" t="s">
        <v>786</v>
      </c>
      <c r="K140" s="106" t="s">
        <v>87</v>
      </c>
      <c r="L140">
        <v>2200</v>
      </c>
      <c r="M140">
        <v>2206</v>
      </c>
      <c r="N140">
        <v>400</v>
      </c>
      <c r="O140" s="106" t="s">
        <v>63</v>
      </c>
      <c r="P140">
        <v>0.901158325183533</v>
      </c>
      <c r="Q140">
        <v>0.93649096390786402</v>
      </c>
      <c r="R140" s="15">
        <v>0.27620044736176502</v>
      </c>
      <c r="S140">
        <v>0.213133881338959</v>
      </c>
      <c r="T140">
        <v>-0.87647060678072597</v>
      </c>
      <c r="U140">
        <v>0.87647060678072597</v>
      </c>
      <c r="V140">
        <v>-5.42</v>
      </c>
      <c r="W140">
        <v>6.06</v>
      </c>
      <c r="X140">
        <v>-10221</v>
      </c>
      <c r="Y140">
        <v>-568</v>
      </c>
      <c r="Z140">
        <v>-0.03</v>
      </c>
      <c r="AA140">
        <v>18</v>
      </c>
      <c r="AB140">
        <v>9</v>
      </c>
      <c r="AC140">
        <v>9</v>
      </c>
      <c r="AD140">
        <v>50</v>
      </c>
      <c r="AE140">
        <v>13</v>
      </c>
      <c r="AF140">
        <v>5</v>
      </c>
      <c r="AG140">
        <v>4</v>
      </c>
      <c r="AH140">
        <v>9</v>
      </c>
    </row>
    <row r="141" spans="1:34" x14ac:dyDescent="0.2">
      <c r="A141" s="102">
        <v>116</v>
      </c>
      <c r="B141">
        <v>6702</v>
      </c>
      <c r="C141" s="106" t="s">
        <v>328</v>
      </c>
      <c r="D141" s="106" t="s">
        <v>87</v>
      </c>
      <c r="E141">
        <v>10255</v>
      </c>
      <c r="F141">
        <v>10410</v>
      </c>
      <c r="G141">
        <v>100</v>
      </c>
      <c r="H141" s="106" t="s">
        <v>61</v>
      </c>
      <c r="I141">
        <v>6755</v>
      </c>
      <c r="J141" s="106" t="s">
        <v>980</v>
      </c>
      <c r="K141" s="106" t="s">
        <v>87</v>
      </c>
      <c r="L141">
        <v>2417</v>
      </c>
      <c r="M141">
        <v>2431</v>
      </c>
      <c r="N141">
        <v>400</v>
      </c>
      <c r="O141" s="106" t="s">
        <v>63</v>
      </c>
      <c r="P141">
        <v>0.90619119581778695</v>
      </c>
      <c r="Q141">
        <v>0.92144624439237199</v>
      </c>
      <c r="R141" s="15">
        <v>0.34337637227740098</v>
      </c>
      <c r="S141">
        <v>4.7154509505613298E-2</v>
      </c>
      <c r="T141">
        <v>-2.2446207931452098</v>
      </c>
      <c r="U141">
        <v>2.2446207931452098</v>
      </c>
      <c r="V141">
        <v>-11.05</v>
      </c>
      <c r="W141">
        <v>6.59</v>
      </c>
      <c r="X141">
        <v>-16047</v>
      </c>
      <c r="Y141">
        <v>-944</v>
      </c>
      <c r="Z141">
        <v>-0.05</v>
      </c>
      <c r="AA141">
        <v>17</v>
      </c>
      <c r="AB141">
        <v>7</v>
      </c>
      <c r="AC141">
        <v>10</v>
      </c>
      <c r="AD141">
        <v>41.18</v>
      </c>
      <c r="AE141">
        <v>13</v>
      </c>
      <c r="AF141">
        <v>5</v>
      </c>
      <c r="AG141">
        <v>6</v>
      </c>
      <c r="AH141">
        <v>6</v>
      </c>
    </row>
    <row r="142" spans="1:34" x14ac:dyDescent="0.2">
      <c r="A142" s="102">
        <v>56</v>
      </c>
      <c r="B142">
        <v>6457</v>
      </c>
      <c r="C142" s="106" t="s">
        <v>311</v>
      </c>
      <c r="D142" s="106" t="s">
        <v>99</v>
      </c>
      <c r="E142">
        <v>3375</v>
      </c>
      <c r="F142">
        <v>3370</v>
      </c>
      <c r="G142">
        <v>300</v>
      </c>
      <c r="H142" s="106" t="s">
        <v>63</v>
      </c>
      <c r="I142">
        <v>6845</v>
      </c>
      <c r="J142" s="106" t="s">
        <v>304</v>
      </c>
      <c r="K142" s="106" t="s">
        <v>87</v>
      </c>
      <c r="L142">
        <v>3160</v>
      </c>
      <c r="M142">
        <v>3185</v>
      </c>
      <c r="N142">
        <v>300</v>
      </c>
      <c r="O142" s="106" t="s">
        <v>61</v>
      </c>
      <c r="P142">
        <v>0.94749272753954805</v>
      </c>
      <c r="Q142">
        <v>0.93857776898026501</v>
      </c>
      <c r="R142">
        <v>4.2337069808395002E-3</v>
      </c>
      <c r="S142" s="15">
        <v>2.1424216640667099E-2</v>
      </c>
      <c r="T142">
        <v>0.21553175186274701</v>
      </c>
      <c r="U142">
        <v>0.21553175186274701</v>
      </c>
      <c r="V142">
        <v>0.31</v>
      </c>
      <c r="W142">
        <v>5.49</v>
      </c>
      <c r="X142">
        <v>-22683</v>
      </c>
      <c r="Y142">
        <v>-2062</v>
      </c>
      <c r="Z142">
        <v>-0.06</v>
      </c>
      <c r="AA142">
        <v>11</v>
      </c>
      <c r="AB142">
        <v>6</v>
      </c>
      <c r="AC142">
        <v>5</v>
      </c>
      <c r="AD142">
        <v>54.55</v>
      </c>
      <c r="AE142">
        <v>15</v>
      </c>
      <c r="AF142">
        <v>2</v>
      </c>
      <c r="AG142">
        <v>1</v>
      </c>
      <c r="AH142">
        <v>8</v>
      </c>
    </row>
    <row r="143" spans="1:34" x14ac:dyDescent="0.2">
      <c r="A143" s="102">
        <v>47</v>
      </c>
      <c r="B143">
        <v>4519</v>
      </c>
      <c r="C143" s="106" t="s">
        <v>783</v>
      </c>
      <c r="D143" s="106" t="s">
        <v>135</v>
      </c>
      <c r="E143">
        <v>10000</v>
      </c>
      <c r="F143">
        <v>9960</v>
      </c>
      <c r="G143">
        <v>100</v>
      </c>
      <c r="H143" s="106" t="s">
        <v>61</v>
      </c>
      <c r="I143">
        <v>6920</v>
      </c>
      <c r="J143" s="106" t="s">
        <v>86</v>
      </c>
      <c r="K143" s="106" t="s">
        <v>87</v>
      </c>
      <c r="L143">
        <v>10290</v>
      </c>
      <c r="M143">
        <v>10830</v>
      </c>
      <c r="N143">
        <v>100</v>
      </c>
      <c r="O143" s="106" t="s">
        <v>63</v>
      </c>
      <c r="P143">
        <v>0.91814918078138996</v>
      </c>
      <c r="Q143">
        <v>0.94008673531670295</v>
      </c>
      <c r="R143">
        <v>0.15203797222106799</v>
      </c>
      <c r="S143">
        <v>3.7571972097044701E-2</v>
      </c>
      <c r="T143">
        <v>-2.3816946172995102</v>
      </c>
      <c r="U143">
        <v>2.3816946172995102</v>
      </c>
      <c r="V143">
        <v>-20.55</v>
      </c>
      <c r="W143">
        <v>8.0299999999999994</v>
      </c>
      <c r="X143">
        <v>-24389</v>
      </c>
      <c r="Y143">
        <v>-2217</v>
      </c>
      <c r="Z143">
        <v>-0.19</v>
      </c>
      <c r="AA143">
        <v>11</v>
      </c>
      <c r="AB143">
        <v>6</v>
      </c>
      <c r="AC143">
        <v>5</v>
      </c>
      <c r="AD143">
        <v>54.55</v>
      </c>
      <c r="AE143">
        <v>8</v>
      </c>
      <c r="AF143">
        <v>6</v>
      </c>
      <c r="AG143">
        <v>5</v>
      </c>
      <c r="AH143">
        <v>0</v>
      </c>
    </row>
    <row r="144" spans="1:34" x14ac:dyDescent="0.2">
      <c r="A144" s="102">
        <v>161</v>
      </c>
      <c r="B144">
        <v>6371</v>
      </c>
      <c r="C144" s="106" t="s">
        <v>108</v>
      </c>
      <c r="D144" s="106" t="s">
        <v>99</v>
      </c>
      <c r="E144">
        <v>3925</v>
      </c>
      <c r="F144">
        <v>3965</v>
      </c>
      <c r="G144">
        <v>200</v>
      </c>
      <c r="H144" s="106" t="s">
        <v>61</v>
      </c>
      <c r="I144">
        <v>7272</v>
      </c>
      <c r="J144" s="106" t="s">
        <v>297</v>
      </c>
      <c r="K144" s="106" t="s">
        <v>84</v>
      </c>
      <c r="L144">
        <v>2300</v>
      </c>
      <c r="M144">
        <v>2293</v>
      </c>
      <c r="N144">
        <v>300</v>
      </c>
      <c r="O144" s="106" t="s">
        <v>63</v>
      </c>
      <c r="P144">
        <v>0.90795900023300302</v>
      </c>
      <c r="Q144">
        <v>0.91104031262960705</v>
      </c>
      <c r="R144">
        <v>0.228894884993319</v>
      </c>
      <c r="S144">
        <v>1.0332377302796399E-2</v>
      </c>
      <c r="T144">
        <v>-4.22775174013066E-2</v>
      </c>
      <c r="U144">
        <v>4.22775174013066E-2</v>
      </c>
      <c r="V144">
        <v>-0.14000000000000001</v>
      </c>
      <c r="W144">
        <v>13.25</v>
      </c>
      <c r="X144">
        <v>-28954</v>
      </c>
      <c r="Y144">
        <v>-2632</v>
      </c>
      <c r="Z144">
        <v>-0.13</v>
      </c>
      <c r="AA144">
        <v>11</v>
      </c>
      <c r="AB144">
        <v>6</v>
      </c>
      <c r="AC144">
        <v>5</v>
      </c>
      <c r="AD144">
        <v>54.55</v>
      </c>
      <c r="AE144">
        <v>13</v>
      </c>
      <c r="AF144">
        <v>3</v>
      </c>
      <c r="AG144">
        <v>3</v>
      </c>
      <c r="AH144">
        <v>5</v>
      </c>
    </row>
    <row r="145" spans="1:34" x14ac:dyDescent="0.2">
      <c r="A145" s="102">
        <v>104</v>
      </c>
      <c r="B145">
        <v>2127</v>
      </c>
      <c r="C145" s="106" t="s">
        <v>1026</v>
      </c>
      <c r="D145" s="106" t="s">
        <v>120</v>
      </c>
      <c r="E145">
        <v>3645</v>
      </c>
      <c r="F145">
        <v>3680</v>
      </c>
      <c r="G145">
        <v>200</v>
      </c>
      <c r="H145" s="106" t="s">
        <v>61</v>
      </c>
      <c r="I145">
        <v>6028</v>
      </c>
      <c r="J145" s="106" t="s">
        <v>1027</v>
      </c>
      <c r="K145" s="106" t="s">
        <v>120</v>
      </c>
      <c r="L145">
        <v>7860</v>
      </c>
      <c r="M145">
        <v>7890</v>
      </c>
      <c r="N145">
        <v>100</v>
      </c>
      <c r="O145" s="106" t="s">
        <v>63</v>
      </c>
      <c r="P145">
        <v>0.915001927095626</v>
      </c>
      <c r="Q145">
        <v>0.92522982858060099</v>
      </c>
      <c r="R145" s="106">
        <v>0.17863768239560099</v>
      </c>
      <c r="S145">
        <v>4.9205249291191504E-4</v>
      </c>
      <c r="T145">
        <v>-0.78904871281710098</v>
      </c>
      <c r="U145">
        <v>0.78904871281710098</v>
      </c>
      <c r="V145">
        <v>-3.35</v>
      </c>
      <c r="W145">
        <v>6.72</v>
      </c>
      <c r="X145">
        <v>-29288</v>
      </c>
      <c r="Y145">
        <v>-2441</v>
      </c>
      <c r="Z145">
        <v>0.06</v>
      </c>
      <c r="AA145">
        <v>12</v>
      </c>
      <c r="AB145">
        <v>6</v>
      </c>
      <c r="AC145">
        <v>6</v>
      </c>
      <c r="AD145">
        <v>50</v>
      </c>
      <c r="AE145">
        <v>13</v>
      </c>
      <c r="AF145">
        <v>4</v>
      </c>
      <c r="AG145">
        <v>3</v>
      </c>
      <c r="AH145">
        <v>5</v>
      </c>
    </row>
    <row r="146" spans="1:34" x14ac:dyDescent="0.2">
      <c r="A146" s="102">
        <v>121</v>
      </c>
      <c r="B146">
        <v>4686</v>
      </c>
      <c r="C146" s="106" t="s">
        <v>978</v>
      </c>
      <c r="D146" s="106" t="s">
        <v>79</v>
      </c>
      <c r="E146">
        <v>6150</v>
      </c>
      <c r="F146">
        <v>6160</v>
      </c>
      <c r="G146">
        <v>100</v>
      </c>
      <c r="H146" s="106" t="s">
        <v>63</v>
      </c>
      <c r="I146">
        <v>6845</v>
      </c>
      <c r="J146" s="106" t="s">
        <v>304</v>
      </c>
      <c r="K146" s="106" t="s">
        <v>87</v>
      </c>
      <c r="L146">
        <v>3160</v>
      </c>
      <c r="M146">
        <v>3185</v>
      </c>
      <c r="N146">
        <v>200</v>
      </c>
      <c r="O146" s="106" t="s">
        <v>61</v>
      </c>
      <c r="P146">
        <v>0.92408272410232395</v>
      </c>
      <c r="Q146">
        <v>0.91997322931996695</v>
      </c>
      <c r="R146">
        <v>0.17761453056030699</v>
      </c>
      <c r="S146">
        <v>0.12808669399933301</v>
      </c>
      <c r="T146">
        <v>1.7452066529779</v>
      </c>
      <c r="U146">
        <v>1.7452066529779</v>
      </c>
      <c r="V146">
        <v>18.82</v>
      </c>
      <c r="W146">
        <v>3.41</v>
      </c>
      <c r="X146">
        <v>-33686</v>
      </c>
      <c r="Y146">
        <v>-1684</v>
      </c>
      <c r="Z146">
        <v>-0.16</v>
      </c>
      <c r="AA146">
        <v>20</v>
      </c>
      <c r="AB146">
        <v>11</v>
      </c>
      <c r="AC146">
        <v>9</v>
      </c>
      <c r="AD146">
        <v>55</v>
      </c>
      <c r="AE146">
        <v>10</v>
      </c>
      <c r="AF146">
        <v>10</v>
      </c>
      <c r="AG146">
        <v>8</v>
      </c>
      <c r="AH146">
        <v>2</v>
      </c>
    </row>
    <row r="147" spans="1:34" x14ac:dyDescent="0.2">
      <c r="A147" s="102">
        <v>136</v>
      </c>
      <c r="B147">
        <v>7282</v>
      </c>
      <c r="C147" s="106" t="s">
        <v>782</v>
      </c>
      <c r="D147" s="106" t="s">
        <v>84</v>
      </c>
      <c r="E147">
        <v>2822</v>
      </c>
      <c r="F147">
        <v>2790</v>
      </c>
      <c r="G147">
        <v>400</v>
      </c>
      <c r="H147" s="106" t="s">
        <v>63</v>
      </c>
      <c r="I147">
        <v>9810</v>
      </c>
      <c r="J147" s="106" t="s">
        <v>126</v>
      </c>
      <c r="K147" s="106" t="s">
        <v>101</v>
      </c>
      <c r="L147">
        <v>5300</v>
      </c>
      <c r="M147">
        <v>5310</v>
      </c>
      <c r="N147">
        <v>200</v>
      </c>
      <c r="O147" s="106" t="s">
        <v>61</v>
      </c>
      <c r="P147">
        <v>0.94325558850301106</v>
      </c>
      <c r="Q147">
        <v>0.91703540544479101</v>
      </c>
      <c r="R147">
        <v>0.2584520038209</v>
      </c>
      <c r="S147" s="15">
        <v>5.0662391018923801E-2</v>
      </c>
      <c r="T147">
        <v>0.77995680104990806</v>
      </c>
      <c r="U147">
        <v>0.77995680104990806</v>
      </c>
      <c r="V147">
        <v>2.4700000000000002</v>
      </c>
      <c r="W147">
        <v>5.08</v>
      </c>
      <c r="X147">
        <v>-34366</v>
      </c>
      <c r="Y147">
        <v>-2022</v>
      </c>
      <c r="Z147">
        <v>-0.2</v>
      </c>
      <c r="AA147">
        <v>17</v>
      </c>
      <c r="AB147">
        <v>9</v>
      </c>
      <c r="AC147">
        <v>8</v>
      </c>
      <c r="AD147">
        <v>52.94</v>
      </c>
      <c r="AE147">
        <v>12</v>
      </c>
      <c r="AF147">
        <v>5</v>
      </c>
      <c r="AG147">
        <v>6</v>
      </c>
      <c r="AH147">
        <v>6</v>
      </c>
    </row>
    <row r="148" spans="1:34" x14ac:dyDescent="0.2">
      <c r="A148" s="102">
        <v>125</v>
      </c>
      <c r="B148">
        <v>3635</v>
      </c>
      <c r="C148" s="106" t="s">
        <v>85</v>
      </c>
      <c r="D148" s="106" t="s">
        <v>79</v>
      </c>
      <c r="E148">
        <v>2844</v>
      </c>
      <c r="F148">
        <v>2878</v>
      </c>
      <c r="G148">
        <v>300</v>
      </c>
      <c r="H148" s="106" t="s">
        <v>63</v>
      </c>
      <c r="I148">
        <v>6951</v>
      </c>
      <c r="J148" s="106" t="s">
        <v>319</v>
      </c>
      <c r="K148" s="106" t="s">
        <v>87</v>
      </c>
      <c r="L148">
        <v>3225</v>
      </c>
      <c r="M148">
        <v>3210</v>
      </c>
      <c r="N148">
        <v>300</v>
      </c>
      <c r="O148" s="106" t="s">
        <v>61</v>
      </c>
      <c r="P148">
        <v>0.92331393422972996</v>
      </c>
      <c r="Q148">
        <v>0.91958217909524997</v>
      </c>
      <c r="R148">
        <v>1.21591923896871E-2</v>
      </c>
      <c r="S148" s="15">
        <v>5.3633107907584E-2</v>
      </c>
      <c r="T148">
        <v>0.65518106173579704</v>
      </c>
      <c r="U148">
        <v>0.65518106173579704</v>
      </c>
      <c r="V148">
        <v>2.39</v>
      </c>
      <c r="W148">
        <v>10.34</v>
      </c>
      <c r="X148">
        <v>-35613</v>
      </c>
      <c r="Y148">
        <v>-2544</v>
      </c>
      <c r="Z148">
        <v>-0.08</v>
      </c>
      <c r="AA148">
        <v>14</v>
      </c>
      <c r="AB148">
        <v>6</v>
      </c>
      <c r="AC148">
        <v>8</v>
      </c>
      <c r="AD148">
        <v>42.86</v>
      </c>
      <c r="AE148">
        <v>11</v>
      </c>
      <c r="AF148">
        <v>4</v>
      </c>
      <c r="AG148">
        <v>5</v>
      </c>
      <c r="AH148">
        <v>5</v>
      </c>
    </row>
    <row r="149" spans="1:34" x14ac:dyDescent="0.2">
      <c r="A149" s="102">
        <v>159</v>
      </c>
      <c r="B149">
        <v>1973</v>
      </c>
      <c r="C149" s="106" t="s">
        <v>307</v>
      </c>
      <c r="D149" s="106" t="s">
        <v>79</v>
      </c>
      <c r="E149">
        <v>3560</v>
      </c>
      <c r="F149">
        <v>3580</v>
      </c>
      <c r="G149">
        <v>200</v>
      </c>
      <c r="H149" s="106" t="s">
        <v>61</v>
      </c>
      <c r="I149">
        <v>9706</v>
      </c>
      <c r="J149" s="106" t="s">
        <v>333</v>
      </c>
      <c r="K149" s="106" t="s">
        <v>114</v>
      </c>
      <c r="L149">
        <v>6140</v>
      </c>
      <c r="M149">
        <v>6170</v>
      </c>
      <c r="N149">
        <v>100</v>
      </c>
      <c r="O149" s="106" t="s">
        <v>63</v>
      </c>
      <c r="P149">
        <v>0.91471644468721802</v>
      </c>
      <c r="Q149">
        <v>0.91262093110713005</v>
      </c>
      <c r="R149">
        <v>0.17233372836031899</v>
      </c>
      <c r="S149">
        <v>0.17208573032493499</v>
      </c>
      <c r="T149">
        <v>-1.6398438589245601</v>
      </c>
      <c r="U149">
        <v>1.6398438589245601</v>
      </c>
      <c r="V149">
        <v>-7.02</v>
      </c>
      <c r="W149">
        <v>16.05</v>
      </c>
      <c r="X149">
        <v>-36231</v>
      </c>
      <c r="Y149">
        <v>-1725</v>
      </c>
      <c r="Z149">
        <v>-0.06</v>
      </c>
      <c r="AA149">
        <v>21</v>
      </c>
      <c r="AB149">
        <v>9</v>
      </c>
      <c r="AC149">
        <v>12</v>
      </c>
      <c r="AD149">
        <v>42.86</v>
      </c>
      <c r="AE149">
        <v>10</v>
      </c>
      <c r="AF149">
        <v>8</v>
      </c>
      <c r="AG149">
        <v>8</v>
      </c>
      <c r="AH149">
        <v>5</v>
      </c>
    </row>
    <row r="150" spans="1:34" x14ac:dyDescent="0.2">
      <c r="A150" s="102">
        <v>89</v>
      </c>
      <c r="B150">
        <v>4182</v>
      </c>
      <c r="C150" s="106" t="s">
        <v>88</v>
      </c>
      <c r="D150" s="106" t="s">
        <v>62</v>
      </c>
      <c r="E150">
        <v>1702</v>
      </c>
      <c r="F150">
        <v>1691</v>
      </c>
      <c r="G150">
        <v>600</v>
      </c>
      <c r="H150" s="106" t="s">
        <v>63</v>
      </c>
      <c r="I150">
        <v>7267</v>
      </c>
      <c r="J150" s="106" t="s">
        <v>118</v>
      </c>
      <c r="K150" s="106" t="s">
        <v>84</v>
      </c>
      <c r="L150">
        <v>3178</v>
      </c>
      <c r="M150">
        <v>3170</v>
      </c>
      <c r="N150">
        <v>300</v>
      </c>
      <c r="O150" s="106" t="s">
        <v>61</v>
      </c>
      <c r="P150">
        <v>0.94110860868933799</v>
      </c>
      <c r="Q150">
        <v>0.93023655580172404</v>
      </c>
      <c r="R150">
        <v>7.2584303316686099E-3</v>
      </c>
      <c r="S150">
        <v>1.4199322364252301E-2</v>
      </c>
      <c r="T150">
        <v>0.70874683965638097</v>
      </c>
      <c r="U150">
        <v>0.70874683965638097</v>
      </c>
      <c r="V150">
        <v>2.4500000000000002</v>
      </c>
      <c r="W150">
        <v>6.69</v>
      </c>
      <c r="X150">
        <v>-37808</v>
      </c>
      <c r="Y150">
        <v>-2224</v>
      </c>
      <c r="Z150">
        <v>-0.18</v>
      </c>
      <c r="AA150">
        <v>17</v>
      </c>
      <c r="AB150">
        <v>11</v>
      </c>
      <c r="AC150">
        <v>6</v>
      </c>
      <c r="AD150">
        <v>64.709999999999994</v>
      </c>
      <c r="AE150">
        <v>14</v>
      </c>
      <c r="AF150">
        <v>4</v>
      </c>
      <c r="AG150">
        <v>4</v>
      </c>
      <c r="AH150">
        <v>9</v>
      </c>
    </row>
    <row r="151" spans="1:34" x14ac:dyDescent="0.2">
      <c r="A151" s="102">
        <v>179</v>
      </c>
      <c r="B151">
        <v>7205</v>
      </c>
      <c r="C151" s="106" t="s">
        <v>117</v>
      </c>
      <c r="D151" s="106" t="s">
        <v>84</v>
      </c>
      <c r="E151">
        <v>1174</v>
      </c>
      <c r="F151">
        <v>1170</v>
      </c>
      <c r="G151">
        <v>900</v>
      </c>
      <c r="H151" s="106" t="s">
        <v>63</v>
      </c>
      <c r="I151">
        <v>8002</v>
      </c>
      <c r="J151" s="106" t="s">
        <v>31</v>
      </c>
      <c r="K151" s="106" t="s">
        <v>101</v>
      </c>
      <c r="L151">
        <v>819.4</v>
      </c>
      <c r="M151">
        <v>816</v>
      </c>
      <c r="N151">
        <v>1300</v>
      </c>
      <c r="O151" s="106" t="s">
        <v>61</v>
      </c>
      <c r="P151">
        <v>0.95674990205738297</v>
      </c>
      <c r="Q151">
        <v>0.90631700363745205</v>
      </c>
      <c r="R151">
        <v>6.6478446088254997E-2</v>
      </c>
      <c r="S151">
        <v>2.9539090904972899E-2</v>
      </c>
      <c r="T151">
        <v>2.14580190712226</v>
      </c>
      <c r="U151">
        <v>2.14580190712226</v>
      </c>
      <c r="V151">
        <v>9.16</v>
      </c>
      <c r="W151">
        <v>0.74</v>
      </c>
      <c r="X151">
        <v>-42476</v>
      </c>
      <c r="Y151">
        <v>-2655</v>
      </c>
      <c r="Z151">
        <v>-0.13</v>
      </c>
      <c r="AA151">
        <v>16</v>
      </c>
      <c r="AB151">
        <v>7</v>
      </c>
      <c r="AC151">
        <v>9</v>
      </c>
      <c r="AD151">
        <v>43.75</v>
      </c>
      <c r="AE151">
        <v>16</v>
      </c>
      <c r="AF151">
        <v>2</v>
      </c>
      <c r="AG151">
        <v>2</v>
      </c>
      <c r="AH151">
        <v>12</v>
      </c>
    </row>
    <row r="152" spans="1:34" x14ac:dyDescent="0.2">
      <c r="A152" s="102">
        <v>74</v>
      </c>
      <c r="B152">
        <v>6755</v>
      </c>
      <c r="C152" s="106" t="s">
        <v>980</v>
      </c>
      <c r="D152" s="106" t="s">
        <v>87</v>
      </c>
      <c r="E152">
        <v>2417</v>
      </c>
      <c r="F152">
        <v>2431</v>
      </c>
      <c r="G152">
        <v>300</v>
      </c>
      <c r="H152" s="106" t="s">
        <v>63</v>
      </c>
      <c r="I152">
        <v>9934</v>
      </c>
      <c r="J152" s="106" t="s">
        <v>779</v>
      </c>
      <c r="K152" s="106" t="s">
        <v>101</v>
      </c>
      <c r="L152">
        <v>2783</v>
      </c>
      <c r="M152">
        <v>2809</v>
      </c>
      <c r="N152">
        <v>300</v>
      </c>
      <c r="O152" s="106" t="s">
        <v>61</v>
      </c>
      <c r="P152">
        <v>0.96562220168479096</v>
      </c>
      <c r="Q152">
        <v>0.93364261389138303</v>
      </c>
      <c r="R152" s="15">
        <v>1.5548691303363801E-3</v>
      </c>
      <c r="S152" s="15">
        <v>1.2916711382387101E-3</v>
      </c>
      <c r="T152">
        <v>2.3829092698454302</v>
      </c>
      <c r="U152">
        <v>2.3829092698454302</v>
      </c>
      <c r="V152">
        <v>10.8</v>
      </c>
      <c r="W152">
        <v>13.46</v>
      </c>
      <c r="X152">
        <v>-49150</v>
      </c>
      <c r="Y152">
        <v>-3072</v>
      </c>
      <c r="Z152">
        <v>-0.13</v>
      </c>
      <c r="AA152">
        <v>16</v>
      </c>
      <c r="AB152">
        <v>7</v>
      </c>
      <c r="AC152">
        <v>9</v>
      </c>
      <c r="AD152">
        <v>43.75</v>
      </c>
      <c r="AE152">
        <v>14</v>
      </c>
      <c r="AF152">
        <v>4</v>
      </c>
      <c r="AG152">
        <v>3</v>
      </c>
      <c r="AH152">
        <v>9</v>
      </c>
    </row>
    <row r="153" spans="1:34" x14ac:dyDescent="0.2">
      <c r="A153" s="102">
        <v>143</v>
      </c>
      <c r="B153">
        <v>3110</v>
      </c>
      <c r="C153" s="106" t="s">
        <v>1005</v>
      </c>
      <c r="D153" s="106" t="s">
        <v>106</v>
      </c>
      <c r="E153">
        <v>4385</v>
      </c>
      <c r="F153">
        <v>4430</v>
      </c>
      <c r="G153">
        <v>200</v>
      </c>
      <c r="H153" s="106" t="s">
        <v>63</v>
      </c>
      <c r="I153">
        <v>8425</v>
      </c>
      <c r="J153" s="106" t="s">
        <v>315</v>
      </c>
      <c r="K153" s="106" t="s">
        <v>296</v>
      </c>
      <c r="L153">
        <v>3445</v>
      </c>
      <c r="M153">
        <v>3460</v>
      </c>
      <c r="N153">
        <v>300</v>
      </c>
      <c r="O153" s="106" t="s">
        <v>61</v>
      </c>
      <c r="P153">
        <v>0.92434083408446199</v>
      </c>
      <c r="Q153">
        <v>0.91589352962422199</v>
      </c>
      <c r="R153" s="106">
        <v>0.22771628641005101</v>
      </c>
      <c r="S153" s="15">
        <v>0.244035685298573</v>
      </c>
      <c r="T153">
        <v>1.77358541949673</v>
      </c>
      <c r="U153">
        <v>1.77358541949673</v>
      </c>
      <c r="V153">
        <v>11.06</v>
      </c>
      <c r="W153">
        <v>17.16</v>
      </c>
      <c r="X153">
        <v>-57642</v>
      </c>
      <c r="Y153">
        <v>-3391</v>
      </c>
      <c r="Z153">
        <v>-0.1</v>
      </c>
      <c r="AA153">
        <v>17</v>
      </c>
      <c r="AB153">
        <v>9</v>
      </c>
      <c r="AC153">
        <v>8</v>
      </c>
      <c r="AD153">
        <v>52.94</v>
      </c>
      <c r="AE153">
        <v>11</v>
      </c>
      <c r="AF153">
        <v>8</v>
      </c>
      <c r="AG153">
        <v>6</v>
      </c>
      <c r="AH153">
        <v>3</v>
      </c>
    </row>
    <row r="154" spans="1:34" x14ac:dyDescent="0.2">
      <c r="A154" s="102">
        <v>118</v>
      </c>
      <c r="B154">
        <v>6479</v>
      </c>
      <c r="C154" s="106" t="s">
        <v>1019</v>
      </c>
      <c r="D154" s="106" t="s">
        <v>87</v>
      </c>
      <c r="E154">
        <v>2275</v>
      </c>
      <c r="F154">
        <v>2315</v>
      </c>
      <c r="G154">
        <v>400</v>
      </c>
      <c r="H154" s="106" t="s">
        <v>61</v>
      </c>
      <c r="I154">
        <v>6807</v>
      </c>
      <c r="J154" s="106" t="s">
        <v>331</v>
      </c>
      <c r="K154" s="106" t="s">
        <v>87</v>
      </c>
      <c r="L154">
        <v>2270</v>
      </c>
      <c r="M154">
        <v>2291</v>
      </c>
      <c r="N154">
        <v>400</v>
      </c>
      <c r="O154" s="106" t="s">
        <v>63</v>
      </c>
      <c r="P154">
        <v>0.97570751253904597</v>
      </c>
      <c r="Q154">
        <v>0.92113467946173699</v>
      </c>
      <c r="R154">
        <v>6.0736412618598104E-4</v>
      </c>
      <c r="S154" s="15">
        <v>3.2655327632926598E-2</v>
      </c>
      <c r="T154">
        <v>-0.94244724093741294</v>
      </c>
      <c r="U154">
        <v>0.94244724093741294</v>
      </c>
      <c r="V154">
        <v>-6.42</v>
      </c>
      <c r="W154">
        <v>1.04</v>
      </c>
      <c r="X154">
        <v>-60393</v>
      </c>
      <c r="Y154">
        <v>-3020</v>
      </c>
      <c r="Z154">
        <v>-0.18</v>
      </c>
      <c r="AA154">
        <v>20</v>
      </c>
      <c r="AB154">
        <v>9</v>
      </c>
      <c r="AC154">
        <v>11</v>
      </c>
      <c r="AD154">
        <v>45</v>
      </c>
      <c r="AE154">
        <v>12</v>
      </c>
      <c r="AF154">
        <v>7</v>
      </c>
      <c r="AG154">
        <v>7</v>
      </c>
      <c r="AH154">
        <v>6</v>
      </c>
    </row>
    <row r="155" spans="1:34" x14ac:dyDescent="0.2">
      <c r="A155" s="102">
        <v>8</v>
      </c>
      <c r="B155">
        <v>6457</v>
      </c>
      <c r="C155" s="106" t="s">
        <v>311</v>
      </c>
      <c r="D155" s="106" t="s">
        <v>99</v>
      </c>
      <c r="E155">
        <v>3375</v>
      </c>
      <c r="F155">
        <v>3370</v>
      </c>
      <c r="G155">
        <v>200</v>
      </c>
      <c r="H155" s="106" t="s">
        <v>63</v>
      </c>
      <c r="I155">
        <v>7203</v>
      </c>
      <c r="J155" s="106" t="s">
        <v>325</v>
      </c>
      <c r="K155" s="106" t="s">
        <v>84</v>
      </c>
      <c r="L155">
        <v>7830</v>
      </c>
      <c r="M155">
        <v>7744</v>
      </c>
      <c r="N155">
        <v>100</v>
      </c>
      <c r="O155" s="106" t="s">
        <v>61</v>
      </c>
      <c r="P155">
        <v>0.93690485585058503</v>
      </c>
      <c r="Q155">
        <v>0.96027112090352895</v>
      </c>
      <c r="R155">
        <v>6.9376470504169202E-2</v>
      </c>
      <c r="S155">
        <v>9.2436276610705498E-3</v>
      </c>
      <c r="T155">
        <v>1.46294238380108</v>
      </c>
      <c r="U155">
        <v>1.46294238380108</v>
      </c>
      <c r="V155">
        <v>2.42</v>
      </c>
      <c r="W155">
        <v>12.96</v>
      </c>
      <c r="X155">
        <v>-61118</v>
      </c>
      <c r="Y155">
        <v>-12224</v>
      </c>
      <c r="Z155">
        <v>-0.8</v>
      </c>
      <c r="AA155">
        <v>5</v>
      </c>
      <c r="AB155">
        <v>2</v>
      </c>
      <c r="AC155">
        <v>3</v>
      </c>
      <c r="AD155">
        <v>40</v>
      </c>
      <c r="AE155">
        <v>14</v>
      </c>
      <c r="AF155">
        <v>2</v>
      </c>
      <c r="AG155">
        <v>3</v>
      </c>
      <c r="AH155">
        <v>0</v>
      </c>
    </row>
    <row r="156" spans="1:34" x14ac:dyDescent="0.2">
      <c r="A156" s="102">
        <v>83</v>
      </c>
      <c r="B156">
        <v>6702</v>
      </c>
      <c r="C156" s="106" t="s">
        <v>328</v>
      </c>
      <c r="D156" s="106" t="s">
        <v>87</v>
      </c>
      <c r="E156">
        <v>10255</v>
      </c>
      <c r="F156">
        <v>10410</v>
      </c>
      <c r="G156">
        <v>100</v>
      </c>
      <c r="H156" s="106" t="s">
        <v>63</v>
      </c>
      <c r="I156">
        <v>9934</v>
      </c>
      <c r="J156" s="106" t="s">
        <v>779</v>
      </c>
      <c r="K156" s="106" t="s">
        <v>101</v>
      </c>
      <c r="L156">
        <v>2783</v>
      </c>
      <c r="M156">
        <v>2809</v>
      </c>
      <c r="N156">
        <v>400</v>
      </c>
      <c r="O156" s="106" t="s">
        <v>61</v>
      </c>
      <c r="P156">
        <v>0.91100577053818899</v>
      </c>
      <c r="Q156">
        <v>0.93161064126016002</v>
      </c>
      <c r="R156">
        <v>0.35510460789381798</v>
      </c>
      <c r="S156" s="15">
        <v>1.0635139509259E-3</v>
      </c>
      <c r="T156">
        <v>0.407212062297785</v>
      </c>
      <c r="U156">
        <v>0.407212062297785</v>
      </c>
      <c r="V156">
        <v>1.1299999999999999</v>
      </c>
      <c r="W156">
        <v>7.93</v>
      </c>
      <c r="X156">
        <v>-69216</v>
      </c>
      <c r="Y156">
        <v>-4072</v>
      </c>
      <c r="Z156">
        <v>-0.4</v>
      </c>
      <c r="AA156">
        <v>17</v>
      </c>
      <c r="AB156">
        <v>4</v>
      </c>
      <c r="AC156">
        <v>13</v>
      </c>
      <c r="AD156">
        <v>23.53</v>
      </c>
      <c r="AE156">
        <v>14</v>
      </c>
      <c r="AF156">
        <v>4</v>
      </c>
      <c r="AG156">
        <v>3</v>
      </c>
      <c r="AH156">
        <v>10</v>
      </c>
    </row>
    <row r="157" spans="1:34" x14ac:dyDescent="0.2">
      <c r="A157" s="102">
        <v>76</v>
      </c>
      <c r="B157">
        <v>3231</v>
      </c>
      <c r="C157" s="106" t="s">
        <v>792</v>
      </c>
      <c r="D157" s="106" t="s">
        <v>114</v>
      </c>
      <c r="E157">
        <v>2669</v>
      </c>
      <c r="F157">
        <v>2691</v>
      </c>
      <c r="G157">
        <v>400</v>
      </c>
      <c r="H157" s="106" t="s">
        <v>61</v>
      </c>
      <c r="I157">
        <v>6951</v>
      </c>
      <c r="J157" s="106" t="s">
        <v>319</v>
      </c>
      <c r="K157" s="106" t="s">
        <v>87</v>
      </c>
      <c r="L157">
        <v>3225</v>
      </c>
      <c r="M157">
        <v>3210</v>
      </c>
      <c r="N157">
        <v>300</v>
      </c>
      <c r="O157" s="106" t="s">
        <v>63</v>
      </c>
      <c r="P157">
        <v>0.92430996660284503</v>
      </c>
      <c r="Q157">
        <v>0.93329712168970402</v>
      </c>
      <c r="R157" s="106">
        <v>9.3419661292919204E-2</v>
      </c>
      <c r="S157">
        <v>3.58296379856319E-2</v>
      </c>
      <c r="T157">
        <v>-1.2295176760623501</v>
      </c>
      <c r="U157">
        <v>1.2295176760623501</v>
      </c>
      <c r="V157">
        <v>-6.41</v>
      </c>
      <c r="W157">
        <v>11.78</v>
      </c>
      <c r="X157">
        <v>-74636</v>
      </c>
      <c r="Y157">
        <v>-4665</v>
      </c>
      <c r="Z157">
        <v>-0.19</v>
      </c>
      <c r="AA157">
        <v>16</v>
      </c>
      <c r="AB157">
        <v>9</v>
      </c>
      <c r="AC157">
        <v>7</v>
      </c>
      <c r="AD157">
        <v>56.25</v>
      </c>
      <c r="AE157">
        <v>8</v>
      </c>
      <c r="AF157">
        <v>7</v>
      </c>
      <c r="AG157">
        <v>6</v>
      </c>
      <c r="AH157">
        <v>3</v>
      </c>
    </row>
    <row r="158" spans="1:34" x14ac:dyDescent="0.2">
      <c r="A158" s="102">
        <v>163</v>
      </c>
      <c r="B158">
        <v>6752</v>
      </c>
      <c r="C158" s="106" t="s">
        <v>105</v>
      </c>
      <c r="D158" s="106" t="s">
        <v>87</v>
      </c>
      <c r="E158">
        <v>1020</v>
      </c>
      <c r="F158">
        <v>1016.5</v>
      </c>
      <c r="G158">
        <v>1000</v>
      </c>
      <c r="H158" s="106" t="s">
        <v>61</v>
      </c>
      <c r="I158">
        <v>8795</v>
      </c>
      <c r="J158" s="106" t="s">
        <v>134</v>
      </c>
      <c r="K158" s="106" t="s">
        <v>110</v>
      </c>
      <c r="L158">
        <v>1429</v>
      </c>
      <c r="M158">
        <v>1433</v>
      </c>
      <c r="N158">
        <v>700</v>
      </c>
      <c r="O158" s="106" t="s">
        <v>63</v>
      </c>
      <c r="P158">
        <v>0.90524543736923602</v>
      </c>
      <c r="Q158">
        <v>0.91052373189302604</v>
      </c>
      <c r="R158" s="15">
        <v>4.6756204401709599E-2</v>
      </c>
      <c r="S158" s="15">
        <v>6.1995489679687E-3</v>
      </c>
      <c r="T158">
        <v>-2.8140612143613999</v>
      </c>
      <c r="U158">
        <v>2.8140612143613999</v>
      </c>
      <c r="V158">
        <v>-8.11</v>
      </c>
      <c r="W158">
        <v>1.34</v>
      </c>
      <c r="X158">
        <v>-86216</v>
      </c>
      <c r="Y158">
        <v>-5388</v>
      </c>
      <c r="Z158">
        <v>-0.22</v>
      </c>
      <c r="AA158">
        <v>16</v>
      </c>
      <c r="AB158">
        <v>6</v>
      </c>
      <c r="AC158">
        <v>10</v>
      </c>
      <c r="AD158">
        <v>37.5</v>
      </c>
      <c r="AE158">
        <v>14</v>
      </c>
      <c r="AF158">
        <v>4</v>
      </c>
      <c r="AG158">
        <v>5</v>
      </c>
      <c r="AH158">
        <v>7</v>
      </c>
    </row>
    <row r="159" spans="1:34" x14ac:dyDescent="0.2">
      <c r="A159" s="102">
        <v>182</v>
      </c>
      <c r="B159">
        <v>7327</v>
      </c>
      <c r="C159" s="106" t="s">
        <v>140</v>
      </c>
      <c r="D159" s="106" t="s">
        <v>82</v>
      </c>
      <c r="E159">
        <v>3070</v>
      </c>
      <c r="F159">
        <v>3100</v>
      </c>
      <c r="G159">
        <v>300</v>
      </c>
      <c r="H159" s="106" t="s">
        <v>61</v>
      </c>
      <c r="I159">
        <v>7817</v>
      </c>
      <c r="J159" s="106" t="s">
        <v>1031</v>
      </c>
      <c r="K159" s="106" t="s">
        <v>1032</v>
      </c>
      <c r="L159">
        <v>4610</v>
      </c>
      <c r="M159">
        <v>4680</v>
      </c>
      <c r="N159">
        <v>200</v>
      </c>
      <c r="O159" s="106" t="s">
        <v>63</v>
      </c>
      <c r="P159">
        <v>0.92570547412969495</v>
      </c>
      <c r="Q159">
        <v>0.904977258329413</v>
      </c>
      <c r="R159">
        <v>0.109553345037877</v>
      </c>
      <c r="S159">
        <v>0.113428430411479</v>
      </c>
      <c r="T159">
        <v>-0.60109641713228501</v>
      </c>
      <c r="U159">
        <v>0.60109641713228501</v>
      </c>
      <c r="V159">
        <v>-1.8</v>
      </c>
      <c r="W159">
        <v>0.64</v>
      </c>
      <c r="X159">
        <v>-96389</v>
      </c>
      <c r="Y159">
        <v>-96389</v>
      </c>
      <c r="Z159">
        <v>-4.83</v>
      </c>
      <c r="AA159">
        <v>1</v>
      </c>
      <c r="AB159">
        <v>0</v>
      </c>
      <c r="AC159">
        <v>1</v>
      </c>
      <c r="AD159">
        <v>0</v>
      </c>
      <c r="AE159">
        <v>7</v>
      </c>
      <c r="AF159">
        <v>0</v>
      </c>
      <c r="AG159">
        <v>1</v>
      </c>
      <c r="AH159">
        <v>0</v>
      </c>
    </row>
    <row r="160" spans="1:34" x14ac:dyDescent="0.2">
      <c r="A160" s="102">
        <v>72</v>
      </c>
      <c r="B160">
        <v>6702</v>
      </c>
      <c r="C160" s="106" t="s">
        <v>328</v>
      </c>
      <c r="D160" s="106" t="s">
        <v>87</v>
      </c>
      <c r="E160">
        <v>10255</v>
      </c>
      <c r="F160">
        <v>10410</v>
      </c>
      <c r="G160">
        <v>100</v>
      </c>
      <c r="H160" s="106" t="s">
        <v>63</v>
      </c>
      <c r="I160">
        <v>6845</v>
      </c>
      <c r="J160" s="106" t="s">
        <v>304</v>
      </c>
      <c r="K160" s="106" t="s">
        <v>87</v>
      </c>
      <c r="L160">
        <v>3160</v>
      </c>
      <c r="M160">
        <v>3185</v>
      </c>
      <c r="N160">
        <v>300</v>
      </c>
      <c r="O160" s="106" t="s">
        <v>61</v>
      </c>
      <c r="P160">
        <v>0.91495687508074697</v>
      </c>
      <c r="Q160">
        <v>0.93408767672237103</v>
      </c>
      <c r="R160">
        <v>9.3198782030340599E-2</v>
      </c>
      <c r="S160" s="15">
        <v>2.0484286833754799E-2</v>
      </c>
      <c r="T160">
        <v>2.1480570129699199</v>
      </c>
      <c r="U160">
        <v>2.1480570129699199</v>
      </c>
      <c r="V160">
        <v>6.15</v>
      </c>
      <c r="W160">
        <v>8.2100000000000009</v>
      </c>
      <c r="X160">
        <v>-105326</v>
      </c>
      <c r="Y160">
        <v>-8102</v>
      </c>
      <c r="Z160">
        <v>-0.61</v>
      </c>
      <c r="AA160">
        <v>13</v>
      </c>
      <c r="AB160">
        <v>6</v>
      </c>
      <c r="AC160">
        <v>7</v>
      </c>
      <c r="AD160">
        <v>46.15</v>
      </c>
      <c r="AE160">
        <v>13</v>
      </c>
      <c r="AF160">
        <v>4</v>
      </c>
      <c r="AG160">
        <v>3</v>
      </c>
      <c r="AH160">
        <v>6</v>
      </c>
    </row>
    <row r="161" spans="1:34" x14ac:dyDescent="0.2">
      <c r="A161" s="102">
        <v>102</v>
      </c>
      <c r="B161">
        <v>4204</v>
      </c>
      <c r="C161" s="106" t="s">
        <v>320</v>
      </c>
      <c r="D161" s="106" t="s">
        <v>62</v>
      </c>
      <c r="E161">
        <v>1929</v>
      </c>
      <c r="F161">
        <v>1924</v>
      </c>
      <c r="G161">
        <v>500</v>
      </c>
      <c r="H161" s="106" t="s">
        <v>61</v>
      </c>
      <c r="I161">
        <v>5947</v>
      </c>
      <c r="J161" s="106" t="s">
        <v>321</v>
      </c>
      <c r="K161" s="106" t="s">
        <v>116</v>
      </c>
      <c r="L161">
        <v>8650</v>
      </c>
      <c r="M161">
        <v>8690</v>
      </c>
      <c r="N161">
        <v>100</v>
      </c>
      <c r="O161" s="106" t="s">
        <v>63</v>
      </c>
      <c r="P161">
        <v>0.93227090789619704</v>
      </c>
      <c r="Q161">
        <v>0.92572859762793203</v>
      </c>
      <c r="R161">
        <v>9.7703468253798401E-2</v>
      </c>
      <c r="S161">
        <v>2.9365092017735002E-3</v>
      </c>
      <c r="T161">
        <v>-1.2712766014397101</v>
      </c>
      <c r="U161">
        <v>1.2712766014397101</v>
      </c>
      <c r="V161">
        <v>-3.32</v>
      </c>
      <c r="W161">
        <v>10.7</v>
      </c>
      <c r="X161">
        <v>-110401</v>
      </c>
      <c r="Y161">
        <v>-7886</v>
      </c>
      <c r="Z161">
        <v>-0.25</v>
      </c>
      <c r="AA161">
        <v>14</v>
      </c>
      <c r="AB161">
        <v>7</v>
      </c>
      <c r="AC161">
        <v>7</v>
      </c>
      <c r="AD161">
        <v>50</v>
      </c>
      <c r="AE161">
        <v>16</v>
      </c>
      <c r="AF161">
        <v>4</v>
      </c>
      <c r="AG161">
        <v>2</v>
      </c>
      <c r="AH161">
        <v>8</v>
      </c>
    </row>
    <row r="162" spans="1:34" x14ac:dyDescent="0.2">
      <c r="A162" s="102">
        <v>66</v>
      </c>
      <c r="B162">
        <v>7181</v>
      </c>
      <c r="C162" s="106" t="s">
        <v>136</v>
      </c>
      <c r="D162" s="106" t="s">
        <v>110</v>
      </c>
      <c r="E162">
        <v>1904</v>
      </c>
      <c r="F162">
        <v>1907</v>
      </c>
      <c r="G162">
        <v>500</v>
      </c>
      <c r="H162" s="106" t="s">
        <v>61</v>
      </c>
      <c r="I162">
        <v>9603</v>
      </c>
      <c r="J162" s="106" t="s">
        <v>1033</v>
      </c>
      <c r="K162" s="106" t="s">
        <v>120</v>
      </c>
      <c r="L162">
        <v>3145</v>
      </c>
      <c r="M162">
        <v>3130</v>
      </c>
      <c r="N162">
        <v>300</v>
      </c>
      <c r="O162" s="106" t="s">
        <v>63</v>
      </c>
      <c r="P162">
        <v>0.96463147947780803</v>
      </c>
      <c r="Q162">
        <v>0.93635319103848802</v>
      </c>
      <c r="R162" s="15">
        <v>1.1893549112869299E-3</v>
      </c>
      <c r="S162">
        <v>0.19325154737842401</v>
      </c>
      <c r="T162">
        <v>-0.34287300108230601</v>
      </c>
      <c r="U162">
        <v>0.34287300108230601</v>
      </c>
      <c r="V162">
        <v>-0.75</v>
      </c>
      <c r="W162">
        <v>1.54</v>
      </c>
      <c r="X162">
        <v>-110956</v>
      </c>
      <c r="Y162">
        <v>-7397</v>
      </c>
      <c r="Z162">
        <v>-0.38</v>
      </c>
      <c r="AA162">
        <v>15</v>
      </c>
      <c r="AB162">
        <v>6</v>
      </c>
      <c r="AC162">
        <v>9</v>
      </c>
      <c r="AD162">
        <v>40</v>
      </c>
      <c r="AE162">
        <v>11</v>
      </c>
      <c r="AF162">
        <v>5</v>
      </c>
      <c r="AG162">
        <v>7</v>
      </c>
      <c r="AH162">
        <v>3</v>
      </c>
    </row>
    <row r="163" spans="1:34" x14ac:dyDescent="0.2">
      <c r="A163" s="102">
        <v>13</v>
      </c>
      <c r="B163">
        <v>2413</v>
      </c>
      <c r="C163" s="106" t="s">
        <v>977</v>
      </c>
      <c r="D163" s="106" t="s">
        <v>120</v>
      </c>
      <c r="E163">
        <v>3180</v>
      </c>
      <c r="F163">
        <v>3195</v>
      </c>
      <c r="G163">
        <v>300</v>
      </c>
      <c r="H163" s="106" t="s">
        <v>61</v>
      </c>
      <c r="I163">
        <v>3110</v>
      </c>
      <c r="J163" s="106" t="s">
        <v>1005</v>
      </c>
      <c r="K163" s="106" t="s">
        <v>106</v>
      </c>
      <c r="L163">
        <v>4385</v>
      </c>
      <c r="M163">
        <v>4430</v>
      </c>
      <c r="N163">
        <v>200</v>
      </c>
      <c r="O163" s="106" t="s">
        <v>63</v>
      </c>
      <c r="P163">
        <v>0.95037425026837796</v>
      </c>
      <c r="Q163">
        <v>0.95844753526110904</v>
      </c>
      <c r="R163">
        <v>7.8345199154494199E-2</v>
      </c>
      <c r="S163" s="15">
        <v>8.1584319043814399E-2</v>
      </c>
      <c r="T163">
        <v>-1.5018178898069201</v>
      </c>
      <c r="U163">
        <v>1.5018178898069201</v>
      </c>
      <c r="V163">
        <v>-7.71</v>
      </c>
      <c r="W163">
        <v>8.18</v>
      </c>
      <c r="X163">
        <v>-115949</v>
      </c>
      <c r="Y163">
        <v>-6821</v>
      </c>
      <c r="Z163">
        <v>-0.22</v>
      </c>
      <c r="AA163">
        <v>17</v>
      </c>
      <c r="AB163">
        <v>8</v>
      </c>
      <c r="AC163">
        <v>9</v>
      </c>
      <c r="AD163">
        <v>47.06</v>
      </c>
      <c r="AE163">
        <v>10</v>
      </c>
      <c r="AF163">
        <v>5</v>
      </c>
      <c r="AG163">
        <v>8</v>
      </c>
      <c r="AH163">
        <v>4</v>
      </c>
    </row>
    <row r="164" spans="1:34" x14ac:dyDescent="0.2">
      <c r="A164" s="102">
        <v>29</v>
      </c>
      <c r="B164">
        <v>4062</v>
      </c>
      <c r="C164" s="106" t="s">
        <v>322</v>
      </c>
      <c r="D164" s="106" t="s">
        <v>87</v>
      </c>
      <c r="E164">
        <v>2640</v>
      </c>
      <c r="F164">
        <v>2659</v>
      </c>
      <c r="G164">
        <v>400</v>
      </c>
      <c r="H164" s="106" t="s">
        <v>61</v>
      </c>
      <c r="I164">
        <v>6951</v>
      </c>
      <c r="J164" s="106" t="s">
        <v>319</v>
      </c>
      <c r="K164" s="106" t="s">
        <v>87</v>
      </c>
      <c r="L164">
        <v>3225</v>
      </c>
      <c r="M164">
        <v>3210</v>
      </c>
      <c r="N164">
        <v>300</v>
      </c>
      <c r="O164" s="106" t="s">
        <v>63</v>
      </c>
      <c r="P164">
        <v>0.94419945908368397</v>
      </c>
      <c r="Q164">
        <v>0.94783081831318405</v>
      </c>
      <c r="R164">
        <v>1.77742656258746E-2</v>
      </c>
      <c r="S164">
        <v>9.3875582380846603E-2</v>
      </c>
      <c r="T164">
        <v>-0.74292527785534102</v>
      </c>
      <c r="U164">
        <v>0.74292527785534102</v>
      </c>
      <c r="V164">
        <v>-2.2000000000000002</v>
      </c>
      <c r="W164">
        <v>10.45</v>
      </c>
      <c r="X164">
        <v>-118052</v>
      </c>
      <c r="Y164">
        <v>-7870</v>
      </c>
      <c r="Z164">
        <v>-0.41</v>
      </c>
      <c r="AA164">
        <v>15</v>
      </c>
      <c r="AB164">
        <v>7</v>
      </c>
      <c r="AC164">
        <v>8</v>
      </c>
      <c r="AD164">
        <v>46.67</v>
      </c>
      <c r="AE164">
        <v>12</v>
      </c>
      <c r="AF164">
        <v>5</v>
      </c>
      <c r="AG164">
        <v>6</v>
      </c>
      <c r="AH164">
        <v>4</v>
      </c>
    </row>
    <row r="165" spans="1:34" x14ac:dyDescent="0.2">
      <c r="A165" s="102">
        <v>19</v>
      </c>
      <c r="B165">
        <v>9501</v>
      </c>
      <c r="C165" s="106" t="s">
        <v>982</v>
      </c>
      <c r="D165" s="106" t="s">
        <v>123</v>
      </c>
      <c r="E165">
        <v>482</v>
      </c>
      <c r="F165">
        <v>476</v>
      </c>
      <c r="G165">
        <v>2200</v>
      </c>
      <c r="H165" s="106" t="s">
        <v>61</v>
      </c>
      <c r="I165">
        <v>9508</v>
      </c>
      <c r="J165" s="106" t="s">
        <v>983</v>
      </c>
      <c r="K165" s="106" t="s">
        <v>123</v>
      </c>
      <c r="L165">
        <v>972</v>
      </c>
      <c r="M165">
        <v>958</v>
      </c>
      <c r="N165">
        <v>1100</v>
      </c>
      <c r="O165" s="106" t="s">
        <v>63</v>
      </c>
      <c r="P165">
        <v>0.91247125442893395</v>
      </c>
      <c r="Q165">
        <v>0.95246646071582697</v>
      </c>
      <c r="R165" s="15">
        <v>7.4044831894080093E-2</v>
      </c>
      <c r="S165">
        <v>0.11566084048270001</v>
      </c>
      <c r="T165">
        <v>-0.45500166163628603</v>
      </c>
      <c r="U165">
        <v>0.45500166163628603</v>
      </c>
      <c r="V165">
        <v>-1</v>
      </c>
      <c r="W165">
        <v>0.63</v>
      </c>
      <c r="X165">
        <v>-124320</v>
      </c>
      <c r="Y165">
        <v>-9563</v>
      </c>
      <c r="Z165">
        <v>-0.48</v>
      </c>
      <c r="AA165">
        <v>13</v>
      </c>
      <c r="AB165">
        <v>5</v>
      </c>
      <c r="AC165">
        <v>8</v>
      </c>
      <c r="AD165">
        <v>38.46</v>
      </c>
      <c r="AE165">
        <v>14</v>
      </c>
      <c r="AF165">
        <v>3</v>
      </c>
      <c r="AG165">
        <v>4</v>
      </c>
      <c r="AH165">
        <v>6</v>
      </c>
    </row>
    <row r="166" spans="1:34" x14ac:dyDescent="0.2">
      <c r="A166" s="102">
        <v>174</v>
      </c>
      <c r="B166">
        <v>7189</v>
      </c>
      <c r="C166" s="106" t="s">
        <v>81</v>
      </c>
      <c r="D166" s="106" t="s">
        <v>82</v>
      </c>
      <c r="E166">
        <v>869</v>
      </c>
      <c r="F166">
        <v>879</v>
      </c>
      <c r="G166">
        <v>1200</v>
      </c>
      <c r="H166" s="106" t="s">
        <v>63</v>
      </c>
      <c r="I166">
        <v>8377</v>
      </c>
      <c r="J166" s="106" t="s">
        <v>94</v>
      </c>
      <c r="K166" s="106" t="s">
        <v>82</v>
      </c>
      <c r="L166">
        <v>1149</v>
      </c>
      <c r="M166">
        <v>1160</v>
      </c>
      <c r="N166">
        <v>900</v>
      </c>
      <c r="O166" s="106" t="s">
        <v>61</v>
      </c>
      <c r="P166">
        <v>0.95942282470607498</v>
      </c>
      <c r="Q166">
        <v>0.90839865681176002</v>
      </c>
      <c r="R166" s="15">
        <v>0.19019449791552101</v>
      </c>
      <c r="S166">
        <v>0.28464534830160498</v>
      </c>
      <c r="T166">
        <v>0.74660182057772395</v>
      </c>
      <c r="U166">
        <v>0.74660182057772395</v>
      </c>
      <c r="V166">
        <v>2.75</v>
      </c>
      <c r="W166">
        <v>1.03</v>
      </c>
      <c r="X166">
        <v>-129434</v>
      </c>
      <c r="Y166">
        <v>-6812</v>
      </c>
      <c r="Z166">
        <v>-0.3</v>
      </c>
      <c r="AA166">
        <v>19</v>
      </c>
      <c r="AB166">
        <v>9</v>
      </c>
      <c r="AC166">
        <v>10</v>
      </c>
      <c r="AD166">
        <v>47.37</v>
      </c>
      <c r="AE166">
        <v>15</v>
      </c>
      <c r="AF166">
        <v>3</v>
      </c>
      <c r="AG166">
        <v>4</v>
      </c>
      <c r="AH166">
        <v>12</v>
      </c>
    </row>
    <row r="167" spans="1:34" x14ac:dyDescent="0.2">
      <c r="A167" s="102">
        <v>110</v>
      </c>
      <c r="B167">
        <v>5333</v>
      </c>
      <c r="C167" s="106" t="s">
        <v>330</v>
      </c>
      <c r="D167" s="106" t="s">
        <v>106</v>
      </c>
      <c r="E167">
        <v>1915</v>
      </c>
      <c r="F167">
        <v>1912</v>
      </c>
      <c r="G167">
        <v>500</v>
      </c>
      <c r="H167" s="106" t="s">
        <v>61</v>
      </c>
      <c r="I167">
        <v>8253</v>
      </c>
      <c r="J167" s="106" t="s">
        <v>979</v>
      </c>
      <c r="K167" s="106" t="s">
        <v>296</v>
      </c>
      <c r="L167">
        <v>1875</v>
      </c>
      <c r="M167">
        <v>1886</v>
      </c>
      <c r="N167">
        <v>500</v>
      </c>
      <c r="O167" s="106" t="s">
        <v>63</v>
      </c>
      <c r="P167">
        <v>0.93764642622219396</v>
      </c>
      <c r="Q167">
        <v>0.92297609837955996</v>
      </c>
      <c r="R167">
        <v>0.10524984953196199</v>
      </c>
      <c r="S167">
        <v>1.28888559286884E-2</v>
      </c>
      <c r="T167">
        <v>-0.85748737462537705</v>
      </c>
      <c r="U167">
        <v>0.85748737462537705</v>
      </c>
      <c r="V167">
        <v>-5.72</v>
      </c>
      <c r="W167">
        <v>1.36</v>
      </c>
      <c r="X167">
        <v>-129824</v>
      </c>
      <c r="Y167">
        <v>-7637</v>
      </c>
      <c r="Z167">
        <v>-0.39</v>
      </c>
      <c r="AA167">
        <v>17</v>
      </c>
      <c r="AB167">
        <v>7</v>
      </c>
      <c r="AC167">
        <v>10</v>
      </c>
      <c r="AD167">
        <v>41.18</v>
      </c>
      <c r="AE167">
        <v>13</v>
      </c>
      <c r="AF167">
        <v>4</v>
      </c>
      <c r="AG167">
        <v>6</v>
      </c>
      <c r="AH167">
        <v>7</v>
      </c>
    </row>
    <row r="168" spans="1:34" x14ac:dyDescent="0.2">
      <c r="A168" s="102">
        <v>75</v>
      </c>
      <c r="B168">
        <v>3635</v>
      </c>
      <c r="C168" s="106" t="s">
        <v>85</v>
      </c>
      <c r="D168" s="106" t="s">
        <v>79</v>
      </c>
      <c r="E168">
        <v>2844</v>
      </c>
      <c r="F168">
        <v>2878</v>
      </c>
      <c r="G168">
        <v>300</v>
      </c>
      <c r="H168" s="106" t="s">
        <v>61</v>
      </c>
      <c r="I168">
        <v>6588</v>
      </c>
      <c r="J168" s="106" t="s">
        <v>784</v>
      </c>
      <c r="K168" s="106" t="s">
        <v>87</v>
      </c>
      <c r="L168">
        <v>4640</v>
      </c>
      <c r="M168">
        <v>4610</v>
      </c>
      <c r="N168">
        <v>200</v>
      </c>
      <c r="O168" s="106" t="s">
        <v>63</v>
      </c>
      <c r="P168">
        <v>0.93761570035837805</v>
      </c>
      <c r="Q168">
        <v>0.93362983937628297</v>
      </c>
      <c r="R168">
        <v>3.6549078910469899E-3</v>
      </c>
      <c r="S168">
        <v>7.9784983071797697E-2</v>
      </c>
      <c r="T168">
        <v>-0.45003666332786102</v>
      </c>
      <c r="U168">
        <v>0.45003666332786102</v>
      </c>
      <c r="V168">
        <v>-3.73</v>
      </c>
      <c r="W168">
        <v>6.36</v>
      </c>
      <c r="X168">
        <v>-149155</v>
      </c>
      <c r="Y168">
        <v>-16573</v>
      </c>
      <c r="Z168">
        <v>-0.94</v>
      </c>
      <c r="AA168">
        <v>9</v>
      </c>
      <c r="AB168">
        <v>4</v>
      </c>
      <c r="AC168">
        <v>5</v>
      </c>
      <c r="AD168">
        <v>44.44</v>
      </c>
      <c r="AE168">
        <v>12</v>
      </c>
      <c r="AF168">
        <v>1</v>
      </c>
      <c r="AG168">
        <v>3</v>
      </c>
      <c r="AH168">
        <v>5</v>
      </c>
    </row>
    <row r="169" spans="1:34" x14ac:dyDescent="0.2">
      <c r="A169" s="102">
        <v>71</v>
      </c>
      <c r="B169">
        <v>4182</v>
      </c>
      <c r="C169" s="106" t="s">
        <v>88</v>
      </c>
      <c r="D169" s="106" t="s">
        <v>62</v>
      </c>
      <c r="E169">
        <v>1702</v>
      </c>
      <c r="F169">
        <v>1691</v>
      </c>
      <c r="G169">
        <v>700</v>
      </c>
      <c r="H169" s="106" t="s">
        <v>63</v>
      </c>
      <c r="I169">
        <v>9072</v>
      </c>
      <c r="J169" s="106" t="s">
        <v>125</v>
      </c>
      <c r="K169" s="106" t="s">
        <v>119</v>
      </c>
      <c r="L169">
        <v>2753</v>
      </c>
      <c r="M169">
        <v>2749</v>
      </c>
      <c r="N169">
        <v>400</v>
      </c>
      <c r="O169" s="106" t="s">
        <v>61</v>
      </c>
      <c r="P169">
        <v>0.95248110103127803</v>
      </c>
      <c r="Q169">
        <v>0.93419017393234305</v>
      </c>
      <c r="R169">
        <v>4.9204125344071903E-3</v>
      </c>
      <c r="S169">
        <v>4.1523219326545201E-4</v>
      </c>
      <c r="T169">
        <v>0.94615850614254804</v>
      </c>
      <c r="U169">
        <v>0.94615850614254804</v>
      </c>
      <c r="V169">
        <v>3.66</v>
      </c>
      <c r="W169">
        <v>7.65</v>
      </c>
      <c r="X169">
        <v>-153106</v>
      </c>
      <c r="Y169">
        <v>-9006</v>
      </c>
      <c r="Z169">
        <v>-0.41</v>
      </c>
      <c r="AA169">
        <v>17</v>
      </c>
      <c r="AB169">
        <v>6</v>
      </c>
      <c r="AC169">
        <v>11</v>
      </c>
      <c r="AD169">
        <v>35.29</v>
      </c>
      <c r="AE169">
        <v>13</v>
      </c>
      <c r="AF169">
        <v>6</v>
      </c>
      <c r="AG169">
        <v>5</v>
      </c>
      <c r="AH169">
        <v>6</v>
      </c>
    </row>
    <row r="170" spans="1:34" x14ac:dyDescent="0.2">
      <c r="A170" s="102">
        <v>57</v>
      </c>
      <c r="B170">
        <v>6287</v>
      </c>
      <c r="C170" s="106" t="s">
        <v>780</v>
      </c>
      <c r="D170" s="106" t="s">
        <v>99</v>
      </c>
      <c r="E170">
        <v>3435</v>
      </c>
      <c r="F170">
        <v>3435</v>
      </c>
      <c r="G170">
        <v>300</v>
      </c>
      <c r="H170" s="106" t="s">
        <v>61</v>
      </c>
      <c r="I170">
        <v>7274</v>
      </c>
      <c r="J170" s="106" t="s">
        <v>332</v>
      </c>
      <c r="K170" s="106" t="s">
        <v>84</v>
      </c>
      <c r="L170">
        <v>2269</v>
      </c>
      <c r="M170">
        <v>2262</v>
      </c>
      <c r="N170">
        <v>500</v>
      </c>
      <c r="O170" s="106" t="s">
        <v>63</v>
      </c>
      <c r="P170">
        <v>0.95027525481573405</v>
      </c>
      <c r="Q170">
        <v>0.93854665381607305</v>
      </c>
      <c r="R170" s="15">
        <v>8.3865883193090907E-2</v>
      </c>
      <c r="S170">
        <v>0.19549172939850201</v>
      </c>
      <c r="T170">
        <v>-0.725794826626457</v>
      </c>
      <c r="U170">
        <v>0.725794826626457</v>
      </c>
      <c r="V170">
        <v>-9.18</v>
      </c>
      <c r="W170">
        <v>9.75</v>
      </c>
      <c r="X170">
        <v>-158411</v>
      </c>
      <c r="Y170">
        <v>-7543</v>
      </c>
      <c r="Z170">
        <v>-0.36</v>
      </c>
      <c r="AA170">
        <v>21</v>
      </c>
      <c r="AB170">
        <v>11</v>
      </c>
      <c r="AC170">
        <v>10</v>
      </c>
      <c r="AD170">
        <v>52.38</v>
      </c>
      <c r="AE170">
        <v>10</v>
      </c>
      <c r="AF170">
        <v>8</v>
      </c>
      <c r="AG170">
        <v>9</v>
      </c>
      <c r="AH170">
        <v>4</v>
      </c>
    </row>
    <row r="171" spans="1:34" x14ac:dyDescent="0.2">
      <c r="A171" s="102">
        <v>128</v>
      </c>
      <c r="B171">
        <v>6479</v>
      </c>
      <c r="C171" s="106" t="s">
        <v>1019</v>
      </c>
      <c r="D171" s="106" t="s">
        <v>87</v>
      </c>
      <c r="E171">
        <v>2275</v>
      </c>
      <c r="F171">
        <v>2315</v>
      </c>
      <c r="G171">
        <v>400</v>
      </c>
      <c r="H171" s="106" t="s">
        <v>61</v>
      </c>
      <c r="I171">
        <v>7274</v>
      </c>
      <c r="J171" s="106" t="s">
        <v>332</v>
      </c>
      <c r="K171" s="106" t="s">
        <v>84</v>
      </c>
      <c r="L171">
        <v>2269</v>
      </c>
      <c r="M171">
        <v>2262</v>
      </c>
      <c r="N171">
        <v>400</v>
      </c>
      <c r="O171" s="106" t="s">
        <v>63</v>
      </c>
      <c r="P171">
        <v>0.91866158491210903</v>
      </c>
      <c r="Q171">
        <v>0.91883782152684901</v>
      </c>
      <c r="R171">
        <v>0.125728573994416</v>
      </c>
      <c r="S171">
        <v>1.26619268248049E-2</v>
      </c>
      <c r="T171">
        <v>-0.35495497189180197</v>
      </c>
      <c r="U171">
        <v>0.35495497189180197</v>
      </c>
      <c r="V171">
        <v>-4.0199999999999996</v>
      </c>
      <c r="W171">
        <v>2.29</v>
      </c>
      <c r="X171">
        <v>-170670</v>
      </c>
      <c r="Y171">
        <v>-10039</v>
      </c>
      <c r="Z171">
        <v>-0.52</v>
      </c>
      <c r="AA171">
        <v>17</v>
      </c>
      <c r="AB171">
        <v>7</v>
      </c>
      <c r="AC171">
        <v>10</v>
      </c>
      <c r="AD171">
        <v>41.18</v>
      </c>
      <c r="AE171">
        <v>14</v>
      </c>
      <c r="AF171">
        <v>3</v>
      </c>
      <c r="AG171">
        <v>5</v>
      </c>
      <c r="AH171">
        <v>9</v>
      </c>
    </row>
    <row r="172" spans="1:34" x14ac:dyDescent="0.2">
      <c r="A172" s="102">
        <v>25</v>
      </c>
      <c r="B172">
        <v>7267</v>
      </c>
      <c r="C172" s="106" t="s">
        <v>118</v>
      </c>
      <c r="D172" s="106" t="s">
        <v>84</v>
      </c>
      <c r="E172">
        <v>3178</v>
      </c>
      <c r="F172">
        <v>3170</v>
      </c>
      <c r="G172">
        <v>300</v>
      </c>
      <c r="H172" s="106" t="s">
        <v>63</v>
      </c>
      <c r="I172">
        <v>8002</v>
      </c>
      <c r="J172" s="106" t="s">
        <v>31</v>
      </c>
      <c r="K172" s="106" t="s">
        <v>101</v>
      </c>
      <c r="L172">
        <v>819.4</v>
      </c>
      <c r="M172">
        <v>816</v>
      </c>
      <c r="N172">
        <v>1200</v>
      </c>
      <c r="O172" s="106" t="s">
        <v>61</v>
      </c>
      <c r="P172">
        <v>0.95977318206234896</v>
      </c>
      <c r="Q172">
        <v>0.94924031687707</v>
      </c>
      <c r="R172">
        <v>8.6510840388061602E-2</v>
      </c>
      <c r="S172">
        <v>3.1205281086060398E-4</v>
      </c>
      <c r="T172">
        <v>0.23122603649294601</v>
      </c>
      <c r="U172">
        <v>0.23122603649294601</v>
      </c>
      <c r="V172">
        <v>0.34</v>
      </c>
      <c r="W172">
        <v>2.97</v>
      </c>
      <c r="X172">
        <v>-183458</v>
      </c>
      <c r="Y172">
        <v>-12231</v>
      </c>
      <c r="Z172">
        <v>-0.72</v>
      </c>
      <c r="AA172">
        <v>15</v>
      </c>
      <c r="AB172">
        <v>6</v>
      </c>
      <c r="AC172">
        <v>9</v>
      </c>
      <c r="AD172">
        <v>40</v>
      </c>
      <c r="AE172">
        <v>16</v>
      </c>
      <c r="AF172">
        <v>0</v>
      </c>
      <c r="AG172">
        <v>3</v>
      </c>
      <c r="AH172">
        <v>12</v>
      </c>
    </row>
    <row r="173" spans="1:34" x14ac:dyDescent="0.2">
      <c r="A173" s="102">
        <v>84</v>
      </c>
      <c r="B173">
        <v>4626</v>
      </c>
      <c r="C173" s="106" t="s">
        <v>777</v>
      </c>
      <c r="D173" s="106" t="s">
        <v>62</v>
      </c>
      <c r="E173">
        <v>4385</v>
      </c>
      <c r="F173">
        <v>4380</v>
      </c>
      <c r="G173">
        <v>200</v>
      </c>
      <c r="H173" s="106" t="s">
        <v>63</v>
      </c>
      <c r="I173">
        <v>5947</v>
      </c>
      <c r="J173" s="106" t="s">
        <v>321</v>
      </c>
      <c r="K173" s="106" t="s">
        <v>116</v>
      </c>
      <c r="L173">
        <v>8650</v>
      </c>
      <c r="M173">
        <v>8690</v>
      </c>
      <c r="N173">
        <v>100</v>
      </c>
      <c r="O173" s="106" t="s">
        <v>61</v>
      </c>
      <c r="P173">
        <v>0.95305806801467197</v>
      </c>
      <c r="Q173">
        <v>0.930733556267893</v>
      </c>
      <c r="R173">
        <v>1.5044353388115699E-2</v>
      </c>
      <c r="S173">
        <v>0.215614181634843</v>
      </c>
      <c r="T173">
        <v>0.67827884440226205</v>
      </c>
      <c r="U173">
        <v>0.67827884440226205</v>
      </c>
      <c r="V173">
        <v>1.54</v>
      </c>
      <c r="W173">
        <v>0.81</v>
      </c>
      <c r="X173">
        <v>-185019</v>
      </c>
      <c r="Y173">
        <v>-11564</v>
      </c>
      <c r="Z173">
        <v>-0.52</v>
      </c>
      <c r="AA173">
        <v>16</v>
      </c>
      <c r="AB173">
        <v>6</v>
      </c>
      <c r="AC173">
        <v>10</v>
      </c>
      <c r="AD173">
        <v>37.5</v>
      </c>
      <c r="AE173">
        <v>14</v>
      </c>
      <c r="AF173">
        <v>3</v>
      </c>
      <c r="AG173">
        <v>4</v>
      </c>
      <c r="AH173">
        <v>9</v>
      </c>
    </row>
    <row r="174" spans="1:34" x14ac:dyDescent="0.2">
      <c r="A174" s="102">
        <v>45</v>
      </c>
      <c r="B174">
        <v>3038</v>
      </c>
      <c r="C174" s="106" t="s">
        <v>334</v>
      </c>
      <c r="D174" s="106" t="s">
        <v>101</v>
      </c>
      <c r="E174">
        <v>3750</v>
      </c>
      <c r="F174">
        <v>3710</v>
      </c>
      <c r="G174">
        <v>200</v>
      </c>
      <c r="H174" s="106" t="s">
        <v>63</v>
      </c>
      <c r="I174">
        <v>6098</v>
      </c>
      <c r="J174" s="106" t="s">
        <v>335</v>
      </c>
      <c r="K174" s="106" t="s">
        <v>120</v>
      </c>
      <c r="L174">
        <v>4075</v>
      </c>
      <c r="M174">
        <v>4049</v>
      </c>
      <c r="N174">
        <v>200</v>
      </c>
      <c r="O174" s="106" t="s">
        <v>61</v>
      </c>
      <c r="P174">
        <v>0.94637918746846605</v>
      </c>
      <c r="Q174">
        <v>0.94110007181003896</v>
      </c>
      <c r="R174">
        <v>0.28370354894751798</v>
      </c>
      <c r="S174" s="15">
        <v>0.16116525242902999</v>
      </c>
      <c r="T174">
        <v>1.8959319593671</v>
      </c>
      <c r="U174">
        <v>1.8959319593671</v>
      </c>
      <c r="V174">
        <v>8.8699999999999992</v>
      </c>
      <c r="W174">
        <v>8.3699999999999992</v>
      </c>
      <c r="X174">
        <v>-187710</v>
      </c>
      <c r="Y174">
        <v>-8161</v>
      </c>
      <c r="Z174">
        <v>-0.37</v>
      </c>
      <c r="AA174">
        <v>23</v>
      </c>
      <c r="AB174">
        <v>11</v>
      </c>
      <c r="AC174">
        <v>12</v>
      </c>
      <c r="AD174">
        <v>47.83</v>
      </c>
      <c r="AE174">
        <v>10</v>
      </c>
      <c r="AF174">
        <v>10</v>
      </c>
      <c r="AG174">
        <v>12</v>
      </c>
      <c r="AH174">
        <v>1</v>
      </c>
    </row>
    <row r="175" spans="1:34" x14ac:dyDescent="0.2">
      <c r="A175" s="102">
        <v>98</v>
      </c>
      <c r="B175">
        <v>6752</v>
      </c>
      <c r="C175" s="106" t="s">
        <v>105</v>
      </c>
      <c r="D175" s="106" t="s">
        <v>87</v>
      </c>
      <c r="E175">
        <v>1020</v>
      </c>
      <c r="F175">
        <v>1016.5</v>
      </c>
      <c r="G175">
        <v>900</v>
      </c>
      <c r="H175" s="106" t="s">
        <v>63</v>
      </c>
      <c r="I175">
        <v>7267</v>
      </c>
      <c r="J175" s="106" t="s">
        <v>118</v>
      </c>
      <c r="K175" s="106" t="s">
        <v>84</v>
      </c>
      <c r="L175">
        <v>3178</v>
      </c>
      <c r="M175">
        <v>3170</v>
      </c>
      <c r="N175">
        <v>300</v>
      </c>
      <c r="O175" s="106" t="s">
        <v>61</v>
      </c>
      <c r="P175">
        <v>0.91172788725182796</v>
      </c>
      <c r="Q175">
        <v>0.92732635796790297</v>
      </c>
      <c r="R175">
        <v>5.12163976492001E-2</v>
      </c>
      <c r="S175" s="15">
        <v>8.9987046810277495E-3</v>
      </c>
      <c r="T175">
        <v>0.188102829617947</v>
      </c>
      <c r="U175">
        <v>0.188102829617947</v>
      </c>
      <c r="V175">
        <v>0.55000000000000004</v>
      </c>
      <c r="W175">
        <v>3.8</v>
      </c>
      <c r="X175">
        <v>-194884</v>
      </c>
      <c r="Y175">
        <v>-10827</v>
      </c>
      <c r="Z175">
        <v>-0.55000000000000004</v>
      </c>
      <c r="AA175">
        <v>18</v>
      </c>
      <c r="AB175">
        <v>8</v>
      </c>
      <c r="AC175">
        <v>10</v>
      </c>
      <c r="AD175">
        <v>44.44</v>
      </c>
      <c r="AE175">
        <v>15</v>
      </c>
      <c r="AF175">
        <v>2</v>
      </c>
      <c r="AG175">
        <v>3</v>
      </c>
      <c r="AH175">
        <v>13</v>
      </c>
    </row>
    <row r="176" spans="1:34" x14ac:dyDescent="0.2">
      <c r="A176" s="102">
        <v>177</v>
      </c>
      <c r="B176">
        <v>4183</v>
      </c>
      <c r="C176" s="106" t="s">
        <v>298</v>
      </c>
      <c r="D176" s="106" t="s">
        <v>62</v>
      </c>
      <c r="E176">
        <v>2713</v>
      </c>
      <c r="F176">
        <v>2696</v>
      </c>
      <c r="G176">
        <v>400</v>
      </c>
      <c r="H176" s="106" t="s">
        <v>63</v>
      </c>
      <c r="I176">
        <v>6473</v>
      </c>
      <c r="J176" s="106" t="s">
        <v>132</v>
      </c>
      <c r="K176" s="106" t="s">
        <v>99</v>
      </c>
      <c r="L176">
        <v>1354</v>
      </c>
      <c r="M176">
        <v>1342</v>
      </c>
      <c r="N176">
        <v>800</v>
      </c>
      <c r="O176" s="106" t="s">
        <v>61</v>
      </c>
      <c r="P176">
        <v>0.90701574335318902</v>
      </c>
      <c r="Q176">
        <v>0.90707417819316505</v>
      </c>
      <c r="R176">
        <v>0.19197158416921201</v>
      </c>
      <c r="S176">
        <v>5.7051727662410498E-2</v>
      </c>
      <c r="T176">
        <v>1.6622770601148</v>
      </c>
      <c r="U176">
        <v>1.6622770601148</v>
      </c>
      <c r="V176">
        <v>3.2</v>
      </c>
      <c r="W176">
        <v>0.45</v>
      </c>
      <c r="X176">
        <v>-201641</v>
      </c>
      <c r="Y176">
        <v>-11861</v>
      </c>
      <c r="Z176">
        <v>-0.67</v>
      </c>
      <c r="AA176">
        <v>17</v>
      </c>
      <c r="AB176">
        <v>5</v>
      </c>
      <c r="AC176">
        <v>12</v>
      </c>
      <c r="AD176">
        <v>29.41</v>
      </c>
      <c r="AE176">
        <v>15</v>
      </c>
      <c r="AF176">
        <v>4</v>
      </c>
      <c r="AG176">
        <v>5</v>
      </c>
      <c r="AH176">
        <v>8</v>
      </c>
    </row>
    <row r="177" spans="1:34" x14ac:dyDescent="0.2">
      <c r="A177" s="102">
        <v>3</v>
      </c>
      <c r="B177">
        <v>6951</v>
      </c>
      <c r="C177" s="106" t="s">
        <v>319</v>
      </c>
      <c r="D177" s="106" t="s">
        <v>87</v>
      </c>
      <c r="E177">
        <v>3225</v>
      </c>
      <c r="F177">
        <v>3210</v>
      </c>
      <c r="G177">
        <v>200</v>
      </c>
      <c r="H177" s="106" t="s">
        <v>61</v>
      </c>
      <c r="I177">
        <v>8036</v>
      </c>
      <c r="J177" s="106" t="s">
        <v>317</v>
      </c>
      <c r="K177" s="106" t="s">
        <v>101</v>
      </c>
      <c r="L177">
        <v>7800</v>
      </c>
      <c r="M177">
        <v>7790</v>
      </c>
      <c r="N177">
        <v>100</v>
      </c>
      <c r="O177" s="106" t="s">
        <v>63</v>
      </c>
      <c r="P177">
        <v>0.90624304922072596</v>
      </c>
      <c r="Q177">
        <v>0.96644086155690001</v>
      </c>
      <c r="R177">
        <v>0.34538216696806101</v>
      </c>
      <c r="S177">
        <v>0.12752830867179199</v>
      </c>
      <c r="T177">
        <v>-0.78926965017097805</v>
      </c>
      <c r="U177">
        <v>0.78926965017097805</v>
      </c>
      <c r="V177">
        <v>-2.71</v>
      </c>
      <c r="W177">
        <v>17.59</v>
      </c>
      <c r="X177">
        <v>-220595</v>
      </c>
      <c r="Y177">
        <v>-11030</v>
      </c>
      <c r="Z177">
        <v>-0.46</v>
      </c>
      <c r="AA177">
        <v>20</v>
      </c>
      <c r="AB177">
        <v>9</v>
      </c>
      <c r="AC177">
        <v>11</v>
      </c>
      <c r="AD177">
        <v>45</v>
      </c>
      <c r="AE177">
        <v>10</v>
      </c>
      <c r="AF177">
        <v>8</v>
      </c>
      <c r="AG177">
        <v>8</v>
      </c>
      <c r="AH177">
        <v>4</v>
      </c>
    </row>
    <row r="178" spans="1:34" x14ac:dyDescent="0.2">
      <c r="A178" s="102">
        <v>44</v>
      </c>
      <c r="B178">
        <v>2413</v>
      </c>
      <c r="C178" s="106" t="s">
        <v>977</v>
      </c>
      <c r="D178" s="106" t="s">
        <v>120</v>
      </c>
      <c r="E178">
        <v>3180</v>
      </c>
      <c r="F178">
        <v>3195</v>
      </c>
      <c r="G178">
        <v>300</v>
      </c>
      <c r="H178" s="106" t="s">
        <v>61</v>
      </c>
      <c r="I178">
        <v>6920</v>
      </c>
      <c r="J178" s="106" t="s">
        <v>86</v>
      </c>
      <c r="K178" s="106" t="s">
        <v>87</v>
      </c>
      <c r="L178">
        <v>10290</v>
      </c>
      <c r="M178">
        <v>10830</v>
      </c>
      <c r="N178">
        <v>100</v>
      </c>
      <c r="O178" s="106" t="s">
        <v>63</v>
      </c>
      <c r="P178">
        <v>0.92971586312916898</v>
      </c>
      <c r="Q178">
        <v>0.94133535829683301</v>
      </c>
      <c r="R178">
        <v>6.6821741641111196E-2</v>
      </c>
      <c r="S178">
        <v>0.13030046503749401</v>
      </c>
      <c r="T178">
        <v>-1.89564052938118</v>
      </c>
      <c r="U178">
        <v>1.89564052938118</v>
      </c>
      <c r="V178">
        <v>-16.170000000000002</v>
      </c>
      <c r="W178">
        <v>11.5</v>
      </c>
      <c r="X178">
        <v>-245378</v>
      </c>
      <c r="Y178">
        <v>-16359</v>
      </c>
      <c r="Z178">
        <v>-0.61</v>
      </c>
      <c r="AA178">
        <v>15</v>
      </c>
      <c r="AB178">
        <v>8</v>
      </c>
      <c r="AC178">
        <v>7</v>
      </c>
      <c r="AD178">
        <v>53.33</v>
      </c>
      <c r="AE178">
        <v>9</v>
      </c>
      <c r="AF178">
        <v>7</v>
      </c>
      <c r="AG178">
        <v>6</v>
      </c>
      <c r="AH178">
        <v>2</v>
      </c>
    </row>
    <row r="179" spans="1:34" x14ac:dyDescent="0.2">
      <c r="A179" s="102">
        <v>82</v>
      </c>
      <c r="B179">
        <v>8058</v>
      </c>
      <c r="C179" s="106" t="s">
        <v>1034</v>
      </c>
      <c r="D179" s="106" t="s">
        <v>101</v>
      </c>
      <c r="E179">
        <v>2926</v>
      </c>
      <c r="F179">
        <v>2913</v>
      </c>
      <c r="G179">
        <v>300</v>
      </c>
      <c r="H179" s="106" t="s">
        <v>61</v>
      </c>
      <c r="I179">
        <v>9956</v>
      </c>
      <c r="J179" s="106" t="s">
        <v>314</v>
      </c>
      <c r="K179" s="106" t="s">
        <v>95</v>
      </c>
      <c r="L179">
        <v>2140</v>
      </c>
      <c r="M179">
        <v>2139</v>
      </c>
      <c r="N179">
        <v>400</v>
      </c>
      <c r="O179" s="106" t="s">
        <v>63</v>
      </c>
      <c r="P179">
        <v>0.95104919735174598</v>
      </c>
      <c r="Q179">
        <v>0.93165537923543795</v>
      </c>
      <c r="R179">
        <v>1.5899250021643499E-3</v>
      </c>
      <c r="S179">
        <v>7.7392416745674202E-3</v>
      </c>
      <c r="T179">
        <v>-2.1394853569392902</v>
      </c>
      <c r="U179">
        <v>2.1394853569392902</v>
      </c>
      <c r="V179">
        <v>-5.87</v>
      </c>
      <c r="W179">
        <v>2.09</v>
      </c>
      <c r="X179">
        <v>-248503</v>
      </c>
      <c r="Y179">
        <v>-15531</v>
      </c>
      <c r="Z179">
        <v>-0.79</v>
      </c>
      <c r="AA179">
        <v>16</v>
      </c>
      <c r="AB179">
        <v>4</v>
      </c>
      <c r="AC179">
        <v>12</v>
      </c>
      <c r="AD179">
        <v>25</v>
      </c>
      <c r="AE179">
        <v>14</v>
      </c>
      <c r="AF179">
        <v>3</v>
      </c>
      <c r="AG179">
        <v>2</v>
      </c>
      <c r="AH179">
        <v>11</v>
      </c>
    </row>
    <row r="180" spans="1:34" x14ac:dyDescent="0.2">
      <c r="A180" s="102">
        <v>185</v>
      </c>
      <c r="B180">
        <v>6471</v>
      </c>
      <c r="C180" s="106" t="s">
        <v>137</v>
      </c>
      <c r="D180" s="106" t="s">
        <v>99</v>
      </c>
      <c r="E180">
        <v>1064</v>
      </c>
      <c r="F180">
        <v>1063</v>
      </c>
      <c r="G180">
        <v>600</v>
      </c>
      <c r="H180" s="106" t="s">
        <v>61</v>
      </c>
      <c r="I180">
        <v>6988</v>
      </c>
      <c r="J180" s="106" t="s">
        <v>138</v>
      </c>
      <c r="K180" s="106" t="s">
        <v>62</v>
      </c>
      <c r="L180">
        <v>6340</v>
      </c>
      <c r="M180">
        <v>6230</v>
      </c>
      <c r="N180">
        <v>100</v>
      </c>
      <c r="O180" s="106" t="s">
        <v>63</v>
      </c>
      <c r="P180">
        <v>0.97303295952184599</v>
      </c>
      <c r="Q180">
        <v>0.90354041986154698</v>
      </c>
      <c r="R180">
        <v>1.33108649627399E-2</v>
      </c>
      <c r="S180">
        <v>8.94934592939714E-2</v>
      </c>
      <c r="T180">
        <v>-1.07921401374795</v>
      </c>
      <c r="U180">
        <v>1.07921401374795</v>
      </c>
      <c r="V180">
        <v>-2.16</v>
      </c>
      <c r="W180">
        <v>2.38</v>
      </c>
      <c r="X180">
        <v>-260430</v>
      </c>
      <c r="Y180">
        <v>-14468</v>
      </c>
      <c r="Z180">
        <v>-0.98</v>
      </c>
      <c r="AA180">
        <v>18</v>
      </c>
      <c r="AB180">
        <v>5</v>
      </c>
      <c r="AC180">
        <v>13</v>
      </c>
      <c r="AD180">
        <v>27.78</v>
      </c>
      <c r="AE180">
        <v>14</v>
      </c>
      <c r="AF180">
        <v>3</v>
      </c>
      <c r="AG180">
        <v>4</v>
      </c>
      <c r="AH180">
        <v>11</v>
      </c>
    </row>
    <row r="181" spans="1:34" x14ac:dyDescent="0.2">
      <c r="A181" s="102">
        <v>147</v>
      </c>
      <c r="B181">
        <v>3407</v>
      </c>
      <c r="C181" s="106" t="s">
        <v>1035</v>
      </c>
      <c r="D181" s="106" t="s">
        <v>62</v>
      </c>
      <c r="E181">
        <v>1270</v>
      </c>
      <c r="F181">
        <v>1254</v>
      </c>
      <c r="G181">
        <v>800</v>
      </c>
      <c r="H181" s="106" t="s">
        <v>61</v>
      </c>
      <c r="I181">
        <v>8359</v>
      </c>
      <c r="J181" s="106" t="s">
        <v>1036</v>
      </c>
      <c r="K181" s="106" t="s">
        <v>82</v>
      </c>
      <c r="L181">
        <v>494</v>
      </c>
      <c r="M181">
        <v>495</v>
      </c>
      <c r="N181">
        <v>2000</v>
      </c>
      <c r="O181" s="106" t="s">
        <v>63</v>
      </c>
      <c r="P181">
        <v>0.90293734523921898</v>
      </c>
      <c r="Q181">
        <v>0.91561665412205195</v>
      </c>
      <c r="R181">
        <v>3.5208002862098499E-2</v>
      </c>
      <c r="S181" s="15">
        <v>4.3348851377657E-4</v>
      </c>
      <c r="T181">
        <v>-0.164533099431243</v>
      </c>
      <c r="U181">
        <v>0.164533099431243</v>
      </c>
      <c r="V181">
        <v>-0.44</v>
      </c>
      <c r="W181">
        <v>1.32</v>
      </c>
      <c r="X181">
        <v>-264535</v>
      </c>
      <c r="Y181">
        <v>-13227</v>
      </c>
      <c r="Z181">
        <v>-0.69</v>
      </c>
      <c r="AA181">
        <v>20</v>
      </c>
      <c r="AB181">
        <v>8</v>
      </c>
      <c r="AC181">
        <v>12</v>
      </c>
      <c r="AD181">
        <v>40</v>
      </c>
      <c r="AE181">
        <v>14</v>
      </c>
      <c r="AF181">
        <v>5</v>
      </c>
      <c r="AG181">
        <v>7</v>
      </c>
      <c r="AH181">
        <v>8</v>
      </c>
    </row>
    <row r="182" spans="1:34" x14ac:dyDescent="0.2">
      <c r="A182" s="102">
        <v>124</v>
      </c>
      <c r="B182">
        <v>5110</v>
      </c>
      <c r="C182" s="106" t="s">
        <v>127</v>
      </c>
      <c r="D182" s="106" t="s">
        <v>128</v>
      </c>
      <c r="E182">
        <v>1406</v>
      </c>
      <c r="F182">
        <v>1401</v>
      </c>
      <c r="G182">
        <v>700</v>
      </c>
      <c r="H182" s="106" t="s">
        <v>61</v>
      </c>
      <c r="I182">
        <v>5803</v>
      </c>
      <c r="J182" s="106" t="s">
        <v>28</v>
      </c>
      <c r="K182" s="106" t="s">
        <v>131</v>
      </c>
      <c r="L182">
        <v>463</v>
      </c>
      <c r="M182">
        <v>465</v>
      </c>
      <c r="N182">
        <v>2100</v>
      </c>
      <c r="O182" s="106" t="s">
        <v>63</v>
      </c>
      <c r="P182">
        <v>0.92946837449608999</v>
      </c>
      <c r="Q182">
        <v>0.91960470363715296</v>
      </c>
      <c r="R182" s="15">
        <v>1.7049115332505398E-2</v>
      </c>
      <c r="S182">
        <v>2.00386756613288E-2</v>
      </c>
      <c r="T182">
        <v>-0.32589621292036702</v>
      </c>
      <c r="U182">
        <v>0.32589621292036702</v>
      </c>
      <c r="V182">
        <v>-1.71</v>
      </c>
      <c r="W182">
        <v>0.43</v>
      </c>
      <c r="X182">
        <v>-308037</v>
      </c>
      <c r="Y182">
        <v>-17113</v>
      </c>
      <c r="Z182">
        <v>-0.84</v>
      </c>
      <c r="AA182">
        <v>18</v>
      </c>
      <c r="AB182">
        <v>6</v>
      </c>
      <c r="AC182">
        <v>12</v>
      </c>
      <c r="AD182">
        <v>33.33</v>
      </c>
      <c r="AE182">
        <v>12</v>
      </c>
      <c r="AF182">
        <v>5</v>
      </c>
      <c r="AG182">
        <v>6</v>
      </c>
      <c r="AH182">
        <v>7</v>
      </c>
    </row>
    <row r="183" spans="1:34" x14ac:dyDescent="0.2">
      <c r="A183" s="102">
        <v>127</v>
      </c>
      <c r="B183">
        <v>4686</v>
      </c>
      <c r="C183" s="106" t="s">
        <v>978</v>
      </c>
      <c r="D183" s="106" t="s">
        <v>79</v>
      </c>
      <c r="E183">
        <v>6150</v>
      </c>
      <c r="F183">
        <v>6160</v>
      </c>
      <c r="G183">
        <v>200</v>
      </c>
      <c r="H183" s="106" t="s">
        <v>63</v>
      </c>
      <c r="I183">
        <v>6702</v>
      </c>
      <c r="J183" s="106" t="s">
        <v>328</v>
      </c>
      <c r="K183" s="106" t="s">
        <v>87</v>
      </c>
      <c r="L183">
        <v>10255</v>
      </c>
      <c r="M183">
        <v>10410</v>
      </c>
      <c r="N183">
        <v>100</v>
      </c>
      <c r="O183" s="106" t="s">
        <v>61</v>
      </c>
      <c r="P183">
        <v>0.93896473121366897</v>
      </c>
      <c r="Q183">
        <v>0.91911987251704597</v>
      </c>
      <c r="R183">
        <v>1.68230519449311E-3</v>
      </c>
      <c r="S183">
        <v>0.16283686134419301</v>
      </c>
      <c r="T183">
        <v>1.4106974186511001</v>
      </c>
      <c r="U183">
        <v>1.4106974186511001</v>
      </c>
      <c r="V183">
        <v>13.67</v>
      </c>
      <c r="W183">
        <v>18.350000000000001</v>
      </c>
      <c r="X183">
        <v>-319315</v>
      </c>
      <c r="Y183">
        <v>-21288</v>
      </c>
      <c r="Z183">
        <v>-1.34</v>
      </c>
      <c r="AA183">
        <v>15</v>
      </c>
      <c r="AB183">
        <v>6</v>
      </c>
      <c r="AC183">
        <v>9</v>
      </c>
      <c r="AD183">
        <v>40</v>
      </c>
      <c r="AE183">
        <v>11</v>
      </c>
      <c r="AF183">
        <v>5</v>
      </c>
      <c r="AG183">
        <v>8</v>
      </c>
      <c r="AH183">
        <v>2</v>
      </c>
    </row>
    <row r="184" spans="1:34" x14ac:dyDescent="0.2">
      <c r="A184" s="102">
        <v>137</v>
      </c>
      <c r="B184">
        <v>1824</v>
      </c>
      <c r="C184" s="106" t="s">
        <v>309</v>
      </c>
      <c r="D184" s="106" t="s">
        <v>78</v>
      </c>
      <c r="E184">
        <v>1074</v>
      </c>
      <c r="F184">
        <v>1071</v>
      </c>
      <c r="G184">
        <v>1000</v>
      </c>
      <c r="H184" s="106" t="s">
        <v>61</v>
      </c>
      <c r="I184">
        <v>1860</v>
      </c>
      <c r="J184" s="106" t="s">
        <v>111</v>
      </c>
      <c r="K184" s="106" t="s">
        <v>78</v>
      </c>
      <c r="L184">
        <v>730</v>
      </c>
      <c r="M184">
        <v>723</v>
      </c>
      <c r="N184">
        <v>1500</v>
      </c>
      <c r="O184" s="106" t="s">
        <v>63</v>
      </c>
      <c r="P184">
        <v>0.936993829789877</v>
      </c>
      <c r="Q184">
        <v>0.91698257110674597</v>
      </c>
      <c r="R184" s="15">
        <v>0.17423356629312001</v>
      </c>
      <c r="S184">
        <v>7.8181054389129895E-2</v>
      </c>
      <c r="T184">
        <v>-0.27630367013617002</v>
      </c>
      <c r="U184">
        <v>0.27630367013617002</v>
      </c>
      <c r="V184">
        <v>-0.51</v>
      </c>
      <c r="W184">
        <v>1.26</v>
      </c>
      <c r="X184">
        <v>-347677</v>
      </c>
      <c r="Y184">
        <v>-18299</v>
      </c>
      <c r="Z184">
        <v>-0.89</v>
      </c>
      <c r="AA184">
        <v>19</v>
      </c>
      <c r="AB184">
        <v>7</v>
      </c>
      <c r="AC184">
        <v>12</v>
      </c>
      <c r="AD184">
        <v>36.840000000000003</v>
      </c>
      <c r="AE184">
        <v>12</v>
      </c>
      <c r="AF184">
        <v>3</v>
      </c>
      <c r="AG184">
        <v>8</v>
      </c>
      <c r="AH184">
        <v>8</v>
      </c>
    </row>
    <row r="185" spans="1:34" x14ac:dyDescent="0.2">
      <c r="A185" s="102">
        <v>60</v>
      </c>
      <c r="B185">
        <v>6588</v>
      </c>
      <c r="C185" s="106" t="s">
        <v>784</v>
      </c>
      <c r="D185" s="106" t="s">
        <v>87</v>
      </c>
      <c r="E185">
        <v>4640</v>
      </c>
      <c r="F185">
        <v>4610</v>
      </c>
      <c r="G185">
        <v>200</v>
      </c>
      <c r="H185" s="106" t="s">
        <v>61</v>
      </c>
      <c r="I185">
        <v>6920</v>
      </c>
      <c r="J185" s="106" t="s">
        <v>86</v>
      </c>
      <c r="K185" s="106" t="s">
        <v>87</v>
      </c>
      <c r="L185">
        <v>10290</v>
      </c>
      <c r="M185">
        <v>10830</v>
      </c>
      <c r="N185">
        <v>100</v>
      </c>
      <c r="O185" s="106" t="s">
        <v>63</v>
      </c>
      <c r="P185">
        <v>0.94539216956366001</v>
      </c>
      <c r="Q185">
        <v>0.937135517850471</v>
      </c>
      <c r="R185">
        <v>4.0160312400842897E-2</v>
      </c>
      <c r="S185">
        <v>0.34571751662109201</v>
      </c>
      <c r="T185">
        <v>-2.9347699576993902</v>
      </c>
      <c r="U185">
        <v>2.9347699576993902</v>
      </c>
      <c r="V185">
        <v>-12.52</v>
      </c>
      <c r="W185">
        <v>14.87</v>
      </c>
      <c r="X185">
        <v>-349103</v>
      </c>
      <c r="Y185">
        <v>-21819</v>
      </c>
      <c r="Z185">
        <v>-1.37</v>
      </c>
      <c r="AA185">
        <v>16</v>
      </c>
      <c r="AB185">
        <v>5</v>
      </c>
      <c r="AC185">
        <v>11</v>
      </c>
      <c r="AD185">
        <v>31.25</v>
      </c>
      <c r="AE185">
        <v>9</v>
      </c>
      <c r="AF185">
        <v>3</v>
      </c>
      <c r="AG185">
        <v>10</v>
      </c>
      <c r="AH185">
        <v>3</v>
      </c>
    </row>
    <row r="186" spans="1:34" x14ac:dyDescent="0.2">
      <c r="A186" s="102">
        <v>106</v>
      </c>
      <c r="B186">
        <v>3635</v>
      </c>
      <c r="C186" s="106" t="s">
        <v>85</v>
      </c>
      <c r="D186" s="106" t="s">
        <v>79</v>
      </c>
      <c r="E186">
        <v>2844</v>
      </c>
      <c r="F186">
        <v>2878</v>
      </c>
      <c r="G186">
        <v>200</v>
      </c>
      <c r="H186" s="106" t="s">
        <v>61</v>
      </c>
      <c r="I186">
        <v>4686</v>
      </c>
      <c r="J186" s="106" t="s">
        <v>978</v>
      </c>
      <c r="K186" s="106" t="s">
        <v>79</v>
      </c>
      <c r="L186">
        <v>6150</v>
      </c>
      <c r="M186">
        <v>6160</v>
      </c>
      <c r="N186">
        <v>100</v>
      </c>
      <c r="O186" s="106" t="s">
        <v>63</v>
      </c>
      <c r="P186">
        <v>0.91141929448359704</v>
      </c>
      <c r="Q186">
        <v>0.92369727294994397</v>
      </c>
      <c r="R186">
        <v>0.11906862626126399</v>
      </c>
      <c r="S186">
        <v>0.200675751680359</v>
      </c>
      <c r="T186">
        <v>-0.978469710583312</v>
      </c>
      <c r="U186">
        <v>0.978469710583312</v>
      </c>
      <c r="V186">
        <v>-12.61</v>
      </c>
      <c r="W186">
        <v>6.56</v>
      </c>
      <c r="X186">
        <v>-359580</v>
      </c>
      <c r="Y186">
        <v>-17123</v>
      </c>
      <c r="Z186">
        <v>-0.72</v>
      </c>
      <c r="AA186">
        <v>21</v>
      </c>
      <c r="AB186">
        <v>10</v>
      </c>
      <c r="AC186">
        <v>11</v>
      </c>
      <c r="AD186">
        <v>47.62</v>
      </c>
      <c r="AE186">
        <v>10</v>
      </c>
      <c r="AF186">
        <v>8</v>
      </c>
      <c r="AG186">
        <v>8</v>
      </c>
      <c r="AH186">
        <v>5</v>
      </c>
    </row>
    <row r="187" spans="1:34" x14ac:dyDescent="0.2">
      <c r="A187" s="102">
        <v>62</v>
      </c>
      <c r="B187">
        <v>3110</v>
      </c>
      <c r="C187" s="106" t="s">
        <v>1005</v>
      </c>
      <c r="D187" s="106" t="s">
        <v>106</v>
      </c>
      <c r="E187">
        <v>4385</v>
      </c>
      <c r="F187">
        <v>4430</v>
      </c>
      <c r="G187">
        <v>100</v>
      </c>
      <c r="H187" s="106" t="s">
        <v>61</v>
      </c>
      <c r="I187">
        <v>4686</v>
      </c>
      <c r="J187" s="106" t="s">
        <v>978</v>
      </c>
      <c r="K187" s="106" t="s">
        <v>79</v>
      </c>
      <c r="L187">
        <v>6150</v>
      </c>
      <c r="M187">
        <v>6160</v>
      </c>
      <c r="N187">
        <v>100</v>
      </c>
      <c r="O187" s="106" t="s">
        <v>63</v>
      </c>
      <c r="P187">
        <v>0.96306564525855098</v>
      </c>
      <c r="Q187">
        <v>0.93682653339800104</v>
      </c>
      <c r="R187">
        <v>6.6255119463067294E-2</v>
      </c>
      <c r="S187">
        <v>0.30864875355666799</v>
      </c>
      <c r="T187">
        <v>-0.50716780974591702</v>
      </c>
      <c r="U187">
        <v>0.50716780974591702</v>
      </c>
      <c r="V187">
        <v>-3.88</v>
      </c>
      <c r="W187">
        <v>28.08</v>
      </c>
      <c r="X187">
        <v>-438435</v>
      </c>
      <c r="Y187">
        <v>-36536</v>
      </c>
      <c r="Z187">
        <v>-1.87</v>
      </c>
      <c r="AA187">
        <v>12</v>
      </c>
      <c r="AB187">
        <v>3</v>
      </c>
      <c r="AC187">
        <v>9</v>
      </c>
      <c r="AD187">
        <v>25</v>
      </c>
      <c r="AE187">
        <v>9</v>
      </c>
      <c r="AF187">
        <v>1</v>
      </c>
      <c r="AG187">
        <v>8</v>
      </c>
      <c r="AH187">
        <v>3</v>
      </c>
    </row>
    <row r="188" spans="1:34" x14ac:dyDescent="0.2">
      <c r="A188" s="102">
        <v>134</v>
      </c>
      <c r="B188">
        <v>6383</v>
      </c>
      <c r="C188" s="106" t="s">
        <v>1037</v>
      </c>
      <c r="D188" s="106" t="s">
        <v>99</v>
      </c>
      <c r="E188">
        <v>6550</v>
      </c>
      <c r="F188">
        <v>6480</v>
      </c>
      <c r="G188">
        <v>100</v>
      </c>
      <c r="H188" s="106" t="s">
        <v>63</v>
      </c>
      <c r="I188">
        <v>6965</v>
      </c>
      <c r="J188" s="106" t="s">
        <v>791</v>
      </c>
      <c r="K188" s="106" t="s">
        <v>87</v>
      </c>
      <c r="L188">
        <v>4570</v>
      </c>
      <c r="M188">
        <v>4575</v>
      </c>
      <c r="N188">
        <v>100</v>
      </c>
      <c r="O188" s="106" t="s">
        <v>61</v>
      </c>
      <c r="P188">
        <v>0.90155469413635703</v>
      </c>
      <c r="Q188">
        <v>0.91751304288144797</v>
      </c>
      <c r="R188">
        <v>0.139166206695296</v>
      </c>
      <c r="S188">
        <v>8.2363470342040994E-3</v>
      </c>
      <c r="T188">
        <v>0.34879375309570798</v>
      </c>
      <c r="U188">
        <v>0.34879375309570798</v>
      </c>
      <c r="V188">
        <v>0.91</v>
      </c>
      <c r="W188">
        <v>29.4</v>
      </c>
      <c r="X188">
        <v>-498068</v>
      </c>
      <c r="Y188">
        <v>-49807</v>
      </c>
      <c r="Z188">
        <v>-2.68</v>
      </c>
      <c r="AA188">
        <v>10</v>
      </c>
      <c r="AB188">
        <v>2</v>
      </c>
      <c r="AC188">
        <v>8</v>
      </c>
      <c r="AD188">
        <v>20</v>
      </c>
      <c r="AE188">
        <v>12</v>
      </c>
      <c r="AF188">
        <v>1</v>
      </c>
      <c r="AG188">
        <v>6</v>
      </c>
      <c r="AH188">
        <v>3</v>
      </c>
    </row>
    <row r="189" spans="1:34" x14ac:dyDescent="0.2">
      <c r="C189" s="106"/>
      <c r="D189" s="106"/>
      <c r="H189" s="106"/>
      <c r="J189" s="106"/>
      <c r="K189" s="106"/>
      <c r="O189" s="106"/>
    </row>
    <row r="190" spans="1:34" x14ac:dyDescent="0.2">
      <c r="C190" s="106"/>
      <c r="D190" s="106"/>
      <c r="H190" s="106"/>
      <c r="J190" s="106"/>
      <c r="K190" s="106"/>
      <c r="O190" s="106"/>
      <c r="S190" s="15"/>
    </row>
    <row r="191" spans="1:34" x14ac:dyDescent="0.2">
      <c r="C191" s="106"/>
      <c r="D191" s="106"/>
      <c r="H191" s="106"/>
      <c r="J191" s="106"/>
      <c r="K191" s="106"/>
      <c r="O191" s="106"/>
      <c r="S191" s="15"/>
    </row>
    <row r="192" spans="1:34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9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338</v>
      </c>
      <c r="B1" s="106" t="s">
        <v>339</v>
      </c>
      <c r="C1" s="106" t="s">
        <v>340</v>
      </c>
      <c r="D1" s="106" t="s">
        <v>341</v>
      </c>
      <c r="E1" s="106" t="s">
        <v>342</v>
      </c>
      <c r="F1" s="106" t="s">
        <v>343</v>
      </c>
      <c r="G1" s="106" t="s">
        <v>344</v>
      </c>
      <c r="H1" s="106" t="s">
        <v>345</v>
      </c>
      <c r="I1" s="106" t="s">
        <v>346</v>
      </c>
    </row>
    <row r="2" spans="1:10" x14ac:dyDescent="0.2">
      <c r="A2" s="106" t="s">
        <v>1891</v>
      </c>
      <c r="B2" s="106" t="s">
        <v>347</v>
      </c>
      <c r="C2" s="106" t="s">
        <v>359</v>
      </c>
      <c r="D2" s="106" t="s">
        <v>349</v>
      </c>
      <c r="E2" s="106">
        <v>3544</v>
      </c>
      <c r="F2" s="106" t="s">
        <v>1892</v>
      </c>
      <c r="G2" s="106" t="s">
        <v>350</v>
      </c>
      <c r="H2" s="106" t="s">
        <v>360</v>
      </c>
      <c r="I2" s="106">
        <v>85</v>
      </c>
    </row>
    <row r="3" spans="1:10" x14ac:dyDescent="0.2">
      <c r="A3" s="106" t="s">
        <v>1893</v>
      </c>
      <c r="B3" s="106" t="s">
        <v>347</v>
      </c>
      <c r="C3" s="106" t="s">
        <v>359</v>
      </c>
      <c r="D3" s="106" t="s">
        <v>349</v>
      </c>
      <c r="E3">
        <v>3160</v>
      </c>
      <c r="F3" s="106" t="s">
        <v>770</v>
      </c>
      <c r="G3" s="106" t="s">
        <v>350</v>
      </c>
      <c r="H3" s="106" t="s">
        <v>356</v>
      </c>
      <c r="I3">
        <v>93</v>
      </c>
    </row>
    <row r="4" spans="1:10" x14ac:dyDescent="0.2">
      <c r="A4" s="106" t="s">
        <v>1893</v>
      </c>
      <c r="B4" s="106" t="s">
        <v>347</v>
      </c>
      <c r="C4" s="106" t="s">
        <v>348</v>
      </c>
      <c r="D4" s="106" t="s">
        <v>353</v>
      </c>
      <c r="E4">
        <v>3333</v>
      </c>
      <c r="F4" s="106" t="s">
        <v>1894</v>
      </c>
      <c r="G4" s="106" t="s">
        <v>350</v>
      </c>
      <c r="H4" s="106" t="s">
        <v>360</v>
      </c>
      <c r="I4">
        <v>345</v>
      </c>
    </row>
    <row r="5" spans="1:10" x14ac:dyDescent="0.2">
      <c r="A5" s="106" t="s">
        <v>842</v>
      </c>
      <c r="B5" s="106" t="s">
        <v>347</v>
      </c>
      <c r="C5" s="106" t="s">
        <v>348</v>
      </c>
      <c r="D5" s="106" t="s">
        <v>349</v>
      </c>
      <c r="E5">
        <v>2925</v>
      </c>
      <c r="F5" s="106" t="s">
        <v>1895</v>
      </c>
      <c r="G5" s="106" t="s">
        <v>350</v>
      </c>
      <c r="H5" s="106" t="s">
        <v>351</v>
      </c>
      <c r="I5">
        <v>185</v>
      </c>
    </row>
    <row r="6" spans="1:10" x14ac:dyDescent="0.2">
      <c r="A6" s="106" t="s">
        <v>842</v>
      </c>
      <c r="B6" s="106" t="s">
        <v>347</v>
      </c>
      <c r="C6" s="106" t="s">
        <v>352</v>
      </c>
      <c r="D6" s="106" t="s">
        <v>353</v>
      </c>
      <c r="E6">
        <v>3174</v>
      </c>
      <c r="F6" s="106" t="s">
        <v>1896</v>
      </c>
      <c r="G6" s="106" t="s">
        <v>354</v>
      </c>
      <c r="H6" s="106" t="s">
        <v>360</v>
      </c>
      <c r="I6">
        <v>26</v>
      </c>
    </row>
    <row r="7" spans="1:10" x14ac:dyDescent="0.2">
      <c r="A7" s="106" t="s">
        <v>842</v>
      </c>
      <c r="B7" s="106" t="s">
        <v>347</v>
      </c>
      <c r="C7" s="106" t="s">
        <v>352</v>
      </c>
      <c r="D7" s="106" t="s">
        <v>353</v>
      </c>
      <c r="E7">
        <v>6196</v>
      </c>
      <c r="F7" s="106" t="s">
        <v>1897</v>
      </c>
      <c r="G7" s="106" t="s">
        <v>350</v>
      </c>
      <c r="H7" s="106" t="s">
        <v>355</v>
      </c>
      <c r="I7" s="106">
        <v>837</v>
      </c>
      <c r="J7" s="106"/>
    </row>
    <row r="8" spans="1:10" x14ac:dyDescent="0.2">
      <c r="A8" s="106" t="s">
        <v>842</v>
      </c>
      <c r="B8" s="106" t="s">
        <v>347</v>
      </c>
      <c r="C8" s="106" t="s">
        <v>348</v>
      </c>
      <c r="D8" s="106" t="s">
        <v>349</v>
      </c>
      <c r="E8">
        <v>8227</v>
      </c>
      <c r="F8" s="106" t="s">
        <v>774</v>
      </c>
      <c r="G8" s="106" t="s">
        <v>350</v>
      </c>
      <c r="H8" s="106" t="s">
        <v>360</v>
      </c>
      <c r="I8" s="106" t="s">
        <v>434</v>
      </c>
      <c r="J8" s="106" t="s">
        <v>2396</v>
      </c>
    </row>
    <row r="9" spans="1:10" x14ac:dyDescent="0.2">
      <c r="A9" s="106" t="s">
        <v>410</v>
      </c>
      <c r="B9" s="106" t="s">
        <v>374</v>
      </c>
      <c r="C9" s="106" t="s">
        <v>357</v>
      </c>
      <c r="D9" s="106" t="s">
        <v>349</v>
      </c>
      <c r="E9">
        <v>7965</v>
      </c>
      <c r="F9" s="106" t="s">
        <v>793</v>
      </c>
      <c r="G9" s="106" t="s">
        <v>350</v>
      </c>
      <c r="H9" s="106" t="s">
        <v>375</v>
      </c>
      <c r="I9" s="106" t="s">
        <v>381</v>
      </c>
      <c r="J9" s="106" t="s">
        <v>2397</v>
      </c>
    </row>
    <row r="10" spans="1:10" x14ac:dyDescent="0.2">
      <c r="A10" s="106" t="s">
        <v>410</v>
      </c>
      <c r="B10" s="106" t="s">
        <v>347</v>
      </c>
      <c r="C10" s="106" t="s">
        <v>352</v>
      </c>
      <c r="D10" s="106" t="s">
        <v>349</v>
      </c>
      <c r="E10">
        <v>3035</v>
      </c>
      <c r="F10" s="106" t="s">
        <v>411</v>
      </c>
      <c r="G10" s="106" t="s">
        <v>354</v>
      </c>
      <c r="H10" s="106" t="s">
        <v>356</v>
      </c>
      <c r="I10" s="106">
        <v>24</v>
      </c>
      <c r="J10" s="106"/>
    </row>
    <row r="11" spans="1:10" x14ac:dyDescent="0.2">
      <c r="A11" s="106" t="s">
        <v>410</v>
      </c>
      <c r="B11" s="106" t="s">
        <v>347</v>
      </c>
      <c r="C11" s="106" t="s">
        <v>348</v>
      </c>
      <c r="D11" s="106" t="s">
        <v>349</v>
      </c>
      <c r="E11">
        <v>7624</v>
      </c>
      <c r="F11" s="106" t="s">
        <v>412</v>
      </c>
      <c r="G11" s="106" t="s">
        <v>354</v>
      </c>
      <c r="H11" s="106" t="s">
        <v>356</v>
      </c>
      <c r="I11">
        <v>128</v>
      </c>
    </row>
    <row r="12" spans="1:10" x14ac:dyDescent="0.2">
      <c r="A12" s="106" t="s">
        <v>410</v>
      </c>
      <c r="B12" s="106" t="s">
        <v>347</v>
      </c>
      <c r="C12" s="106" t="s">
        <v>348</v>
      </c>
      <c r="D12" s="106" t="s">
        <v>349</v>
      </c>
      <c r="E12">
        <v>7630</v>
      </c>
      <c r="F12" s="106" t="s">
        <v>771</v>
      </c>
      <c r="G12" s="106" t="s">
        <v>350</v>
      </c>
      <c r="H12" s="106" t="s">
        <v>360</v>
      </c>
      <c r="I12" t="s">
        <v>381</v>
      </c>
      <c r="J12" t="s">
        <v>1999</v>
      </c>
    </row>
    <row r="13" spans="1:10" x14ac:dyDescent="0.2">
      <c r="A13" s="106" t="s">
        <v>410</v>
      </c>
      <c r="B13" s="106" t="s">
        <v>347</v>
      </c>
      <c r="C13" s="106" t="s">
        <v>348</v>
      </c>
      <c r="D13" s="106" t="s">
        <v>349</v>
      </c>
      <c r="E13">
        <v>8251</v>
      </c>
      <c r="F13" s="106" t="s">
        <v>1898</v>
      </c>
      <c r="G13" s="106" t="s">
        <v>350</v>
      </c>
      <c r="H13" s="106" t="s">
        <v>360</v>
      </c>
      <c r="I13" s="106" t="s">
        <v>381</v>
      </c>
      <c r="J13" s="106" t="s">
        <v>2398</v>
      </c>
    </row>
    <row r="14" spans="1:10" x14ac:dyDescent="0.2">
      <c r="A14" s="106" t="s">
        <v>413</v>
      </c>
      <c r="B14" s="106" t="s">
        <v>414</v>
      </c>
      <c r="C14" s="106" t="s">
        <v>359</v>
      </c>
      <c r="D14" s="106" t="s">
        <v>349</v>
      </c>
      <c r="E14">
        <v>3321</v>
      </c>
      <c r="F14" s="106" t="s">
        <v>1899</v>
      </c>
      <c r="G14" s="106" t="s">
        <v>350</v>
      </c>
      <c r="H14" s="106" t="s">
        <v>356</v>
      </c>
      <c r="I14" s="106">
        <v>60</v>
      </c>
      <c r="J14" s="106"/>
    </row>
    <row r="15" spans="1:10" x14ac:dyDescent="0.2">
      <c r="A15" s="106" t="s">
        <v>413</v>
      </c>
      <c r="B15" s="106" t="s">
        <v>414</v>
      </c>
      <c r="C15" s="106" t="s">
        <v>357</v>
      </c>
      <c r="D15" s="106" t="s">
        <v>349</v>
      </c>
      <c r="E15">
        <v>6664</v>
      </c>
      <c r="F15" s="106" t="s">
        <v>415</v>
      </c>
      <c r="G15" s="106" t="s">
        <v>354</v>
      </c>
      <c r="H15" s="106" t="s">
        <v>375</v>
      </c>
      <c r="I15">
        <v>43</v>
      </c>
    </row>
    <row r="16" spans="1:10" x14ac:dyDescent="0.2">
      <c r="A16" s="106" t="s">
        <v>413</v>
      </c>
      <c r="B16" s="106" t="s">
        <v>414</v>
      </c>
      <c r="C16" s="106" t="s">
        <v>348</v>
      </c>
      <c r="D16" s="106" t="s">
        <v>353</v>
      </c>
      <c r="E16">
        <v>7611</v>
      </c>
      <c r="F16" s="106" t="s">
        <v>416</v>
      </c>
      <c r="G16" s="106" t="s">
        <v>350</v>
      </c>
      <c r="H16" s="106" t="s">
        <v>360</v>
      </c>
      <c r="I16" s="106">
        <v>832</v>
      </c>
      <c r="J16" s="106"/>
    </row>
    <row r="17" spans="1:10" x14ac:dyDescent="0.2">
      <c r="A17" s="106" t="s">
        <v>413</v>
      </c>
      <c r="B17" s="106" t="s">
        <v>347</v>
      </c>
      <c r="C17" s="106" t="s">
        <v>348</v>
      </c>
      <c r="D17" s="106" t="s">
        <v>349</v>
      </c>
      <c r="E17">
        <v>2354</v>
      </c>
      <c r="F17" s="106" t="s">
        <v>769</v>
      </c>
      <c r="G17" s="106" t="s">
        <v>358</v>
      </c>
      <c r="H17" s="106" t="s">
        <v>361</v>
      </c>
      <c r="I17" s="106">
        <v>105</v>
      </c>
      <c r="J17" s="106"/>
    </row>
    <row r="18" spans="1:10" x14ac:dyDescent="0.2">
      <c r="A18" s="106" t="s">
        <v>413</v>
      </c>
      <c r="B18" s="106" t="s">
        <v>347</v>
      </c>
      <c r="C18" s="106" t="s">
        <v>352</v>
      </c>
      <c r="D18" s="106" t="s">
        <v>349</v>
      </c>
      <c r="E18">
        <v>2484</v>
      </c>
      <c r="F18" s="106" t="s">
        <v>1900</v>
      </c>
      <c r="G18" s="106" t="s">
        <v>354</v>
      </c>
      <c r="H18" s="106" t="s">
        <v>361</v>
      </c>
      <c r="I18">
        <v>463</v>
      </c>
    </row>
    <row r="19" spans="1:10" x14ac:dyDescent="0.2">
      <c r="A19" s="106" t="s">
        <v>413</v>
      </c>
      <c r="B19" s="106" t="s">
        <v>347</v>
      </c>
      <c r="C19" s="106" t="s">
        <v>348</v>
      </c>
      <c r="D19" s="106" t="s">
        <v>349</v>
      </c>
      <c r="E19">
        <v>2778</v>
      </c>
      <c r="F19" s="106" t="s">
        <v>1901</v>
      </c>
      <c r="G19" s="106" t="s">
        <v>358</v>
      </c>
      <c r="H19" s="106" t="s">
        <v>360</v>
      </c>
      <c r="I19">
        <v>39</v>
      </c>
    </row>
    <row r="20" spans="1:10" x14ac:dyDescent="0.2">
      <c r="A20" s="106" t="s">
        <v>413</v>
      </c>
      <c r="B20" s="106" t="s">
        <v>347</v>
      </c>
      <c r="C20" s="106" t="s">
        <v>348</v>
      </c>
      <c r="D20" s="106" t="s">
        <v>349</v>
      </c>
      <c r="E20">
        <v>3086</v>
      </c>
      <c r="F20" s="106" t="s">
        <v>1902</v>
      </c>
      <c r="G20" s="106" t="s">
        <v>350</v>
      </c>
      <c r="H20" s="106" t="s">
        <v>360</v>
      </c>
      <c r="I20" t="s">
        <v>434</v>
      </c>
      <c r="J20" t="s">
        <v>2399</v>
      </c>
    </row>
    <row r="21" spans="1:10" x14ac:dyDescent="0.2">
      <c r="A21" s="106" t="s">
        <v>413</v>
      </c>
      <c r="B21" s="106" t="s">
        <v>347</v>
      </c>
      <c r="C21" s="106" t="s">
        <v>359</v>
      </c>
      <c r="D21" s="106" t="s">
        <v>349</v>
      </c>
      <c r="E21">
        <v>4465</v>
      </c>
      <c r="F21" s="106" t="s">
        <v>1903</v>
      </c>
      <c r="G21" s="106" t="s">
        <v>350</v>
      </c>
      <c r="H21" s="106" t="s">
        <v>363</v>
      </c>
      <c r="I21" s="106">
        <v>106</v>
      </c>
      <c r="J21" s="106"/>
    </row>
    <row r="22" spans="1:10" x14ac:dyDescent="0.2">
      <c r="A22" s="106" t="s">
        <v>413</v>
      </c>
      <c r="B22" s="106" t="s">
        <v>347</v>
      </c>
      <c r="C22" s="106" t="s">
        <v>359</v>
      </c>
      <c r="D22" s="106" t="s">
        <v>349</v>
      </c>
      <c r="E22">
        <v>4825</v>
      </c>
      <c r="F22" s="106" t="s">
        <v>1904</v>
      </c>
      <c r="G22" s="106" t="s">
        <v>350</v>
      </c>
      <c r="H22" s="106" t="s">
        <v>361</v>
      </c>
      <c r="I22" s="106">
        <v>408</v>
      </c>
      <c r="J22" s="106"/>
    </row>
    <row r="23" spans="1:10" x14ac:dyDescent="0.2">
      <c r="A23" s="106" t="s">
        <v>413</v>
      </c>
      <c r="B23" s="106" t="s">
        <v>347</v>
      </c>
      <c r="C23" s="106" t="s">
        <v>348</v>
      </c>
      <c r="D23" s="106" t="s">
        <v>349</v>
      </c>
      <c r="E23">
        <v>6279</v>
      </c>
      <c r="F23" s="106" t="s">
        <v>417</v>
      </c>
      <c r="G23" s="106" t="s">
        <v>358</v>
      </c>
      <c r="H23" s="106" t="s">
        <v>371</v>
      </c>
      <c r="I23">
        <v>279</v>
      </c>
    </row>
    <row r="24" spans="1:10" x14ac:dyDescent="0.2">
      <c r="A24" s="106" t="s">
        <v>413</v>
      </c>
      <c r="B24" s="106" t="s">
        <v>347</v>
      </c>
      <c r="C24" s="106" t="s">
        <v>352</v>
      </c>
      <c r="D24" s="106" t="s">
        <v>349</v>
      </c>
      <c r="E24">
        <v>7447</v>
      </c>
      <c r="F24" s="106" t="s">
        <v>1905</v>
      </c>
      <c r="G24" s="106" t="s">
        <v>350</v>
      </c>
      <c r="H24" s="106" t="s">
        <v>356</v>
      </c>
      <c r="I24" s="106">
        <v>998</v>
      </c>
      <c r="J24" s="106"/>
    </row>
    <row r="25" spans="1:10" x14ac:dyDescent="0.2">
      <c r="A25" s="106" t="s">
        <v>413</v>
      </c>
      <c r="B25" s="106" t="s">
        <v>347</v>
      </c>
      <c r="C25" s="106" t="s">
        <v>348</v>
      </c>
      <c r="D25" s="106" t="s">
        <v>349</v>
      </c>
      <c r="E25">
        <v>7649</v>
      </c>
      <c r="F25" s="106" t="s">
        <v>1906</v>
      </c>
      <c r="G25" s="106" t="s">
        <v>350</v>
      </c>
      <c r="H25" s="106" t="s">
        <v>360</v>
      </c>
      <c r="I25" s="106" t="s">
        <v>434</v>
      </c>
      <c r="J25" s="106" t="s">
        <v>2400</v>
      </c>
    </row>
    <row r="26" spans="1:10" x14ac:dyDescent="0.2">
      <c r="A26" s="106" t="s">
        <v>413</v>
      </c>
      <c r="B26" s="106" t="s">
        <v>347</v>
      </c>
      <c r="C26" s="106" t="s">
        <v>359</v>
      </c>
      <c r="D26" s="106" t="s">
        <v>349</v>
      </c>
      <c r="E26">
        <v>7921</v>
      </c>
      <c r="F26" s="106" t="s">
        <v>843</v>
      </c>
      <c r="G26" s="106" t="s">
        <v>350</v>
      </c>
      <c r="H26" s="106" t="s">
        <v>372</v>
      </c>
      <c r="I26" s="106">
        <v>228</v>
      </c>
      <c r="J26" s="106"/>
    </row>
    <row r="27" spans="1:10" x14ac:dyDescent="0.2">
      <c r="A27" s="106" t="s">
        <v>413</v>
      </c>
      <c r="B27" s="106" t="s">
        <v>347</v>
      </c>
      <c r="C27" s="106" t="s">
        <v>348</v>
      </c>
      <c r="D27" s="106" t="s">
        <v>349</v>
      </c>
      <c r="E27">
        <v>8217</v>
      </c>
      <c r="F27" s="106" t="s">
        <v>773</v>
      </c>
      <c r="G27" s="106" t="s">
        <v>350</v>
      </c>
      <c r="H27" s="106" t="s">
        <v>360</v>
      </c>
      <c r="I27">
        <v>636</v>
      </c>
    </row>
    <row r="28" spans="1:10" x14ac:dyDescent="0.2">
      <c r="A28" s="106" t="s">
        <v>413</v>
      </c>
      <c r="B28" s="106" t="s">
        <v>347</v>
      </c>
      <c r="C28" s="106" t="s">
        <v>348</v>
      </c>
      <c r="D28" s="106" t="s">
        <v>349</v>
      </c>
      <c r="E28">
        <v>8233</v>
      </c>
      <c r="F28" s="106" t="s">
        <v>1907</v>
      </c>
      <c r="G28" s="106" t="s">
        <v>350</v>
      </c>
      <c r="H28" s="106" t="s">
        <v>360</v>
      </c>
      <c r="I28" t="s">
        <v>373</v>
      </c>
      <c r="J28" t="s">
        <v>2401</v>
      </c>
    </row>
    <row r="29" spans="1:10" x14ac:dyDescent="0.2">
      <c r="A29" s="106" t="s">
        <v>413</v>
      </c>
      <c r="B29" s="106" t="s">
        <v>347</v>
      </c>
      <c r="C29" s="106" t="s">
        <v>348</v>
      </c>
      <c r="D29" s="106" t="s">
        <v>349</v>
      </c>
      <c r="E29">
        <v>8276</v>
      </c>
      <c r="F29" s="106" t="s">
        <v>1908</v>
      </c>
      <c r="G29" s="106" t="s">
        <v>350</v>
      </c>
      <c r="H29" s="106" t="s">
        <v>360</v>
      </c>
      <c r="I29" s="106" t="s">
        <v>381</v>
      </c>
      <c r="J29" s="106" t="s">
        <v>2402</v>
      </c>
    </row>
    <row r="30" spans="1:10" x14ac:dyDescent="0.2">
      <c r="A30" s="106" t="s">
        <v>413</v>
      </c>
      <c r="B30" s="106" t="s">
        <v>347</v>
      </c>
      <c r="C30" s="106" t="s">
        <v>348</v>
      </c>
      <c r="D30" s="106" t="s">
        <v>353</v>
      </c>
      <c r="E30">
        <v>9976</v>
      </c>
      <c r="F30" s="106" t="s">
        <v>1909</v>
      </c>
      <c r="G30" s="106" t="s">
        <v>354</v>
      </c>
      <c r="H30" s="106" t="s">
        <v>360</v>
      </c>
      <c r="I30" s="106">
        <v>72</v>
      </c>
      <c r="J30" s="106"/>
    </row>
    <row r="31" spans="1:10" x14ac:dyDescent="0.2">
      <c r="A31" s="106" t="s">
        <v>413</v>
      </c>
      <c r="B31" s="106" t="s">
        <v>347</v>
      </c>
      <c r="C31" s="106" t="s">
        <v>348</v>
      </c>
      <c r="D31" s="106" t="s">
        <v>349</v>
      </c>
      <c r="E31">
        <v>9982</v>
      </c>
      <c r="F31" s="106" t="s">
        <v>419</v>
      </c>
      <c r="G31" s="106" t="s">
        <v>350</v>
      </c>
      <c r="H31" s="106" t="s">
        <v>356</v>
      </c>
      <c r="I31">
        <v>189</v>
      </c>
    </row>
    <row r="32" spans="1:10" x14ac:dyDescent="0.2">
      <c r="A32" s="106" t="s">
        <v>420</v>
      </c>
      <c r="B32" s="106" t="s">
        <v>347</v>
      </c>
      <c r="C32" s="106" t="s">
        <v>348</v>
      </c>
      <c r="D32" s="106" t="s">
        <v>349</v>
      </c>
      <c r="E32">
        <v>2186</v>
      </c>
      <c r="F32" s="106" t="s">
        <v>421</v>
      </c>
      <c r="G32" s="106" t="s">
        <v>354</v>
      </c>
      <c r="H32" s="106" t="s">
        <v>355</v>
      </c>
      <c r="I32">
        <v>102</v>
      </c>
    </row>
    <row r="33" spans="1:10" x14ac:dyDescent="0.2">
      <c r="A33" s="106" t="s">
        <v>420</v>
      </c>
      <c r="B33" s="106" t="s">
        <v>347</v>
      </c>
      <c r="C33" s="106" t="s">
        <v>348</v>
      </c>
      <c r="D33" s="106" t="s">
        <v>349</v>
      </c>
      <c r="E33">
        <v>2685</v>
      </c>
      <c r="F33" s="106" t="s">
        <v>422</v>
      </c>
      <c r="G33" s="106" t="s">
        <v>350</v>
      </c>
      <c r="H33" s="106" t="s">
        <v>360</v>
      </c>
      <c r="I33" s="106" t="s">
        <v>381</v>
      </c>
      <c r="J33" s="106" t="s">
        <v>2403</v>
      </c>
    </row>
    <row r="34" spans="1:10" x14ac:dyDescent="0.2">
      <c r="A34" s="106" t="s">
        <v>420</v>
      </c>
      <c r="B34" s="106" t="s">
        <v>347</v>
      </c>
      <c r="C34" s="106" t="s">
        <v>348</v>
      </c>
      <c r="D34" s="106" t="s">
        <v>353</v>
      </c>
      <c r="E34">
        <v>2742</v>
      </c>
      <c r="F34" s="106" t="s">
        <v>1911</v>
      </c>
      <c r="G34" s="106" t="s">
        <v>350</v>
      </c>
      <c r="H34" s="106" t="s">
        <v>360</v>
      </c>
      <c r="I34" s="106">
        <v>550</v>
      </c>
      <c r="J34" s="106"/>
    </row>
    <row r="35" spans="1:10" x14ac:dyDescent="0.2">
      <c r="A35" s="106" t="s">
        <v>420</v>
      </c>
      <c r="B35" s="106" t="s">
        <v>347</v>
      </c>
      <c r="C35" s="106" t="s">
        <v>359</v>
      </c>
      <c r="D35" s="106" t="s">
        <v>349</v>
      </c>
      <c r="E35">
        <v>2761</v>
      </c>
      <c r="F35" s="106" t="s">
        <v>1912</v>
      </c>
      <c r="G35" s="106" t="s">
        <v>354</v>
      </c>
      <c r="H35" s="106" t="s">
        <v>356</v>
      </c>
      <c r="I35">
        <v>763</v>
      </c>
    </row>
    <row r="36" spans="1:10" x14ac:dyDescent="0.2">
      <c r="A36" s="106" t="s">
        <v>420</v>
      </c>
      <c r="B36" s="106" t="s">
        <v>347</v>
      </c>
      <c r="C36" s="106" t="s">
        <v>348</v>
      </c>
      <c r="D36" s="106" t="s">
        <v>349</v>
      </c>
      <c r="E36">
        <v>3050</v>
      </c>
      <c r="F36" s="106" t="s">
        <v>1913</v>
      </c>
      <c r="G36" s="106" t="s">
        <v>350</v>
      </c>
      <c r="H36" s="106" t="s">
        <v>360</v>
      </c>
      <c r="I36" t="s">
        <v>381</v>
      </c>
      <c r="J36" t="s">
        <v>2404</v>
      </c>
    </row>
    <row r="37" spans="1:10" x14ac:dyDescent="0.2">
      <c r="A37" s="106" t="s">
        <v>420</v>
      </c>
      <c r="B37" s="106" t="s">
        <v>347</v>
      </c>
      <c r="C37" s="106" t="s">
        <v>357</v>
      </c>
      <c r="D37" s="106" t="s">
        <v>349</v>
      </c>
      <c r="E37">
        <v>3089</v>
      </c>
      <c r="F37" s="106" t="s">
        <v>1915</v>
      </c>
      <c r="G37" s="106" t="s">
        <v>354</v>
      </c>
      <c r="H37" s="106" t="s">
        <v>356</v>
      </c>
      <c r="I37" s="106">
        <v>25</v>
      </c>
      <c r="J37" s="106"/>
    </row>
    <row r="38" spans="1:10" x14ac:dyDescent="0.2">
      <c r="A38" s="106" t="s">
        <v>420</v>
      </c>
      <c r="B38" s="106" t="s">
        <v>347</v>
      </c>
      <c r="C38" s="106" t="s">
        <v>348</v>
      </c>
      <c r="D38" s="106" t="s">
        <v>349</v>
      </c>
      <c r="E38">
        <v>3919</v>
      </c>
      <c r="F38" s="106" t="s">
        <v>423</v>
      </c>
      <c r="G38" s="106" t="s">
        <v>350</v>
      </c>
      <c r="H38" s="106" t="s">
        <v>361</v>
      </c>
      <c r="I38">
        <v>142</v>
      </c>
    </row>
    <row r="39" spans="1:10" x14ac:dyDescent="0.2">
      <c r="A39" s="106" t="s">
        <v>420</v>
      </c>
      <c r="B39" s="106" t="s">
        <v>347</v>
      </c>
      <c r="C39" s="106" t="s">
        <v>359</v>
      </c>
      <c r="D39" s="106" t="s">
        <v>349</v>
      </c>
      <c r="E39">
        <v>6083</v>
      </c>
      <c r="F39" s="106" t="s">
        <v>1916</v>
      </c>
      <c r="G39" s="106" t="s">
        <v>350</v>
      </c>
      <c r="H39" s="106" t="s">
        <v>355</v>
      </c>
      <c r="I39">
        <v>61</v>
      </c>
    </row>
    <row r="40" spans="1:10" x14ac:dyDescent="0.2">
      <c r="A40" s="106" t="s">
        <v>420</v>
      </c>
      <c r="B40" s="106" t="s">
        <v>347</v>
      </c>
      <c r="C40" s="106" t="s">
        <v>352</v>
      </c>
      <c r="D40" s="106" t="s">
        <v>349</v>
      </c>
      <c r="E40">
        <v>7514</v>
      </c>
      <c r="F40" s="106" t="s">
        <v>794</v>
      </c>
      <c r="G40" s="106" t="s">
        <v>350</v>
      </c>
      <c r="H40" s="106" t="s">
        <v>360</v>
      </c>
      <c r="I40">
        <v>104</v>
      </c>
    </row>
    <row r="41" spans="1:10" x14ac:dyDescent="0.2">
      <c r="A41" s="106" t="s">
        <v>420</v>
      </c>
      <c r="B41" s="106" t="s">
        <v>347</v>
      </c>
      <c r="C41" s="106" t="s">
        <v>348</v>
      </c>
      <c r="D41" s="106" t="s">
        <v>353</v>
      </c>
      <c r="E41">
        <v>8166</v>
      </c>
      <c r="F41" s="106" t="s">
        <v>1917</v>
      </c>
      <c r="G41" s="106" t="s">
        <v>350</v>
      </c>
      <c r="H41" s="106" t="s">
        <v>360</v>
      </c>
      <c r="I41">
        <v>46</v>
      </c>
    </row>
    <row r="42" spans="1:10" x14ac:dyDescent="0.2">
      <c r="A42" s="106" t="s">
        <v>420</v>
      </c>
      <c r="B42" s="106" t="s">
        <v>347</v>
      </c>
      <c r="C42" s="106" t="s">
        <v>348</v>
      </c>
      <c r="D42" s="106" t="s">
        <v>353</v>
      </c>
      <c r="E42">
        <v>8168</v>
      </c>
      <c r="F42" s="106" t="s">
        <v>1918</v>
      </c>
      <c r="G42" s="106" t="s">
        <v>350</v>
      </c>
      <c r="H42" s="106" t="s">
        <v>360</v>
      </c>
      <c r="I42">
        <v>376</v>
      </c>
    </row>
    <row r="43" spans="1:10" x14ac:dyDescent="0.2">
      <c r="A43" s="106" t="s">
        <v>420</v>
      </c>
      <c r="B43" s="106" t="s">
        <v>347</v>
      </c>
      <c r="C43" s="106" t="s">
        <v>359</v>
      </c>
      <c r="D43" s="106" t="s">
        <v>349</v>
      </c>
      <c r="E43">
        <v>9651</v>
      </c>
      <c r="F43" s="106" t="s">
        <v>424</v>
      </c>
      <c r="G43" s="106" t="s">
        <v>354</v>
      </c>
      <c r="H43" s="106" t="s">
        <v>361</v>
      </c>
      <c r="I43">
        <v>100</v>
      </c>
    </row>
    <row r="44" spans="1:10" x14ac:dyDescent="0.2">
      <c r="A44" s="106" t="s">
        <v>420</v>
      </c>
      <c r="B44" s="106" t="s">
        <v>347</v>
      </c>
      <c r="C44" s="106" t="s">
        <v>348</v>
      </c>
      <c r="D44" s="106" t="s">
        <v>349</v>
      </c>
      <c r="E44">
        <v>9843</v>
      </c>
      <c r="F44" s="106" t="s">
        <v>1919</v>
      </c>
      <c r="G44" s="106" t="s">
        <v>350</v>
      </c>
      <c r="H44" s="106" t="s">
        <v>360</v>
      </c>
      <c r="I44" t="s">
        <v>2405</v>
      </c>
      <c r="J44" t="s">
        <v>2406</v>
      </c>
    </row>
    <row r="45" spans="1:10" x14ac:dyDescent="0.2">
      <c r="A45" s="106" t="s">
        <v>420</v>
      </c>
      <c r="B45" s="106" t="s">
        <v>347</v>
      </c>
      <c r="C45" s="106" t="s">
        <v>357</v>
      </c>
      <c r="D45" s="106" t="s">
        <v>349</v>
      </c>
      <c r="E45">
        <v>9872</v>
      </c>
      <c r="F45" s="106" t="s">
        <v>1920</v>
      </c>
      <c r="G45" s="106" t="s">
        <v>350</v>
      </c>
      <c r="H45" s="106" t="s">
        <v>356</v>
      </c>
      <c r="I45" s="106">
        <v>98</v>
      </c>
      <c r="J45" s="106"/>
    </row>
    <row r="46" spans="1:10" x14ac:dyDescent="0.2">
      <c r="A46" s="106" t="s">
        <v>425</v>
      </c>
      <c r="B46" s="106" t="s">
        <v>347</v>
      </c>
      <c r="C46" s="106" t="s">
        <v>359</v>
      </c>
      <c r="D46" s="106" t="s">
        <v>349</v>
      </c>
      <c r="E46">
        <v>1376</v>
      </c>
      <c r="F46" s="106" t="s">
        <v>1921</v>
      </c>
      <c r="G46" s="106" t="s">
        <v>350</v>
      </c>
      <c r="H46" s="106" t="s">
        <v>398</v>
      </c>
      <c r="I46">
        <v>175</v>
      </c>
    </row>
    <row r="47" spans="1:10" x14ac:dyDescent="0.2">
      <c r="A47" s="106" t="s">
        <v>425</v>
      </c>
      <c r="B47" s="106" t="s">
        <v>347</v>
      </c>
      <c r="C47" s="106" t="s">
        <v>348</v>
      </c>
      <c r="D47" s="106" t="s">
        <v>349</v>
      </c>
      <c r="E47">
        <v>1712</v>
      </c>
      <c r="F47" s="106" t="s">
        <v>426</v>
      </c>
      <c r="G47" s="106" t="s">
        <v>350</v>
      </c>
      <c r="H47" s="106" t="s">
        <v>377</v>
      </c>
      <c r="I47">
        <v>171</v>
      </c>
    </row>
    <row r="48" spans="1:10" x14ac:dyDescent="0.2">
      <c r="A48" s="106" t="s">
        <v>425</v>
      </c>
      <c r="B48" s="106" t="s">
        <v>347</v>
      </c>
      <c r="C48" s="106" t="s">
        <v>348</v>
      </c>
      <c r="D48" s="106" t="s">
        <v>349</v>
      </c>
      <c r="E48">
        <v>2305</v>
      </c>
      <c r="F48" s="106" t="s">
        <v>1922</v>
      </c>
      <c r="G48" s="106" t="s">
        <v>350</v>
      </c>
      <c r="H48" s="106" t="s">
        <v>355</v>
      </c>
      <c r="I48">
        <v>328</v>
      </c>
    </row>
    <row r="49" spans="1:10" x14ac:dyDescent="0.2">
      <c r="A49" s="106" t="s">
        <v>425</v>
      </c>
      <c r="B49" s="106" t="s">
        <v>347</v>
      </c>
      <c r="C49" s="106" t="s">
        <v>352</v>
      </c>
      <c r="D49" s="106" t="s">
        <v>353</v>
      </c>
      <c r="E49">
        <v>6264</v>
      </c>
      <c r="F49" s="106" t="s">
        <v>633</v>
      </c>
      <c r="G49" s="106" t="s">
        <v>350</v>
      </c>
      <c r="H49" s="106" t="s">
        <v>371</v>
      </c>
      <c r="I49">
        <v>130</v>
      </c>
    </row>
    <row r="50" spans="1:10" x14ac:dyDescent="0.2">
      <c r="A50" s="106" t="s">
        <v>425</v>
      </c>
      <c r="B50" s="106" t="s">
        <v>347</v>
      </c>
      <c r="C50" s="106" t="s">
        <v>348</v>
      </c>
      <c r="D50" s="106" t="s">
        <v>349</v>
      </c>
      <c r="E50">
        <v>9793</v>
      </c>
      <c r="F50" s="106" t="s">
        <v>427</v>
      </c>
      <c r="G50" s="106" t="s">
        <v>350</v>
      </c>
      <c r="H50" s="106" t="s">
        <v>355</v>
      </c>
      <c r="I50" s="106" t="s">
        <v>381</v>
      </c>
      <c r="J50" s="106" t="s">
        <v>2175</v>
      </c>
    </row>
    <row r="51" spans="1:10" x14ac:dyDescent="0.2">
      <c r="A51" s="106" t="s">
        <v>425</v>
      </c>
      <c r="B51" s="106" t="s">
        <v>347</v>
      </c>
      <c r="C51" s="106" t="s">
        <v>348</v>
      </c>
      <c r="D51" s="106" t="s">
        <v>353</v>
      </c>
      <c r="E51">
        <v>9977</v>
      </c>
      <c r="F51" s="106" t="s">
        <v>1923</v>
      </c>
      <c r="G51" s="106" t="s">
        <v>354</v>
      </c>
      <c r="H51" s="106" t="s">
        <v>360</v>
      </c>
      <c r="I51" s="106">
        <v>169</v>
      </c>
      <c r="J51" s="106"/>
    </row>
    <row r="52" spans="1:10" x14ac:dyDescent="0.2">
      <c r="A52" s="106" t="s">
        <v>428</v>
      </c>
      <c r="B52" s="106" t="s">
        <v>414</v>
      </c>
      <c r="C52" s="106" t="s">
        <v>357</v>
      </c>
      <c r="D52" s="106" t="s">
        <v>349</v>
      </c>
      <c r="E52">
        <v>3186</v>
      </c>
      <c r="F52" s="106" t="s">
        <v>626</v>
      </c>
      <c r="G52" s="106" t="s">
        <v>350</v>
      </c>
      <c r="H52" s="106" t="s">
        <v>360</v>
      </c>
      <c r="I52">
        <v>961</v>
      </c>
    </row>
    <row r="53" spans="1:10" x14ac:dyDescent="0.2">
      <c r="A53" s="106" t="s">
        <v>428</v>
      </c>
      <c r="B53" s="106" t="s">
        <v>347</v>
      </c>
      <c r="C53" s="106" t="s">
        <v>352</v>
      </c>
      <c r="D53" s="106" t="s">
        <v>353</v>
      </c>
      <c r="E53">
        <v>1997</v>
      </c>
      <c r="F53" s="106" t="s">
        <v>1924</v>
      </c>
      <c r="G53" s="106" t="s">
        <v>354</v>
      </c>
      <c r="H53" s="106" t="s">
        <v>377</v>
      </c>
      <c r="I53">
        <v>36</v>
      </c>
    </row>
    <row r="54" spans="1:10" x14ac:dyDescent="0.2">
      <c r="A54" s="106" t="s">
        <v>428</v>
      </c>
      <c r="B54" s="106" t="s">
        <v>347</v>
      </c>
      <c r="C54" s="106" t="s">
        <v>348</v>
      </c>
      <c r="D54" s="106" t="s">
        <v>349</v>
      </c>
      <c r="E54">
        <v>2659</v>
      </c>
      <c r="F54" s="106" t="s">
        <v>1925</v>
      </c>
      <c r="G54" s="106" t="s">
        <v>350</v>
      </c>
      <c r="H54" s="106" t="s">
        <v>360</v>
      </c>
      <c r="I54" t="s">
        <v>381</v>
      </c>
      <c r="J54" t="s">
        <v>2407</v>
      </c>
    </row>
    <row r="55" spans="1:10" x14ac:dyDescent="0.2">
      <c r="A55" s="106" t="s">
        <v>428</v>
      </c>
      <c r="B55" s="106" t="s">
        <v>347</v>
      </c>
      <c r="C55" s="106" t="s">
        <v>359</v>
      </c>
      <c r="D55" s="106" t="s">
        <v>349</v>
      </c>
      <c r="E55">
        <v>2792</v>
      </c>
      <c r="F55" s="106" t="s">
        <v>429</v>
      </c>
      <c r="G55" s="106" t="s">
        <v>350</v>
      </c>
      <c r="H55" s="106" t="s">
        <v>360</v>
      </c>
      <c r="I55" s="106">
        <v>451</v>
      </c>
      <c r="J55" s="106"/>
    </row>
    <row r="56" spans="1:10" x14ac:dyDescent="0.2">
      <c r="A56" s="106" t="s">
        <v>428</v>
      </c>
      <c r="B56" s="106" t="s">
        <v>347</v>
      </c>
      <c r="C56" s="106" t="s">
        <v>357</v>
      </c>
      <c r="D56" s="106" t="s">
        <v>349</v>
      </c>
      <c r="E56">
        <v>3244</v>
      </c>
      <c r="F56" s="106" t="s">
        <v>1926</v>
      </c>
      <c r="G56" s="106" t="s">
        <v>350</v>
      </c>
      <c r="H56" s="106" t="s">
        <v>376</v>
      </c>
      <c r="I56">
        <v>902</v>
      </c>
    </row>
    <row r="57" spans="1:10" x14ac:dyDescent="0.2">
      <c r="A57" s="106" t="s">
        <v>428</v>
      </c>
      <c r="B57" s="106" t="s">
        <v>347</v>
      </c>
      <c r="C57" s="106" t="s">
        <v>359</v>
      </c>
      <c r="D57" s="106" t="s">
        <v>349</v>
      </c>
      <c r="E57">
        <v>4735</v>
      </c>
      <c r="F57" s="106" t="s">
        <v>1927</v>
      </c>
      <c r="G57" s="106" t="s">
        <v>358</v>
      </c>
      <c r="H57" s="106" t="s">
        <v>355</v>
      </c>
      <c r="I57">
        <v>78</v>
      </c>
    </row>
    <row r="58" spans="1:10" x14ac:dyDescent="0.2">
      <c r="A58" s="106" t="s">
        <v>428</v>
      </c>
      <c r="B58" s="106" t="s">
        <v>347</v>
      </c>
      <c r="C58" s="106" t="s">
        <v>359</v>
      </c>
      <c r="D58" s="106" t="s">
        <v>353</v>
      </c>
      <c r="E58">
        <v>7673</v>
      </c>
      <c r="F58" s="106" t="s">
        <v>660</v>
      </c>
      <c r="G58" s="106" t="s">
        <v>358</v>
      </c>
      <c r="H58" s="106" t="s">
        <v>356</v>
      </c>
      <c r="I58">
        <v>73</v>
      </c>
    </row>
    <row r="59" spans="1:10" x14ac:dyDescent="0.2">
      <c r="A59" s="106" t="s">
        <v>428</v>
      </c>
      <c r="B59" s="106" t="s">
        <v>347</v>
      </c>
      <c r="C59" s="106" t="s">
        <v>348</v>
      </c>
      <c r="D59" s="106" t="s">
        <v>349</v>
      </c>
      <c r="E59">
        <v>7679</v>
      </c>
      <c r="F59" s="106" t="s">
        <v>1928</v>
      </c>
      <c r="G59" s="106" t="s">
        <v>350</v>
      </c>
      <c r="H59" s="106" t="s">
        <v>360</v>
      </c>
      <c r="I59">
        <v>493</v>
      </c>
    </row>
    <row r="60" spans="1:10" x14ac:dyDescent="0.2">
      <c r="A60" s="106" t="s">
        <v>428</v>
      </c>
      <c r="B60" s="106" t="s">
        <v>347</v>
      </c>
      <c r="C60" s="106" t="s">
        <v>348</v>
      </c>
      <c r="D60" s="106" t="s">
        <v>349</v>
      </c>
      <c r="E60">
        <v>8008</v>
      </c>
      <c r="F60" s="106" t="s">
        <v>635</v>
      </c>
      <c r="G60" s="106" t="s">
        <v>350</v>
      </c>
      <c r="H60" s="106" t="s">
        <v>360</v>
      </c>
      <c r="I60">
        <v>652</v>
      </c>
    </row>
    <row r="61" spans="1:10" x14ac:dyDescent="0.2">
      <c r="A61" s="106" t="s">
        <v>428</v>
      </c>
      <c r="B61" s="106" t="s">
        <v>347</v>
      </c>
      <c r="C61" s="106" t="s">
        <v>348</v>
      </c>
      <c r="D61" s="106" t="s">
        <v>349</v>
      </c>
      <c r="E61">
        <v>8125</v>
      </c>
      <c r="F61" s="106" t="s">
        <v>636</v>
      </c>
      <c r="G61" s="106" t="s">
        <v>350</v>
      </c>
      <c r="H61" s="106" t="s">
        <v>356</v>
      </c>
      <c r="I61">
        <v>581</v>
      </c>
    </row>
    <row r="62" spans="1:10" x14ac:dyDescent="0.2">
      <c r="A62" s="106" t="s">
        <v>428</v>
      </c>
      <c r="B62" s="106" t="s">
        <v>347</v>
      </c>
      <c r="C62" s="106" t="s">
        <v>348</v>
      </c>
      <c r="D62" s="106" t="s">
        <v>353</v>
      </c>
      <c r="E62">
        <v>8931</v>
      </c>
      <c r="F62" s="106" t="s">
        <v>1929</v>
      </c>
      <c r="G62" s="106" t="s">
        <v>354</v>
      </c>
      <c r="H62" s="106" t="s">
        <v>376</v>
      </c>
      <c r="I62">
        <v>92</v>
      </c>
    </row>
    <row r="63" spans="1:10" x14ac:dyDescent="0.2">
      <c r="A63" s="106" t="s">
        <v>428</v>
      </c>
      <c r="B63" s="106" t="s">
        <v>347</v>
      </c>
      <c r="C63" s="106" t="s">
        <v>348</v>
      </c>
      <c r="D63" s="106" t="s">
        <v>349</v>
      </c>
      <c r="E63">
        <v>9974</v>
      </c>
      <c r="F63" s="106" t="s">
        <v>1930</v>
      </c>
      <c r="G63" s="106" t="s">
        <v>350</v>
      </c>
      <c r="H63" s="106" t="s">
        <v>360</v>
      </c>
      <c r="I63" t="s">
        <v>381</v>
      </c>
      <c r="J63" t="s">
        <v>2408</v>
      </c>
    </row>
    <row r="64" spans="1:10" x14ac:dyDescent="0.2">
      <c r="A64" s="106" t="s">
        <v>430</v>
      </c>
      <c r="B64" s="106" t="s">
        <v>347</v>
      </c>
      <c r="C64" s="106" t="s">
        <v>348</v>
      </c>
      <c r="D64" s="106" t="s">
        <v>349</v>
      </c>
      <c r="E64">
        <v>2178</v>
      </c>
      <c r="F64" s="106" t="s">
        <v>1931</v>
      </c>
      <c r="G64" s="106" t="s">
        <v>362</v>
      </c>
      <c r="H64" s="106" t="s">
        <v>355</v>
      </c>
      <c r="I64" s="106">
        <v>93</v>
      </c>
      <c r="J64" s="106"/>
    </row>
    <row r="65" spans="1:10" x14ac:dyDescent="0.2">
      <c r="A65" s="106" t="s">
        <v>430</v>
      </c>
      <c r="B65" s="106" t="s">
        <v>347</v>
      </c>
      <c r="C65" s="106" t="s">
        <v>348</v>
      </c>
      <c r="D65" s="106" t="s">
        <v>349</v>
      </c>
      <c r="E65">
        <v>2670</v>
      </c>
      <c r="F65" s="106" t="s">
        <v>1932</v>
      </c>
      <c r="G65" s="106" t="s">
        <v>350</v>
      </c>
      <c r="H65" s="106" t="s">
        <v>360</v>
      </c>
      <c r="I65" t="s">
        <v>409</v>
      </c>
      <c r="J65" t="s">
        <v>2409</v>
      </c>
    </row>
    <row r="66" spans="1:10" x14ac:dyDescent="0.2">
      <c r="A66" s="106" t="s">
        <v>430</v>
      </c>
      <c r="B66" s="106" t="s">
        <v>347</v>
      </c>
      <c r="C66" s="106" t="s">
        <v>348</v>
      </c>
      <c r="D66" s="106" t="s">
        <v>349</v>
      </c>
      <c r="E66">
        <v>3141</v>
      </c>
      <c r="F66" s="106" t="s">
        <v>1933</v>
      </c>
      <c r="G66" s="106" t="s">
        <v>350</v>
      </c>
      <c r="H66" s="106" t="s">
        <v>360</v>
      </c>
      <c r="I66" s="106" t="s">
        <v>665</v>
      </c>
      <c r="J66" s="106" t="s">
        <v>2410</v>
      </c>
    </row>
    <row r="67" spans="1:10" x14ac:dyDescent="0.2">
      <c r="A67" s="106" t="s">
        <v>430</v>
      </c>
      <c r="B67" s="106" t="s">
        <v>347</v>
      </c>
      <c r="C67" s="106" t="s">
        <v>348</v>
      </c>
      <c r="D67" s="106" t="s">
        <v>349</v>
      </c>
      <c r="E67">
        <v>3550</v>
      </c>
      <c r="F67" s="106" t="s">
        <v>1934</v>
      </c>
      <c r="G67" s="106" t="s">
        <v>362</v>
      </c>
      <c r="H67" s="106" t="s">
        <v>360</v>
      </c>
      <c r="I67" s="106">
        <v>88</v>
      </c>
      <c r="J67" s="106"/>
    </row>
    <row r="68" spans="1:10" x14ac:dyDescent="0.2">
      <c r="A68" s="106" t="s">
        <v>430</v>
      </c>
      <c r="B68" s="106" t="s">
        <v>347</v>
      </c>
      <c r="C68" s="106" t="s">
        <v>348</v>
      </c>
      <c r="D68" s="106" t="s">
        <v>349</v>
      </c>
      <c r="E68">
        <v>4714</v>
      </c>
      <c r="F68" s="106" t="s">
        <v>431</v>
      </c>
      <c r="G68" s="106" t="s">
        <v>350</v>
      </c>
      <c r="H68" s="106" t="s">
        <v>355</v>
      </c>
      <c r="I68">
        <v>598</v>
      </c>
    </row>
    <row r="69" spans="1:10" x14ac:dyDescent="0.2">
      <c r="A69" s="106" t="s">
        <v>430</v>
      </c>
      <c r="B69" s="106" t="s">
        <v>347</v>
      </c>
      <c r="C69" s="106" t="s">
        <v>348</v>
      </c>
      <c r="D69" s="106" t="s">
        <v>349</v>
      </c>
      <c r="E69">
        <v>6183</v>
      </c>
      <c r="F69" s="106" t="s">
        <v>1935</v>
      </c>
      <c r="G69" s="106" t="s">
        <v>350</v>
      </c>
      <c r="H69" s="106" t="s">
        <v>355</v>
      </c>
      <c r="I69" s="106" t="s">
        <v>381</v>
      </c>
      <c r="J69" s="106" t="s">
        <v>2411</v>
      </c>
    </row>
    <row r="70" spans="1:10" x14ac:dyDescent="0.2">
      <c r="A70" s="106" t="s">
        <v>430</v>
      </c>
      <c r="B70" s="106" t="s">
        <v>347</v>
      </c>
      <c r="C70" s="106" t="s">
        <v>348</v>
      </c>
      <c r="D70" s="106" t="s">
        <v>353</v>
      </c>
      <c r="E70">
        <v>6469</v>
      </c>
      <c r="F70" s="106" t="s">
        <v>1936</v>
      </c>
      <c r="G70" s="106" t="s">
        <v>354</v>
      </c>
      <c r="H70" s="106" t="s">
        <v>371</v>
      </c>
      <c r="I70" s="106">
        <v>70</v>
      </c>
      <c r="J70" s="106"/>
    </row>
    <row r="71" spans="1:10" x14ac:dyDescent="0.2">
      <c r="A71" s="106" t="s">
        <v>430</v>
      </c>
      <c r="B71" s="106" t="s">
        <v>347</v>
      </c>
      <c r="C71" s="106" t="s">
        <v>359</v>
      </c>
      <c r="D71" s="106" t="s">
        <v>353</v>
      </c>
      <c r="E71">
        <v>6552</v>
      </c>
      <c r="F71" s="106" t="s">
        <v>1937</v>
      </c>
      <c r="G71" s="106" t="s">
        <v>350</v>
      </c>
      <c r="H71" s="106" t="s">
        <v>355</v>
      </c>
      <c r="I71">
        <v>144</v>
      </c>
    </row>
    <row r="72" spans="1:10" x14ac:dyDescent="0.2">
      <c r="A72" s="106" t="s">
        <v>430</v>
      </c>
      <c r="B72" s="106" t="s">
        <v>347</v>
      </c>
      <c r="C72" s="106" t="s">
        <v>352</v>
      </c>
      <c r="D72" s="106" t="s">
        <v>349</v>
      </c>
      <c r="E72">
        <v>7581</v>
      </c>
      <c r="F72" s="106" t="s">
        <v>1938</v>
      </c>
      <c r="G72" s="106" t="s">
        <v>350</v>
      </c>
      <c r="H72" s="106" t="s">
        <v>360</v>
      </c>
      <c r="I72" t="s">
        <v>381</v>
      </c>
      <c r="J72" t="s">
        <v>844</v>
      </c>
    </row>
    <row r="73" spans="1:10" x14ac:dyDescent="0.2">
      <c r="A73" s="106" t="s">
        <v>430</v>
      </c>
      <c r="B73" s="106" t="s">
        <v>347</v>
      </c>
      <c r="C73" s="106" t="s">
        <v>348</v>
      </c>
      <c r="D73" s="106" t="s">
        <v>349</v>
      </c>
      <c r="E73">
        <v>8278</v>
      </c>
      <c r="F73" s="106" t="s">
        <v>1939</v>
      </c>
      <c r="G73" s="106" t="s">
        <v>350</v>
      </c>
      <c r="H73" s="106" t="s">
        <v>360</v>
      </c>
      <c r="I73" s="106">
        <v>760</v>
      </c>
      <c r="J73" s="106"/>
    </row>
    <row r="74" spans="1:10" x14ac:dyDescent="0.2">
      <c r="A74" s="106" t="s">
        <v>430</v>
      </c>
      <c r="B74" s="106" t="s">
        <v>347</v>
      </c>
      <c r="C74" s="106" t="s">
        <v>359</v>
      </c>
      <c r="D74" s="106" t="s">
        <v>349</v>
      </c>
      <c r="E74">
        <v>9265</v>
      </c>
      <c r="F74" s="106" t="s">
        <v>1940</v>
      </c>
      <c r="G74" s="106" t="s">
        <v>350</v>
      </c>
      <c r="H74" s="106" t="s">
        <v>356</v>
      </c>
      <c r="I74" s="106">
        <v>39</v>
      </c>
      <c r="J74" s="106"/>
    </row>
    <row r="75" spans="1:10" x14ac:dyDescent="0.2">
      <c r="A75" s="106" t="s">
        <v>430</v>
      </c>
      <c r="B75" s="106" t="s">
        <v>347</v>
      </c>
      <c r="C75" s="106" t="s">
        <v>352</v>
      </c>
      <c r="D75" s="106" t="s">
        <v>349</v>
      </c>
      <c r="E75">
        <v>9414</v>
      </c>
      <c r="F75" s="106" t="s">
        <v>1941</v>
      </c>
      <c r="G75" s="106" t="s">
        <v>350</v>
      </c>
      <c r="H75" s="106" t="s">
        <v>361</v>
      </c>
      <c r="I75" s="106">
        <v>201</v>
      </c>
      <c r="J75" s="106"/>
    </row>
    <row r="76" spans="1:10" x14ac:dyDescent="0.2">
      <c r="A76" s="106" t="s">
        <v>430</v>
      </c>
      <c r="B76" s="106" t="s">
        <v>347</v>
      </c>
      <c r="C76" s="106" t="s">
        <v>348</v>
      </c>
      <c r="D76" s="106" t="s">
        <v>349</v>
      </c>
      <c r="E76">
        <v>9846</v>
      </c>
      <c r="F76" s="106" t="s">
        <v>1942</v>
      </c>
      <c r="G76" s="106" t="s">
        <v>358</v>
      </c>
      <c r="H76" s="106" t="s">
        <v>360</v>
      </c>
      <c r="I76">
        <v>141</v>
      </c>
    </row>
    <row r="77" spans="1:10" x14ac:dyDescent="0.2">
      <c r="A77" s="106" t="s">
        <v>430</v>
      </c>
      <c r="B77" s="106" t="s">
        <v>347</v>
      </c>
      <c r="C77" s="106" t="s">
        <v>348</v>
      </c>
      <c r="D77" s="106" t="s">
        <v>349</v>
      </c>
      <c r="E77">
        <v>9993</v>
      </c>
      <c r="F77" s="106" t="s">
        <v>1943</v>
      </c>
      <c r="G77" s="106" t="s">
        <v>350</v>
      </c>
      <c r="H77" s="106" t="s">
        <v>360</v>
      </c>
      <c r="I77">
        <v>188</v>
      </c>
    </row>
    <row r="78" spans="1:10" x14ac:dyDescent="0.2">
      <c r="A78" s="106" t="s">
        <v>432</v>
      </c>
      <c r="B78" s="106" t="s">
        <v>414</v>
      </c>
      <c r="C78" s="106" t="s">
        <v>359</v>
      </c>
      <c r="D78" s="106" t="s">
        <v>353</v>
      </c>
      <c r="E78">
        <v>4430</v>
      </c>
      <c r="F78" s="106" t="s">
        <v>631</v>
      </c>
      <c r="G78" s="106" t="s">
        <v>358</v>
      </c>
      <c r="H78" s="106" t="s">
        <v>361</v>
      </c>
      <c r="I78">
        <v>52</v>
      </c>
    </row>
    <row r="79" spans="1:10" x14ac:dyDescent="0.2">
      <c r="A79" s="106" t="s">
        <v>432</v>
      </c>
      <c r="B79" s="106" t="s">
        <v>347</v>
      </c>
      <c r="C79" s="106" t="s">
        <v>359</v>
      </c>
      <c r="D79" s="106" t="s">
        <v>349</v>
      </c>
      <c r="E79">
        <v>1377</v>
      </c>
      <c r="F79" s="106" t="s">
        <v>638</v>
      </c>
      <c r="G79" s="106" t="s">
        <v>350</v>
      </c>
      <c r="H79" s="106" t="s">
        <v>398</v>
      </c>
      <c r="I79" t="s">
        <v>381</v>
      </c>
      <c r="J79" t="s">
        <v>2412</v>
      </c>
    </row>
    <row r="80" spans="1:10" x14ac:dyDescent="0.2">
      <c r="A80" s="106" t="s">
        <v>432</v>
      </c>
      <c r="B80" s="106" t="s">
        <v>347</v>
      </c>
      <c r="C80" s="106" t="s">
        <v>359</v>
      </c>
      <c r="D80" s="106" t="s">
        <v>353</v>
      </c>
      <c r="E80">
        <v>2303</v>
      </c>
      <c r="F80" s="106" t="s">
        <v>641</v>
      </c>
      <c r="G80" s="106" t="s">
        <v>354</v>
      </c>
      <c r="H80" s="106" t="s">
        <v>361</v>
      </c>
      <c r="I80" s="106">
        <v>52</v>
      </c>
      <c r="J80" s="106"/>
    </row>
    <row r="81" spans="1:10" x14ac:dyDescent="0.2">
      <c r="A81" s="106" t="s">
        <v>432</v>
      </c>
      <c r="B81" s="106" t="s">
        <v>347</v>
      </c>
      <c r="C81" s="106" t="s">
        <v>348</v>
      </c>
      <c r="D81" s="106" t="s">
        <v>349</v>
      </c>
      <c r="E81">
        <v>2341</v>
      </c>
      <c r="F81" s="106" t="s">
        <v>1944</v>
      </c>
      <c r="G81" s="106" t="s">
        <v>354</v>
      </c>
      <c r="H81" s="106" t="s">
        <v>355</v>
      </c>
      <c r="I81">
        <v>68</v>
      </c>
    </row>
    <row r="82" spans="1:10" x14ac:dyDescent="0.2">
      <c r="A82" s="106" t="s">
        <v>432</v>
      </c>
      <c r="B82" s="106" t="s">
        <v>347</v>
      </c>
      <c r="C82" s="106" t="s">
        <v>359</v>
      </c>
      <c r="D82" s="106" t="s">
        <v>349</v>
      </c>
      <c r="E82">
        <v>2462</v>
      </c>
      <c r="F82" s="106" t="s">
        <v>642</v>
      </c>
      <c r="G82" s="106" t="s">
        <v>350</v>
      </c>
      <c r="H82" s="106" t="s">
        <v>355</v>
      </c>
      <c r="I82">
        <v>323</v>
      </c>
    </row>
    <row r="83" spans="1:10" x14ac:dyDescent="0.2">
      <c r="A83" s="106" t="s">
        <v>432</v>
      </c>
      <c r="B83" s="106" t="s">
        <v>347</v>
      </c>
      <c r="C83" s="106" t="s">
        <v>359</v>
      </c>
      <c r="D83" s="106" t="s">
        <v>349</v>
      </c>
      <c r="E83">
        <v>2791</v>
      </c>
      <c r="F83" s="106" t="s">
        <v>1945</v>
      </c>
      <c r="G83" s="106" t="s">
        <v>350</v>
      </c>
      <c r="H83" s="106" t="s">
        <v>360</v>
      </c>
      <c r="I83">
        <v>474</v>
      </c>
    </row>
    <row r="84" spans="1:10" x14ac:dyDescent="0.2">
      <c r="A84" s="106" t="s">
        <v>432</v>
      </c>
      <c r="B84" s="106" t="s">
        <v>347</v>
      </c>
      <c r="C84" s="106" t="s">
        <v>357</v>
      </c>
      <c r="D84" s="106" t="s">
        <v>349</v>
      </c>
      <c r="E84">
        <v>2809</v>
      </c>
      <c r="F84" s="106" t="s">
        <v>433</v>
      </c>
      <c r="G84" s="106" t="s">
        <v>350</v>
      </c>
      <c r="H84" s="106" t="s">
        <v>351</v>
      </c>
      <c r="I84" t="s">
        <v>434</v>
      </c>
      <c r="J84" t="s">
        <v>2413</v>
      </c>
    </row>
    <row r="85" spans="1:10" x14ac:dyDescent="0.2">
      <c r="A85" s="106" t="s">
        <v>432</v>
      </c>
      <c r="B85" s="106" t="s">
        <v>347</v>
      </c>
      <c r="C85" s="106" t="s">
        <v>357</v>
      </c>
      <c r="D85" s="106" t="s">
        <v>349</v>
      </c>
      <c r="E85">
        <v>2830</v>
      </c>
      <c r="F85" s="106" t="s">
        <v>1946</v>
      </c>
      <c r="G85" s="106" t="s">
        <v>358</v>
      </c>
      <c r="H85" s="106" t="s">
        <v>351</v>
      </c>
      <c r="I85" s="106">
        <v>191</v>
      </c>
      <c r="J85" s="106"/>
    </row>
    <row r="86" spans="1:10" x14ac:dyDescent="0.2">
      <c r="A86" s="106" t="s">
        <v>432</v>
      </c>
      <c r="B86" s="106" t="s">
        <v>347</v>
      </c>
      <c r="C86" s="106" t="s">
        <v>348</v>
      </c>
      <c r="D86" s="106" t="s">
        <v>349</v>
      </c>
      <c r="E86">
        <v>2918</v>
      </c>
      <c r="F86" s="106" t="s">
        <v>1947</v>
      </c>
      <c r="G86" s="106" t="s">
        <v>350</v>
      </c>
      <c r="H86" s="106" t="s">
        <v>351</v>
      </c>
      <c r="I86">
        <v>306</v>
      </c>
    </row>
    <row r="87" spans="1:10" x14ac:dyDescent="0.2">
      <c r="A87" s="106" t="s">
        <v>432</v>
      </c>
      <c r="B87" s="106" t="s">
        <v>347</v>
      </c>
      <c r="C87" s="106" t="s">
        <v>352</v>
      </c>
      <c r="D87" s="106" t="s">
        <v>349</v>
      </c>
      <c r="E87">
        <v>2927</v>
      </c>
      <c r="F87" s="106" t="s">
        <v>435</v>
      </c>
      <c r="G87" s="106" t="s">
        <v>354</v>
      </c>
      <c r="H87" s="106" t="s">
        <v>351</v>
      </c>
      <c r="I87">
        <v>93</v>
      </c>
    </row>
    <row r="88" spans="1:10" x14ac:dyDescent="0.2">
      <c r="A88" s="106" t="s">
        <v>432</v>
      </c>
      <c r="B88" s="106" t="s">
        <v>347</v>
      </c>
      <c r="C88" s="106" t="s">
        <v>348</v>
      </c>
      <c r="D88" s="106" t="s">
        <v>353</v>
      </c>
      <c r="E88">
        <v>3083</v>
      </c>
      <c r="F88" s="106" t="s">
        <v>1948</v>
      </c>
      <c r="G88" s="106" t="s">
        <v>354</v>
      </c>
      <c r="H88" s="106" t="s">
        <v>360</v>
      </c>
      <c r="I88">
        <v>14</v>
      </c>
    </row>
    <row r="89" spans="1:10" x14ac:dyDescent="0.2">
      <c r="A89" s="106" t="s">
        <v>432</v>
      </c>
      <c r="B89" s="106" t="s">
        <v>347</v>
      </c>
      <c r="C89" s="106" t="s">
        <v>352</v>
      </c>
      <c r="D89" s="106" t="s">
        <v>349</v>
      </c>
      <c r="E89">
        <v>3376</v>
      </c>
      <c r="F89" s="106" t="s">
        <v>1949</v>
      </c>
      <c r="G89" s="106" t="s">
        <v>350</v>
      </c>
      <c r="H89" s="106" t="s">
        <v>360</v>
      </c>
      <c r="I89">
        <v>48</v>
      </c>
    </row>
    <row r="90" spans="1:10" x14ac:dyDescent="0.2">
      <c r="A90" s="106" t="s">
        <v>432</v>
      </c>
      <c r="B90" s="106" t="s">
        <v>347</v>
      </c>
      <c r="C90" s="106" t="s">
        <v>348</v>
      </c>
      <c r="D90" s="106" t="s">
        <v>349</v>
      </c>
      <c r="E90">
        <v>3382</v>
      </c>
      <c r="F90" s="106" t="s">
        <v>628</v>
      </c>
      <c r="G90" s="106" t="s">
        <v>350</v>
      </c>
      <c r="H90" s="106" t="s">
        <v>360</v>
      </c>
      <c r="I90" t="s">
        <v>2414</v>
      </c>
      <c r="J90" t="s">
        <v>2415</v>
      </c>
    </row>
    <row r="91" spans="1:10" x14ac:dyDescent="0.2">
      <c r="A91" s="106" t="s">
        <v>432</v>
      </c>
      <c r="B91" s="106" t="s">
        <v>347</v>
      </c>
      <c r="C91" s="106" t="s">
        <v>348</v>
      </c>
      <c r="D91" s="106" t="s">
        <v>349</v>
      </c>
      <c r="E91">
        <v>3396</v>
      </c>
      <c r="F91" s="106" t="s">
        <v>436</v>
      </c>
      <c r="G91" s="106" t="s">
        <v>350</v>
      </c>
      <c r="H91" s="106" t="s">
        <v>360</v>
      </c>
      <c r="I91" s="106">
        <v>104</v>
      </c>
      <c r="J91" s="106"/>
    </row>
    <row r="92" spans="1:10" x14ac:dyDescent="0.2">
      <c r="A92" s="106" t="s">
        <v>432</v>
      </c>
      <c r="B92" s="106" t="s">
        <v>347</v>
      </c>
      <c r="C92" s="106" t="s">
        <v>352</v>
      </c>
      <c r="D92" s="106" t="s">
        <v>349</v>
      </c>
      <c r="E92">
        <v>3697</v>
      </c>
      <c r="F92" s="106" t="s">
        <v>1951</v>
      </c>
      <c r="G92" s="106" t="s">
        <v>350</v>
      </c>
      <c r="H92" s="106" t="s">
        <v>361</v>
      </c>
      <c r="I92" s="106" t="s">
        <v>381</v>
      </c>
      <c r="J92" s="106" t="s">
        <v>2416</v>
      </c>
    </row>
    <row r="93" spans="1:10" x14ac:dyDescent="0.2">
      <c r="A93" s="106" t="s">
        <v>432</v>
      </c>
      <c r="B93" s="106" t="s">
        <v>347</v>
      </c>
      <c r="C93" s="106" t="s">
        <v>357</v>
      </c>
      <c r="D93" s="106" t="s">
        <v>349</v>
      </c>
      <c r="E93">
        <v>4187</v>
      </c>
      <c r="F93" s="106" t="s">
        <v>1952</v>
      </c>
      <c r="G93" s="106" t="s">
        <v>350</v>
      </c>
      <c r="H93" s="106" t="s">
        <v>363</v>
      </c>
      <c r="I93" s="106">
        <v>344</v>
      </c>
      <c r="J93" s="106"/>
    </row>
    <row r="94" spans="1:10" x14ac:dyDescent="0.2">
      <c r="A94" s="106" t="s">
        <v>432</v>
      </c>
      <c r="B94" s="106" t="s">
        <v>347</v>
      </c>
      <c r="C94" s="106" t="s">
        <v>348</v>
      </c>
      <c r="D94" s="106" t="s">
        <v>353</v>
      </c>
      <c r="E94">
        <v>4745</v>
      </c>
      <c r="F94" s="106" t="s">
        <v>1953</v>
      </c>
      <c r="G94" s="106" t="s">
        <v>350</v>
      </c>
      <c r="H94" s="106" t="s">
        <v>355</v>
      </c>
      <c r="I94">
        <v>385</v>
      </c>
    </row>
    <row r="95" spans="1:10" x14ac:dyDescent="0.2">
      <c r="A95" s="106" t="s">
        <v>432</v>
      </c>
      <c r="B95" s="106" t="s">
        <v>347</v>
      </c>
      <c r="C95" s="106" t="s">
        <v>348</v>
      </c>
      <c r="D95" s="106" t="s">
        <v>349</v>
      </c>
      <c r="E95">
        <v>4763</v>
      </c>
      <c r="F95" s="106" t="s">
        <v>1954</v>
      </c>
      <c r="G95" s="106" t="s">
        <v>350</v>
      </c>
      <c r="H95" s="106" t="s">
        <v>355</v>
      </c>
      <c r="I95" s="106">
        <v>253</v>
      </c>
      <c r="J95" s="106"/>
    </row>
    <row r="96" spans="1:10" x14ac:dyDescent="0.2">
      <c r="A96" s="106" t="s">
        <v>432</v>
      </c>
      <c r="B96" s="106" t="s">
        <v>347</v>
      </c>
      <c r="C96" s="106" t="s">
        <v>359</v>
      </c>
      <c r="D96" s="106" t="s">
        <v>349</v>
      </c>
      <c r="E96">
        <v>5932</v>
      </c>
      <c r="F96" s="106" t="s">
        <v>1955</v>
      </c>
      <c r="G96" s="106" t="s">
        <v>350</v>
      </c>
      <c r="H96" s="106" t="s">
        <v>365</v>
      </c>
      <c r="I96">
        <v>404</v>
      </c>
    </row>
    <row r="97" spans="1:10" x14ac:dyDescent="0.2">
      <c r="A97" s="106" t="s">
        <v>432</v>
      </c>
      <c r="B97" s="106" t="s">
        <v>347</v>
      </c>
      <c r="C97" s="106" t="s">
        <v>357</v>
      </c>
      <c r="D97" s="106" t="s">
        <v>349</v>
      </c>
      <c r="E97">
        <v>5942</v>
      </c>
      <c r="F97" s="106" t="s">
        <v>1956</v>
      </c>
      <c r="G97" s="106" t="s">
        <v>350</v>
      </c>
      <c r="H97" s="106" t="s">
        <v>365</v>
      </c>
      <c r="I97">
        <v>113</v>
      </c>
    </row>
    <row r="98" spans="1:10" x14ac:dyDescent="0.2">
      <c r="A98" s="106" t="s">
        <v>432</v>
      </c>
      <c r="B98" s="106" t="s">
        <v>347</v>
      </c>
      <c r="C98" s="106" t="s">
        <v>348</v>
      </c>
      <c r="D98" s="106" t="s">
        <v>349</v>
      </c>
      <c r="E98">
        <v>6093</v>
      </c>
      <c r="F98" s="106" t="s">
        <v>1957</v>
      </c>
      <c r="G98" s="106" t="s">
        <v>350</v>
      </c>
      <c r="H98" s="106" t="s">
        <v>355</v>
      </c>
      <c r="I98">
        <v>96</v>
      </c>
    </row>
    <row r="99" spans="1:10" x14ac:dyDescent="0.2">
      <c r="A99" s="106" t="s">
        <v>432</v>
      </c>
      <c r="B99" s="106" t="s">
        <v>347</v>
      </c>
      <c r="C99" s="106" t="s">
        <v>348</v>
      </c>
      <c r="D99" s="106" t="s">
        <v>349</v>
      </c>
      <c r="E99">
        <v>6312</v>
      </c>
      <c r="F99" s="106" t="s">
        <v>1958</v>
      </c>
      <c r="G99" s="106" t="s">
        <v>354</v>
      </c>
      <c r="H99" s="106" t="s">
        <v>371</v>
      </c>
      <c r="I99">
        <v>150</v>
      </c>
    </row>
    <row r="100" spans="1:10" x14ac:dyDescent="0.2">
      <c r="A100" s="106" t="s">
        <v>432</v>
      </c>
      <c r="B100" s="106" t="s">
        <v>347</v>
      </c>
      <c r="C100" s="106" t="s">
        <v>359</v>
      </c>
      <c r="D100" s="106" t="s">
        <v>349</v>
      </c>
      <c r="E100">
        <v>6489</v>
      </c>
      <c r="F100" s="106" t="s">
        <v>655</v>
      </c>
      <c r="G100" s="106" t="s">
        <v>350</v>
      </c>
      <c r="H100" s="106" t="s">
        <v>371</v>
      </c>
      <c r="I100" s="106">
        <v>83</v>
      </c>
      <c r="J100" s="106"/>
    </row>
    <row r="101" spans="1:10" x14ac:dyDescent="0.2">
      <c r="A101" s="106" t="s">
        <v>432</v>
      </c>
      <c r="B101" s="106" t="s">
        <v>347</v>
      </c>
      <c r="C101" s="106" t="s">
        <v>359</v>
      </c>
      <c r="D101" s="106" t="s">
        <v>353</v>
      </c>
      <c r="E101">
        <v>6496</v>
      </c>
      <c r="F101" s="106" t="s">
        <v>634</v>
      </c>
      <c r="G101" s="106" t="s">
        <v>358</v>
      </c>
      <c r="H101" s="106" t="s">
        <v>371</v>
      </c>
      <c r="I101" s="106">
        <v>101</v>
      </c>
      <c r="J101" s="106"/>
    </row>
    <row r="102" spans="1:10" x14ac:dyDescent="0.2">
      <c r="A102" s="106" t="s">
        <v>432</v>
      </c>
      <c r="B102" s="106" t="s">
        <v>347</v>
      </c>
      <c r="C102" s="106" t="s">
        <v>348</v>
      </c>
      <c r="D102" s="106" t="s">
        <v>349</v>
      </c>
      <c r="E102">
        <v>6506</v>
      </c>
      <c r="F102" s="106" t="s">
        <v>1959</v>
      </c>
      <c r="G102" s="106" t="s">
        <v>350</v>
      </c>
      <c r="H102" s="106" t="s">
        <v>375</v>
      </c>
      <c r="I102" t="s">
        <v>617</v>
      </c>
      <c r="J102" t="s">
        <v>2417</v>
      </c>
    </row>
    <row r="103" spans="1:10" x14ac:dyDescent="0.2">
      <c r="A103" s="106" t="s">
        <v>432</v>
      </c>
      <c r="B103" s="106" t="s">
        <v>347</v>
      </c>
      <c r="C103" s="106" t="s">
        <v>348</v>
      </c>
      <c r="D103" s="106" t="s">
        <v>349</v>
      </c>
      <c r="E103">
        <v>6734</v>
      </c>
      <c r="F103" s="106" t="s">
        <v>1960</v>
      </c>
      <c r="G103" s="106" t="s">
        <v>354</v>
      </c>
      <c r="H103" s="106" t="s">
        <v>375</v>
      </c>
      <c r="I103" s="106">
        <v>25</v>
      </c>
      <c r="J103" s="106"/>
    </row>
    <row r="104" spans="1:10" x14ac:dyDescent="0.2">
      <c r="A104" s="106" t="s">
        <v>432</v>
      </c>
      <c r="B104" s="106" t="s">
        <v>347</v>
      </c>
      <c r="C104" s="106" t="s">
        <v>348</v>
      </c>
      <c r="D104" s="106" t="s">
        <v>349</v>
      </c>
      <c r="E104">
        <v>7544</v>
      </c>
      <c r="F104" s="106" t="s">
        <v>1961</v>
      </c>
      <c r="G104" s="106" t="s">
        <v>358</v>
      </c>
      <c r="H104" s="106" t="s">
        <v>360</v>
      </c>
      <c r="I104" s="106">
        <v>32</v>
      </c>
      <c r="J104" s="106"/>
    </row>
    <row r="105" spans="1:10" x14ac:dyDescent="0.2">
      <c r="A105" s="106" t="s">
        <v>432</v>
      </c>
      <c r="B105" s="106" t="s">
        <v>347</v>
      </c>
      <c r="C105" s="106" t="s">
        <v>348</v>
      </c>
      <c r="D105" s="106" t="s">
        <v>349</v>
      </c>
      <c r="E105">
        <v>7601</v>
      </c>
      <c r="F105" s="106" t="s">
        <v>1962</v>
      </c>
      <c r="G105" s="106" t="s">
        <v>350</v>
      </c>
      <c r="H105" s="106" t="s">
        <v>360</v>
      </c>
      <c r="I105" s="106">
        <v>63</v>
      </c>
      <c r="J105" s="106"/>
    </row>
    <row r="106" spans="1:10" x14ac:dyDescent="0.2">
      <c r="A106" s="106" t="s">
        <v>432</v>
      </c>
      <c r="B106" s="106" t="s">
        <v>347</v>
      </c>
      <c r="C106" s="106" t="s">
        <v>348</v>
      </c>
      <c r="D106" s="106" t="s">
        <v>353</v>
      </c>
      <c r="E106">
        <v>7847</v>
      </c>
      <c r="F106" s="106" t="s">
        <v>1963</v>
      </c>
      <c r="G106" s="106" t="s">
        <v>354</v>
      </c>
      <c r="H106" s="106" t="s">
        <v>372</v>
      </c>
      <c r="I106" s="106">
        <v>35</v>
      </c>
      <c r="J106" s="106"/>
    </row>
    <row r="107" spans="1:10" x14ac:dyDescent="0.2">
      <c r="A107" s="106" t="s">
        <v>432</v>
      </c>
      <c r="B107" s="106" t="s">
        <v>347</v>
      </c>
      <c r="C107" s="106" t="s">
        <v>359</v>
      </c>
      <c r="D107" s="106" t="s">
        <v>349</v>
      </c>
      <c r="E107">
        <v>7888</v>
      </c>
      <c r="F107" s="106" t="s">
        <v>1964</v>
      </c>
      <c r="G107" s="106" t="s">
        <v>350</v>
      </c>
      <c r="H107" s="106" t="s">
        <v>363</v>
      </c>
      <c r="I107">
        <v>135</v>
      </c>
    </row>
    <row r="108" spans="1:10" x14ac:dyDescent="0.2">
      <c r="A108" s="106" t="s">
        <v>432</v>
      </c>
      <c r="B108" s="106" t="s">
        <v>347</v>
      </c>
      <c r="C108" s="106" t="s">
        <v>348</v>
      </c>
      <c r="D108" s="106" t="s">
        <v>349</v>
      </c>
      <c r="E108">
        <v>7975</v>
      </c>
      <c r="F108" s="106" t="s">
        <v>1965</v>
      </c>
      <c r="G108" s="106" t="s">
        <v>358</v>
      </c>
      <c r="H108" s="106" t="s">
        <v>372</v>
      </c>
      <c r="I108" s="106">
        <v>35</v>
      </c>
      <c r="J108" s="106"/>
    </row>
    <row r="109" spans="1:10" x14ac:dyDescent="0.2">
      <c r="A109" s="106" t="s">
        <v>432</v>
      </c>
      <c r="B109" s="106" t="s">
        <v>347</v>
      </c>
      <c r="C109" s="106" t="s">
        <v>352</v>
      </c>
      <c r="D109" s="106" t="s">
        <v>353</v>
      </c>
      <c r="E109">
        <v>8184</v>
      </c>
      <c r="F109" s="106" t="s">
        <v>1966</v>
      </c>
      <c r="G109" s="106" t="s">
        <v>350</v>
      </c>
      <c r="H109" s="106" t="s">
        <v>360</v>
      </c>
      <c r="I109" s="106" t="s">
        <v>381</v>
      </c>
      <c r="J109" s="106" t="s">
        <v>2266</v>
      </c>
    </row>
    <row r="110" spans="1:10" x14ac:dyDescent="0.2">
      <c r="A110" s="106" t="s">
        <v>432</v>
      </c>
      <c r="B110" s="106" t="s">
        <v>347</v>
      </c>
      <c r="C110" s="106" t="s">
        <v>348</v>
      </c>
      <c r="D110" s="106" t="s">
        <v>349</v>
      </c>
      <c r="E110">
        <v>8237</v>
      </c>
      <c r="F110" s="106" t="s">
        <v>1967</v>
      </c>
      <c r="G110" s="106" t="s">
        <v>350</v>
      </c>
      <c r="H110" s="106" t="s">
        <v>360</v>
      </c>
      <c r="I110" s="106">
        <v>474</v>
      </c>
      <c r="J110" s="106"/>
    </row>
    <row r="111" spans="1:10" x14ac:dyDescent="0.2">
      <c r="A111" s="106" t="s">
        <v>432</v>
      </c>
      <c r="B111" s="106" t="s">
        <v>347</v>
      </c>
      <c r="C111" s="106" t="s">
        <v>348</v>
      </c>
      <c r="D111" s="106" t="s">
        <v>349</v>
      </c>
      <c r="E111">
        <v>8260</v>
      </c>
      <c r="F111" s="106" t="s">
        <v>1968</v>
      </c>
      <c r="G111" s="106" t="s">
        <v>350</v>
      </c>
      <c r="H111" s="106" t="s">
        <v>360</v>
      </c>
      <c r="I111">
        <v>29</v>
      </c>
    </row>
    <row r="112" spans="1:10" x14ac:dyDescent="0.2">
      <c r="A112" s="106" t="s">
        <v>432</v>
      </c>
      <c r="B112" s="106" t="s">
        <v>347</v>
      </c>
      <c r="C112" s="106" t="s">
        <v>348</v>
      </c>
      <c r="D112" s="106" t="s">
        <v>349</v>
      </c>
      <c r="E112">
        <v>8273</v>
      </c>
      <c r="F112" s="106" t="s">
        <v>1969</v>
      </c>
      <c r="G112" s="106" t="s">
        <v>350</v>
      </c>
      <c r="H112" s="106" t="s">
        <v>360</v>
      </c>
      <c r="I112" t="s">
        <v>373</v>
      </c>
      <c r="J112" t="s">
        <v>2256</v>
      </c>
    </row>
    <row r="113" spans="1:10" x14ac:dyDescent="0.2">
      <c r="A113" s="106" t="s">
        <v>432</v>
      </c>
      <c r="B113" s="106" t="s">
        <v>347</v>
      </c>
      <c r="C113" s="106" t="s">
        <v>359</v>
      </c>
      <c r="D113" s="106" t="s">
        <v>353</v>
      </c>
      <c r="E113">
        <v>8887</v>
      </c>
      <c r="F113" s="106" t="s">
        <v>1970</v>
      </c>
      <c r="G113" s="106" t="s">
        <v>354</v>
      </c>
      <c r="H113" s="106" t="s">
        <v>376</v>
      </c>
      <c r="I113" s="106">
        <v>106</v>
      </c>
      <c r="J113" s="106"/>
    </row>
    <row r="114" spans="1:10" x14ac:dyDescent="0.2">
      <c r="A114" s="106" t="s">
        <v>432</v>
      </c>
      <c r="B114" s="106" t="s">
        <v>347</v>
      </c>
      <c r="C114" s="106" t="s">
        <v>348</v>
      </c>
      <c r="D114" s="106" t="s">
        <v>349</v>
      </c>
      <c r="E114">
        <v>8905</v>
      </c>
      <c r="F114" s="106" t="s">
        <v>1971</v>
      </c>
      <c r="G114" s="106" t="s">
        <v>350</v>
      </c>
      <c r="H114" s="106" t="s">
        <v>376</v>
      </c>
      <c r="I114" t="s">
        <v>400</v>
      </c>
      <c r="J114" t="s">
        <v>2418</v>
      </c>
    </row>
    <row r="115" spans="1:10" x14ac:dyDescent="0.2">
      <c r="A115" s="106" t="s">
        <v>432</v>
      </c>
      <c r="B115" s="106" t="s">
        <v>347</v>
      </c>
      <c r="C115" s="106" t="s">
        <v>359</v>
      </c>
      <c r="D115" s="106" t="s">
        <v>349</v>
      </c>
      <c r="E115">
        <v>8908</v>
      </c>
      <c r="F115" s="106" t="s">
        <v>437</v>
      </c>
      <c r="G115" s="106" t="s">
        <v>350</v>
      </c>
      <c r="H115" s="106" t="s">
        <v>376</v>
      </c>
      <c r="I115" s="106">
        <v>157</v>
      </c>
      <c r="J115" s="106"/>
    </row>
    <row r="116" spans="1:10" x14ac:dyDescent="0.2">
      <c r="A116" s="106" t="s">
        <v>432</v>
      </c>
      <c r="B116" s="106" t="s">
        <v>347</v>
      </c>
      <c r="C116" s="106" t="s">
        <v>357</v>
      </c>
      <c r="D116" s="106" t="s">
        <v>349</v>
      </c>
      <c r="E116">
        <v>8923</v>
      </c>
      <c r="F116" s="106" t="s">
        <v>450</v>
      </c>
      <c r="G116" s="106" t="s">
        <v>350</v>
      </c>
      <c r="H116" s="106" t="s">
        <v>376</v>
      </c>
      <c r="I116">
        <v>733</v>
      </c>
    </row>
    <row r="117" spans="1:10" x14ac:dyDescent="0.2">
      <c r="A117" s="106" t="s">
        <v>432</v>
      </c>
      <c r="B117" s="106" t="s">
        <v>347</v>
      </c>
      <c r="C117" s="106" t="s">
        <v>357</v>
      </c>
      <c r="D117" s="106" t="s">
        <v>349</v>
      </c>
      <c r="E117">
        <v>9369</v>
      </c>
      <c r="F117" s="106" t="s">
        <v>1972</v>
      </c>
      <c r="G117" s="106" t="s">
        <v>350</v>
      </c>
      <c r="H117" s="106" t="s">
        <v>703</v>
      </c>
      <c r="I117">
        <v>241</v>
      </c>
    </row>
    <row r="118" spans="1:10" x14ac:dyDescent="0.2">
      <c r="A118" s="106" t="s">
        <v>432</v>
      </c>
      <c r="B118" s="106" t="s">
        <v>347</v>
      </c>
      <c r="C118" s="106" t="s">
        <v>348</v>
      </c>
      <c r="D118" s="106" t="s">
        <v>349</v>
      </c>
      <c r="E118">
        <v>9716</v>
      </c>
      <c r="F118" s="106" t="s">
        <v>1973</v>
      </c>
      <c r="G118" s="106" t="s">
        <v>350</v>
      </c>
      <c r="H118" s="106" t="s">
        <v>355</v>
      </c>
      <c r="I118" s="106" t="s">
        <v>381</v>
      </c>
      <c r="J118" s="106" t="s">
        <v>2419</v>
      </c>
    </row>
    <row r="119" spans="1:10" x14ac:dyDescent="0.2">
      <c r="A119" s="106" t="s">
        <v>432</v>
      </c>
      <c r="B119" s="106" t="s">
        <v>347</v>
      </c>
      <c r="C119" s="106" t="s">
        <v>359</v>
      </c>
      <c r="D119" s="106" t="s">
        <v>349</v>
      </c>
      <c r="E119">
        <v>9765</v>
      </c>
      <c r="F119" s="106" t="s">
        <v>1974</v>
      </c>
      <c r="G119" s="106" t="s">
        <v>350</v>
      </c>
      <c r="H119" s="106" t="s">
        <v>355</v>
      </c>
      <c r="I119" s="106">
        <v>165</v>
      </c>
      <c r="J119" s="106"/>
    </row>
    <row r="120" spans="1:10" x14ac:dyDescent="0.2">
      <c r="A120" s="106" t="s">
        <v>432</v>
      </c>
      <c r="B120" s="106" t="s">
        <v>347</v>
      </c>
      <c r="C120" s="106" t="s">
        <v>348</v>
      </c>
      <c r="D120" s="106" t="s">
        <v>353</v>
      </c>
      <c r="E120">
        <v>9778</v>
      </c>
      <c r="F120" s="106" t="s">
        <v>1975</v>
      </c>
      <c r="G120" s="106" t="s">
        <v>354</v>
      </c>
      <c r="H120" s="106" t="s">
        <v>355</v>
      </c>
      <c r="I120" s="106">
        <v>31</v>
      </c>
      <c r="J120" s="106"/>
    </row>
    <row r="121" spans="1:10" x14ac:dyDescent="0.2">
      <c r="A121" s="106" t="s">
        <v>432</v>
      </c>
      <c r="B121" s="106" t="s">
        <v>347</v>
      </c>
      <c r="C121" s="106" t="s">
        <v>348</v>
      </c>
      <c r="D121" s="106" t="s">
        <v>349</v>
      </c>
      <c r="E121">
        <v>9903</v>
      </c>
      <c r="F121" s="106" t="s">
        <v>1976</v>
      </c>
      <c r="G121" s="106" t="s">
        <v>354</v>
      </c>
      <c r="H121" s="106" t="s">
        <v>360</v>
      </c>
      <c r="I121" s="106">
        <v>139</v>
      </c>
      <c r="J121" s="106"/>
    </row>
    <row r="122" spans="1:10" x14ac:dyDescent="0.2">
      <c r="A122" s="106" t="s">
        <v>432</v>
      </c>
      <c r="B122" s="106" t="s">
        <v>347</v>
      </c>
      <c r="C122" s="106" t="s">
        <v>352</v>
      </c>
      <c r="D122" s="106" t="s">
        <v>349</v>
      </c>
      <c r="E122">
        <v>9983</v>
      </c>
      <c r="F122" s="106" t="s">
        <v>438</v>
      </c>
      <c r="G122" s="106" t="s">
        <v>350</v>
      </c>
      <c r="H122" s="106" t="s">
        <v>360</v>
      </c>
      <c r="I122" t="s">
        <v>2188</v>
      </c>
      <c r="J122" t="s">
        <v>2420</v>
      </c>
    </row>
    <row r="123" spans="1:10" x14ac:dyDescent="0.2">
      <c r="A123" s="106" t="s">
        <v>439</v>
      </c>
      <c r="B123" s="106" t="s">
        <v>414</v>
      </c>
      <c r="C123" s="106" t="s">
        <v>348</v>
      </c>
      <c r="D123" s="106" t="s">
        <v>349</v>
      </c>
      <c r="E123">
        <v>3093</v>
      </c>
      <c r="F123" s="106" t="s">
        <v>845</v>
      </c>
      <c r="G123" s="106" t="s">
        <v>350</v>
      </c>
      <c r="H123" s="106" t="s">
        <v>360</v>
      </c>
      <c r="I123" s="106">
        <v>126</v>
      </c>
      <c r="J123" s="106"/>
    </row>
    <row r="124" spans="1:10" x14ac:dyDescent="0.2">
      <c r="A124" s="106" t="s">
        <v>439</v>
      </c>
      <c r="B124" s="106" t="s">
        <v>414</v>
      </c>
      <c r="C124" s="106" t="s">
        <v>357</v>
      </c>
      <c r="D124" s="106" t="s">
        <v>349</v>
      </c>
      <c r="E124">
        <v>6136</v>
      </c>
      <c r="F124" s="106" t="s">
        <v>1977</v>
      </c>
      <c r="G124" s="106" t="s">
        <v>350</v>
      </c>
      <c r="H124" s="106" t="s">
        <v>371</v>
      </c>
      <c r="I124" s="106" t="s">
        <v>373</v>
      </c>
      <c r="J124" s="106" t="s">
        <v>2421</v>
      </c>
    </row>
    <row r="125" spans="1:10" x14ac:dyDescent="0.2">
      <c r="A125" s="106" t="s">
        <v>439</v>
      </c>
      <c r="B125" s="106" t="s">
        <v>414</v>
      </c>
      <c r="C125" s="106" t="s">
        <v>348</v>
      </c>
      <c r="D125" s="106" t="s">
        <v>349</v>
      </c>
      <c r="E125">
        <v>6432</v>
      </c>
      <c r="F125" s="106" t="s">
        <v>1978</v>
      </c>
      <c r="G125" s="106" t="s">
        <v>350</v>
      </c>
      <c r="H125" s="106" t="s">
        <v>371</v>
      </c>
      <c r="I125" s="106">
        <v>828</v>
      </c>
      <c r="J125" s="106"/>
    </row>
    <row r="126" spans="1:10" x14ac:dyDescent="0.2">
      <c r="A126" s="106" t="s">
        <v>439</v>
      </c>
      <c r="B126" s="106" t="s">
        <v>414</v>
      </c>
      <c r="C126" s="106" t="s">
        <v>359</v>
      </c>
      <c r="D126" s="106" t="s">
        <v>349</v>
      </c>
      <c r="E126">
        <v>6567</v>
      </c>
      <c r="F126" s="106" t="s">
        <v>440</v>
      </c>
      <c r="G126" s="106" t="s">
        <v>362</v>
      </c>
      <c r="H126" s="106" t="s">
        <v>355</v>
      </c>
      <c r="I126">
        <v>25</v>
      </c>
    </row>
    <row r="127" spans="1:10" x14ac:dyDescent="0.2">
      <c r="A127" s="106" t="s">
        <v>439</v>
      </c>
      <c r="B127" s="106" t="s">
        <v>1979</v>
      </c>
      <c r="C127" s="106" t="s">
        <v>359</v>
      </c>
      <c r="D127" s="106" t="s">
        <v>349</v>
      </c>
      <c r="E127">
        <v>8886</v>
      </c>
      <c r="F127" s="106" t="s">
        <v>1980</v>
      </c>
      <c r="G127" s="106" t="s">
        <v>354</v>
      </c>
      <c r="H127" s="106" t="s">
        <v>376</v>
      </c>
      <c r="I127">
        <v>37</v>
      </c>
    </row>
    <row r="128" spans="1:10" x14ac:dyDescent="0.2">
      <c r="A128" s="106" t="s">
        <v>439</v>
      </c>
      <c r="B128" s="106" t="s">
        <v>347</v>
      </c>
      <c r="C128" s="106" t="s">
        <v>359</v>
      </c>
      <c r="D128" s="106" t="s">
        <v>353</v>
      </c>
      <c r="E128">
        <v>1401</v>
      </c>
      <c r="F128" s="106" t="s">
        <v>1981</v>
      </c>
      <c r="G128" s="106" t="s">
        <v>362</v>
      </c>
      <c r="H128" s="106" t="s">
        <v>377</v>
      </c>
      <c r="I128">
        <v>73</v>
      </c>
    </row>
    <row r="129" spans="1:10" x14ac:dyDescent="0.2">
      <c r="A129" s="106" t="s">
        <v>439</v>
      </c>
      <c r="B129" s="106" t="s">
        <v>347</v>
      </c>
      <c r="C129" s="106" t="s">
        <v>359</v>
      </c>
      <c r="D129" s="106" t="s">
        <v>353</v>
      </c>
      <c r="E129">
        <v>1430</v>
      </c>
      <c r="F129" s="106" t="s">
        <v>623</v>
      </c>
      <c r="G129" s="106" t="s">
        <v>350</v>
      </c>
      <c r="H129" s="106" t="s">
        <v>377</v>
      </c>
      <c r="I129">
        <v>83</v>
      </c>
    </row>
    <row r="130" spans="1:10" x14ac:dyDescent="0.2">
      <c r="A130" s="106" t="s">
        <v>439</v>
      </c>
      <c r="B130" s="106" t="s">
        <v>347</v>
      </c>
      <c r="C130" s="106" t="s">
        <v>359</v>
      </c>
      <c r="D130" s="106" t="s">
        <v>349</v>
      </c>
      <c r="E130">
        <v>2153</v>
      </c>
      <c r="F130" s="106" t="s">
        <v>1982</v>
      </c>
      <c r="G130" s="106" t="s">
        <v>350</v>
      </c>
      <c r="H130" s="106" t="s">
        <v>355</v>
      </c>
      <c r="I130">
        <v>124</v>
      </c>
    </row>
    <row r="131" spans="1:10" x14ac:dyDescent="0.2">
      <c r="A131" s="106" t="s">
        <v>439</v>
      </c>
      <c r="B131" s="106" t="s">
        <v>347</v>
      </c>
      <c r="C131" s="106" t="s">
        <v>352</v>
      </c>
      <c r="D131" s="106" t="s">
        <v>349</v>
      </c>
      <c r="E131">
        <v>2157</v>
      </c>
      <c r="F131" s="106" t="s">
        <v>1983</v>
      </c>
      <c r="G131" s="106" t="s">
        <v>350</v>
      </c>
      <c r="H131" s="106" t="s">
        <v>355</v>
      </c>
      <c r="I131" s="106" t="s">
        <v>381</v>
      </c>
      <c r="J131" s="106" t="s">
        <v>1910</v>
      </c>
    </row>
    <row r="132" spans="1:10" x14ac:dyDescent="0.2">
      <c r="A132" s="106" t="s">
        <v>439</v>
      </c>
      <c r="B132" s="106" t="s">
        <v>347</v>
      </c>
      <c r="C132" s="106" t="s">
        <v>352</v>
      </c>
      <c r="D132" s="106" t="s">
        <v>349</v>
      </c>
      <c r="E132">
        <v>2164</v>
      </c>
      <c r="F132" s="106" t="s">
        <v>1984</v>
      </c>
      <c r="G132" s="106" t="s">
        <v>354</v>
      </c>
      <c r="H132" s="106" t="s">
        <v>355</v>
      </c>
      <c r="I132" s="106">
        <v>14</v>
      </c>
      <c r="J132" s="106"/>
    </row>
    <row r="133" spans="1:10" x14ac:dyDescent="0.2">
      <c r="A133" s="106" t="s">
        <v>439</v>
      </c>
      <c r="B133" s="106" t="s">
        <v>347</v>
      </c>
      <c r="C133" s="106" t="s">
        <v>348</v>
      </c>
      <c r="D133" s="106" t="s">
        <v>349</v>
      </c>
      <c r="E133">
        <v>2292</v>
      </c>
      <c r="F133" s="106" t="s">
        <v>1985</v>
      </c>
      <c r="G133" s="106" t="s">
        <v>350</v>
      </c>
      <c r="H133" s="106" t="s">
        <v>351</v>
      </c>
      <c r="I133">
        <v>904</v>
      </c>
    </row>
    <row r="134" spans="1:10" x14ac:dyDescent="0.2">
      <c r="A134" s="106" t="s">
        <v>439</v>
      </c>
      <c r="B134" s="106" t="s">
        <v>347</v>
      </c>
      <c r="C134" s="106" t="s">
        <v>348</v>
      </c>
      <c r="D134" s="106" t="s">
        <v>353</v>
      </c>
      <c r="E134">
        <v>2294</v>
      </c>
      <c r="F134" s="106" t="s">
        <v>640</v>
      </c>
      <c r="G134" s="106" t="s">
        <v>350</v>
      </c>
      <c r="H134" s="106" t="s">
        <v>351</v>
      </c>
      <c r="I134" s="106">
        <v>371</v>
      </c>
      <c r="J134" s="106"/>
    </row>
    <row r="135" spans="1:10" x14ac:dyDescent="0.2">
      <c r="A135" s="106" t="s">
        <v>439</v>
      </c>
      <c r="B135" s="106" t="s">
        <v>347</v>
      </c>
      <c r="C135" s="106" t="s">
        <v>348</v>
      </c>
      <c r="D135" s="106" t="s">
        <v>349</v>
      </c>
      <c r="E135">
        <v>2337</v>
      </c>
      <c r="F135" s="106" t="s">
        <v>846</v>
      </c>
      <c r="G135" s="106" t="s">
        <v>350</v>
      </c>
      <c r="H135" s="106" t="s">
        <v>376</v>
      </c>
      <c r="I135" s="106" t="s">
        <v>373</v>
      </c>
      <c r="J135" s="106" t="s">
        <v>2422</v>
      </c>
    </row>
    <row r="136" spans="1:10" x14ac:dyDescent="0.2">
      <c r="A136" s="106" t="s">
        <v>439</v>
      </c>
      <c r="B136" s="106" t="s">
        <v>347</v>
      </c>
      <c r="C136" s="106" t="s">
        <v>348</v>
      </c>
      <c r="D136" s="106" t="s">
        <v>349</v>
      </c>
      <c r="E136">
        <v>2338</v>
      </c>
      <c r="F136" s="106" t="s">
        <v>441</v>
      </c>
      <c r="G136" s="106" t="s">
        <v>358</v>
      </c>
      <c r="H136" s="106" t="s">
        <v>361</v>
      </c>
      <c r="I136" s="106">
        <v>24</v>
      </c>
      <c r="J136" s="106"/>
    </row>
    <row r="137" spans="1:10" x14ac:dyDescent="0.2">
      <c r="A137" s="106" t="s">
        <v>439</v>
      </c>
      <c r="B137" s="106" t="s">
        <v>347</v>
      </c>
      <c r="C137" s="106" t="s">
        <v>348</v>
      </c>
      <c r="D137" s="106" t="s">
        <v>353</v>
      </c>
      <c r="E137">
        <v>2379</v>
      </c>
      <c r="F137" s="106" t="s">
        <v>1986</v>
      </c>
      <c r="G137" s="106" t="s">
        <v>350</v>
      </c>
      <c r="H137" s="106" t="s">
        <v>355</v>
      </c>
      <c r="I137" t="s">
        <v>373</v>
      </c>
      <c r="J137" t="s">
        <v>2423</v>
      </c>
    </row>
    <row r="138" spans="1:10" x14ac:dyDescent="0.2">
      <c r="A138" s="106" t="s">
        <v>439</v>
      </c>
      <c r="B138" s="106" t="s">
        <v>347</v>
      </c>
      <c r="C138" s="106" t="s">
        <v>359</v>
      </c>
      <c r="D138" s="106" t="s">
        <v>349</v>
      </c>
      <c r="E138">
        <v>2459</v>
      </c>
      <c r="F138" s="106" t="s">
        <v>1987</v>
      </c>
      <c r="G138" s="106" t="s">
        <v>358</v>
      </c>
      <c r="H138" s="106" t="s">
        <v>355</v>
      </c>
      <c r="I138" s="106">
        <v>17</v>
      </c>
      <c r="J138" s="106"/>
    </row>
    <row r="139" spans="1:10" x14ac:dyDescent="0.2">
      <c r="A139" s="106" t="s">
        <v>439</v>
      </c>
      <c r="B139" s="106" t="s">
        <v>347</v>
      </c>
      <c r="C139" s="106" t="s">
        <v>348</v>
      </c>
      <c r="D139" s="106" t="s">
        <v>349</v>
      </c>
      <c r="E139">
        <v>2651</v>
      </c>
      <c r="F139" s="106" t="s">
        <v>442</v>
      </c>
      <c r="G139" s="106" t="s">
        <v>350</v>
      </c>
      <c r="H139" s="106" t="s">
        <v>360</v>
      </c>
      <c r="I139" t="s">
        <v>409</v>
      </c>
      <c r="J139" t="s">
        <v>2277</v>
      </c>
    </row>
    <row r="140" spans="1:10" x14ac:dyDescent="0.2">
      <c r="A140" s="106" t="s">
        <v>439</v>
      </c>
      <c r="B140" s="106" t="s">
        <v>347</v>
      </c>
      <c r="C140" s="106" t="s">
        <v>348</v>
      </c>
      <c r="D140" s="106" t="s">
        <v>349</v>
      </c>
      <c r="E140">
        <v>2668</v>
      </c>
      <c r="F140" s="106" t="s">
        <v>1988</v>
      </c>
      <c r="G140" s="106" t="s">
        <v>358</v>
      </c>
      <c r="H140" s="106" t="s">
        <v>356</v>
      </c>
      <c r="I140" s="106">
        <v>77</v>
      </c>
      <c r="J140" s="106"/>
    </row>
    <row r="141" spans="1:10" x14ac:dyDescent="0.2">
      <c r="A141" s="106" t="s">
        <v>439</v>
      </c>
      <c r="B141" s="106" t="s">
        <v>347</v>
      </c>
      <c r="C141" s="106" t="s">
        <v>348</v>
      </c>
      <c r="D141" s="106" t="s">
        <v>353</v>
      </c>
      <c r="E141">
        <v>2669</v>
      </c>
      <c r="F141" s="106" t="s">
        <v>1989</v>
      </c>
      <c r="G141" s="106" t="s">
        <v>354</v>
      </c>
      <c r="H141" s="106" t="s">
        <v>360</v>
      </c>
      <c r="I141">
        <v>302</v>
      </c>
    </row>
    <row r="142" spans="1:10" x14ac:dyDescent="0.2">
      <c r="A142" s="106" t="s">
        <v>439</v>
      </c>
      <c r="B142" s="106" t="s">
        <v>347</v>
      </c>
      <c r="C142" s="106" t="s">
        <v>348</v>
      </c>
      <c r="D142" s="106" t="s">
        <v>349</v>
      </c>
      <c r="E142">
        <v>2686</v>
      </c>
      <c r="F142" s="106" t="s">
        <v>1990</v>
      </c>
      <c r="G142" s="106" t="s">
        <v>350</v>
      </c>
      <c r="H142" s="106" t="s">
        <v>360</v>
      </c>
      <c r="I142">
        <v>265</v>
      </c>
    </row>
    <row r="143" spans="1:10" x14ac:dyDescent="0.2">
      <c r="A143" s="106" t="s">
        <v>439</v>
      </c>
      <c r="B143" s="106" t="s">
        <v>347</v>
      </c>
      <c r="C143" s="106" t="s">
        <v>348</v>
      </c>
      <c r="D143" s="106" t="s">
        <v>349</v>
      </c>
      <c r="E143">
        <v>2687</v>
      </c>
      <c r="F143" s="106" t="s">
        <v>1991</v>
      </c>
      <c r="G143" s="106" t="s">
        <v>350</v>
      </c>
      <c r="H143" s="106" t="s">
        <v>360</v>
      </c>
      <c r="I143">
        <v>35</v>
      </c>
    </row>
    <row r="144" spans="1:10" x14ac:dyDescent="0.2">
      <c r="A144" s="106" t="s">
        <v>439</v>
      </c>
      <c r="B144" s="106" t="s">
        <v>347</v>
      </c>
      <c r="C144" s="106" t="s">
        <v>348</v>
      </c>
      <c r="D144" s="106" t="s">
        <v>353</v>
      </c>
      <c r="E144">
        <v>2706</v>
      </c>
      <c r="F144" s="106" t="s">
        <v>443</v>
      </c>
      <c r="G144" s="106" t="s">
        <v>354</v>
      </c>
      <c r="H144" s="106" t="s">
        <v>372</v>
      </c>
      <c r="I144">
        <v>131</v>
      </c>
    </row>
    <row r="145" spans="1:10" x14ac:dyDescent="0.2">
      <c r="A145" s="106" t="s">
        <v>439</v>
      </c>
      <c r="B145" s="106" t="s">
        <v>347</v>
      </c>
      <c r="C145" s="106" t="s">
        <v>352</v>
      </c>
      <c r="D145" s="106" t="s">
        <v>349</v>
      </c>
      <c r="E145">
        <v>2735</v>
      </c>
      <c r="F145" s="106" t="s">
        <v>1992</v>
      </c>
      <c r="G145" s="106" t="s">
        <v>350</v>
      </c>
      <c r="H145" s="106" t="s">
        <v>360</v>
      </c>
      <c r="I145">
        <v>84</v>
      </c>
    </row>
    <row r="146" spans="1:10" x14ac:dyDescent="0.2">
      <c r="A146" s="106" t="s">
        <v>439</v>
      </c>
      <c r="B146" s="106" t="s">
        <v>347</v>
      </c>
      <c r="C146" s="106" t="s">
        <v>352</v>
      </c>
      <c r="D146" s="106" t="s">
        <v>349</v>
      </c>
      <c r="E146">
        <v>2736</v>
      </c>
      <c r="F146" s="106" t="s">
        <v>1993</v>
      </c>
      <c r="G146" s="106" t="s">
        <v>354</v>
      </c>
      <c r="H146" s="106" t="s">
        <v>360</v>
      </c>
      <c r="I146" s="106">
        <v>21</v>
      </c>
      <c r="J146" s="106"/>
    </row>
    <row r="147" spans="1:10" x14ac:dyDescent="0.2">
      <c r="A147" s="106" t="s">
        <v>439</v>
      </c>
      <c r="B147" s="106" t="s">
        <v>347</v>
      </c>
      <c r="C147" s="106" t="s">
        <v>348</v>
      </c>
      <c r="D147" s="106" t="s">
        <v>353</v>
      </c>
      <c r="E147">
        <v>2747</v>
      </c>
      <c r="F147" s="106" t="s">
        <v>1994</v>
      </c>
      <c r="G147" s="106" t="s">
        <v>354</v>
      </c>
      <c r="H147" s="106" t="s">
        <v>360</v>
      </c>
      <c r="I147" s="106">
        <v>41</v>
      </c>
      <c r="J147" s="106"/>
    </row>
    <row r="148" spans="1:10" x14ac:dyDescent="0.2">
      <c r="A148" s="106" t="s">
        <v>439</v>
      </c>
      <c r="B148" s="106" t="s">
        <v>347</v>
      </c>
      <c r="C148" s="106" t="s">
        <v>348</v>
      </c>
      <c r="D148" s="106" t="s">
        <v>353</v>
      </c>
      <c r="E148">
        <v>2872</v>
      </c>
      <c r="F148" s="106" t="s">
        <v>1995</v>
      </c>
      <c r="G148" s="106" t="s">
        <v>358</v>
      </c>
      <c r="H148" s="106" t="s">
        <v>351</v>
      </c>
      <c r="I148">
        <v>15</v>
      </c>
    </row>
    <row r="149" spans="1:10" x14ac:dyDescent="0.2">
      <c r="A149" s="106" t="s">
        <v>439</v>
      </c>
      <c r="B149" s="106" t="s">
        <v>347</v>
      </c>
      <c r="C149" s="106" t="s">
        <v>357</v>
      </c>
      <c r="D149" s="106" t="s">
        <v>349</v>
      </c>
      <c r="E149">
        <v>2975</v>
      </c>
      <c r="F149" s="106" t="s">
        <v>1996</v>
      </c>
      <c r="G149" s="106" t="s">
        <v>350</v>
      </c>
      <c r="H149" s="106" t="s">
        <v>376</v>
      </c>
      <c r="I149" s="106">
        <v>306</v>
      </c>
      <c r="J149" s="106"/>
    </row>
    <row r="150" spans="1:10" x14ac:dyDescent="0.2">
      <c r="A150" s="106" t="s">
        <v>439</v>
      </c>
      <c r="B150" s="106" t="s">
        <v>347</v>
      </c>
      <c r="C150" s="106" t="s">
        <v>352</v>
      </c>
      <c r="D150" s="106" t="s">
        <v>349</v>
      </c>
      <c r="E150">
        <v>3045</v>
      </c>
      <c r="F150" s="106" t="s">
        <v>1997</v>
      </c>
      <c r="G150" s="106" t="s">
        <v>358</v>
      </c>
      <c r="H150" s="106" t="s">
        <v>356</v>
      </c>
      <c r="I150" s="106">
        <v>28</v>
      </c>
      <c r="J150" s="106"/>
    </row>
    <row r="151" spans="1:10" x14ac:dyDescent="0.2">
      <c r="A151" s="106" t="s">
        <v>439</v>
      </c>
      <c r="B151" s="106" t="s">
        <v>347</v>
      </c>
      <c r="C151" s="106" t="s">
        <v>352</v>
      </c>
      <c r="D151" s="106" t="s">
        <v>349</v>
      </c>
      <c r="E151">
        <v>3046</v>
      </c>
      <c r="F151" s="106" t="s">
        <v>1998</v>
      </c>
      <c r="G151" s="106" t="s">
        <v>350</v>
      </c>
      <c r="H151" s="106" t="s">
        <v>360</v>
      </c>
      <c r="I151" t="s">
        <v>381</v>
      </c>
      <c r="J151" t="s">
        <v>2424</v>
      </c>
    </row>
    <row r="152" spans="1:10" x14ac:dyDescent="0.2">
      <c r="A152" s="106" t="s">
        <v>439</v>
      </c>
      <c r="B152" s="106" t="s">
        <v>347</v>
      </c>
      <c r="C152" s="106" t="s">
        <v>352</v>
      </c>
      <c r="D152" s="106" t="s">
        <v>349</v>
      </c>
      <c r="E152">
        <v>3048</v>
      </c>
      <c r="F152" s="106" t="s">
        <v>2000</v>
      </c>
      <c r="G152" s="106" t="s">
        <v>350</v>
      </c>
      <c r="H152" s="106" t="s">
        <v>360</v>
      </c>
      <c r="I152" s="106" t="s">
        <v>373</v>
      </c>
      <c r="J152" s="106" t="s">
        <v>2425</v>
      </c>
    </row>
    <row r="153" spans="1:10" x14ac:dyDescent="0.2">
      <c r="A153" s="106" t="s">
        <v>439</v>
      </c>
      <c r="B153" s="106" t="s">
        <v>347</v>
      </c>
      <c r="C153" s="106" t="s">
        <v>348</v>
      </c>
      <c r="D153" s="106" t="s">
        <v>349</v>
      </c>
      <c r="E153">
        <v>3063</v>
      </c>
      <c r="F153" s="106" t="s">
        <v>2001</v>
      </c>
      <c r="G153" s="106" t="s">
        <v>362</v>
      </c>
      <c r="H153" s="106" t="s">
        <v>360</v>
      </c>
      <c r="I153" s="106">
        <v>67</v>
      </c>
      <c r="J153" s="106"/>
    </row>
    <row r="154" spans="1:10" x14ac:dyDescent="0.2">
      <c r="A154" s="106" t="s">
        <v>439</v>
      </c>
      <c r="B154" s="106" t="s">
        <v>347</v>
      </c>
      <c r="C154" s="106" t="s">
        <v>348</v>
      </c>
      <c r="D154" s="106" t="s">
        <v>353</v>
      </c>
      <c r="E154">
        <v>3065</v>
      </c>
      <c r="F154" s="106" t="s">
        <v>2002</v>
      </c>
      <c r="G154" s="106" t="s">
        <v>354</v>
      </c>
      <c r="H154" s="106" t="s">
        <v>360</v>
      </c>
      <c r="I154" s="106">
        <v>68</v>
      </c>
      <c r="J154" s="106"/>
    </row>
    <row r="155" spans="1:10" x14ac:dyDescent="0.2">
      <c r="A155" s="106" t="s">
        <v>439</v>
      </c>
      <c r="B155" s="106" t="s">
        <v>347</v>
      </c>
      <c r="C155" s="106" t="s">
        <v>348</v>
      </c>
      <c r="D155" s="106" t="s">
        <v>353</v>
      </c>
      <c r="E155">
        <v>3094</v>
      </c>
      <c r="F155" s="106" t="s">
        <v>2003</v>
      </c>
      <c r="G155" s="106" t="s">
        <v>354</v>
      </c>
      <c r="H155" s="106" t="s">
        <v>360</v>
      </c>
      <c r="I155" s="106">
        <v>34</v>
      </c>
      <c r="J155" s="106"/>
    </row>
    <row r="156" spans="1:10" x14ac:dyDescent="0.2">
      <c r="A156" s="106" t="s">
        <v>439</v>
      </c>
      <c r="B156" s="106" t="s">
        <v>347</v>
      </c>
      <c r="C156" s="106" t="s">
        <v>352</v>
      </c>
      <c r="D156" s="106" t="s">
        <v>349</v>
      </c>
      <c r="E156">
        <v>3189</v>
      </c>
      <c r="F156" s="106" t="s">
        <v>2004</v>
      </c>
      <c r="G156" s="106" t="s">
        <v>354</v>
      </c>
      <c r="H156" s="106" t="s">
        <v>360</v>
      </c>
      <c r="I156" s="106">
        <v>27</v>
      </c>
      <c r="J156" s="106"/>
    </row>
    <row r="157" spans="1:10" x14ac:dyDescent="0.2">
      <c r="A157" s="106" t="s">
        <v>439</v>
      </c>
      <c r="B157" s="106" t="s">
        <v>347</v>
      </c>
      <c r="C157" s="106" t="s">
        <v>348</v>
      </c>
      <c r="D157" s="106" t="s">
        <v>349</v>
      </c>
      <c r="E157">
        <v>3194</v>
      </c>
      <c r="F157" s="106" t="s">
        <v>2005</v>
      </c>
      <c r="G157" s="106" t="s">
        <v>350</v>
      </c>
      <c r="H157" s="106" t="s">
        <v>360</v>
      </c>
      <c r="I157">
        <v>239</v>
      </c>
    </row>
    <row r="158" spans="1:10" x14ac:dyDescent="0.2">
      <c r="A158" s="106" t="s">
        <v>439</v>
      </c>
      <c r="B158" s="106" t="s">
        <v>347</v>
      </c>
      <c r="C158" s="106" t="s">
        <v>357</v>
      </c>
      <c r="D158" s="106" t="s">
        <v>349</v>
      </c>
      <c r="E158">
        <v>3267</v>
      </c>
      <c r="F158" s="106" t="s">
        <v>2006</v>
      </c>
      <c r="G158" s="106" t="s">
        <v>362</v>
      </c>
      <c r="H158" s="106" t="s">
        <v>377</v>
      </c>
      <c r="I158" s="106">
        <v>217</v>
      </c>
      <c r="J158" s="106"/>
    </row>
    <row r="159" spans="1:10" x14ac:dyDescent="0.2">
      <c r="A159" s="106" t="s">
        <v>439</v>
      </c>
      <c r="B159" s="106" t="s">
        <v>347</v>
      </c>
      <c r="C159" s="106" t="s">
        <v>348</v>
      </c>
      <c r="D159" s="106" t="s">
        <v>349</v>
      </c>
      <c r="E159">
        <v>3280</v>
      </c>
      <c r="F159" s="106" t="s">
        <v>2007</v>
      </c>
      <c r="G159" s="106" t="s">
        <v>350</v>
      </c>
      <c r="H159" s="106" t="s">
        <v>376</v>
      </c>
      <c r="I159" s="106">
        <v>50</v>
      </c>
      <c r="J159" s="106"/>
    </row>
    <row r="160" spans="1:10" x14ac:dyDescent="0.2">
      <c r="A160" s="106" t="s">
        <v>439</v>
      </c>
      <c r="B160" s="106" t="s">
        <v>347</v>
      </c>
      <c r="C160" s="106" t="s">
        <v>359</v>
      </c>
      <c r="D160" s="106" t="s">
        <v>353</v>
      </c>
      <c r="E160">
        <v>3297</v>
      </c>
      <c r="F160" s="106" t="s">
        <v>644</v>
      </c>
      <c r="G160" s="106" t="s">
        <v>354</v>
      </c>
      <c r="H160" s="106" t="s">
        <v>376</v>
      </c>
      <c r="I160" s="106">
        <v>29</v>
      </c>
      <c r="J160" s="106"/>
    </row>
    <row r="161" spans="1:10" x14ac:dyDescent="0.2">
      <c r="A161" s="106" t="s">
        <v>439</v>
      </c>
      <c r="B161" s="106" t="s">
        <v>347</v>
      </c>
      <c r="C161" s="106" t="s">
        <v>359</v>
      </c>
      <c r="D161" s="106" t="s">
        <v>349</v>
      </c>
      <c r="E161">
        <v>3349</v>
      </c>
      <c r="F161" s="106" t="s">
        <v>847</v>
      </c>
      <c r="G161" s="106" t="s">
        <v>350</v>
      </c>
      <c r="H161" s="106" t="s">
        <v>360</v>
      </c>
      <c r="I161" s="106" t="s">
        <v>400</v>
      </c>
      <c r="J161" s="106" t="s">
        <v>2426</v>
      </c>
    </row>
    <row r="162" spans="1:10" x14ac:dyDescent="0.2">
      <c r="A162" s="106" t="s">
        <v>439</v>
      </c>
      <c r="B162" s="106" t="s">
        <v>347</v>
      </c>
      <c r="C162" s="106" t="s">
        <v>357</v>
      </c>
      <c r="D162" s="106" t="s">
        <v>353</v>
      </c>
      <c r="E162">
        <v>3377</v>
      </c>
      <c r="F162" s="106" t="s">
        <v>645</v>
      </c>
      <c r="G162" s="106" t="s">
        <v>358</v>
      </c>
      <c r="H162" s="106" t="s">
        <v>356</v>
      </c>
      <c r="I162" s="106">
        <v>30</v>
      </c>
      <c r="J162" s="106"/>
    </row>
    <row r="163" spans="1:10" x14ac:dyDescent="0.2">
      <c r="A163" s="106" t="s">
        <v>439</v>
      </c>
      <c r="B163" s="106" t="s">
        <v>347</v>
      </c>
      <c r="C163" s="106" t="s">
        <v>357</v>
      </c>
      <c r="D163" s="106" t="s">
        <v>349</v>
      </c>
      <c r="E163">
        <v>3454</v>
      </c>
      <c r="F163" s="106" t="s">
        <v>629</v>
      </c>
      <c r="G163" s="106" t="s">
        <v>350</v>
      </c>
      <c r="H163" s="106" t="s">
        <v>376</v>
      </c>
      <c r="I163" s="106">
        <v>186</v>
      </c>
      <c r="J163" s="106"/>
    </row>
    <row r="164" spans="1:10" x14ac:dyDescent="0.2">
      <c r="A164" s="106" t="s">
        <v>439</v>
      </c>
      <c r="B164" s="106" t="s">
        <v>347</v>
      </c>
      <c r="C164" s="106" t="s">
        <v>348</v>
      </c>
      <c r="D164" s="106" t="s">
        <v>353</v>
      </c>
      <c r="E164">
        <v>3490</v>
      </c>
      <c r="F164" s="106" t="s">
        <v>2008</v>
      </c>
      <c r="G164" s="106" t="s">
        <v>354</v>
      </c>
      <c r="H164" s="106" t="s">
        <v>376</v>
      </c>
      <c r="I164">
        <v>14</v>
      </c>
    </row>
    <row r="165" spans="1:10" x14ac:dyDescent="0.2">
      <c r="A165" s="106" t="s">
        <v>439</v>
      </c>
      <c r="B165" s="106" t="s">
        <v>347</v>
      </c>
      <c r="C165" s="106" t="s">
        <v>348</v>
      </c>
      <c r="D165" s="106" t="s">
        <v>349</v>
      </c>
      <c r="E165">
        <v>3543</v>
      </c>
      <c r="F165" s="106" t="s">
        <v>2009</v>
      </c>
      <c r="G165" s="106" t="s">
        <v>350</v>
      </c>
      <c r="H165" s="106" t="s">
        <v>356</v>
      </c>
      <c r="I165" s="106">
        <v>964</v>
      </c>
      <c r="J165" s="106"/>
    </row>
    <row r="166" spans="1:10" x14ac:dyDescent="0.2">
      <c r="A166" s="106" t="s">
        <v>439</v>
      </c>
      <c r="B166" s="106" t="s">
        <v>347</v>
      </c>
      <c r="C166" s="106" t="s">
        <v>348</v>
      </c>
      <c r="D166" s="106" t="s">
        <v>349</v>
      </c>
      <c r="E166">
        <v>3546</v>
      </c>
      <c r="F166" s="106" t="s">
        <v>444</v>
      </c>
      <c r="G166" s="106" t="s">
        <v>350</v>
      </c>
      <c r="H166" s="106" t="s">
        <v>360</v>
      </c>
      <c r="I166" s="106">
        <v>288</v>
      </c>
      <c r="J166" s="106"/>
    </row>
    <row r="167" spans="1:10" x14ac:dyDescent="0.2">
      <c r="A167" s="106" t="s">
        <v>439</v>
      </c>
      <c r="B167" s="106" t="s">
        <v>347</v>
      </c>
      <c r="C167" s="106" t="s">
        <v>352</v>
      </c>
      <c r="D167" s="106" t="s">
        <v>353</v>
      </c>
      <c r="E167">
        <v>3560</v>
      </c>
      <c r="F167" s="106" t="s">
        <v>2010</v>
      </c>
      <c r="G167" s="106" t="s">
        <v>354</v>
      </c>
      <c r="H167" s="106" t="s">
        <v>360</v>
      </c>
      <c r="I167" s="106">
        <v>125</v>
      </c>
      <c r="J167" s="106"/>
    </row>
    <row r="168" spans="1:10" x14ac:dyDescent="0.2">
      <c r="A168" s="106" t="s">
        <v>439</v>
      </c>
      <c r="B168" s="106" t="s">
        <v>347</v>
      </c>
      <c r="C168" s="106" t="s">
        <v>352</v>
      </c>
      <c r="D168" s="106" t="s">
        <v>349</v>
      </c>
      <c r="E168">
        <v>3607</v>
      </c>
      <c r="F168" s="106" t="s">
        <v>2011</v>
      </c>
      <c r="G168" s="106" t="s">
        <v>350</v>
      </c>
      <c r="H168" s="106" t="s">
        <v>383</v>
      </c>
      <c r="I168">
        <v>47</v>
      </c>
    </row>
    <row r="169" spans="1:10" x14ac:dyDescent="0.2">
      <c r="A169" s="106" t="s">
        <v>439</v>
      </c>
      <c r="B169" s="106" t="s">
        <v>347</v>
      </c>
      <c r="C169" s="106" t="s">
        <v>348</v>
      </c>
      <c r="D169" s="106" t="s">
        <v>349</v>
      </c>
      <c r="E169">
        <v>3608</v>
      </c>
      <c r="F169" s="106" t="s">
        <v>2012</v>
      </c>
      <c r="G169" s="106" t="s">
        <v>350</v>
      </c>
      <c r="H169" s="106" t="s">
        <v>383</v>
      </c>
      <c r="I169">
        <v>587</v>
      </c>
    </row>
    <row r="170" spans="1:10" x14ac:dyDescent="0.2">
      <c r="A170" s="106" t="s">
        <v>439</v>
      </c>
      <c r="B170" s="106" t="s">
        <v>347</v>
      </c>
      <c r="C170" s="106" t="s">
        <v>348</v>
      </c>
      <c r="D170" s="106" t="s">
        <v>349</v>
      </c>
      <c r="E170">
        <v>3627</v>
      </c>
      <c r="F170" s="106" t="s">
        <v>2013</v>
      </c>
      <c r="G170" s="106" t="s">
        <v>350</v>
      </c>
      <c r="H170" s="106" t="s">
        <v>361</v>
      </c>
      <c r="I170">
        <v>91</v>
      </c>
    </row>
    <row r="171" spans="1:10" x14ac:dyDescent="0.2">
      <c r="A171" s="106" t="s">
        <v>439</v>
      </c>
      <c r="B171" s="106" t="s">
        <v>347</v>
      </c>
      <c r="C171" s="106" t="s">
        <v>359</v>
      </c>
      <c r="D171" s="106" t="s">
        <v>349</v>
      </c>
      <c r="E171">
        <v>3645</v>
      </c>
      <c r="F171" s="106" t="s">
        <v>2014</v>
      </c>
      <c r="G171" s="106" t="s">
        <v>362</v>
      </c>
      <c r="H171" s="106" t="s">
        <v>361</v>
      </c>
      <c r="I171">
        <v>27</v>
      </c>
    </row>
    <row r="172" spans="1:10" x14ac:dyDescent="0.2">
      <c r="A172" s="106" t="s">
        <v>439</v>
      </c>
      <c r="B172" s="106" t="s">
        <v>347</v>
      </c>
      <c r="C172" s="106" t="s">
        <v>348</v>
      </c>
      <c r="D172" s="106" t="s">
        <v>349</v>
      </c>
      <c r="E172">
        <v>3670</v>
      </c>
      <c r="F172" s="106" t="s">
        <v>2015</v>
      </c>
      <c r="G172" s="106" t="s">
        <v>354</v>
      </c>
      <c r="H172" s="106" t="s">
        <v>361</v>
      </c>
      <c r="I172">
        <v>23</v>
      </c>
    </row>
    <row r="173" spans="1:10" x14ac:dyDescent="0.2">
      <c r="A173" s="106" t="s">
        <v>439</v>
      </c>
      <c r="B173" s="106" t="s">
        <v>347</v>
      </c>
      <c r="C173" s="106" t="s">
        <v>352</v>
      </c>
      <c r="D173" s="106" t="s">
        <v>349</v>
      </c>
      <c r="E173">
        <v>3711</v>
      </c>
      <c r="F173" s="106" t="s">
        <v>2016</v>
      </c>
      <c r="G173" s="106" t="s">
        <v>354</v>
      </c>
      <c r="H173" s="106" t="s">
        <v>361</v>
      </c>
      <c r="I173">
        <v>463</v>
      </c>
    </row>
    <row r="174" spans="1:10" x14ac:dyDescent="0.2">
      <c r="A174" s="106" t="s">
        <v>439</v>
      </c>
      <c r="B174" s="106" t="s">
        <v>347</v>
      </c>
      <c r="C174" s="106" t="s">
        <v>352</v>
      </c>
      <c r="D174" s="106" t="s">
        <v>349</v>
      </c>
      <c r="E174">
        <v>3815</v>
      </c>
      <c r="F174" s="106" t="s">
        <v>2017</v>
      </c>
      <c r="G174" s="106" t="s">
        <v>362</v>
      </c>
      <c r="H174" s="106" t="s">
        <v>361</v>
      </c>
      <c r="I174">
        <v>55</v>
      </c>
    </row>
    <row r="175" spans="1:10" x14ac:dyDescent="0.2">
      <c r="A175" s="106" t="s">
        <v>439</v>
      </c>
      <c r="B175" s="106" t="s">
        <v>347</v>
      </c>
      <c r="C175" s="106" t="s">
        <v>348</v>
      </c>
      <c r="D175" s="106" t="s">
        <v>353</v>
      </c>
      <c r="E175">
        <v>3826</v>
      </c>
      <c r="F175" s="106" t="s">
        <v>2018</v>
      </c>
      <c r="G175" s="106" t="s">
        <v>350</v>
      </c>
      <c r="H175" s="106" t="s">
        <v>361</v>
      </c>
      <c r="I175" s="106">
        <v>90</v>
      </c>
      <c r="J175" s="106"/>
    </row>
    <row r="176" spans="1:10" x14ac:dyDescent="0.2">
      <c r="A176" s="106" t="s">
        <v>439</v>
      </c>
      <c r="B176" s="106" t="s">
        <v>347</v>
      </c>
      <c r="C176" s="106" t="s">
        <v>359</v>
      </c>
      <c r="D176" s="106" t="s">
        <v>353</v>
      </c>
      <c r="E176">
        <v>3892</v>
      </c>
      <c r="F176" s="106" t="s">
        <v>2019</v>
      </c>
      <c r="G176" s="106" t="s">
        <v>354</v>
      </c>
      <c r="H176" s="106" t="s">
        <v>384</v>
      </c>
      <c r="I176" s="106">
        <v>43</v>
      </c>
      <c r="J176" s="106"/>
    </row>
    <row r="177" spans="1:10" x14ac:dyDescent="0.2">
      <c r="A177" s="106" t="s">
        <v>439</v>
      </c>
      <c r="B177" s="106" t="s">
        <v>347</v>
      </c>
      <c r="C177" s="106" t="s">
        <v>348</v>
      </c>
      <c r="D177" s="106" t="s">
        <v>349</v>
      </c>
      <c r="E177">
        <v>3915</v>
      </c>
      <c r="F177" s="106" t="s">
        <v>2020</v>
      </c>
      <c r="G177" s="106" t="s">
        <v>350</v>
      </c>
      <c r="H177" s="106" t="s">
        <v>361</v>
      </c>
      <c r="I177" s="106">
        <v>295</v>
      </c>
      <c r="J177" s="106"/>
    </row>
    <row r="178" spans="1:10" x14ac:dyDescent="0.2">
      <c r="A178" s="106" t="s">
        <v>439</v>
      </c>
      <c r="B178" s="106" t="s">
        <v>347</v>
      </c>
      <c r="C178" s="106" t="s">
        <v>348</v>
      </c>
      <c r="D178" s="106" t="s">
        <v>349</v>
      </c>
      <c r="E178">
        <v>3922</v>
      </c>
      <c r="F178" s="106" t="s">
        <v>445</v>
      </c>
      <c r="G178" s="106" t="s">
        <v>350</v>
      </c>
      <c r="H178" s="106" t="s">
        <v>361</v>
      </c>
      <c r="I178">
        <v>148</v>
      </c>
    </row>
    <row r="179" spans="1:10" x14ac:dyDescent="0.2">
      <c r="A179" s="106" t="s">
        <v>439</v>
      </c>
      <c r="B179" s="106" t="s">
        <v>347</v>
      </c>
      <c r="C179" s="106" t="s">
        <v>348</v>
      </c>
      <c r="D179" s="106" t="s">
        <v>349</v>
      </c>
      <c r="E179">
        <v>3967</v>
      </c>
      <c r="F179" s="106" t="s">
        <v>2021</v>
      </c>
      <c r="G179" s="106" t="s">
        <v>362</v>
      </c>
      <c r="H179" s="106" t="s">
        <v>361</v>
      </c>
      <c r="I179">
        <v>94</v>
      </c>
    </row>
    <row r="180" spans="1:10" x14ac:dyDescent="0.2">
      <c r="A180" s="106" t="s">
        <v>439</v>
      </c>
      <c r="B180" s="106" t="s">
        <v>347</v>
      </c>
      <c r="C180" s="106" t="s">
        <v>357</v>
      </c>
      <c r="D180" s="106" t="s">
        <v>353</v>
      </c>
      <c r="E180">
        <v>4394</v>
      </c>
      <c r="F180" s="106" t="s">
        <v>2022</v>
      </c>
      <c r="G180" s="106" t="s">
        <v>362</v>
      </c>
      <c r="H180" s="106" t="s">
        <v>361</v>
      </c>
      <c r="I180" s="106">
        <v>67</v>
      </c>
      <c r="J180" s="106"/>
    </row>
    <row r="181" spans="1:10" x14ac:dyDescent="0.2">
      <c r="A181" s="106" t="s">
        <v>439</v>
      </c>
      <c r="B181" s="106" t="s">
        <v>347</v>
      </c>
      <c r="C181" s="106" t="s">
        <v>352</v>
      </c>
      <c r="D181" s="106" t="s">
        <v>349</v>
      </c>
      <c r="E181">
        <v>4439</v>
      </c>
      <c r="F181" s="106" t="s">
        <v>2023</v>
      </c>
      <c r="G181" s="106" t="s">
        <v>362</v>
      </c>
      <c r="H181" s="106" t="s">
        <v>361</v>
      </c>
      <c r="I181" s="106">
        <v>97</v>
      </c>
      <c r="J181" s="106"/>
    </row>
    <row r="182" spans="1:10" x14ac:dyDescent="0.2">
      <c r="A182" s="106" t="s">
        <v>439</v>
      </c>
      <c r="B182" s="106" t="s">
        <v>347</v>
      </c>
      <c r="C182" s="106" t="s">
        <v>352</v>
      </c>
      <c r="D182" s="106" t="s">
        <v>349</v>
      </c>
      <c r="E182">
        <v>4440</v>
      </c>
      <c r="F182" s="106" t="s">
        <v>652</v>
      </c>
      <c r="G182" s="106" t="s">
        <v>362</v>
      </c>
      <c r="H182" s="106" t="s">
        <v>361</v>
      </c>
      <c r="I182" s="106">
        <v>89</v>
      </c>
      <c r="J182" s="106"/>
    </row>
    <row r="183" spans="1:10" x14ac:dyDescent="0.2">
      <c r="A183" s="106" t="s">
        <v>439</v>
      </c>
      <c r="B183" s="106" t="s">
        <v>347</v>
      </c>
      <c r="C183" s="106" t="s">
        <v>348</v>
      </c>
      <c r="D183" s="106" t="s">
        <v>349</v>
      </c>
      <c r="E183">
        <v>4530</v>
      </c>
      <c r="F183" s="106" t="s">
        <v>848</v>
      </c>
      <c r="G183" s="106" t="s">
        <v>350</v>
      </c>
      <c r="H183" s="106" t="s">
        <v>395</v>
      </c>
      <c r="I183" t="s">
        <v>400</v>
      </c>
      <c r="J183" t="s">
        <v>2427</v>
      </c>
    </row>
    <row r="184" spans="1:10" x14ac:dyDescent="0.2">
      <c r="A184" s="106" t="s">
        <v>439</v>
      </c>
      <c r="B184" s="106" t="s">
        <v>347</v>
      </c>
      <c r="C184" s="106" t="s">
        <v>352</v>
      </c>
      <c r="D184" s="106" t="s">
        <v>349</v>
      </c>
      <c r="E184">
        <v>4760</v>
      </c>
      <c r="F184" s="106" t="s">
        <v>2024</v>
      </c>
      <c r="G184" s="106" t="s">
        <v>354</v>
      </c>
      <c r="H184" s="106" t="s">
        <v>355</v>
      </c>
      <c r="I184" s="106">
        <v>14</v>
      </c>
      <c r="J184" s="106"/>
    </row>
    <row r="185" spans="1:10" x14ac:dyDescent="0.2">
      <c r="A185" s="106" t="s">
        <v>439</v>
      </c>
      <c r="B185" s="106" t="s">
        <v>347</v>
      </c>
      <c r="C185" s="106" t="s">
        <v>359</v>
      </c>
      <c r="D185" s="106" t="s">
        <v>349</v>
      </c>
      <c r="E185">
        <v>4829</v>
      </c>
      <c r="F185" s="106" t="s">
        <v>446</v>
      </c>
      <c r="G185" s="106" t="s">
        <v>350</v>
      </c>
      <c r="H185" s="106" t="s">
        <v>361</v>
      </c>
      <c r="I185" s="106">
        <v>93</v>
      </c>
      <c r="J185" s="106"/>
    </row>
    <row r="186" spans="1:10" x14ac:dyDescent="0.2">
      <c r="A186" s="106" t="s">
        <v>439</v>
      </c>
      <c r="B186" s="106" t="s">
        <v>347</v>
      </c>
      <c r="C186" s="106" t="s">
        <v>348</v>
      </c>
      <c r="D186" s="106" t="s">
        <v>349</v>
      </c>
      <c r="E186">
        <v>4920</v>
      </c>
      <c r="F186" s="106" t="s">
        <v>2025</v>
      </c>
      <c r="G186" s="106" t="s">
        <v>354</v>
      </c>
      <c r="H186" s="106" t="s">
        <v>363</v>
      </c>
      <c r="I186" s="106">
        <v>49</v>
      </c>
      <c r="J186" s="106"/>
    </row>
    <row r="187" spans="1:10" x14ac:dyDescent="0.2">
      <c r="A187" s="106" t="s">
        <v>439</v>
      </c>
      <c r="B187" s="106" t="s">
        <v>347</v>
      </c>
      <c r="C187" s="106" t="s">
        <v>348</v>
      </c>
      <c r="D187" s="106" t="s">
        <v>349</v>
      </c>
      <c r="E187">
        <v>5271</v>
      </c>
      <c r="F187" s="106" t="s">
        <v>2026</v>
      </c>
      <c r="G187" s="106" t="s">
        <v>358</v>
      </c>
      <c r="H187" s="106" t="s">
        <v>392</v>
      </c>
      <c r="I187" s="106">
        <v>27</v>
      </c>
      <c r="J187" s="106"/>
    </row>
    <row r="188" spans="1:10" x14ac:dyDescent="0.2">
      <c r="A188" s="106" t="s">
        <v>439</v>
      </c>
      <c r="B188" s="106" t="s">
        <v>347</v>
      </c>
      <c r="C188" s="106" t="s">
        <v>348</v>
      </c>
      <c r="D188" s="106" t="s">
        <v>353</v>
      </c>
      <c r="E188">
        <v>5900</v>
      </c>
      <c r="F188" s="106" t="s">
        <v>2027</v>
      </c>
      <c r="G188" s="106" t="s">
        <v>354</v>
      </c>
      <c r="H188" s="106" t="s">
        <v>365</v>
      </c>
      <c r="I188" s="106">
        <v>43</v>
      </c>
      <c r="J188" s="106"/>
    </row>
    <row r="189" spans="1:10" x14ac:dyDescent="0.2">
      <c r="A189" s="106" t="s">
        <v>439</v>
      </c>
      <c r="B189" s="106" t="s">
        <v>347</v>
      </c>
      <c r="C189" s="106" t="s">
        <v>348</v>
      </c>
      <c r="D189" s="106" t="s">
        <v>349</v>
      </c>
      <c r="E189">
        <v>5982</v>
      </c>
      <c r="F189" s="106" t="s">
        <v>2028</v>
      </c>
      <c r="G189" s="106" t="s">
        <v>358</v>
      </c>
      <c r="H189" s="106" t="s">
        <v>365</v>
      </c>
      <c r="I189" s="106">
        <v>429</v>
      </c>
      <c r="J189" s="106"/>
    </row>
    <row r="190" spans="1:10" x14ac:dyDescent="0.2">
      <c r="A190" s="106" t="s">
        <v>439</v>
      </c>
      <c r="B190" s="106" t="s">
        <v>347</v>
      </c>
      <c r="C190" s="106" t="s">
        <v>348</v>
      </c>
      <c r="D190" s="106" t="s">
        <v>349</v>
      </c>
      <c r="E190">
        <v>6058</v>
      </c>
      <c r="F190" s="106" t="s">
        <v>447</v>
      </c>
      <c r="G190" s="106" t="s">
        <v>350</v>
      </c>
      <c r="H190" s="106" t="s">
        <v>355</v>
      </c>
      <c r="I190">
        <v>497</v>
      </c>
    </row>
    <row r="191" spans="1:10" x14ac:dyDescent="0.2">
      <c r="A191" s="106" t="s">
        <v>439</v>
      </c>
      <c r="B191" s="106" t="s">
        <v>347</v>
      </c>
      <c r="C191" s="106" t="s">
        <v>359</v>
      </c>
      <c r="D191" s="106" t="s">
        <v>349</v>
      </c>
      <c r="E191">
        <v>6150</v>
      </c>
      <c r="F191" s="106" t="s">
        <v>2029</v>
      </c>
      <c r="G191" s="106" t="s">
        <v>354</v>
      </c>
      <c r="H191" s="106" t="s">
        <v>371</v>
      </c>
      <c r="I191" s="106">
        <v>30</v>
      </c>
      <c r="J191" s="106"/>
    </row>
    <row r="192" spans="1:10" x14ac:dyDescent="0.2">
      <c r="A192" s="106" t="s">
        <v>439</v>
      </c>
      <c r="B192" s="106" t="s">
        <v>347</v>
      </c>
      <c r="C192" s="106" t="s">
        <v>352</v>
      </c>
      <c r="D192" s="106" t="s">
        <v>349</v>
      </c>
      <c r="E192">
        <v>6255</v>
      </c>
      <c r="F192" s="106" t="s">
        <v>2030</v>
      </c>
      <c r="G192" s="106" t="s">
        <v>362</v>
      </c>
      <c r="H192" s="106" t="s">
        <v>371</v>
      </c>
      <c r="I192" s="106">
        <v>99</v>
      </c>
      <c r="J192" s="106"/>
    </row>
    <row r="193" spans="1:10" x14ac:dyDescent="0.2">
      <c r="A193" s="106" t="s">
        <v>439</v>
      </c>
      <c r="B193" s="106" t="s">
        <v>347</v>
      </c>
      <c r="C193" s="106" t="s">
        <v>352</v>
      </c>
      <c r="D193" s="106" t="s">
        <v>349</v>
      </c>
      <c r="E193">
        <v>6289</v>
      </c>
      <c r="F193" s="106" t="s">
        <v>919</v>
      </c>
      <c r="G193" s="106" t="s">
        <v>350</v>
      </c>
      <c r="H193" s="106" t="s">
        <v>371</v>
      </c>
      <c r="I193" s="106" t="s">
        <v>381</v>
      </c>
      <c r="J193" s="106" t="s">
        <v>2425</v>
      </c>
    </row>
    <row r="194" spans="1:10" x14ac:dyDescent="0.2">
      <c r="A194" s="106" t="s">
        <v>439</v>
      </c>
      <c r="B194" s="106" t="s">
        <v>347</v>
      </c>
      <c r="C194" s="106" t="s">
        <v>348</v>
      </c>
      <c r="D194" s="106" t="s">
        <v>349</v>
      </c>
      <c r="E194">
        <v>6323</v>
      </c>
      <c r="F194" s="106" t="s">
        <v>2032</v>
      </c>
      <c r="G194" s="106" t="s">
        <v>350</v>
      </c>
      <c r="H194" s="106" t="s">
        <v>371</v>
      </c>
      <c r="I194" s="106">
        <v>751</v>
      </c>
      <c r="J194" s="106"/>
    </row>
    <row r="195" spans="1:10" x14ac:dyDescent="0.2">
      <c r="A195" s="106" t="s">
        <v>439</v>
      </c>
      <c r="B195" s="106" t="s">
        <v>347</v>
      </c>
      <c r="C195" s="106" t="s">
        <v>357</v>
      </c>
      <c r="D195" s="106" t="s">
        <v>349</v>
      </c>
      <c r="E195">
        <v>6492</v>
      </c>
      <c r="F195" s="106" t="s">
        <v>448</v>
      </c>
      <c r="G195" s="106" t="s">
        <v>358</v>
      </c>
      <c r="H195" s="106" t="s">
        <v>371</v>
      </c>
      <c r="I195" s="106">
        <v>36</v>
      </c>
      <c r="J195" s="106"/>
    </row>
    <row r="196" spans="1:10" x14ac:dyDescent="0.2">
      <c r="A196" s="106" t="s">
        <v>439</v>
      </c>
      <c r="B196" s="106" t="s">
        <v>347</v>
      </c>
      <c r="C196" s="106" t="s">
        <v>352</v>
      </c>
      <c r="D196" s="106" t="s">
        <v>349</v>
      </c>
      <c r="E196">
        <v>6668</v>
      </c>
      <c r="F196" s="106" t="s">
        <v>2033</v>
      </c>
      <c r="G196" s="106" t="s">
        <v>358</v>
      </c>
      <c r="H196" s="106" t="s">
        <v>375</v>
      </c>
      <c r="I196" s="106">
        <v>127</v>
      </c>
      <c r="J196" s="106"/>
    </row>
    <row r="197" spans="1:10" x14ac:dyDescent="0.2">
      <c r="A197" s="106" t="s">
        <v>439</v>
      </c>
      <c r="B197" s="106" t="s">
        <v>347</v>
      </c>
      <c r="C197" s="106" t="s">
        <v>348</v>
      </c>
      <c r="D197" s="106" t="s">
        <v>349</v>
      </c>
      <c r="E197">
        <v>6897</v>
      </c>
      <c r="F197" s="106" t="s">
        <v>2034</v>
      </c>
      <c r="G197" s="106" t="s">
        <v>358</v>
      </c>
      <c r="H197" s="106" t="s">
        <v>375</v>
      </c>
      <c r="I197">
        <v>43</v>
      </c>
    </row>
    <row r="198" spans="1:10" x14ac:dyDescent="0.2">
      <c r="A198" s="106" t="s">
        <v>439</v>
      </c>
      <c r="B198" s="106" t="s">
        <v>347</v>
      </c>
      <c r="C198" s="106" t="s">
        <v>359</v>
      </c>
      <c r="D198" s="106" t="s">
        <v>353</v>
      </c>
      <c r="E198">
        <v>7068</v>
      </c>
      <c r="F198" s="106" t="s">
        <v>418</v>
      </c>
      <c r="G198" s="106" t="s">
        <v>362</v>
      </c>
      <c r="H198" s="106" t="s">
        <v>355</v>
      </c>
      <c r="I198" s="106">
        <v>108</v>
      </c>
      <c r="J198" s="106"/>
    </row>
    <row r="199" spans="1:10" x14ac:dyDescent="0.2">
      <c r="A199" s="106" t="s">
        <v>439</v>
      </c>
      <c r="B199" s="106" t="s">
        <v>347</v>
      </c>
      <c r="C199" s="106" t="s">
        <v>357</v>
      </c>
      <c r="D199" s="106" t="s">
        <v>353</v>
      </c>
      <c r="E199">
        <v>7074</v>
      </c>
      <c r="F199" s="106">
        <v>247</v>
      </c>
      <c r="G199" s="106" t="s">
        <v>362</v>
      </c>
      <c r="H199" s="106" t="s">
        <v>355</v>
      </c>
      <c r="I199" s="106">
        <v>217</v>
      </c>
      <c r="J199" s="106"/>
    </row>
    <row r="200" spans="1:10" x14ac:dyDescent="0.2">
      <c r="A200" s="106" t="s">
        <v>439</v>
      </c>
      <c r="B200" s="106" t="s">
        <v>347</v>
      </c>
      <c r="C200" s="106" t="s">
        <v>352</v>
      </c>
      <c r="D200" s="106" t="s">
        <v>349</v>
      </c>
      <c r="E200">
        <v>7219</v>
      </c>
      <c r="F200" s="106" t="s">
        <v>2035</v>
      </c>
      <c r="G200" s="106" t="s">
        <v>354</v>
      </c>
      <c r="H200" s="106" t="s">
        <v>380</v>
      </c>
      <c r="I200">
        <v>30</v>
      </c>
    </row>
    <row r="201" spans="1:10" x14ac:dyDescent="0.2">
      <c r="A201" s="106" t="s">
        <v>439</v>
      </c>
      <c r="B201" s="106" t="s">
        <v>347</v>
      </c>
      <c r="C201" s="106" t="s">
        <v>359</v>
      </c>
      <c r="D201" s="106" t="s">
        <v>349</v>
      </c>
      <c r="E201">
        <v>7420</v>
      </c>
      <c r="F201" s="106" t="s">
        <v>849</v>
      </c>
      <c r="G201" s="106" t="s">
        <v>350</v>
      </c>
      <c r="H201" s="106" t="s">
        <v>356</v>
      </c>
      <c r="I201" s="106">
        <v>169</v>
      </c>
      <c r="J201" s="106"/>
    </row>
    <row r="202" spans="1:10" x14ac:dyDescent="0.2">
      <c r="A202" s="106" t="s">
        <v>439</v>
      </c>
      <c r="B202" s="106" t="s">
        <v>347</v>
      </c>
      <c r="C202" s="106" t="s">
        <v>348</v>
      </c>
      <c r="D202" s="106" t="s">
        <v>349</v>
      </c>
      <c r="E202">
        <v>7427</v>
      </c>
      <c r="F202" s="106" t="s">
        <v>2036</v>
      </c>
      <c r="G202" s="106" t="s">
        <v>350</v>
      </c>
      <c r="H202" s="106" t="s">
        <v>356</v>
      </c>
      <c r="I202">
        <v>34</v>
      </c>
    </row>
    <row r="203" spans="1:10" x14ac:dyDescent="0.2">
      <c r="A203" s="106" t="s">
        <v>439</v>
      </c>
      <c r="B203" s="106" t="s">
        <v>347</v>
      </c>
      <c r="C203" s="106" t="s">
        <v>359</v>
      </c>
      <c r="D203" s="106" t="s">
        <v>353</v>
      </c>
      <c r="E203">
        <v>7434</v>
      </c>
      <c r="F203" s="106" t="s">
        <v>2037</v>
      </c>
      <c r="G203" s="106" t="s">
        <v>354</v>
      </c>
      <c r="H203" s="106" t="s">
        <v>356</v>
      </c>
      <c r="I203">
        <v>73</v>
      </c>
    </row>
    <row r="204" spans="1:10" x14ac:dyDescent="0.2">
      <c r="A204" s="106" t="s">
        <v>439</v>
      </c>
      <c r="B204" s="106" t="s">
        <v>347</v>
      </c>
      <c r="C204" s="106" t="s">
        <v>348</v>
      </c>
      <c r="D204" s="106" t="s">
        <v>353</v>
      </c>
      <c r="E204">
        <v>7450</v>
      </c>
      <c r="F204" s="106" t="s">
        <v>2038</v>
      </c>
      <c r="G204" s="106" t="s">
        <v>354</v>
      </c>
      <c r="H204" s="106" t="s">
        <v>360</v>
      </c>
      <c r="I204" s="106">
        <v>166</v>
      </c>
      <c r="J204" s="106"/>
    </row>
    <row r="205" spans="1:10" x14ac:dyDescent="0.2">
      <c r="A205" s="106" t="s">
        <v>439</v>
      </c>
      <c r="B205" s="106" t="s">
        <v>347</v>
      </c>
      <c r="C205" s="106" t="s">
        <v>348</v>
      </c>
      <c r="D205" s="106" t="s">
        <v>349</v>
      </c>
      <c r="E205">
        <v>7453</v>
      </c>
      <c r="F205" s="106" t="s">
        <v>850</v>
      </c>
      <c r="G205" s="106" t="s">
        <v>350</v>
      </c>
      <c r="H205" s="106" t="s">
        <v>360</v>
      </c>
      <c r="I205" s="106" t="s">
        <v>665</v>
      </c>
      <c r="J205" s="106" t="s">
        <v>2186</v>
      </c>
    </row>
    <row r="206" spans="1:10" x14ac:dyDescent="0.2">
      <c r="A206" s="106" t="s">
        <v>439</v>
      </c>
      <c r="B206" s="106" t="s">
        <v>347</v>
      </c>
      <c r="C206" s="106" t="s">
        <v>359</v>
      </c>
      <c r="D206" s="106" t="s">
        <v>349</v>
      </c>
      <c r="E206">
        <v>7487</v>
      </c>
      <c r="F206" s="106" t="s">
        <v>2039</v>
      </c>
      <c r="G206" s="106" t="s">
        <v>350</v>
      </c>
      <c r="H206" s="106" t="s">
        <v>356</v>
      </c>
      <c r="I206" s="106">
        <v>150</v>
      </c>
      <c r="J206" s="106"/>
    </row>
    <row r="207" spans="1:10" x14ac:dyDescent="0.2">
      <c r="A207" s="106" t="s">
        <v>439</v>
      </c>
      <c r="B207" s="106" t="s">
        <v>347</v>
      </c>
      <c r="C207" s="106" t="s">
        <v>348</v>
      </c>
      <c r="D207" s="106" t="s">
        <v>349</v>
      </c>
      <c r="E207">
        <v>7516</v>
      </c>
      <c r="F207" s="106" t="s">
        <v>2040</v>
      </c>
      <c r="G207" s="106" t="s">
        <v>350</v>
      </c>
      <c r="H207" s="106" t="s">
        <v>360</v>
      </c>
      <c r="I207">
        <v>899</v>
      </c>
    </row>
    <row r="208" spans="1:10" x14ac:dyDescent="0.2">
      <c r="A208" s="106" t="s">
        <v>439</v>
      </c>
      <c r="B208" s="106" t="s">
        <v>347</v>
      </c>
      <c r="C208" s="106" t="s">
        <v>348</v>
      </c>
      <c r="D208" s="106" t="s">
        <v>349</v>
      </c>
      <c r="E208">
        <v>7520</v>
      </c>
      <c r="F208" s="106" t="s">
        <v>2041</v>
      </c>
      <c r="G208" s="106" t="s">
        <v>350</v>
      </c>
      <c r="H208" s="106" t="s">
        <v>360</v>
      </c>
      <c r="I208" s="106">
        <v>201</v>
      </c>
      <c r="J208" s="106"/>
    </row>
    <row r="209" spans="1:10" x14ac:dyDescent="0.2">
      <c r="A209" s="106" t="s">
        <v>439</v>
      </c>
      <c r="B209" s="106" t="s">
        <v>347</v>
      </c>
      <c r="C209" s="106" t="s">
        <v>348</v>
      </c>
      <c r="D209" s="106" t="s">
        <v>353</v>
      </c>
      <c r="E209">
        <v>7603</v>
      </c>
      <c r="F209" s="106" t="s">
        <v>2042</v>
      </c>
      <c r="G209" s="106" t="s">
        <v>354</v>
      </c>
      <c r="H209" s="106" t="s">
        <v>360</v>
      </c>
      <c r="I209" s="106">
        <v>93</v>
      </c>
      <c r="J209" s="106"/>
    </row>
    <row r="210" spans="1:10" x14ac:dyDescent="0.2">
      <c r="A210" s="106" t="s">
        <v>439</v>
      </c>
      <c r="B210" s="106" t="s">
        <v>347</v>
      </c>
      <c r="C210" s="106" t="s">
        <v>352</v>
      </c>
      <c r="D210" s="106" t="s">
        <v>349</v>
      </c>
      <c r="E210">
        <v>7607</v>
      </c>
      <c r="F210" s="106" t="s">
        <v>2043</v>
      </c>
      <c r="G210" s="106" t="s">
        <v>350</v>
      </c>
      <c r="H210" s="106" t="s">
        <v>356</v>
      </c>
      <c r="I210" s="106">
        <v>358</v>
      </c>
      <c r="J210" s="106"/>
    </row>
    <row r="211" spans="1:10" x14ac:dyDescent="0.2">
      <c r="A211" s="106" t="s">
        <v>439</v>
      </c>
      <c r="B211" s="106" t="s">
        <v>347</v>
      </c>
      <c r="C211" s="106" t="s">
        <v>359</v>
      </c>
      <c r="D211" s="106" t="s">
        <v>349</v>
      </c>
      <c r="E211">
        <v>7713</v>
      </c>
      <c r="F211" s="106" t="s">
        <v>851</v>
      </c>
      <c r="G211" s="106" t="s">
        <v>354</v>
      </c>
      <c r="H211" s="106" t="s">
        <v>461</v>
      </c>
      <c r="I211" s="106">
        <v>140</v>
      </c>
      <c r="J211" s="106"/>
    </row>
    <row r="212" spans="1:10" x14ac:dyDescent="0.2">
      <c r="A212" s="106" t="s">
        <v>439</v>
      </c>
      <c r="B212" s="106" t="s">
        <v>347</v>
      </c>
      <c r="C212" s="106" t="s">
        <v>359</v>
      </c>
      <c r="D212" s="106" t="s">
        <v>349</v>
      </c>
      <c r="E212">
        <v>7725</v>
      </c>
      <c r="F212" s="106" t="s">
        <v>2044</v>
      </c>
      <c r="G212" s="106" t="s">
        <v>350</v>
      </c>
      <c r="H212" s="106" t="s">
        <v>461</v>
      </c>
      <c r="I212" s="106">
        <v>324</v>
      </c>
      <c r="J212" s="106"/>
    </row>
    <row r="213" spans="1:10" x14ac:dyDescent="0.2">
      <c r="A213" s="106" t="s">
        <v>439</v>
      </c>
      <c r="B213" s="106" t="s">
        <v>347</v>
      </c>
      <c r="C213" s="106" t="s">
        <v>352</v>
      </c>
      <c r="D213" s="106" t="s">
        <v>349</v>
      </c>
      <c r="E213">
        <v>7730</v>
      </c>
      <c r="F213" s="106" t="s">
        <v>2045</v>
      </c>
      <c r="G213" s="106" t="s">
        <v>350</v>
      </c>
      <c r="H213" s="106" t="s">
        <v>461</v>
      </c>
      <c r="I213" s="106" t="s">
        <v>434</v>
      </c>
      <c r="J213" s="106" t="s">
        <v>2428</v>
      </c>
    </row>
    <row r="214" spans="1:10" x14ac:dyDescent="0.2">
      <c r="A214" s="106" t="s">
        <v>439</v>
      </c>
      <c r="B214" s="106" t="s">
        <v>347</v>
      </c>
      <c r="C214" s="106" t="s">
        <v>348</v>
      </c>
      <c r="D214" s="106" t="s">
        <v>349</v>
      </c>
      <c r="E214">
        <v>7807</v>
      </c>
      <c r="F214" s="106" t="s">
        <v>2046</v>
      </c>
      <c r="G214" s="106" t="s">
        <v>354</v>
      </c>
      <c r="H214" s="106" t="s">
        <v>372</v>
      </c>
      <c r="I214" s="106">
        <v>62</v>
      </c>
      <c r="J214" s="106"/>
    </row>
    <row r="215" spans="1:10" x14ac:dyDescent="0.2">
      <c r="A215" s="106" t="s">
        <v>439</v>
      </c>
      <c r="B215" s="106" t="s">
        <v>347</v>
      </c>
      <c r="C215" s="106" t="s">
        <v>352</v>
      </c>
      <c r="D215" s="106" t="s">
        <v>349</v>
      </c>
      <c r="E215">
        <v>7818</v>
      </c>
      <c r="F215" s="106" t="s">
        <v>2047</v>
      </c>
      <c r="G215" s="106" t="s">
        <v>350</v>
      </c>
      <c r="H215" s="106" t="s">
        <v>372</v>
      </c>
      <c r="I215" s="106">
        <v>290</v>
      </c>
      <c r="J215" s="106"/>
    </row>
    <row r="216" spans="1:10" x14ac:dyDescent="0.2">
      <c r="A216" s="106" t="s">
        <v>439</v>
      </c>
      <c r="B216" s="106" t="s">
        <v>347</v>
      </c>
      <c r="C216" s="106" t="s">
        <v>352</v>
      </c>
      <c r="D216" s="106" t="s">
        <v>349</v>
      </c>
      <c r="E216">
        <v>7928</v>
      </c>
      <c r="F216" s="106" t="s">
        <v>2048</v>
      </c>
      <c r="G216" s="106" t="s">
        <v>354</v>
      </c>
      <c r="H216" s="106" t="s">
        <v>363</v>
      </c>
      <c r="I216" s="106">
        <v>20</v>
      </c>
      <c r="J216" s="106"/>
    </row>
    <row r="217" spans="1:10" x14ac:dyDescent="0.2">
      <c r="A217" s="106" t="s">
        <v>439</v>
      </c>
      <c r="B217" s="106" t="s">
        <v>347</v>
      </c>
      <c r="C217" s="106" t="s">
        <v>348</v>
      </c>
      <c r="D217" s="106" t="s">
        <v>349</v>
      </c>
      <c r="E217">
        <v>8016</v>
      </c>
      <c r="F217" s="106" t="s">
        <v>2049</v>
      </c>
      <c r="G217" s="106" t="s">
        <v>350</v>
      </c>
      <c r="H217" s="106" t="s">
        <v>383</v>
      </c>
      <c r="I217" t="s">
        <v>381</v>
      </c>
      <c r="J217" t="s">
        <v>2429</v>
      </c>
    </row>
    <row r="218" spans="1:10" x14ac:dyDescent="0.2">
      <c r="A218" s="106" t="s">
        <v>439</v>
      </c>
      <c r="B218" s="106" t="s">
        <v>347</v>
      </c>
      <c r="C218" s="106" t="s">
        <v>348</v>
      </c>
      <c r="D218" s="106" t="s">
        <v>349</v>
      </c>
      <c r="E218">
        <v>8028</v>
      </c>
      <c r="F218" s="106" t="s">
        <v>2051</v>
      </c>
      <c r="G218" s="106" t="s">
        <v>350</v>
      </c>
      <c r="H218" s="106" t="s">
        <v>360</v>
      </c>
      <c r="I218" s="106" t="s">
        <v>572</v>
      </c>
      <c r="J218" s="106" t="s">
        <v>2430</v>
      </c>
    </row>
    <row r="219" spans="1:10" x14ac:dyDescent="0.2">
      <c r="A219" s="106" t="s">
        <v>439</v>
      </c>
      <c r="B219" s="106" t="s">
        <v>347</v>
      </c>
      <c r="C219" s="106" t="s">
        <v>357</v>
      </c>
      <c r="D219" s="106" t="s">
        <v>349</v>
      </c>
      <c r="E219">
        <v>8095</v>
      </c>
      <c r="F219" s="106" t="s">
        <v>2052</v>
      </c>
      <c r="G219" s="106" t="s">
        <v>350</v>
      </c>
      <c r="H219" s="106" t="s">
        <v>356</v>
      </c>
      <c r="I219" s="106">
        <v>161</v>
      </c>
      <c r="J219" s="106"/>
    </row>
    <row r="220" spans="1:10" x14ac:dyDescent="0.2">
      <c r="A220" s="106" t="s">
        <v>439</v>
      </c>
      <c r="B220" s="106" t="s">
        <v>347</v>
      </c>
      <c r="C220" s="106" t="s">
        <v>352</v>
      </c>
      <c r="D220" s="106" t="s">
        <v>349</v>
      </c>
      <c r="E220">
        <v>8127</v>
      </c>
      <c r="F220" s="106" t="s">
        <v>2053</v>
      </c>
      <c r="G220" s="106" t="s">
        <v>350</v>
      </c>
      <c r="H220" s="106" t="s">
        <v>383</v>
      </c>
      <c r="I220">
        <v>86</v>
      </c>
    </row>
    <row r="221" spans="1:10" x14ac:dyDescent="0.2">
      <c r="A221" s="106" t="s">
        <v>439</v>
      </c>
      <c r="B221" s="106" t="s">
        <v>347</v>
      </c>
      <c r="C221" s="106" t="s">
        <v>348</v>
      </c>
      <c r="D221" s="106" t="s">
        <v>349</v>
      </c>
      <c r="E221">
        <v>8143</v>
      </c>
      <c r="F221" s="106" t="s">
        <v>2054</v>
      </c>
      <c r="G221" s="106" t="s">
        <v>358</v>
      </c>
      <c r="H221" s="106" t="s">
        <v>383</v>
      </c>
      <c r="I221">
        <v>17</v>
      </c>
    </row>
    <row r="222" spans="1:10" x14ac:dyDescent="0.2">
      <c r="A222" s="106" t="s">
        <v>439</v>
      </c>
      <c r="B222" s="106" t="s">
        <v>347</v>
      </c>
      <c r="C222" s="106" t="s">
        <v>348</v>
      </c>
      <c r="D222" s="106" t="s">
        <v>349</v>
      </c>
      <c r="E222">
        <v>8167</v>
      </c>
      <c r="F222" s="106" t="s">
        <v>2055</v>
      </c>
      <c r="G222" s="106" t="s">
        <v>358</v>
      </c>
      <c r="H222" s="106" t="s">
        <v>360</v>
      </c>
      <c r="I222">
        <v>416</v>
      </c>
    </row>
    <row r="223" spans="1:10" x14ac:dyDescent="0.2">
      <c r="A223" s="106" t="s">
        <v>439</v>
      </c>
      <c r="B223" s="106" t="s">
        <v>347</v>
      </c>
      <c r="C223" s="106" t="s">
        <v>348</v>
      </c>
      <c r="D223" s="106" t="s">
        <v>349</v>
      </c>
      <c r="E223">
        <v>8185</v>
      </c>
      <c r="F223" s="106" t="s">
        <v>2056</v>
      </c>
      <c r="G223" s="106" t="s">
        <v>350</v>
      </c>
      <c r="H223" s="106" t="s">
        <v>360</v>
      </c>
      <c r="I223" s="106">
        <v>663</v>
      </c>
      <c r="J223" s="106"/>
    </row>
    <row r="224" spans="1:10" x14ac:dyDescent="0.2">
      <c r="A224" s="106" t="s">
        <v>439</v>
      </c>
      <c r="B224" s="106" t="s">
        <v>347</v>
      </c>
      <c r="C224" s="106" t="s">
        <v>348</v>
      </c>
      <c r="D224" s="106" t="s">
        <v>349</v>
      </c>
      <c r="E224">
        <v>8194</v>
      </c>
      <c r="F224" s="106" t="s">
        <v>2057</v>
      </c>
      <c r="G224" s="106" t="s">
        <v>350</v>
      </c>
      <c r="H224" s="106" t="s">
        <v>360</v>
      </c>
      <c r="I224" s="106" t="s">
        <v>381</v>
      </c>
      <c r="J224" s="106" t="s">
        <v>2431</v>
      </c>
    </row>
    <row r="225" spans="1:10" x14ac:dyDescent="0.2">
      <c r="A225" s="106" t="s">
        <v>439</v>
      </c>
      <c r="B225" s="106" t="s">
        <v>347</v>
      </c>
      <c r="C225" s="106" t="s">
        <v>348</v>
      </c>
      <c r="D225" s="106" t="s">
        <v>349</v>
      </c>
      <c r="E225">
        <v>8203</v>
      </c>
      <c r="F225" s="106" t="s">
        <v>2058</v>
      </c>
      <c r="G225" s="106" t="s">
        <v>350</v>
      </c>
      <c r="H225" s="106" t="s">
        <v>360</v>
      </c>
      <c r="I225" s="106">
        <v>199</v>
      </c>
      <c r="J225" s="106"/>
    </row>
    <row r="226" spans="1:10" x14ac:dyDescent="0.2">
      <c r="A226" s="106" t="s">
        <v>439</v>
      </c>
      <c r="B226" s="106" t="s">
        <v>347</v>
      </c>
      <c r="C226" s="106" t="s">
        <v>348</v>
      </c>
      <c r="D226" s="106" t="s">
        <v>349</v>
      </c>
      <c r="E226">
        <v>8287</v>
      </c>
      <c r="F226" s="106" t="s">
        <v>2059</v>
      </c>
      <c r="G226" s="106" t="s">
        <v>358</v>
      </c>
      <c r="H226" s="106" t="s">
        <v>360</v>
      </c>
      <c r="I226" s="106">
        <v>920</v>
      </c>
      <c r="J226" s="106"/>
    </row>
    <row r="227" spans="1:10" x14ac:dyDescent="0.2">
      <c r="A227" s="106" t="s">
        <v>439</v>
      </c>
      <c r="B227" s="106" t="s">
        <v>347</v>
      </c>
      <c r="C227" s="106" t="s">
        <v>352</v>
      </c>
      <c r="D227" s="106" t="s">
        <v>349</v>
      </c>
      <c r="E227">
        <v>8904</v>
      </c>
      <c r="F227" s="106" t="s">
        <v>2060</v>
      </c>
      <c r="G227" s="106" t="s">
        <v>350</v>
      </c>
      <c r="H227" s="106" t="s">
        <v>376</v>
      </c>
      <c r="I227" s="106">
        <v>156</v>
      </c>
      <c r="J227" s="106"/>
    </row>
    <row r="228" spans="1:10" x14ac:dyDescent="0.2">
      <c r="A228" s="106" t="s">
        <v>439</v>
      </c>
      <c r="B228" s="106" t="s">
        <v>347</v>
      </c>
      <c r="C228" s="106" t="s">
        <v>357</v>
      </c>
      <c r="D228" s="106" t="s">
        <v>353</v>
      </c>
      <c r="E228">
        <v>9286</v>
      </c>
      <c r="F228" s="106" t="s">
        <v>2061</v>
      </c>
      <c r="G228" s="106" t="s">
        <v>387</v>
      </c>
      <c r="H228" s="106" t="s">
        <v>388</v>
      </c>
      <c r="I228" s="106">
        <v>90</v>
      </c>
      <c r="J228" s="106"/>
    </row>
    <row r="229" spans="1:10" x14ac:dyDescent="0.2">
      <c r="A229" s="106" t="s">
        <v>439</v>
      </c>
      <c r="B229" s="106" t="s">
        <v>347</v>
      </c>
      <c r="C229" s="106" t="s">
        <v>357</v>
      </c>
      <c r="D229" s="106" t="s">
        <v>349</v>
      </c>
      <c r="E229">
        <v>9313</v>
      </c>
      <c r="F229" s="106" t="s">
        <v>2062</v>
      </c>
      <c r="G229" s="106" t="s">
        <v>358</v>
      </c>
      <c r="H229" s="106" t="s">
        <v>703</v>
      </c>
      <c r="I229" s="106">
        <v>55</v>
      </c>
      <c r="J229" s="106"/>
    </row>
    <row r="230" spans="1:10" x14ac:dyDescent="0.2">
      <c r="A230" s="106" t="s">
        <v>439</v>
      </c>
      <c r="B230" s="106" t="s">
        <v>347</v>
      </c>
      <c r="C230" s="106" t="s">
        <v>348</v>
      </c>
      <c r="D230" s="106" t="s">
        <v>349</v>
      </c>
      <c r="E230">
        <v>9381</v>
      </c>
      <c r="F230" s="106" t="s">
        <v>852</v>
      </c>
      <c r="G230" s="106" t="s">
        <v>350</v>
      </c>
      <c r="H230" s="106" t="s">
        <v>703</v>
      </c>
      <c r="I230">
        <v>234</v>
      </c>
    </row>
    <row r="231" spans="1:10" x14ac:dyDescent="0.2">
      <c r="A231" s="106" t="s">
        <v>439</v>
      </c>
      <c r="B231" s="106" t="s">
        <v>347</v>
      </c>
      <c r="C231" s="106" t="s">
        <v>348</v>
      </c>
      <c r="D231" s="106" t="s">
        <v>349</v>
      </c>
      <c r="E231">
        <v>9661</v>
      </c>
      <c r="F231" s="106" t="s">
        <v>2063</v>
      </c>
      <c r="G231" s="106" t="s">
        <v>358</v>
      </c>
      <c r="H231" s="106" t="s">
        <v>355</v>
      </c>
      <c r="I231" s="106">
        <v>707</v>
      </c>
      <c r="J231" s="106"/>
    </row>
    <row r="232" spans="1:10" x14ac:dyDescent="0.2">
      <c r="A232" s="106" t="s">
        <v>439</v>
      </c>
      <c r="B232" s="106" t="s">
        <v>347</v>
      </c>
      <c r="C232" s="106" t="s">
        <v>357</v>
      </c>
      <c r="D232" s="106" t="s">
        <v>353</v>
      </c>
      <c r="E232">
        <v>9717</v>
      </c>
      <c r="F232" s="106" t="s">
        <v>2064</v>
      </c>
      <c r="G232" s="106" t="s">
        <v>350</v>
      </c>
      <c r="H232" s="106" t="s">
        <v>361</v>
      </c>
      <c r="I232" s="106">
        <v>206</v>
      </c>
      <c r="J232" s="106"/>
    </row>
    <row r="233" spans="1:10" x14ac:dyDescent="0.2">
      <c r="A233" s="106" t="s">
        <v>439</v>
      </c>
      <c r="B233" s="106" t="s">
        <v>347</v>
      </c>
      <c r="C233" s="106" t="s">
        <v>348</v>
      </c>
      <c r="D233" s="106" t="s">
        <v>349</v>
      </c>
      <c r="E233">
        <v>9740</v>
      </c>
      <c r="F233" s="106" t="s">
        <v>2065</v>
      </c>
      <c r="G233" s="106" t="s">
        <v>350</v>
      </c>
      <c r="H233" s="106" t="s">
        <v>355</v>
      </c>
      <c r="I233" s="106">
        <v>907</v>
      </c>
      <c r="J233" s="106"/>
    </row>
    <row r="234" spans="1:10" x14ac:dyDescent="0.2">
      <c r="A234" s="106" t="s">
        <v>439</v>
      </c>
      <c r="B234" s="106" t="s">
        <v>347</v>
      </c>
      <c r="C234" s="106" t="s">
        <v>359</v>
      </c>
      <c r="D234" s="106" t="s">
        <v>349</v>
      </c>
      <c r="E234">
        <v>9812</v>
      </c>
      <c r="F234" s="106" t="s">
        <v>2066</v>
      </c>
      <c r="G234" s="106" t="s">
        <v>354</v>
      </c>
      <c r="H234" s="106" t="s">
        <v>356</v>
      </c>
      <c r="I234" s="106">
        <v>38</v>
      </c>
      <c r="J234" s="106"/>
    </row>
    <row r="235" spans="1:10" x14ac:dyDescent="0.2">
      <c r="A235" s="106" t="s">
        <v>439</v>
      </c>
      <c r="B235" s="106" t="s">
        <v>347</v>
      </c>
      <c r="C235" s="106" t="s">
        <v>348</v>
      </c>
      <c r="D235" s="106" t="s">
        <v>349</v>
      </c>
      <c r="E235">
        <v>9861</v>
      </c>
      <c r="F235" s="106" t="s">
        <v>2067</v>
      </c>
      <c r="G235" s="106" t="s">
        <v>350</v>
      </c>
      <c r="H235" s="106" t="s">
        <v>360</v>
      </c>
      <c r="I235" s="106" t="s">
        <v>381</v>
      </c>
      <c r="J235" s="106" t="s">
        <v>2432</v>
      </c>
    </row>
    <row r="236" spans="1:10" x14ac:dyDescent="0.2">
      <c r="A236" s="106" t="s">
        <v>439</v>
      </c>
      <c r="B236" s="106" t="s">
        <v>347</v>
      </c>
      <c r="C236" s="106" t="s">
        <v>348</v>
      </c>
      <c r="D236" s="106" t="s">
        <v>349</v>
      </c>
      <c r="E236">
        <v>9948</v>
      </c>
      <c r="F236" s="106" t="s">
        <v>2068</v>
      </c>
      <c r="G236" s="106" t="s">
        <v>350</v>
      </c>
      <c r="H236" s="106" t="s">
        <v>360</v>
      </c>
      <c r="I236" s="106" t="s">
        <v>381</v>
      </c>
      <c r="J236" s="106" t="s">
        <v>2433</v>
      </c>
    </row>
    <row r="237" spans="1:10" x14ac:dyDescent="0.2">
      <c r="A237" s="106" t="s">
        <v>439</v>
      </c>
      <c r="B237" s="106" t="s">
        <v>347</v>
      </c>
      <c r="C237" s="106" t="s">
        <v>352</v>
      </c>
      <c r="D237" s="106" t="s">
        <v>349</v>
      </c>
      <c r="E237">
        <v>9978</v>
      </c>
      <c r="F237" s="106" t="s">
        <v>2069</v>
      </c>
      <c r="G237" s="106" t="s">
        <v>354</v>
      </c>
      <c r="H237" s="106" t="s">
        <v>360</v>
      </c>
      <c r="I237" s="106">
        <v>23</v>
      </c>
      <c r="J237" s="106"/>
    </row>
    <row r="238" spans="1:10" x14ac:dyDescent="0.2">
      <c r="A238" s="106" t="s">
        <v>451</v>
      </c>
      <c r="B238" s="106" t="s">
        <v>853</v>
      </c>
      <c r="C238" s="106" t="s">
        <v>348</v>
      </c>
      <c r="D238" s="106" t="s">
        <v>353</v>
      </c>
      <c r="E238">
        <v>3415</v>
      </c>
      <c r="F238" s="106" t="s">
        <v>854</v>
      </c>
      <c r="G238" s="106" t="s">
        <v>350</v>
      </c>
      <c r="H238" s="106" t="s">
        <v>360</v>
      </c>
      <c r="I238" s="106">
        <v>301</v>
      </c>
      <c r="J238" s="106"/>
    </row>
    <row r="239" spans="1:10" x14ac:dyDescent="0.2">
      <c r="A239" s="106" t="s">
        <v>451</v>
      </c>
      <c r="B239" s="106" t="s">
        <v>414</v>
      </c>
      <c r="C239" s="106" t="s">
        <v>357</v>
      </c>
      <c r="D239" s="106" t="s">
        <v>349</v>
      </c>
      <c r="E239">
        <v>2734</v>
      </c>
      <c r="F239" s="106" t="s">
        <v>624</v>
      </c>
      <c r="G239" s="106" t="s">
        <v>350</v>
      </c>
      <c r="H239" s="106" t="s">
        <v>360</v>
      </c>
      <c r="I239" s="106">
        <v>421</v>
      </c>
      <c r="J239" s="106"/>
    </row>
    <row r="240" spans="1:10" x14ac:dyDescent="0.2">
      <c r="A240" s="106" t="s">
        <v>451</v>
      </c>
      <c r="B240" s="106" t="s">
        <v>1979</v>
      </c>
      <c r="C240" s="106" t="s">
        <v>359</v>
      </c>
      <c r="D240" s="106" t="s">
        <v>349</v>
      </c>
      <c r="E240">
        <v>2722</v>
      </c>
      <c r="F240" s="106" t="s">
        <v>2070</v>
      </c>
      <c r="G240" s="106" t="s">
        <v>358</v>
      </c>
      <c r="H240" s="106" t="s">
        <v>360</v>
      </c>
      <c r="I240" s="106">
        <v>89</v>
      </c>
      <c r="J240" s="106"/>
    </row>
    <row r="241" spans="1:10" x14ac:dyDescent="0.2">
      <c r="A241" s="106" t="s">
        <v>451</v>
      </c>
      <c r="B241" s="106" t="s">
        <v>347</v>
      </c>
      <c r="C241" s="106" t="s">
        <v>348</v>
      </c>
      <c r="D241" s="106" t="s">
        <v>349</v>
      </c>
      <c r="E241">
        <v>1418</v>
      </c>
      <c r="F241" s="106" t="s">
        <v>2071</v>
      </c>
      <c r="G241" s="106" t="s">
        <v>354</v>
      </c>
      <c r="H241" s="106" t="s">
        <v>377</v>
      </c>
      <c r="I241" s="106">
        <v>52</v>
      </c>
      <c r="J241" s="106"/>
    </row>
    <row r="242" spans="1:10" x14ac:dyDescent="0.2">
      <c r="A242" s="106" t="s">
        <v>451</v>
      </c>
      <c r="B242" s="106" t="s">
        <v>347</v>
      </c>
      <c r="C242" s="106" t="s">
        <v>359</v>
      </c>
      <c r="D242" s="106" t="s">
        <v>349</v>
      </c>
      <c r="E242">
        <v>1419</v>
      </c>
      <c r="F242" s="106" t="s">
        <v>2072</v>
      </c>
      <c r="G242" s="106" t="s">
        <v>350</v>
      </c>
      <c r="H242" s="106" t="s">
        <v>377</v>
      </c>
      <c r="I242" s="106">
        <v>495</v>
      </c>
      <c r="J242" s="106"/>
    </row>
    <row r="243" spans="1:10" x14ac:dyDescent="0.2">
      <c r="A243" s="106" t="s">
        <v>451</v>
      </c>
      <c r="B243" s="106" t="s">
        <v>347</v>
      </c>
      <c r="C243" s="106" t="s">
        <v>352</v>
      </c>
      <c r="D243" s="106" t="s">
        <v>349</v>
      </c>
      <c r="E243">
        <v>1434</v>
      </c>
      <c r="F243" s="106" t="s">
        <v>2073</v>
      </c>
      <c r="G243" s="106" t="s">
        <v>358</v>
      </c>
      <c r="H243" s="106" t="s">
        <v>377</v>
      </c>
      <c r="I243" s="106">
        <v>25</v>
      </c>
      <c r="J243" s="106"/>
    </row>
    <row r="244" spans="1:10" x14ac:dyDescent="0.2">
      <c r="A244" s="106" t="s">
        <v>451</v>
      </c>
      <c r="B244" s="106" t="s">
        <v>347</v>
      </c>
      <c r="C244" s="106" t="s">
        <v>359</v>
      </c>
      <c r="D244" s="106" t="s">
        <v>349</v>
      </c>
      <c r="E244">
        <v>1887</v>
      </c>
      <c r="F244" s="106" t="s">
        <v>639</v>
      </c>
      <c r="G244" s="106" t="s">
        <v>350</v>
      </c>
      <c r="H244" s="106" t="s">
        <v>377</v>
      </c>
      <c r="I244" s="106">
        <v>633</v>
      </c>
      <c r="J244" s="106"/>
    </row>
    <row r="245" spans="1:10" x14ac:dyDescent="0.2">
      <c r="A245" s="106" t="s">
        <v>451</v>
      </c>
      <c r="B245" s="106" t="s">
        <v>347</v>
      </c>
      <c r="C245" s="106" t="s">
        <v>352</v>
      </c>
      <c r="D245" s="106" t="s">
        <v>349</v>
      </c>
      <c r="E245">
        <v>2449</v>
      </c>
      <c r="F245" s="106" t="s">
        <v>2074</v>
      </c>
      <c r="G245" s="106" t="s">
        <v>354</v>
      </c>
      <c r="H245" s="106" t="s">
        <v>355</v>
      </c>
      <c r="I245" s="106">
        <v>69</v>
      </c>
      <c r="J245" s="106"/>
    </row>
    <row r="246" spans="1:10" x14ac:dyDescent="0.2">
      <c r="A246" s="106" t="s">
        <v>451</v>
      </c>
      <c r="B246" s="106" t="s">
        <v>347</v>
      </c>
      <c r="C246" s="106" t="s">
        <v>357</v>
      </c>
      <c r="D246" s="106" t="s">
        <v>349</v>
      </c>
      <c r="E246">
        <v>2471</v>
      </c>
      <c r="F246" s="106" t="s">
        <v>452</v>
      </c>
      <c r="G246" s="106" t="s">
        <v>350</v>
      </c>
      <c r="H246" s="106" t="s">
        <v>355</v>
      </c>
      <c r="I246" s="106">
        <v>594</v>
      </c>
      <c r="J246" s="106"/>
    </row>
    <row r="247" spans="1:10" x14ac:dyDescent="0.2">
      <c r="A247" s="106" t="s">
        <v>451</v>
      </c>
      <c r="B247" s="106" t="s">
        <v>347</v>
      </c>
      <c r="C247" s="106" t="s">
        <v>348</v>
      </c>
      <c r="D247" s="106" t="s">
        <v>349</v>
      </c>
      <c r="E247">
        <v>2726</v>
      </c>
      <c r="F247" s="106" t="s">
        <v>2075</v>
      </c>
      <c r="G247" s="106" t="s">
        <v>350</v>
      </c>
      <c r="H247" s="106" t="s">
        <v>360</v>
      </c>
      <c r="I247" s="106">
        <v>832</v>
      </c>
      <c r="J247" s="106"/>
    </row>
    <row r="248" spans="1:10" x14ac:dyDescent="0.2">
      <c r="A248" s="106" t="s">
        <v>451</v>
      </c>
      <c r="B248" s="106" t="s">
        <v>347</v>
      </c>
      <c r="C248" s="106" t="s">
        <v>359</v>
      </c>
      <c r="D248" s="106" t="s">
        <v>349</v>
      </c>
      <c r="E248">
        <v>2769</v>
      </c>
      <c r="F248" s="106" t="s">
        <v>2076</v>
      </c>
      <c r="G248" s="106" t="s">
        <v>354</v>
      </c>
      <c r="H248" s="106" t="s">
        <v>360</v>
      </c>
      <c r="I248" s="106">
        <v>80</v>
      </c>
      <c r="J248" s="106"/>
    </row>
    <row r="249" spans="1:10" x14ac:dyDescent="0.2">
      <c r="A249" s="106" t="s">
        <v>451</v>
      </c>
      <c r="B249" s="106" t="s">
        <v>347</v>
      </c>
      <c r="C249" s="106" t="s">
        <v>359</v>
      </c>
      <c r="D249" s="106" t="s">
        <v>349</v>
      </c>
      <c r="E249">
        <v>2796</v>
      </c>
      <c r="F249" s="106" t="s">
        <v>2077</v>
      </c>
      <c r="G249" s="106" t="s">
        <v>350</v>
      </c>
      <c r="H249" s="106" t="s">
        <v>360</v>
      </c>
      <c r="I249" s="106">
        <v>63</v>
      </c>
      <c r="J249" s="106"/>
    </row>
    <row r="250" spans="1:10" x14ac:dyDescent="0.2">
      <c r="A250" s="106" t="s">
        <v>451</v>
      </c>
      <c r="B250" s="106" t="s">
        <v>347</v>
      </c>
      <c r="C250" s="106" t="s">
        <v>348</v>
      </c>
      <c r="D250" s="106" t="s">
        <v>349</v>
      </c>
      <c r="E250">
        <v>2798</v>
      </c>
      <c r="F250" s="106" t="s">
        <v>2078</v>
      </c>
      <c r="G250" s="106" t="s">
        <v>358</v>
      </c>
      <c r="H250" s="106" t="s">
        <v>360</v>
      </c>
      <c r="I250" s="106">
        <v>67</v>
      </c>
      <c r="J250" s="106"/>
    </row>
    <row r="251" spans="1:10" x14ac:dyDescent="0.2">
      <c r="A251" s="106" t="s">
        <v>451</v>
      </c>
      <c r="B251" s="106" t="s">
        <v>347</v>
      </c>
      <c r="C251" s="106" t="s">
        <v>348</v>
      </c>
      <c r="D251" s="106" t="s">
        <v>349</v>
      </c>
      <c r="E251">
        <v>2884</v>
      </c>
      <c r="F251" s="106" t="s">
        <v>2079</v>
      </c>
      <c r="G251" s="106" t="s">
        <v>350</v>
      </c>
      <c r="H251" s="106" t="s">
        <v>351</v>
      </c>
      <c r="I251">
        <v>250</v>
      </c>
    </row>
    <row r="252" spans="1:10" x14ac:dyDescent="0.2">
      <c r="A252" s="106" t="s">
        <v>451</v>
      </c>
      <c r="B252" s="106" t="s">
        <v>347</v>
      </c>
      <c r="C252" s="106" t="s">
        <v>348</v>
      </c>
      <c r="D252" s="106" t="s">
        <v>353</v>
      </c>
      <c r="E252">
        <v>2930</v>
      </c>
      <c r="F252" s="106" t="s">
        <v>453</v>
      </c>
      <c r="G252" s="106" t="s">
        <v>350</v>
      </c>
      <c r="H252" s="106" t="s">
        <v>351</v>
      </c>
      <c r="I252">
        <v>965</v>
      </c>
    </row>
    <row r="253" spans="1:10" x14ac:dyDescent="0.2">
      <c r="A253" s="106" t="s">
        <v>451</v>
      </c>
      <c r="B253" s="106" t="s">
        <v>347</v>
      </c>
      <c r="C253" s="106" t="s">
        <v>359</v>
      </c>
      <c r="D253" s="106" t="s">
        <v>349</v>
      </c>
      <c r="E253">
        <v>3021</v>
      </c>
      <c r="F253" s="106" t="s">
        <v>2080</v>
      </c>
      <c r="G253" s="106" t="s">
        <v>358</v>
      </c>
      <c r="H253" s="106" t="s">
        <v>360</v>
      </c>
      <c r="I253" s="106">
        <v>90</v>
      </c>
      <c r="J253" s="106"/>
    </row>
    <row r="254" spans="1:10" x14ac:dyDescent="0.2">
      <c r="A254" s="106" t="s">
        <v>451</v>
      </c>
      <c r="B254" s="106" t="s">
        <v>347</v>
      </c>
      <c r="C254" s="106" t="s">
        <v>348</v>
      </c>
      <c r="D254" s="106" t="s">
        <v>353</v>
      </c>
      <c r="E254">
        <v>3030</v>
      </c>
      <c r="F254" s="106" t="s">
        <v>454</v>
      </c>
      <c r="G254" s="106" t="s">
        <v>350</v>
      </c>
      <c r="H254" s="106" t="s">
        <v>360</v>
      </c>
      <c r="I254" s="106">
        <v>114</v>
      </c>
      <c r="J254" s="106"/>
    </row>
    <row r="255" spans="1:10" x14ac:dyDescent="0.2">
      <c r="A255" s="106" t="s">
        <v>451</v>
      </c>
      <c r="B255" s="106" t="s">
        <v>347</v>
      </c>
      <c r="C255" s="106" t="s">
        <v>348</v>
      </c>
      <c r="D255" s="106" t="s">
        <v>349</v>
      </c>
      <c r="E255">
        <v>3073</v>
      </c>
      <c r="F255" s="106" t="s">
        <v>2081</v>
      </c>
      <c r="G255" s="106" t="s">
        <v>350</v>
      </c>
      <c r="H255" s="106" t="s">
        <v>360</v>
      </c>
      <c r="I255" s="106">
        <v>238</v>
      </c>
      <c r="J255" s="106"/>
    </row>
    <row r="256" spans="1:10" x14ac:dyDescent="0.2">
      <c r="A256" s="106" t="s">
        <v>451</v>
      </c>
      <c r="B256" s="106" t="s">
        <v>347</v>
      </c>
      <c r="C256" s="106" t="s">
        <v>348</v>
      </c>
      <c r="D256" s="106" t="s">
        <v>349</v>
      </c>
      <c r="E256">
        <v>3080</v>
      </c>
      <c r="F256" s="106" t="s">
        <v>2082</v>
      </c>
      <c r="G256" s="106" t="s">
        <v>354</v>
      </c>
      <c r="H256" s="106" t="s">
        <v>360</v>
      </c>
      <c r="I256" s="106">
        <v>46</v>
      </c>
      <c r="J256" s="106"/>
    </row>
    <row r="257" spans="1:10" x14ac:dyDescent="0.2">
      <c r="A257" s="106" t="s">
        <v>451</v>
      </c>
      <c r="B257" s="106" t="s">
        <v>347</v>
      </c>
      <c r="C257" s="106" t="s">
        <v>348</v>
      </c>
      <c r="D257" s="106" t="s">
        <v>349</v>
      </c>
      <c r="E257">
        <v>3087</v>
      </c>
      <c r="F257" s="106" t="s">
        <v>2083</v>
      </c>
      <c r="G257" s="106" t="s">
        <v>350</v>
      </c>
      <c r="H257" s="106" t="s">
        <v>360</v>
      </c>
      <c r="I257" t="s">
        <v>381</v>
      </c>
      <c r="J257" t="s">
        <v>1950</v>
      </c>
    </row>
    <row r="258" spans="1:10" x14ac:dyDescent="0.2">
      <c r="A258" s="106" t="s">
        <v>451</v>
      </c>
      <c r="B258" s="106" t="s">
        <v>347</v>
      </c>
      <c r="C258" s="106" t="s">
        <v>357</v>
      </c>
      <c r="D258" s="106" t="s">
        <v>349</v>
      </c>
      <c r="E258">
        <v>3139</v>
      </c>
      <c r="F258" s="106" t="s">
        <v>2084</v>
      </c>
      <c r="G258" s="106" t="s">
        <v>350</v>
      </c>
      <c r="H258" s="106" t="s">
        <v>356</v>
      </c>
      <c r="I258" s="106">
        <v>350</v>
      </c>
      <c r="J258" s="106"/>
    </row>
    <row r="259" spans="1:10" x14ac:dyDescent="0.2">
      <c r="A259" s="106" t="s">
        <v>451</v>
      </c>
      <c r="B259" s="106" t="s">
        <v>347</v>
      </c>
      <c r="C259" s="106" t="s">
        <v>359</v>
      </c>
      <c r="D259" s="106" t="s">
        <v>349</v>
      </c>
      <c r="E259">
        <v>3148</v>
      </c>
      <c r="F259" s="106" t="s">
        <v>2085</v>
      </c>
      <c r="G259" s="106" t="s">
        <v>350</v>
      </c>
      <c r="H259" s="106" t="s">
        <v>360</v>
      </c>
      <c r="I259" s="106" t="s">
        <v>381</v>
      </c>
      <c r="J259" s="106" t="s">
        <v>2434</v>
      </c>
    </row>
    <row r="260" spans="1:10" x14ac:dyDescent="0.2">
      <c r="A260" s="106" t="s">
        <v>451</v>
      </c>
      <c r="B260" s="106" t="s">
        <v>347</v>
      </c>
      <c r="C260" s="106" t="s">
        <v>352</v>
      </c>
      <c r="D260" s="106" t="s">
        <v>349</v>
      </c>
      <c r="E260">
        <v>3168</v>
      </c>
      <c r="F260" s="106" t="s">
        <v>625</v>
      </c>
      <c r="G260" s="106" t="s">
        <v>350</v>
      </c>
      <c r="H260" s="106" t="s">
        <v>356</v>
      </c>
      <c r="I260" s="106">
        <v>66</v>
      </c>
      <c r="J260" s="106"/>
    </row>
    <row r="261" spans="1:10" x14ac:dyDescent="0.2">
      <c r="A261" s="106" t="s">
        <v>451</v>
      </c>
      <c r="B261" s="106" t="s">
        <v>347</v>
      </c>
      <c r="C261" s="106" t="s">
        <v>348</v>
      </c>
      <c r="D261" s="106" t="s">
        <v>353</v>
      </c>
      <c r="E261">
        <v>3181</v>
      </c>
      <c r="F261" s="106" t="s">
        <v>2086</v>
      </c>
      <c r="G261" s="106" t="s">
        <v>354</v>
      </c>
      <c r="H261" s="106" t="s">
        <v>360</v>
      </c>
      <c r="I261" s="106">
        <v>11</v>
      </c>
      <c r="J261" s="106"/>
    </row>
    <row r="262" spans="1:10" x14ac:dyDescent="0.2">
      <c r="A262" s="106" t="s">
        <v>451</v>
      </c>
      <c r="B262" s="106" t="s">
        <v>347</v>
      </c>
      <c r="C262" s="106" t="s">
        <v>348</v>
      </c>
      <c r="D262" s="106" t="s">
        <v>353</v>
      </c>
      <c r="E262">
        <v>3192</v>
      </c>
      <c r="F262" s="106" t="s">
        <v>2087</v>
      </c>
      <c r="G262" s="106" t="s">
        <v>354</v>
      </c>
      <c r="H262" s="106" t="s">
        <v>360</v>
      </c>
      <c r="I262" s="106">
        <v>21</v>
      </c>
      <c r="J262" s="106"/>
    </row>
    <row r="263" spans="1:10" x14ac:dyDescent="0.2">
      <c r="A263" s="106" t="s">
        <v>451</v>
      </c>
      <c r="B263" s="106" t="s">
        <v>347</v>
      </c>
      <c r="C263" s="106" t="s">
        <v>348</v>
      </c>
      <c r="D263" s="106" t="s">
        <v>349</v>
      </c>
      <c r="E263">
        <v>3198</v>
      </c>
      <c r="F263" s="106" t="s">
        <v>2088</v>
      </c>
      <c r="G263" s="106" t="s">
        <v>350</v>
      </c>
      <c r="H263" s="106" t="s">
        <v>360</v>
      </c>
      <c r="I263" s="106">
        <v>579</v>
      </c>
      <c r="J263" s="106"/>
    </row>
    <row r="264" spans="1:10" x14ac:dyDescent="0.2">
      <c r="A264" s="106" t="s">
        <v>451</v>
      </c>
      <c r="B264" s="106" t="s">
        <v>347</v>
      </c>
      <c r="C264" s="106" t="s">
        <v>348</v>
      </c>
      <c r="D264" s="106" t="s">
        <v>353</v>
      </c>
      <c r="E264">
        <v>3223</v>
      </c>
      <c r="F264" s="106" t="s">
        <v>2089</v>
      </c>
      <c r="G264" s="106" t="s">
        <v>354</v>
      </c>
      <c r="H264" s="106" t="s">
        <v>360</v>
      </c>
      <c r="I264" s="106">
        <v>25</v>
      </c>
      <c r="J264" s="106"/>
    </row>
    <row r="265" spans="1:10" x14ac:dyDescent="0.2">
      <c r="A265" s="106" t="s">
        <v>451</v>
      </c>
      <c r="B265" s="106" t="s">
        <v>347</v>
      </c>
      <c r="C265" s="106" t="s">
        <v>352</v>
      </c>
      <c r="D265" s="106" t="s">
        <v>349</v>
      </c>
      <c r="E265">
        <v>3228</v>
      </c>
      <c r="F265" s="106" t="s">
        <v>2090</v>
      </c>
      <c r="G265" s="106" t="s">
        <v>350</v>
      </c>
      <c r="H265" s="106" t="s">
        <v>376</v>
      </c>
      <c r="I265" s="106">
        <v>343</v>
      </c>
      <c r="J265" s="106"/>
    </row>
    <row r="266" spans="1:10" x14ac:dyDescent="0.2">
      <c r="A266" s="106" t="s">
        <v>451</v>
      </c>
      <c r="B266" s="106" t="s">
        <v>347</v>
      </c>
      <c r="C266" s="106" t="s">
        <v>359</v>
      </c>
      <c r="D266" s="106" t="s">
        <v>353</v>
      </c>
      <c r="E266">
        <v>3236</v>
      </c>
      <c r="F266" s="106" t="s">
        <v>2091</v>
      </c>
      <c r="G266" s="106" t="s">
        <v>354</v>
      </c>
      <c r="H266" s="106" t="s">
        <v>376</v>
      </c>
      <c r="I266" s="106">
        <v>58</v>
      </c>
      <c r="J266" s="106"/>
    </row>
    <row r="267" spans="1:10" x14ac:dyDescent="0.2">
      <c r="A267" s="106" t="s">
        <v>451</v>
      </c>
      <c r="B267" s="106" t="s">
        <v>347</v>
      </c>
      <c r="C267" s="106" t="s">
        <v>357</v>
      </c>
      <c r="D267" s="106" t="s">
        <v>349</v>
      </c>
      <c r="E267">
        <v>3266</v>
      </c>
      <c r="F267" s="106" t="s">
        <v>2092</v>
      </c>
      <c r="G267" s="106" t="s">
        <v>354</v>
      </c>
      <c r="H267" s="106" t="s">
        <v>376</v>
      </c>
      <c r="I267" s="106">
        <v>38</v>
      </c>
      <c r="J267" s="106"/>
    </row>
    <row r="268" spans="1:10" x14ac:dyDescent="0.2">
      <c r="A268" s="106" t="s">
        <v>451</v>
      </c>
      <c r="B268" s="106" t="s">
        <v>347</v>
      </c>
      <c r="C268" s="106" t="s">
        <v>348</v>
      </c>
      <c r="D268" s="106" t="s">
        <v>349</v>
      </c>
      <c r="E268">
        <v>3387</v>
      </c>
      <c r="F268" s="106" t="s">
        <v>646</v>
      </c>
      <c r="G268" s="106" t="s">
        <v>350</v>
      </c>
      <c r="H268" s="106" t="s">
        <v>360</v>
      </c>
      <c r="I268" s="106" t="s">
        <v>381</v>
      </c>
      <c r="J268" s="106" t="s">
        <v>2269</v>
      </c>
    </row>
    <row r="269" spans="1:10" x14ac:dyDescent="0.2">
      <c r="A269" s="106" t="s">
        <v>451</v>
      </c>
      <c r="B269" s="106" t="s">
        <v>347</v>
      </c>
      <c r="C269" s="106" t="s">
        <v>352</v>
      </c>
      <c r="D269" s="106" t="s">
        <v>349</v>
      </c>
      <c r="E269">
        <v>3440</v>
      </c>
      <c r="F269" s="106" t="s">
        <v>2093</v>
      </c>
      <c r="G269" s="106" t="s">
        <v>358</v>
      </c>
      <c r="H269" s="106" t="s">
        <v>365</v>
      </c>
      <c r="I269" s="106">
        <v>61</v>
      </c>
      <c r="J269" s="106"/>
    </row>
    <row r="270" spans="1:10" x14ac:dyDescent="0.2">
      <c r="A270" s="106" t="s">
        <v>451</v>
      </c>
      <c r="B270" s="106" t="s">
        <v>347</v>
      </c>
      <c r="C270" s="106" t="s">
        <v>348</v>
      </c>
      <c r="D270" s="106" t="s">
        <v>349</v>
      </c>
      <c r="E270">
        <v>3479</v>
      </c>
      <c r="F270" s="106" t="s">
        <v>455</v>
      </c>
      <c r="G270" s="106" t="s">
        <v>362</v>
      </c>
      <c r="H270" s="106" t="s">
        <v>376</v>
      </c>
      <c r="I270" s="106" t="s">
        <v>381</v>
      </c>
      <c r="J270" s="106" t="s">
        <v>2251</v>
      </c>
    </row>
    <row r="271" spans="1:10" x14ac:dyDescent="0.2">
      <c r="A271" s="106" t="s">
        <v>451</v>
      </c>
      <c r="B271" s="106" t="s">
        <v>347</v>
      </c>
      <c r="C271" s="106" t="s">
        <v>352</v>
      </c>
      <c r="D271" s="106" t="s">
        <v>349</v>
      </c>
      <c r="E271">
        <v>3498</v>
      </c>
      <c r="F271" s="106" t="s">
        <v>2094</v>
      </c>
      <c r="G271" s="106" t="s">
        <v>362</v>
      </c>
      <c r="H271" s="106" t="s">
        <v>376</v>
      </c>
      <c r="I271" s="106">
        <v>165</v>
      </c>
      <c r="J271" s="106"/>
    </row>
    <row r="272" spans="1:10" x14ac:dyDescent="0.2">
      <c r="A272" s="106" t="s">
        <v>451</v>
      </c>
      <c r="B272" s="106" t="s">
        <v>347</v>
      </c>
      <c r="C272" s="106" t="s">
        <v>352</v>
      </c>
      <c r="D272" s="106" t="s">
        <v>349</v>
      </c>
      <c r="E272">
        <v>3536</v>
      </c>
      <c r="F272" s="106" t="s">
        <v>2095</v>
      </c>
      <c r="G272" s="106" t="s">
        <v>354</v>
      </c>
      <c r="H272" s="106" t="s">
        <v>360</v>
      </c>
      <c r="I272" s="106">
        <v>37</v>
      </c>
      <c r="J272" s="106"/>
    </row>
    <row r="273" spans="1:10" x14ac:dyDescent="0.2">
      <c r="A273" s="106" t="s">
        <v>451</v>
      </c>
      <c r="B273" s="106" t="s">
        <v>347</v>
      </c>
      <c r="C273" s="106" t="s">
        <v>352</v>
      </c>
      <c r="D273" s="106" t="s">
        <v>353</v>
      </c>
      <c r="E273">
        <v>3541</v>
      </c>
      <c r="F273" s="106" t="s">
        <v>2096</v>
      </c>
      <c r="G273" s="106" t="s">
        <v>362</v>
      </c>
      <c r="H273" s="106" t="s">
        <v>356</v>
      </c>
      <c r="I273" s="106">
        <v>106</v>
      </c>
      <c r="J273" s="106"/>
    </row>
    <row r="274" spans="1:10" x14ac:dyDescent="0.2">
      <c r="A274" s="106" t="s">
        <v>451</v>
      </c>
      <c r="B274" s="106" t="s">
        <v>347</v>
      </c>
      <c r="C274" s="106" t="s">
        <v>357</v>
      </c>
      <c r="D274" s="106" t="s">
        <v>349</v>
      </c>
      <c r="E274">
        <v>3547</v>
      </c>
      <c r="F274" s="106" t="s">
        <v>2097</v>
      </c>
      <c r="G274" s="106" t="s">
        <v>350</v>
      </c>
      <c r="H274" s="106" t="s">
        <v>360</v>
      </c>
      <c r="I274">
        <v>200</v>
      </c>
    </row>
    <row r="275" spans="1:10" x14ac:dyDescent="0.2">
      <c r="A275" s="106" t="s">
        <v>451</v>
      </c>
      <c r="B275" s="106" t="s">
        <v>347</v>
      </c>
      <c r="C275" s="106" t="s">
        <v>348</v>
      </c>
      <c r="D275" s="106" t="s">
        <v>353</v>
      </c>
      <c r="E275">
        <v>3557</v>
      </c>
      <c r="F275" s="106" t="s">
        <v>648</v>
      </c>
      <c r="G275" s="106" t="s">
        <v>362</v>
      </c>
      <c r="H275" s="106" t="s">
        <v>360</v>
      </c>
      <c r="I275" s="106">
        <v>47</v>
      </c>
      <c r="J275" s="106"/>
    </row>
    <row r="276" spans="1:10" x14ac:dyDescent="0.2">
      <c r="A276" s="106" t="s">
        <v>451</v>
      </c>
      <c r="B276" s="106" t="s">
        <v>347</v>
      </c>
      <c r="C276" s="106" t="s">
        <v>348</v>
      </c>
      <c r="D276" s="106" t="s">
        <v>349</v>
      </c>
      <c r="E276">
        <v>3558</v>
      </c>
      <c r="F276" s="106" t="s">
        <v>2098</v>
      </c>
      <c r="G276" s="106" t="s">
        <v>362</v>
      </c>
      <c r="H276" s="106" t="s">
        <v>360</v>
      </c>
      <c r="I276" s="106">
        <v>101</v>
      </c>
      <c r="J276" s="106"/>
    </row>
    <row r="277" spans="1:10" x14ac:dyDescent="0.2">
      <c r="A277" s="106" t="s">
        <v>451</v>
      </c>
      <c r="B277" s="106" t="s">
        <v>347</v>
      </c>
      <c r="C277" s="106" t="s">
        <v>348</v>
      </c>
      <c r="D277" s="106" t="s">
        <v>349</v>
      </c>
      <c r="E277">
        <v>3562</v>
      </c>
      <c r="F277" s="106" t="s">
        <v>456</v>
      </c>
      <c r="G277" s="106" t="s">
        <v>354</v>
      </c>
      <c r="H277" s="106" t="s">
        <v>356</v>
      </c>
      <c r="I277" s="106">
        <v>37</v>
      </c>
      <c r="J277" s="106"/>
    </row>
    <row r="278" spans="1:10" x14ac:dyDescent="0.2">
      <c r="A278" s="106" t="s">
        <v>451</v>
      </c>
      <c r="B278" s="106" t="s">
        <v>347</v>
      </c>
      <c r="C278" s="106" t="s">
        <v>348</v>
      </c>
      <c r="D278" s="106" t="s">
        <v>349</v>
      </c>
      <c r="E278">
        <v>3678</v>
      </c>
      <c r="F278" s="106" t="s">
        <v>457</v>
      </c>
      <c r="G278" s="106" t="s">
        <v>350</v>
      </c>
      <c r="H278" s="106" t="s">
        <v>361</v>
      </c>
      <c r="I278">
        <v>558</v>
      </c>
    </row>
    <row r="279" spans="1:10" x14ac:dyDescent="0.2">
      <c r="A279" s="106" t="s">
        <v>451</v>
      </c>
      <c r="B279" s="106" t="s">
        <v>347</v>
      </c>
      <c r="C279" s="106" t="s">
        <v>359</v>
      </c>
      <c r="D279" s="106" t="s">
        <v>353</v>
      </c>
      <c r="E279">
        <v>3760</v>
      </c>
      <c r="F279" s="106" t="s">
        <v>2099</v>
      </c>
      <c r="G279" s="106" t="s">
        <v>354</v>
      </c>
      <c r="H279" s="106" t="s">
        <v>361</v>
      </c>
      <c r="I279">
        <v>67</v>
      </c>
    </row>
    <row r="280" spans="1:10" x14ac:dyDescent="0.2">
      <c r="A280" s="106" t="s">
        <v>451</v>
      </c>
      <c r="B280" s="106" t="s">
        <v>347</v>
      </c>
      <c r="C280" s="106" t="s">
        <v>359</v>
      </c>
      <c r="D280" s="106" t="s">
        <v>349</v>
      </c>
      <c r="E280">
        <v>3791</v>
      </c>
      <c r="F280" s="106" t="s">
        <v>2100</v>
      </c>
      <c r="G280" s="106" t="s">
        <v>354</v>
      </c>
      <c r="H280" s="106" t="s">
        <v>361</v>
      </c>
      <c r="I280" s="106">
        <v>80</v>
      </c>
      <c r="J280" s="106"/>
    </row>
    <row r="281" spans="1:10" x14ac:dyDescent="0.2">
      <c r="A281" s="106" t="s">
        <v>451</v>
      </c>
      <c r="B281" s="106" t="s">
        <v>347</v>
      </c>
      <c r="C281" s="106" t="s">
        <v>359</v>
      </c>
      <c r="D281" s="106" t="s">
        <v>349</v>
      </c>
      <c r="E281">
        <v>3810</v>
      </c>
      <c r="F281" s="106" t="s">
        <v>2101</v>
      </c>
      <c r="G281" s="106" t="s">
        <v>358</v>
      </c>
      <c r="H281" s="106" t="s">
        <v>361</v>
      </c>
      <c r="I281" s="106">
        <v>117</v>
      </c>
      <c r="J281" s="106"/>
    </row>
    <row r="282" spans="1:10" x14ac:dyDescent="0.2">
      <c r="A282" s="106" t="s">
        <v>451</v>
      </c>
      <c r="B282" s="106" t="s">
        <v>347</v>
      </c>
      <c r="C282" s="106" t="s">
        <v>352</v>
      </c>
      <c r="D282" s="106" t="s">
        <v>349</v>
      </c>
      <c r="E282">
        <v>3823</v>
      </c>
      <c r="F282" s="106" t="s">
        <v>2102</v>
      </c>
      <c r="G282" s="106" t="s">
        <v>358</v>
      </c>
      <c r="H282" s="106" t="s">
        <v>361</v>
      </c>
      <c r="I282">
        <v>62</v>
      </c>
    </row>
    <row r="283" spans="1:10" x14ac:dyDescent="0.2">
      <c r="A283" s="106" t="s">
        <v>451</v>
      </c>
      <c r="B283" s="106" t="s">
        <v>347</v>
      </c>
      <c r="C283" s="106" t="s">
        <v>348</v>
      </c>
      <c r="D283" s="106" t="s">
        <v>349</v>
      </c>
      <c r="E283">
        <v>3935</v>
      </c>
      <c r="F283" s="106" t="s">
        <v>2103</v>
      </c>
      <c r="G283" s="106" t="s">
        <v>362</v>
      </c>
      <c r="H283" s="106" t="s">
        <v>361</v>
      </c>
      <c r="I283" s="106">
        <v>51</v>
      </c>
      <c r="J283" s="106"/>
    </row>
    <row r="284" spans="1:10" x14ac:dyDescent="0.2">
      <c r="A284" s="106" t="s">
        <v>451</v>
      </c>
      <c r="B284" s="106" t="s">
        <v>347</v>
      </c>
      <c r="C284" s="106" t="s">
        <v>359</v>
      </c>
      <c r="D284" s="106" t="s">
        <v>349</v>
      </c>
      <c r="E284">
        <v>3990</v>
      </c>
      <c r="F284" s="106" t="s">
        <v>2104</v>
      </c>
      <c r="G284" s="106" t="s">
        <v>362</v>
      </c>
      <c r="H284" s="106" t="s">
        <v>361</v>
      </c>
      <c r="I284" s="106">
        <v>926</v>
      </c>
      <c r="J284" s="106"/>
    </row>
    <row r="285" spans="1:10" x14ac:dyDescent="0.2">
      <c r="A285" s="106" t="s">
        <v>451</v>
      </c>
      <c r="B285" s="106" t="s">
        <v>347</v>
      </c>
      <c r="C285" s="106" t="s">
        <v>352</v>
      </c>
      <c r="D285" s="106" t="s">
        <v>349</v>
      </c>
      <c r="E285">
        <v>3991</v>
      </c>
      <c r="F285" s="106" t="s">
        <v>2105</v>
      </c>
      <c r="G285" s="106" t="s">
        <v>362</v>
      </c>
      <c r="H285" s="106" t="s">
        <v>361</v>
      </c>
      <c r="I285" s="106">
        <v>186</v>
      </c>
      <c r="J285" s="106"/>
    </row>
    <row r="286" spans="1:10" x14ac:dyDescent="0.2">
      <c r="A286" s="106" t="s">
        <v>451</v>
      </c>
      <c r="B286" s="106" t="s">
        <v>347</v>
      </c>
      <c r="C286" s="106" t="s">
        <v>357</v>
      </c>
      <c r="D286" s="106" t="s">
        <v>349</v>
      </c>
      <c r="E286">
        <v>3994</v>
      </c>
      <c r="F286" s="106" t="s">
        <v>2106</v>
      </c>
      <c r="G286" s="106" t="s">
        <v>362</v>
      </c>
      <c r="H286" s="106" t="s">
        <v>361</v>
      </c>
      <c r="I286" t="s">
        <v>381</v>
      </c>
      <c r="J286" t="s">
        <v>2240</v>
      </c>
    </row>
    <row r="287" spans="1:10" x14ac:dyDescent="0.2">
      <c r="A287" s="106" t="s">
        <v>451</v>
      </c>
      <c r="B287" s="106" t="s">
        <v>347</v>
      </c>
      <c r="C287" s="106" t="s">
        <v>348</v>
      </c>
      <c r="D287" s="106" t="s">
        <v>353</v>
      </c>
      <c r="E287">
        <v>3996</v>
      </c>
      <c r="F287" s="106" t="s">
        <v>649</v>
      </c>
      <c r="G287" s="106" t="s">
        <v>350</v>
      </c>
      <c r="H287" s="106" t="s">
        <v>361</v>
      </c>
      <c r="I287" s="106">
        <v>222</v>
      </c>
      <c r="J287" s="106"/>
    </row>
    <row r="288" spans="1:10" x14ac:dyDescent="0.2">
      <c r="A288" s="106" t="s">
        <v>451</v>
      </c>
      <c r="B288" s="106" t="s">
        <v>347</v>
      </c>
      <c r="C288" s="106" t="s">
        <v>352</v>
      </c>
      <c r="D288" s="106" t="s">
        <v>349</v>
      </c>
      <c r="E288">
        <v>4397</v>
      </c>
      <c r="F288" s="106" t="s">
        <v>2107</v>
      </c>
      <c r="G288" s="106" t="s">
        <v>362</v>
      </c>
      <c r="H288" s="106" t="s">
        <v>361</v>
      </c>
      <c r="I288" s="106">
        <v>343</v>
      </c>
      <c r="J288" s="106"/>
    </row>
    <row r="289" spans="1:10" x14ac:dyDescent="0.2">
      <c r="A289" s="106" t="s">
        <v>451</v>
      </c>
      <c r="B289" s="106" t="s">
        <v>347</v>
      </c>
      <c r="C289" s="106" t="s">
        <v>348</v>
      </c>
      <c r="D289" s="106" t="s">
        <v>349</v>
      </c>
      <c r="E289">
        <v>4429</v>
      </c>
      <c r="F289" s="106" t="s">
        <v>630</v>
      </c>
      <c r="G289" s="106" t="s">
        <v>362</v>
      </c>
      <c r="H289" s="106" t="s">
        <v>361</v>
      </c>
      <c r="I289" s="106">
        <v>228</v>
      </c>
      <c r="J289" s="106"/>
    </row>
    <row r="290" spans="1:10" x14ac:dyDescent="0.2">
      <c r="A290" s="106" t="s">
        <v>451</v>
      </c>
      <c r="B290" s="106" t="s">
        <v>347</v>
      </c>
      <c r="C290" s="106" t="s">
        <v>348</v>
      </c>
      <c r="D290" s="106" t="s">
        <v>353</v>
      </c>
      <c r="E290">
        <v>4434</v>
      </c>
      <c r="F290" s="106" t="s">
        <v>651</v>
      </c>
      <c r="G290" s="106" t="s">
        <v>362</v>
      </c>
      <c r="H290" s="106" t="s">
        <v>361</v>
      </c>
      <c r="I290" s="106">
        <v>284</v>
      </c>
      <c r="J290" s="106"/>
    </row>
    <row r="291" spans="1:10" x14ac:dyDescent="0.2">
      <c r="A291" s="106" t="s">
        <v>451</v>
      </c>
      <c r="B291" s="106" t="s">
        <v>347</v>
      </c>
      <c r="C291" s="106" t="s">
        <v>359</v>
      </c>
      <c r="D291" s="106" t="s">
        <v>349</v>
      </c>
      <c r="E291">
        <v>4443</v>
      </c>
      <c r="F291" s="106" t="s">
        <v>632</v>
      </c>
      <c r="G291" s="106" t="s">
        <v>362</v>
      </c>
      <c r="H291" s="106" t="s">
        <v>361</v>
      </c>
      <c r="I291" s="106" t="s">
        <v>381</v>
      </c>
      <c r="J291" s="106" t="s">
        <v>2435</v>
      </c>
    </row>
    <row r="292" spans="1:10" x14ac:dyDescent="0.2">
      <c r="A292" s="106" t="s">
        <v>451</v>
      </c>
      <c r="B292" s="106" t="s">
        <v>347</v>
      </c>
      <c r="C292" s="106" t="s">
        <v>359</v>
      </c>
      <c r="D292" s="106" t="s">
        <v>349</v>
      </c>
      <c r="E292">
        <v>4577</v>
      </c>
      <c r="F292" s="106" t="s">
        <v>2108</v>
      </c>
      <c r="G292" s="106" t="s">
        <v>350</v>
      </c>
      <c r="H292" s="106" t="s">
        <v>395</v>
      </c>
      <c r="I292" s="106">
        <v>401</v>
      </c>
      <c r="J292" s="106"/>
    </row>
    <row r="293" spans="1:10" x14ac:dyDescent="0.2">
      <c r="A293" s="106" t="s">
        <v>451</v>
      </c>
      <c r="B293" s="106" t="s">
        <v>347</v>
      </c>
      <c r="C293" s="106" t="s">
        <v>357</v>
      </c>
      <c r="D293" s="106" t="s">
        <v>349</v>
      </c>
      <c r="E293">
        <v>4616</v>
      </c>
      <c r="F293" s="106" t="s">
        <v>2109</v>
      </c>
      <c r="G293" s="106" t="s">
        <v>358</v>
      </c>
      <c r="H293" s="106" t="s">
        <v>363</v>
      </c>
      <c r="I293" s="106">
        <v>14</v>
      </c>
      <c r="J293" s="106"/>
    </row>
    <row r="294" spans="1:10" x14ac:dyDescent="0.2">
      <c r="A294" s="106" t="s">
        <v>451</v>
      </c>
      <c r="B294" s="106" t="s">
        <v>347</v>
      </c>
      <c r="C294" s="106" t="s">
        <v>348</v>
      </c>
      <c r="D294" s="106" t="s">
        <v>349</v>
      </c>
      <c r="E294">
        <v>4645</v>
      </c>
      <c r="F294" s="106" t="s">
        <v>2110</v>
      </c>
      <c r="G294" s="106" t="s">
        <v>354</v>
      </c>
      <c r="H294" s="106" t="s">
        <v>355</v>
      </c>
      <c r="I294" s="106">
        <v>52</v>
      </c>
      <c r="J294" s="106"/>
    </row>
    <row r="295" spans="1:10" x14ac:dyDescent="0.2">
      <c r="A295" s="106" t="s">
        <v>451</v>
      </c>
      <c r="B295" s="106" t="s">
        <v>347</v>
      </c>
      <c r="C295" s="106" t="s">
        <v>352</v>
      </c>
      <c r="D295" s="106" t="s">
        <v>349</v>
      </c>
      <c r="E295">
        <v>4668</v>
      </c>
      <c r="F295" s="106" t="s">
        <v>458</v>
      </c>
      <c r="G295" s="106" t="s">
        <v>350</v>
      </c>
      <c r="H295" s="106" t="s">
        <v>355</v>
      </c>
      <c r="I295" s="106">
        <v>284</v>
      </c>
      <c r="J295" s="106"/>
    </row>
    <row r="296" spans="1:10" x14ac:dyDescent="0.2">
      <c r="A296" s="106" t="s">
        <v>451</v>
      </c>
      <c r="B296" s="106" t="s">
        <v>347</v>
      </c>
      <c r="C296" s="106" t="s">
        <v>352</v>
      </c>
      <c r="D296" s="106" t="s">
        <v>349</v>
      </c>
      <c r="E296">
        <v>4728</v>
      </c>
      <c r="F296" s="106" t="s">
        <v>2111</v>
      </c>
      <c r="G296" s="106" t="s">
        <v>350</v>
      </c>
      <c r="H296" s="106" t="s">
        <v>361</v>
      </c>
      <c r="I296" s="106">
        <v>70</v>
      </c>
      <c r="J296" s="106"/>
    </row>
    <row r="297" spans="1:10" x14ac:dyDescent="0.2">
      <c r="A297" s="106" t="s">
        <v>451</v>
      </c>
      <c r="B297" s="106" t="s">
        <v>347</v>
      </c>
      <c r="C297" s="106" t="s">
        <v>357</v>
      </c>
      <c r="D297" s="106" t="s">
        <v>349</v>
      </c>
      <c r="E297">
        <v>4992</v>
      </c>
      <c r="F297" s="106" t="s">
        <v>2112</v>
      </c>
      <c r="G297" s="106" t="s">
        <v>350</v>
      </c>
      <c r="H297" s="106" t="s">
        <v>363</v>
      </c>
      <c r="I297" s="106">
        <v>180</v>
      </c>
      <c r="J297" s="106"/>
    </row>
    <row r="298" spans="1:10" x14ac:dyDescent="0.2">
      <c r="A298" s="106" t="s">
        <v>451</v>
      </c>
      <c r="B298" s="106" t="s">
        <v>347</v>
      </c>
      <c r="C298" s="106" t="s">
        <v>348</v>
      </c>
      <c r="D298" s="106" t="s">
        <v>349</v>
      </c>
      <c r="E298">
        <v>5018</v>
      </c>
      <c r="F298" s="106" t="s">
        <v>2113</v>
      </c>
      <c r="G298" s="106" t="s">
        <v>350</v>
      </c>
      <c r="H298" s="106" t="s">
        <v>2114</v>
      </c>
      <c r="I298" s="106">
        <v>137</v>
      </c>
      <c r="J298" s="106"/>
    </row>
    <row r="299" spans="1:10" x14ac:dyDescent="0.2">
      <c r="A299" s="106" t="s">
        <v>451</v>
      </c>
      <c r="B299" s="106" t="s">
        <v>347</v>
      </c>
      <c r="C299" s="106" t="s">
        <v>348</v>
      </c>
      <c r="D299" s="106" t="s">
        <v>349</v>
      </c>
      <c r="E299">
        <v>5817</v>
      </c>
      <c r="F299" s="106" t="s">
        <v>2115</v>
      </c>
      <c r="G299" s="106" t="s">
        <v>358</v>
      </c>
      <c r="H299" s="106" t="s">
        <v>499</v>
      </c>
      <c r="I299" s="106">
        <v>18</v>
      </c>
      <c r="J299" s="106"/>
    </row>
    <row r="300" spans="1:10" x14ac:dyDescent="0.2">
      <c r="A300" s="106" t="s">
        <v>451</v>
      </c>
      <c r="B300" s="106" t="s">
        <v>347</v>
      </c>
      <c r="C300" s="106" t="s">
        <v>359</v>
      </c>
      <c r="D300" s="106" t="s">
        <v>349</v>
      </c>
      <c r="E300">
        <v>5967</v>
      </c>
      <c r="F300" s="106" t="s">
        <v>653</v>
      </c>
      <c r="G300" s="106" t="s">
        <v>358</v>
      </c>
      <c r="H300" s="106" t="s">
        <v>365</v>
      </c>
      <c r="I300">
        <v>61</v>
      </c>
    </row>
    <row r="301" spans="1:10" x14ac:dyDescent="0.2">
      <c r="A301" s="106" t="s">
        <v>451</v>
      </c>
      <c r="B301" s="106" t="s">
        <v>347</v>
      </c>
      <c r="C301" s="106" t="s">
        <v>359</v>
      </c>
      <c r="D301" s="106" t="s">
        <v>349</v>
      </c>
      <c r="E301">
        <v>6044</v>
      </c>
      <c r="F301" s="106" t="s">
        <v>2116</v>
      </c>
      <c r="G301" s="106" t="s">
        <v>350</v>
      </c>
      <c r="H301" s="106" t="s">
        <v>355</v>
      </c>
      <c r="I301" s="106">
        <v>59</v>
      </c>
      <c r="J301" s="106"/>
    </row>
    <row r="302" spans="1:10" x14ac:dyDescent="0.2">
      <c r="A302" s="106" t="s">
        <v>451</v>
      </c>
      <c r="B302" s="106" t="s">
        <v>347</v>
      </c>
      <c r="C302" s="106" t="s">
        <v>359</v>
      </c>
      <c r="D302" s="106" t="s">
        <v>349</v>
      </c>
      <c r="E302">
        <v>6047</v>
      </c>
      <c r="F302" s="106" t="s">
        <v>2117</v>
      </c>
      <c r="G302" s="106" t="s">
        <v>350</v>
      </c>
      <c r="H302" s="106" t="s">
        <v>355</v>
      </c>
      <c r="I302" s="106">
        <v>365</v>
      </c>
      <c r="J302" s="106"/>
    </row>
    <row r="303" spans="1:10" x14ac:dyDescent="0.2">
      <c r="A303" s="106" t="s">
        <v>451</v>
      </c>
      <c r="B303" s="106" t="s">
        <v>347</v>
      </c>
      <c r="C303" s="106" t="s">
        <v>352</v>
      </c>
      <c r="D303" s="106" t="s">
        <v>349</v>
      </c>
      <c r="E303">
        <v>6048</v>
      </c>
      <c r="F303" s="106" t="s">
        <v>2118</v>
      </c>
      <c r="G303" s="106" t="s">
        <v>350</v>
      </c>
      <c r="H303" s="106" t="s">
        <v>355</v>
      </c>
      <c r="I303" s="106">
        <v>50</v>
      </c>
      <c r="J303" s="106"/>
    </row>
    <row r="304" spans="1:10" x14ac:dyDescent="0.2">
      <c r="A304" s="106" t="s">
        <v>451</v>
      </c>
      <c r="B304" s="106" t="s">
        <v>347</v>
      </c>
      <c r="C304" s="106" t="s">
        <v>348</v>
      </c>
      <c r="D304" s="106" t="s">
        <v>349</v>
      </c>
      <c r="E304">
        <v>6070</v>
      </c>
      <c r="F304" s="106" t="s">
        <v>2119</v>
      </c>
      <c r="G304" s="106" t="s">
        <v>350</v>
      </c>
      <c r="H304" s="106" t="s">
        <v>355</v>
      </c>
      <c r="I304" s="106">
        <v>75</v>
      </c>
      <c r="J304" s="106"/>
    </row>
    <row r="305" spans="1:10" x14ac:dyDescent="0.2">
      <c r="A305" s="106" t="s">
        <v>451</v>
      </c>
      <c r="B305" s="106" t="s">
        <v>347</v>
      </c>
      <c r="C305" s="106" t="s">
        <v>348</v>
      </c>
      <c r="D305" s="106" t="s">
        <v>349</v>
      </c>
      <c r="E305">
        <v>6086</v>
      </c>
      <c r="F305" s="106" t="s">
        <v>2120</v>
      </c>
      <c r="G305" s="106" t="s">
        <v>362</v>
      </c>
      <c r="H305" s="106" t="s">
        <v>355</v>
      </c>
      <c r="I305">
        <v>120</v>
      </c>
    </row>
    <row r="306" spans="1:10" x14ac:dyDescent="0.2">
      <c r="A306" s="106" t="s">
        <v>451</v>
      </c>
      <c r="B306" s="106" t="s">
        <v>347</v>
      </c>
      <c r="C306" s="106" t="s">
        <v>348</v>
      </c>
      <c r="D306" s="106" t="s">
        <v>349</v>
      </c>
      <c r="E306">
        <v>6173</v>
      </c>
      <c r="F306" s="106" t="s">
        <v>654</v>
      </c>
      <c r="G306" s="106" t="s">
        <v>362</v>
      </c>
      <c r="H306" s="106" t="s">
        <v>355</v>
      </c>
      <c r="I306" s="106">
        <v>23</v>
      </c>
      <c r="J306" s="106"/>
    </row>
    <row r="307" spans="1:10" x14ac:dyDescent="0.2">
      <c r="A307" s="106" t="s">
        <v>451</v>
      </c>
      <c r="B307" s="106" t="s">
        <v>347</v>
      </c>
      <c r="C307" s="106" t="s">
        <v>348</v>
      </c>
      <c r="D307" s="106" t="s">
        <v>349</v>
      </c>
      <c r="E307">
        <v>6182</v>
      </c>
      <c r="F307" s="106" t="s">
        <v>2121</v>
      </c>
      <c r="G307" s="106" t="s">
        <v>362</v>
      </c>
      <c r="H307" s="106" t="s">
        <v>355</v>
      </c>
      <c r="I307" s="106">
        <v>386</v>
      </c>
      <c r="J307" s="106"/>
    </row>
    <row r="308" spans="1:10" x14ac:dyDescent="0.2">
      <c r="A308" s="106" t="s">
        <v>451</v>
      </c>
      <c r="B308" s="106" t="s">
        <v>347</v>
      </c>
      <c r="C308" s="106" t="s">
        <v>352</v>
      </c>
      <c r="D308" s="106" t="s">
        <v>349</v>
      </c>
      <c r="E308">
        <v>6199</v>
      </c>
      <c r="F308" s="106" t="s">
        <v>2122</v>
      </c>
      <c r="G308" s="106" t="s">
        <v>350</v>
      </c>
      <c r="H308" s="106" t="s">
        <v>355</v>
      </c>
      <c r="I308">
        <v>109</v>
      </c>
    </row>
    <row r="309" spans="1:10" x14ac:dyDescent="0.2">
      <c r="A309" s="106" t="s">
        <v>451</v>
      </c>
      <c r="B309" s="106" t="s">
        <v>347</v>
      </c>
      <c r="C309" s="106" t="s">
        <v>359</v>
      </c>
      <c r="D309" s="106" t="s">
        <v>349</v>
      </c>
      <c r="E309">
        <v>6505</v>
      </c>
      <c r="F309" s="106" t="s">
        <v>2123</v>
      </c>
      <c r="G309" s="106" t="s">
        <v>350</v>
      </c>
      <c r="H309" s="106" t="s">
        <v>375</v>
      </c>
      <c r="I309" s="106">
        <v>157</v>
      </c>
      <c r="J309" s="106"/>
    </row>
    <row r="310" spans="1:10" x14ac:dyDescent="0.2">
      <c r="A310" s="106" t="s">
        <v>451</v>
      </c>
      <c r="B310" s="106" t="s">
        <v>347</v>
      </c>
      <c r="C310" s="106" t="s">
        <v>348</v>
      </c>
      <c r="D310" s="106" t="s">
        <v>353</v>
      </c>
      <c r="E310">
        <v>6532</v>
      </c>
      <c r="F310" s="106" t="s">
        <v>449</v>
      </c>
      <c r="G310" s="106" t="s">
        <v>350</v>
      </c>
      <c r="H310" s="106" t="s">
        <v>355</v>
      </c>
      <c r="I310" s="106">
        <v>841</v>
      </c>
      <c r="J310" s="106"/>
    </row>
    <row r="311" spans="1:10" x14ac:dyDescent="0.2">
      <c r="A311" s="106" t="s">
        <v>451</v>
      </c>
      <c r="B311" s="106" t="s">
        <v>347</v>
      </c>
      <c r="C311" s="106" t="s">
        <v>348</v>
      </c>
      <c r="D311" s="106" t="s">
        <v>349</v>
      </c>
      <c r="E311">
        <v>6543</v>
      </c>
      <c r="F311" s="106" t="s">
        <v>656</v>
      </c>
      <c r="G311" s="106" t="s">
        <v>354</v>
      </c>
      <c r="H311" s="106" t="s">
        <v>355</v>
      </c>
      <c r="I311">
        <v>27</v>
      </c>
    </row>
    <row r="312" spans="1:10" x14ac:dyDescent="0.2">
      <c r="A312" s="106" t="s">
        <v>451</v>
      </c>
      <c r="B312" s="106" t="s">
        <v>347</v>
      </c>
      <c r="C312" s="106" t="s">
        <v>357</v>
      </c>
      <c r="D312" s="106" t="s">
        <v>353</v>
      </c>
      <c r="E312">
        <v>6558</v>
      </c>
      <c r="F312" s="106" t="s">
        <v>2124</v>
      </c>
      <c r="G312" s="106" t="s">
        <v>362</v>
      </c>
      <c r="H312" s="106" t="s">
        <v>355</v>
      </c>
      <c r="I312">
        <v>63</v>
      </c>
    </row>
    <row r="313" spans="1:10" x14ac:dyDescent="0.2">
      <c r="A313" s="106" t="s">
        <v>451</v>
      </c>
      <c r="B313" s="106" t="s">
        <v>347</v>
      </c>
      <c r="C313" s="106" t="s">
        <v>348</v>
      </c>
      <c r="D313" s="106" t="s">
        <v>349</v>
      </c>
      <c r="E313">
        <v>6572</v>
      </c>
      <c r="F313" s="106" t="s">
        <v>2125</v>
      </c>
      <c r="G313" s="106" t="s">
        <v>350</v>
      </c>
      <c r="H313" s="106" t="s">
        <v>355</v>
      </c>
      <c r="I313">
        <v>653</v>
      </c>
    </row>
    <row r="314" spans="1:10" x14ac:dyDescent="0.2">
      <c r="A314" s="106" t="s">
        <v>451</v>
      </c>
      <c r="B314" s="106" t="s">
        <v>347</v>
      </c>
      <c r="C314" s="106" t="s">
        <v>348</v>
      </c>
      <c r="D314" s="106" t="s">
        <v>349</v>
      </c>
      <c r="E314">
        <v>6578</v>
      </c>
      <c r="F314" s="106" t="s">
        <v>466</v>
      </c>
      <c r="G314" s="106" t="s">
        <v>358</v>
      </c>
      <c r="H314" s="106" t="s">
        <v>355</v>
      </c>
      <c r="I314" s="106">
        <v>28</v>
      </c>
      <c r="J314" s="106"/>
    </row>
    <row r="315" spans="1:10" x14ac:dyDescent="0.2">
      <c r="A315" s="106" t="s">
        <v>451</v>
      </c>
      <c r="B315" s="106" t="s">
        <v>347</v>
      </c>
      <c r="C315" s="106" t="s">
        <v>348</v>
      </c>
      <c r="D315" s="106" t="s">
        <v>349</v>
      </c>
      <c r="E315">
        <v>6814</v>
      </c>
      <c r="F315" s="106" t="s">
        <v>459</v>
      </c>
      <c r="G315" s="106" t="s">
        <v>350</v>
      </c>
      <c r="H315" s="106" t="s">
        <v>375</v>
      </c>
      <c r="I315" s="106">
        <v>440</v>
      </c>
      <c r="J315" s="106"/>
    </row>
    <row r="316" spans="1:10" x14ac:dyDescent="0.2">
      <c r="A316" s="106" t="s">
        <v>451</v>
      </c>
      <c r="B316" s="106" t="s">
        <v>347</v>
      </c>
      <c r="C316" s="106" t="s">
        <v>352</v>
      </c>
      <c r="D316" s="106" t="s">
        <v>353</v>
      </c>
      <c r="E316">
        <v>7035</v>
      </c>
      <c r="F316" s="106" t="s">
        <v>2126</v>
      </c>
      <c r="G316" s="106" t="s">
        <v>362</v>
      </c>
      <c r="H316" s="106" t="s">
        <v>355</v>
      </c>
      <c r="I316" s="106">
        <v>218</v>
      </c>
      <c r="J316" s="106"/>
    </row>
    <row r="317" spans="1:10" x14ac:dyDescent="0.2">
      <c r="A317" s="106" t="s">
        <v>451</v>
      </c>
      <c r="B317" s="106" t="s">
        <v>347</v>
      </c>
      <c r="C317" s="106" t="s">
        <v>348</v>
      </c>
      <c r="D317" s="106" t="s">
        <v>349</v>
      </c>
      <c r="E317">
        <v>7049</v>
      </c>
      <c r="F317" s="106" t="s">
        <v>657</v>
      </c>
      <c r="G317" s="106" t="s">
        <v>362</v>
      </c>
      <c r="H317" s="106" t="s">
        <v>355</v>
      </c>
      <c r="I317" s="106">
        <v>116</v>
      </c>
      <c r="J317" s="106"/>
    </row>
    <row r="318" spans="1:10" x14ac:dyDescent="0.2">
      <c r="A318" s="106" t="s">
        <v>451</v>
      </c>
      <c r="B318" s="106" t="s">
        <v>347</v>
      </c>
      <c r="C318" s="106" t="s">
        <v>352</v>
      </c>
      <c r="D318" s="106" t="s">
        <v>349</v>
      </c>
      <c r="E318">
        <v>7065</v>
      </c>
      <c r="F318" s="106" t="s">
        <v>659</v>
      </c>
      <c r="G318" s="106" t="s">
        <v>358</v>
      </c>
      <c r="H318" s="106" t="s">
        <v>355</v>
      </c>
      <c r="I318">
        <v>175</v>
      </c>
    </row>
    <row r="319" spans="1:10" x14ac:dyDescent="0.2">
      <c r="A319" s="106" t="s">
        <v>451</v>
      </c>
      <c r="B319" s="106" t="s">
        <v>347</v>
      </c>
      <c r="C319" s="106" t="s">
        <v>352</v>
      </c>
      <c r="D319" s="106" t="s">
        <v>349</v>
      </c>
      <c r="E319">
        <v>7445</v>
      </c>
      <c r="F319" s="106" t="s">
        <v>2127</v>
      </c>
      <c r="G319" s="106" t="s">
        <v>350</v>
      </c>
      <c r="H319" s="106" t="s">
        <v>360</v>
      </c>
      <c r="I319" s="106">
        <v>182</v>
      </c>
      <c r="J319" s="106"/>
    </row>
    <row r="320" spans="1:10" x14ac:dyDescent="0.2">
      <c r="A320" s="106" t="s">
        <v>451</v>
      </c>
      <c r="B320" s="106" t="s">
        <v>347</v>
      </c>
      <c r="C320" s="106" t="s">
        <v>348</v>
      </c>
      <c r="D320" s="106" t="s">
        <v>349</v>
      </c>
      <c r="E320">
        <v>7515</v>
      </c>
      <c r="F320" s="106" t="s">
        <v>2128</v>
      </c>
      <c r="G320" s="106" t="s">
        <v>358</v>
      </c>
      <c r="H320" s="106" t="s">
        <v>360</v>
      </c>
      <c r="I320" s="106">
        <v>24</v>
      </c>
      <c r="J320" s="106"/>
    </row>
    <row r="321" spans="1:10" x14ac:dyDescent="0.2">
      <c r="A321" s="106" t="s">
        <v>451</v>
      </c>
      <c r="B321" s="106" t="s">
        <v>347</v>
      </c>
      <c r="C321" s="106" t="s">
        <v>348</v>
      </c>
      <c r="D321" s="106" t="s">
        <v>349</v>
      </c>
      <c r="E321">
        <v>7599</v>
      </c>
      <c r="F321" s="106" t="s">
        <v>2129</v>
      </c>
      <c r="G321" s="106" t="s">
        <v>350</v>
      </c>
      <c r="H321" s="106" t="s">
        <v>356</v>
      </c>
      <c r="I321" s="106">
        <v>670</v>
      </c>
      <c r="J321" s="106"/>
    </row>
    <row r="322" spans="1:10" x14ac:dyDescent="0.2">
      <c r="A322" s="106" t="s">
        <v>451</v>
      </c>
      <c r="B322" s="106" t="s">
        <v>347</v>
      </c>
      <c r="C322" s="106" t="s">
        <v>348</v>
      </c>
      <c r="D322" s="106" t="s">
        <v>349</v>
      </c>
      <c r="E322">
        <v>7608</v>
      </c>
      <c r="F322" s="106" t="s">
        <v>2130</v>
      </c>
      <c r="G322" s="106" t="s">
        <v>350</v>
      </c>
      <c r="H322" s="106" t="s">
        <v>356</v>
      </c>
      <c r="I322" s="106">
        <v>37</v>
      </c>
      <c r="J322" s="106"/>
    </row>
    <row r="323" spans="1:10" x14ac:dyDescent="0.2">
      <c r="A323" s="106" t="s">
        <v>451</v>
      </c>
      <c r="B323" s="106" t="s">
        <v>347</v>
      </c>
      <c r="C323" s="106" t="s">
        <v>348</v>
      </c>
      <c r="D323" s="106" t="s">
        <v>349</v>
      </c>
      <c r="E323">
        <v>7719</v>
      </c>
      <c r="F323" s="106" t="s">
        <v>460</v>
      </c>
      <c r="G323" s="106" t="s">
        <v>358</v>
      </c>
      <c r="H323" s="106" t="s">
        <v>461</v>
      </c>
      <c r="I323" s="106">
        <v>18</v>
      </c>
      <c r="J323" s="106"/>
    </row>
    <row r="324" spans="1:10" x14ac:dyDescent="0.2">
      <c r="A324" s="106" t="s">
        <v>451</v>
      </c>
      <c r="B324" s="106" t="s">
        <v>347</v>
      </c>
      <c r="C324" s="106" t="s">
        <v>359</v>
      </c>
      <c r="D324" s="106" t="s">
        <v>349</v>
      </c>
      <c r="E324">
        <v>7808</v>
      </c>
      <c r="F324" s="106" t="s">
        <v>2131</v>
      </c>
      <c r="G324" s="106" t="s">
        <v>354</v>
      </c>
      <c r="H324" s="106" t="s">
        <v>372</v>
      </c>
      <c r="I324" s="106">
        <v>21</v>
      </c>
      <c r="J324" s="106"/>
    </row>
    <row r="325" spans="1:10" x14ac:dyDescent="0.2">
      <c r="A325" s="106" t="s">
        <v>451</v>
      </c>
      <c r="B325" s="106" t="s">
        <v>347</v>
      </c>
      <c r="C325" s="106" t="s">
        <v>348</v>
      </c>
      <c r="D325" s="106" t="s">
        <v>349</v>
      </c>
      <c r="E325">
        <v>7811</v>
      </c>
      <c r="F325" s="106" t="s">
        <v>661</v>
      </c>
      <c r="G325" s="106" t="s">
        <v>350</v>
      </c>
      <c r="H325" s="106" t="s">
        <v>372</v>
      </c>
      <c r="I325" s="106">
        <v>128</v>
      </c>
      <c r="J325" s="106"/>
    </row>
    <row r="326" spans="1:10" x14ac:dyDescent="0.2">
      <c r="A326" s="106" t="s">
        <v>451</v>
      </c>
      <c r="B326" s="106" t="s">
        <v>347</v>
      </c>
      <c r="C326" s="106" t="s">
        <v>348</v>
      </c>
      <c r="D326" s="106" t="s">
        <v>353</v>
      </c>
      <c r="E326">
        <v>8181</v>
      </c>
      <c r="F326" s="106" t="s">
        <v>2132</v>
      </c>
      <c r="G326" s="106" t="s">
        <v>350</v>
      </c>
      <c r="H326" s="106" t="s">
        <v>360</v>
      </c>
      <c r="I326">
        <v>33</v>
      </c>
    </row>
    <row r="327" spans="1:10" x14ac:dyDescent="0.2">
      <c r="A327" s="106" t="s">
        <v>451</v>
      </c>
      <c r="B327" s="106" t="s">
        <v>347</v>
      </c>
      <c r="C327" s="106" t="s">
        <v>348</v>
      </c>
      <c r="D327" s="106" t="s">
        <v>349</v>
      </c>
      <c r="E327">
        <v>8254</v>
      </c>
      <c r="F327" s="106" t="s">
        <v>2133</v>
      </c>
      <c r="G327" s="106" t="s">
        <v>358</v>
      </c>
      <c r="H327" s="106" t="s">
        <v>360</v>
      </c>
      <c r="I327" s="106">
        <v>10</v>
      </c>
      <c r="J327" s="106"/>
    </row>
    <row r="328" spans="1:10" x14ac:dyDescent="0.2">
      <c r="A328" s="106" t="s">
        <v>451</v>
      </c>
      <c r="B328" s="106" t="s">
        <v>347</v>
      </c>
      <c r="C328" s="106" t="s">
        <v>348</v>
      </c>
      <c r="D328" s="106" t="s">
        <v>349</v>
      </c>
      <c r="E328">
        <v>8257</v>
      </c>
      <c r="F328" s="106" t="s">
        <v>2134</v>
      </c>
      <c r="G328" s="106" t="s">
        <v>354</v>
      </c>
      <c r="H328" s="106" t="s">
        <v>360</v>
      </c>
      <c r="I328">
        <v>17</v>
      </c>
    </row>
    <row r="329" spans="1:10" x14ac:dyDescent="0.2">
      <c r="A329" s="106" t="s">
        <v>451</v>
      </c>
      <c r="B329" s="106" t="s">
        <v>347</v>
      </c>
      <c r="C329" s="106" t="s">
        <v>359</v>
      </c>
      <c r="D329" s="106" t="s">
        <v>349</v>
      </c>
      <c r="E329">
        <v>8940</v>
      </c>
      <c r="F329" s="106" t="s">
        <v>2135</v>
      </c>
      <c r="G329" s="106" t="s">
        <v>350</v>
      </c>
      <c r="H329" s="106" t="s">
        <v>376</v>
      </c>
      <c r="I329">
        <v>64</v>
      </c>
    </row>
    <row r="330" spans="1:10" x14ac:dyDescent="0.2">
      <c r="A330" s="106" t="s">
        <v>451</v>
      </c>
      <c r="B330" s="106" t="s">
        <v>347</v>
      </c>
      <c r="C330" s="106" t="s">
        <v>352</v>
      </c>
      <c r="D330" s="106" t="s">
        <v>349</v>
      </c>
      <c r="E330">
        <v>9264</v>
      </c>
      <c r="F330" s="106" t="s">
        <v>2136</v>
      </c>
      <c r="G330" s="106" t="s">
        <v>354</v>
      </c>
      <c r="H330" s="106" t="s">
        <v>356</v>
      </c>
      <c r="I330" s="106">
        <v>52</v>
      </c>
      <c r="J330" s="106"/>
    </row>
    <row r="331" spans="1:10" x14ac:dyDescent="0.2">
      <c r="A331" s="106" t="s">
        <v>451</v>
      </c>
      <c r="B331" s="106" t="s">
        <v>347</v>
      </c>
      <c r="C331" s="106" t="s">
        <v>352</v>
      </c>
      <c r="D331" s="106" t="s">
        <v>349</v>
      </c>
      <c r="E331">
        <v>9270</v>
      </c>
      <c r="F331" s="106" t="s">
        <v>2137</v>
      </c>
      <c r="G331" s="106" t="s">
        <v>362</v>
      </c>
      <c r="H331" s="106" t="s">
        <v>356</v>
      </c>
      <c r="I331" s="106">
        <v>334</v>
      </c>
      <c r="J331" s="106"/>
    </row>
    <row r="332" spans="1:10" x14ac:dyDescent="0.2">
      <c r="A332" s="106" t="s">
        <v>451</v>
      </c>
      <c r="B332" s="106" t="s">
        <v>347</v>
      </c>
      <c r="C332" s="106" t="s">
        <v>348</v>
      </c>
      <c r="D332" s="106" t="s">
        <v>349</v>
      </c>
      <c r="E332">
        <v>9275</v>
      </c>
      <c r="F332" s="106" t="s">
        <v>2138</v>
      </c>
      <c r="G332" s="106" t="s">
        <v>350</v>
      </c>
      <c r="H332" s="106" t="s">
        <v>360</v>
      </c>
      <c r="I332" s="106">
        <v>140</v>
      </c>
      <c r="J332" s="106"/>
    </row>
    <row r="333" spans="1:10" x14ac:dyDescent="0.2">
      <c r="A333" s="106" t="s">
        <v>451</v>
      </c>
      <c r="B333" s="106" t="s">
        <v>347</v>
      </c>
      <c r="C333" s="106" t="s">
        <v>348</v>
      </c>
      <c r="D333" s="106" t="s">
        <v>349</v>
      </c>
      <c r="E333">
        <v>9601</v>
      </c>
      <c r="F333" s="106" t="s">
        <v>2139</v>
      </c>
      <c r="G333" s="106" t="s">
        <v>350</v>
      </c>
      <c r="H333" s="106" t="s">
        <v>361</v>
      </c>
      <c r="I333" t="s">
        <v>373</v>
      </c>
      <c r="J333" t="s">
        <v>2266</v>
      </c>
    </row>
    <row r="334" spans="1:10" x14ac:dyDescent="0.2">
      <c r="A334" s="106" t="s">
        <v>451</v>
      </c>
      <c r="B334" s="106" t="s">
        <v>347</v>
      </c>
      <c r="C334" s="106" t="s">
        <v>348</v>
      </c>
      <c r="D334" s="106" t="s">
        <v>349</v>
      </c>
      <c r="E334">
        <v>9602</v>
      </c>
      <c r="F334" s="106" t="s">
        <v>462</v>
      </c>
      <c r="G334" s="106" t="s">
        <v>350</v>
      </c>
      <c r="H334" s="106" t="s">
        <v>361</v>
      </c>
      <c r="I334" s="106" t="s">
        <v>463</v>
      </c>
      <c r="J334" s="106" t="s">
        <v>2436</v>
      </c>
    </row>
    <row r="335" spans="1:10" x14ac:dyDescent="0.2">
      <c r="A335" s="106" t="s">
        <v>451</v>
      </c>
      <c r="B335" s="106" t="s">
        <v>347</v>
      </c>
      <c r="C335" s="106" t="s">
        <v>357</v>
      </c>
      <c r="D335" s="106" t="s">
        <v>349</v>
      </c>
      <c r="E335">
        <v>9837</v>
      </c>
      <c r="F335" s="106" t="s">
        <v>2140</v>
      </c>
      <c r="G335" s="106" t="s">
        <v>350</v>
      </c>
      <c r="H335" s="106" t="s">
        <v>356</v>
      </c>
      <c r="I335" s="106">
        <v>249</v>
      </c>
      <c r="J335" s="106"/>
    </row>
    <row r="336" spans="1:10" x14ac:dyDescent="0.2">
      <c r="A336" s="106" t="s">
        <v>451</v>
      </c>
      <c r="B336" s="106" t="s">
        <v>347</v>
      </c>
      <c r="C336" s="106" t="s">
        <v>348</v>
      </c>
      <c r="D336" s="106" t="s">
        <v>349</v>
      </c>
      <c r="E336">
        <v>9945</v>
      </c>
      <c r="F336" s="106" t="s">
        <v>856</v>
      </c>
      <c r="G336" s="106" t="s">
        <v>350</v>
      </c>
      <c r="H336" s="106" t="s">
        <v>360</v>
      </c>
      <c r="I336" s="106">
        <v>856</v>
      </c>
      <c r="J336" s="106"/>
    </row>
    <row r="337" spans="1:10" x14ac:dyDescent="0.2">
      <c r="A337" s="106" t="s">
        <v>451</v>
      </c>
      <c r="B337" s="106" t="s">
        <v>347</v>
      </c>
      <c r="C337" s="106" t="s">
        <v>357</v>
      </c>
      <c r="D337" s="106" t="s">
        <v>349</v>
      </c>
      <c r="E337">
        <v>9972</v>
      </c>
      <c r="F337" s="106" t="s">
        <v>2141</v>
      </c>
      <c r="G337" s="106" t="s">
        <v>350</v>
      </c>
      <c r="H337" s="106" t="s">
        <v>356</v>
      </c>
      <c r="I337" s="106">
        <v>45</v>
      </c>
      <c r="J337" s="106"/>
    </row>
    <row r="338" spans="1:10" x14ac:dyDescent="0.2">
      <c r="A338" s="106" t="s">
        <v>451</v>
      </c>
      <c r="B338" s="106" t="s">
        <v>347</v>
      </c>
      <c r="C338" s="106" t="s">
        <v>352</v>
      </c>
      <c r="D338" s="106" t="s">
        <v>349</v>
      </c>
      <c r="E338">
        <v>9979</v>
      </c>
      <c r="F338" s="106" t="s">
        <v>2142</v>
      </c>
      <c r="G338" s="106" t="s">
        <v>350</v>
      </c>
      <c r="H338" s="106" t="s">
        <v>360</v>
      </c>
      <c r="I338">
        <v>350</v>
      </c>
    </row>
    <row r="339" spans="1:10" x14ac:dyDescent="0.2">
      <c r="A339" s="106" t="s">
        <v>464</v>
      </c>
      <c r="B339" s="106" t="s">
        <v>347</v>
      </c>
      <c r="C339" s="106" t="s">
        <v>357</v>
      </c>
      <c r="D339" s="106" t="s">
        <v>349</v>
      </c>
      <c r="E339">
        <v>3201</v>
      </c>
      <c r="F339" s="106" t="s">
        <v>2143</v>
      </c>
      <c r="G339" s="106" t="s">
        <v>350</v>
      </c>
      <c r="H339" s="106" t="s">
        <v>383</v>
      </c>
      <c r="I339" s="106">
        <v>994</v>
      </c>
      <c r="J339" s="106"/>
    </row>
    <row r="340" spans="1:10" x14ac:dyDescent="0.2">
      <c r="A340" s="106" t="s">
        <v>464</v>
      </c>
      <c r="B340" s="106" t="s">
        <v>347</v>
      </c>
      <c r="C340" s="106" t="s">
        <v>357</v>
      </c>
      <c r="D340" s="106" t="s">
        <v>349</v>
      </c>
      <c r="E340">
        <v>3907</v>
      </c>
      <c r="F340" s="106" t="s">
        <v>465</v>
      </c>
      <c r="G340" s="106" t="s">
        <v>362</v>
      </c>
      <c r="H340" s="106" t="s">
        <v>361</v>
      </c>
      <c r="I340">
        <v>49</v>
      </c>
    </row>
    <row r="341" spans="1:10" x14ac:dyDescent="0.2">
      <c r="A341" s="106" t="s">
        <v>464</v>
      </c>
      <c r="B341" s="106" t="s">
        <v>347</v>
      </c>
      <c r="C341" s="106" t="s">
        <v>357</v>
      </c>
      <c r="D341" s="106" t="s">
        <v>349</v>
      </c>
      <c r="E341">
        <v>4361</v>
      </c>
      <c r="F341" s="106" t="s">
        <v>2144</v>
      </c>
      <c r="G341" s="106" t="s">
        <v>358</v>
      </c>
      <c r="H341" s="106" t="s">
        <v>363</v>
      </c>
      <c r="I341" s="106">
        <v>12</v>
      </c>
      <c r="J341" s="106"/>
    </row>
    <row r="342" spans="1:10" x14ac:dyDescent="0.2">
      <c r="A342" s="106" t="s">
        <v>464</v>
      </c>
      <c r="B342" s="106" t="s">
        <v>347</v>
      </c>
      <c r="C342" s="106" t="s">
        <v>357</v>
      </c>
      <c r="D342" s="106" t="s">
        <v>353</v>
      </c>
      <c r="E342">
        <v>4673</v>
      </c>
      <c r="F342" s="106" t="s">
        <v>2145</v>
      </c>
      <c r="G342" s="106" t="s">
        <v>354</v>
      </c>
      <c r="H342" s="106" t="s">
        <v>355</v>
      </c>
      <c r="I342" s="106">
        <v>22</v>
      </c>
      <c r="J342" s="106"/>
    </row>
    <row r="343" spans="1:10" x14ac:dyDescent="0.2">
      <c r="A343" s="106" t="s">
        <v>464</v>
      </c>
      <c r="B343" s="106" t="s">
        <v>347</v>
      </c>
      <c r="C343" s="106" t="s">
        <v>357</v>
      </c>
      <c r="D343" s="106" t="s">
        <v>349</v>
      </c>
      <c r="E343">
        <v>6064</v>
      </c>
      <c r="F343" s="106" t="s">
        <v>2146</v>
      </c>
      <c r="G343" s="106" t="s">
        <v>362</v>
      </c>
      <c r="H343" s="106" t="s">
        <v>355</v>
      </c>
      <c r="I343" s="106">
        <v>124</v>
      </c>
      <c r="J343" s="106"/>
    </row>
    <row r="344" spans="1:10" x14ac:dyDescent="0.2">
      <c r="A344" s="106" t="s">
        <v>464</v>
      </c>
      <c r="B344" s="106" t="s">
        <v>347</v>
      </c>
      <c r="C344" s="106" t="s">
        <v>357</v>
      </c>
      <c r="D344" s="106" t="s">
        <v>349</v>
      </c>
      <c r="E344">
        <v>6474</v>
      </c>
      <c r="F344" s="106" t="s">
        <v>2147</v>
      </c>
      <c r="G344" s="106" t="s">
        <v>350</v>
      </c>
      <c r="H344" s="106" t="s">
        <v>371</v>
      </c>
      <c r="I344" s="106" t="s">
        <v>381</v>
      </c>
      <c r="J344" s="106" t="s">
        <v>2249</v>
      </c>
    </row>
    <row r="345" spans="1:10" x14ac:dyDescent="0.2">
      <c r="A345" s="106" t="s">
        <v>464</v>
      </c>
      <c r="B345" s="106" t="s">
        <v>347</v>
      </c>
      <c r="C345" s="106" t="s">
        <v>357</v>
      </c>
      <c r="D345" s="106" t="s">
        <v>349</v>
      </c>
      <c r="E345">
        <v>7594</v>
      </c>
      <c r="F345" s="106" t="s">
        <v>2148</v>
      </c>
      <c r="G345" s="106" t="s">
        <v>350</v>
      </c>
      <c r="H345" s="106" t="s">
        <v>356</v>
      </c>
      <c r="I345" s="106">
        <v>223</v>
      </c>
      <c r="J345" s="106"/>
    </row>
    <row r="346" spans="1:10" x14ac:dyDescent="0.2">
      <c r="A346" s="106" t="s">
        <v>464</v>
      </c>
      <c r="B346" s="106" t="s">
        <v>347</v>
      </c>
      <c r="C346" s="106" t="s">
        <v>348</v>
      </c>
      <c r="D346" s="106" t="s">
        <v>353</v>
      </c>
      <c r="E346">
        <v>7610</v>
      </c>
      <c r="F346" s="106" t="s">
        <v>467</v>
      </c>
      <c r="G346" s="106" t="s">
        <v>354</v>
      </c>
      <c r="H346" s="106" t="s">
        <v>360</v>
      </c>
      <c r="I346" s="106">
        <v>25</v>
      </c>
      <c r="J346" s="106"/>
    </row>
    <row r="347" spans="1:10" x14ac:dyDescent="0.2">
      <c r="A347" s="106" t="s">
        <v>464</v>
      </c>
      <c r="B347" s="106" t="s">
        <v>347</v>
      </c>
      <c r="C347" s="106" t="s">
        <v>357</v>
      </c>
      <c r="D347" s="106" t="s">
        <v>349</v>
      </c>
      <c r="E347">
        <v>7879</v>
      </c>
      <c r="F347" s="106" t="s">
        <v>2149</v>
      </c>
      <c r="G347" s="106" t="s">
        <v>358</v>
      </c>
      <c r="H347" s="106" t="s">
        <v>372</v>
      </c>
      <c r="I347" s="106">
        <v>155</v>
      </c>
      <c r="J347" s="106"/>
    </row>
    <row r="348" spans="1:10" x14ac:dyDescent="0.2">
      <c r="A348" s="106" t="s">
        <v>464</v>
      </c>
      <c r="B348" s="106" t="s">
        <v>347</v>
      </c>
      <c r="C348" s="106" t="s">
        <v>357</v>
      </c>
      <c r="D348" s="106" t="s">
        <v>353</v>
      </c>
      <c r="E348">
        <v>9281</v>
      </c>
      <c r="F348" s="106" t="s">
        <v>2150</v>
      </c>
      <c r="G348" s="106" t="s">
        <v>387</v>
      </c>
      <c r="H348" s="106" t="s">
        <v>388</v>
      </c>
      <c r="I348" s="106">
        <v>224</v>
      </c>
      <c r="J348" s="106"/>
    </row>
    <row r="349" spans="1:10" x14ac:dyDescent="0.2">
      <c r="A349" s="106" t="s">
        <v>2151</v>
      </c>
      <c r="B349" s="106" t="s">
        <v>347</v>
      </c>
      <c r="C349" s="106" t="s">
        <v>357</v>
      </c>
      <c r="D349" s="106" t="s">
        <v>353</v>
      </c>
      <c r="E349">
        <v>8966</v>
      </c>
      <c r="F349" s="106" t="s">
        <v>2152</v>
      </c>
      <c r="G349" s="106" t="s">
        <v>387</v>
      </c>
      <c r="H349" s="106" t="s">
        <v>388</v>
      </c>
      <c r="I349" s="106" t="s">
        <v>381</v>
      </c>
      <c r="J349" s="106" t="s">
        <v>2437</v>
      </c>
    </row>
    <row r="350" spans="1:10" x14ac:dyDescent="0.2">
      <c r="A350" s="106" t="s">
        <v>468</v>
      </c>
      <c r="B350" s="106" t="s">
        <v>347</v>
      </c>
      <c r="C350" s="106" t="s">
        <v>357</v>
      </c>
      <c r="D350" s="106" t="s">
        <v>353</v>
      </c>
      <c r="E350">
        <v>3279</v>
      </c>
      <c r="F350" s="106" t="s">
        <v>469</v>
      </c>
      <c r="G350" s="106" t="s">
        <v>387</v>
      </c>
      <c r="H350" s="106" t="s">
        <v>388</v>
      </c>
      <c r="I350" s="106" t="s">
        <v>400</v>
      </c>
      <c r="J350" s="106" t="s">
        <v>2438</v>
      </c>
    </row>
    <row r="351" spans="1:10" x14ac:dyDescent="0.2">
      <c r="A351" s="106" t="s">
        <v>468</v>
      </c>
      <c r="B351" s="106" t="s">
        <v>347</v>
      </c>
      <c r="C351" s="106" t="s">
        <v>357</v>
      </c>
      <c r="D351" s="106" t="s">
        <v>353</v>
      </c>
      <c r="E351">
        <v>3283</v>
      </c>
      <c r="F351" s="106" t="s">
        <v>2153</v>
      </c>
      <c r="G351" s="106" t="s">
        <v>387</v>
      </c>
      <c r="H351" s="106" t="s">
        <v>388</v>
      </c>
      <c r="I351" s="106" t="s">
        <v>409</v>
      </c>
      <c r="J351" s="106" t="s">
        <v>2439</v>
      </c>
    </row>
    <row r="352" spans="1:10" x14ac:dyDescent="0.2">
      <c r="A352" s="106" t="s">
        <v>468</v>
      </c>
      <c r="B352" s="106" t="s">
        <v>347</v>
      </c>
      <c r="C352" s="106" t="s">
        <v>357</v>
      </c>
      <c r="D352" s="106" t="s">
        <v>349</v>
      </c>
      <c r="E352">
        <v>6217</v>
      </c>
      <c r="F352" s="106" t="s">
        <v>2154</v>
      </c>
      <c r="G352" s="106" t="s">
        <v>350</v>
      </c>
      <c r="H352" s="106" t="s">
        <v>371</v>
      </c>
      <c r="I352" s="106">
        <v>89</v>
      </c>
      <c r="J352" s="106"/>
    </row>
    <row r="353" spans="1:10" x14ac:dyDescent="0.2">
      <c r="A353" s="106" t="s">
        <v>468</v>
      </c>
      <c r="B353" s="106" t="s">
        <v>347</v>
      </c>
      <c r="C353" s="106" t="s">
        <v>357</v>
      </c>
      <c r="D353" s="106" t="s">
        <v>349</v>
      </c>
      <c r="E353">
        <v>6634</v>
      </c>
      <c r="F353" s="106" t="s">
        <v>470</v>
      </c>
      <c r="G353" s="106" t="s">
        <v>354</v>
      </c>
      <c r="H353" s="106" t="s">
        <v>375</v>
      </c>
      <c r="I353" s="106">
        <v>30</v>
      </c>
      <c r="J353" s="106"/>
    </row>
    <row r="354" spans="1:10" x14ac:dyDescent="0.2">
      <c r="A354" s="106" t="s">
        <v>468</v>
      </c>
      <c r="B354" s="106" t="s">
        <v>347</v>
      </c>
      <c r="C354" s="106" t="s">
        <v>357</v>
      </c>
      <c r="D354" s="106" t="s">
        <v>353</v>
      </c>
      <c r="E354">
        <v>7501</v>
      </c>
      <c r="F354" s="106" t="s">
        <v>471</v>
      </c>
      <c r="G354" s="106" t="s">
        <v>354</v>
      </c>
      <c r="H354" s="106" t="s">
        <v>356</v>
      </c>
      <c r="I354" s="106">
        <v>20</v>
      </c>
      <c r="J354" s="106"/>
    </row>
    <row r="355" spans="1:10" x14ac:dyDescent="0.2">
      <c r="A355" s="106" t="s">
        <v>468</v>
      </c>
      <c r="B355" s="106" t="s">
        <v>347</v>
      </c>
      <c r="C355" s="106" t="s">
        <v>357</v>
      </c>
      <c r="D355" s="106" t="s">
        <v>349</v>
      </c>
      <c r="E355">
        <v>7997</v>
      </c>
      <c r="F355" s="106" t="s">
        <v>2155</v>
      </c>
      <c r="G355" s="106" t="s">
        <v>358</v>
      </c>
      <c r="H355" s="106" t="s">
        <v>372</v>
      </c>
      <c r="I355" s="106">
        <v>18</v>
      </c>
      <c r="J355" s="106"/>
    </row>
    <row r="356" spans="1:10" x14ac:dyDescent="0.2">
      <c r="A356" s="106" t="s">
        <v>468</v>
      </c>
      <c r="B356" s="106" t="s">
        <v>347</v>
      </c>
      <c r="C356" s="106" t="s">
        <v>357</v>
      </c>
      <c r="D356" s="106" t="s">
        <v>353</v>
      </c>
      <c r="E356">
        <v>8960</v>
      </c>
      <c r="F356" s="106" t="s">
        <v>2156</v>
      </c>
      <c r="G356" s="106" t="s">
        <v>387</v>
      </c>
      <c r="H356" s="106" t="s">
        <v>388</v>
      </c>
      <c r="I356" s="106" t="s">
        <v>409</v>
      </c>
      <c r="J356" s="106" t="s">
        <v>844</v>
      </c>
    </row>
    <row r="357" spans="1:10" x14ac:dyDescent="0.2">
      <c r="A357" s="106" t="s">
        <v>468</v>
      </c>
      <c r="B357" s="106" t="s">
        <v>347</v>
      </c>
      <c r="C357" s="106" t="s">
        <v>357</v>
      </c>
      <c r="D357" s="106" t="s">
        <v>349</v>
      </c>
      <c r="E357">
        <v>9647</v>
      </c>
      <c r="F357" s="106" t="s">
        <v>2157</v>
      </c>
      <c r="G357" s="106" t="s">
        <v>354</v>
      </c>
      <c r="H357" s="106" t="s">
        <v>355</v>
      </c>
      <c r="I357" s="106">
        <v>18</v>
      </c>
      <c r="J357" s="106"/>
    </row>
    <row r="358" spans="1:10" x14ac:dyDescent="0.2">
      <c r="A358" s="106" t="s">
        <v>2158</v>
      </c>
      <c r="B358" s="106" t="s">
        <v>347</v>
      </c>
      <c r="C358" s="106" t="s">
        <v>357</v>
      </c>
      <c r="D358" s="106" t="s">
        <v>349</v>
      </c>
      <c r="E358">
        <v>5341</v>
      </c>
      <c r="F358" s="106" t="s">
        <v>2159</v>
      </c>
      <c r="G358" s="106" t="s">
        <v>358</v>
      </c>
      <c r="H358" s="106" t="s">
        <v>392</v>
      </c>
      <c r="I358" s="106">
        <v>10</v>
      </c>
      <c r="J358" s="106"/>
    </row>
    <row r="359" spans="1:10" x14ac:dyDescent="0.2">
      <c r="A359" s="106" t="s">
        <v>2160</v>
      </c>
      <c r="B359" s="106" t="s">
        <v>347</v>
      </c>
      <c r="C359" s="106" t="s">
        <v>357</v>
      </c>
      <c r="D359" s="106" t="s">
        <v>353</v>
      </c>
      <c r="E359">
        <v>3472</v>
      </c>
      <c r="F359" s="106" t="s">
        <v>2161</v>
      </c>
      <c r="G359" s="106" t="s">
        <v>387</v>
      </c>
      <c r="H359" s="106" t="s">
        <v>388</v>
      </c>
      <c r="I359" s="106">
        <v>218</v>
      </c>
      <c r="J359" s="106"/>
    </row>
    <row r="360" spans="1:10" x14ac:dyDescent="0.2">
      <c r="A360" s="106" t="s">
        <v>2160</v>
      </c>
      <c r="B360" s="106" t="s">
        <v>347</v>
      </c>
      <c r="C360" s="106" t="s">
        <v>357</v>
      </c>
      <c r="D360" s="106" t="s">
        <v>353</v>
      </c>
      <c r="E360">
        <v>8976</v>
      </c>
      <c r="F360" s="106" t="s">
        <v>2162</v>
      </c>
      <c r="G360" s="106" t="s">
        <v>387</v>
      </c>
      <c r="H360" s="106" t="s">
        <v>388</v>
      </c>
      <c r="I360" t="s">
        <v>400</v>
      </c>
      <c r="J360" t="s">
        <v>855</v>
      </c>
    </row>
    <row r="361" spans="1:10" x14ac:dyDescent="0.2">
      <c r="A361" s="106" t="s">
        <v>472</v>
      </c>
      <c r="B361" s="106" t="s">
        <v>347</v>
      </c>
      <c r="C361" s="106" t="s">
        <v>348</v>
      </c>
      <c r="D361" s="106" t="s">
        <v>349</v>
      </c>
      <c r="E361">
        <v>6146</v>
      </c>
      <c r="F361" s="106" t="s">
        <v>473</v>
      </c>
      <c r="G361" s="106" t="s">
        <v>350</v>
      </c>
      <c r="H361" s="106" t="s">
        <v>371</v>
      </c>
      <c r="I361" s="106" t="s">
        <v>533</v>
      </c>
      <c r="J361" s="106" t="s">
        <v>2255</v>
      </c>
    </row>
    <row r="362" spans="1:10" x14ac:dyDescent="0.2">
      <c r="A362" s="106" t="s">
        <v>472</v>
      </c>
      <c r="B362" s="106" t="s">
        <v>347</v>
      </c>
      <c r="C362" s="106" t="s">
        <v>357</v>
      </c>
      <c r="D362" s="106" t="s">
        <v>353</v>
      </c>
      <c r="E362">
        <v>8977</v>
      </c>
      <c r="F362" s="106" t="s">
        <v>857</v>
      </c>
      <c r="G362" s="106" t="s">
        <v>387</v>
      </c>
      <c r="H362" s="106" t="s">
        <v>388</v>
      </c>
      <c r="I362" s="106" t="s">
        <v>381</v>
      </c>
      <c r="J362" s="106" t="s">
        <v>2440</v>
      </c>
    </row>
    <row r="363" spans="1:10" x14ac:dyDescent="0.2">
      <c r="A363" s="106" t="s">
        <v>2163</v>
      </c>
      <c r="B363" s="106" t="s">
        <v>347</v>
      </c>
      <c r="C363" s="106" t="s">
        <v>348</v>
      </c>
      <c r="D363" s="106" t="s">
        <v>349</v>
      </c>
      <c r="E363">
        <v>6961</v>
      </c>
      <c r="F363" s="106" t="s">
        <v>2164</v>
      </c>
      <c r="G363" s="106" t="s">
        <v>350</v>
      </c>
      <c r="H363" s="106" t="s">
        <v>375</v>
      </c>
      <c r="I363" s="106">
        <v>661</v>
      </c>
      <c r="J363" s="106"/>
    </row>
    <row r="364" spans="1:10" x14ac:dyDescent="0.2">
      <c r="A364" s="106" t="s">
        <v>2163</v>
      </c>
      <c r="B364" s="106" t="s">
        <v>347</v>
      </c>
      <c r="C364" s="106" t="s">
        <v>348</v>
      </c>
      <c r="D364" s="106" t="s">
        <v>349</v>
      </c>
      <c r="E364">
        <v>8595</v>
      </c>
      <c r="F364" s="106" t="s">
        <v>2165</v>
      </c>
      <c r="G364" s="106" t="s">
        <v>350</v>
      </c>
      <c r="H364" s="106" t="s">
        <v>2166</v>
      </c>
      <c r="I364" t="s">
        <v>381</v>
      </c>
      <c r="J364" t="s">
        <v>2441</v>
      </c>
    </row>
    <row r="365" spans="1:10" x14ac:dyDescent="0.2">
      <c r="A365" s="106" t="s">
        <v>474</v>
      </c>
      <c r="B365" s="106" t="s">
        <v>347</v>
      </c>
      <c r="C365" s="106" t="s">
        <v>348</v>
      </c>
      <c r="D365" s="106" t="s">
        <v>349</v>
      </c>
      <c r="E365">
        <v>9433</v>
      </c>
      <c r="F365" s="106" t="s">
        <v>475</v>
      </c>
      <c r="G365" s="106" t="s">
        <v>350</v>
      </c>
      <c r="H365" s="106" t="s">
        <v>361</v>
      </c>
      <c r="I365" s="106" t="s">
        <v>2442</v>
      </c>
      <c r="J365" s="106" t="s">
        <v>2443</v>
      </c>
    </row>
    <row r="366" spans="1:10" x14ac:dyDescent="0.2">
      <c r="A366" s="106" t="s">
        <v>476</v>
      </c>
      <c r="B366" s="106" t="s">
        <v>414</v>
      </c>
      <c r="C366" s="106" t="s">
        <v>348</v>
      </c>
      <c r="D366" s="106" t="s">
        <v>353</v>
      </c>
      <c r="E366">
        <v>4973</v>
      </c>
      <c r="F366" s="106" t="s">
        <v>477</v>
      </c>
      <c r="G366" s="106" t="s">
        <v>350</v>
      </c>
      <c r="H366" s="106" t="s">
        <v>363</v>
      </c>
      <c r="I366" s="106">
        <v>168</v>
      </c>
      <c r="J366" s="106"/>
    </row>
    <row r="367" spans="1:10" x14ac:dyDescent="0.2">
      <c r="A367" s="106" t="s">
        <v>476</v>
      </c>
      <c r="B367" s="106" t="s">
        <v>347</v>
      </c>
      <c r="C367" s="106" t="s">
        <v>348</v>
      </c>
      <c r="D367" s="106" t="s">
        <v>349</v>
      </c>
      <c r="E367">
        <v>5936</v>
      </c>
      <c r="F367" s="106" t="s">
        <v>2167</v>
      </c>
      <c r="G367" s="106" t="s">
        <v>350</v>
      </c>
      <c r="H367" s="106" t="s">
        <v>365</v>
      </c>
      <c r="I367" s="106">
        <v>46</v>
      </c>
      <c r="J367" s="106"/>
    </row>
    <row r="368" spans="1:10" x14ac:dyDescent="0.2">
      <c r="A368" s="106" t="s">
        <v>478</v>
      </c>
      <c r="B368" s="106" t="s">
        <v>374</v>
      </c>
      <c r="C368" s="106" t="s">
        <v>348</v>
      </c>
      <c r="D368" s="106" t="s">
        <v>349</v>
      </c>
      <c r="E368">
        <v>9478</v>
      </c>
      <c r="F368" s="106" t="s">
        <v>2168</v>
      </c>
      <c r="G368" s="106" t="s">
        <v>354</v>
      </c>
      <c r="H368" s="106" t="s">
        <v>361</v>
      </c>
      <c r="I368">
        <v>45</v>
      </c>
    </row>
    <row r="369" spans="1:10" x14ac:dyDescent="0.2">
      <c r="A369" s="106" t="s">
        <v>478</v>
      </c>
      <c r="B369" s="106" t="s">
        <v>347</v>
      </c>
      <c r="C369" s="106" t="s">
        <v>348</v>
      </c>
      <c r="D369" s="106" t="s">
        <v>349</v>
      </c>
      <c r="E369">
        <v>4462</v>
      </c>
      <c r="F369" s="106" t="s">
        <v>479</v>
      </c>
      <c r="G369" s="106" t="s">
        <v>350</v>
      </c>
      <c r="H369" s="106" t="s">
        <v>363</v>
      </c>
      <c r="I369" s="106">
        <v>168</v>
      </c>
      <c r="J369" s="106"/>
    </row>
    <row r="370" spans="1:10" x14ac:dyDescent="0.2">
      <c r="A370" s="106" t="s">
        <v>480</v>
      </c>
      <c r="B370" s="106" t="s">
        <v>414</v>
      </c>
      <c r="C370" s="106" t="s">
        <v>348</v>
      </c>
      <c r="D370" s="106" t="s">
        <v>349</v>
      </c>
      <c r="E370">
        <v>3850</v>
      </c>
      <c r="F370" s="106" t="s">
        <v>2169</v>
      </c>
      <c r="G370" s="106" t="s">
        <v>358</v>
      </c>
      <c r="H370" s="106" t="s">
        <v>361</v>
      </c>
      <c r="I370" s="106">
        <v>208</v>
      </c>
      <c r="J370" s="106"/>
    </row>
    <row r="371" spans="1:10" x14ac:dyDescent="0.2">
      <c r="A371" s="106" t="s">
        <v>480</v>
      </c>
      <c r="B371" s="106" t="s">
        <v>347</v>
      </c>
      <c r="C371" s="106" t="s">
        <v>348</v>
      </c>
      <c r="D371" s="106" t="s">
        <v>353</v>
      </c>
      <c r="E371">
        <v>2540</v>
      </c>
      <c r="F371" s="106" t="s">
        <v>2170</v>
      </c>
      <c r="G371" s="106" t="s">
        <v>350</v>
      </c>
      <c r="H371" s="106" t="s">
        <v>351</v>
      </c>
      <c r="I371" s="106">
        <v>325</v>
      </c>
      <c r="J371" s="106"/>
    </row>
    <row r="372" spans="1:10" x14ac:dyDescent="0.2">
      <c r="A372" s="106" t="s">
        <v>480</v>
      </c>
      <c r="B372" s="106" t="s">
        <v>347</v>
      </c>
      <c r="C372" s="106" t="s">
        <v>348</v>
      </c>
      <c r="D372" s="106" t="s">
        <v>349</v>
      </c>
      <c r="E372">
        <v>4099</v>
      </c>
      <c r="F372" s="106" t="s">
        <v>2171</v>
      </c>
      <c r="G372" s="106" t="s">
        <v>350</v>
      </c>
      <c r="H372" s="106" t="s">
        <v>363</v>
      </c>
      <c r="I372" s="106">
        <v>793</v>
      </c>
      <c r="J372" s="106"/>
    </row>
    <row r="373" spans="1:10" x14ac:dyDescent="0.2">
      <c r="A373" s="106" t="s">
        <v>480</v>
      </c>
      <c r="B373" s="106" t="s">
        <v>347</v>
      </c>
      <c r="C373" s="106" t="s">
        <v>348</v>
      </c>
      <c r="D373" s="106" t="s">
        <v>349</v>
      </c>
      <c r="E373">
        <v>9039</v>
      </c>
      <c r="F373" s="106" t="s">
        <v>481</v>
      </c>
      <c r="G373" s="106" t="s">
        <v>350</v>
      </c>
      <c r="H373" s="106" t="s">
        <v>482</v>
      </c>
      <c r="I373" t="s">
        <v>381</v>
      </c>
      <c r="J373" t="s">
        <v>2444</v>
      </c>
    </row>
    <row r="374" spans="1:10" x14ac:dyDescent="0.2">
      <c r="A374" s="106" t="s">
        <v>483</v>
      </c>
      <c r="B374" s="106" t="s">
        <v>858</v>
      </c>
      <c r="C374" s="106" t="s">
        <v>348</v>
      </c>
      <c r="D374" s="106" t="s">
        <v>349</v>
      </c>
      <c r="E374">
        <v>6470</v>
      </c>
      <c r="F374" s="106" t="s">
        <v>859</v>
      </c>
      <c r="G374" s="106" t="s">
        <v>350</v>
      </c>
      <c r="H374" s="106" t="s">
        <v>371</v>
      </c>
      <c r="I374" s="106">
        <v>261</v>
      </c>
      <c r="J374" s="106"/>
    </row>
    <row r="375" spans="1:10" x14ac:dyDescent="0.2">
      <c r="A375" s="106" t="s">
        <v>483</v>
      </c>
      <c r="B375" s="106" t="s">
        <v>414</v>
      </c>
      <c r="C375" s="106" t="s">
        <v>348</v>
      </c>
      <c r="D375" s="106" t="s">
        <v>349</v>
      </c>
      <c r="E375">
        <v>2802</v>
      </c>
      <c r="F375" s="106" t="s">
        <v>860</v>
      </c>
      <c r="G375" s="106" t="s">
        <v>350</v>
      </c>
      <c r="H375" s="106" t="s">
        <v>351</v>
      </c>
      <c r="I375" t="s">
        <v>533</v>
      </c>
      <c r="J375" t="s">
        <v>2445</v>
      </c>
    </row>
    <row r="376" spans="1:10" x14ac:dyDescent="0.2">
      <c r="A376" s="106" t="s">
        <v>483</v>
      </c>
      <c r="B376" s="106" t="s">
        <v>374</v>
      </c>
      <c r="C376" s="106" t="s">
        <v>348</v>
      </c>
      <c r="D376" s="106" t="s">
        <v>349</v>
      </c>
      <c r="E376">
        <v>2002</v>
      </c>
      <c r="F376" s="106" t="s">
        <v>2172</v>
      </c>
      <c r="G376" s="106" t="s">
        <v>350</v>
      </c>
      <c r="H376" s="106" t="s">
        <v>351</v>
      </c>
      <c r="I376" s="106" t="s">
        <v>409</v>
      </c>
      <c r="J376" s="106" t="s">
        <v>2446</v>
      </c>
    </row>
    <row r="377" spans="1:10" x14ac:dyDescent="0.2">
      <c r="A377" s="106" t="s">
        <v>483</v>
      </c>
      <c r="B377" s="106" t="s">
        <v>347</v>
      </c>
      <c r="C377" s="106" t="s">
        <v>348</v>
      </c>
      <c r="D377" s="106" t="s">
        <v>349</v>
      </c>
      <c r="E377">
        <v>1878</v>
      </c>
      <c r="F377" s="106" t="s">
        <v>484</v>
      </c>
      <c r="G377" s="106" t="s">
        <v>350</v>
      </c>
      <c r="H377" s="106" t="s">
        <v>377</v>
      </c>
      <c r="I377" s="106" t="s">
        <v>485</v>
      </c>
      <c r="J377" s="106" t="s">
        <v>2447</v>
      </c>
    </row>
    <row r="378" spans="1:10" x14ac:dyDescent="0.2">
      <c r="A378" s="106" t="s">
        <v>483</v>
      </c>
      <c r="B378" s="106" t="s">
        <v>347</v>
      </c>
      <c r="C378" s="106" t="s">
        <v>348</v>
      </c>
      <c r="D378" s="106" t="s">
        <v>349</v>
      </c>
      <c r="E378">
        <v>2127</v>
      </c>
      <c r="F378" s="106" t="s">
        <v>795</v>
      </c>
      <c r="G378" s="106" t="s">
        <v>350</v>
      </c>
      <c r="H378" s="106" t="s">
        <v>355</v>
      </c>
      <c r="I378" s="106" t="s">
        <v>409</v>
      </c>
      <c r="J378" s="106" t="s">
        <v>2448</v>
      </c>
    </row>
    <row r="379" spans="1:10" x14ac:dyDescent="0.2">
      <c r="A379" s="106" t="s">
        <v>483</v>
      </c>
      <c r="B379" s="106" t="s">
        <v>347</v>
      </c>
      <c r="C379" s="106" t="s">
        <v>348</v>
      </c>
      <c r="D379" s="106" t="s">
        <v>349</v>
      </c>
      <c r="E379">
        <v>2412</v>
      </c>
      <c r="F379" s="106" t="s">
        <v>796</v>
      </c>
      <c r="G379" s="106" t="s">
        <v>350</v>
      </c>
      <c r="H379" s="106" t="s">
        <v>355</v>
      </c>
      <c r="I379" s="106" t="s">
        <v>434</v>
      </c>
      <c r="J379" s="106" t="s">
        <v>2449</v>
      </c>
    </row>
    <row r="380" spans="1:10" x14ac:dyDescent="0.2">
      <c r="A380" s="106" t="s">
        <v>483</v>
      </c>
      <c r="B380" s="106" t="s">
        <v>347</v>
      </c>
      <c r="C380" s="106" t="s">
        <v>348</v>
      </c>
      <c r="D380" s="106" t="s">
        <v>349</v>
      </c>
      <c r="E380">
        <v>2737</v>
      </c>
      <c r="F380" s="106" t="s">
        <v>486</v>
      </c>
      <c r="G380" s="106" t="s">
        <v>350</v>
      </c>
      <c r="H380" s="106" t="s">
        <v>356</v>
      </c>
      <c r="I380" s="106">
        <v>220</v>
      </c>
      <c r="J380" s="106"/>
    </row>
    <row r="381" spans="1:10" x14ac:dyDescent="0.2">
      <c r="A381" s="106" t="s">
        <v>483</v>
      </c>
      <c r="B381" s="106" t="s">
        <v>347</v>
      </c>
      <c r="C381" s="106" t="s">
        <v>357</v>
      </c>
      <c r="D381" s="106" t="s">
        <v>349</v>
      </c>
      <c r="E381">
        <v>3003</v>
      </c>
      <c r="F381" s="106" t="s">
        <v>861</v>
      </c>
      <c r="G381" s="106" t="s">
        <v>350</v>
      </c>
      <c r="H381" s="106" t="s">
        <v>376</v>
      </c>
      <c r="I381" s="106" t="s">
        <v>533</v>
      </c>
      <c r="J381" s="106" t="s">
        <v>2450</v>
      </c>
    </row>
    <row r="382" spans="1:10" x14ac:dyDescent="0.2">
      <c r="A382" s="106" t="s">
        <v>483</v>
      </c>
      <c r="B382" s="106" t="s">
        <v>347</v>
      </c>
      <c r="C382" s="106" t="s">
        <v>348</v>
      </c>
      <c r="D382" s="106" t="s">
        <v>349</v>
      </c>
      <c r="E382">
        <v>3167</v>
      </c>
      <c r="F382" s="106" t="s">
        <v>862</v>
      </c>
      <c r="G382" s="106" t="s">
        <v>350</v>
      </c>
      <c r="H382" s="106" t="s">
        <v>356</v>
      </c>
      <c r="I382" s="106" t="s">
        <v>381</v>
      </c>
      <c r="J382" s="106" t="s">
        <v>2451</v>
      </c>
    </row>
    <row r="383" spans="1:10" x14ac:dyDescent="0.2">
      <c r="A383" s="106" t="s">
        <v>483</v>
      </c>
      <c r="B383" s="106" t="s">
        <v>347</v>
      </c>
      <c r="C383" s="106" t="s">
        <v>348</v>
      </c>
      <c r="D383" s="106" t="s">
        <v>349</v>
      </c>
      <c r="E383">
        <v>3388</v>
      </c>
      <c r="F383" s="106" t="s">
        <v>863</v>
      </c>
      <c r="G383" s="106" t="s">
        <v>350</v>
      </c>
      <c r="H383" s="106" t="s">
        <v>356</v>
      </c>
      <c r="I383" s="106">
        <v>206</v>
      </c>
      <c r="J383" s="106"/>
    </row>
    <row r="384" spans="1:10" x14ac:dyDescent="0.2">
      <c r="A384" s="106" t="s">
        <v>483</v>
      </c>
      <c r="B384" s="106" t="s">
        <v>347</v>
      </c>
      <c r="C384" s="106" t="s">
        <v>348</v>
      </c>
      <c r="D384" s="106" t="s">
        <v>349</v>
      </c>
      <c r="E384">
        <v>3640</v>
      </c>
      <c r="F384" s="106" t="s">
        <v>864</v>
      </c>
      <c r="G384" s="106" t="s">
        <v>350</v>
      </c>
      <c r="H384" s="106" t="s">
        <v>361</v>
      </c>
      <c r="I384" s="106">
        <v>131</v>
      </c>
      <c r="J384" s="106"/>
    </row>
    <row r="385" spans="1:10" x14ac:dyDescent="0.2">
      <c r="A385" s="106" t="s">
        <v>483</v>
      </c>
      <c r="B385" s="106" t="s">
        <v>347</v>
      </c>
      <c r="C385" s="106" t="s">
        <v>348</v>
      </c>
      <c r="D385" s="106" t="s">
        <v>349</v>
      </c>
      <c r="E385">
        <v>7551</v>
      </c>
      <c r="F385" s="106" t="s">
        <v>2173</v>
      </c>
      <c r="G385" s="106" t="s">
        <v>354</v>
      </c>
      <c r="H385" s="106" t="s">
        <v>380</v>
      </c>
      <c r="I385" s="106">
        <v>96</v>
      </c>
      <c r="J385" s="106"/>
    </row>
    <row r="386" spans="1:10" x14ac:dyDescent="0.2">
      <c r="A386" s="106" t="s">
        <v>483</v>
      </c>
      <c r="B386" s="106" t="s">
        <v>347</v>
      </c>
      <c r="C386" s="106" t="s">
        <v>348</v>
      </c>
      <c r="D386" s="106" t="s">
        <v>349</v>
      </c>
      <c r="E386">
        <v>8137</v>
      </c>
      <c r="F386" s="106" t="s">
        <v>2174</v>
      </c>
      <c r="G386" s="106" t="s">
        <v>350</v>
      </c>
      <c r="H386" s="106" t="s">
        <v>356</v>
      </c>
      <c r="I386" s="106">
        <v>191</v>
      </c>
      <c r="J386" s="106"/>
    </row>
    <row r="387" spans="1:10" x14ac:dyDescent="0.2">
      <c r="A387" s="106" t="s">
        <v>483</v>
      </c>
      <c r="B387" s="106" t="s">
        <v>347</v>
      </c>
      <c r="C387" s="106" t="s">
        <v>348</v>
      </c>
      <c r="D387" s="106" t="s">
        <v>349</v>
      </c>
      <c r="E387">
        <v>8771</v>
      </c>
      <c r="F387" s="106" t="s">
        <v>487</v>
      </c>
      <c r="G387" s="106" t="s">
        <v>350</v>
      </c>
      <c r="H387" s="106" t="s">
        <v>386</v>
      </c>
      <c r="I387">
        <v>559</v>
      </c>
    </row>
    <row r="388" spans="1:10" x14ac:dyDescent="0.2">
      <c r="A388" s="106" t="s">
        <v>483</v>
      </c>
      <c r="B388" s="106" t="s">
        <v>347</v>
      </c>
      <c r="C388" s="106" t="s">
        <v>348</v>
      </c>
      <c r="D388" s="106" t="s">
        <v>349</v>
      </c>
      <c r="E388">
        <v>9020</v>
      </c>
      <c r="F388" s="106" t="s">
        <v>865</v>
      </c>
      <c r="G388" s="106" t="s">
        <v>350</v>
      </c>
      <c r="H388" s="106" t="s">
        <v>482</v>
      </c>
      <c r="I388" s="106" t="s">
        <v>866</v>
      </c>
      <c r="J388" s="106" t="s">
        <v>2452</v>
      </c>
    </row>
    <row r="389" spans="1:10" x14ac:dyDescent="0.2">
      <c r="A389" s="106" t="s">
        <v>483</v>
      </c>
      <c r="B389" s="106" t="s">
        <v>347</v>
      </c>
      <c r="C389" s="106" t="s">
        <v>348</v>
      </c>
      <c r="D389" s="106" t="s">
        <v>349</v>
      </c>
      <c r="E389">
        <v>9037</v>
      </c>
      <c r="F389" s="106" t="s">
        <v>488</v>
      </c>
      <c r="G389" s="106" t="s">
        <v>350</v>
      </c>
      <c r="H389" s="106" t="s">
        <v>482</v>
      </c>
      <c r="I389" s="106">
        <v>681</v>
      </c>
      <c r="J389" s="106"/>
    </row>
    <row r="390" spans="1:10" x14ac:dyDescent="0.2">
      <c r="A390" s="106" t="s">
        <v>483</v>
      </c>
      <c r="B390" s="106" t="s">
        <v>347</v>
      </c>
      <c r="C390" s="106" t="s">
        <v>352</v>
      </c>
      <c r="D390" s="106" t="s">
        <v>353</v>
      </c>
      <c r="E390">
        <v>9795</v>
      </c>
      <c r="F390" s="106" t="s">
        <v>2176</v>
      </c>
      <c r="G390" s="106" t="s">
        <v>350</v>
      </c>
      <c r="H390" s="106" t="s">
        <v>355</v>
      </c>
      <c r="I390" s="106">
        <v>261</v>
      </c>
      <c r="J390" s="106"/>
    </row>
    <row r="391" spans="1:10" x14ac:dyDescent="0.2">
      <c r="A391" s="106" t="s">
        <v>483</v>
      </c>
      <c r="B391" s="106" t="s">
        <v>347</v>
      </c>
      <c r="C391" s="106" t="s">
        <v>348</v>
      </c>
      <c r="D391" s="106" t="s">
        <v>349</v>
      </c>
      <c r="E391">
        <v>9995</v>
      </c>
      <c r="F391" s="106" t="s">
        <v>489</v>
      </c>
      <c r="G391" s="106" t="s">
        <v>350</v>
      </c>
      <c r="H391" s="106" t="s">
        <v>356</v>
      </c>
      <c r="I391">
        <v>120</v>
      </c>
    </row>
    <row r="392" spans="1:10" x14ac:dyDescent="0.2">
      <c r="A392" s="106" t="s">
        <v>490</v>
      </c>
      <c r="B392" s="106" t="s">
        <v>414</v>
      </c>
      <c r="C392" s="106" t="s">
        <v>348</v>
      </c>
      <c r="D392" s="106" t="s">
        <v>349</v>
      </c>
      <c r="E392">
        <v>3433</v>
      </c>
      <c r="F392" s="106" t="s">
        <v>867</v>
      </c>
      <c r="G392" s="106" t="s">
        <v>350</v>
      </c>
      <c r="H392" s="106" t="s">
        <v>365</v>
      </c>
      <c r="I392">
        <v>719</v>
      </c>
    </row>
    <row r="393" spans="1:10" x14ac:dyDescent="0.2">
      <c r="A393" s="106" t="s">
        <v>490</v>
      </c>
      <c r="B393" s="106" t="s">
        <v>347</v>
      </c>
      <c r="C393" s="106" t="s">
        <v>348</v>
      </c>
      <c r="D393" s="106" t="s">
        <v>349</v>
      </c>
      <c r="E393">
        <v>1946</v>
      </c>
      <c r="F393" s="106" t="s">
        <v>589</v>
      </c>
      <c r="G393" s="106" t="s">
        <v>350</v>
      </c>
      <c r="H393" s="106" t="s">
        <v>377</v>
      </c>
      <c r="I393" s="106">
        <v>748</v>
      </c>
      <c r="J393" s="106"/>
    </row>
    <row r="394" spans="1:10" x14ac:dyDescent="0.2">
      <c r="A394" s="106" t="s">
        <v>490</v>
      </c>
      <c r="B394" s="106" t="s">
        <v>347</v>
      </c>
      <c r="C394" s="106" t="s">
        <v>348</v>
      </c>
      <c r="D394" s="106" t="s">
        <v>349</v>
      </c>
      <c r="E394">
        <v>1950</v>
      </c>
      <c r="F394" s="106" t="s">
        <v>2453</v>
      </c>
      <c r="G394" s="106" t="s">
        <v>350</v>
      </c>
      <c r="H394" s="106" t="s">
        <v>377</v>
      </c>
      <c r="I394" s="106" t="s">
        <v>381</v>
      </c>
      <c r="J394" s="106" t="s">
        <v>2454</v>
      </c>
    </row>
    <row r="395" spans="1:10" x14ac:dyDescent="0.2">
      <c r="A395" s="106" t="s">
        <v>490</v>
      </c>
      <c r="B395" s="106" t="s">
        <v>347</v>
      </c>
      <c r="C395" s="106" t="s">
        <v>348</v>
      </c>
      <c r="D395" s="106" t="s">
        <v>349</v>
      </c>
      <c r="E395">
        <v>2175</v>
      </c>
      <c r="F395" s="106" t="s">
        <v>797</v>
      </c>
      <c r="G395" s="106" t="s">
        <v>350</v>
      </c>
      <c r="H395" s="106" t="s">
        <v>355</v>
      </c>
      <c r="I395" s="106" t="s">
        <v>373</v>
      </c>
      <c r="J395" s="106" t="s">
        <v>2455</v>
      </c>
    </row>
    <row r="396" spans="1:10" x14ac:dyDescent="0.2">
      <c r="A396" s="106" t="s">
        <v>490</v>
      </c>
      <c r="B396" s="106" t="s">
        <v>347</v>
      </c>
      <c r="C396" s="106" t="s">
        <v>348</v>
      </c>
      <c r="D396" s="106" t="s">
        <v>349</v>
      </c>
      <c r="E396">
        <v>2220</v>
      </c>
      <c r="F396" s="106" t="s">
        <v>798</v>
      </c>
      <c r="G396" s="106" t="s">
        <v>350</v>
      </c>
      <c r="H396" s="106" t="s">
        <v>351</v>
      </c>
      <c r="I396" s="106" t="s">
        <v>381</v>
      </c>
      <c r="J396" s="106" t="s">
        <v>2456</v>
      </c>
    </row>
    <row r="397" spans="1:10" x14ac:dyDescent="0.2">
      <c r="A397" s="106" t="s">
        <v>490</v>
      </c>
      <c r="B397" s="106" t="s">
        <v>347</v>
      </c>
      <c r="C397" s="106" t="s">
        <v>348</v>
      </c>
      <c r="D397" s="106" t="s">
        <v>349</v>
      </c>
      <c r="E397">
        <v>2331</v>
      </c>
      <c r="F397" s="106" t="s">
        <v>799</v>
      </c>
      <c r="G397" s="106" t="s">
        <v>350</v>
      </c>
      <c r="H397" s="106" t="s">
        <v>355</v>
      </c>
      <c r="I397" s="106" t="s">
        <v>409</v>
      </c>
      <c r="J397" s="106" t="s">
        <v>2457</v>
      </c>
    </row>
    <row r="398" spans="1:10" x14ac:dyDescent="0.2">
      <c r="A398" s="106" t="s">
        <v>490</v>
      </c>
      <c r="B398" s="106" t="s">
        <v>347</v>
      </c>
      <c r="C398" s="106" t="s">
        <v>348</v>
      </c>
      <c r="D398" s="106" t="s">
        <v>349</v>
      </c>
      <c r="E398">
        <v>2497</v>
      </c>
      <c r="F398" s="106" t="s">
        <v>868</v>
      </c>
      <c r="G398" s="106" t="s">
        <v>362</v>
      </c>
      <c r="H398" s="106" t="s">
        <v>355</v>
      </c>
      <c r="I398" s="106">
        <v>325</v>
      </c>
      <c r="J398" s="106"/>
    </row>
    <row r="399" spans="1:10" x14ac:dyDescent="0.2">
      <c r="A399" s="106" t="s">
        <v>490</v>
      </c>
      <c r="B399" s="106" t="s">
        <v>347</v>
      </c>
      <c r="C399" s="106" t="s">
        <v>348</v>
      </c>
      <c r="D399" s="106" t="s">
        <v>349</v>
      </c>
      <c r="E399">
        <v>2715</v>
      </c>
      <c r="F399" s="106" t="s">
        <v>491</v>
      </c>
      <c r="G399" s="106" t="s">
        <v>350</v>
      </c>
      <c r="H399" s="106" t="s">
        <v>356</v>
      </c>
      <c r="I399" s="106">
        <v>490</v>
      </c>
      <c r="J399" s="106"/>
    </row>
    <row r="400" spans="1:10" x14ac:dyDescent="0.2">
      <c r="A400" s="106" t="s">
        <v>490</v>
      </c>
      <c r="B400" s="106" t="s">
        <v>347</v>
      </c>
      <c r="C400" s="106" t="s">
        <v>348</v>
      </c>
      <c r="D400" s="106" t="s">
        <v>353</v>
      </c>
      <c r="E400">
        <v>2892</v>
      </c>
      <c r="F400" s="106" t="s">
        <v>492</v>
      </c>
      <c r="G400" s="106" t="s">
        <v>358</v>
      </c>
      <c r="H400" s="106" t="s">
        <v>351</v>
      </c>
      <c r="I400" s="106">
        <v>87</v>
      </c>
      <c r="J400" s="106"/>
    </row>
    <row r="401" spans="1:10" x14ac:dyDescent="0.2">
      <c r="A401" s="106" t="s">
        <v>490</v>
      </c>
      <c r="B401" s="106" t="s">
        <v>347</v>
      </c>
      <c r="C401" s="106" t="s">
        <v>348</v>
      </c>
      <c r="D401" s="106" t="s">
        <v>349</v>
      </c>
      <c r="E401">
        <v>3023</v>
      </c>
      <c r="F401" s="106" t="s">
        <v>493</v>
      </c>
      <c r="G401" s="106" t="s">
        <v>350</v>
      </c>
      <c r="H401" s="106" t="s">
        <v>356</v>
      </c>
      <c r="I401" s="106">
        <v>128</v>
      </c>
      <c r="J401" s="106"/>
    </row>
    <row r="402" spans="1:10" x14ac:dyDescent="0.2">
      <c r="A402" s="106" t="s">
        <v>490</v>
      </c>
      <c r="B402" s="106" t="s">
        <v>347</v>
      </c>
      <c r="C402" s="106" t="s">
        <v>348</v>
      </c>
      <c r="D402" s="106" t="s">
        <v>349</v>
      </c>
      <c r="E402">
        <v>3092</v>
      </c>
      <c r="F402" s="106" t="s">
        <v>869</v>
      </c>
      <c r="G402" s="106" t="s">
        <v>350</v>
      </c>
      <c r="H402" s="106" t="s">
        <v>360</v>
      </c>
      <c r="I402" s="106" t="s">
        <v>409</v>
      </c>
      <c r="J402" s="106" t="s">
        <v>2458</v>
      </c>
    </row>
    <row r="403" spans="1:10" x14ac:dyDescent="0.2">
      <c r="A403" s="106" t="s">
        <v>490</v>
      </c>
      <c r="B403" s="106" t="s">
        <v>347</v>
      </c>
      <c r="C403" s="106" t="s">
        <v>348</v>
      </c>
      <c r="D403" s="106" t="s">
        <v>349</v>
      </c>
      <c r="E403">
        <v>3098</v>
      </c>
      <c r="F403" s="106" t="s">
        <v>870</v>
      </c>
      <c r="G403" s="106" t="s">
        <v>350</v>
      </c>
      <c r="H403" s="106" t="s">
        <v>360</v>
      </c>
      <c r="I403" s="106" t="s">
        <v>381</v>
      </c>
      <c r="J403" s="106" t="s">
        <v>2459</v>
      </c>
    </row>
    <row r="404" spans="1:10" x14ac:dyDescent="0.2">
      <c r="A404" s="106" t="s">
        <v>490</v>
      </c>
      <c r="B404" s="106" t="s">
        <v>347</v>
      </c>
      <c r="C404" s="106" t="s">
        <v>348</v>
      </c>
      <c r="D404" s="106" t="s">
        <v>353</v>
      </c>
      <c r="E404">
        <v>3137</v>
      </c>
      <c r="F404" s="106" t="s">
        <v>871</v>
      </c>
      <c r="G404" s="106" t="s">
        <v>362</v>
      </c>
      <c r="H404" s="106" t="s">
        <v>360</v>
      </c>
      <c r="I404">
        <v>78</v>
      </c>
    </row>
    <row r="405" spans="1:10" x14ac:dyDescent="0.2">
      <c r="A405" s="106" t="s">
        <v>490</v>
      </c>
      <c r="B405" s="106" t="s">
        <v>347</v>
      </c>
      <c r="C405" s="106" t="s">
        <v>348</v>
      </c>
      <c r="D405" s="106" t="s">
        <v>349</v>
      </c>
      <c r="E405">
        <v>3513</v>
      </c>
      <c r="F405" s="106" t="s">
        <v>872</v>
      </c>
      <c r="G405" s="106" t="s">
        <v>350</v>
      </c>
      <c r="H405" s="106" t="s">
        <v>383</v>
      </c>
      <c r="I405">
        <v>75</v>
      </c>
    </row>
    <row r="406" spans="1:10" x14ac:dyDescent="0.2">
      <c r="A406" s="106" t="s">
        <v>490</v>
      </c>
      <c r="B406" s="106" t="s">
        <v>347</v>
      </c>
      <c r="C406" s="106" t="s">
        <v>348</v>
      </c>
      <c r="D406" s="106" t="s">
        <v>349</v>
      </c>
      <c r="E406">
        <v>3591</v>
      </c>
      <c r="F406" s="106" t="s">
        <v>873</v>
      </c>
      <c r="G406" s="106" t="s">
        <v>350</v>
      </c>
      <c r="H406" s="106" t="s">
        <v>383</v>
      </c>
      <c r="I406" s="106" t="s">
        <v>373</v>
      </c>
      <c r="J406" s="106" t="s">
        <v>2246</v>
      </c>
    </row>
    <row r="407" spans="1:10" x14ac:dyDescent="0.2">
      <c r="A407" s="106" t="s">
        <v>490</v>
      </c>
      <c r="B407" s="106" t="s">
        <v>347</v>
      </c>
      <c r="C407" s="106" t="s">
        <v>348</v>
      </c>
      <c r="D407" s="106" t="s">
        <v>349</v>
      </c>
      <c r="E407">
        <v>3666</v>
      </c>
      <c r="F407" s="106" t="s">
        <v>874</v>
      </c>
      <c r="G407" s="106" t="s">
        <v>350</v>
      </c>
      <c r="H407" s="106" t="s">
        <v>361</v>
      </c>
      <c r="I407" s="106">
        <v>101</v>
      </c>
      <c r="J407" s="106"/>
    </row>
    <row r="408" spans="1:10" x14ac:dyDescent="0.2">
      <c r="A408" s="106" t="s">
        <v>490</v>
      </c>
      <c r="B408" s="106" t="s">
        <v>347</v>
      </c>
      <c r="C408" s="106" t="s">
        <v>348</v>
      </c>
      <c r="D408" s="106" t="s">
        <v>349</v>
      </c>
      <c r="E408">
        <v>3762</v>
      </c>
      <c r="F408" s="106" t="s">
        <v>494</v>
      </c>
      <c r="G408" s="106" t="s">
        <v>350</v>
      </c>
      <c r="H408" s="106" t="s">
        <v>361</v>
      </c>
      <c r="I408">
        <v>522</v>
      </c>
    </row>
    <row r="409" spans="1:10" x14ac:dyDescent="0.2">
      <c r="A409" s="106" t="s">
        <v>490</v>
      </c>
      <c r="B409" s="106" t="s">
        <v>347</v>
      </c>
      <c r="C409" s="106" t="s">
        <v>348</v>
      </c>
      <c r="D409" s="106" t="s">
        <v>353</v>
      </c>
      <c r="E409">
        <v>3841</v>
      </c>
      <c r="F409" s="106" t="s">
        <v>495</v>
      </c>
      <c r="G409" s="106" t="s">
        <v>354</v>
      </c>
      <c r="H409" s="106" t="s">
        <v>361</v>
      </c>
      <c r="I409" s="106">
        <v>23</v>
      </c>
      <c r="J409" s="106"/>
    </row>
    <row r="410" spans="1:10" x14ac:dyDescent="0.2">
      <c r="A410" s="106" t="s">
        <v>490</v>
      </c>
      <c r="B410" s="106" t="s">
        <v>347</v>
      </c>
      <c r="C410" s="106" t="s">
        <v>348</v>
      </c>
      <c r="D410" s="106" t="s">
        <v>349</v>
      </c>
      <c r="E410">
        <v>4310</v>
      </c>
      <c r="F410" s="106" t="s">
        <v>496</v>
      </c>
      <c r="G410" s="106" t="s">
        <v>350</v>
      </c>
      <c r="H410" s="106" t="s">
        <v>355</v>
      </c>
      <c r="I410" s="106">
        <v>164</v>
      </c>
      <c r="J410" s="106"/>
    </row>
    <row r="411" spans="1:10" x14ac:dyDescent="0.2">
      <c r="A411" s="106" t="s">
        <v>490</v>
      </c>
      <c r="B411" s="106" t="s">
        <v>347</v>
      </c>
      <c r="C411" s="106" t="s">
        <v>348</v>
      </c>
      <c r="D411" s="106" t="s">
        <v>349</v>
      </c>
      <c r="E411">
        <v>4368</v>
      </c>
      <c r="F411" s="106" t="s">
        <v>497</v>
      </c>
      <c r="G411" s="106" t="s">
        <v>350</v>
      </c>
      <c r="H411" s="106" t="s">
        <v>363</v>
      </c>
      <c r="I411" s="106" t="s">
        <v>381</v>
      </c>
      <c r="J411" s="106" t="s">
        <v>2460</v>
      </c>
    </row>
    <row r="412" spans="1:10" x14ac:dyDescent="0.2">
      <c r="A412" s="106" t="s">
        <v>490</v>
      </c>
      <c r="B412" s="106" t="s">
        <v>347</v>
      </c>
      <c r="C412" s="106" t="s">
        <v>348</v>
      </c>
      <c r="D412" s="106" t="s">
        <v>349</v>
      </c>
      <c r="E412">
        <v>4816</v>
      </c>
      <c r="F412" s="106" t="s">
        <v>875</v>
      </c>
      <c r="G412" s="106" t="s">
        <v>354</v>
      </c>
      <c r="H412" s="106" t="s">
        <v>361</v>
      </c>
      <c r="I412" s="106" t="s">
        <v>373</v>
      </c>
      <c r="J412" s="106" t="s">
        <v>2461</v>
      </c>
    </row>
    <row r="413" spans="1:10" x14ac:dyDescent="0.2">
      <c r="A413" s="106" t="s">
        <v>490</v>
      </c>
      <c r="B413" s="106" t="s">
        <v>347</v>
      </c>
      <c r="C413" s="106" t="s">
        <v>348</v>
      </c>
      <c r="D413" s="106" t="s">
        <v>349</v>
      </c>
      <c r="E413">
        <v>5332</v>
      </c>
      <c r="F413" s="106" t="s">
        <v>876</v>
      </c>
      <c r="G413" s="106" t="s">
        <v>350</v>
      </c>
      <c r="H413" s="106" t="s">
        <v>392</v>
      </c>
      <c r="I413" s="106" t="s">
        <v>463</v>
      </c>
      <c r="J413" s="106" t="s">
        <v>2462</v>
      </c>
    </row>
    <row r="414" spans="1:10" x14ac:dyDescent="0.2">
      <c r="A414" s="106" t="s">
        <v>490</v>
      </c>
      <c r="B414" s="106" t="s">
        <v>347</v>
      </c>
      <c r="C414" s="106" t="s">
        <v>348</v>
      </c>
      <c r="D414" s="106" t="s">
        <v>349</v>
      </c>
      <c r="E414">
        <v>5727</v>
      </c>
      <c r="F414" s="106" t="s">
        <v>498</v>
      </c>
      <c r="G414" s="106" t="s">
        <v>350</v>
      </c>
      <c r="H414" s="106" t="s">
        <v>499</v>
      </c>
      <c r="I414" s="106">
        <v>656</v>
      </c>
      <c r="J414" s="106"/>
    </row>
    <row r="415" spans="1:10" x14ac:dyDescent="0.2">
      <c r="A415" s="106" t="s">
        <v>490</v>
      </c>
      <c r="B415" s="106" t="s">
        <v>347</v>
      </c>
      <c r="C415" s="106" t="s">
        <v>359</v>
      </c>
      <c r="D415" s="106" t="s">
        <v>349</v>
      </c>
      <c r="E415">
        <v>6028</v>
      </c>
      <c r="F415" s="106" t="s">
        <v>800</v>
      </c>
      <c r="G415" s="106" t="s">
        <v>350</v>
      </c>
      <c r="H415" s="106" t="s">
        <v>355</v>
      </c>
      <c r="I415" s="106" t="s">
        <v>373</v>
      </c>
      <c r="J415" s="106" t="s">
        <v>2463</v>
      </c>
    </row>
    <row r="416" spans="1:10" x14ac:dyDescent="0.2">
      <c r="A416" s="106" t="s">
        <v>490</v>
      </c>
      <c r="B416" s="106" t="s">
        <v>347</v>
      </c>
      <c r="C416" s="106" t="s">
        <v>348</v>
      </c>
      <c r="D416" s="106" t="s">
        <v>349</v>
      </c>
      <c r="E416">
        <v>6322</v>
      </c>
      <c r="F416" s="106" t="s">
        <v>500</v>
      </c>
      <c r="G416" s="106" t="s">
        <v>358</v>
      </c>
      <c r="H416" s="106" t="s">
        <v>371</v>
      </c>
      <c r="I416" s="106">
        <v>126</v>
      </c>
      <c r="J416" s="106"/>
    </row>
    <row r="417" spans="1:10" x14ac:dyDescent="0.2">
      <c r="A417" s="106" t="s">
        <v>490</v>
      </c>
      <c r="B417" s="106" t="s">
        <v>347</v>
      </c>
      <c r="C417" s="106" t="s">
        <v>348</v>
      </c>
      <c r="D417" s="106" t="s">
        <v>349</v>
      </c>
      <c r="E417">
        <v>6659</v>
      </c>
      <c r="F417" s="106" t="s">
        <v>501</v>
      </c>
      <c r="G417" s="106" t="s">
        <v>354</v>
      </c>
      <c r="H417" s="106" t="s">
        <v>375</v>
      </c>
      <c r="I417" s="106">
        <v>18</v>
      </c>
      <c r="J417" s="106"/>
    </row>
    <row r="418" spans="1:10" x14ac:dyDescent="0.2">
      <c r="A418" s="106" t="s">
        <v>490</v>
      </c>
      <c r="B418" s="106" t="s">
        <v>347</v>
      </c>
      <c r="C418" s="106" t="s">
        <v>348</v>
      </c>
      <c r="D418" s="106" t="s">
        <v>349</v>
      </c>
      <c r="E418">
        <v>6837</v>
      </c>
      <c r="F418" s="106" t="s">
        <v>2178</v>
      </c>
      <c r="G418" s="106" t="s">
        <v>354</v>
      </c>
      <c r="H418" s="106" t="s">
        <v>375</v>
      </c>
      <c r="I418" s="106">
        <v>44</v>
      </c>
      <c r="J418" s="106"/>
    </row>
    <row r="419" spans="1:10" x14ac:dyDescent="0.2">
      <c r="A419" s="106" t="s">
        <v>490</v>
      </c>
      <c r="B419" s="106" t="s">
        <v>347</v>
      </c>
      <c r="C419" s="106" t="s">
        <v>348</v>
      </c>
      <c r="D419" s="106" t="s">
        <v>349</v>
      </c>
      <c r="E419">
        <v>6925</v>
      </c>
      <c r="F419" s="106" t="s">
        <v>502</v>
      </c>
      <c r="G419" s="106" t="s">
        <v>350</v>
      </c>
      <c r="H419" s="106" t="s">
        <v>375</v>
      </c>
      <c r="I419" s="106" t="s">
        <v>373</v>
      </c>
      <c r="J419" s="106" t="s">
        <v>2464</v>
      </c>
    </row>
    <row r="420" spans="1:10" x14ac:dyDescent="0.2">
      <c r="A420" s="106" t="s">
        <v>490</v>
      </c>
      <c r="B420" s="106" t="s">
        <v>347</v>
      </c>
      <c r="C420" s="106" t="s">
        <v>348</v>
      </c>
      <c r="D420" s="106" t="s">
        <v>349</v>
      </c>
      <c r="E420">
        <v>7282</v>
      </c>
      <c r="F420" s="106" t="s">
        <v>503</v>
      </c>
      <c r="G420" s="106" t="s">
        <v>350</v>
      </c>
      <c r="H420" s="106" t="s">
        <v>380</v>
      </c>
      <c r="I420" s="106" t="s">
        <v>434</v>
      </c>
      <c r="J420" s="106" t="s">
        <v>2465</v>
      </c>
    </row>
    <row r="421" spans="1:10" x14ac:dyDescent="0.2">
      <c r="A421" s="106" t="s">
        <v>490</v>
      </c>
      <c r="B421" s="106" t="s">
        <v>347</v>
      </c>
      <c r="C421" s="106" t="s">
        <v>348</v>
      </c>
      <c r="D421" s="106" t="s">
        <v>349</v>
      </c>
      <c r="E421">
        <v>7510</v>
      </c>
      <c r="F421" s="106" t="s">
        <v>504</v>
      </c>
      <c r="G421" s="106" t="s">
        <v>350</v>
      </c>
      <c r="H421" s="106" t="s">
        <v>356</v>
      </c>
      <c r="I421" s="106">
        <v>217</v>
      </c>
      <c r="J421" s="106"/>
    </row>
    <row r="422" spans="1:10" x14ac:dyDescent="0.2">
      <c r="A422" s="106" t="s">
        <v>490</v>
      </c>
      <c r="B422" s="106" t="s">
        <v>347</v>
      </c>
      <c r="C422" s="106" t="s">
        <v>348</v>
      </c>
      <c r="D422" s="106" t="s">
        <v>349</v>
      </c>
      <c r="E422">
        <v>7600</v>
      </c>
      <c r="F422" s="106" t="s">
        <v>505</v>
      </c>
      <c r="G422" s="106" t="s">
        <v>350</v>
      </c>
      <c r="H422" s="106" t="s">
        <v>461</v>
      </c>
      <c r="I422" s="106">
        <v>588</v>
      </c>
      <c r="J422" s="106"/>
    </row>
    <row r="423" spans="1:10" x14ac:dyDescent="0.2">
      <c r="A423" s="106" t="s">
        <v>490</v>
      </c>
      <c r="B423" s="106" t="s">
        <v>347</v>
      </c>
      <c r="C423" s="106" t="s">
        <v>348</v>
      </c>
      <c r="D423" s="106" t="s">
        <v>349</v>
      </c>
      <c r="E423">
        <v>7838</v>
      </c>
      <c r="F423" s="106" t="s">
        <v>506</v>
      </c>
      <c r="G423" s="106" t="s">
        <v>350</v>
      </c>
      <c r="H423" s="106" t="s">
        <v>372</v>
      </c>
      <c r="I423" s="106">
        <v>83</v>
      </c>
      <c r="J423" s="106"/>
    </row>
    <row r="424" spans="1:10" x14ac:dyDescent="0.2">
      <c r="A424" s="106" t="s">
        <v>490</v>
      </c>
      <c r="B424" s="106" t="s">
        <v>347</v>
      </c>
      <c r="C424" s="106" t="s">
        <v>348</v>
      </c>
      <c r="D424" s="106" t="s">
        <v>349</v>
      </c>
      <c r="E424">
        <v>7840</v>
      </c>
      <c r="F424" s="106" t="s">
        <v>2179</v>
      </c>
      <c r="G424" s="106" t="s">
        <v>350</v>
      </c>
      <c r="H424" s="106" t="s">
        <v>372</v>
      </c>
      <c r="I424" s="106">
        <v>412</v>
      </c>
      <c r="J424" s="106"/>
    </row>
    <row r="425" spans="1:10" x14ac:dyDescent="0.2">
      <c r="A425" s="106" t="s">
        <v>490</v>
      </c>
      <c r="B425" s="106" t="s">
        <v>347</v>
      </c>
      <c r="C425" s="106" t="s">
        <v>348</v>
      </c>
      <c r="D425" s="106" t="s">
        <v>349</v>
      </c>
      <c r="E425">
        <v>7925</v>
      </c>
      <c r="F425" s="106" t="s">
        <v>507</v>
      </c>
      <c r="G425" s="106" t="s">
        <v>350</v>
      </c>
      <c r="H425" s="106" t="s">
        <v>363</v>
      </c>
      <c r="I425" s="106">
        <v>189</v>
      </c>
      <c r="J425" s="106"/>
    </row>
    <row r="426" spans="1:10" x14ac:dyDescent="0.2">
      <c r="A426" s="106" t="s">
        <v>490</v>
      </c>
      <c r="B426" s="106" t="s">
        <v>347</v>
      </c>
      <c r="C426" s="106" t="s">
        <v>348</v>
      </c>
      <c r="D426" s="106" t="s">
        <v>349</v>
      </c>
      <c r="E426">
        <v>8806</v>
      </c>
      <c r="F426" s="106" t="s">
        <v>508</v>
      </c>
      <c r="G426" s="106" t="s">
        <v>350</v>
      </c>
      <c r="H426" s="106" t="s">
        <v>376</v>
      </c>
      <c r="I426" s="106" t="s">
        <v>381</v>
      </c>
      <c r="J426" s="106" t="s">
        <v>2466</v>
      </c>
    </row>
    <row r="427" spans="1:10" x14ac:dyDescent="0.2">
      <c r="A427" s="106" t="s">
        <v>490</v>
      </c>
      <c r="B427" s="106" t="s">
        <v>347</v>
      </c>
      <c r="C427" s="106" t="s">
        <v>348</v>
      </c>
      <c r="D427" s="106" t="s">
        <v>349</v>
      </c>
      <c r="E427">
        <v>9502</v>
      </c>
      <c r="F427" s="106" t="s">
        <v>615</v>
      </c>
      <c r="G427" s="106" t="s">
        <v>350</v>
      </c>
      <c r="H427" s="106" t="s">
        <v>616</v>
      </c>
      <c r="I427" s="106" t="s">
        <v>617</v>
      </c>
      <c r="J427" s="106" t="s">
        <v>2467</v>
      </c>
    </row>
    <row r="428" spans="1:10" x14ac:dyDescent="0.2">
      <c r="A428" s="106" t="s">
        <v>490</v>
      </c>
      <c r="B428" s="106" t="s">
        <v>347</v>
      </c>
      <c r="C428" s="106" t="s">
        <v>348</v>
      </c>
      <c r="D428" s="106" t="s">
        <v>349</v>
      </c>
      <c r="E428">
        <v>9511</v>
      </c>
      <c r="F428" s="106" t="s">
        <v>2180</v>
      </c>
      <c r="G428" s="106" t="s">
        <v>350</v>
      </c>
      <c r="H428" s="106" t="s">
        <v>616</v>
      </c>
      <c r="I428" s="106" t="s">
        <v>381</v>
      </c>
      <c r="J428" s="106" t="s">
        <v>2468</v>
      </c>
    </row>
    <row r="429" spans="1:10" x14ac:dyDescent="0.2">
      <c r="A429" s="106" t="s">
        <v>490</v>
      </c>
      <c r="B429" s="106" t="s">
        <v>347</v>
      </c>
      <c r="C429" s="106" t="s">
        <v>348</v>
      </c>
      <c r="D429" s="106" t="s">
        <v>349</v>
      </c>
      <c r="E429">
        <v>9759</v>
      </c>
      <c r="F429" s="106" t="s">
        <v>2182</v>
      </c>
      <c r="G429" s="106" t="s">
        <v>350</v>
      </c>
      <c r="H429" s="106" t="s">
        <v>361</v>
      </c>
      <c r="I429" s="106" t="s">
        <v>381</v>
      </c>
      <c r="J429" s="106" t="s">
        <v>2469</v>
      </c>
    </row>
    <row r="430" spans="1:10" x14ac:dyDescent="0.2">
      <c r="A430" s="106" t="s">
        <v>509</v>
      </c>
      <c r="B430" s="106" t="s">
        <v>347</v>
      </c>
      <c r="C430" s="106" t="s">
        <v>348</v>
      </c>
      <c r="D430" s="106" t="s">
        <v>353</v>
      </c>
      <c r="E430">
        <v>1379</v>
      </c>
      <c r="F430" s="106" t="s">
        <v>510</v>
      </c>
      <c r="G430" s="106" t="s">
        <v>350</v>
      </c>
      <c r="H430" s="106" t="s">
        <v>398</v>
      </c>
      <c r="I430">
        <v>665</v>
      </c>
    </row>
    <row r="431" spans="1:10" x14ac:dyDescent="0.2">
      <c r="A431" s="106" t="s">
        <v>509</v>
      </c>
      <c r="B431" s="106" t="s">
        <v>347</v>
      </c>
      <c r="C431" s="106" t="s">
        <v>348</v>
      </c>
      <c r="D431" s="106" t="s">
        <v>349</v>
      </c>
      <c r="E431">
        <v>1515</v>
      </c>
      <c r="F431" s="106" t="s">
        <v>2183</v>
      </c>
      <c r="G431" s="106" t="s">
        <v>350</v>
      </c>
      <c r="H431" s="106" t="s">
        <v>712</v>
      </c>
      <c r="I431">
        <v>418</v>
      </c>
    </row>
    <row r="432" spans="1:10" x14ac:dyDescent="0.2">
      <c r="A432" s="106" t="s">
        <v>509</v>
      </c>
      <c r="B432" s="106" t="s">
        <v>347</v>
      </c>
      <c r="C432" s="106" t="s">
        <v>359</v>
      </c>
      <c r="D432" s="106" t="s">
        <v>353</v>
      </c>
      <c r="E432">
        <v>2428</v>
      </c>
      <c r="F432" s="106" t="s">
        <v>883</v>
      </c>
      <c r="G432" s="106" t="s">
        <v>350</v>
      </c>
      <c r="H432" s="106" t="s">
        <v>355</v>
      </c>
      <c r="I432">
        <v>147</v>
      </c>
    </row>
    <row r="433" spans="1:10" x14ac:dyDescent="0.2">
      <c r="A433" s="106" t="s">
        <v>509</v>
      </c>
      <c r="B433" s="106" t="s">
        <v>347</v>
      </c>
      <c r="C433" s="106" t="s">
        <v>348</v>
      </c>
      <c r="D433" s="106" t="s">
        <v>349</v>
      </c>
      <c r="E433">
        <v>2676</v>
      </c>
      <c r="F433" s="106" t="s">
        <v>877</v>
      </c>
      <c r="G433" s="106" t="s">
        <v>350</v>
      </c>
      <c r="H433" s="106" t="s">
        <v>356</v>
      </c>
      <c r="I433" s="106">
        <v>115</v>
      </c>
      <c r="J433" s="106"/>
    </row>
    <row r="434" spans="1:10" x14ac:dyDescent="0.2">
      <c r="A434" s="106" t="s">
        <v>509</v>
      </c>
      <c r="B434" s="106" t="s">
        <v>347</v>
      </c>
      <c r="C434" s="106" t="s">
        <v>359</v>
      </c>
      <c r="D434" s="106" t="s">
        <v>349</v>
      </c>
      <c r="E434">
        <v>2689</v>
      </c>
      <c r="F434" s="106" t="s">
        <v>2184</v>
      </c>
      <c r="G434" s="106" t="s">
        <v>358</v>
      </c>
      <c r="H434" s="106" t="s">
        <v>356</v>
      </c>
      <c r="I434" s="106">
        <v>87</v>
      </c>
      <c r="J434" s="106"/>
    </row>
    <row r="435" spans="1:10" x14ac:dyDescent="0.2">
      <c r="A435" s="106" t="s">
        <v>509</v>
      </c>
      <c r="B435" s="106" t="s">
        <v>347</v>
      </c>
      <c r="C435" s="106" t="s">
        <v>348</v>
      </c>
      <c r="D435" s="106" t="s">
        <v>349</v>
      </c>
      <c r="E435">
        <v>2907</v>
      </c>
      <c r="F435" s="106" t="s">
        <v>511</v>
      </c>
      <c r="G435" s="106" t="s">
        <v>358</v>
      </c>
      <c r="H435" s="106" t="s">
        <v>351</v>
      </c>
      <c r="I435" s="106">
        <v>68</v>
      </c>
      <c r="J435" s="106"/>
    </row>
    <row r="436" spans="1:10" x14ac:dyDescent="0.2">
      <c r="A436" s="106" t="s">
        <v>509</v>
      </c>
      <c r="B436" s="106" t="s">
        <v>347</v>
      </c>
      <c r="C436" s="106" t="s">
        <v>348</v>
      </c>
      <c r="D436" s="106" t="s">
        <v>349</v>
      </c>
      <c r="E436">
        <v>3024</v>
      </c>
      <c r="F436" s="106" t="s">
        <v>878</v>
      </c>
      <c r="G436" s="106" t="s">
        <v>354</v>
      </c>
      <c r="H436" s="106" t="s">
        <v>356</v>
      </c>
      <c r="I436">
        <v>29</v>
      </c>
    </row>
    <row r="437" spans="1:10" x14ac:dyDescent="0.2">
      <c r="A437" s="106" t="s">
        <v>509</v>
      </c>
      <c r="B437" s="106" t="s">
        <v>347</v>
      </c>
      <c r="C437" s="106" t="s">
        <v>348</v>
      </c>
      <c r="D437" s="106" t="s">
        <v>353</v>
      </c>
      <c r="E437">
        <v>3484</v>
      </c>
      <c r="F437" s="106" t="s">
        <v>879</v>
      </c>
      <c r="G437" s="106" t="s">
        <v>350</v>
      </c>
      <c r="H437" s="106" t="s">
        <v>376</v>
      </c>
      <c r="I437">
        <v>187</v>
      </c>
    </row>
    <row r="438" spans="1:10" x14ac:dyDescent="0.2">
      <c r="A438" s="106" t="s">
        <v>509</v>
      </c>
      <c r="B438" s="106" t="s">
        <v>347</v>
      </c>
      <c r="C438" s="106" t="s">
        <v>348</v>
      </c>
      <c r="D438" s="106" t="s">
        <v>349</v>
      </c>
      <c r="E438">
        <v>3612</v>
      </c>
      <c r="F438" s="106" t="s">
        <v>512</v>
      </c>
      <c r="G438" s="106" t="s">
        <v>350</v>
      </c>
      <c r="H438" s="106" t="s">
        <v>383</v>
      </c>
      <c r="I438" s="106">
        <v>976</v>
      </c>
      <c r="J438" s="106"/>
    </row>
    <row r="439" spans="1:10" x14ac:dyDescent="0.2">
      <c r="A439" s="106" t="s">
        <v>509</v>
      </c>
      <c r="B439" s="106" t="s">
        <v>347</v>
      </c>
      <c r="C439" s="106" t="s">
        <v>348</v>
      </c>
      <c r="D439" s="106" t="s">
        <v>349</v>
      </c>
      <c r="E439">
        <v>4044</v>
      </c>
      <c r="F439" s="106" t="s">
        <v>2185</v>
      </c>
      <c r="G439" s="106" t="s">
        <v>350</v>
      </c>
      <c r="H439" s="106" t="s">
        <v>363</v>
      </c>
      <c r="I439" s="106" t="s">
        <v>381</v>
      </c>
      <c r="J439" s="106" t="s">
        <v>2260</v>
      </c>
    </row>
    <row r="440" spans="1:10" x14ac:dyDescent="0.2">
      <c r="A440" s="106" t="s">
        <v>509</v>
      </c>
      <c r="B440" s="106" t="s">
        <v>347</v>
      </c>
      <c r="C440" s="106" t="s">
        <v>348</v>
      </c>
      <c r="D440" s="106" t="s">
        <v>349</v>
      </c>
      <c r="E440">
        <v>4521</v>
      </c>
      <c r="F440" s="106" t="s">
        <v>880</v>
      </c>
      <c r="G440" s="106" t="s">
        <v>350</v>
      </c>
      <c r="H440" s="106" t="s">
        <v>395</v>
      </c>
      <c r="I440" s="106" t="s">
        <v>373</v>
      </c>
      <c r="J440" s="106" t="s">
        <v>2470</v>
      </c>
    </row>
    <row r="441" spans="1:10" x14ac:dyDescent="0.2">
      <c r="A441" s="106" t="s">
        <v>509</v>
      </c>
      <c r="B441" s="106" t="s">
        <v>347</v>
      </c>
      <c r="C441" s="106" t="s">
        <v>348</v>
      </c>
      <c r="D441" s="106" t="s">
        <v>349</v>
      </c>
      <c r="E441">
        <v>6005</v>
      </c>
      <c r="F441" s="106" t="s">
        <v>2187</v>
      </c>
      <c r="G441" s="106" t="s">
        <v>350</v>
      </c>
      <c r="H441" s="106" t="s">
        <v>371</v>
      </c>
      <c r="I441" s="106" t="s">
        <v>400</v>
      </c>
      <c r="J441" s="106" t="s">
        <v>2229</v>
      </c>
    </row>
    <row r="442" spans="1:10" x14ac:dyDescent="0.2">
      <c r="A442" s="106" t="s">
        <v>509</v>
      </c>
      <c r="B442" s="106" t="s">
        <v>347</v>
      </c>
      <c r="C442" s="106" t="s">
        <v>359</v>
      </c>
      <c r="D442" s="106" t="s">
        <v>349</v>
      </c>
      <c r="E442">
        <v>6920</v>
      </c>
      <c r="F442" s="106" t="s">
        <v>801</v>
      </c>
      <c r="G442" s="106" t="s">
        <v>350</v>
      </c>
      <c r="H442" s="106" t="s">
        <v>375</v>
      </c>
      <c r="I442" s="106" t="s">
        <v>400</v>
      </c>
      <c r="J442" s="106" t="s">
        <v>2471</v>
      </c>
    </row>
    <row r="443" spans="1:10" x14ac:dyDescent="0.2">
      <c r="A443" s="106" t="s">
        <v>509</v>
      </c>
      <c r="B443" s="106" t="s">
        <v>347</v>
      </c>
      <c r="C443" s="106" t="s">
        <v>348</v>
      </c>
      <c r="D443" s="106" t="s">
        <v>353</v>
      </c>
      <c r="E443">
        <v>7506</v>
      </c>
      <c r="F443" s="106" t="s">
        <v>513</v>
      </c>
      <c r="G443" s="106" t="s">
        <v>350</v>
      </c>
      <c r="H443" s="106" t="s">
        <v>360</v>
      </c>
      <c r="I443">
        <v>78</v>
      </c>
    </row>
    <row r="444" spans="1:10" x14ac:dyDescent="0.2">
      <c r="A444" s="106" t="s">
        <v>509</v>
      </c>
      <c r="B444" s="106" t="s">
        <v>347</v>
      </c>
      <c r="C444" s="106" t="s">
        <v>348</v>
      </c>
      <c r="D444" s="106" t="s">
        <v>349</v>
      </c>
      <c r="E444">
        <v>7859</v>
      </c>
      <c r="F444" s="106" t="s">
        <v>514</v>
      </c>
      <c r="G444" s="106" t="s">
        <v>358</v>
      </c>
      <c r="H444" s="106" t="s">
        <v>372</v>
      </c>
      <c r="I444" s="106">
        <v>28</v>
      </c>
      <c r="J444" s="106"/>
    </row>
    <row r="445" spans="1:10" x14ac:dyDescent="0.2">
      <c r="A445" s="106" t="s">
        <v>509</v>
      </c>
      <c r="B445" s="106" t="s">
        <v>347</v>
      </c>
      <c r="C445" s="106" t="s">
        <v>348</v>
      </c>
      <c r="D445" s="106" t="s">
        <v>349</v>
      </c>
      <c r="E445">
        <v>9008</v>
      </c>
      <c r="F445" s="106" t="s">
        <v>881</v>
      </c>
      <c r="G445" s="106" t="s">
        <v>350</v>
      </c>
      <c r="H445" s="106" t="s">
        <v>482</v>
      </c>
      <c r="I445" s="106" t="s">
        <v>463</v>
      </c>
      <c r="J445" s="106" t="s">
        <v>2472</v>
      </c>
    </row>
    <row r="446" spans="1:10" x14ac:dyDescent="0.2">
      <c r="A446" s="106" t="s">
        <v>515</v>
      </c>
      <c r="B446" s="106" t="s">
        <v>414</v>
      </c>
      <c r="C446" s="106" t="s">
        <v>348</v>
      </c>
      <c r="D446" s="106" t="s">
        <v>349</v>
      </c>
      <c r="E446">
        <v>2607</v>
      </c>
      <c r="F446" s="106" t="s">
        <v>882</v>
      </c>
      <c r="G446" s="106" t="s">
        <v>350</v>
      </c>
      <c r="H446" s="106" t="s">
        <v>351</v>
      </c>
      <c r="I446" s="106" t="s">
        <v>373</v>
      </c>
      <c r="J446" s="106" t="s">
        <v>2472</v>
      </c>
    </row>
    <row r="447" spans="1:10" x14ac:dyDescent="0.2">
      <c r="A447" s="106" t="s">
        <v>515</v>
      </c>
      <c r="B447" s="106" t="s">
        <v>414</v>
      </c>
      <c r="C447" s="106" t="s">
        <v>348</v>
      </c>
      <c r="D447" s="106" t="s">
        <v>349</v>
      </c>
      <c r="E447">
        <v>4502</v>
      </c>
      <c r="F447" s="106" t="s">
        <v>516</v>
      </c>
      <c r="G447" s="106" t="s">
        <v>350</v>
      </c>
      <c r="H447" s="106" t="s">
        <v>395</v>
      </c>
      <c r="I447" s="106" t="s">
        <v>2188</v>
      </c>
      <c r="J447" s="106" t="s">
        <v>1914</v>
      </c>
    </row>
    <row r="448" spans="1:10" x14ac:dyDescent="0.2">
      <c r="A448" s="106" t="s">
        <v>515</v>
      </c>
      <c r="B448" s="106" t="s">
        <v>347</v>
      </c>
      <c r="C448" s="106" t="s">
        <v>348</v>
      </c>
      <c r="D448" s="106" t="s">
        <v>349</v>
      </c>
      <c r="E448">
        <v>2117</v>
      </c>
      <c r="F448" s="106" t="s">
        <v>802</v>
      </c>
      <c r="G448" s="106" t="s">
        <v>350</v>
      </c>
      <c r="H448" s="106" t="s">
        <v>351</v>
      </c>
      <c r="I448">
        <v>460</v>
      </c>
    </row>
    <row r="449" spans="1:10" x14ac:dyDescent="0.2">
      <c r="A449" s="106" t="s">
        <v>515</v>
      </c>
      <c r="B449" s="106" t="s">
        <v>347</v>
      </c>
      <c r="C449" s="106" t="s">
        <v>357</v>
      </c>
      <c r="D449" s="106" t="s">
        <v>353</v>
      </c>
      <c r="E449">
        <v>2268</v>
      </c>
      <c r="F449" s="106" t="s">
        <v>517</v>
      </c>
      <c r="G449" s="106" t="s">
        <v>354</v>
      </c>
      <c r="H449" s="106" t="s">
        <v>351</v>
      </c>
      <c r="I449">
        <v>388</v>
      </c>
    </row>
    <row r="450" spans="1:10" x14ac:dyDescent="0.2">
      <c r="A450" s="106" t="s">
        <v>515</v>
      </c>
      <c r="B450" s="106" t="s">
        <v>347</v>
      </c>
      <c r="C450" s="106" t="s">
        <v>348</v>
      </c>
      <c r="D450" s="106" t="s">
        <v>349</v>
      </c>
      <c r="E450">
        <v>2801</v>
      </c>
      <c r="F450" s="106" t="s">
        <v>2189</v>
      </c>
      <c r="G450" s="106" t="s">
        <v>350</v>
      </c>
      <c r="H450" s="106" t="s">
        <v>351</v>
      </c>
      <c r="I450" s="106" t="s">
        <v>485</v>
      </c>
      <c r="J450" s="106" t="s">
        <v>2473</v>
      </c>
    </row>
    <row r="451" spans="1:10" x14ac:dyDescent="0.2">
      <c r="A451" s="106" t="s">
        <v>515</v>
      </c>
      <c r="B451" s="106" t="s">
        <v>347</v>
      </c>
      <c r="C451" s="106" t="s">
        <v>348</v>
      </c>
      <c r="D451" s="106" t="s">
        <v>349</v>
      </c>
      <c r="E451">
        <v>2871</v>
      </c>
      <c r="F451" s="106" t="s">
        <v>884</v>
      </c>
      <c r="G451" s="106" t="s">
        <v>350</v>
      </c>
      <c r="H451" s="106" t="s">
        <v>351</v>
      </c>
      <c r="I451" s="106" t="s">
        <v>434</v>
      </c>
      <c r="J451" s="106" t="s">
        <v>2474</v>
      </c>
    </row>
    <row r="452" spans="1:10" x14ac:dyDescent="0.2">
      <c r="A452" s="106" t="s">
        <v>515</v>
      </c>
      <c r="B452" s="106" t="s">
        <v>347</v>
      </c>
      <c r="C452" s="106" t="s">
        <v>348</v>
      </c>
      <c r="D452" s="106" t="s">
        <v>349</v>
      </c>
      <c r="E452">
        <v>6151</v>
      </c>
      <c r="F452" s="106" t="s">
        <v>518</v>
      </c>
      <c r="G452" s="106" t="s">
        <v>350</v>
      </c>
      <c r="H452" s="106" t="s">
        <v>371</v>
      </c>
      <c r="I452" s="106">
        <v>540</v>
      </c>
      <c r="J452" s="106"/>
    </row>
    <row r="453" spans="1:10" x14ac:dyDescent="0.2">
      <c r="A453" s="106" t="s">
        <v>515</v>
      </c>
      <c r="B453" s="106" t="s">
        <v>347</v>
      </c>
      <c r="C453" s="106" t="s">
        <v>348</v>
      </c>
      <c r="D453" s="106" t="s">
        <v>349</v>
      </c>
      <c r="E453">
        <v>7230</v>
      </c>
      <c r="F453" s="106" t="s">
        <v>690</v>
      </c>
      <c r="G453" s="106" t="s">
        <v>350</v>
      </c>
      <c r="H453" s="106" t="s">
        <v>380</v>
      </c>
      <c r="I453" s="106" t="s">
        <v>381</v>
      </c>
      <c r="J453" s="106" t="s">
        <v>2475</v>
      </c>
    </row>
    <row r="454" spans="1:10" x14ac:dyDescent="0.2">
      <c r="A454" s="106" t="s">
        <v>515</v>
      </c>
      <c r="B454" s="106" t="s">
        <v>347</v>
      </c>
      <c r="C454" s="106" t="s">
        <v>348</v>
      </c>
      <c r="D454" s="106" t="s">
        <v>349</v>
      </c>
      <c r="E454">
        <v>7419</v>
      </c>
      <c r="F454" s="106" t="s">
        <v>519</v>
      </c>
      <c r="G454" s="106" t="s">
        <v>350</v>
      </c>
      <c r="H454" s="106" t="s">
        <v>360</v>
      </c>
      <c r="I454" t="s">
        <v>381</v>
      </c>
      <c r="J454" t="s">
        <v>2476</v>
      </c>
    </row>
    <row r="455" spans="1:10" x14ac:dyDescent="0.2">
      <c r="A455" s="106" t="s">
        <v>515</v>
      </c>
      <c r="B455" s="106" t="s">
        <v>347</v>
      </c>
      <c r="C455" s="106" t="s">
        <v>359</v>
      </c>
      <c r="D455" s="106" t="s">
        <v>349</v>
      </c>
      <c r="E455">
        <v>8945</v>
      </c>
      <c r="F455" s="106" t="s">
        <v>803</v>
      </c>
      <c r="G455" s="106" t="s">
        <v>350</v>
      </c>
      <c r="H455" s="106" t="s">
        <v>376</v>
      </c>
      <c r="I455">
        <v>127</v>
      </c>
    </row>
    <row r="456" spans="1:10" x14ac:dyDescent="0.2">
      <c r="A456" s="106" t="s">
        <v>520</v>
      </c>
      <c r="B456" s="106" t="s">
        <v>347</v>
      </c>
      <c r="C456" s="106" t="s">
        <v>348</v>
      </c>
      <c r="D456" s="106" t="s">
        <v>349</v>
      </c>
      <c r="E456">
        <v>2130</v>
      </c>
      <c r="F456" s="106" t="s">
        <v>521</v>
      </c>
      <c r="G456" s="106" t="s">
        <v>350</v>
      </c>
      <c r="H456" s="106" t="s">
        <v>355</v>
      </c>
      <c r="I456">
        <v>295</v>
      </c>
    </row>
    <row r="457" spans="1:10" x14ac:dyDescent="0.2">
      <c r="A457" s="106" t="s">
        <v>520</v>
      </c>
      <c r="B457" s="106" t="s">
        <v>347</v>
      </c>
      <c r="C457" s="106" t="s">
        <v>348</v>
      </c>
      <c r="D457" s="106" t="s">
        <v>353</v>
      </c>
      <c r="E457">
        <v>3464</v>
      </c>
      <c r="F457" s="106" t="s">
        <v>674</v>
      </c>
      <c r="G457" s="106" t="s">
        <v>350</v>
      </c>
      <c r="H457" s="106" t="s">
        <v>376</v>
      </c>
      <c r="I457" s="106">
        <v>82</v>
      </c>
      <c r="J457" s="106"/>
    </row>
    <row r="458" spans="1:10" x14ac:dyDescent="0.2">
      <c r="A458" s="106" t="s">
        <v>520</v>
      </c>
      <c r="B458" s="106" t="s">
        <v>347</v>
      </c>
      <c r="C458" s="106" t="s">
        <v>348</v>
      </c>
      <c r="D458" s="106" t="s">
        <v>349</v>
      </c>
      <c r="E458">
        <v>4091</v>
      </c>
      <c r="F458" s="106" t="s">
        <v>2190</v>
      </c>
      <c r="G458" s="106" t="s">
        <v>350</v>
      </c>
      <c r="H458" s="106" t="s">
        <v>363</v>
      </c>
      <c r="I458" s="106" t="s">
        <v>485</v>
      </c>
      <c r="J458" s="106" t="s">
        <v>2191</v>
      </c>
    </row>
    <row r="459" spans="1:10" x14ac:dyDescent="0.2">
      <c r="A459" s="106" t="s">
        <v>520</v>
      </c>
      <c r="B459" s="106" t="s">
        <v>347</v>
      </c>
      <c r="C459" s="106" t="s">
        <v>348</v>
      </c>
      <c r="D459" s="106" t="s">
        <v>349</v>
      </c>
      <c r="E459">
        <v>4183</v>
      </c>
      <c r="F459" s="106" t="s">
        <v>2192</v>
      </c>
      <c r="G459" s="106" t="s">
        <v>350</v>
      </c>
      <c r="H459" s="106" t="s">
        <v>363</v>
      </c>
      <c r="I459" s="106" t="s">
        <v>367</v>
      </c>
      <c r="J459" s="106" t="s">
        <v>1914</v>
      </c>
    </row>
    <row r="460" spans="1:10" x14ac:dyDescent="0.2">
      <c r="A460" s="106" t="s">
        <v>520</v>
      </c>
      <c r="B460" s="106" t="s">
        <v>347</v>
      </c>
      <c r="C460" s="106" t="s">
        <v>348</v>
      </c>
      <c r="D460" s="106" t="s">
        <v>349</v>
      </c>
      <c r="E460">
        <v>4403</v>
      </c>
      <c r="F460" s="106" t="s">
        <v>2193</v>
      </c>
      <c r="G460" s="106" t="s">
        <v>350</v>
      </c>
      <c r="H460" s="106" t="s">
        <v>363</v>
      </c>
      <c r="I460" s="106" t="s">
        <v>434</v>
      </c>
      <c r="J460" s="106" t="s">
        <v>2408</v>
      </c>
    </row>
    <row r="461" spans="1:10" x14ac:dyDescent="0.2">
      <c r="A461" s="106" t="s">
        <v>520</v>
      </c>
      <c r="B461" s="106" t="s">
        <v>347</v>
      </c>
      <c r="C461" s="106" t="s">
        <v>348</v>
      </c>
      <c r="D461" s="106" t="s">
        <v>349</v>
      </c>
      <c r="E461">
        <v>4485</v>
      </c>
      <c r="F461" s="106" t="s">
        <v>2477</v>
      </c>
      <c r="G461" s="106" t="s">
        <v>362</v>
      </c>
      <c r="H461" s="106" t="s">
        <v>361</v>
      </c>
      <c r="I461" s="106">
        <v>600</v>
      </c>
      <c r="J461" s="106"/>
    </row>
    <row r="462" spans="1:10" x14ac:dyDescent="0.2">
      <c r="A462" s="106" t="s">
        <v>520</v>
      </c>
      <c r="B462" s="106" t="s">
        <v>347</v>
      </c>
      <c r="C462" s="106" t="s">
        <v>348</v>
      </c>
      <c r="D462" s="106" t="s">
        <v>349</v>
      </c>
      <c r="E462">
        <v>4516</v>
      </c>
      <c r="F462" s="106" t="s">
        <v>2194</v>
      </c>
      <c r="G462" s="106" t="s">
        <v>350</v>
      </c>
      <c r="H462" s="106" t="s">
        <v>395</v>
      </c>
      <c r="I462" t="s">
        <v>409</v>
      </c>
      <c r="J462" t="s">
        <v>2177</v>
      </c>
    </row>
    <row r="463" spans="1:10" x14ac:dyDescent="0.2">
      <c r="A463" s="106" t="s">
        <v>520</v>
      </c>
      <c r="B463" s="106" t="s">
        <v>347</v>
      </c>
      <c r="C463" s="106" t="s">
        <v>348</v>
      </c>
      <c r="D463" s="106" t="s">
        <v>353</v>
      </c>
      <c r="E463">
        <v>6678</v>
      </c>
      <c r="F463" s="106" t="s">
        <v>522</v>
      </c>
      <c r="G463" s="106" t="s">
        <v>350</v>
      </c>
      <c r="H463" s="106" t="s">
        <v>375</v>
      </c>
      <c r="I463" s="106">
        <v>183</v>
      </c>
      <c r="J463" s="106"/>
    </row>
    <row r="464" spans="1:10" x14ac:dyDescent="0.2">
      <c r="A464" s="106" t="s">
        <v>520</v>
      </c>
      <c r="B464" s="106" t="s">
        <v>347</v>
      </c>
      <c r="C464" s="106" t="s">
        <v>348</v>
      </c>
      <c r="D464" s="106" t="s">
        <v>349</v>
      </c>
      <c r="E464">
        <v>6875</v>
      </c>
      <c r="F464" s="106" t="s">
        <v>523</v>
      </c>
      <c r="G464" s="106" t="s">
        <v>350</v>
      </c>
      <c r="H464" s="106" t="s">
        <v>375</v>
      </c>
      <c r="I464" s="106">
        <v>446</v>
      </c>
      <c r="J464" s="106"/>
    </row>
    <row r="465" spans="1:10" x14ac:dyDescent="0.2">
      <c r="A465" s="106" t="s">
        <v>520</v>
      </c>
      <c r="B465" s="106" t="s">
        <v>347</v>
      </c>
      <c r="C465" s="106" t="s">
        <v>359</v>
      </c>
      <c r="D465" s="106" t="s">
        <v>349</v>
      </c>
      <c r="E465">
        <v>7532</v>
      </c>
      <c r="F465" s="106" t="s">
        <v>804</v>
      </c>
      <c r="G465" s="106" t="s">
        <v>350</v>
      </c>
      <c r="H465" s="106" t="s">
        <v>360</v>
      </c>
      <c r="I465" s="106" t="s">
        <v>617</v>
      </c>
      <c r="J465" s="106" t="s">
        <v>2478</v>
      </c>
    </row>
    <row r="466" spans="1:10" x14ac:dyDescent="0.2">
      <c r="A466" s="106" t="s">
        <v>524</v>
      </c>
      <c r="B466" s="106" t="s">
        <v>414</v>
      </c>
      <c r="C466" s="106" t="s">
        <v>357</v>
      </c>
      <c r="D466" s="106" t="s">
        <v>349</v>
      </c>
      <c r="E466">
        <v>2914</v>
      </c>
      <c r="F466" s="106" t="s">
        <v>805</v>
      </c>
      <c r="G466" s="106" t="s">
        <v>350</v>
      </c>
      <c r="H466" s="106" t="s">
        <v>351</v>
      </c>
      <c r="I466" t="s">
        <v>885</v>
      </c>
      <c r="J466" t="s">
        <v>2426</v>
      </c>
    </row>
    <row r="467" spans="1:10" x14ac:dyDescent="0.2">
      <c r="A467" s="106" t="s">
        <v>524</v>
      </c>
      <c r="B467" s="106" t="s">
        <v>414</v>
      </c>
      <c r="C467" s="106" t="s">
        <v>359</v>
      </c>
      <c r="D467" s="106" t="s">
        <v>349</v>
      </c>
      <c r="E467">
        <v>4385</v>
      </c>
      <c r="F467" s="106" t="s">
        <v>886</v>
      </c>
      <c r="G467" s="106" t="s">
        <v>362</v>
      </c>
      <c r="H467" s="106" t="s">
        <v>361</v>
      </c>
      <c r="I467" t="s">
        <v>434</v>
      </c>
      <c r="J467" t="s">
        <v>2479</v>
      </c>
    </row>
    <row r="468" spans="1:10" x14ac:dyDescent="0.2">
      <c r="A468" s="106" t="s">
        <v>524</v>
      </c>
      <c r="B468" s="106" t="s">
        <v>347</v>
      </c>
      <c r="C468" s="106" t="s">
        <v>348</v>
      </c>
      <c r="D468" s="106" t="s">
        <v>349</v>
      </c>
      <c r="E468">
        <v>2372</v>
      </c>
      <c r="F468" s="106" t="s">
        <v>525</v>
      </c>
      <c r="G468" s="106" t="s">
        <v>350</v>
      </c>
      <c r="H468" s="106" t="s">
        <v>355</v>
      </c>
      <c r="I468" s="106">
        <v>186</v>
      </c>
      <c r="J468" s="106"/>
    </row>
    <row r="469" spans="1:10" x14ac:dyDescent="0.2">
      <c r="A469" s="106" t="s">
        <v>524</v>
      </c>
      <c r="B469" s="106" t="s">
        <v>347</v>
      </c>
      <c r="C469" s="106" t="s">
        <v>348</v>
      </c>
      <c r="D469" s="106" t="s">
        <v>349</v>
      </c>
      <c r="E469">
        <v>2487</v>
      </c>
      <c r="F469" s="106" t="s">
        <v>887</v>
      </c>
      <c r="G469" s="106" t="s">
        <v>350</v>
      </c>
      <c r="H469" s="106" t="s">
        <v>355</v>
      </c>
      <c r="I469" s="106">
        <v>88</v>
      </c>
      <c r="J469" s="106"/>
    </row>
    <row r="470" spans="1:10" x14ac:dyDescent="0.2">
      <c r="A470" s="106" t="s">
        <v>524</v>
      </c>
      <c r="B470" s="106" t="s">
        <v>347</v>
      </c>
      <c r="C470" s="106" t="s">
        <v>359</v>
      </c>
      <c r="D470" s="106" t="s">
        <v>349</v>
      </c>
      <c r="E470">
        <v>3242</v>
      </c>
      <c r="F470" s="106" t="s">
        <v>526</v>
      </c>
      <c r="G470" s="106" t="s">
        <v>354</v>
      </c>
      <c r="H470" s="106" t="s">
        <v>376</v>
      </c>
      <c r="I470" s="106">
        <v>109</v>
      </c>
      <c r="J470" s="106"/>
    </row>
    <row r="471" spans="1:10" x14ac:dyDescent="0.2">
      <c r="A471" s="106" t="s">
        <v>524</v>
      </c>
      <c r="B471" s="106" t="s">
        <v>347</v>
      </c>
      <c r="C471" s="106" t="s">
        <v>348</v>
      </c>
      <c r="D471" s="106" t="s">
        <v>353</v>
      </c>
      <c r="E471">
        <v>3634</v>
      </c>
      <c r="F471" s="106" t="s">
        <v>888</v>
      </c>
      <c r="G471" s="106" t="s">
        <v>362</v>
      </c>
      <c r="H471" s="106" t="s">
        <v>361</v>
      </c>
      <c r="I471" s="106">
        <v>34</v>
      </c>
      <c r="J471" s="106"/>
    </row>
    <row r="472" spans="1:10" x14ac:dyDescent="0.2">
      <c r="A472" s="106" t="s">
        <v>524</v>
      </c>
      <c r="B472" s="106" t="s">
        <v>347</v>
      </c>
      <c r="C472" s="106" t="s">
        <v>348</v>
      </c>
      <c r="D472" s="106" t="s">
        <v>353</v>
      </c>
      <c r="E472">
        <v>3837</v>
      </c>
      <c r="F472" s="106" t="s">
        <v>889</v>
      </c>
      <c r="G472" s="106" t="s">
        <v>350</v>
      </c>
      <c r="H472" s="106" t="s">
        <v>361</v>
      </c>
      <c r="I472" s="106">
        <v>209</v>
      </c>
      <c r="J472" s="106"/>
    </row>
    <row r="473" spans="1:10" x14ac:dyDescent="0.2">
      <c r="A473" s="106" t="s">
        <v>524</v>
      </c>
      <c r="B473" s="106" t="s">
        <v>347</v>
      </c>
      <c r="C473" s="106" t="s">
        <v>348</v>
      </c>
      <c r="D473" s="106" t="s">
        <v>349</v>
      </c>
      <c r="E473">
        <v>4626</v>
      </c>
      <c r="F473" s="106" t="s">
        <v>527</v>
      </c>
      <c r="G473" s="106" t="s">
        <v>350</v>
      </c>
      <c r="H473" s="106" t="s">
        <v>363</v>
      </c>
      <c r="I473" t="s">
        <v>381</v>
      </c>
      <c r="J473" t="s">
        <v>2480</v>
      </c>
    </row>
    <row r="474" spans="1:10" x14ac:dyDescent="0.2">
      <c r="A474" s="106" t="s">
        <v>524</v>
      </c>
      <c r="B474" s="106" t="s">
        <v>347</v>
      </c>
      <c r="C474" s="106" t="s">
        <v>348</v>
      </c>
      <c r="D474" s="106" t="s">
        <v>349</v>
      </c>
      <c r="E474">
        <v>6569</v>
      </c>
      <c r="F474" s="106" t="s">
        <v>528</v>
      </c>
      <c r="G474" s="106" t="s">
        <v>350</v>
      </c>
      <c r="H474" s="106" t="s">
        <v>355</v>
      </c>
      <c r="I474">
        <v>352</v>
      </c>
    </row>
    <row r="475" spans="1:10" x14ac:dyDescent="0.2">
      <c r="A475" s="106" t="s">
        <v>524</v>
      </c>
      <c r="B475" s="106" t="s">
        <v>347</v>
      </c>
      <c r="C475" s="106" t="s">
        <v>348</v>
      </c>
      <c r="D475" s="106" t="s">
        <v>349</v>
      </c>
      <c r="E475">
        <v>6715</v>
      </c>
      <c r="F475" s="106" t="s">
        <v>2195</v>
      </c>
      <c r="G475" s="106" t="s">
        <v>350</v>
      </c>
      <c r="H475" s="106" t="s">
        <v>375</v>
      </c>
      <c r="I475">
        <v>82</v>
      </c>
    </row>
    <row r="476" spans="1:10" x14ac:dyDescent="0.2">
      <c r="A476" s="106" t="s">
        <v>524</v>
      </c>
      <c r="B476" s="106" t="s">
        <v>347</v>
      </c>
      <c r="C476" s="106" t="s">
        <v>348</v>
      </c>
      <c r="D476" s="106" t="s">
        <v>349</v>
      </c>
      <c r="E476">
        <v>7703</v>
      </c>
      <c r="F476" s="106" t="s">
        <v>529</v>
      </c>
      <c r="G476" s="106" t="s">
        <v>358</v>
      </c>
      <c r="H476" s="106" t="s">
        <v>461</v>
      </c>
      <c r="I476" s="106">
        <v>209</v>
      </c>
      <c r="J476" s="106"/>
    </row>
    <row r="477" spans="1:10" x14ac:dyDescent="0.2">
      <c r="A477" s="106" t="s">
        <v>524</v>
      </c>
      <c r="B477" s="106" t="s">
        <v>347</v>
      </c>
      <c r="C477" s="106" t="s">
        <v>348</v>
      </c>
      <c r="D477" s="106" t="s">
        <v>349</v>
      </c>
      <c r="E477">
        <v>7952</v>
      </c>
      <c r="F477" s="106" t="s">
        <v>530</v>
      </c>
      <c r="G477" s="106" t="s">
        <v>350</v>
      </c>
      <c r="H477" s="106" t="s">
        <v>372</v>
      </c>
      <c r="I477">
        <v>350</v>
      </c>
    </row>
    <row r="478" spans="1:10" x14ac:dyDescent="0.2">
      <c r="A478" s="106" t="s">
        <v>524</v>
      </c>
      <c r="B478" s="106" t="s">
        <v>347</v>
      </c>
      <c r="C478" s="106" t="s">
        <v>348</v>
      </c>
      <c r="D478" s="106" t="s">
        <v>349</v>
      </c>
      <c r="E478">
        <v>9024</v>
      </c>
      <c r="F478" s="106" t="s">
        <v>2196</v>
      </c>
      <c r="G478" s="106" t="s">
        <v>350</v>
      </c>
      <c r="H478" s="106" t="s">
        <v>482</v>
      </c>
      <c r="I478" s="106" t="s">
        <v>409</v>
      </c>
      <c r="J478" s="106" t="s">
        <v>2481</v>
      </c>
    </row>
    <row r="479" spans="1:10" x14ac:dyDescent="0.2">
      <c r="A479" s="106" t="s">
        <v>531</v>
      </c>
      <c r="B479" s="106" t="s">
        <v>414</v>
      </c>
      <c r="C479" s="106" t="s">
        <v>348</v>
      </c>
      <c r="D479" s="106" t="s">
        <v>349</v>
      </c>
      <c r="E479">
        <v>8093</v>
      </c>
      <c r="F479" s="106" t="s">
        <v>890</v>
      </c>
      <c r="G479" s="106" t="s">
        <v>350</v>
      </c>
      <c r="H479" s="106" t="s">
        <v>356</v>
      </c>
      <c r="I479" s="106">
        <v>148</v>
      </c>
      <c r="J479" s="106"/>
    </row>
    <row r="480" spans="1:10" x14ac:dyDescent="0.2">
      <c r="A480" s="106" t="s">
        <v>531</v>
      </c>
      <c r="B480" s="106" t="s">
        <v>347</v>
      </c>
      <c r="C480" s="106" t="s">
        <v>348</v>
      </c>
      <c r="D480" s="106" t="s">
        <v>349</v>
      </c>
      <c r="E480">
        <v>1721</v>
      </c>
      <c r="F480" s="106" t="s">
        <v>2197</v>
      </c>
      <c r="G480" s="106" t="s">
        <v>350</v>
      </c>
      <c r="H480" s="106" t="s">
        <v>377</v>
      </c>
      <c r="I480" t="s">
        <v>400</v>
      </c>
      <c r="J480" t="s">
        <v>2482</v>
      </c>
    </row>
    <row r="481" spans="1:10" x14ac:dyDescent="0.2">
      <c r="A481" s="106" t="s">
        <v>531</v>
      </c>
      <c r="B481" s="106" t="s">
        <v>347</v>
      </c>
      <c r="C481" s="106" t="s">
        <v>348</v>
      </c>
      <c r="D481" s="106" t="s">
        <v>349</v>
      </c>
      <c r="E481">
        <v>1801</v>
      </c>
      <c r="F481" s="106" t="s">
        <v>532</v>
      </c>
      <c r="G481" s="106" t="s">
        <v>350</v>
      </c>
      <c r="H481" s="106" t="s">
        <v>377</v>
      </c>
      <c r="I481" s="106" t="s">
        <v>485</v>
      </c>
      <c r="J481" s="106" t="s">
        <v>2483</v>
      </c>
    </row>
    <row r="482" spans="1:10" x14ac:dyDescent="0.2">
      <c r="A482" s="106" t="s">
        <v>531</v>
      </c>
      <c r="B482" s="106" t="s">
        <v>347</v>
      </c>
      <c r="C482" s="106" t="s">
        <v>348</v>
      </c>
      <c r="D482" s="106" t="s">
        <v>349</v>
      </c>
      <c r="E482">
        <v>1813</v>
      </c>
      <c r="F482" s="106" t="s">
        <v>534</v>
      </c>
      <c r="G482" s="106" t="s">
        <v>350</v>
      </c>
      <c r="H482" s="106" t="s">
        <v>377</v>
      </c>
      <c r="I482" s="106">
        <v>271</v>
      </c>
      <c r="J482" s="106"/>
    </row>
    <row r="483" spans="1:10" x14ac:dyDescent="0.2">
      <c r="A483" s="106" t="s">
        <v>531</v>
      </c>
      <c r="B483" s="106" t="s">
        <v>347</v>
      </c>
      <c r="C483" s="106" t="s">
        <v>348</v>
      </c>
      <c r="D483" s="106" t="s">
        <v>349</v>
      </c>
      <c r="E483">
        <v>1835</v>
      </c>
      <c r="F483" s="106" t="s">
        <v>535</v>
      </c>
      <c r="G483" s="106" t="s">
        <v>350</v>
      </c>
      <c r="H483" s="106" t="s">
        <v>377</v>
      </c>
      <c r="I483" t="s">
        <v>381</v>
      </c>
      <c r="J483" t="s">
        <v>2484</v>
      </c>
    </row>
    <row r="484" spans="1:10" x14ac:dyDescent="0.2">
      <c r="A484" s="106" t="s">
        <v>531</v>
      </c>
      <c r="B484" s="106" t="s">
        <v>347</v>
      </c>
      <c r="C484" s="106" t="s">
        <v>348</v>
      </c>
      <c r="D484" s="106" t="s">
        <v>353</v>
      </c>
      <c r="E484">
        <v>1853</v>
      </c>
      <c r="F484" s="106" t="s">
        <v>536</v>
      </c>
      <c r="G484" s="106" t="s">
        <v>358</v>
      </c>
      <c r="H484" s="106" t="s">
        <v>377</v>
      </c>
      <c r="I484">
        <v>104</v>
      </c>
    </row>
    <row r="485" spans="1:10" x14ac:dyDescent="0.2">
      <c r="A485" s="106" t="s">
        <v>531</v>
      </c>
      <c r="B485" s="106" t="s">
        <v>347</v>
      </c>
      <c r="C485" s="106" t="s">
        <v>348</v>
      </c>
      <c r="D485" s="106" t="s">
        <v>349</v>
      </c>
      <c r="E485">
        <v>1909</v>
      </c>
      <c r="F485" s="106" t="s">
        <v>537</v>
      </c>
      <c r="G485" s="106" t="s">
        <v>350</v>
      </c>
      <c r="H485" s="106" t="s">
        <v>371</v>
      </c>
      <c r="I485" s="106">
        <v>118</v>
      </c>
      <c r="J485" s="106"/>
    </row>
    <row r="486" spans="1:10" x14ac:dyDescent="0.2">
      <c r="A486" s="106" t="s">
        <v>531</v>
      </c>
      <c r="B486" s="106" t="s">
        <v>347</v>
      </c>
      <c r="C486" s="106" t="s">
        <v>348</v>
      </c>
      <c r="D486" s="106" t="s">
        <v>349</v>
      </c>
      <c r="E486">
        <v>1961</v>
      </c>
      <c r="F486" s="106" t="s">
        <v>538</v>
      </c>
      <c r="G486" s="106" t="s">
        <v>350</v>
      </c>
      <c r="H486" s="106" t="s">
        <v>377</v>
      </c>
      <c r="I486" s="106">
        <v>941</v>
      </c>
      <c r="J486" s="106"/>
    </row>
    <row r="487" spans="1:10" x14ac:dyDescent="0.2">
      <c r="A487" s="106" t="s">
        <v>531</v>
      </c>
      <c r="B487" s="106" t="s">
        <v>347</v>
      </c>
      <c r="C487" s="106" t="s">
        <v>348</v>
      </c>
      <c r="D487" s="106" t="s">
        <v>349</v>
      </c>
      <c r="E487">
        <v>1969</v>
      </c>
      <c r="F487" s="106" t="s">
        <v>539</v>
      </c>
      <c r="G487" s="106" t="s">
        <v>350</v>
      </c>
      <c r="H487" s="106" t="s">
        <v>377</v>
      </c>
      <c r="I487" s="106" t="s">
        <v>381</v>
      </c>
      <c r="J487" s="106" t="s">
        <v>2485</v>
      </c>
    </row>
    <row r="488" spans="1:10" x14ac:dyDescent="0.2">
      <c r="A488" s="106" t="s">
        <v>531</v>
      </c>
      <c r="B488" s="106" t="s">
        <v>347</v>
      </c>
      <c r="C488" s="106" t="s">
        <v>348</v>
      </c>
      <c r="D488" s="106" t="s">
        <v>349</v>
      </c>
      <c r="E488">
        <v>2307</v>
      </c>
      <c r="F488" s="106" t="s">
        <v>891</v>
      </c>
      <c r="G488" s="106" t="s">
        <v>350</v>
      </c>
      <c r="H488" s="106" t="s">
        <v>361</v>
      </c>
      <c r="I488" s="106">
        <v>108</v>
      </c>
      <c r="J488" s="106"/>
    </row>
    <row r="489" spans="1:10" x14ac:dyDescent="0.2">
      <c r="A489" s="106" t="s">
        <v>531</v>
      </c>
      <c r="B489" s="106" t="s">
        <v>347</v>
      </c>
      <c r="C489" s="106" t="s">
        <v>348</v>
      </c>
      <c r="D489" s="106" t="s">
        <v>349</v>
      </c>
      <c r="E489">
        <v>2342</v>
      </c>
      <c r="F489" s="106" t="s">
        <v>2199</v>
      </c>
      <c r="G489" s="106" t="s">
        <v>362</v>
      </c>
      <c r="H489" s="106" t="s">
        <v>355</v>
      </c>
      <c r="I489">
        <v>69</v>
      </c>
    </row>
    <row r="490" spans="1:10" x14ac:dyDescent="0.2">
      <c r="A490" s="106" t="s">
        <v>531</v>
      </c>
      <c r="B490" s="106" t="s">
        <v>347</v>
      </c>
      <c r="C490" s="106" t="s">
        <v>348</v>
      </c>
      <c r="D490" s="106" t="s">
        <v>349</v>
      </c>
      <c r="E490">
        <v>2475</v>
      </c>
      <c r="F490" s="106" t="s">
        <v>892</v>
      </c>
      <c r="G490" s="106" t="s">
        <v>350</v>
      </c>
      <c r="H490" s="106" t="s">
        <v>355</v>
      </c>
      <c r="I490" s="106">
        <v>513</v>
      </c>
      <c r="J490" s="106"/>
    </row>
    <row r="491" spans="1:10" x14ac:dyDescent="0.2">
      <c r="A491" s="106" t="s">
        <v>531</v>
      </c>
      <c r="B491" s="106" t="s">
        <v>347</v>
      </c>
      <c r="C491" s="106" t="s">
        <v>348</v>
      </c>
      <c r="D491" s="106" t="s">
        <v>349</v>
      </c>
      <c r="E491">
        <v>2480</v>
      </c>
      <c r="F491" s="106" t="s">
        <v>893</v>
      </c>
      <c r="G491" s="106" t="s">
        <v>354</v>
      </c>
      <c r="H491" s="106" t="s">
        <v>355</v>
      </c>
      <c r="I491">
        <v>62</v>
      </c>
    </row>
    <row r="492" spans="1:10" x14ac:dyDescent="0.2">
      <c r="A492" s="106" t="s">
        <v>531</v>
      </c>
      <c r="B492" s="106" t="s">
        <v>347</v>
      </c>
      <c r="C492" s="106" t="s">
        <v>348</v>
      </c>
      <c r="D492" s="106" t="s">
        <v>349</v>
      </c>
      <c r="E492">
        <v>2815</v>
      </c>
      <c r="F492" s="106" t="s">
        <v>540</v>
      </c>
      <c r="G492" s="106" t="s">
        <v>350</v>
      </c>
      <c r="H492" s="106" t="s">
        <v>351</v>
      </c>
      <c r="I492" s="106" t="s">
        <v>373</v>
      </c>
      <c r="J492" s="106" t="s">
        <v>2436</v>
      </c>
    </row>
    <row r="493" spans="1:10" x14ac:dyDescent="0.2">
      <c r="A493" s="106" t="s">
        <v>531</v>
      </c>
      <c r="B493" s="106" t="s">
        <v>347</v>
      </c>
      <c r="C493" s="106" t="s">
        <v>348</v>
      </c>
      <c r="D493" s="106" t="s">
        <v>349</v>
      </c>
      <c r="E493">
        <v>2911</v>
      </c>
      <c r="F493" s="106" t="s">
        <v>894</v>
      </c>
      <c r="G493" s="106" t="s">
        <v>358</v>
      </c>
      <c r="H493" s="106" t="s">
        <v>351</v>
      </c>
      <c r="I493" s="106">
        <v>40</v>
      </c>
      <c r="J493" s="106"/>
    </row>
    <row r="494" spans="1:10" x14ac:dyDescent="0.2">
      <c r="A494" s="106" t="s">
        <v>531</v>
      </c>
      <c r="B494" s="106" t="s">
        <v>347</v>
      </c>
      <c r="C494" s="106" t="s">
        <v>348</v>
      </c>
      <c r="D494" s="106" t="s">
        <v>349</v>
      </c>
      <c r="E494">
        <v>3109</v>
      </c>
      <c r="F494" s="106" t="s">
        <v>541</v>
      </c>
      <c r="G494" s="106" t="s">
        <v>350</v>
      </c>
      <c r="H494" s="106" t="s">
        <v>383</v>
      </c>
      <c r="I494" s="106">
        <v>119</v>
      </c>
      <c r="J494" s="106"/>
    </row>
    <row r="495" spans="1:10" x14ac:dyDescent="0.2">
      <c r="A495" s="106" t="s">
        <v>531</v>
      </c>
      <c r="B495" s="106" t="s">
        <v>347</v>
      </c>
      <c r="C495" s="106" t="s">
        <v>357</v>
      </c>
      <c r="D495" s="106" t="s">
        <v>349</v>
      </c>
      <c r="E495">
        <v>3482</v>
      </c>
      <c r="F495" s="106" t="s">
        <v>895</v>
      </c>
      <c r="G495" s="106" t="s">
        <v>362</v>
      </c>
      <c r="H495" s="106" t="s">
        <v>376</v>
      </c>
      <c r="I495">
        <v>236</v>
      </c>
    </row>
    <row r="496" spans="1:10" x14ac:dyDescent="0.2">
      <c r="A496" s="106" t="s">
        <v>531</v>
      </c>
      <c r="B496" s="106" t="s">
        <v>347</v>
      </c>
      <c r="C496" s="106" t="s">
        <v>357</v>
      </c>
      <c r="D496" s="106" t="s">
        <v>353</v>
      </c>
      <c r="E496">
        <v>3671</v>
      </c>
      <c r="F496" s="106" t="s">
        <v>2200</v>
      </c>
      <c r="G496" s="106" t="s">
        <v>362</v>
      </c>
      <c r="H496" s="106" t="s">
        <v>361</v>
      </c>
      <c r="I496" s="106">
        <v>60</v>
      </c>
      <c r="J496" s="106"/>
    </row>
    <row r="497" spans="1:10" x14ac:dyDescent="0.2">
      <c r="A497" s="106" t="s">
        <v>531</v>
      </c>
      <c r="B497" s="106" t="s">
        <v>347</v>
      </c>
      <c r="C497" s="106" t="s">
        <v>352</v>
      </c>
      <c r="D497" s="106" t="s">
        <v>349</v>
      </c>
      <c r="E497">
        <v>3690</v>
      </c>
      <c r="F497" s="106" t="s">
        <v>896</v>
      </c>
      <c r="G497" s="106" t="s">
        <v>362</v>
      </c>
      <c r="H497" s="106" t="s">
        <v>361</v>
      </c>
      <c r="I497">
        <v>76</v>
      </c>
    </row>
    <row r="498" spans="1:10" x14ac:dyDescent="0.2">
      <c r="A498" s="106" t="s">
        <v>531</v>
      </c>
      <c r="B498" s="106" t="s">
        <v>347</v>
      </c>
      <c r="C498" s="106" t="s">
        <v>348</v>
      </c>
      <c r="D498" s="106" t="s">
        <v>349</v>
      </c>
      <c r="E498">
        <v>3766</v>
      </c>
      <c r="F498" s="106" t="s">
        <v>542</v>
      </c>
      <c r="G498" s="106" t="s">
        <v>354</v>
      </c>
      <c r="H498" s="106" t="s">
        <v>361</v>
      </c>
      <c r="I498" s="106">
        <v>25</v>
      </c>
      <c r="J498" s="106"/>
    </row>
    <row r="499" spans="1:10" x14ac:dyDescent="0.2">
      <c r="A499" s="106" t="s">
        <v>531</v>
      </c>
      <c r="B499" s="106" t="s">
        <v>347</v>
      </c>
      <c r="C499" s="106" t="s">
        <v>348</v>
      </c>
      <c r="D499" s="106" t="s">
        <v>349</v>
      </c>
      <c r="E499">
        <v>3798</v>
      </c>
      <c r="F499" s="106" t="s">
        <v>2201</v>
      </c>
      <c r="G499" s="106" t="s">
        <v>354</v>
      </c>
      <c r="H499" s="106" t="s">
        <v>361</v>
      </c>
      <c r="I499" s="106">
        <v>171</v>
      </c>
      <c r="J499" s="106"/>
    </row>
    <row r="500" spans="1:10" x14ac:dyDescent="0.2">
      <c r="A500" s="106" t="s">
        <v>531</v>
      </c>
      <c r="B500" s="106" t="s">
        <v>347</v>
      </c>
      <c r="C500" s="106" t="s">
        <v>348</v>
      </c>
      <c r="D500" s="106" t="s">
        <v>349</v>
      </c>
      <c r="E500">
        <v>4540</v>
      </c>
      <c r="F500" s="106" t="s">
        <v>543</v>
      </c>
      <c r="G500" s="106" t="s">
        <v>350</v>
      </c>
      <c r="H500" s="106" t="s">
        <v>395</v>
      </c>
      <c r="I500" t="s">
        <v>373</v>
      </c>
      <c r="J500" t="s">
        <v>2486</v>
      </c>
    </row>
    <row r="501" spans="1:10" x14ac:dyDescent="0.2">
      <c r="A501" s="106" t="s">
        <v>531</v>
      </c>
      <c r="B501" s="106" t="s">
        <v>347</v>
      </c>
      <c r="C501" s="106" t="s">
        <v>357</v>
      </c>
      <c r="D501" s="106" t="s">
        <v>353</v>
      </c>
      <c r="E501">
        <v>4588</v>
      </c>
      <c r="F501" s="106" t="s">
        <v>544</v>
      </c>
      <c r="G501" s="106" t="s">
        <v>362</v>
      </c>
      <c r="H501" s="106" t="s">
        <v>395</v>
      </c>
      <c r="I501">
        <v>278</v>
      </c>
    </row>
    <row r="502" spans="1:10" x14ac:dyDescent="0.2">
      <c r="A502" s="106" t="s">
        <v>531</v>
      </c>
      <c r="B502" s="106" t="s">
        <v>347</v>
      </c>
      <c r="C502" s="106" t="s">
        <v>348</v>
      </c>
      <c r="D502" s="106" t="s">
        <v>349</v>
      </c>
      <c r="E502">
        <v>4777</v>
      </c>
      <c r="F502" s="106" t="s">
        <v>545</v>
      </c>
      <c r="G502" s="106" t="s">
        <v>354</v>
      </c>
      <c r="H502" s="106" t="s">
        <v>361</v>
      </c>
      <c r="I502">
        <v>54</v>
      </c>
    </row>
    <row r="503" spans="1:10" x14ac:dyDescent="0.2">
      <c r="A503" s="106" t="s">
        <v>531</v>
      </c>
      <c r="B503" s="106" t="s">
        <v>347</v>
      </c>
      <c r="C503" s="106" t="s">
        <v>348</v>
      </c>
      <c r="D503" s="106" t="s">
        <v>353</v>
      </c>
      <c r="E503">
        <v>4970</v>
      </c>
      <c r="F503" s="106" t="s">
        <v>897</v>
      </c>
      <c r="G503" s="106" t="s">
        <v>354</v>
      </c>
      <c r="H503" s="106" t="s">
        <v>363</v>
      </c>
      <c r="I503" s="106">
        <v>333</v>
      </c>
      <c r="J503" s="106"/>
    </row>
    <row r="504" spans="1:10" x14ac:dyDescent="0.2">
      <c r="A504" s="106" t="s">
        <v>531</v>
      </c>
      <c r="B504" s="106" t="s">
        <v>347</v>
      </c>
      <c r="C504" s="106" t="s">
        <v>348</v>
      </c>
      <c r="D504" s="106" t="s">
        <v>349</v>
      </c>
      <c r="E504">
        <v>5602</v>
      </c>
      <c r="F504" s="106" t="s">
        <v>898</v>
      </c>
      <c r="G504" s="106" t="s">
        <v>350</v>
      </c>
      <c r="H504" s="106" t="s">
        <v>899</v>
      </c>
      <c r="I504" s="106">
        <v>283</v>
      </c>
      <c r="J504" s="106"/>
    </row>
    <row r="505" spans="1:10" x14ac:dyDescent="0.2">
      <c r="A505" s="106" t="s">
        <v>531</v>
      </c>
      <c r="B505" s="106" t="s">
        <v>347</v>
      </c>
      <c r="C505" s="106" t="s">
        <v>348</v>
      </c>
      <c r="D505" s="106" t="s">
        <v>349</v>
      </c>
      <c r="E505">
        <v>5713</v>
      </c>
      <c r="F505" s="106" t="s">
        <v>546</v>
      </c>
      <c r="G505" s="106" t="s">
        <v>350</v>
      </c>
      <c r="H505" s="106" t="s">
        <v>499</v>
      </c>
      <c r="I505" t="s">
        <v>485</v>
      </c>
      <c r="J505" t="s">
        <v>2487</v>
      </c>
    </row>
    <row r="506" spans="1:10" x14ac:dyDescent="0.2">
      <c r="A506" s="106" t="s">
        <v>531</v>
      </c>
      <c r="B506" s="106" t="s">
        <v>347</v>
      </c>
      <c r="C506" s="106" t="s">
        <v>357</v>
      </c>
      <c r="D506" s="106" t="s">
        <v>349</v>
      </c>
      <c r="E506">
        <v>6268</v>
      </c>
      <c r="F506" s="106" t="s">
        <v>2202</v>
      </c>
      <c r="G506" s="106" t="s">
        <v>350</v>
      </c>
      <c r="H506" s="106" t="s">
        <v>371</v>
      </c>
      <c r="I506" t="s">
        <v>400</v>
      </c>
      <c r="J506" t="s">
        <v>2488</v>
      </c>
    </row>
    <row r="507" spans="1:10" x14ac:dyDescent="0.2">
      <c r="A507" s="106" t="s">
        <v>531</v>
      </c>
      <c r="B507" s="106" t="s">
        <v>347</v>
      </c>
      <c r="C507" s="106" t="s">
        <v>348</v>
      </c>
      <c r="D507" s="106" t="s">
        <v>349</v>
      </c>
      <c r="E507">
        <v>6485</v>
      </c>
      <c r="F507" s="106" t="s">
        <v>547</v>
      </c>
      <c r="G507" s="106" t="s">
        <v>350</v>
      </c>
      <c r="H507" s="106" t="s">
        <v>371</v>
      </c>
      <c r="I507">
        <v>265</v>
      </c>
    </row>
    <row r="508" spans="1:10" x14ac:dyDescent="0.2">
      <c r="A508" s="106" t="s">
        <v>531</v>
      </c>
      <c r="B508" s="106" t="s">
        <v>347</v>
      </c>
      <c r="C508" s="106" t="s">
        <v>357</v>
      </c>
      <c r="D508" s="106" t="s">
        <v>349</v>
      </c>
      <c r="E508">
        <v>6929</v>
      </c>
      <c r="F508" s="106" t="s">
        <v>548</v>
      </c>
      <c r="G508" s="106" t="s">
        <v>350</v>
      </c>
      <c r="H508" s="106" t="s">
        <v>375</v>
      </c>
      <c r="I508" s="106">
        <v>768</v>
      </c>
      <c r="J508" s="106"/>
    </row>
    <row r="509" spans="1:10" x14ac:dyDescent="0.2">
      <c r="A509" s="106" t="s">
        <v>531</v>
      </c>
      <c r="B509" s="106" t="s">
        <v>347</v>
      </c>
      <c r="C509" s="106" t="s">
        <v>348</v>
      </c>
      <c r="D509" s="106" t="s">
        <v>349</v>
      </c>
      <c r="E509">
        <v>6986</v>
      </c>
      <c r="F509" s="106" t="s">
        <v>2203</v>
      </c>
      <c r="G509" s="106" t="s">
        <v>350</v>
      </c>
      <c r="H509" s="106" t="s">
        <v>375</v>
      </c>
      <c r="I509" s="106">
        <v>596</v>
      </c>
      <c r="J509" s="106"/>
    </row>
    <row r="510" spans="1:10" x14ac:dyDescent="0.2">
      <c r="A510" s="106" t="s">
        <v>531</v>
      </c>
      <c r="B510" s="106" t="s">
        <v>347</v>
      </c>
      <c r="C510" s="106" t="s">
        <v>348</v>
      </c>
      <c r="D510" s="106" t="s">
        <v>349</v>
      </c>
      <c r="E510">
        <v>7480</v>
      </c>
      <c r="F510" s="106" t="s">
        <v>549</v>
      </c>
      <c r="G510" s="106" t="s">
        <v>350</v>
      </c>
      <c r="H510" s="106" t="s">
        <v>356</v>
      </c>
      <c r="I510" s="106">
        <v>223</v>
      </c>
      <c r="J510" s="106"/>
    </row>
    <row r="511" spans="1:10" x14ac:dyDescent="0.2">
      <c r="A511" s="106" t="s">
        <v>531</v>
      </c>
      <c r="B511" s="106" t="s">
        <v>347</v>
      </c>
      <c r="C511" s="106" t="s">
        <v>359</v>
      </c>
      <c r="D511" s="106" t="s">
        <v>349</v>
      </c>
      <c r="E511">
        <v>9028</v>
      </c>
      <c r="F511" s="106" t="s">
        <v>2204</v>
      </c>
      <c r="G511" s="106" t="s">
        <v>358</v>
      </c>
      <c r="H511" s="106" t="s">
        <v>482</v>
      </c>
      <c r="I511" s="106">
        <v>202</v>
      </c>
      <c r="J511" s="106"/>
    </row>
    <row r="512" spans="1:10" x14ac:dyDescent="0.2">
      <c r="A512" s="106" t="s">
        <v>531</v>
      </c>
      <c r="B512" s="106" t="s">
        <v>347</v>
      </c>
      <c r="C512" s="106" t="s">
        <v>348</v>
      </c>
      <c r="D512" s="106" t="s">
        <v>349</v>
      </c>
      <c r="E512">
        <v>9880</v>
      </c>
      <c r="F512" s="106" t="s">
        <v>550</v>
      </c>
      <c r="G512" s="106" t="s">
        <v>350</v>
      </c>
      <c r="H512" s="106" t="s">
        <v>356</v>
      </c>
      <c r="I512">
        <v>178</v>
      </c>
    </row>
    <row r="513" spans="1:10" x14ac:dyDescent="0.2">
      <c r="A513" s="106" t="s">
        <v>531</v>
      </c>
      <c r="B513" s="106" t="s">
        <v>347</v>
      </c>
      <c r="C513" s="106" t="s">
        <v>348</v>
      </c>
      <c r="D513" s="106" t="s">
        <v>349</v>
      </c>
      <c r="E513">
        <v>9994</v>
      </c>
      <c r="F513" s="106" t="s">
        <v>551</v>
      </c>
      <c r="G513" s="106" t="s">
        <v>350</v>
      </c>
      <c r="H513" s="106" t="s">
        <v>360</v>
      </c>
      <c r="I513" s="106">
        <v>245</v>
      </c>
      <c r="J513" s="106"/>
    </row>
    <row r="514" spans="1:10" x14ac:dyDescent="0.2">
      <c r="A514" s="106" t="s">
        <v>2205</v>
      </c>
      <c r="B514" s="106" t="s">
        <v>347</v>
      </c>
      <c r="C514" s="106" t="s">
        <v>359</v>
      </c>
      <c r="D514" s="106" t="s">
        <v>349</v>
      </c>
      <c r="E514">
        <v>6327</v>
      </c>
      <c r="F514" s="106" t="s">
        <v>2206</v>
      </c>
      <c r="G514" s="106" t="s">
        <v>354</v>
      </c>
      <c r="H514" s="106" t="s">
        <v>371</v>
      </c>
      <c r="I514" s="106">
        <v>34</v>
      </c>
      <c r="J514" s="106"/>
    </row>
    <row r="515" spans="1:10" x14ac:dyDescent="0.2">
      <c r="A515" s="106" t="s">
        <v>552</v>
      </c>
      <c r="B515" s="106" t="s">
        <v>2207</v>
      </c>
      <c r="C515" s="106" t="s">
        <v>357</v>
      </c>
      <c r="D515" s="106" t="s">
        <v>349</v>
      </c>
      <c r="E515">
        <v>9830</v>
      </c>
      <c r="F515" s="106" t="s">
        <v>2208</v>
      </c>
      <c r="G515" s="106" t="s">
        <v>350</v>
      </c>
      <c r="H515" s="106" t="s">
        <v>356</v>
      </c>
      <c r="I515" s="106" t="s">
        <v>381</v>
      </c>
      <c r="J515" s="106" t="s">
        <v>2273</v>
      </c>
    </row>
    <row r="516" spans="1:10" x14ac:dyDescent="0.2">
      <c r="A516" s="106" t="s">
        <v>552</v>
      </c>
      <c r="B516" s="106" t="s">
        <v>347</v>
      </c>
      <c r="C516" s="106" t="s">
        <v>348</v>
      </c>
      <c r="D516" s="106" t="s">
        <v>349</v>
      </c>
      <c r="E516">
        <v>1979</v>
      </c>
      <c r="F516" s="106" t="s">
        <v>553</v>
      </c>
      <c r="G516" s="106" t="s">
        <v>350</v>
      </c>
      <c r="H516" s="106" t="s">
        <v>377</v>
      </c>
      <c r="I516" t="s">
        <v>381</v>
      </c>
      <c r="J516" t="s">
        <v>2489</v>
      </c>
    </row>
    <row r="517" spans="1:10" x14ac:dyDescent="0.2">
      <c r="A517" s="106" t="s">
        <v>552</v>
      </c>
      <c r="B517" s="106" t="s">
        <v>347</v>
      </c>
      <c r="C517" s="106" t="s">
        <v>348</v>
      </c>
      <c r="D517" s="106" t="s">
        <v>349</v>
      </c>
      <c r="E517">
        <v>2201</v>
      </c>
      <c r="F517" s="106" t="s">
        <v>806</v>
      </c>
      <c r="G517" s="106" t="s">
        <v>350</v>
      </c>
      <c r="H517" s="106" t="s">
        <v>351</v>
      </c>
      <c r="I517" t="s">
        <v>373</v>
      </c>
      <c r="J517" t="s">
        <v>2209</v>
      </c>
    </row>
    <row r="518" spans="1:10" x14ac:dyDescent="0.2">
      <c r="A518" s="106" t="s">
        <v>552</v>
      </c>
      <c r="B518" s="106" t="s">
        <v>347</v>
      </c>
      <c r="C518" s="106" t="s">
        <v>357</v>
      </c>
      <c r="D518" s="106" t="s">
        <v>349</v>
      </c>
      <c r="E518">
        <v>2384</v>
      </c>
      <c r="F518" s="106" t="s">
        <v>807</v>
      </c>
      <c r="G518" s="106" t="s">
        <v>350</v>
      </c>
      <c r="H518" s="106" t="s">
        <v>482</v>
      </c>
      <c r="I518">
        <v>769</v>
      </c>
    </row>
    <row r="519" spans="1:10" x14ac:dyDescent="0.2">
      <c r="A519" s="106" t="s">
        <v>552</v>
      </c>
      <c r="B519" s="106" t="s">
        <v>347</v>
      </c>
      <c r="C519" s="106" t="s">
        <v>348</v>
      </c>
      <c r="D519" s="106" t="s">
        <v>349</v>
      </c>
      <c r="E519">
        <v>2398</v>
      </c>
      <c r="F519" s="106" t="s">
        <v>808</v>
      </c>
      <c r="G519" s="106" t="s">
        <v>350</v>
      </c>
      <c r="H519" s="106" t="s">
        <v>355</v>
      </c>
      <c r="I519" s="106">
        <v>410</v>
      </c>
      <c r="J519" s="106"/>
    </row>
    <row r="520" spans="1:10" x14ac:dyDescent="0.2">
      <c r="A520" s="106" t="s">
        <v>552</v>
      </c>
      <c r="B520" s="106" t="s">
        <v>347</v>
      </c>
      <c r="C520" s="106" t="s">
        <v>348</v>
      </c>
      <c r="D520" s="106" t="s">
        <v>349</v>
      </c>
      <c r="E520">
        <v>3183</v>
      </c>
      <c r="F520" s="106" t="s">
        <v>2210</v>
      </c>
      <c r="G520" s="106" t="s">
        <v>350</v>
      </c>
      <c r="H520" s="106" t="s">
        <v>356</v>
      </c>
      <c r="I520" s="106">
        <v>466</v>
      </c>
      <c r="J520" s="106"/>
    </row>
    <row r="521" spans="1:10" x14ac:dyDescent="0.2">
      <c r="A521" s="106" t="s">
        <v>552</v>
      </c>
      <c r="B521" s="106" t="s">
        <v>347</v>
      </c>
      <c r="C521" s="106" t="s">
        <v>348</v>
      </c>
      <c r="D521" s="106" t="s">
        <v>349</v>
      </c>
      <c r="E521">
        <v>6155</v>
      </c>
      <c r="F521" s="106" t="s">
        <v>2211</v>
      </c>
      <c r="G521" s="106" t="s">
        <v>358</v>
      </c>
      <c r="H521" s="106" t="s">
        <v>371</v>
      </c>
      <c r="I521" s="106">
        <v>98</v>
      </c>
      <c r="J521" s="106"/>
    </row>
    <row r="522" spans="1:10" x14ac:dyDescent="0.2">
      <c r="A522" s="106" t="s">
        <v>552</v>
      </c>
      <c r="B522" s="106" t="s">
        <v>347</v>
      </c>
      <c r="C522" s="106" t="s">
        <v>348</v>
      </c>
      <c r="D522" s="106" t="s">
        <v>349</v>
      </c>
      <c r="E522">
        <v>6324</v>
      </c>
      <c r="F522" s="106" t="s">
        <v>900</v>
      </c>
      <c r="G522" s="106" t="s">
        <v>354</v>
      </c>
      <c r="H522" s="106" t="s">
        <v>371</v>
      </c>
      <c r="I522" s="106" t="s">
        <v>400</v>
      </c>
      <c r="J522" s="106" t="s">
        <v>2490</v>
      </c>
    </row>
    <row r="523" spans="1:10" x14ac:dyDescent="0.2">
      <c r="A523" s="106" t="s">
        <v>552</v>
      </c>
      <c r="B523" s="106" t="s">
        <v>347</v>
      </c>
      <c r="C523" s="106" t="s">
        <v>348</v>
      </c>
      <c r="D523" s="106" t="s">
        <v>349</v>
      </c>
      <c r="E523">
        <v>7215</v>
      </c>
      <c r="F523" s="106" t="s">
        <v>2212</v>
      </c>
      <c r="G523" s="106" t="s">
        <v>350</v>
      </c>
      <c r="H523" s="106" t="s">
        <v>380</v>
      </c>
      <c r="I523" s="106">
        <v>115</v>
      </c>
      <c r="J523" s="106"/>
    </row>
    <row r="524" spans="1:10" x14ac:dyDescent="0.2">
      <c r="A524" s="106" t="s">
        <v>552</v>
      </c>
      <c r="B524" s="106" t="s">
        <v>347</v>
      </c>
      <c r="C524" s="106" t="s">
        <v>359</v>
      </c>
      <c r="D524" s="106" t="s">
        <v>349</v>
      </c>
      <c r="E524">
        <v>7320</v>
      </c>
      <c r="F524" s="106" t="s">
        <v>809</v>
      </c>
      <c r="G524" s="106" t="s">
        <v>362</v>
      </c>
      <c r="H524" s="106" t="s">
        <v>386</v>
      </c>
      <c r="I524" s="106">
        <v>66</v>
      </c>
      <c r="J524" s="106"/>
    </row>
    <row r="525" spans="1:10" x14ac:dyDescent="0.2">
      <c r="A525" s="106" t="s">
        <v>552</v>
      </c>
      <c r="B525" s="106" t="s">
        <v>347</v>
      </c>
      <c r="C525" s="106" t="s">
        <v>348</v>
      </c>
      <c r="D525" s="106" t="s">
        <v>349</v>
      </c>
      <c r="E525">
        <v>8108</v>
      </c>
      <c r="F525" s="106" t="s">
        <v>554</v>
      </c>
      <c r="G525" s="106" t="s">
        <v>555</v>
      </c>
      <c r="H525" s="106" t="s">
        <v>356</v>
      </c>
      <c r="I525">
        <v>267</v>
      </c>
    </row>
    <row r="526" spans="1:10" x14ac:dyDescent="0.2">
      <c r="A526" s="106" t="s">
        <v>552</v>
      </c>
      <c r="B526" s="106" t="s">
        <v>347</v>
      </c>
      <c r="C526" s="106" t="s">
        <v>348</v>
      </c>
      <c r="D526" s="106" t="s">
        <v>349</v>
      </c>
      <c r="E526">
        <v>9479</v>
      </c>
      <c r="F526" s="106" t="s">
        <v>2213</v>
      </c>
      <c r="G526" s="106" t="s">
        <v>350</v>
      </c>
      <c r="H526" s="106" t="s">
        <v>361</v>
      </c>
      <c r="I526" s="106">
        <v>71</v>
      </c>
      <c r="J526" s="106"/>
    </row>
    <row r="527" spans="1:10" x14ac:dyDescent="0.2">
      <c r="A527" s="106" t="s">
        <v>556</v>
      </c>
      <c r="B527" s="106" t="s">
        <v>414</v>
      </c>
      <c r="C527" s="106" t="s">
        <v>352</v>
      </c>
      <c r="D527" s="106" t="s">
        <v>349</v>
      </c>
      <c r="E527">
        <v>7069</v>
      </c>
      <c r="F527" s="106" t="s">
        <v>2214</v>
      </c>
      <c r="G527" s="106" t="s">
        <v>362</v>
      </c>
      <c r="H527" s="106" t="s">
        <v>355</v>
      </c>
      <c r="I527" s="106">
        <v>179</v>
      </c>
      <c r="J527" s="106"/>
    </row>
    <row r="528" spans="1:10" x14ac:dyDescent="0.2">
      <c r="A528" s="106" t="s">
        <v>556</v>
      </c>
      <c r="B528" s="106" t="s">
        <v>347</v>
      </c>
      <c r="C528" s="106" t="s">
        <v>348</v>
      </c>
      <c r="D528" s="106" t="s">
        <v>349</v>
      </c>
      <c r="E528">
        <v>1762</v>
      </c>
      <c r="F528" s="106" t="s">
        <v>557</v>
      </c>
      <c r="G528" s="106" t="s">
        <v>350</v>
      </c>
      <c r="H528" s="106" t="s">
        <v>377</v>
      </c>
      <c r="I528" s="106" t="s">
        <v>381</v>
      </c>
      <c r="J528" s="106" t="s">
        <v>2460</v>
      </c>
    </row>
    <row r="529" spans="1:10" x14ac:dyDescent="0.2">
      <c r="A529" s="106" t="s">
        <v>556</v>
      </c>
      <c r="B529" s="106" t="s">
        <v>347</v>
      </c>
      <c r="C529" s="106" t="s">
        <v>348</v>
      </c>
      <c r="D529" s="106" t="s">
        <v>349</v>
      </c>
      <c r="E529">
        <v>1821</v>
      </c>
      <c r="F529" s="106" t="s">
        <v>558</v>
      </c>
      <c r="G529" s="106" t="s">
        <v>350</v>
      </c>
      <c r="H529" s="106" t="s">
        <v>377</v>
      </c>
      <c r="I529" s="106" t="s">
        <v>381</v>
      </c>
      <c r="J529" s="106" t="s">
        <v>2050</v>
      </c>
    </row>
    <row r="530" spans="1:10" x14ac:dyDescent="0.2">
      <c r="A530" s="106" t="s">
        <v>556</v>
      </c>
      <c r="B530" s="106" t="s">
        <v>347</v>
      </c>
      <c r="C530" s="106" t="s">
        <v>352</v>
      </c>
      <c r="D530" s="106" t="s">
        <v>349</v>
      </c>
      <c r="E530">
        <v>2122</v>
      </c>
      <c r="F530" s="106" t="s">
        <v>2215</v>
      </c>
      <c r="G530" s="106" t="s">
        <v>362</v>
      </c>
      <c r="H530" s="106" t="s">
        <v>355</v>
      </c>
      <c r="I530" s="106">
        <v>78</v>
      </c>
      <c r="J530" s="106"/>
    </row>
    <row r="531" spans="1:10" x14ac:dyDescent="0.2">
      <c r="A531" s="106" t="s">
        <v>556</v>
      </c>
      <c r="B531" s="106" t="s">
        <v>347</v>
      </c>
      <c r="C531" s="106" t="s">
        <v>348</v>
      </c>
      <c r="D531" s="106" t="s">
        <v>349</v>
      </c>
      <c r="E531">
        <v>2196</v>
      </c>
      <c r="F531" s="106" t="s">
        <v>810</v>
      </c>
      <c r="G531" s="106" t="s">
        <v>350</v>
      </c>
      <c r="H531" s="106" t="s">
        <v>355</v>
      </c>
      <c r="I531">
        <v>91</v>
      </c>
    </row>
    <row r="532" spans="1:10" x14ac:dyDescent="0.2">
      <c r="A532" s="106" t="s">
        <v>556</v>
      </c>
      <c r="B532" s="106" t="s">
        <v>347</v>
      </c>
      <c r="C532" s="106" t="s">
        <v>357</v>
      </c>
      <c r="D532" s="106" t="s">
        <v>349</v>
      </c>
      <c r="E532">
        <v>2436</v>
      </c>
      <c r="F532" s="106" t="s">
        <v>811</v>
      </c>
      <c r="G532" s="106" t="s">
        <v>354</v>
      </c>
      <c r="H532" s="106" t="s">
        <v>355</v>
      </c>
      <c r="I532">
        <v>53</v>
      </c>
    </row>
    <row r="533" spans="1:10" x14ac:dyDescent="0.2">
      <c r="A533" s="106" t="s">
        <v>556</v>
      </c>
      <c r="B533" s="106" t="s">
        <v>347</v>
      </c>
      <c r="C533" s="106" t="s">
        <v>348</v>
      </c>
      <c r="D533" s="106" t="s">
        <v>349</v>
      </c>
      <c r="E533">
        <v>2705</v>
      </c>
      <c r="F533" s="106" t="s">
        <v>559</v>
      </c>
      <c r="G533" s="106" t="s">
        <v>354</v>
      </c>
      <c r="H533" s="106" t="s">
        <v>360</v>
      </c>
      <c r="I533">
        <v>168</v>
      </c>
    </row>
    <row r="534" spans="1:10" x14ac:dyDescent="0.2">
      <c r="A534" s="106" t="s">
        <v>556</v>
      </c>
      <c r="B534" s="106" t="s">
        <v>347</v>
      </c>
      <c r="C534" s="106" t="s">
        <v>348</v>
      </c>
      <c r="D534" s="106" t="s">
        <v>349</v>
      </c>
      <c r="E534">
        <v>3010</v>
      </c>
      <c r="F534" s="106" t="s">
        <v>2216</v>
      </c>
      <c r="G534" s="106" t="s">
        <v>358</v>
      </c>
      <c r="H534" s="106" t="s">
        <v>355</v>
      </c>
      <c r="I534">
        <v>80</v>
      </c>
    </row>
    <row r="535" spans="1:10" x14ac:dyDescent="0.2">
      <c r="A535" s="106" t="s">
        <v>556</v>
      </c>
      <c r="B535" s="106" t="s">
        <v>347</v>
      </c>
      <c r="C535" s="106" t="s">
        <v>357</v>
      </c>
      <c r="D535" s="106" t="s">
        <v>349</v>
      </c>
      <c r="E535">
        <v>3784</v>
      </c>
      <c r="F535" s="106" t="s">
        <v>901</v>
      </c>
      <c r="G535" s="106" t="s">
        <v>350</v>
      </c>
      <c r="H535" s="106" t="s">
        <v>361</v>
      </c>
      <c r="I535">
        <v>221</v>
      </c>
    </row>
    <row r="536" spans="1:10" x14ac:dyDescent="0.2">
      <c r="A536" s="106" t="s">
        <v>556</v>
      </c>
      <c r="B536" s="106" t="s">
        <v>347</v>
      </c>
      <c r="C536" s="106" t="s">
        <v>357</v>
      </c>
      <c r="D536" s="106" t="s">
        <v>353</v>
      </c>
      <c r="E536">
        <v>4438</v>
      </c>
      <c r="F536" s="106" t="s">
        <v>2217</v>
      </c>
      <c r="G536" s="106" t="s">
        <v>362</v>
      </c>
      <c r="H536" s="106" t="s">
        <v>361</v>
      </c>
      <c r="I536" s="106">
        <v>163</v>
      </c>
      <c r="J536" s="106"/>
    </row>
    <row r="537" spans="1:10" x14ac:dyDescent="0.2">
      <c r="A537" s="106" t="s">
        <v>556</v>
      </c>
      <c r="B537" s="106" t="s">
        <v>347</v>
      </c>
      <c r="C537" s="106" t="s">
        <v>357</v>
      </c>
      <c r="D537" s="106" t="s">
        <v>349</v>
      </c>
      <c r="E537">
        <v>5187</v>
      </c>
      <c r="F537" s="106" t="s">
        <v>2218</v>
      </c>
      <c r="G537" s="106" t="s">
        <v>350</v>
      </c>
      <c r="H537" s="106" t="s">
        <v>461</v>
      </c>
      <c r="I537" s="106">
        <v>107</v>
      </c>
      <c r="J537" s="106"/>
    </row>
    <row r="538" spans="1:10" x14ac:dyDescent="0.2">
      <c r="A538" s="106" t="s">
        <v>556</v>
      </c>
      <c r="B538" s="106" t="s">
        <v>347</v>
      </c>
      <c r="C538" s="106" t="s">
        <v>348</v>
      </c>
      <c r="D538" s="106" t="s">
        <v>349</v>
      </c>
      <c r="E538">
        <v>5714</v>
      </c>
      <c r="F538" s="106" t="s">
        <v>560</v>
      </c>
      <c r="G538" s="106" t="s">
        <v>350</v>
      </c>
      <c r="H538" s="106" t="s">
        <v>499</v>
      </c>
      <c r="I538" t="s">
        <v>373</v>
      </c>
      <c r="J538" t="s">
        <v>2491</v>
      </c>
    </row>
    <row r="539" spans="1:10" x14ac:dyDescent="0.2">
      <c r="A539" s="106" t="s">
        <v>556</v>
      </c>
      <c r="B539" s="106" t="s">
        <v>347</v>
      </c>
      <c r="C539" s="106" t="s">
        <v>357</v>
      </c>
      <c r="D539" s="106" t="s">
        <v>349</v>
      </c>
      <c r="E539">
        <v>6627</v>
      </c>
      <c r="F539" s="106" t="s">
        <v>902</v>
      </c>
      <c r="G539" s="106" t="s">
        <v>362</v>
      </c>
      <c r="H539" s="106" t="s">
        <v>375</v>
      </c>
      <c r="I539">
        <v>78</v>
      </c>
    </row>
    <row r="540" spans="1:10" x14ac:dyDescent="0.2">
      <c r="A540" s="106" t="s">
        <v>556</v>
      </c>
      <c r="B540" s="106" t="s">
        <v>347</v>
      </c>
      <c r="C540" s="106" t="s">
        <v>348</v>
      </c>
      <c r="D540" s="106" t="s">
        <v>349</v>
      </c>
      <c r="E540">
        <v>7294</v>
      </c>
      <c r="F540" s="106" t="s">
        <v>561</v>
      </c>
      <c r="G540" s="106" t="s">
        <v>350</v>
      </c>
      <c r="H540" s="106" t="s">
        <v>380</v>
      </c>
      <c r="I540">
        <v>368</v>
      </c>
    </row>
    <row r="541" spans="1:10" x14ac:dyDescent="0.2">
      <c r="A541" s="106" t="s">
        <v>556</v>
      </c>
      <c r="B541" s="106" t="s">
        <v>347</v>
      </c>
      <c r="C541" s="106" t="s">
        <v>348</v>
      </c>
      <c r="D541" s="106" t="s">
        <v>353</v>
      </c>
      <c r="E541">
        <v>7481</v>
      </c>
      <c r="F541" s="106" t="s">
        <v>693</v>
      </c>
      <c r="G541" s="106" t="s">
        <v>350</v>
      </c>
      <c r="H541" s="106" t="s">
        <v>356</v>
      </c>
      <c r="I541">
        <v>134</v>
      </c>
    </row>
    <row r="542" spans="1:10" x14ac:dyDescent="0.2">
      <c r="A542" s="106" t="s">
        <v>556</v>
      </c>
      <c r="B542" s="106" t="s">
        <v>347</v>
      </c>
      <c r="C542" s="106" t="s">
        <v>348</v>
      </c>
      <c r="D542" s="106" t="s">
        <v>349</v>
      </c>
      <c r="E542">
        <v>9964</v>
      </c>
      <c r="F542" s="106" t="s">
        <v>562</v>
      </c>
      <c r="G542" s="106" t="s">
        <v>354</v>
      </c>
      <c r="H542" s="106" t="s">
        <v>356</v>
      </c>
      <c r="I542">
        <v>192</v>
      </c>
    </row>
    <row r="543" spans="1:10" x14ac:dyDescent="0.2">
      <c r="A543" s="106" t="s">
        <v>563</v>
      </c>
      <c r="B543" s="106" t="s">
        <v>414</v>
      </c>
      <c r="C543" s="106" t="s">
        <v>348</v>
      </c>
      <c r="D543" s="106" t="s">
        <v>353</v>
      </c>
      <c r="E543">
        <v>6568</v>
      </c>
      <c r="F543" s="106" t="s">
        <v>2219</v>
      </c>
      <c r="G543" s="106" t="s">
        <v>362</v>
      </c>
      <c r="H543" s="106" t="s">
        <v>355</v>
      </c>
      <c r="I543">
        <v>117</v>
      </c>
    </row>
    <row r="544" spans="1:10" x14ac:dyDescent="0.2">
      <c r="A544" s="106" t="s">
        <v>563</v>
      </c>
      <c r="B544" s="106" t="s">
        <v>374</v>
      </c>
      <c r="C544" s="106" t="s">
        <v>357</v>
      </c>
      <c r="D544" s="106" t="s">
        <v>349</v>
      </c>
      <c r="E544">
        <v>4576</v>
      </c>
      <c r="F544" s="106" t="s">
        <v>2220</v>
      </c>
      <c r="G544" s="106" t="s">
        <v>354</v>
      </c>
      <c r="H544" s="106" t="s">
        <v>395</v>
      </c>
      <c r="I544">
        <v>166</v>
      </c>
    </row>
    <row r="545" spans="1:10" x14ac:dyDescent="0.2">
      <c r="A545" s="106" t="s">
        <v>563</v>
      </c>
      <c r="B545" s="106" t="s">
        <v>347</v>
      </c>
      <c r="C545" s="106" t="s">
        <v>348</v>
      </c>
      <c r="D545" s="106" t="s">
        <v>349</v>
      </c>
      <c r="E545">
        <v>1384</v>
      </c>
      <c r="F545" s="106" t="s">
        <v>564</v>
      </c>
      <c r="G545" s="106" t="s">
        <v>350</v>
      </c>
      <c r="H545" s="106" t="s">
        <v>398</v>
      </c>
      <c r="I545">
        <v>59</v>
      </c>
    </row>
    <row r="546" spans="1:10" x14ac:dyDescent="0.2">
      <c r="A546" s="106" t="s">
        <v>563</v>
      </c>
      <c r="B546" s="106" t="s">
        <v>347</v>
      </c>
      <c r="C546" s="106" t="s">
        <v>357</v>
      </c>
      <c r="D546" s="106" t="s">
        <v>349</v>
      </c>
      <c r="E546">
        <v>2150</v>
      </c>
      <c r="F546" s="106" t="s">
        <v>565</v>
      </c>
      <c r="G546" s="106" t="s">
        <v>362</v>
      </c>
      <c r="H546" s="106" t="s">
        <v>355</v>
      </c>
      <c r="I546">
        <v>88</v>
      </c>
    </row>
    <row r="547" spans="1:10" x14ac:dyDescent="0.2">
      <c r="A547" s="106" t="s">
        <v>563</v>
      </c>
      <c r="B547" s="106" t="s">
        <v>347</v>
      </c>
      <c r="C547" s="106" t="s">
        <v>357</v>
      </c>
      <c r="D547" s="106" t="s">
        <v>349</v>
      </c>
      <c r="E547">
        <v>2170</v>
      </c>
      <c r="F547" s="106" t="s">
        <v>566</v>
      </c>
      <c r="G547" s="106" t="s">
        <v>350</v>
      </c>
      <c r="H547" s="106" t="s">
        <v>355</v>
      </c>
      <c r="I547">
        <v>699</v>
      </c>
    </row>
    <row r="548" spans="1:10" x14ac:dyDescent="0.2">
      <c r="A548" s="106" t="s">
        <v>563</v>
      </c>
      <c r="B548" s="106" t="s">
        <v>347</v>
      </c>
      <c r="C548" s="106" t="s">
        <v>352</v>
      </c>
      <c r="D548" s="106" t="s">
        <v>349</v>
      </c>
      <c r="E548">
        <v>2185</v>
      </c>
      <c r="F548" s="106" t="s">
        <v>812</v>
      </c>
      <c r="G548" s="106" t="s">
        <v>354</v>
      </c>
      <c r="H548" s="106" t="s">
        <v>355</v>
      </c>
      <c r="I548">
        <v>173</v>
      </c>
    </row>
    <row r="549" spans="1:10" x14ac:dyDescent="0.2">
      <c r="A549" s="106" t="s">
        <v>563</v>
      </c>
      <c r="B549" s="106" t="s">
        <v>347</v>
      </c>
      <c r="C549" s="106" t="s">
        <v>348</v>
      </c>
      <c r="D549" s="106" t="s">
        <v>349</v>
      </c>
      <c r="E549">
        <v>2323</v>
      </c>
      <c r="F549" s="106" t="s">
        <v>813</v>
      </c>
      <c r="G549" s="106" t="s">
        <v>354</v>
      </c>
      <c r="H549" s="106" t="s">
        <v>361</v>
      </c>
      <c r="I549">
        <v>14</v>
      </c>
    </row>
    <row r="550" spans="1:10" x14ac:dyDescent="0.2">
      <c r="A550" s="106" t="s">
        <v>563</v>
      </c>
      <c r="B550" s="106" t="s">
        <v>347</v>
      </c>
      <c r="C550" s="106" t="s">
        <v>348</v>
      </c>
      <c r="D550" s="106" t="s">
        <v>349</v>
      </c>
      <c r="E550">
        <v>2654</v>
      </c>
      <c r="F550" s="106" t="s">
        <v>567</v>
      </c>
      <c r="G550" s="106" t="s">
        <v>358</v>
      </c>
      <c r="H550" s="106" t="s">
        <v>360</v>
      </c>
      <c r="I550">
        <v>85</v>
      </c>
    </row>
    <row r="551" spans="1:10" x14ac:dyDescent="0.2">
      <c r="A551" s="106" t="s">
        <v>563</v>
      </c>
      <c r="B551" s="106" t="s">
        <v>347</v>
      </c>
      <c r="C551" s="106" t="s">
        <v>357</v>
      </c>
      <c r="D551" s="106" t="s">
        <v>349</v>
      </c>
      <c r="E551">
        <v>2743</v>
      </c>
      <c r="F551" s="106" t="s">
        <v>2221</v>
      </c>
      <c r="G551" s="106" t="s">
        <v>354</v>
      </c>
      <c r="H551" s="106" t="s">
        <v>356</v>
      </c>
      <c r="I551">
        <v>43</v>
      </c>
    </row>
    <row r="552" spans="1:10" x14ac:dyDescent="0.2">
      <c r="A552" s="106" t="s">
        <v>563</v>
      </c>
      <c r="B552" s="106" t="s">
        <v>347</v>
      </c>
      <c r="C552" s="106" t="s">
        <v>348</v>
      </c>
      <c r="D552" s="106" t="s">
        <v>349</v>
      </c>
      <c r="E552">
        <v>3182</v>
      </c>
      <c r="F552" s="106" t="s">
        <v>568</v>
      </c>
      <c r="G552" s="106" t="s">
        <v>362</v>
      </c>
      <c r="H552" s="106" t="s">
        <v>360</v>
      </c>
      <c r="I552">
        <v>427</v>
      </c>
    </row>
    <row r="553" spans="1:10" x14ac:dyDescent="0.2">
      <c r="A553" s="106" t="s">
        <v>563</v>
      </c>
      <c r="B553" s="106" t="s">
        <v>347</v>
      </c>
      <c r="C553" s="106" t="s">
        <v>357</v>
      </c>
      <c r="D553" s="106" t="s">
        <v>349</v>
      </c>
      <c r="E553">
        <v>3355</v>
      </c>
      <c r="F553" s="106" t="s">
        <v>2222</v>
      </c>
      <c r="G553" s="106" t="s">
        <v>358</v>
      </c>
      <c r="H553" s="106" t="s">
        <v>356</v>
      </c>
      <c r="I553">
        <v>179</v>
      </c>
    </row>
    <row r="554" spans="1:10" x14ac:dyDescent="0.2">
      <c r="A554" s="106" t="s">
        <v>563</v>
      </c>
      <c r="B554" s="106" t="s">
        <v>347</v>
      </c>
      <c r="C554" s="106" t="s">
        <v>348</v>
      </c>
      <c r="D554" s="106" t="s">
        <v>349</v>
      </c>
      <c r="E554">
        <v>3397</v>
      </c>
      <c r="F554" s="106" t="s">
        <v>2492</v>
      </c>
      <c r="G554" s="106" t="s">
        <v>350</v>
      </c>
      <c r="H554" s="106" t="s">
        <v>360</v>
      </c>
      <c r="I554" t="s">
        <v>381</v>
      </c>
      <c r="J554" t="s">
        <v>2493</v>
      </c>
    </row>
    <row r="555" spans="1:10" x14ac:dyDescent="0.2">
      <c r="A555" s="106" t="s">
        <v>563</v>
      </c>
      <c r="B555" s="106" t="s">
        <v>347</v>
      </c>
      <c r="C555" s="106" t="s">
        <v>359</v>
      </c>
      <c r="D555" s="106" t="s">
        <v>353</v>
      </c>
      <c r="E555">
        <v>3446</v>
      </c>
      <c r="F555" s="106" t="s">
        <v>2223</v>
      </c>
      <c r="G555" s="106" t="s">
        <v>362</v>
      </c>
      <c r="H555" s="106" t="s">
        <v>365</v>
      </c>
      <c r="I555">
        <v>191</v>
      </c>
    </row>
    <row r="556" spans="1:10" x14ac:dyDescent="0.2">
      <c r="A556" s="106" t="s">
        <v>563</v>
      </c>
      <c r="B556" s="106" t="s">
        <v>347</v>
      </c>
      <c r="C556" s="106" t="s">
        <v>348</v>
      </c>
      <c r="D556" s="106" t="s">
        <v>353</v>
      </c>
      <c r="E556">
        <v>3477</v>
      </c>
      <c r="F556" s="106" t="s">
        <v>903</v>
      </c>
      <c r="G556" s="106" t="s">
        <v>362</v>
      </c>
      <c r="H556" s="106" t="s">
        <v>376</v>
      </c>
      <c r="I556" s="106">
        <v>21</v>
      </c>
      <c r="J556" s="106"/>
    </row>
    <row r="557" spans="1:10" x14ac:dyDescent="0.2">
      <c r="A557" s="106" t="s">
        <v>563</v>
      </c>
      <c r="B557" s="106" t="s">
        <v>347</v>
      </c>
      <c r="C557" s="106" t="s">
        <v>357</v>
      </c>
      <c r="D557" s="106" t="s">
        <v>349</v>
      </c>
      <c r="E557">
        <v>3649</v>
      </c>
      <c r="F557" s="106" t="s">
        <v>904</v>
      </c>
      <c r="G557" s="106" t="s">
        <v>350</v>
      </c>
      <c r="H557" s="106" t="s">
        <v>361</v>
      </c>
      <c r="I557" s="106">
        <v>384</v>
      </c>
      <c r="J557" s="106"/>
    </row>
    <row r="558" spans="1:10" x14ac:dyDescent="0.2">
      <c r="A558" s="106" t="s">
        <v>563</v>
      </c>
      <c r="B558" s="106" t="s">
        <v>347</v>
      </c>
      <c r="C558" s="106" t="s">
        <v>357</v>
      </c>
      <c r="D558" s="106" t="s">
        <v>349</v>
      </c>
      <c r="E558">
        <v>3664</v>
      </c>
      <c r="F558" s="106" t="s">
        <v>905</v>
      </c>
      <c r="G558" s="106" t="s">
        <v>362</v>
      </c>
      <c r="H558" s="106" t="s">
        <v>361</v>
      </c>
      <c r="I558" s="106">
        <v>66</v>
      </c>
      <c r="J558" s="106"/>
    </row>
    <row r="559" spans="1:10" x14ac:dyDescent="0.2">
      <c r="A559" s="106" t="s">
        <v>563</v>
      </c>
      <c r="B559" s="106" t="s">
        <v>347</v>
      </c>
      <c r="C559" s="106" t="s">
        <v>348</v>
      </c>
      <c r="D559" s="106" t="s">
        <v>349</v>
      </c>
      <c r="E559">
        <v>3934</v>
      </c>
      <c r="F559" s="106" t="s">
        <v>569</v>
      </c>
      <c r="G559" s="106" t="s">
        <v>350</v>
      </c>
      <c r="H559" s="106" t="s">
        <v>361</v>
      </c>
      <c r="I559">
        <v>107</v>
      </c>
    </row>
    <row r="560" spans="1:10" x14ac:dyDescent="0.2">
      <c r="A560" s="106" t="s">
        <v>563</v>
      </c>
      <c r="B560" s="106" t="s">
        <v>347</v>
      </c>
      <c r="C560" s="106" t="s">
        <v>359</v>
      </c>
      <c r="D560" s="106" t="s">
        <v>349</v>
      </c>
      <c r="E560">
        <v>3960</v>
      </c>
      <c r="F560" s="106" t="s">
        <v>570</v>
      </c>
      <c r="G560" s="106" t="s">
        <v>362</v>
      </c>
      <c r="H560" s="106" t="s">
        <v>361</v>
      </c>
      <c r="I560">
        <v>26</v>
      </c>
    </row>
    <row r="561" spans="1:10" x14ac:dyDescent="0.2">
      <c r="A561" s="106" t="s">
        <v>563</v>
      </c>
      <c r="B561" s="106" t="s">
        <v>347</v>
      </c>
      <c r="C561" s="106" t="s">
        <v>357</v>
      </c>
      <c r="D561" s="106" t="s">
        <v>349</v>
      </c>
      <c r="E561">
        <v>4755</v>
      </c>
      <c r="F561" s="106" t="s">
        <v>571</v>
      </c>
      <c r="G561" s="106" t="s">
        <v>350</v>
      </c>
      <c r="H561" s="106" t="s">
        <v>355</v>
      </c>
      <c r="I561" t="s">
        <v>572</v>
      </c>
      <c r="J561" t="s">
        <v>2494</v>
      </c>
    </row>
    <row r="562" spans="1:10" x14ac:dyDescent="0.2">
      <c r="A562" s="106" t="s">
        <v>563</v>
      </c>
      <c r="B562" s="106" t="s">
        <v>347</v>
      </c>
      <c r="C562" s="106" t="s">
        <v>348</v>
      </c>
      <c r="D562" s="106" t="s">
        <v>349</v>
      </c>
      <c r="E562">
        <v>5304</v>
      </c>
      <c r="F562" s="106" t="s">
        <v>573</v>
      </c>
      <c r="G562" s="106" t="s">
        <v>358</v>
      </c>
      <c r="H562" s="106" t="s">
        <v>392</v>
      </c>
      <c r="I562">
        <v>393</v>
      </c>
    </row>
    <row r="563" spans="1:10" x14ac:dyDescent="0.2">
      <c r="A563" s="106" t="s">
        <v>563</v>
      </c>
      <c r="B563" s="106" t="s">
        <v>347</v>
      </c>
      <c r="C563" s="106" t="s">
        <v>348</v>
      </c>
      <c r="D563" s="106" t="s">
        <v>349</v>
      </c>
      <c r="E563">
        <v>6033</v>
      </c>
      <c r="F563" s="106" t="s">
        <v>574</v>
      </c>
      <c r="G563" s="106" t="s">
        <v>362</v>
      </c>
      <c r="H563" s="106" t="s">
        <v>355</v>
      </c>
      <c r="I563">
        <v>107</v>
      </c>
    </row>
    <row r="564" spans="1:10" x14ac:dyDescent="0.2">
      <c r="A564" s="106" t="s">
        <v>563</v>
      </c>
      <c r="B564" s="106" t="s">
        <v>347</v>
      </c>
      <c r="C564" s="106" t="s">
        <v>348</v>
      </c>
      <c r="D564" s="106" t="s">
        <v>349</v>
      </c>
      <c r="E564">
        <v>6125</v>
      </c>
      <c r="F564" s="106" t="s">
        <v>814</v>
      </c>
      <c r="G564" s="106" t="s">
        <v>358</v>
      </c>
      <c r="H564" s="106" t="s">
        <v>371</v>
      </c>
      <c r="I564">
        <v>150</v>
      </c>
    </row>
    <row r="565" spans="1:10" x14ac:dyDescent="0.2">
      <c r="A565" s="106" t="s">
        <v>563</v>
      </c>
      <c r="B565" s="106" t="s">
        <v>347</v>
      </c>
      <c r="C565" s="106" t="s">
        <v>348</v>
      </c>
      <c r="D565" s="106" t="s">
        <v>349</v>
      </c>
      <c r="E565">
        <v>6303</v>
      </c>
      <c r="F565" s="106" t="s">
        <v>906</v>
      </c>
      <c r="G565" s="106" t="s">
        <v>358</v>
      </c>
      <c r="H565" s="106" t="s">
        <v>371</v>
      </c>
      <c r="I565">
        <v>75</v>
      </c>
    </row>
    <row r="566" spans="1:10" x14ac:dyDescent="0.2">
      <c r="A566" s="106" t="s">
        <v>563</v>
      </c>
      <c r="B566" s="106" t="s">
        <v>347</v>
      </c>
      <c r="C566" s="106" t="s">
        <v>348</v>
      </c>
      <c r="D566" s="106" t="s">
        <v>349</v>
      </c>
      <c r="E566">
        <v>6574</v>
      </c>
      <c r="F566" s="106" t="s">
        <v>743</v>
      </c>
      <c r="G566" s="106" t="s">
        <v>362</v>
      </c>
      <c r="H566" s="106" t="s">
        <v>355</v>
      </c>
      <c r="I566">
        <v>30</v>
      </c>
    </row>
    <row r="567" spans="1:10" x14ac:dyDescent="0.2">
      <c r="A567" s="106" t="s">
        <v>563</v>
      </c>
      <c r="B567" s="106" t="s">
        <v>347</v>
      </c>
      <c r="C567" s="106" t="s">
        <v>348</v>
      </c>
      <c r="D567" s="106" t="s">
        <v>349</v>
      </c>
      <c r="E567">
        <v>7070</v>
      </c>
      <c r="F567" s="106" t="s">
        <v>575</v>
      </c>
      <c r="G567" s="106" t="s">
        <v>354</v>
      </c>
      <c r="H567" s="106" t="s">
        <v>355</v>
      </c>
      <c r="I567">
        <v>50</v>
      </c>
    </row>
    <row r="568" spans="1:10" x14ac:dyDescent="0.2">
      <c r="A568" s="106" t="s">
        <v>563</v>
      </c>
      <c r="B568" s="106" t="s">
        <v>347</v>
      </c>
      <c r="C568" s="106" t="s">
        <v>357</v>
      </c>
      <c r="D568" s="106" t="s">
        <v>349</v>
      </c>
      <c r="E568">
        <v>7244</v>
      </c>
      <c r="F568" s="106" t="s">
        <v>2224</v>
      </c>
      <c r="G568" s="106" t="s">
        <v>350</v>
      </c>
      <c r="H568" s="106" t="s">
        <v>375</v>
      </c>
      <c r="I568">
        <v>807</v>
      </c>
    </row>
    <row r="569" spans="1:10" x14ac:dyDescent="0.2">
      <c r="A569" s="106" t="s">
        <v>563</v>
      </c>
      <c r="B569" s="106" t="s">
        <v>347</v>
      </c>
      <c r="C569" s="106" t="s">
        <v>357</v>
      </c>
      <c r="D569" s="106" t="s">
        <v>349</v>
      </c>
      <c r="E569">
        <v>7613</v>
      </c>
      <c r="F569" s="106" t="s">
        <v>2225</v>
      </c>
      <c r="G569" s="106" t="s">
        <v>350</v>
      </c>
      <c r="H569" s="106" t="s">
        <v>356</v>
      </c>
      <c r="I569" s="106">
        <v>817</v>
      </c>
      <c r="J569" s="106"/>
    </row>
    <row r="570" spans="1:10" x14ac:dyDescent="0.2">
      <c r="A570" s="106" t="s">
        <v>563</v>
      </c>
      <c r="B570" s="106" t="s">
        <v>347</v>
      </c>
      <c r="C570" s="106" t="s">
        <v>348</v>
      </c>
      <c r="D570" s="106" t="s">
        <v>349</v>
      </c>
      <c r="E570">
        <v>7677</v>
      </c>
      <c r="F570" s="106" t="s">
        <v>756</v>
      </c>
      <c r="G570" s="106" t="s">
        <v>358</v>
      </c>
      <c r="H570" s="106" t="s">
        <v>356</v>
      </c>
      <c r="I570" s="106">
        <v>54</v>
      </c>
      <c r="J570" s="106"/>
    </row>
    <row r="571" spans="1:10" x14ac:dyDescent="0.2">
      <c r="A571" s="106" t="s">
        <v>563</v>
      </c>
      <c r="B571" s="106" t="s">
        <v>347</v>
      </c>
      <c r="C571" s="106" t="s">
        <v>348</v>
      </c>
      <c r="D571" s="106" t="s">
        <v>349</v>
      </c>
      <c r="E571">
        <v>7726</v>
      </c>
      <c r="F571" s="106" t="s">
        <v>2226</v>
      </c>
      <c r="G571" s="106" t="s">
        <v>358</v>
      </c>
      <c r="H571" s="106" t="s">
        <v>371</v>
      </c>
      <c r="I571">
        <v>61</v>
      </c>
    </row>
    <row r="572" spans="1:10" x14ac:dyDescent="0.2">
      <c r="A572" s="106" t="s">
        <v>563</v>
      </c>
      <c r="B572" s="106" t="s">
        <v>347</v>
      </c>
      <c r="C572" s="106" t="s">
        <v>348</v>
      </c>
      <c r="D572" s="106" t="s">
        <v>349</v>
      </c>
      <c r="E572">
        <v>7780</v>
      </c>
      <c r="F572" s="106" t="s">
        <v>576</v>
      </c>
      <c r="G572" s="106" t="s">
        <v>350</v>
      </c>
      <c r="H572" s="106" t="s">
        <v>461</v>
      </c>
      <c r="I572" s="106" t="s">
        <v>381</v>
      </c>
      <c r="J572" s="106" t="s">
        <v>2267</v>
      </c>
    </row>
    <row r="573" spans="1:10" x14ac:dyDescent="0.2">
      <c r="A573" s="106" t="s">
        <v>563</v>
      </c>
      <c r="B573" s="106" t="s">
        <v>347</v>
      </c>
      <c r="C573" s="106" t="s">
        <v>357</v>
      </c>
      <c r="D573" s="106" t="s">
        <v>349</v>
      </c>
      <c r="E573">
        <v>8113</v>
      </c>
      <c r="F573" s="106" t="s">
        <v>2227</v>
      </c>
      <c r="G573" s="106" t="s">
        <v>350</v>
      </c>
      <c r="H573" s="106" t="s">
        <v>363</v>
      </c>
      <c r="I573" t="s">
        <v>2228</v>
      </c>
      <c r="J573" t="s">
        <v>2495</v>
      </c>
    </row>
    <row r="574" spans="1:10" x14ac:dyDescent="0.2">
      <c r="A574" s="106" t="s">
        <v>563</v>
      </c>
      <c r="B574" s="106" t="s">
        <v>347</v>
      </c>
      <c r="C574" s="106" t="s">
        <v>348</v>
      </c>
      <c r="D574" s="106" t="s">
        <v>349</v>
      </c>
      <c r="E574">
        <v>9707</v>
      </c>
      <c r="F574" s="106" t="s">
        <v>577</v>
      </c>
      <c r="G574" s="106" t="s">
        <v>354</v>
      </c>
      <c r="H574" s="106" t="s">
        <v>355</v>
      </c>
      <c r="I574" s="106">
        <v>129</v>
      </c>
      <c r="J574" s="106"/>
    </row>
    <row r="575" spans="1:10" x14ac:dyDescent="0.2">
      <c r="A575" s="106" t="s">
        <v>578</v>
      </c>
      <c r="B575" s="106" t="s">
        <v>347</v>
      </c>
      <c r="C575" s="106" t="s">
        <v>348</v>
      </c>
      <c r="D575" s="106" t="s">
        <v>349</v>
      </c>
      <c r="E575">
        <v>2181</v>
      </c>
      <c r="F575" s="106" t="s">
        <v>815</v>
      </c>
      <c r="G575" s="106" t="s">
        <v>350</v>
      </c>
      <c r="H575" s="106" t="s">
        <v>355</v>
      </c>
      <c r="I575" t="s">
        <v>400</v>
      </c>
      <c r="J575" t="s">
        <v>2496</v>
      </c>
    </row>
    <row r="576" spans="1:10" x14ac:dyDescent="0.2">
      <c r="A576" s="106" t="s">
        <v>578</v>
      </c>
      <c r="B576" s="106" t="s">
        <v>347</v>
      </c>
      <c r="C576" s="106" t="s">
        <v>348</v>
      </c>
      <c r="D576" s="106" t="s">
        <v>353</v>
      </c>
      <c r="E576">
        <v>2334</v>
      </c>
      <c r="F576" s="106" t="s">
        <v>816</v>
      </c>
      <c r="G576" s="106" t="s">
        <v>362</v>
      </c>
      <c r="H576" s="106" t="s">
        <v>355</v>
      </c>
      <c r="I576">
        <v>56</v>
      </c>
    </row>
    <row r="577" spans="1:10" x14ac:dyDescent="0.2">
      <c r="A577" s="106" t="s">
        <v>578</v>
      </c>
      <c r="B577" s="106" t="s">
        <v>347</v>
      </c>
      <c r="C577" s="106" t="s">
        <v>357</v>
      </c>
      <c r="D577" s="106" t="s">
        <v>349</v>
      </c>
      <c r="E577">
        <v>2492</v>
      </c>
      <c r="F577" s="106" t="s">
        <v>907</v>
      </c>
      <c r="G577" s="106" t="s">
        <v>350</v>
      </c>
      <c r="H577" s="106" t="s">
        <v>355</v>
      </c>
      <c r="I577" t="s">
        <v>373</v>
      </c>
      <c r="J577" t="s">
        <v>2497</v>
      </c>
    </row>
    <row r="578" spans="1:10" x14ac:dyDescent="0.2">
      <c r="A578" s="106" t="s">
        <v>578</v>
      </c>
      <c r="B578" s="106" t="s">
        <v>347</v>
      </c>
      <c r="C578" s="106" t="s">
        <v>352</v>
      </c>
      <c r="D578" s="106" t="s">
        <v>349</v>
      </c>
      <c r="E578">
        <v>2498</v>
      </c>
      <c r="F578" s="106" t="s">
        <v>2230</v>
      </c>
      <c r="G578" s="106" t="s">
        <v>354</v>
      </c>
      <c r="H578" s="106" t="s">
        <v>355</v>
      </c>
      <c r="I578">
        <v>171</v>
      </c>
    </row>
    <row r="579" spans="1:10" x14ac:dyDescent="0.2">
      <c r="A579" s="106" t="s">
        <v>578</v>
      </c>
      <c r="B579" s="106" t="s">
        <v>347</v>
      </c>
      <c r="C579" s="106" t="s">
        <v>359</v>
      </c>
      <c r="D579" s="106" t="s">
        <v>349</v>
      </c>
      <c r="E579">
        <v>3135</v>
      </c>
      <c r="F579" s="106" t="s">
        <v>579</v>
      </c>
      <c r="G579" s="106" t="s">
        <v>362</v>
      </c>
      <c r="H579" s="106" t="s">
        <v>360</v>
      </c>
      <c r="I579">
        <v>149</v>
      </c>
    </row>
    <row r="580" spans="1:10" x14ac:dyDescent="0.2">
      <c r="A580" s="106" t="s">
        <v>578</v>
      </c>
      <c r="B580" s="106" t="s">
        <v>347</v>
      </c>
      <c r="C580" s="106" t="s">
        <v>348</v>
      </c>
      <c r="D580" s="106" t="s">
        <v>349</v>
      </c>
      <c r="E580">
        <v>3184</v>
      </c>
      <c r="F580" s="106" t="s">
        <v>908</v>
      </c>
      <c r="G580" s="106" t="s">
        <v>358</v>
      </c>
      <c r="H580" s="106" t="s">
        <v>360</v>
      </c>
      <c r="I580">
        <v>36</v>
      </c>
    </row>
    <row r="581" spans="1:10" x14ac:dyDescent="0.2">
      <c r="A581" s="106" t="s">
        <v>578</v>
      </c>
      <c r="B581" s="106" t="s">
        <v>347</v>
      </c>
      <c r="C581" s="106" t="s">
        <v>348</v>
      </c>
      <c r="D581" s="106" t="s">
        <v>353</v>
      </c>
      <c r="E581">
        <v>3489</v>
      </c>
      <c r="F581" s="106" t="s">
        <v>909</v>
      </c>
      <c r="G581" s="106" t="s">
        <v>362</v>
      </c>
      <c r="H581" s="106" t="s">
        <v>376</v>
      </c>
      <c r="I581">
        <v>63</v>
      </c>
    </row>
    <row r="582" spans="1:10" x14ac:dyDescent="0.2">
      <c r="A582" s="106" t="s">
        <v>578</v>
      </c>
      <c r="B582" s="106" t="s">
        <v>347</v>
      </c>
      <c r="C582" s="106" t="s">
        <v>348</v>
      </c>
      <c r="D582" s="106" t="s">
        <v>349</v>
      </c>
      <c r="E582">
        <v>4234</v>
      </c>
      <c r="F582" s="106" t="s">
        <v>2231</v>
      </c>
      <c r="G582" s="106" t="s">
        <v>354</v>
      </c>
      <c r="H582" s="106" t="s">
        <v>363</v>
      </c>
      <c r="I582">
        <v>60</v>
      </c>
    </row>
    <row r="583" spans="1:10" x14ac:dyDescent="0.2">
      <c r="A583" s="106" t="s">
        <v>578</v>
      </c>
      <c r="B583" s="106" t="s">
        <v>347</v>
      </c>
      <c r="C583" s="106" t="s">
        <v>357</v>
      </c>
      <c r="D583" s="106" t="s">
        <v>349</v>
      </c>
      <c r="E583">
        <v>4392</v>
      </c>
      <c r="F583" s="106" t="s">
        <v>2232</v>
      </c>
      <c r="G583" s="106" t="s">
        <v>350</v>
      </c>
      <c r="H583" s="106" t="s">
        <v>361</v>
      </c>
      <c r="I583">
        <v>97</v>
      </c>
    </row>
    <row r="584" spans="1:10" x14ac:dyDescent="0.2">
      <c r="A584" s="106" t="s">
        <v>578</v>
      </c>
      <c r="B584" s="106" t="s">
        <v>347</v>
      </c>
      <c r="C584" s="106" t="s">
        <v>357</v>
      </c>
      <c r="D584" s="106" t="s">
        <v>353</v>
      </c>
      <c r="E584">
        <v>4450</v>
      </c>
      <c r="F584" s="106" t="s">
        <v>732</v>
      </c>
      <c r="G584" s="106" t="s">
        <v>362</v>
      </c>
      <c r="H584" s="106" t="s">
        <v>361</v>
      </c>
      <c r="I584">
        <v>52</v>
      </c>
    </row>
    <row r="585" spans="1:10" x14ac:dyDescent="0.2">
      <c r="A585" s="106" t="s">
        <v>578</v>
      </c>
      <c r="B585" s="106" t="s">
        <v>347</v>
      </c>
      <c r="C585" s="106" t="s">
        <v>357</v>
      </c>
      <c r="D585" s="106" t="s">
        <v>349</v>
      </c>
      <c r="E585">
        <v>4481</v>
      </c>
      <c r="F585" s="106" t="s">
        <v>2233</v>
      </c>
      <c r="G585" s="106" t="s">
        <v>358</v>
      </c>
      <c r="H585" s="106" t="s">
        <v>361</v>
      </c>
      <c r="I585">
        <v>220</v>
      </c>
    </row>
    <row r="586" spans="1:10" x14ac:dyDescent="0.2">
      <c r="A586" s="106" t="s">
        <v>578</v>
      </c>
      <c r="B586" s="106" t="s">
        <v>347</v>
      </c>
      <c r="C586" s="106" t="s">
        <v>348</v>
      </c>
      <c r="D586" s="106" t="s">
        <v>349</v>
      </c>
      <c r="E586">
        <v>4620</v>
      </c>
      <c r="F586" s="106" t="s">
        <v>580</v>
      </c>
      <c r="G586" s="106" t="s">
        <v>350</v>
      </c>
      <c r="H586" s="106" t="s">
        <v>363</v>
      </c>
      <c r="I586" s="106">
        <v>192</v>
      </c>
      <c r="J586" s="106"/>
    </row>
    <row r="587" spans="1:10" x14ac:dyDescent="0.2">
      <c r="A587" s="106" t="s">
        <v>578</v>
      </c>
      <c r="B587" s="106" t="s">
        <v>347</v>
      </c>
      <c r="C587" s="106" t="s">
        <v>357</v>
      </c>
      <c r="D587" s="106" t="s">
        <v>349</v>
      </c>
      <c r="E587">
        <v>5959</v>
      </c>
      <c r="F587" s="106" t="s">
        <v>2234</v>
      </c>
      <c r="G587" s="106" t="s">
        <v>350</v>
      </c>
      <c r="H587" s="106" t="s">
        <v>365</v>
      </c>
      <c r="I587">
        <v>521</v>
      </c>
    </row>
    <row r="588" spans="1:10" x14ac:dyDescent="0.2">
      <c r="A588" s="106" t="s">
        <v>578</v>
      </c>
      <c r="B588" s="106" t="s">
        <v>347</v>
      </c>
      <c r="C588" s="106" t="s">
        <v>359</v>
      </c>
      <c r="D588" s="106" t="s">
        <v>349</v>
      </c>
      <c r="E588">
        <v>6038</v>
      </c>
      <c r="F588" s="106" t="s">
        <v>2235</v>
      </c>
      <c r="G588" s="106" t="s">
        <v>362</v>
      </c>
      <c r="H588" s="106" t="s">
        <v>355</v>
      </c>
      <c r="I588" s="106">
        <v>48</v>
      </c>
      <c r="J588" s="106"/>
    </row>
    <row r="589" spans="1:10" x14ac:dyDescent="0.2">
      <c r="A589" s="106" t="s">
        <v>578</v>
      </c>
      <c r="B589" s="106" t="s">
        <v>347</v>
      </c>
      <c r="C589" s="106" t="s">
        <v>357</v>
      </c>
      <c r="D589" s="106" t="s">
        <v>349</v>
      </c>
      <c r="E589">
        <v>6141</v>
      </c>
      <c r="F589" s="106" t="s">
        <v>581</v>
      </c>
      <c r="G589" s="106" t="s">
        <v>350</v>
      </c>
      <c r="H589" s="106" t="s">
        <v>371</v>
      </c>
      <c r="I589" s="106" t="s">
        <v>373</v>
      </c>
      <c r="J589" s="106" t="s">
        <v>2498</v>
      </c>
    </row>
    <row r="590" spans="1:10" x14ac:dyDescent="0.2">
      <c r="A590" s="106" t="s">
        <v>578</v>
      </c>
      <c r="B590" s="106" t="s">
        <v>347</v>
      </c>
      <c r="C590" s="106" t="s">
        <v>348</v>
      </c>
      <c r="D590" s="106" t="s">
        <v>349</v>
      </c>
      <c r="E590">
        <v>6247</v>
      </c>
      <c r="F590" s="106" t="s">
        <v>582</v>
      </c>
      <c r="G590" s="106" t="s">
        <v>350</v>
      </c>
      <c r="H590" s="106" t="s">
        <v>371</v>
      </c>
      <c r="I590" s="106">
        <v>330</v>
      </c>
      <c r="J590" s="106"/>
    </row>
    <row r="591" spans="1:10" x14ac:dyDescent="0.2">
      <c r="A591" s="106" t="s">
        <v>578</v>
      </c>
      <c r="B591" s="106" t="s">
        <v>347</v>
      </c>
      <c r="C591" s="106" t="s">
        <v>348</v>
      </c>
      <c r="D591" s="106" t="s">
        <v>349</v>
      </c>
      <c r="E591">
        <v>7199</v>
      </c>
      <c r="F591" s="106" t="s">
        <v>583</v>
      </c>
      <c r="G591" s="106" t="s">
        <v>350</v>
      </c>
      <c r="H591" s="106" t="s">
        <v>386</v>
      </c>
      <c r="I591" s="106">
        <v>305</v>
      </c>
      <c r="J591" s="106"/>
    </row>
    <row r="592" spans="1:10" x14ac:dyDescent="0.2">
      <c r="A592" s="106" t="s">
        <v>578</v>
      </c>
      <c r="B592" s="106" t="s">
        <v>347</v>
      </c>
      <c r="C592" s="106" t="s">
        <v>359</v>
      </c>
      <c r="D592" s="106" t="s">
        <v>349</v>
      </c>
      <c r="E592">
        <v>9450</v>
      </c>
      <c r="F592" s="106" t="s">
        <v>2236</v>
      </c>
      <c r="G592" s="106" t="s">
        <v>350</v>
      </c>
      <c r="H592" s="106" t="s">
        <v>361</v>
      </c>
      <c r="I592" s="106">
        <v>286</v>
      </c>
      <c r="J592" s="106"/>
    </row>
    <row r="593" spans="1:10" x14ac:dyDescent="0.2">
      <c r="A593" s="106" t="s">
        <v>2237</v>
      </c>
      <c r="B593" s="106" t="s">
        <v>347</v>
      </c>
      <c r="C593" s="106" t="s">
        <v>357</v>
      </c>
      <c r="D593" s="106" t="s">
        <v>349</v>
      </c>
      <c r="E593">
        <v>3975</v>
      </c>
      <c r="F593" s="106" t="s">
        <v>2238</v>
      </c>
      <c r="G593" s="106" t="s">
        <v>350</v>
      </c>
      <c r="H593" s="106" t="s">
        <v>361</v>
      </c>
      <c r="I593" s="106">
        <v>175</v>
      </c>
      <c r="J593" s="106"/>
    </row>
    <row r="594" spans="1:10" x14ac:dyDescent="0.2">
      <c r="A594" s="106" t="s">
        <v>584</v>
      </c>
      <c r="B594" s="106" t="s">
        <v>347</v>
      </c>
      <c r="C594" s="106" t="s">
        <v>357</v>
      </c>
      <c r="D594" s="106" t="s">
        <v>353</v>
      </c>
      <c r="E594">
        <v>8985</v>
      </c>
      <c r="F594" s="106" t="s">
        <v>585</v>
      </c>
      <c r="G594" s="106" t="s">
        <v>387</v>
      </c>
      <c r="H594" s="106" t="s">
        <v>388</v>
      </c>
      <c r="I594" s="106" t="s">
        <v>434</v>
      </c>
      <c r="J594" s="106" t="s">
        <v>2499</v>
      </c>
    </row>
    <row r="595" spans="1:10" x14ac:dyDescent="0.2">
      <c r="A595" s="106" t="s">
        <v>2239</v>
      </c>
      <c r="B595" s="106" t="s">
        <v>347</v>
      </c>
      <c r="C595" s="106" t="s">
        <v>352</v>
      </c>
      <c r="D595" s="106" t="s">
        <v>349</v>
      </c>
      <c r="E595">
        <v>4666</v>
      </c>
      <c r="F595" s="106" t="s">
        <v>408</v>
      </c>
      <c r="G595" s="106" t="s">
        <v>350</v>
      </c>
      <c r="H595" s="106" t="s">
        <v>376</v>
      </c>
      <c r="I595" s="106" t="s">
        <v>434</v>
      </c>
      <c r="J595" s="106" t="s">
        <v>2500</v>
      </c>
    </row>
    <row r="596" spans="1:10" x14ac:dyDescent="0.2">
      <c r="A596" s="106" t="s">
        <v>910</v>
      </c>
      <c r="B596" s="106" t="s">
        <v>347</v>
      </c>
      <c r="C596" s="106" t="s">
        <v>348</v>
      </c>
      <c r="D596" s="106" t="s">
        <v>349</v>
      </c>
      <c r="E596">
        <v>2593</v>
      </c>
      <c r="F596" s="106" t="s">
        <v>366</v>
      </c>
      <c r="G596" s="106" t="s">
        <v>350</v>
      </c>
      <c r="H596" s="106" t="s">
        <v>351</v>
      </c>
      <c r="I596" t="s">
        <v>400</v>
      </c>
      <c r="J596" t="s">
        <v>2501</v>
      </c>
    </row>
    <row r="597" spans="1:10" x14ac:dyDescent="0.2">
      <c r="A597" s="106" t="s">
        <v>910</v>
      </c>
      <c r="B597" s="106" t="s">
        <v>347</v>
      </c>
      <c r="C597" s="106" t="s">
        <v>359</v>
      </c>
      <c r="D597" s="106" t="s">
        <v>349</v>
      </c>
      <c r="E597">
        <v>6267</v>
      </c>
      <c r="F597" s="106" t="s">
        <v>370</v>
      </c>
      <c r="G597" s="106" t="s">
        <v>354</v>
      </c>
      <c r="H597" s="106" t="s">
        <v>371</v>
      </c>
      <c r="I597">
        <v>37</v>
      </c>
    </row>
    <row r="598" spans="1:10" x14ac:dyDescent="0.2">
      <c r="A598" s="106" t="s">
        <v>911</v>
      </c>
      <c r="B598" s="106" t="s">
        <v>347</v>
      </c>
      <c r="C598" s="106" t="s">
        <v>348</v>
      </c>
      <c r="D598" s="106" t="s">
        <v>349</v>
      </c>
      <c r="E598">
        <v>4750</v>
      </c>
      <c r="F598" s="106" t="s">
        <v>364</v>
      </c>
      <c r="G598" s="106" t="s">
        <v>358</v>
      </c>
      <c r="H598" s="106" t="s">
        <v>355</v>
      </c>
      <c r="I598">
        <v>52</v>
      </c>
    </row>
    <row r="599" spans="1:10" x14ac:dyDescent="0.2">
      <c r="A599" s="106" t="s">
        <v>911</v>
      </c>
      <c r="B599" s="106" t="s">
        <v>347</v>
      </c>
      <c r="C599" s="106" t="s">
        <v>357</v>
      </c>
      <c r="D599" s="106" t="s">
        <v>349</v>
      </c>
      <c r="E599">
        <v>7590</v>
      </c>
      <c r="F599" s="106" t="s">
        <v>2241</v>
      </c>
      <c r="G599" s="106" t="s">
        <v>350</v>
      </c>
      <c r="H599" s="106" t="s">
        <v>356</v>
      </c>
      <c r="I599">
        <v>74</v>
      </c>
    </row>
    <row r="600" spans="1:10" x14ac:dyDescent="0.2">
      <c r="A600" s="106" t="s">
        <v>2242</v>
      </c>
      <c r="B600" s="106" t="s">
        <v>347</v>
      </c>
      <c r="C600" s="106" t="s">
        <v>352</v>
      </c>
      <c r="D600" s="106" t="s">
        <v>349</v>
      </c>
      <c r="E600">
        <v>1383</v>
      </c>
      <c r="F600" s="106" t="s">
        <v>397</v>
      </c>
      <c r="G600" s="106" t="s">
        <v>354</v>
      </c>
      <c r="H600" s="106" t="s">
        <v>398</v>
      </c>
      <c r="I600">
        <v>31</v>
      </c>
    </row>
    <row r="601" spans="1:10" x14ac:dyDescent="0.2">
      <c r="A601" s="106" t="s">
        <v>2243</v>
      </c>
      <c r="B601" s="106" t="s">
        <v>347</v>
      </c>
      <c r="C601" s="106" t="s">
        <v>359</v>
      </c>
      <c r="D601" s="106" t="s">
        <v>353</v>
      </c>
      <c r="E601">
        <v>9262</v>
      </c>
      <c r="F601" s="106" t="s">
        <v>391</v>
      </c>
      <c r="G601" s="106" t="s">
        <v>362</v>
      </c>
      <c r="H601" s="106" t="s">
        <v>360</v>
      </c>
      <c r="I601">
        <v>288</v>
      </c>
    </row>
    <row r="602" spans="1:10" x14ac:dyDescent="0.2">
      <c r="A602" s="106" t="s">
        <v>2244</v>
      </c>
      <c r="B602" s="106" t="s">
        <v>347</v>
      </c>
      <c r="C602" s="106" t="s">
        <v>357</v>
      </c>
      <c r="D602" s="106" t="s">
        <v>349</v>
      </c>
      <c r="E602">
        <v>3995</v>
      </c>
      <c r="F602" s="106" t="s">
        <v>402</v>
      </c>
      <c r="G602" s="106" t="s">
        <v>362</v>
      </c>
      <c r="H602" s="106" t="s">
        <v>361</v>
      </c>
      <c r="I602">
        <v>65</v>
      </c>
    </row>
    <row r="603" spans="1:10" x14ac:dyDescent="0.2">
      <c r="A603" s="106" t="s">
        <v>2245</v>
      </c>
      <c r="B603" s="106" t="s">
        <v>347</v>
      </c>
      <c r="C603" s="106" t="s">
        <v>359</v>
      </c>
      <c r="D603" s="106" t="s">
        <v>353</v>
      </c>
      <c r="E603">
        <v>2424</v>
      </c>
      <c r="F603" s="106" t="s">
        <v>399</v>
      </c>
      <c r="G603" s="106" t="s">
        <v>350</v>
      </c>
      <c r="H603" s="106" t="s">
        <v>355</v>
      </c>
      <c r="I603">
        <v>48</v>
      </c>
    </row>
    <row r="604" spans="1:10" x14ac:dyDescent="0.2">
      <c r="A604" s="106" t="s">
        <v>2245</v>
      </c>
      <c r="B604" s="106" t="s">
        <v>347</v>
      </c>
      <c r="C604" s="106" t="s">
        <v>348</v>
      </c>
      <c r="D604" s="106" t="s">
        <v>353</v>
      </c>
      <c r="E604">
        <v>4431</v>
      </c>
      <c r="F604" s="106" t="s">
        <v>403</v>
      </c>
      <c r="G604" s="106" t="s">
        <v>362</v>
      </c>
      <c r="H604" s="106" t="s">
        <v>361</v>
      </c>
      <c r="I604" s="106">
        <v>290</v>
      </c>
      <c r="J604" s="106"/>
    </row>
    <row r="605" spans="1:10" x14ac:dyDescent="0.2">
      <c r="A605" s="106" t="s">
        <v>2245</v>
      </c>
      <c r="B605" s="106" t="s">
        <v>347</v>
      </c>
      <c r="C605" s="106" t="s">
        <v>357</v>
      </c>
      <c r="D605" s="106" t="s">
        <v>349</v>
      </c>
      <c r="E605">
        <v>7683</v>
      </c>
      <c r="F605" s="106" t="s">
        <v>407</v>
      </c>
      <c r="G605" s="106" t="s">
        <v>362</v>
      </c>
      <c r="H605" s="106" t="s">
        <v>360</v>
      </c>
      <c r="I605" s="106">
        <v>149</v>
      </c>
      <c r="J605" s="106"/>
    </row>
    <row r="606" spans="1:10" x14ac:dyDescent="0.2">
      <c r="A606" s="106" t="s">
        <v>586</v>
      </c>
      <c r="B606" s="106" t="s">
        <v>347</v>
      </c>
      <c r="C606" s="106" t="s">
        <v>348</v>
      </c>
      <c r="D606" s="106" t="s">
        <v>353</v>
      </c>
      <c r="E606">
        <v>1723</v>
      </c>
      <c r="F606" s="106" t="s">
        <v>587</v>
      </c>
      <c r="G606" s="106" t="s">
        <v>354</v>
      </c>
      <c r="H606" s="106" t="s">
        <v>377</v>
      </c>
      <c r="I606">
        <v>254</v>
      </c>
    </row>
    <row r="607" spans="1:10" x14ac:dyDescent="0.2">
      <c r="A607" s="106" t="s">
        <v>586</v>
      </c>
      <c r="B607" s="106" t="s">
        <v>347</v>
      </c>
      <c r="C607" s="106" t="s">
        <v>348</v>
      </c>
      <c r="D607" s="106" t="s">
        <v>349</v>
      </c>
      <c r="E607">
        <v>1941</v>
      </c>
      <c r="F607" s="106" t="s">
        <v>588</v>
      </c>
      <c r="G607" s="106" t="s">
        <v>350</v>
      </c>
      <c r="H607" s="106" t="s">
        <v>377</v>
      </c>
      <c r="I607" t="s">
        <v>381</v>
      </c>
      <c r="J607" t="s">
        <v>2502</v>
      </c>
    </row>
    <row r="608" spans="1:10" x14ac:dyDescent="0.2">
      <c r="A608" s="106" t="s">
        <v>586</v>
      </c>
      <c r="B608" s="106" t="s">
        <v>347</v>
      </c>
      <c r="C608" s="106" t="s">
        <v>348</v>
      </c>
      <c r="D608" s="106" t="s">
        <v>349</v>
      </c>
      <c r="E608">
        <v>1959</v>
      </c>
      <c r="F608" s="106" t="s">
        <v>590</v>
      </c>
      <c r="G608" s="106" t="s">
        <v>350</v>
      </c>
      <c r="H608" s="106" t="s">
        <v>377</v>
      </c>
      <c r="I608" t="s">
        <v>373</v>
      </c>
      <c r="J608" t="s">
        <v>2503</v>
      </c>
    </row>
    <row r="609" spans="1:10" x14ac:dyDescent="0.2">
      <c r="A609" s="106" t="s">
        <v>586</v>
      </c>
      <c r="B609" s="106" t="s">
        <v>347</v>
      </c>
      <c r="C609" s="106" t="s">
        <v>348</v>
      </c>
      <c r="D609" s="106" t="s">
        <v>349</v>
      </c>
      <c r="E609">
        <v>2148</v>
      </c>
      <c r="F609" s="106" t="s">
        <v>817</v>
      </c>
      <c r="G609" s="106" t="s">
        <v>350</v>
      </c>
      <c r="H609" s="106" t="s">
        <v>355</v>
      </c>
      <c r="I609" s="106">
        <v>155</v>
      </c>
      <c r="J609" s="106"/>
    </row>
    <row r="610" spans="1:10" x14ac:dyDescent="0.2">
      <c r="A610" s="106" t="s">
        <v>586</v>
      </c>
      <c r="B610" s="106" t="s">
        <v>347</v>
      </c>
      <c r="C610" s="106" t="s">
        <v>348</v>
      </c>
      <c r="D610" s="106" t="s">
        <v>349</v>
      </c>
      <c r="E610">
        <v>2326</v>
      </c>
      <c r="F610" s="106" t="s">
        <v>818</v>
      </c>
      <c r="G610" s="106" t="s">
        <v>350</v>
      </c>
      <c r="H610" s="106" t="s">
        <v>361</v>
      </c>
      <c r="I610" s="106">
        <v>767</v>
      </c>
      <c r="J610" s="106"/>
    </row>
    <row r="611" spans="1:10" x14ac:dyDescent="0.2">
      <c r="A611" s="106" t="s">
        <v>586</v>
      </c>
      <c r="B611" s="106" t="s">
        <v>347</v>
      </c>
      <c r="C611" s="106" t="s">
        <v>348</v>
      </c>
      <c r="D611" s="106" t="s">
        <v>353</v>
      </c>
      <c r="E611">
        <v>2332</v>
      </c>
      <c r="F611" s="106" t="s">
        <v>591</v>
      </c>
      <c r="G611" s="106" t="s">
        <v>354</v>
      </c>
      <c r="H611" s="106" t="s">
        <v>361</v>
      </c>
      <c r="I611">
        <v>63</v>
      </c>
    </row>
    <row r="612" spans="1:10" x14ac:dyDescent="0.2">
      <c r="A612" s="106" t="s">
        <v>586</v>
      </c>
      <c r="B612" s="106" t="s">
        <v>347</v>
      </c>
      <c r="C612" s="106" t="s">
        <v>348</v>
      </c>
      <c r="D612" s="106" t="s">
        <v>349</v>
      </c>
      <c r="E612">
        <v>3116</v>
      </c>
      <c r="F612" s="106" t="s">
        <v>912</v>
      </c>
      <c r="G612" s="106" t="s">
        <v>350</v>
      </c>
      <c r="H612" s="106" t="s">
        <v>380</v>
      </c>
      <c r="I612" s="106" t="s">
        <v>434</v>
      </c>
      <c r="J612" s="106" t="s">
        <v>2504</v>
      </c>
    </row>
    <row r="613" spans="1:10" x14ac:dyDescent="0.2">
      <c r="A613" s="106" t="s">
        <v>586</v>
      </c>
      <c r="B613" s="106" t="s">
        <v>347</v>
      </c>
      <c r="C613" s="106" t="s">
        <v>348</v>
      </c>
      <c r="D613" s="106" t="s">
        <v>349</v>
      </c>
      <c r="E613">
        <v>3132</v>
      </c>
      <c r="F613" s="106" t="s">
        <v>913</v>
      </c>
      <c r="G613" s="106" t="s">
        <v>350</v>
      </c>
      <c r="H613" s="106" t="s">
        <v>356</v>
      </c>
      <c r="I613" t="s">
        <v>381</v>
      </c>
      <c r="J613" t="s">
        <v>2505</v>
      </c>
    </row>
    <row r="614" spans="1:10" x14ac:dyDescent="0.2">
      <c r="A614" s="106" t="s">
        <v>586</v>
      </c>
      <c r="B614" s="106" t="s">
        <v>347</v>
      </c>
      <c r="C614" s="106" t="s">
        <v>348</v>
      </c>
      <c r="D614" s="106" t="s">
        <v>353</v>
      </c>
      <c r="E614">
        <v>3177</v>
      </c>
      <c r="F614" s="106" t="s">
        <v>592</v>
      </c>
      <c r="G614" s="106" t="s">
        <v>354</v>
      </c>
      <c r="H614" s="106" t="s">
        <v>360</v>
      </c>
      <c r="I614">
        <v>22</v>
      </c>
    </row>
    <row r="615" spans="1:10" x14ac:dyDescent="0.2">
      <c r="A615" s="106" t="s">
        <v>586</v>
      </c>
      <c r="B615" s="106" t="s">
        <v>347</v>
      </c>
      <c r="C615" s="106" t="s">
        <v>348</v>
      </c>
      <c r="D615" s="106" t="s">
        <v>349</v>
      </c>
      <c r="E615">
        <v>3231</v>
      </c>
      <c r="F615" s="106" t="s">
        <v>593</v>
      </c>
      <c r="G615" s="106" t="s">
        <v>350</v>
      </c>
      <c r="H615" s="106" t="s">
        <v>376</v>
      </c>
      <c r="I615" t="s">
        <v>367</v>
      </c>
      <c r="J615" t="s">
        <v>2506</v>
      </c>
    </row>
    <row r="616" spans="1:10" x14ac:dyDescent="0.2">
      <c r="A616" s="106" t="s">
        <v>586</v>
      </c>
      <c r="B616" s="106" t="s">
        <v>347</v>
      </c>
      <c r="C616" s="106" t="s">
        <v>348</v>
      </c>
      <c r="D616" s="106" t="s">
        <v>353</v>
      </c>
      <c r="E616">
        <v>3564</v>
      </c>
      <c r="F616" s="106" t="s">
        <v>914</v>
      </c>
      <c r="G616" s="106" t="s">
        <v>350</v>
      </c>
      <c r="H616" s="106" t="s">
        <v>360</v>
      </c>
      <c r="I616">
        <v>896</v>
      </c>
    </row>
    <row r="617" spans="1:10" x14ac:dyDescent="0.2">
      <c r="A617" s="106" t="s">
        <v>586</v>
      </c>
      <c r="B617" s="106" t="s">
        <v>347</v>
      </c>
      <c r="C617" s="106" t="s">
        <v>348</v>
      </c>
      <c r="D617" s="106" t="s">
        <v>353</v>
      </c>
      <c r="E617">
        <v>3658</v>
      </c>
      <c r="F617" s="106" t="s">
        <v>915</v>
      </c>
      <c r="G617" s="106" t="s">
        <v>350</v>
      </c>
      <c r="H617" s="106" t="s">
        <v>361</v>
      </c>
      <c r="I617">
        <v>106</v>
      </c>
    </row>
    <row r="618" spans="1:10" x14ac:dyDescent="0.2">
      <c r="A618" s="106" t="s">
        <v>586</v>
      </c>
      <c r="B618" s="106" t="s">
        <v>347</v>
      </c>
      <c r="C618" s="106" t="s">
        <v>348</v>
      </c>
      <c r="D618" s="106" t="s">
        <v>349</v>
      </c>
      <c r="E618">
        <v>3778</v>
      </c>
      <c r="F618" s="106" t="s">
        <v>916</v>
      </c>
      <c r="G618" s="106" t="s">
        <v>350</v>
      </c>
      <c r="H618" s="106" t="s">
        <v>361</v>
      </c>
      <c r="I618">
        <v>260</v>
      </c>
    </row>
    <row r="619" spans="1:10" x14ac:dyDescent="0.2">
      <c r="A619" s="106" t="s">
        <v>586</v>
      </c>
      <c r="B619" s="106" t="s">
        <v>347</v>
      </c>
      <c r="C619" s="106" t="s">
        <v>348</v>
      </c>
      <c r="D619" s="106" t="s">
        <v>353</v>
      </c>
      <c r="E619">
        <v>4333</v>
      </c>
      <c r="F619" s="106" t="s">
        <v>594</v>
      </c>
      <c r="G619" s="106" t="s">
        <v>350</v>
      </c>
      <c r="H619" s="106" t="s">
        <v>361</v>
      </c>
      <c r="I619" s="106">
        <v>128</v>
      </c>
      <c r="J619" s="106"/>
    </row>
    <row r="620" spans="1:10" x14ac:dyDescent="0.2">
      <c r="A620" s="106" t="s">
        <v>586</v>
      </c>
      <c r="B620" s="106" t="s">
        <v>347</v>
      </c>
      <c r="C620" s="106" t="s">
        <v>352</v>
      </c>
      <c r="D620" s="106" t="s">
        <v>353</v>
      </c>
      <c r="E620">
        <v>4393</v>
      </c>
      <c r="F620" s="106" t="s">
        <v>595</v>
      </c>
      <c r="G620" s="106" t="s">
        <v>362</v>
      </c>
      <c r="H620" s="106" t="s">
        <v>361</v>
      </c>
      <c r="I620" s="106">
        <v>96</v>
      </c>
      <c r="J620" s="106"/>
    </row>
    <row r="621" spans="1:10" x14ac:dyDescent="0.2">
      <c r="A621" s="106" t="s">
        <v>586</v>
      </c>
      <c r="B621" s="106" t="s">
        <v>347</v>
      </c>
      <c r="C621" s="106" t="s">
        <v>348</v>
      </c>
      <c r="D621" s="106" t="s">
        <v>349</v>
      </c>
      <c r="E621">
        <v>4557</v>
      </c>
      <c r="F621" s="106" t="s">
        <v>596</v>
      </c>
      <c r="G621" s="106" t="s">
        <v>354</v>
      </c>
      <c r="H621" s="106" t="s">
        <v>395</v>
      </c>
      <c r="I621">
        <v>214</v>
      </c>
    </row>
    <row r="622" spans="1:10" x14ac:dyDescent="0.2">
      <c r="A622" s="106" t="s">
        <v>586</v>
      </c>
      <c r="B622" s="106" t="s">
        <v>347</v>
      </c>
      <c r="C622" s="106" t="s">
        <v>348</v>
      </c>
      <c r="D622" s="106" t="s">
        <v>349</v>
      </c>
      <c r="E622">
        <v>4684</v>
      </c>
      <c r="F622" s="106" t="s">
        <v>597</v>
      </c>
      <c r="G622" s="106" t="s">
        <v>350</v>
      </c>
      <c r="H622" s="106" t="s">
        <v>361</v>
      </c>
      <c r="I622" s="106" t="s">
        <v>598</v>
      </c>
      <c r="J622" s="106" t="s">
        <v>2031</v>
      </c>
    </row>
    <row r="623" spans="1:10" x14ac:dyDescent="0.2">
      <c r="A623" s="106" t="s">
        <v>586</v>
      </c>
      <c r="B623" s="106" t="s">
        <v>347</v>
      </c>
      <c r="C623" s="106" t="s">
        <v>348</v>
      </c>
      <c r="D623" s="106" t="s">
        <v>349</v>
      </c>
      <c r="E623">
        <v>4689</v>
      </c>
      <c r="F623" s="106" t="s">
        <v>599</v>
      </c>
      <c r="G623" s="106" t="s">
        <v>350</v>
      </c>
      <c r="H623" s="106" t="s">
        <v>361</v>
      </c>
      <c r="I623" s="106" t="s">
        <v>917</v>
      </c>
      <c r="J623" s="106" t="s">
        <v>2507</v>
      </c>
    </row>
    <row r="624" spans="1:10" x14ac:dyDescent="0.2">
      <c r="A624" s="106" t="s">
        <v>586</v>
      </c>
      <c r="B624" s="106" t="s">
        <v>347</v>
      </c>
      <c r="C624" s="106" t="s">
        <v>348</v>
      </c>
      <c r="D624" s="106" t="s">
        <v>353</v>
      </c>
      <c r="E624">
        <v>6022</v>
      </c>
      <c r="F624" s="106" t="s">
        <v>600</v>
      </c>
      <c r="G624" s="106" t="s">
        <v>358</v>
      </c>
      <c r="H624" s="106" t="s">
        <v>371</v>
      </c>
      <c r="I624" s="106">
        <v>29</v>
      </c>
      <c r="J624" s="106"/>
    </row>
    <row r="625" spans="1:10" x14ac:dyDescent="0.2">
      <c r="A625" s="106" t="s">
        <v>586</v>
      </c>
      <c r="B625" s="106" t="s">
        <v>347</v>
      </c>
      <c r="C625" s="106" t="s">
        <v>348</v>
      </c>
      <c r="D625" s="106" t="s">
        <v>349</v>
      </c>
      <c r="E625">
        <v>6201</v>
      </c>
      <c r="F625" s="106" t="s">
        <v>601</v>
      </c>
      <c r="G625" s="106" t="s">
        <v>350</v>
      </c>
      <c r="H625" s="106" t="s">
        <v>380</v>
      </c>
      <c r="I625" s="106" t="s">
        <v>602</v>
      </c>
      <c r="J625" s="106" t="s">
        <v>2508</v>
      </c>
    </row>
    <row r="626" spans="1:10" x14ac:dyDescent="0.2">
      <c r="A626" s="106" t="s">
        <v>586</v>
      </c>
      <c r="B626" s="106" t="s">
        <v>347</v>
      </c>
      <c r="C626" s="106" t="s">
        <v>348</v>
      </c>
      <c r="D626" s="106" t="s">
        <v>349</v>
      </c>
      <c r="E626">
        <v>6301</v>
      </c>
      <c r="F626" s="106" t="s">
        <v>603</v>
      </c>
      <c r="G626" s="106" t="s">
        <v>350</v>
      </c>
      <c r="H626" s="106" t="s">
        <v>371</v>
      </c>
      <c r="I626" t="s">
        <v>2247</v>
      </c>
      <c r="J626" t="s">
        <v>2509</v>
      </c>
    </row>
    <row r="627" spans="1:10" x14ac:dyDescent="0.2">
      <c r="A627" s="106" t="s">
        <v>586</v>
      </c>
      <c r="B627" s="106" t="s">
        <v>347</v>
      </c>
      <c r="C627" s="106" t="s">
        <v>348</v>
      </c>
      <c r="D627" s="106" t="s">
        <v>349</v>
      </c>
      <c r="E627">
        <v>6395</v>
      </c>
      <c r="F627" s="106" t="s">
        <v>604</v>
      </c>
      <c r="G627" s="106" t="s">
        <v>350</v>
      </c>
      <c r="H627" s="106" t="s">
        <v>371</v>
      </c>
      <c r="I627" s="106" t="s">
        <v>381</v>
      </c>
      <c r="J627" s="106" t="s">
        <v>2510</v>
      </c>
    </row>
    <row r="628" spans="1:10" x14ac:dyDescent="0.2">
      <c r="A628" s="106" t="s">
        <v>586</v>
      </c>
      <c r="B628" s="106" t="s">
        <v>347</v>
      </c>
      <c r="C628" s="106" t="s">
        <v>348</v>
      </c>
      <c r="D628" s="106" t="s">
        <v>349</v>
      </c>
      <c r="E628">
        <v>6645</v>
      </c>
      <c r="F628" s="106" t="s">
        <v>605</v>
      </c>
      <c r="G628" s="106" t="s">
        <v>350</v>
      </c>
      <c r="H628" s="106" t="s">
        <v>375</v>
      </c>
      <c r="I628" t="s">
        <v>572</v>
      </c>
      <c r="J628" t="s">
        <v>2248</v>
      </c>
    </row>
    <row r="629" spans="1:10" x14ac:dyDescent="0.2">
      <c r="A629" s="106" t="s">
        <v>586</v>
      </c>
      <c r="B629" s="106" t="s">
        <v>347</v>
      </c>
      <c r="C629" s="106" t="s">
        <v>348</v>
      </c>
      <c r="D629" s="106" t="s">
        <v>349</v>
      </c>
      <c r="E629">
        <v>6788</v>
      </c>
      <c r="F629" s="106" t="s">
        <v>606</v>
      </c>
      <c r="G629" s="106" t="s">
        <v>350</v>
      </c>
      <c r="H629" s="106" t="s">
        <v>375</v>
      </c>
      <c r="I629">
        <v>400</v>
      </c>
    </row>
    <row r="630" spans="1:10" x14ac:dyDescent="0.2">
      <c r="A630" s="106" t="s">
        <v>586</v>
      </c>
      <c r="B630" s="106" t="s">
        <v>347</v>
      </c>
      <c r="C630" s="106" t="s">
        <v>348</v>
      </c>
      <c r="D630" s="106" t="s">
        <v>349</v>
      </c>
      <c r="E630">
        <v>7278</v>
      </c>
      <c r="F630" s="106" t="s">
        <v>607</v>
      </c>
      <c r="G630" s="106" t="s">
        <v>350</v>
      </c>
      <c r="H630" s="106" t="s">
        <v>380</v>
      </c>
      <c r="I630" t="s">
        <v>381</v>
      </c>
      <c r="J630" t="s">
        <v>2505</v>
      </c>
    </row>
    <row r="631" spans="1:10" x14ac:dyDescent="0.2">
      <c r="A631" s="106" t="s">
        <v>586</v>
      </c>
      <c r="B631" s="106" t="s">
        <v>347</v>
      </c>
      <c r="C631" s="106" t="s">
        <v>348</v>
      </c>
      <c r="D631" s="106" t="s">
        <v>349</v>
      </c>
      <c r="E631">
        <v>7442</v>
      </c>
      <c r="F631" s="106" t="s">
        <v>2250</v>
      </c>
      <c r="G631" s="106" t="s">
        <v>350</v>
      </c>
      <c r="H631" s="106" t="s">
        <v>356</v>
      </c>
      <c r="I631" s="106">
        <v>110</v>
      </c>
      <c r="J631" s="106"/>
    </row>
    <row r="632" spans="1:10" x14ac:dyDescent="0.2">
      <c r="A632" s="106" t="s">
        <v>586</v>
      </c>
      <c r="B632" s="106" t="s">
        <v>347</v>
      </c>
      <c r="C632" s="106" t="s">
        <v>359</v>
      </c>
      <c r="D632" s="106" t="s">
        <v>353</v>
      </c>
      <c r="E632">
        <v>7500</v>
      </c>
      <c r="F632" s="106" t="s">
        <v>918</v>
      </c>
      <c r="G632" s="106" t="s">
        <v>354</v>
      </c>
      <c r="H632" s="106" t="s">
        <v>356</v>
      </c>
      <c r="I632" s="106">
        <v>155</v>
      </c>
      <c r="J632" s="106"/>
    </row>
    <row r="633" spans="1:10" x14ac:dyDescent="0.2">
      <c r="A633" s="106" t="s">
        <v>586</v>
      </c>
      <c r="B633" s="106" t="s">
        <v>347</v>
      </c>
      <c r="C633" s="106" t="s">
        <v>348</v>
      </c>
      <c r="D633" s="106" t="s">
        <v>349</v>
      </c>
      <c r="E633">
        <v>7995</v>
      </c>
      <c r="F633" s="106" t="s">
        <v>608</v>
      </c>
      <c r="G633" s="106" t="s">
        <v>350</v>
      </c>
      <c r="H633" s="106" t="s">
        <v>363</v>
      </c>
      <c r="I633" s="106">
        <v>494</v>
      </c>
      <c r="J633" s="106"/>
    </row>
    <row r="634" spans="1:10" x14ac:dyDescent="0.2">
      <c r="A634" s="106" t="s">
        <v>586</v>
      </c>
      <c r="B634" s="106" t="s">
        <v>347</v>
      </c>
      <c r="C634" s="106" t="s">
        <v>348</v>
      </c>
      <c r="D634" s="106" t="s">
        <v>349</v>
      </c>
      <c r="E634">
        <v>8242</v>
      </c>
      <c r="F634" s="106" t="s">
        <v>609</v>
      </c>
      <c r="G634" s="106" t="s">
        <v>350</v>
      </c>
      <c r="H634" s="106" t="s">
        <v>360</v>
      </c>
      <c r="I634" t="s">
        <v>381</v>
      </c>
      <c r="J634" t="s">
        <v>2511</v>
      </c>
    </row>
    <row r="635" spans="1:10" x14ac:dyDescent="0.2">
      <c r="A635" s="106" t="s">
        <v>586</v>
      </c>
      <c r="B635" s="106" t="s">
        <v>347</v>
      </c>
      <c r="C635" s="106" t="s">
        <v>348</v>
      </c>
      <c r="D635" s="106" t="s">
        <v>349</v>
      </c>
      <c r="E635">
        <v>8304</v>
      </c>
      <c r="F635" s="106" t="s">
        <v>610</v>
      </c>
      <c r="G635" s="106" t="s">
        <v>350</v>
      </c>
      <c r="H635" s="106" t="s">
        <v>611</v>
      </c>
      <c r="I635" s="106" t="s">
        <v>434</v>
      </c>
      <c r="J635" s="106" t="s">
        <v>2420</v>
      </c>
    </row>
    <row r="636" spans="1:10" x14ac:dyDescent="0.2">
      <c r="A636" s="106" t="s">
        <v>586</v>
      </c>
      <c r="B636" s="106" t="s">
        <v>347</v>
      </c>
      <c r="C636" s="106" t="s">
        <v>348</v>
      </c>
      <c r="D636" s="106" t="s">
        <v>349</v>
      </c>
      <c r="E636">
        <v>8309</v>
      </c>
      <c r="F636" s="106" t="s">
        <v>2252</v>
      </c>
      <c r="G636" s="106" t="s">
        <v>350</v>
      </c>
      <c r="H636" s="106" t="s">
        <v>611</v>
      </c>
      <c r="I636" s="106" t="s">
        <v>378</v>
      </c>
      <c r="J636" s="106" t="s">
        <v>2404</v>
      </c>
    </row>
    <row r="637" spans="1:10" x14ac:dyDescent="0.2">
      <c r="A637" s="106" t="s">
        <v>586</v>
      </c>
      <c r="B637" s="106" t="s">
        <v>347</v>
      </c>
      <c r="C637" s="106" t="s">
        <v>348</v>
      </c>
      <c r="D637" s="106" t="s">
        <v>349</v>
      </c>
      <c r="E637">
        <v>9055</v>
      </c>
      <c r="F637" s="106" t="s">
        <v>2253</v>
      </c>
      <c r="G637" s="106" t="s">
        <v>358</v>
      </c>
      <c r="H637" s="106" t="s">
        <v>482</v>
      </c>
      <c r="I637" s="106">
        <v>289</v>
      </c>
      <c r="J637" s="106"/>
    </row>
    <row r="638" spans="1:10" x14ac:dyDescent="0.2">
      <c r="A638" s="106" t="s">
        <v>586</v>
      </c>
      <c r="B638" s="106" t="s">
        <v>347</v>
      </c>
      <c r="C638" s="106" t="s">
        <v>348</v>
      </c>
      <c r="D638" s="106" t="s">
        <v>349</v>
      </c>
      <c r="E638">
        <v>9202</v>
      </c>
      <c r="F638" s="106" t="s">
        <v>612</v>
      </c>
      <c r="G638" s="106" t="s">
        <v>350</v>
      </c>
      <c r="H638" s="106" t="s">
        <v>613</v>
      </c>
      <c r="I638" s="106" t="s">
        <v>692</v>
      </c>
      <c r="J638" s="106" t="s">
        <v>2512</v>
      </c>
    </row>
    <row r="639" spans="1:10" x14ac:dyDescent="0.2">
      <c r="A639" s="106" t="s">
        <v>586</v>
      </c>
      <c r="B639" s="106" t="s">
        <v>347</v>
      </c>
      <c r="C639" s="106" t="s">
        <v>348</v>
      </c>
      <c r="D639" s="106" t="s">
        <v>349</v>
      </c>
      <c r="E639">
        <v>9436</v>
      </c>
      <c r="F639" s="106" t="s">
        <v>2254</v>
      </c>
      <c r="G639" s="106" t="s">
        <v>354</v>
      </c>
      <c r="H639" s="106" t="s">
        <v>361</v>
      </c>
      <c r="I639" s="106" t="s">
        <v>381</v>
      </c>
      <c r="J639" s="106" t="s">
        <v>2513</v>
      </c>
    </row>
    <row r="640" spans="1:10" x14ac:dyDescent="0.2">
      <c r="A640" s="106" t="s">
        <v>586</v>
      </c>
      <c r="B640" s="106" t="s">
        <v>347</v>
      </c>
      <c r="C640" s="106" t="s">
        <v>348</v>
      </c>
      <c r="D640" s="106" t="s">
        <v>349</v>
      </c>
      <c r="E640">
        <v>9474</v>
      </c>
      <c r="F640" s="106" t="s">
        <v>614</v>
      </c>
      <c r="G640" s="106" t="s">
        <v>350</v>
      </c>
      <c r="H640" s="106" t="s">
        <v>361</v>
      </c>
      <c r="I640" s="106" t="s">
        <v>381</v>
      </c>
      <c r="J640" s="106" t="s">
        <v>2514</v>
      </c>
    </row>
    <row r="641" spans="1:10" x14ac:dyDescent="0.2">
      <c r="A641" s="106" t="s">
        <v>586</v>
      </c>
      <c r="B641" s="106" t="s">
        <v>347</v>
      </c>
      <c r="C641" s="106" t="s">
        <v>348</v>
      </c>
      <c r="D641" s="106" t="s">
        <v>349</v>
      </c>
      <c r="E641">
        <v>9504</v>
      </c>
      <c r="F641" s="106" t="s">
        <v>618</v>
      </c>
      <c r="G641" s="106" t="s">
        <v>350</v>
      </c>
      <c r="H641" s="106" t="s">
        <v>616</v>
      </c>
      <c r="I641" s="106" t="s">
        <v>367</v>
      </c>
      <c r="J641" s="106" t="s">
        <v>2515</v>
      </c>
    </row>
    <row r="642" spans="1:10" x14ac:dyDescent="0.2">
      <c r="A642" s="106" t="s">
        <v>586</v>
      </c>
      <c r="B642" s="106" t="s">
        <v>347</v>
      </c>
      <c r="C642" s="106" t="s">
        <v>348</v>
      </c>
      <c r="D642" s="106" t="s">
        <v>349</v>
      </c>
      <c r="E642">
        <v>9531</v>
      </c>
      <c r="F642" s="106" t="s">
        <v>619</v>
      </c>
      <c r="G642" s="106" t="s">
        <v>350</v>
      </c>
      <c r="H642" s="106" t="s">
        <v>616</v>
      </c>
      <c r="I642" t="s">
        <v>617</v>
      </c>
      <c r="J642" t="s">
        <v>2516</v>
      </c>
    </row>
    <row r="643" spans="1:10" x14ac:dyDescent="0.2">
      <c r="A643" s="106" t="s">
        <v>586</v>
      </c>
      <c r="B643" s="106" t="s">
        <v>347</v>
      </c>
      <c r="C643" s="106" t="s">
        <v>348</v>
      </c>
      <c r="D643" s="106" t="s">
        <v>349</v>
      </c>
      <c r="E643">
        <v>9719</v>
      </c>
      <c r="F643" s="106" t="s">
        <v>620</v>
      </c>
      <c r="G643" s="106" t="s">
        <v>350</v>
      </c>
      <c r="H643" s="106" t="s">
        <v>361</v>
      </c>
      <c r="I643" t="s">
        <v>367</v>
      </c>
      <c r="J643" t="s">
        <v>2517</v>
      </c>
    </row>
    <row r="644" spans="1:10" x14ac:dyDescent="0.2">
      <c r="A644" s="106" t="s">
        <v>586</v>
      </c>
      <c r="B644" s="106" t="s">
        <v>347</v>
      </c>
      <c r="C644" s="106" t="s">
        <v>348</v>
      </c>
      <c r="D644" s="106" t="s">
        <v>349</v>
      </c>
      <c r="E644">
        <v>9936</v>
      </c>
      <c r="F644" s="106" t="s">
        <v>621</v>
      </c>
      <c r="G644" s="106" t="s">
        <v>350</v>
      </c>
      <c r="H644" s="106" t="s">
        <v>360</v>
      </c>
      <c r="I644" t="s">
        <v>381</v>
      </c>
      <c r="J644" t="s">
        <v>2447</v>
      </c>
    </row>
    <row r="645" spans="1:10" x14ac:dyDescent="0.2">
      <c r="A645" s="106" t="s">
        <v>622</v>
      </c>
      <c r="B645" s="106" t="s">
        <v>347</v>
      </c>
      <c r="C645" s="106" t="s">
        <v>348</v>
      </c>
      <c r="D645" s="106" t="s">
        <v>349</v>
      </c>
      <c r="E645">
        <v>3353</v>
      </c>
      <c r="F645" s="106" t="s">
        <v>627</v>
      </c>
      <c r="G645" s="106" t="s">
        <v>354</v>
      </c>
      <c r="H645" s="106" t="s">
        <v>360</v>
      </c>
      <c r="I645">
        <v>177</v>
      </c>
    </row>
    <row r="646" spans="1:10" x14ac:dyDescent="0.2">
      <c r="A646" s="106" t="s">
        <v>637</v>
      </c>
      <c r="B646" s="106" t="s">
        <v>347</v>
      </c>
      <c r="C646" s="106" t="s">
        <v>357</v>
      </c>
      <c r="D646" s="106" t="s">
        <v>349</v>
      </c>
      <c r="E646">
        <v>2698</v>
      </c>
      <c r="F646" s="106" t="s">
        <v>643</v>
      </c>
      <c r="G646" s="106" t="s">
        <v>350</v>
      </c>
      <c r="H646" s="106" t="s">
        <v>360</v>
      </c>
      <c r="I646">
        <v>277</v>
      </c>
    </row>
    <row r="647" spans="1:10" x14ac:dyDescent="0.2">
      <c r="A647" s="106" t="s">
        <v>637</v>
      </c>
      <c r="B647" s="106" t="s">
        <v>347</v>
      </c>
      <c r="C647" s="106" t="s">
        <v>348</v>
      </c>
      <c r="D647" s="106" t="s">
        <v>349</v>
      </c>
      <c r="E647">
        <v>3548</v>
      </c>
      <c r="F647" s="106" t="s">
        <v>647</v>
      </c>
      <c r="G647" s="106" t="s">
        <v>350</v>
      </c>
      <c r="H647" s="106" t="s">
        <v>360</v>
      </c>
      <c r="I647" s="106">
        <v>351</v>
      </c>
      <c r="J647" s="106"/>
    </row>
    <row r="648" spans="1:10" x14ac:dyDescent="0.2">
      <c r="A648" s="106" t="s">
        <v>637</v>
      </c>
      <c r="B648" s="106" t="s">
        <v>347</v>
      </c>
      <c r="C648" s="106" t="s">
        <v>352</v>
      </c>
      <c r="D648" s="106" t="s">
        <v>349</v>
      </c>
      <c r="E648">
        <v>4433</v>
      </c>
      <c r="F648" s="106" t="s">
        <v>650</v>
      </c>
      <c r="G648" s="106" t="s">
        <v>350</v>
      </c>
      <c r="H648" s="106" t="s">
        <v>361</v>
      </c>
      <c r="I648" s="106">
        <v>277</v>
      </c>
      <c r="J648" s="106"/>
    </row>
    <row r="649" spans="1:10" x14ac:dyDescent="0.2">
      <c r="A649" s="106" t="s">
        <v>637</v>
      </c>
      <c r="B649" s="106" t="s">
        <v>347</v>
      </c>
      <c r="C649" s="106" t="s">
        <v>348</v>
      </c>
      <c r="D649" s="106" t="s">
        <v>349</v>
      </c>
      <c r="E649">
        <v>7058</v>
      </c>
      <c r="F649" s="106" t="s">
        <v>658</v>
      </c>
      <c r="G649" s="106" t="s">
        <v>354</v>
      </c>
      <c r="H649" s="106" t="s">
        <v>355</v>
      </c>
      <c r="I649" s="106">
        <v>74</v>
      </c>
      <c r="J649" s="106"/>
    </row>
    <row r="650" spans="1:10" x14ac:dyDescent="0.2">
      <c r="A650" s="106" t="s">
        <v>662</v>
      </c>
      <c r="B650" s="106" t="s">
        <v>347</v>
      </c>
      <c r="C650" s="106" t="s">
        <v>348</v>
      </c>
      <c r="D650" s="106" t="s">
        <v>349</v>
      </c>
      <c r="E650">
        <v>1719</v>
      </c>
      <c r="F650" s="106" t="s">
        <v>663</v>
      </c>
      <c r="G650" s="106" t="s">
        <v>350</v>
      </c>
      <c r="H650" s="106" t="s">
        <v>377</v>
      </c>
      <c r="I650" s="106" t="s">
        <v>381</v>
      </c>
      <c r="J650" s="106" t="s">
        <v>2518</v>
      </c>
    </row>
    <row r="651" spans="1:10" x14ac:dyDescent="0.2">
      <c r="A651" s="106" t="s">
        <v>662</v>
      </c>
      <c r="B651" s="106" t="s">
        <v>347</v>
      </c>
      <c r="C651" s="106" t="s">
        <v>348</v>
      </c>
      <c r="D651" s="106" t="s">
        <v>349</v>
      </c>
      <c r="E651">
        <v>1812</v>
      </c>
      <c r="F651" s="106" t="s">
        <v>664</v>
      </c>
      <c r="G651" s="106" t="s">
        <v>350</v>
      </c>
      <c r="H651" s="106" t="s">
        <v>377</v>
      </c>
      <c r="I651" s="106" t="s">
        <v>665</v>
      </c>
      <c r="J651" s="106" t="s">
        <v>2519</v>
      </c>
    </row>
    <row r="652" spans="1:10" x14ac:dyDescent="0.2">
      <c r="A652" s="106" t="s">
        <v>662</v>
      </c>
      <c r="B652" s="106" t="s">
        <v>347</v>
      </c>
      <c r="C652" s="106" t="s">
        <v>348</v>
      </c>
      <c r="D652" s="106" t="s">
        <v>349</v>
      </c>
      <c r="E652">
        <v>1824</v>
      </c>
      <c r="F652" s="106" t="s">
        <v>666</v>
      </c>
      <c r="G652" s="106" t="s">
        <v>350</v>
      </c>
      <c r="H652" s="106" t="s">
        <v>377</v>
      </c>
      <c r="I652" t="s">
        <v>373</v>
      </c>
      <c r="J652" t="s">
        <v>2520</v>
      </c>
    </row>
    <row r="653" spans="1:10" x14ac:dyDescent="0.2">
      <c r="A653" s="106" t="s">
        <v>662</v>
      </c>
      <c r="B653" s="106" t="s">
        <v>347</v>
      </c>
      <c r="C653" s="106" t="s">
        <v>348</v>
      </c>
      <c r="D653" s="106" t="s">
        <v>349</v>
      </c>
      <c r="E653">
        <v>1860</v>
      </c>
      <c r="F653" s="106" t="s">
        <v>667</v>
      </c>
      <c r="G653" s="106" t="s">
        <v>350</v>
      </c>
      <c r="H653" s="106" t="s">
        <v>377</v>
      </c>
      <c r="I653" t="s">
        <v>373</v>
      </c>
      <c r="J653" t="s">
        <v>2521</v>
      </c>
    </row>
    <row r="654" spans="1:10" x14ac:dyDescent="0.2">
      <c r="A654" s="106" t="s">
        <v>662</v>
      </c>
      <c r="B654" s="106" t="s">
        <v>347</v>
      </c>
      <c r="C654" s="106" t="s">
        <v>348</v>
      </c>
      <c r="D654" s="106" t="s">
        <v>349</v>
      </c>
      <c r="E654">
        <v>1893</v>
      </c>
      <c r="F654" s="106" t="s">
        <v>2257</v>
      </c>
      <c r="G654" s="106" t="s">
        <v>350</v>
      </c>
      <c r="H654" s="106" t="s">
        <v>377</v>
      </c>
      <c r="I654" t="s">
        <v>381</v>
      </c>
      <c r="J654" t="s">
        <v>2522</v>
      </c>
    </row>
    <row r="655" spans="1:10" x14ac:dyDescent="0.2">
      <c r="A655" s="106" t="s">
        <v>662</v>
      </c>
      <c r="B655" s="106" t="s">
        <v>347</v>
      </c>
      <c r="C655" s="106" t="s">
        <v>348</v>
      </c>
      <c r="D655" s="106" t="s">
        <v>349</v>
      </c>
      <c r="E655">
        <v>1964</v>
      </c>
      <c r="F655" s="106" t="s">
        <v>668</v>
      </c>
      <c r="G655" s="106" t="s">
        <v>350</v>
      </c>
      <c r="H655" s="106" t="s">
        <v>377</v>
      </c>
      <c r="I655">
        <v>145</v>
      </c>
    </row>
    <row r="656" spans="1:10" x14ac:dyDescent="0.2">
      <c r="A656" s="106" t="s">
        <v>662</v>
      </c>
      <c r="B656" s="106" t="s">
        <v>347</v>
      </c>
      <c r="C656" s="106" t="s">
        <v>348</v>
      </c>
      <c r="D656" s="106" t="s">
        <v>349</v>
      </c>
      <c r="E656">
        <v>2108</v>
      </c>
      <c r="F656" s="106" t="s">
        <v>669</v>
      </c>
      <c r="G656" s="106" t="s">
        <v>350</v>
      </c>
      <c r="H656" s="106" t="s">
        <v>351</v>
      </c>
      <c r="I656">
        <v>313</v>
      </c>
    </row>
    <row r="657" spans="1:10" x14ac:dyDescent="0.2">
      <c r="A657" s="106" t="s">
        <v>662</v>
      </c>
      <c r="B657" s="106" t="s">
        <v>347</v>
      </c>
      <c r="C657" s="106" t="s">
        <v>348</v>
      </c>
      <c r="D657" s="106" t="s">
        <v>349</v>
      </c>
      <c r="E657">
        <v>2173</v>
      </c>
      <c r="F657" s="106" t="s">
        <v>819</v>
      </c>
      <c r="G657" s="106" t="s">
        <v>354</v>
      </c>
      <c r="H657" s="106" t="s">
        <v>355</v>
      </c>
      <c r="I657">
        <v>55</v>
      </c>
    </row>
    <row r="658" spans="1:10" x14ac:dyDescent="0.2">
      <c r="A658" s="106" t="s">
        <v>662</v>
      </c>
      <c r="B658" s="106" t="s">
        <v>347</v>
      </c>
      <c r="C658" s="106" t="s">
        <v>359</v>
      </c>
      <c r="D658" s="106" t="s">
        <v>349</v>
      </c>
      <c r="E658">
        <v>2180</v>
      </c>
      <c r="F658" s="106" t="s">
        <v>670</v>
      </c>
      <c r="G658" s="106" t="s">
        <v>350</v>
      </c>
      <c r="H658" s="106" t="s">
        <v>355</v>
      </c>
      <c r="I658">
        <v>164</v>
      </c>
    </row>
    <row r="659" spans="1:10" x14ac:dyDescent="0.2">
      <c r="A659" s="106" t="s">
        <v>662</v>
      </c>
      <c r="B659" s="106" t="s">
        <v>347</v>
      </c>
      <c r="C659" s="106" t="s">
        <v>348</v>
      </c>
      <c r="D659" s="106" t="s">
        <v>349</v>
      </c>
      <c r="E659">
        <v>2288</v>
      </c>
      <c r="F659" s="106" t="s">
        <v>671</v>
      </c>
      <c r="G659" s="106" t="s">
        <v>350</v>
      </c>
      <c r="H659" s="106" t="s">
        <v>351</v>
      </c>
      <c r="I659">
        <v>619</v>
      </c>
    </row>
    <row r="660" spans="1:10" x14ac:dyDescent="0.2">
      <c r="A660" s="106" t="s">
        <v>662</v>
      </c>
      <c r="B660" s="106" t="s">
        <v>347</v>
      </c>
      <c r="C660" s="106" t="s">
        <v>348</v>
      </c>
      <c r="D660" s="106" t="s">
        <v>349</v>
      </c>
      <c r="E660">
        <v>2349</v>
      </c>
      <c r="F660" s="106" t="s">
        <v>820</v>
      </c>
      <c r="G660" s="106" t="s">
        <v>354</v>
      </c>
      <c r="H660" s="106" t="s">
        <v>361</v>
      </c>
      <c r="I660">
        <v>183</v>
      </c>
    </row>
    <row r="661" spans="1:10" x14ac:dyDescent="0.2">
      <c r="A661" s="106" t="s">
        <v>662</v>
      </c>
      <c r="B661" s="106" t="s">
        <v>347</v>
      </c>
      <c r="C661" s="106" t="s">
        <v>348</v>
      </c>
      <c r="D661" s="106" t="s">
        <v>349</v>
      </c>
      <c r="E661">
        <v>2454</v>
      </c>
      <c r="F661" s="106" t="s">
        <v>920</v>
      </c>
      <c r="G661" s="106" t="s">
        <v>354</v>
      </c>
      <c r="H661" s="106" t="s">
        <v>355</v>
      </c>
      <c r="I661" s="106">
        <v>94</v>
      </c>
      <c r="J661" s="106"/>
    </row>
    <row r="662" spans="1:10" x14ac:dyDescent="0.2">
      <c r="A662" s="106" t="s">
        <v>662</v>
      </c>
      <c r="B662" s="106" t="s">
        <v>347</v>
      </c>
      <c r="C662" s="106" t="s">
        <v>357</v>
      </c>
      <c r="D662" s="106" t="s">
        <v>349</v>
      </c>
      <c r="E662">
        <v>2675</v>
      </c>
      <c r="F662" s="106" t="s">
        <v>672</v>
      </c>
      <c r="G662" s="106" t="s">
        <v>358</v>
      </c>
      <c r="H662" s="106" t="s">
        <v>360</v>
      </c>
      <c r="I662">
        <v>120</v>
      </c>
    </row>
    <row r="663" spans="1:10" x14ac:dyDescent="0.2">
      <c r="A663" s="106" t="s">
        <v>662</v>
      </c>
      <c r="B663" s="106" t="s">
        <v>347</v>
      </c>
      <c r="C663" s="106" t="s">
        <v>348</v>
      </c>
      <c r="D663" s="106" t="s">
        <v>349</v>
      </c>
      <c r="E663">
        <v>2733</v>
      </c>
      <c r="F663" s="106" t="s">
        <v>921</v>
      </c>
      <c r="G663" s="106" t="s">
        <v>350</v>
      </c>
      <c r="H663" s="106" t="s">
        <v>356</v>
      </c>
      <c r="I663">
        <v>827</v>
      </c>
    </row>
    <row r="664" spans="1:10" x14ac:dyDescent="0.2">
      <c r="A664" s="106" t="s">
        <v>662</v>
      </c>
      <c r="B664" s="106" t="s">
        <v>347</v>
      </c>
      <c r="C664" s="106" t="s">
        <v>348</v>
      </c>
      <c r="D664" s="106" t="s">
        <v>349</v>
      </c>
      <c r="E664">
        <v>2768</v>
      </c>
      <c r="F664" s="106" t="s">
        <v>922</v>
      </c>
      <c r="G664" s="106" t="s">
        <v>350</v>
      </c>
      <c r="H664" s="106" t="s">
        <v>356</v>
      </c>
      <c r="I664" t="s">
        <v>400</v>
      </c>
      <c r="J664" t="s">
        <v>2258</v>
      </c>
    </row>
    <row r="665" spans="1:10" x14ac:dyDescent="0.2">
      <c r="A665" s="106" t="s">
        <v>662</v>
      </c>
      <c r="B665" s="106" t="s">
        <v>347</v>
      </c>
      <c r="C665" s="106" t="s">
        <v>348</v>
      </c>
      <c r="D665" s="106" t="s">
        <v>349</v>
      </c>
      <c r="E665">
        <v>2812</v>
      </c>
      <c r="F665" s="106" t="s">
        <v>923</v>
      </c>
      <c r="G665" s="106" t="s">
        <v>350</v>
      </c>
      <c r="H665" s="106" t="s">
        <v>351</v>
      </c>
      <c r="I665">
        <v>136</v>
      </c>
    </row>
    <row r="666" spans="1:10" x14ac:dyDescent="0.2">
      <c r="A666" s="106" t="s">
        <v>662</v>
      </c>
      <c r="B666" s="106" t="s">
        <v>347</v>
      </c>
      <c r="C666" s="106" t="s">
        <v>348</v>
      </c>
      <c r="D666" s="106" t="s">
        <v>349</v>
      </c>
      <c r="E666">
        <v>2899</v>
      </c>
      <c r="F666" s="106" t="s">
        <v>2259</v>
      </c>
      <c r="G666" s="106" t="s">
        <v>350</v>
      </c>
      <c r="H666" s="106" t="s">
        <v>351</v>
      </c>
      <c r="I666">
        <v>412</v>
      </c>
    </row>
    <row r="667" spans="1:10" x14ac:dyDescent="0.2">
      <c r="A667" s="106" t="s">
        <v>662</v>
      </c>
      <c r="B667" s="106" t="s">
        <v>347</v>
      </c>
      <c r="C667" s="106" t="s">
        <v>348</v>
      </c>
      <c r="D667" s="106" t="s">
        <v>349</v>
      </c>
      <c r="E667">
        <v>2903</v>
      </c>
      <c r="F667" s="106" t="s">
        <v>924</v>
      </c>
      <c r="G667" s="106" t="s">
        <v>358</v>
      </c>
      <c r="H667" s="106" t="s">
        <v>351</v>
      </c>
      <c r="I667" s="106">
        <v>95</v>
      </c>
      <c r="J667" s="106"/>
    </row>
    <row r="668" spans="1:10" x14ac:dyDescent="0.2">
      <c r="A668" s="106" t="s">
        <v>662</v>
      </c>
      <c r="B668" s="106" t="s">
        <v>347</v>
      </c>
      <c r="C668" s="106" t="s">
        <v>348</v>
      </c>
      <c r="D668" s="106" t="s">
        <v>349</v>
      </c>
      <c r="E668">
        <v>2915</v>
      </c>
      <c r="F668" s="106" t="s">
        <v>925</v>
      </c>
      <c r="G668" s="106" t="s">
        <v>350</v>
      </c>
      <c r="H668" s="106" t="s">
        <v>351</v>
      </c>
      <c r="I668" s="106">
        <v>416</v>
      </c>
      <c r="J668" s="106"/>
    </row>
    <row r="669" spans="1:10" x14ac:dyDescent="0.2">
      <c r="A669" s="106" t="s">
        <v>662</v>
      </c>
      <c r="B669" s="106" t="s">
        <v>347</v>
      </c>
      <c r="C669" s="106" t="s">
        <v>348</v>
      </c>
      <c r="D669" s="106" t="s">
        <v>349</v>
      </c>
      <c r="E669">
        <v>3284</v>
      </c>
      <c r="F669" s="106" t="s">
        <v>926</v>
      </c>
      <c r="G669" s="106" t="s">
        <v>350</v>
      </c>
      <c r="H669" s="106" t="s">
        <v>376</v>
      </c>
      <c r="I669">
        <v>421</v>
      </c>
    </row>
    <row r="670" spans="1:10" x14ac:dyDescent="0.2">
      <c r="A670" s="106" t="s">
        <v>662</v>
      </c>
      <c r="B670" s="106" t="s">
        <v>347</v>
      </c>
      <c r="C670" s="106" t="s">
        <v>348</v>
      </c>
      <c r="D670" s="106" t="s">
        <v>349</v>
      </c>
      <c r="E670">
        <v>3289</v>
      </c>
      <c r="F670" s="106" t="s">
        <v>927</v>
      </c>
      <c r="G670" s="106" t="s">
        <v>350</v>
      </c>
      <c r="H670" s="106" t="s">
        <v>376</v>
      </c>
      <c r="I670" t="s">
        <v>367</v>
      </c>
      <c r="J670" t="s">
        <v>2523</v>
      </c>
    </row>
    <row r="671" spans="1:10" x14ac:dyDescent="0.2">
      <c r="A671" s="106" t="s">
        <v>662</v>
      </c>
      <c r="B671" s="106" t="s">
        <v>347</v>
      </c>
      <c r="C671" s="106" t="s">
        <v>348</v>
      </c>
      <c r="D671" s="106" t="s">
        <v>349</v>
      </c>
      <c r="E671">
        <v>3401</v>
      </c>
      <c r="F671" s="106" t="s">
        <v>928</v>
      </c>
      <c r="G671" s="106" t="s">
        <v>350</v>
      </c>
      <c r="H671" s="106" t="s">
        <v>383</v>
      </c>
      <c r="I671" t="s">
        <v>400</v>
      </c>
      <c r="J671" t="s">
        <v>2524</v>
      </c>
    </row>
    <row r="672" spans="1:10" x14ac:dyDescent="0.2">
      <c r="A672" s="106" t="s">
        <v>662</v>
      </c>
      <c r="B672" s="106" t="s">
        <v>347</v>
      </c>
      <c r="C672" s="106" t="s">
        <v>348</v>
      </c>
      <c r="D672" s="106" t="s">
        <v>349</v>
      </c>
      <c r="E672">
        <v>3447</v>
      </c>
      <c r="F672" s="106" t="s">
        <v>673</v>
      </c>
      <c r="G672" s="106" t="s">
        <v>350</v>
      </c>
      <c r="H672" s="106" t="s">
        <v>365</v>
      </c>
      <c r="I672">
        <v>154</v>
      </c>
    </row>
    <row r="673" spans="1:10" x14ac:dyDescent="0.2">
      <c r="A673" s="106" t="s">
        <v>662</v>
      </c>
      <c r="B673" s="106" t="s">
        <v>347</v>
      </c>
      <c r="C673" s="106" t="s">
        <v>357</v>
      </c>
      <c r="D673" s="106" t="s">
        <v>349</v>
      </c>
      <c r="E673">
        <v>3449</v>
      </c>
      <c r="F673" s="106" t="s">
        <v>2261</v>
      </c>
      <c r="G673" s="106" t="s">
        <v>358</v>
      </c>
      <c r="H673" s="106" t="s">
        <v>365</v>
      </c>
      <c r="I673">
        <v>266</v>
      </c>
    </row>
    <row r="674" spans="1:10" x14ac:dyDescent="0.2">
      <c r="A674" s="106" t="s">
        <v>662</v>
      </c>
      <c r="B674" s="106" t="s">
        <v>347</v>
      </c>
      <c r="C674" s="106" t="s">
        <v>348</v>
      </c>
      <c r="D674" s="106" t="s">
        <v>353</v>
      </c>
      <c r="E674">
        <v>3467</v>
      </c>
      <c r="F674" s="106" t="s">
        <v>675</v>
      </c>
      <c r="G674" s="106" t="s">
        <v>350</v>
      </c>
      <c r="H674" s="106" t="s">
        <v>376</v>
      </c>
      <c r="I674">
        <v>32</v>
      </c>
    </row>
    <row r="675" spans="1:10" x14ac:dyDescent="0.2">
      <c r="A675" s="106" t="s">
        <v>662</v>
      </c>
      <c r="B675" s="106" t="s">
        <v>347</v>
      </c>
      <c r="C675" s="106" t="s">
        <v>348</v>
      </c>
      <c r="D675" s="106" t="s">
        <v>349</v>
      </c>
      <c r="E675">
        <v>3571</v>
      </c>
      <c r="F675" s="106" t="s">
        <v>929</v>
      </c>
      <c r="G675" s="106" t="s">
        <v>350</v>
      </c>
      <c r="H675" s="106" t="s">
        <v>383</v>
      </c>
      <c r="I675" s="106">
        <v>135</v>
      </c>
      <c r="J675" s="106"/>
    </row>
    <row r="676" spans="1:10" x14ac:dyDescent="0.2">
      <c r="A676" s="106" t="s">
        <v>662</v>
      </c>
      <c r="B676" s="106" t="s">
        <v>347</v>
      </c>
      <c r="C676" s="106" t="s">
        <v>348</v>
      </c>
      <c r="D676" s="106" t="s">
        <v>349</v>
      </c>
      <c r="E676">
        <v>3600</v>
      </c>
      <c r="F676" s="106" t="s">
        <v>930</v>
      </c>
      <c r="G676" s="106" t="s">
        <v>358</v>
      </c>
      <c r="H676" s="106" t="s">
        <v>383</v>
      </c>
      <c r="I676">
        <v>27</v>
      </c>
    </row>
    <row r="677" spans="1:10" x14ac:dyDescent="0.2">
      <c r="A677" s="106" t="s">
        <v>662</v>
      </c>
      <c r="B677" s="106" t="s">
        <v>347</v>
      </c>
      <c r="C677" s="106" t="s">
        <v>348</v>
      </c>
      <c r="D677" s="106" t="s">
        <v>349</v>
      </c>
      <c r="E677">
        <v>3622</v>
      </c>
      <c r="F677" s="106" t="s">
        <v>931</v>
      </c>
      <c r="G677" s="106" t="s">
        <v>362</v>
      </c>
      <c r="H677" s="106" t="s">
        <v>361</v>
      </c>
      <c r="I677">
        <v>43</v>
      </c>
    </row>
    <row r="678" spans="1:10" x14ac:dyDescent="0.2">
      <c r="A678" s="106" t="s">
        <v>662</v>
      </c>
      <c r="B678" s="106" t="s">
        <v>347</v>
      </c>
      <c r="C678" s="106" t="s">
        <v>348</v>
      </c>
      <c r="D678" s="106" t="s">
        <v>349</v>
      </c>
      <c r="E678">
        <v>3626</v>
      </c>
      <c r="F678" s="106" t="s">
        <v>932</v>
      </c>
      <c r="G678" s="106" t="s">
        <v>350</v>
      </c>
      <c r="H678" s="106" t="s">
        <v>361</v>
      </c>
      <c r="I678" t="s">
        <v>367</v>
      </c>
      <c r="J678" t="s">
        <v>2525</v>
      </c>
    </row>
    <row r="679" spans="1:10" x14ac:dyDescent="0.2">
      <c r="A679" s="106" t="s">
        <v>662</v>
      </c>
      <c r="B679" s="106" t="s">
        <v>347</v>
      </c>
      <c r="C679" s="106" t="s">
        <v>348</v>
      </c>
      <c r="D679" s="106" t="s">
        <v>353</v>
      </c>
      <c r="E679">
        <v>3741</v>
      </c>
      <c r="F679" s="106" t="s">
        <v>933</v>
      </c>
      <c r="G679" s="106" t="s">
        <v>350</v>
      </c>
      <c r="H679" s="106" t="s">
        <v>361</v>
      </c>
      <c r="I679">
        <v>190</v>
      </c>
    </row>
    <row r="680" spans="1:10" x14ac:dyDescent="0.2">
      <c r="A680" s="106" t="s">
        <v>662</v>
      </c>
      <c r="B680" s="106" t="s">
        <v>347</v>
      </c>
      <c r="C680" s="106" t="s">
        <v>348</v>
      </c>
      <c r="D680" s="106" t="s">
        <v>349</v>
      </c>
      <c r="E680">
        <v>3943</v>
      </c>
      <c r="F680" s="106" t="s">
        <v>676</v>
      </c>
      <c r="G680" s="106" t="s">
        <v>555</v>
      </c>
      <c r="H680" s="106" t="s">
        <v>384</v>
      </c>
      <c r="I680" s="106">
        <v>84</v>
      </c>
      <c r="J680" s="106"/>
    </row>
    <row r="681" spans="1:10" x14ac:dyDescent="0.2">
      <c r="A681" s="106" t="s">
        <v>662</v>
      </c>
      <c r="B681" s="106" t="s">
        <v>347</v>
      </c>
      <c r="C681" s="106" t="s">
        <v>348</v>
      </c>
      <c r="D681" s="106" t="s">
        <v>349</v>
      </c>
      <c r="E681">
        <v>4046</v>
      </c>
      <c r="F681" s="106" t="s">
        <v>677</v>
      </c>
      <c r="G681" s="106" t="s">
        <v>350</v>
      </c>
      <c r="H681" s="106" t="s">
        <v>363</v>
      </c>
      <c r="I681">
        <v>857</v>
      </c>
    </row>
    <row r="682" spans="1:10" x14ac:dyDescent="0.2">
      <c r="A682" s="106" t="s">
        <v>662</v>
      </c>
      <c r="B682" s="106" t="s">
        <v>347</v>
      </c>
      <c r="C682" s="106" t="s">
        <v>348</v>
      </c>
      <c r="D682" s="106" t="s">
        <v>353</v>
      </c>
      <c r="E682">
        <v>4080</v>
      </c>
      <c r="F682" s="106" t="s">
        <v>678</v>
      </c>
      <c r="G682" s="106" t="s">
        <v>354</v>
      </c>
      <c r="H682" s="106" t="s">
        <v>363</v>
      </c>
      <c r="I682">
        <v>292</v>
      </c>
    </row>
    <row r="683" spans="1:10" x14ac:dyDescent="0.2">
      <c r="A683" s="106" t="s">
        <v>662</v>
      </c>
      <c r="B683" s="106" t="s">
        <v>347</v>
      </c>
      <c r="C683" s="106" t="s">
        <v>348</v>
      </c>
      <c r="D683" s="106" t="s">
        <v>349</v>
      </c>
      <c r="E683">
        <v>4203</v>
      </c>
      <c r="F683" s="106" t="s">
        <v>2263</v>
      </c>
      <c r="G683" s="106" t="s">
        <v>350</v>
      </c>
      <c r="H683" s="106" t="s">
        <v>363</v>
      </c>
      <c r="I683" t="s">
        <v>373</v>
      </c>
      <c r="J683" t="s">
        <v>2526</v>
      </c>
    </row>
    <row r="684" spans="1:10" x14ac:dyDescent="0.2">
      <c r="A684" s="106" t="s">
        <v>662</v>
      </c>
      <c r="B684" s="106" t="s">
        <v>347</v>
      </c>
      <c r="C684" s="106" t="s">
        <v>352</v>
      </c>
      <c r="D684" s="106" t="s">
        <v>353</v>
      </c>
      <c r="E684">
        <v>4447</v>
      </c>
      <c r="F684" s="106" t="s">
        <v>679</v>
      </c>
      <c r="G684" s="106" t="s">
        <v>555</v>
      </c>
      <c r="H684" s="106" t="s">
        <v>361</v>
      </c>
      <c r="I684">
        <v>26</v>
      </c>
    </row>
    <row r="685" spans="1:10" x14ac:dyDescent="0.2">
      <c r="A685" s="106" t="s">
        <v>662</v>
      </c>
      <c r="B685" s="106" t="s">
        <v>347</v>
      </c>
      <c r="C685" s="106" t="s">
        <v>348</v>
      </c>
      <c r="D685" s="106" t="s">
        <v>349</v>
      </c>
      <c r="E685">
        <v>4548</v>
      </c>
      <c r="F685" s="106" t="s">
        <v>680</v>
      </c>
      <c r="G685" s="106" t="s">
        <v>350</v>
      </c>
      <c r="H685" s="106" t="s">
        <v>395</v>
      </c>
      <c r="I685">
        <v>714</v>
      </c>
    </row>
    <row r="686" spans="1:10" x14ac:dyDescent="0.2">
      <c r="A686" s="106" t="s">
        <v>662</v>
      </c>
      <c r="B686" s="106" t="s">
        <v>347</v>
      </c>
      <c r="C686" s="106" t="s">
        <v>348</v>
      </c>
      <c r="D686" s="106" t="s">
        <v>349</v>
      </c>
      <c r="E686">
        <v>5192</v>
      </c>
      <c r="F686" s="106" t="s">
        <v>681</v>
      </c>
      <c r="G686" s="106" t="s">
        <v>350</v>
      </c>
      <c r="H686" s="106" t="s">
        <v>682</v>
      </c>
      <c r="I686">
        <v>707</v>
      </c>
    </row>
    <row r="687" spans="1:10" x14ac:dyDescent="0.2">
      <c r="A687" s="106" t="s">
        <v>662</v>
      </c>
      <c r="B687" s="106" t="s">
        <v>347</v>
      </c>
      <c r="C687" s="106" t="s">
        <v>348</v>
      </c>
      <c r="D687" s="106" t="s">
        <v>349</v>
      </c>
      <c r="E687">
        <v>5964</v>
      </c>
      <c r="F687" s="106" t="s">
        <v>683</v>
      </c>
      <c r="G687" s="106" t="s">
        <v>358</v>
      </c>
      <c r="H687" s="106" t="s">
        <v>365</v>
      </c>
      <c r="I687">
        <v>22</v>
      </c>
    </row>
    <row r="688" spans="1:10" x14ac:dyDescent="0.2">
      <c r="A688" s="106" t="s">
        <v>662</v>
      </c>
      <c r="B688" s="106" t="s">
        <v>347</v>
      </c>
      <c r="C688" s="106" t="s">
        <v>348</v>
      </c>
      <c r="D688" s="106" t="s">
        <v>349</v>
      </c>
      <c r="E688">
        <v>5989</v>
      </c>
      <c r="F688" s="106" t="s">
        <v>684</v>
      </c>
      <c r="G688" s="106" t="s">
        <v>350</v>
      </c>
      <c r="H688" s="106" t="s">
        <v>365</v>
      </c>
      <c r="I688">
        <v>239</v>
      </c>
    </row>
    <row r="689" spans="1:10" x14ac:dyDescent="0.2">
      <c r="A689" s="106" t="s">
        <v>662</v>
      </c>
      <c r="B689" s="106" t="s">
        <v>347</v>
      </c>
      <c r="C689" s="106" t="s">
        <v>348</v>
      </c>
      <c r="D689" s="106" t="s">
        <v>349</v>
      </c>
      <c r="E689">
        <v>6240</v>
      </c>
      <c r="F689" s="106" t="s">
        <v>685</v>
      </c>
      <c r="G689" s="106" t="s">
        <v>350</v>
      </c>
      <c r="H689" s="106" t="s">
        <v>371</v>
      </c>
      <c r="I689">
        <v>607</v>
      </c>
    </row>
    <row r="690" spans="1:10" x14ac:dyDescent="0.2">
      <c r="A690" s="106" t="s">
        <v>662</v>
      </c>
      <c r="B690" s="106" t="s">
        <v>347</v>
      </c>
      <c r="C690" s="106" t="s">
        <v>348</v>
      </c>
      <c r="D690" s="106" t="s">
        <v>349</v>
      </c>
      <c r="E690">
        <v>6282</v>
      </c>
      <c r="F690" s="106" t="s">
        <v>2264</v>
      </c>
      <c r="G690" s="106" t="s">
        <v>350</v>
      </c>
      <c r="H690" s="106" t="s">
        <v>371</v>
      </c>
      <c r="I690">
        <v>580</v>
      </c>
    </row>
    <row r="691" spans="1:10" x14ac:dyDescent="0.2">
      <c r="A691" s="106" t="s">
        <v>662</v>
      </c>
      <c r="B691" s="106" t="s">
        <v>347</v>
      </c>
      <c r="C691" s="106" t="s">
        <v>357</v>
      </c>
      <c r="D691" s="106" t="s">
        <v>349</v>
      </c>
      <c r="E691">
        <v>6537</v>
      </c>
      <c r="F691" s="106" t="s">
        <v>686</v>
      </c>
      <c r="G691" s="106" t="s">
        <v>362</v>
      </c>
      <c r="H691" s="106" t="s">
        <v>355</v>
      </c>
      <c r="I691">
        <v>62</v>
      </c>
    </row>
    <row r="692" spans="1:10" x14ac:dyDescent="0.2">
      <c r="A692" s="106" t="s">
        <v>662</v>
      </c>
      <c r="B692" s="106" t="s">
        <v>347</v>
      </c>
      <c r="C692" s="106" t="s">
        <v>359</v>
      </c>
      <c r="D692" s="106" t="s">
        <v>349</v>
      </c>
      <c r="E692">
        <v>6662</v>
      </c>
      <c r="F692" s="106" t="s">
        <v>821</v>
      </c>
      <c r="G692" s="106" t="s">
        <v>354</v>
      </c>
      <c r="H692" s="106" t="s">
        <v>375</v>
      </c>
      <c r="I692" s="106">
        <v>43</v>
      </c>
      <c r="J692" s="106"/>
    </row>
    <row r="693" spans="1:10" x14ac:dyDescent="0.2">
      <c r="A693" s="106" t="s">
        <v>662</v>
      </c>
      <c r="B693" s="106" t="s">
        <v>347</v>
      </c>
      <c r="C693" s="106" t="s">
        <v>348</v>
      </c>
      <c r="D693" s="106" t="s">
        <v>349</v>
      </c>
      <c r="E693">
        <v>6832</v>
      </c>
      <c r="F693" s="106" t="s">
        <v>687</v>
      </c>
      <c r="G693" s="106" t="s">
        <v>358</v>
      </c>
      <c r="H693" s="106" t="s">
        <v>375</v>
      </c>
      <c r="I693" s="106">
        <v>332</v>
      </c>
      <c r="J693" s="106"/>
    </row>
    <row r="694" spans="1:10" x14ac:dyDescent="0.2">
      <c r="A694" s="106" t="s">
        <v>662</v>
      </c>
      <c r="B694" s="106" t="s">
        <v>347</v>
      </c>
      <c r="C694" s="106" t="s">
        <v>348</v>
      </c>
      <c r="D694" s="106" t="s">
        <v>349</v>
      </c>
      <c r="E694">
        <v>7057</v>
      </c>
      <c r="F694" s="106" t="s">
        <v>688</v>
      </c>
      <c r="G694" s="106" t="s">
        <v>354</v>
      </c>
      <c r="H694" s="106" t="s">
        <v>355</v>
      </c>
      <c r="I694" s="106">
        <v>37</v>
      </c>
      <c r="J694" s="106"/>
    </row>
    <row r="695" spans="1:10" x14ac:dyDescent="0.2">
      <c r="A695" s="106" t="s">
        <v>662</v>
      </c>
      <c r="B695" s="106" t="s">
        <v>347</v>
      </c>
      <c r="C695" s="106" t="s">
        <v>348</v>
      </c>
      <c r="D695" s="106" t="s">
        <v>353</v>
      </c>
      <c r="E695">
        <v>7164</v>
      </c>
      <c r="F695" s="106" t="s">
        <v>689</v>
      </c>
      <c r="G695" s="106" t="s">
        <v>350</v>
      </c>
      <c r="H695" s="106" t="s">
        <v>386</v>
      </c>
      <c r="I695" t="s">
        <v>434</v>
      </c>
      <c r="J695" t="s">
        <v>2527</v>
      </c>
    </row>
    <row r="696" spans="1:10" x14ac:dyDescent="0.2">
      <c r="A696" s="106" t="s">
        <v>662</v>
      </c>
      <c r="B696" s="106" t="s">
        <v>347</v>
      </c>
      <c r="C696" s="106" t="s">
        <v>348</v>
      </c>
      <c r="D696" s="106" t="s">
        <v>349</v>
      </c>
      <c r="E696">
        <v>7259</v>
      </c>
      <c r="F696" s="106" t="s">
        <v>691</v>
      </c>
      <c r="G696" s="106" t="s">
        <v>350</v>
      </c>
      <c r="H696" s="106" t="s">
        <v>380</v>
      </c>
      <c r="I696" t="s">
        <v>692</v>
      </c>
      <c r="J696" t="s">
        <v>2528</v>
      </c>
    </row>
    <row r="697" spans="1:10" x14ac:dyDescent="0.2">
      <c r="A697" s="106" t="s">
        <v>662</v>
      </c>
      <c r="B697" s="106" t="s">
        <v>347</v>
      </c>
      <c r="C697" s="106" t="s">
        <v>348</v>
      </c>
      <c r="D697" s="106" t="s">
        <v>349</v>
      </c>
      <c r="E697">
        <v>7702</v>
      </c>
      <c r="F697" s="106" t="s">
        <v>694</v>
      </c>
      <c r="G697" s="106" t="s">
        <v>350</v>
      </c>
      <c r="H697" s="106" t="s">
        <v>461</v>
      </c>
      <c r="I697">
        <v>208</v>
      </c>
    </row>
    <row r="698" spans="1:10" x14ac:dyDescent="0.2">
      <c r="A698" s="106" t="s">
        <v>662</v>
      </c>
      <c r="B698" s="106" t="s">
        <v>347</v>
      </c>
      <c r="C698" s="106" t="s">
        <v>359</v>
      </c>
      <c r="D698" s="106" t="s">
        <v>349</v>
      </c>
      <c r="E698">
        <v>7813</v>
      </c>
      <c r="F698" s="106" t="s">
        <v>695</v>
      </c>
      <c r="G698" s="106" t="s">
        <v>362</v>
      </c>
      <c r="H698" s="106" t="s">
        <v>372</v>
      </c>
      <c r="I698">
        <v>68</v>
      </c>
    </row>
    <row r="699" spans="1:10" x14ac:dyDescent="0.2">
      <c r="A699" s="106" t="s">
        <v>662</v>
      </c>
      <c r="B699" s="106" t="s">
        <v>347</v>
      </c>
      <c r="C699" s="106" t="s">
        <v>357</v>
      </c>
      <c r="D699" s="106" t="s">
        <v>349</v>
      </c>
      <c r="E699">
        <v>7963</v>
      </c>
      <c r="F699" s="106" t="s">
        <v>696</v>
      </c>
      <c r="G699" s="106" t="s">
        <v>354</v>
      </c>
      <c r="H699" s="106" t="s">
        <v>372</v>
      </c>
      <c r="I699">
        <v>69</v>
      </c>
    </row>
    <row r="700" spans="1:10" x14ac:dyDescent="0.2">
      <c r="A700" s="106" t="s">
        <v>662</v>
      </c>
      <c r="B700" s="106" t="s">
        <v>347</v>
      </c>
      <c r="C700" s="106" t="s">
        <v>348</v>
      </c>
      <c r="D700" s="106" t="s">
        <v>349</v>
      </c>
      <c r="E700">
        <v>7971</v>
      </c>
      <c r="F700" s="106" t="s">
        <v>2265</v>
      </c>
      <c r="G700" s="106" t="s">
        <v>350</v>
      </c>
      <c r="H700" s="106" t="s">
        <v>363</v>
      </c>
      <c r="I700">
        <v>222</v>
      </c>
    </row>
    <row r="701" spans="1:10" x14ac:dyDescent="0.2">
      <c r="A701" s="106" t="s">
        <v>662</v>
      </c>
      <c r="B701" s="106" t="s">
        <v>347</v>
      </c>
      <c r="C701" s="106" t="s">
        <v>348</v>
      </c>
      <c r="D701" s="106" t="s">
        <v>349</v>
      </c>
      <c r="E701">
        <v>8138</v>
      </c>
      <c r="F701" s="106" t="s">
        <v>697</v>
      </c>
      <c r="G701" s="106" t="s">
        <v>358</v>
      </c>
      <c r="H701" s="106" t="s">
        <v>356</v>
      </c>
      <c r="I701">
        <v>43</v>
      </c>
    </row>
    <row r="702" spans="1:10" x14ac:dyDescent="0.2">
      <c r="A702" s="106" t="s">
        <v>662</v>
      </c>
      <c r="B702" s="106" t="s">
        <v>347</v>
      </c>
      <c r="C702" s="106" t="s">
        <v>348</v>
      </c>
      <c r="D702" s="106" t="s">
        <v>349</v>
      </c>
      <c r="E702">
        <v>8153</v>
      </c>
      <c r="F702" s="106" t="s">
        <v>698</v>
      </c>
      <c r="G702" s="106" t="s">
        <v>350</v>
      </c>
      <c r="H702" s="106" t="s">
        <v>356</v>
      </c>
      <c r="I702">
        <v>972</v>
      </c>
    </row>
    <row r="703" spans="1:10" x14ac:dyDescent="0.2">
      <c r="A703" s="106" t="s">
        <v>662</v>
      </c>
      <c r="B703" s="106" t="s">
        <v>347</v>
      </c>
      <c r="C703" s="106" t="s">
        <v>348</v>
      </c>
      <c r="D703" s="106" t="s">
        <v>349</v>
      </c>
      <c r="E703">
        <v>8226</v>
      </c>
      <c r="F703" s="106" t="s">
        <v>699</v>
      </c>
      <c r="G703" s="106" t="s">
        <v>358</v>
      </c>
      <c r="H703" s="106" t="s">
        <v>356</v>
      </c>
      <c r="I703" s="106">
        <v>29</v>
      </c>
      <c r="J703" s="106"/>
    </row>
    <row r="704" spans="1:10" x14ac:dyDescent="0.2">
      <c r="A704" s="106" t="s">
        <v>662</v>
      </c>
      <c r="B704" s="106" t="s">
        <v>347</v>
      </c>
      <c r="C704" s="106" t="s">
        <v>348</v>
      </c>
      <c r="D704" s="106" t="s">
        <v>349</v>
      </c>
      <c r="E704">
        <v>8281</v>
      </c>
      <c r="F704" s="106" t="s">
        <v>700</v>
      </c>
      <c r="G704" s="106" t="s">
        <v>350</v>
      </c>
      <c r="H704" s="106" t="s">
        <v>360</v>
      </c>
      <c r="I704">
        <v>650</v>
      </c>
    </row>
    <row r="705" spans="1:10" x14ac:dyDescent="0.2">
      <c r="A705" s="106" t="s">
        <v>662</v>
      </c>
      <c r="B705" s="106" t="s">
        <v>347</v>
      </c>
      <c r="C705" s="106" t="s">
        <v>348</v>
      </c>
      <c r="D705" s="106" t="s">
        <v>349</v>
      </c>
      <c r="E705">
        <v>9001</v>
      </c>
      <c r="F705" s="106" t="s">
        <v>701</v>
      </c>
      <c r="G705" s="106" t="s">
        <v>350</v>
      </c>
      <c r="H705" s="106" t="s">
        <v>482</v>
      </c>
      <c r="I705" s="106" t="s">
        <v>463</v>
      </c>
      <c r="J705" s="106" t="s">
        <v>2529</v>
      </c>
    </row>
    <row r="706" spans="1:10" x14ac:dyDescent="0.2">
      <c r="A706" s="106" t="s">
        <v>662</v>
      </c>
      <c r="B706" s="106" t="s">
        <v>347</v>
      </c>
      <c r="C706" s="106" t="s">
        <v>357</v>
      </c>
      <c r="D706" s="106" t="s">
        <v>353</v>
      </c>
      <c r="E706">
        <v>9284</v>
      </c>
      <c r="F706" s="106" t="s">
        <v>822</v>
      </c>
      <c r="G706" s="106" t="s">
        <v>387</v>
      </c>
      <c r="H706" s="106" t="s">
        <v>388</v>
      </c>
      <c r="I706" s="106">
        <v>282</v>
      </c>
      <c r="J706" s="106"/>
    </row>
    <row r="707" spans="1:10" x14ac:dyDescent="0.2">
      <c r="A707" s="106" t="s">
        <v>662</v>
      </c>
      <c r="B707" s="106" t="s">
        <v>347</v>
      </c>
      <c r="C707" s="106" t="s">
        <v>348</v>
      </c>
      <c r="D707" s="106" t="s">
        <v>349</v>
      </c>
      <c r="E707">
        <v>9364</v>
      </c>
      <c r="F707" s="106" t="s">
        <v>702</v>
      </c>
      <c r="G707" s="106" t="s">
        <v>350</v>
      </c>
      <c r="H707" s="106" t="s">
        <v>703</v>
      </c>
      <c r="I707" t="s">
        <v>434</v>
      </c>
      <c r="J707" t="s">
        <v>2530</v>
      </c>
    </row>
    <row r="708" spans="1:10" x14ac:dyDescent="0.2">
      <c r="A708" s="106" t="s">
        <v>662</v>
      </c>
      <c r="B708" s="106" t="s">
        <v>347</v>
      </c>
      <c r="C708" s="106" t="s">
        <v>348</v>
      </c>
      <c r="D708" s="106" t="s">
        <v>349</v>
      </c>
      <c r="E708">
        <v>9613</v>
      </c>
      <c r="F708" s="106" t="s">
        <v>704</v>
      </c>
      <c r="G708" s="106" t="s">
        <v>350</v>
      </c>
      <c r="H708" s="106" t="s">
        <v>361</v>
      </c>
      <c r="I708" t="s">
        <v>917</v>
      </c>
      <c r="J708" t="s">
        <v>2531</v>
      </c>
    </row>
    <row r="709" spans="1:10" x14ac:dyDescent="0.2">
      <c r="A709" s="106" t="s">
        <v>662</v>
      </c>
      <c r="B709" s="106" t="s">
        <v>347</v>
      </c>
      <c r="C709" s="106" t="s">
        <v>348</v>
      </c>
      <c r="D709" s="106" t="s">
        <v>349</v>
      </c>
      <c r="E709">
        <v>9671</v>
      </c>
      <c r="F709" s="106" t="s">
        <v>705</v>
      </c>
      <c r="G709" s="106" t="s">
        <v>350</v>
      </c>
      <c r="H709" s="106" t="s">
        <v>355</v>
      </c>
      <c r="I709">
        <v>388</v>
      </c>
    </row>
    <row r="710" spans="1:10" x14ac:dyDescent="0.2">
      <c r="A710" s="106" t="s">
        <v>662</v>
      </c>
      <c r="B710" s="106" t="s">
        <v>347</v>
      </c>
      <c r="C710" s="106" t="s">
        <v>348</v>
      </c>
      <c r="D710" s="106" t="s">
        <v>349</v>
      </c>
      <c r="E710">
        <v>9887</v>
      </c>
      <c r="F710" s="106" t="s">
        <v>706</v>
      </c>
      <c r="G710" s="106" t="s">
        <v>350</v>
      </c>
      <c r="H710" s="106" t="s">
        <v>360</v>
      </c>
      <c r="I710">
        <v>851</v>
      </c>
    </row>
    <row r="711" spans="1:10" x14ac:dyDescent="0.2">
      <c r="A711" s="106" t="s">
        <v>662</v>
      </c>
      <c r="B711" s="106" t="s">
        <v>347</v>
      </c>
      <c r="C711" s="106" t="s">
        <v>348</v>
      </c>
      <c r="D711" s="106" t="s">
        <v>349</v>
      </c>
      <c r="E711">
        <v>9896</v>
      </c>
      <c r="F711" s="106" t="s">
        <v>707</v>
      </c>
      <c r="G711" s="106" t="s">
        <v>350</v>
      </c>
      <c r="H711" s="106" t="s">
        <v>356</v>
      </c>
      <c r="I711">
        <v>214</v>
      </c>
    </row>
    <row r="712" spans="1:10" x14ac:dyDescent="0.2">
      <c r="A712" s="106" t="s">
        <v>708</v>
      </c>
      <c r="B712" s="106" t="s">
        <v>347</v>
      </c>
      <c r="C712" s="106" t="s">
        <v>348</v>
      </c>
      <c r="D712" s="106" t="s">
        <v>353</v>
      </c>
      <c r="E712">
        <v>1450</v>
      </c>
      <c r="F712" s="106" t="s">
        <v>709</v>
      </c>
      <c r="G712" s="106" t="s">
        <v>354</v>
      </c>
      <c r="H712" s="106" t="s">
        <v>377</v>
      </c>
      <c r="I712" s="106">
        <v>58</v>
      </c>
      <c r="J712" s="106"/>
    </row>
    <row r="713" spans="1:10" x14ac:dyDescent="0.2">
      <c r="A713" s="106" t="s">
        <v>708</v>
      </c>
      <c r="B713" s="106" t="s">
        <v>347</v>
      </c>
      <c r="C713" s="106" t="s">
        <v>348</v>
      </c>
      <c r="D713" s="106" t="s">
        <v>349</v>
      </c>
      <c r="E713">
        <v>1451</v>
      </c>
      <c r="F713" s="106" t="s">
        <v>710</v>
      </c>
      <c r="G713" s="106" t="s">
        <v>358</v>
      </c>
      <c r="H713" s="106" t="s">
        <v>377</v>
      </c>
      <c r="I713">
        <v>31</v>
      </c>
    </row>
    <row r="714" spans="1:10" x14ac:dyDescent="0.2">
      <c r="A714" s="106" t="s">
        <v>708</v>
      </c>
      <c r="B714" s="106" t="s">
        <v>347</v>
      </c>
      <c r="C714" s="106" t="s">
        <v>357</v>
      </c>
      <c r="D714" s="106" t="s">
        <v>349</v>
      </c>
      <c r="E714">
        <v>1605</v>
      </c>
      <c r="F714" s="106" t="s">
        <v>711</v>
      </c>
      <c r="G714" s="106" t="s">
        <v>350</v>
      </c>
      <c r="H714" s="106" t="s">
        <v>712</v>
      </c>
      <c r="I714" t="s">
        <v>378</v>
      </c>
      <c r="J714" t="s">
        <v>2463</v>
      </c>
    </row>
    <row r="715" spans="1:10" x14ac:dyDescent="0.2">
      <c r="A715" s="106" t="s">
        <v>708</v>
      </c>
      <c r="B715" s="106" t="s">
        <v>347</v>
      </c>
      <c r="C715" s="106" t="s">
        <v>348</v>
      </c>
      <c r="D715" s="106" t="s">
        <v>349</v>
      </c>
      <c r="E715">
        <v>1866</v>
      </c>
      <c r="F715" s="106" t="s">
        <v>713</v>
      </c>
      <c r="G715" s="106" t="s">
        <v>350</v>
      </c>
      <c r="H715" s="106" t="s">
        <v>377</v>
      </c>
      <c r="I715">
        <v>180</v>
      </c>
    </row>
    <row r="716" spans="1:10" x14ac:dyDescent="0.2">
      <c r="A716" s="106" t="s">
        <v>708</v>
      </c>
      <c r="B716" s="106" t="s">
        <v>347</v>
      </c>
      <c r="C716" s="106" t="s">
        <v>357</v>
      </c>
      <c r="D716" s="106" t="s">
        <v>349</v>
      </c>
      <c r="E716">
        <v>1899</v>
      </c>
      <c r="F716" s="106" t="s">
        <v>714</v>
      </c>
      <c r="G716" s="106" t="s">
        <v>350</v>
      </c>
      <c r="H716" s="106" t="s">
        <v>377</v>
      </c>
      <c r="I716">
        <v>463</v>
      </c>
    </row>
    <row r="717" spans="1:10" x14ac:dyDescent="0.2">
      <c r="A717" s="106" t="s">
        <v>708</v>
      </c>
      <c r="B717" s="106" t="s">
        <v>347</v>
      </c>
      <c r="C717" s="106" t="s">
        <v>348</v>
      </c>
      <c r="D717" s="106" t="s">
        <v>349</v>
      </c>
      <c r="E717">
        <v>1952</v>
      </c>
      <c r="F717" s="106" t="s">
        <v>715</v>
      </c>
      <c r="G717" s="106" t="s">
        <v>350</v>
      </c>
      <c r="H717" s="106" t="s">
        <v>377</v>
      </c>
      <c r="I717">
        <v>538</v>
      </c>
    </row>
    <row r="718" spans="1:10" x14ac:dyDescent="0.2">
      <c r="A718" s="106" t="s">
        <v>708</v>
      </c>
      <c r="B718" s="106" t="s">
        <v>347</v>
      </c>
      <c r="C718" s="106" t="s">
        <v>348</v>
      </c>
      <c r="D718" s="106" t="s">
        <v>349</v>
      </c>
      <c r="E718">
        <v>2134</v>
      </c>
      <c r="F718" s="106" t="s">
        <v>716</v>
      </c>
      <c r="G718" s="106" t="s">
        <v>354</v>
      </c>
      <c r="H718" s="106" t="s">
        <v>355</v>
      </c>
      <c r="I718">
        <v>42</v>
      </c>
    </row>
    <row r="719" spans="1:10" x14ac:dyDescent="0.2">
      <c r="A719" s="106" t="s">
        <v>708</v>
      </c>
      <c r="B719" s="106" t="s">
        <v>347</v>
      </c>
      <c r="C719" s="106" t="s">
        <v>359</v>
      </c>
      <c r="D719" s="106" t="s">
        <v>349</v>
      </c>
      <c r="E719">
        <v>2385</v>
      </c>
      <c r="F719" s="106" t="s">
        <v>2268</v>
      </c>
      <c r="G719" s="106" t="s">
        <v>362</v>
      </c>
      <c r="H719" s="106" t="s">
        <v>355</v>
      </c>
      <c r="I719">
        <v>159</v>
      </c>
    </row>
    <row r="720" spans="1:10" x14ac:dyDescent="0.2">
      <c r="A720" s="106" t="s">
        <v>708</v>
      </c>
      <c r="B720" s="106" t="s">
        <v>347</v>
      </c>
      <c r="C720" s="106" t="s">
        <v>348</v>
      </c>
      <c r="D720" s="106" t="s">
        <v>349</v>
      </c>
      <c r="E720">
        <v>2831</v>
      </c>
      <c r="F720" s="106" t="s">
        <v>934</v>
      </c>
      <c r="G720" s="106" t="s">
        <v>358</v>
      </c>
      <c r="H720" s="106" t="s">
        <v>351</v>
      </c>
      <c r="I720">
        <v>271</v>
      </c>
    </row>
    <row r="721" spans="1:10" x14ac:dyDescent="0.2">
      <c r="A721" s="106" t="s">
        <v>708</v>
      </c>
      <c r="B721" s="106" t="s">
        <v>347</v>
      </c>
      <c r="C721" s="106" t="s">
        <v>352</v>
      </c>
      <c r="D721" s="106" t="s">
        <v>349</v>
      </c>
      <c r="E721">
        <v>2974</v>
      </c>
      <c r="F721" s="106" t="s">
        <v>717</v>
      </c>
      <c r="G721" s="106" t="s">
        <v>555</v>
      </c>
      <c r="H721" s="106" t="s">
        <v>376</v>
      </c>
      <c r="I721" s="106">
        <v>35</v>
      </c>
      <c r="J721" s="106"/>
    </row>
    <row r="722" spans="1:10" x14ac:dyDescent="0.2">
      <c r="A722" s="106" t="s">
        <v>708</v>
      </c>
      <c r="B722" s="106" t="s">
        <v>347</v>
      </c>
      <c r="C722" s="106" t="s">
        <v>348</v>
      </c>
      <c r="D722" s="106" t="s">
        <v>349</v>
      </c>
      <c r="E722">
        <v>2976</v>
      </c>
      <c r="F722" s="106" t="s">
        <v>718</v>
      </c>
      <c r="G722" s="106" t="s">
        <v>719</v>
      </c>
      <c r="H722" s="106" t="s">
        <v>376</v>
      </c>
      <c r="I722">
        <v>14</v>
      </c>
    </row>
    <row r="723" spans="1:10" x14ac:dyDescent="0.2">
      <c r="A723" s="106" t="s">
        <v>708</v>
      </c>
      <c r="B723" s="106" t="s">
        <v>347</v>
      </c>
      <c r="C723" s="106" t="s">
        <v>348</v>
      </c>
      <c r="D723" s="106" t="s">
        <v>349</v>
      </c>
      <c r="E723">
        <v>3291</v>
      </c>
      <c r="F723" s="106" t="s">
        <v>935</v>
      </c>
      <c r="G723" s="106" t="s">
        <v>350</v>
      </c>
      <c r="H723" s="106" t="s">
        <v>376</v>
      </c>
      <c r="I723" t="s">
        <v>367</v>
      </c>
      <c r="J723" t="s">
        <v>2262</v>
      </c>
    </row>
    <row r="724" spans="1:10" x14ac:dyDescent="0.2">
      <c r="A724" s="106" t="s">
        <v>708</v>
      </c>
      <c r="B724" s="106" t="s">
        <v>347</v>
      </c>
      <c r="C724" s="106" t="s">
        <v>348</v>
      </c>
      <c r="D724" s="106" t="s">
        <v>349</v>
      </c>
      <c r="E724">
        <v>3372</v>
      </c>
      <c r="F724" s="106" t="s">
        <v>936</v>
      </c>
      <c r="G724" s="106" t="s">
        <v>358</v>
      </c>
      <c r="H724" s="106" t="s">
        <v>360</v>
      </c>
      <c r="I724">
        <v>52</v>
      </c>
    </row>
    <row r="725" spans="1:10" x14ac:dyDescent="0.2">
      <c r="A725" s="106" t="s">
        <v>708</v>
      </c>
      <c r="B725" s="106" t="s">
        <v>347</v>
      </c>
      <c r="C725" s="106" t="s">
        <v>357</v>
      </c>
      <c r="D725" s="106" t="s">
        <v>349</v>
      </c>
      <c r="E725">
        <v>3606</v>
      </c>
      <c r="F725" s="106" t="s">
        <v>720</v>
      </c>
      <c r="G725" s="106" t="s">
        <v>350</v>
      </c>
      <c r="H725" s="106" t="s">
        <v>383</v>
      </c>
      <c r="I725">
        <v>117</v>
      </c>
    </row>
    <row r="726" spans="1:10" x14ac:dyDescent="0.2">
      <c r="A726" s="106" t="s">
        <v>708</v>
      </c>
      <c r="B726" s="106" t="s">
        <v>347</v>
      </c>
      <c r="C726" s="106" t="s">
        <v>348</v>
      </c>
      <c r="D726" s="106" t="s">
        <v>353</v>
      </c>
      <c r="E726">
        <v>3652</v>
      </c>
      <c r="F726" s="106" t="s">
        <v>937</v>
      </c>
      <c r="G726" s="106" t="s">
        <v>362</v>
      </c>
      <c r="H726" s="106" t="s">
        <v>361</v>
      </c>
      <c r="I726">
        <v>122</v>
      </c>
    </row>
    <row r="727" spans="1:10" x14ac:dyDescent="0.2">
      <c r="A727" s="106" t="s">
        <v>708</v>
      </c>
      <c r="B727" s="106" t="s">
        <v>347</v>
      </c>
      <c r="C727" s="106" t="s">
        <v>357</v>
      </c>
      <c r="D727" s="106" t="s">
        <v>353</v>
      </c>
      <c r="E727">
        <v>3719</v>
      </c>
      <c r="F727" s="106" t="s">
        <v>938</v>
      </c>
      <c r="G727" s="106" t="s">
        <v>354</v>
      </c>
      <c r="H727" s="106" t="s">
        <v>361</v>
      </c>
      <c r="I727">
        <v>26</v>
      </c>
    </row>
    <row r="728" spans="1:10" x14ac:dyDescent="0.2">
      <c r="A728" s="106" t="s">
        <v>708</v>
      </c>
      <c r="B728" s="106" t="s">
        <v>347</v>
      </c>
      <c r="C728" s="106" t="s">
        <v>359</v>
      </c>
      <c r="D728" s="106" t="s">
        <v>349</v>
      </c>
      <c r="E728">
        <v>3856</v>
      </c>
      <c r="F728" s="106" t="s">
        <v>721</v>
      </c>
      <c r="G728" s="106" t="s">
        <v>358</v>
      </c>
      <c r="H728" s="106" t="s">
        <v>375</v>
      </c>
      <c r="I728">
        <v>30</v>
      </c>
    </row>
    <row r="729" spans="1:10" x14ac:dyDescent="0.2">
      <c r="A729" s="106" t="s">
        <v>708</v>
      </c>
      <c r="B729" s="106" t="s">
        <v>347</v>
      </c>
      <c r="C729" s="106" t="s">
        <v>348</v>
      </c>
      <c r="D729" s="106" t="s">
        <v>349</v>
      </c>
      <c r="E729">
        <v>3896</v>
      </c>
      <c r="F729" s="106" t="s">
        <v>722</v>
      </c>
      <c r="G729" s="106" t="s">
        <v>350</v>
      </c>
      <c r="H729" s="106" t="s">
        <v>384</v>
      </c>
      <c r="I729">
        <v>59</v>
      </c>
    </row>
    <row r="730" spans="1:10" x14ac:dyDescent="0.2">
      <c r="A730" s="106" t="s">
        <v>708</v>
      </c>
      <c r="B730" s="106" t="s">
        <v>347</v>
      </c>
      <c r="C730" s="106" t="s">
        <v>357</v>
      </c>
      <c r="D730" s="106" t="s">
        <v>349</v>
      </c>
      <c r="E730">
        <v>3902</v>
      </c>
      <c r="F730" s="106" t="s">
        <v>723</v>
      </c>
      <c r="G730" s="106" t="s">
        <v>350</v>
      </c>
      <c r="H730" s="106" t="s">
        <v>361</v>
      </c>
      <c r="I730">
        <v>330</v>
      </c>
    </row>
    <row r="731" spans="1:10" x14ac:dyDescent="0.2">
      <c r="A731" s="106" t="s">
        <v>708</v>
      </c>
      <c r="B731" s="106" t="s">
        <v>347</v>
      </c>
      <c r="C731" s="106" t="s">
        <v>348</v>
      </c>
      <c r="D731" s="106" t="s">
        <v>349</v>
      </c>
      <c r="E731">
        <v>3963</v>
      </c>
      <c r="F731" s="106" t="s">
        <v>724</v>
      </c>
      <c r="G731" s="106" t="s">
        <v>350</v>
      </c>
      <c r="H731" s="106" t="s">
        <v>361</v>
      </c>
      <c r="I731">
        <v>149</v>
      </c>
    </row>
    <row r="732" spans="1:10" x14ac:dyDescent="0.2">
      <c r="A732" s="106" t="s">
        <v>708</v>
      </c>
      <c r="B732" s="106" t="s">
        <v>347</v>
      </c>
      <c r="C732" s="106" t="s">
        <v>357</v>
      </c>
      <c r="D732" s="106" t="s">
        <v>349</v>
      </c>
      <c r="E732">
        <v>4245</v>
      </c>
      <c r="F732" s="106" t="s">
        <v>725</v>
      </c>
      <c r="G732" s="106" t="s">
        <v>350</v>
      </c>
      <c r="H732" s="106" t="s">
        <v>363</v>
      </c>
      <c r="I732">
        <v>126</v>
      </c>
    </row>
    <row r="733" spans="1:10" x14ac:dyDescent="0.2">
      <c r="A733" s="106" t="s">
        <v>708</v>
      </c>
      <c r="B733" s="106" t="s">
        <v>347</v>
      </c>
      <c r="C733" s="106" t="s">
        <v>357</v>
      </c>
      <c r="D733" s="106" t="s">
        <v>349</v>
      </c>
      <c r="E733">
        <v>4251</v>
      </c>
      <c r="F733" s="106" t="s">
        <v>726</v>
      </c>
      <c r="G733" s="106" t="s">
        <v>358</v>
      </c>
      <c r="H733" s="106" t="s">
        <v>363</v>
      </c>
      <c r="I733">
        <v>106</v>
      </c>
    </row>
    <row r="734" spans="1:10" x14ac:dyDescent="0.2">
      <c r="A734" s="106" t="s">
        <v>708</v>
      </c>
      <c r="B734" s="106" t="s">
        <v>347</v>
      </c>
      <c r="C734" s="106" t="s">
        <v>348</v>
      </c>
      <c r="D734" s="106" t="s">
        <v>349</v>
      </c>
      <c r="E734">
        <v>4390</v>
      </c>
      <c r="F734" s="106" t="s">
        <v>2270</v>
      </c>
      <c r="G734" s="106" t="s">
        <v>362</v>
      </c>
      <c r="H734" s="106" t="s">
        <v>361</v>
      </c>
      <c r="I734">
        <v>146</v>
      </c>
    </row>
    <row r="735" spans="1:10" x14ac:dyDescent="0.2">
      <c r="A735" s="106" t="s">
        <v>708</v>
      </c>
      <c r="B735" s="106" t="s">
        <v>347</v>
      </c>
      <c r="C735" s="106" t="s">
        <v>348</v>
      </c>
      <c r="D735" s="106" t="s">
        <v>349</v>
      </c>
      <c r="E735">
        <v>4425</v>
      </c>
      <c r="F735" s="106" t="s">
        <v>727</v>
      </c>
      <c r="G735" s="106" t="s">
        <v>362</v>
      </c>
      <c r="H735" s="106" t="s">
        <v>361</v>
      </c>
      <c r="I735">
        <v>593</v>
      </c>
    </row>
    <row r="736" spans="1:10" x14ac:dyDescent="0.2">
      <c r="A736" s="106" t="s">
        <v>708</v>
      </c>
      <c r="B736" s="106" t="s">
        <v>347</v>
      </c>
      <c r="C736" s="106" t="s">
        <v>348</v>
      </c>
      <c r="D736" s="106" t="s">
        <v>353</v>
      </c>
      <c r="E736">
        <v>4435</v>
      </c>
      <c r="F736" s="106" t="s">
        <v>728</v>
      </c>
      <c r="G736" s="106" t="s">
        <v>362</v>
      </c>
      <c r="H736" s="106" t="s">
        <v>361</v>
      </c>
      <c r="I736">
        <v>429</v>
      </c>
    </row>
    <row r="737" spans="1:10" x14ac:dyDescent="0.2">
      <c r="A737" s="106" t="s">
        <v>708</v>
      </c>
      <c r="B737" s="106" t="s">
        <v>347</v>
      </c>
      <c r="C737" s="106" t="s">
        <v>348</v>
      </c>
      <c r="D737" s="106" t="s">
        <v>349</v>
      </c>
      <c r="E737">
        <v>4442</v>
      </c>
      <c r="F737" s="106" t="s">
        <v>729</v>
      </c>
      <c r="G737" s="106" t="s">
        <v>362</v>
      </c>
      <c r="H737" s="106" t="s">
        <v>361</v>
      </c>
      <c r="I737">
        <v>119</v>
      </c>
    </row>
    <row r="738" spans="1:10" x14ac:dyDescent="0.2">
      <c r="A738" s="106" t="s">
        <v>708</v>
      </c>
      <c r="B738" s="106" t="s">
        <v>347</v>
      </c>
      <c r="C738" s="106" t="s">
        <v>357</v>
      </c>
      <c r="D738" s="106" t="s">
        <v>353</v>
      </c>
      <c r="E738">
        <v>4448</v>
      </c>
      <c r="F738" s="106" t="s">
        <v>730</v>
      </c>
      <c r="G738" s="106" t="s">
        <v>362</v>
      </c>
      <c r="H738" s="106" t="s">
        <v>361</v>
      </c>
      <c r="I738">
        <v>375</v>
      </c>
    </row>
    <row r="739" spans="1:10" x14ac:dyDescent="0.2">
      <c r="A739" s="106" t="s">
        <v>708</v>
      </c>
      <c r="B739" s="106" t="s">
        <v>347</v>
      </c>
      <c r="C739" s="106" t="s">
        <v>357</v>
      </c>
      <c r="D739" s="106" t="s">
        <v>349</v>
      </c>
      <c r="E739">
        <v>4449</v>
      </c>
      <c r="F739" s="106" t="s">
        <v>731</v>
      </c>
      <c r="G739" s="106" t="s">
        <v>362</v>
      </c>
      <c r="H739" s="106" t="s">
        <v>361</v>
      </c>
      <c r="I739">
        <v>422</v>
      </c>
    </row>
    <row r="740" spans="1:10" x14ac:dyDescent="0.2">
      <c r="A740" s="106" t="s">
        <v>708</v>
      </c>
      <c r="B740" s="106" t="s">
        <v>347</v>
      </c>
      <c r="C740" s="106" t="s">
        <v>352</v>
      </c>
      <c r="D740" s="106" t="s">
        <v>349</v>
      </c>
      <c r="E740">
        <v>4475</v>
      </c>
      <c r="F740" s="106" t="s">
        <v>733</v>
      </c>
      <c r="G740" s="106" t="s">
        <v>362</v>
      </c>
      <c r="H740" s="106" t="s">
        <v>361</v>
      </c>
      <c r="I740">
        <v>284</v>
      </c>
    </row>
    <row r="741" spans="1:10" x14ac:dyDescent="0.2">
      <c r="A741" s="106" t="s">
        <v>708</v>
      </c>
      <c r="B741" s="106" t="s">
        <v>347</v>
      </c>
      <c r="C741" s="106" t="s">
        <v>357</v>
      </c>
      <c r="D741" s="106" t="s">
        <v>353</v>
      </c>
      <c r="E741">
        <v>4476</v>
      </c>
      <c r="F741" s="106" t="s">
        <v>734</v>
      </c>
      <c r="G741" s="106" t="s">
        <v>362</v>
      </c>
      <c r="H741" s="106" t="s">
        <v>361</v>
      </c>
      <c r="I741">
        <v>95</v>
      </c>
    </row>
    <row r="742" spans="1:10" x14ac:dyDescent="0.2">
      <c r="A742" s="106" t="s">
        <v>708</v>
      </c>
      <c r="B742" s="106" t="s">
        <v>347</v>
      </c>
      <c r="C742" s="106" t="s">
        <v>357</v>
      </c>
      <c r="D742" s="106" t="s">
        <v>349</v>
      </c>
      <c r="E742">
        <v>4477</v>
      </c>
      <c r="F742" s="106" t="s">
        <v>735</v>
      </c>
      <c r="G742" s="106" t="s">
        <v>362</v>
      </c>
      <c r="H742" s="106" t="s">
        <v>361</v>
      </c>
      <c r="I742">
        <v>357</v>
      </c>
    </row>
    <row r="743" spans="1:10" x14ac:dyDescent="0.2">
      <c r="A743" s="106" t="s">
        <v>708</v>
      </c>
      <c r="B743" s="106" t="s">
        <v>347</v>
      </c>
      <c r="C743" s="106" t="s">
        <v>357</v>
      </c>
      <c r="D743" s="106" t="s">
        <v>353</v>
      </c>
      <c r="E743">
        <v>4482</v>
      </c>
      <c r="F743" s="106" t="s">
        <v>2271</v>
      </c>
      <c r="G743" s="106" t="s">
        <v>362</v>
      </c>
      <c r="H743" s="106" t="s">
        <v>361</v>
      </c>
      <c r="I743" s="106">
        <v>218</v>
      </c>
      <c r="J743" s="106"/>
    </row>
    <row r="744" spans="1:10" x14ac:dyDescent="0.2">
      <c r="A744" s="106" t="s">
        <v>708</v>
      </c>
      <c r="B744" s="106" t="s">
        <v>347</v>
      </c>
      <c r="C744" s="106" t="s">
        <v>348</v>
      </c>
      <c r="D744" s="106" t="s">
        <v>349</v>
      </c>
      <c r="E744">
        <v>4484</v>
      </c>
      <c r="F744" s="106" t="s">
        <v>2272</v>
      </c>
      <c r="G744" s="106" t="s">
        <v>362</v>
      </c>
      <c r="H744" s="106" t="s">
        <v>361</v>
      </c>
      <c r="I744">
        <v>124</v>
      </c>
    </row>
    <row r="745" spans="1:10" x14ac:dyDescent="0.2">
      <c r="A745" s="106" t="s">
        <v>708</v>
      </c>
      <c r="B745" s="106" t="s">
        <v>347</v>
      </c>
      <c r="C745" s="106" t="s">
        <v>357</v>
      </c>
      <c r="D745" s="106" t="s">
        <v>349</v>
      </c>
      <c r="E745">
        <v>4631</v>
      </c>
      <c r="F745" s="106" t="s">
        <v>736</v>
      </c>
      <c r="G745" s="106" t="s">
        <v>350</v>
      </c>
      <c r="H745" s="106" t="s">
        <v>363</v>
      </c>
      <c r="I745" t="s">
        <v>373</v>
      </c>
      <c r="J745" t="s">
        <v>2532</v>
      </c>
    </row>
    <row r="746" spans="1:10" x14ac:dyDescent="0.2">
      <c r="A746" s="106" t="s">
        <v>708</v>
      </c>
      <c r="B746" s="106" t="s">
        <v>347</v>
      </c>
      <c r="C746" s="106" t="s">
        <v>348</v>
      </c>
      <c r="D746" s="106" t="s">
        <v>349</v>
      </c>
      <c r="E746">
        <v>4691</v>
      </c>
      <c r="F746" s="106" t="s">
        <v>737</v>
      </c>
      <c r="G746" s="106" t="s">
        <v>358</v>
      </c>
      <c r="H746" s="106" t="s">
        <v>355</v>
      </c>
      <c r="I746">
        <v>162</v>
      </c>
    </row>
    <row r="747" spans="1:10" x14ac:dyDescent="0.2">
      <c r="A747" s="106" t="s">
        <v>708</v>
      </c>
      <c r="B747" s="106" t="s">
        <v>347</v>
      </c>
      <c r="C747" s="106" t="s">
        <v>359</v>
      </c>
      <c r="D747" s="106" t="s">
        <v>349</v>
      </c>
      <c r="E747">
        <v>4845</v>
      </c>
      <c r="F747" s="106" t="s">
        <v>738</v>
      </c>
      <c r="G747" s="106" t="s">
        <v>350</v>
      </c>
      <c r="H747" s="106" t="s">
        <v>361</v>
      </c>
      <c r="I747">
        <v>136</v>
      </c>
    </row>
    <row r="748" spans="1:10" x14ac:dyDescent="0.2">
      <c r="A748" s="106" t="s">
        <v>708</v>
      </c>
      <c r="B748" s="106" t="s">
        <v>347</v>
      </c>
      <c r="C748" s="106" t="s">
        <v>348</v>
      </c>
      <c r="D748" s="106" t="s">
        <v>349</v>
      </c>
      <c r="E748">
        <v>6059</v>
      </c>
      <c r="F748" s="106" t="s">
        <v>2274</v>
      </c>
      <c r="G748" s="106" t="s">
        <v>350</v>
      </c>
      <c r="H748" s="106" t="s">
        <v>355</v>
      </c>
      <c r="I748">
        <v>119</v>
      </c>
    </row>
    <row r="749" spans="1:10" x14ac:dyDescent="0.2">
      <c r="A749" s="106" t="s">
        <v>708</v>
      </c>
      <c r="B749" s="106" t="s">
        <v>347</v>
      </c>
      <c r="C749" s="106" t="s">
        <v>348</v>
      </c>
      <c r="D749" s="106" t="s">
        <v>349</v>
      </c>
      <c r="E749">
        <v>6082</v>
      </c>
      <c r="F749" s="106" t="s">
        <v>739</v>
      </c>
      <c r="G749" s="106" t="s">
        <v>350</v>
      </c>
      <c r="H749" s="106" t="s">
        <v>355</v>
      </c>
      <c r="I749">
        <v>215</v>
      </c>
    </row>
    <row r="750" spans="1:10" x14ac:dyDescent="0.2">
      <c r="A750" s="106" t="s">
        <v>708</v>
      </c>
      <c r="B750" s="106" t="s">
        <v>347</v>
      </c>
      <c r="C750" s="106" t="s">
        <v>348</v>
      </c>
      <c r="D750" s="106" t="s">
        <v>349</v>
      </c>
      <c r="E750">
        <v>6408</v>
      </c>
      <c r="F750" s="106" t="s">
        <v>740</v>
      </c>
      <c r="G750" s="106" t="s">
        <v>354</v>
      </c>
      <c r="H750" s="106" t="s">
        <v>371</v>
      </c>
      <c r="I750">
        <v>50</v>
      </c>
    </row>
    <row r="751" spans="1:10" x14ac:dyDescent="0.2">
      <c r="A751" s="106" t="s">
        <v>708</v>
      </c>
      <c r="B751" s="106" t="s">
        <v>347</v>
      </c>
      <c r="C751" s="106" t="s">
        <v>348</v>
      </c>
      <c r="D751" s="106" t="s">
        <v>349</v>
      </c>
      <c r="E751">
        <v>6424</v>
      </c>
      <c r="F751" s="106" t="s">
        <v>741</v>
      </c>
      <c r="G751" s="106" t="s">
        <v>354</v>
      </c>
      <c r="H751" s="106" t="s">
        <v>371</v>
      </c>
      <c r="I751">
        <v>61</v>
      </c>
    </row>
    <row r="752" spans="1:10" x14ac:dyDescent="0.2">
      <c r="A752" s="106" t="s">
        <v>708</v>
      </c>
      <c r="B752" s="106" t="s">
        <v>347</v>
      </c>
      <c r="C752" s="106" t="s">
        <v>348</v>
      </c>
      <c r="D752" s="106" t="s">
        <v>349</v>
      </c>
      <c r="E752">
        <v>6517</v>
      </c>
      <c r="F752" s="106" t="s">
        <v>742</v>
      </c>
      <c r="G752" s="106" t="s">
        <v>350</v>
      </c>
      <c r="H752" s="106" t="s">
        <v>375</v>
      </c>
      <c r="I752">
        <v>476</v>
      </c>
    </row>
    <row r="753" spans="1:9" x14ac:dyDescent="0.2">
      <c r="A753" s="106" t="s">
        <v>708</v>
      </c>
      <c r="B753" s="106" t="s">
        <v>347</v>
      </c>
      <c r="C753" s="106" t="s">
        <v>359</v>
      </c>
      <c r="D753" s="106" t="s">
        <v>353</v>
      </c>
      <c r="E753">
        <v>6597</v>
      </c>
      <c r="F753" s="106" t="s">
        <v>744</v>
      </c>
      <c r="G753" s="106" t="s">
        <v>362</v>
      </c>
      <c r="H753" s="106" t="s">
        <v>375</v>
      </c>
      <c r="I753">
        <v>79</v>
      </c>
    </row>
    <row r="754" spans="1:9" x14ac:dyDescent="0.2">
      <c r="A754" s="106" t="s">
        <v>708</v>
      </c>
      <c r="B754" s="106" t="s">
        <v>347</v>
      </c>
      <c r="C754" s="106" t="s">
        <v>348</v>
      </c>
      <c r="D754" s="106" t="s">
        <v>349</v>
      </c>
      <c r="E754">
        <v>6706</v>
      </c>
      <c r="F754" s="106" t="s">
        <v>745</v>
      </c>
      <c r="G754" s="106" t="s">
        <v>350</v>
      </c>
      <c r="H754" s="106" t="s">
        <v>375</v>
      </c>
      <c r="I754">
        <v>486</v>
      </c>
    </row>
    <row r="755" spans="1:9" x14ac:dyDescent="0.2">
      <c r="A755" s="106" t="s">
        <v>708</v>
      </c>
      <c r="B755" s="106" t="s">
        <v>347</v>
      </c>
      <c r="C755" s="106" t="s">
        <v>348</v>
      </c>
      <c r="D755" s="106" t="s">
        <v>349</v>
      </c>
      <c r="E755">
        <v>6819</v>
      </c>
      <c r="F755" s="106" t="s">
        <v>746</v>
      </c>
      <c r="G755" s="106" t="s">
        <v>354</v>
      </c>
      <c r="H755" s="106" t="s">
        <v>355</v>
      </c>
      <c r="I755">
        <v>35</v>
      </c>
    </row>
    <row r="756" spans="1:9" x14ac:dyDescent="0.2">
      <c r="A756" s="106" t="s">
        <v>708</v>
      </c>
      <c r="B756" s="106" t="s">
        <v>347</v>
      </c>
      <c r="C756" s="106" t="s">
        <v>357</v>
      </c>
      <c r="D756" s="106" t="s">
        <v>349</v>
      </c>
      <c r="E756">
        <v>6870</v>
      </c>
      <c r="F756" s="106" t="s">
        <v>747</v>
      </c>
      <c r="G756" s="106" t="s">
        <v>358</v>
      </c>
      <c r="H756" s="106" t="s">
        <v>375</v>
      </c>
      <c r="I756">
        <v>90</v>
      </c>
    </row>
    <row r="757" spans="1:9" x14ac:dyDescent="0.2">
      <c r="A757" s="106" t="s">
        <v>708</v>
      </c>
      <c r="B757" s="106" t="s">
        <v>347</v>
      </c>
      <c r="C757" s="106" t="s">
        <v>348</v>
      </c>
      <c r="D757" s="106" t="s">
        <v>349</v>
      </c>
      <c r="E757">
        <v>7059</v>
      </c>
      <c r="F757" s="106" t="s">
        <v>939</v>
      </c>
      <c r="G757" s="106" t="s">
        <v>362</v>
      </c>
      <c r="H757" s="106" t="s">
        <v>355</v>
      </c>
      <c r="I757">
        <v>148</v>
      </c>
    </row>
    <row r="758" spans="1:9" x14ac:dyDescent="0.2">
      <c r="A758" s="106" t="s">
        <v>708</v>
      </c>
      <c r="B758" s="106" t="s">
        <v>347</v>
      </c>
      <c r="C758" s="106" t="s">
        <v>348</v>
      </c>
      <c r="D758" s="106" t="s">
        <v>349</v>
      </c>
      <c r="E758">
        <v>7060</v>
      </c>
      <c r="F758" s="106" t="s">
        <v>748</v>
      </c>
      <c r="G758" s="106" t="s">
        <v>362</v>
      </c>
      <c r="H758" s="106" t="s">
        <v>355</v>
      </c>
      <c r="I758">
        <v>164</v>
      </c>
    </row>
    <row r="759" spans="1:9" x14ac:dyDescent="0.2">
      <c r="A759" s="106" t="s">
        <v>708</v>
      </c>
      <c r="B759" s="106" t="s">
        <v>347</v>
      </c>
      <c r="C759" s="106" t="s">
        <v>359</v>
      </c>
      <c r="D759" s="106" t="s">
        <v>349</v>
      </c>
      <c r="E759">
        <v>7063</v>
      </c>
      <c r="F759" s="106" t="s">
        <v>749</v>
      </c>
      <c r="G759" s="106" t="s">
        <v>362</v>
      </c>
      <c r="H759" s="106" t="s">
        <v>355</v>
      </c>
      <c r="I759">
        <v>77</v>
      </c>
    </row>
    <row r="760" spans="1:9" x14ac:dyDescent="0.2">
      <c r="A760" s="106" t="s">
        <v>708</v>
      </c>
      <c r="B760" s="106" t="s">
        <v>347</v>
      </c>
      <c r="C760" s="106" t="s">
        <v>348</v>
      </c>
      <c r="D760" s="106" t="s">
        <v>349</v>
      </c>
      <c r="E760">
        <v>7067</v>
      </c>
      <c r="F760" s="106" t="s">
        <v>750</v>
      </c>
      <c r="G760" s="106" t="s">
        <v>362</v>
      </c>
      <c r="H760" s="106" t="s">
        <v>355</v>
      </c>
      <c r="I760">
        <v>32</v>
      </c>
    </row>
    <row r="761" spans="1:9" x14ac:dyDescent="0.2">
      <c r="A761" s="106" t="s">
        <v>708</v>
      </c>
      <c r="B761" s="106" t="s">
        <v>347</v>
      </c>
      <c r="C761" s="106" t="s">
        <v>352</v>
      </c>
      <c r="D761" s="106" t="s">
        <v>349</v>
      </c>
      <c r="E761">
        <v>7071</v>
      </c>
      <c r="F761" s="106" t="s">
        <v>2275</v>
      </c>
      <c r="G761" s="106" t="s">
        <v>354</v>
      </c>
      <c r="H761" s="106" t="s">
        <v>355</v>
      </c>
      <c r="I761">
        <v>712</v>
      </c>
    </row>
    <row r="762" spans="1:9" x14ac:dyDescent="0.2">
      <c r="A762" s="106" t="s">
        <v>708</v>
      </c>
      <c r="B762" s="106" t="s">
        <v>347</v>
      </c>
      <c r="C762" s="106" t="s">
        <v>352</v>
      </c>
      <c r="D762" s="106" t="s">
        <v>353</v>
      </c>
      <c r="E762">
        <v>7072</v>
      </c>
      <c r="F762" s="106" t="s">
        <v>751</v>
      </c>
      <c r="G762" s="106" t="s">
        <v>362</v>
      </c>
      <c r="H762" s="106" t="s">
        <v>355</v>
      </c>
      <c r="I762">
        <v>77</v>
      </c>
    </row>
    <row r="763" spans="1:9" x14ac:dyDescent="0.2">
      <c r="A763" s="106" t="s">
        <v>708</v>
      </c>
      <c r="B763" s="106" t="s">
        <v>347</v>
      </c>
      <c r="C763" s="106" t="s">
        <v>348</v>
      </c>
      <c r="D763" s="106" t="s">
        <v>349</v>
      </c>
      <c r="E763">
        <v>7239</v>
      </c>
      <c r="F763" s="106" t="s">
        <v>752</v>
      </c>
      <c r="G763" s="106" t="s">
        <v>350</v>
      </c>
      <c r="H763" s="106" t="s">
        <v>380</v>
      </c>
      <c r="I763">
        <v>529</v>
      </c>
    </row>
    <row r="764" spans="1:9" x14ac:dyDescent="0.2">
      <c r="A764" s="106" t="s">
        <v>708</v>
      </c>
      <c r="B764" s="106" t="s">
        <v>347</v>
      </c>
      <c r="C764" s="106" t="s">
        <v>348</v>
      </c>
      <c r="D764" s="106" t="s">
        <v>349</v>
      </c>
      <c r="E764">
        <v>7242</v>
      </c>
      <c r="F764" s="106" t="s">
        <v>753</v>
      </c>
      <c r="G764" s="106" t="s">
        <v>350</v>
      </c>
      <c r="H764" s="106" t="s">
        <v>380</v>
      </c>
      <c r="I764">
        <v>855</v>
      </c>
    </row>
    <row r="765" spans="1:9" x14ac:dyDescent="0.2">
      <c r="A765" s="106" t="s">
        <v>708</v>
      </c>
      <c r="B765" s="106" t="s">
        <v>347</v>
      </c>
      <c r="C765" s="106" t="s">
        <v>359</v>
      </c>
      <c r="D765" s="106" t="s">
        <v>349</v>
      </c>
      <c r="E765">
        <v>7325</v>
      </c>
      <c r="F765" s="106" t="s">
        <v>823</v>
      </c>
      <c r="G765" s="106" t="s">
        <v>362</v>
      </c>
      <c r="H765" s="106" t="s">
        <v>824</v>
      </c>
      <c r="I765">
        <v>109</v>
      </c>
    </row>
    <row r="766" spans="1:9" x14ac:dyDescent="0.2">
      <c r="A766" s="106" t="s">
        <v>708</v>
      </c>
      <c r="B766" s="106" t="s">
        <v>347</v>
      </c>
      <c r="C766" s="106" t="s">
        <v>348</v>
      </c>
      <c r="D766" s="106" t="s">
        <v>349</v>
      </c>
      <c r="E766">
        <v>7593</v>
      </c>
      <c r="F766" s="106" t="s">
        <v>940</v>
      </c>
      <c r="G766" s="106" t="s">
        <v>350</v>
      </c>
      <c r="H766" s="106" t="s">
        <v>360</v>
      </c>
      <c r="I766">
        <v>579</v>
      </c>
    </row>
    <row r="767" spans="1:9" x14ac:dyDescent="0.2">
      <c r="A767" s="106" t="s">
        <v>708</v>
      </c>
      <c r="B767" s="106" t="s">
        <v>347</v>
      </c>
      <c r="C767" s="106" t="s">
        <v>359</v>
      </c>
      <c r="D767" s="106" t="s">
        <v>353</v>
      </c>
      <c r="E767">
        <v>7674</v>
      </c>
      <c r="F767" s="106" t="s">
        <v>754</v>
      </c>
      <c r="G767" s="106" t="s">
        <v>362</v>
      </c>
      <c r="H767" s="106" t="s">
        <v>360</v>
      </c>
      <c r="I767">
        <v>78</v>
      </c>
    </row>
    <row r="768" spans="1:9" x14ac:dyDescent="0.2">
      <c r="A768" s="106" t="s">
        <v>708</v>
      </c>
      <c r="B768" s="106" t="s">
        <v>347</v>
      </c>
      <c r="C768" s="106" t="s">
        <v>352</v>
      </c>
      <c r="D768" s="106" t="s">
        <v>353</v>
      </c>
      <c r="E768">
        <v>7676</v>
      </c>
      <c r="F768" s="106" t="s">
        <v>755</v>
      </c>
      <c r="G768" s="106" t="s">
        <v>362</v>
      </c>
      <c r="H768" s="106" t="s">
        <v>360</v>
      </c>
      <c r="I768">
        <v>43</v>
      </c>
    </row>
    <row r="769" spans="1:10" x14ac:dyDescent="0.2">
      <c r="A769" s="106" t="s">
        <v>708</v>
      </c>
      <c r="B769" s="106" t="s">
        <v>347</v>
      </c>
      <c r="C769" s="106" t="s">
        <v>352</v>
      </c>
      <c r="D769" s="106" t="s">
        <v>349</v>
      </c>
      <c r="E769">
        <v>7681</v>
      </c>
      <c r="F769" s="106" t="s">
        <v>757</v>
      </c>
      <c r="G769" s="106" t="s">
        <v>358</v>
      </c>
      <c r="H769" s="106" t="s">
        <v>356</v>
      </c>
      <c r="I769">
        <v>58</v>
      </c>
    </row>
    <row r="770" spans="1:10" x14ac:dyDescent="0.2">
      <c r="A770" s="106" t="s">
        <v>708</v>
      </c>
      <c r="B770" s="106" t="s">
        <v>347</v>
      </c>
      <c r="C770" s="106" t="s">
        <v>357</v>
      </c>
      <c r="D770" s="106" t="s">
        <v>353</v>
      </c>
      <c r="E770">
        <v>7685</v>
      </c>
      <c r="F770" s="106" t="s">
        <v>2533</v>
      </c>
      <c r="G770" s="106" t="s">
        <v>362</v>
      </c>
      <c r="H770" s="106" t="s">
        <v>356</v>
      </c>
      <c r="I770">
        <v>208</v>
      </c>
    </row>
    <row r="771" spans="1:10" x14ac:dyDescent="0.2">
      <c r="A771" s="106" t="s">
        <v>708</v>
      </c>
      <c r="B771" s="106" t="s">
        <v>347</v>
      </c>
      <c r="C771" s="106" t="s">
        <v>348</v>
      </c>
      <c r="D771" s="106" t="s">
        <v>349</v>
      </c>
      <c r="E771">
        <v>7749</v>
      </c>
      <c r="F771" s="106" t="s">
        <v>758</v>
      </c>
      <c r="G771" s="106" t="s">
        <v>354</v>
      </c>
      <c r="H771" s="106" t="s">
        <v>461</v>
      </c>
      <c r="I771">
        <v>655</v>
      </c>
    </row>
    <row r="772" spans="1:10" x14ac:dyDescent="0.2">
      <c r="A772" s="106" t="s">
        <v>708</v>
      </c>
      <c r="B772" s="106" t="s">
        <v>347</v>
      </c>
      <c r="C772" s="106" t="s">
        <v>352</v>
      </c>
      <c r="D772" s="106" t="s">
        <v>353</v>
      </c>
      <c r="E772">
        <v>7800</v>
      </c>
      <c r="F772" s="106" t="s">
        <v>759</v>
      </c>
      <c r="G772" s="106" t="s">
        <v>354</v>
      </c>
      <c r="H772" s="106" t="s">
        <v>372</v>
      </c>
      <c r="I772">
        <v>32</v>
      </c>
    </row>
    <row r="773" spans="1:10" x14ac:dyDescent="0.2">
      <c r="A773" s="106" t="s">
        <v>708</v>
      </c>
      <c r="B773" s="106" t="s">
        <v>347</v>
      </c>
      <c r="C773" s="106" t="s">
        <v>348</v>
      </c>
      <c r="D773" s="106" t="s">
        <v>349</v>
      </c>
      <c r="E773">
        <v>8152</v>
      </c>
      <c r="F773" s="106" t="s">
        <v>760</v>
      </c>
      <c r="G773" s="106" t="s">
        <v>358</v>
      </c>
      <c r="H773" s="106" t="s">
        <v>356</v>
      </c>
      <c r="I773">
        <v>38</v>
      </c>
    </row>
    <row r="774" spans="1:10" x14ac:dyDescent="0.2">
      <c r="A774" s="106" t="s">
        <v>708</v>
      </c>
      <c r="B774" s="106" t="s">
        <v>347</v>
      </c>
      <c r="C774" s="106" t="s">
        <v>359</v>
      </c>
      <c r="D774" s="106" t="s">
        <v>349</v>
      </c>
      <c r="E774">
        <v>8928</v>
      </c>
      <c r="F774" s="106" t="s">
        <v>825</v>
      </c>
      <c r="G774" s="106" t="s">
        <v>350</v>
      </c>
      <c r="H774" s="106" t="s">
        <v>376</v>
      </c>
      <c r="I774">
        <v>205</v>
      </c>
    </row>
    <row r="775" spans="1:10" x14ac:dyDescent="0.2">
      <c r="A775" s="106" t="s">
        <v>708</v>
      </c>
      <c r="B775" s="106" t="s">
        <v>347</v>
      </c>
      <c r="C775" s="106" t="s">
        <v>357</v>
      </c>
      <c r="D775" s="106" t="s">
        <v>349</v>
      </c>
      <c r="E775">
        <v>9672</v>
      </c>
      <c r="F775" s="106" t="s">
        <v>761</v>
      </c>
      <c r="G775" s="106" t="s">
        <v>350</v>
      </c>
      <c r="H775" s="106" t="s">
        <v>355</v>
      </c>
      <c r="I775">
        <v>990</v>
      </c>
    </row>
    <row r="776" spans="1:10" x14ac:dyDescent="0.2">
      <c r="A776" s="106" t="s">
        <v>708</v>
      </c>
      <c r="B776" s="106" t="s">
        <v>347</v>
      </c>
      <c r="C776" s="106" t="s">
        <v>357</v>
      </c>
      <c r="D776" s="106" t="s">
        <v>349</v>
      </c>
      <c r="E776">
        <v>9755</v>
      </c>
      <c r="F776" s="106" t="s">
        <v>2276</v>
      </c>
      <c r="G776" s="106" t="s">
        <v>350</v>
      </c>
      <c r="H776" s="106" t="s">
        <v>355</v>
      </c>
      <c r="I776" s="106">
        <v>411</v>
      </c>
      <c r="J776" s="106"/>
    </row>
    <row r="777" spans="1:10" x14ac:dyDescent="0.2">
      <c r="A777" s="106" t="s">
        <v>941</v>
      </c>
      <c r="B777" s="106" t="s">
        <v>347</v>
      </c>
      <c r="C777" s="106" t="s">
        <v>348</v>
      </c>
      <c r="D777" s="106" t="s">
        <v>349</v>
      </c>
      <c r="E777">
        <v>2910</v>
      </c>
      <c r="F777" s="106" t="s">
        <v>368</v>
      </c>
      <c r="G777" s="106" t="s">
        <v>350</v>
      </c>
      <c r="H777" s="106" t="s">
        <v>351</v>
      </c>
      <c r="I777">
        <v>416</v>
      </c>
    </row>
    <row r="778" spans="1:10" x14ac:dyDescent="0.2">
      <c r="A778" s="106" t="s">
        <v>941</v>
      </c>
      <c r="B778" s="106" t="s">
        <v>347</v>
      </c>
      <c r="C778" s="106" t="s">
        <v>348</v>
      </c>
      <c r="D778" s="106" t="s">
        <v>349</v>
      </c>
      <c r="E778">
        <v>3770</v>
      </c>
      <c r="F778" s="106" t="s">
        <v>369</v>
      </c>
      <c r="G778" s="106" t="s">
        <v>350</v>
      </c>
      <c r="H778" s="106" t="s">
        <v>361</v>
      </c>
      <c r="I778">
        <v>56</v>
      </c>
    </row>
    <row r="779" spans="1:10" x14ac:dyDescent="0.2">
      <c r="A779" s="106" t="s">
        <v>941</v>
      </c>
      <c r="B779" s="106" t="s">
        <v>347</v>
      </c>
      <c r="C779" s="106" t="s">
        <v>352</v>
      </c>
      <c r="D779" s="106" t="s">
        <v>349</v>
      </c>
      <c r="E779">
        <v>4996</v>
      </c>
      <c r="F779" s="106" t="s">
        <v>404</v>
      </c>
      <c r="G779" s="106" t="s">
        <v>350</v>
      </c>
      <c r="H779" s="106" t="s">
        <v>363</v>
      </c>
      <c r="I779" t="s">
        <v>381</v>
      </c>
      <c r="J779" t="s">
        <v>2534</v>
      </c>
    </row>
    <row r="780" spans="1:10" x14ac:dyDescent="0.2">
      <c r="A780" s="106" t="s">
        <v>941</v>
      </c>
      <c r="B780" s="106" t="s">
        <v>347</v>
      </c>
      <c r="C780" s="106" t="s">
        <v>359</v>
      </c>
      <c r="D780" s="106" t="s">
        <v>349</v>
      </c>
      <c r="E780">
        <v>6040</v>
      </c>
      <c r="F780" s="106" t="s">
        <v>379</v>
      </c>
      <c r="G780" s="106" t="s">
        <v>362</v>
      </c>
      <c r="H780" s="106" t="s">
        <v>355</v>
      </c>
      <c r="I780">
        <v>135</v>
      </c>
    </row>
    <row r="781" spans="1:10" x14ac:dyDescent="0.2">
      <c r="A781" s="106" t="s">
        <v>941</v>
      </c>
      <c r="B781" s="106" t="s">
        <v>347</v>
      </c>
      <c r="C781" s="106" t="s">
        <v>357</v>
      </c>
      <c r="D781" s="106" t="s">
        <v>349</v>
      </c>
      <c r="E781">
        <v>6696</v>
      </c>
      <c r="F781" s="106" t="s">
        <v>390</v>
      </c>
      <c r="G781" s="106" t="s">
        <v>362</v>
      </c>
      <c r="H781" s="106" t="s">
        <v>375</v>
      </c>
      <c r="I781">
        <v>46</v>
      </c>
    </row>
    <row r="782" spans="1:10" x14ac:dyDescent="0.2">
      <c r="A782" s="106" t="s">
        <v>941</v>
      </c>
      <c r="B782" s="106" t="s">
        <v>347</v>
      </c>
      <c r="C782" s="106" t="s">
        <v>357</v>
      </c>
      <c r="D782" s="106" t="s">
        <v>349</v>
      </c>
      <c r="E782">
        <v>6757</v>
      </c>
      <c r="F782" s="106" t="s">
        <v>775</v>
      </c>
      <c r="G782" s="106" t="s">
        <v>354</v>
      </c>
      <c r="H782" s="106" t="s">
        <v>375</v>
      </c>
      <c r="I782" s="106">
        <v>101</v>
      </c>
      <c r="J782" s="106"/>
    </row>
    <row r="783" spans="1:10" x14ac:dyDescent="0.2">
      <c r="A783" s="106" t="s">
        <v>941</v>
      </c>
      <c r="B783" s="106" t="s">
        <v>347</v>
      </c>
      <c r="C783" s="106" t="s">
        <v>359</v>
      </c>
      <c r="D783" s="106" t="s">
        <v>353</v>
      </c>
      <c r="E783">
        <v>7682</v>
      </c>
      <c r="F783" s="106" t="s">
        <v>406</v>
      </c>
      <c r="G783" s="106" t="s">
        <v>354</v>
      </c>
      <c r="H783" s="106" t="s">
        <v>360</v>
      </c>
      <c r="I783">
        <v>25</v>
      </c>
    </row>
    <row r="784" spans="1:10" x14ac:dyDescent="0.2">
      <c r="A784" s="106" t="s">
        <v>762</v>
      </c>
      <c r="B784" s="106" t="s">
        <v>347</v>
      </c>
      <c r="C784" s="106" t="s">
        <v>357</v>
      </c>
      <c r="D784" s="106" t="s">
        <v>353</v>
      </c>
      <c r="E784">
        <v>2163</v>
      </c>
      <c r="F784" s="106" t="s">
        <v>382</v>
      </c>
      <c r="G784" s="106" t="s">
        <v>350</v>
      </c>
      <c r="H784" s="106" t="s">
        <v>355</v>
      </c>
      <c r="I784">
        <v>83</v>
      </c>
    </row>
    <row r="785" spans="1:10" x14ac:dyDescent="0.2">
      <c r="A785" s="106" t="s">
        <v>762</v>
      </c>
      <c r="B785" s="106" t="s">
        <v>347</v>
      </c>
      <c r="C785" s="106" t="s">
        <v>357</v>
      </c>
      <c r="D785" s="106" t="s">
        <v>353</v>
      </c>
      <c r="E785">
        <v>3282</v>
      </c>
      <c r="F785" s="106" t="s">
        <v>763</v>
      </c>
      <c r="G785" s="106" t="s">
        <v>387</v>
      </c>
      <c r="H785" s="106" t="s">
        <v>388</v>
      </c>
      <c r="I785" t="s">
        <v>373</v>
      </c>
      <c r="J785" t="s">
        <v>2535</v>
      </c>
    </row>
    <row r="786" spans="1:10" x14ac:dyDescent="0.2">
      <c r="A786" s="106" t="s">
        <v>762</v>
      </c>
      <c r="B786" s="106" t="s">
        <v>347</v>
      </c>
      <c r="C786" s="106" t="s">
        <v>357</v>
      </c>
      <c r="D786" s="106" t="s">
        <v>353</v>
      </c>
      <c r="E786">
        <v>3463</v>
      </c>
      <c r="F786" s="106" t="s">
        <v>764</v>
      </c>
      <c r="G786" s="106" t="s">
        <v>387</v>
      </c>
      <c r="H786" s="106" t="s">
        <v>388</v>
      </c>
      <c r="I786">
        <v>338</v>
      </c>
    </row>
    <row r="787" spans="1:10" x14ac:dyDescent="0.2">
      <c r="A787" s="106" t="s">
        <v>762</v>
      </c>
      <c r="B787" s="106" t="s">
        <v>347</v>
      </c>
      <c r="C787" s="106" t="s">
        <v>359</v>
      </c>
      <c r="D787" s="106" t="s">
        <v>353</v>
      </c>
      <c r="E787">
        <v>3497</v>
      </c>
      <c r="F787" s="106" t="s">
        <v>401</v>
      </c>
      <c r="G787" s="106" t="s">
        <v>362</v>
      </c>
      <c r="H787" s="106" t="s">
        <v>376</v>
      </c>
      <c r="I787">
        <v>35</v>
      </c>
    </row>
    <row r="788" spans="1:10" x14ac:dyDescent="0.2">
      <c r="A788" s="106" t="s">
        <v>762</v>
      </c>
      <c r="B788" s="106" t="s">
        <v>347</v>
      </c>
      <c r="C788" s="106" t="s">
        <v>357</v>
      </c>
      <c r="D788" s="106" t="s">
        <v>353</v>
      </c>
      <c r="E788">
        <v>4380</v>
      </c>
      <c r="F788" s="106" t="s">
        <v>396</v>
      </c>
      <c r="G788" s="106" t="s">
        <v>362</v>
      </c>
      <c r="H788" s="106" t="s">
        <v>361</v>
      </c>
      <c r="I788">
        <v>39</v>
      </c>
    </row>
    <row r="789" spans="1:10" x14ac:dyDescent="0.2">
      <c r="A789" s="106" t="s">
        <v>762</v>
      </c>
      <c r="B789" s="106" t="s">
        <v>347</v>
      </c>
      <c r="C789" s="106" t="s">
        <v>359</v>
      </c>
      <c r="D789" s="106" t="s">
        <v>349</v>
      </c>
      <c r="E789">
        <v>4422</v>
      </c>
      <c r="F789" s="106" t="s">
        <v>394</v>
      </c>
      <c r="G789" s="106" t="s">
        <v>362</v>
      </c>
      <c r="H789" s="106" t="s">
        <v>361</v>
      </c>
      <c r="I789">
        <v>50</v>
      </c>
    </row>
    <row r="790" spans="1:10" x14ac:dyDescent="0.2">
      <c r="A790" s="106" t="s">
        <v>762</v>
      </c>
      <c r="B790" s="106" t="s">
        <v>347</v>
      </c>
      <c r="C790" s="106" t="s">
        <v>352</v>
      </c>
      <c r="D790" s="106" t="s">
        <v>353</v>
      </c>
      <c r="E790">
        <v>4441</v>
      </c>
      <c r="F790" s="106" t="s">
        <v>389</v>
      </c>
      <c r="G790" s="106" t="s">
        <v>362</v>
      </c>
      <c r="H790" s="106" t="s">
        <v>361</v>
      </c>
      <c r="I790">
        <v>237</v>
      </c>
    </row>
    <row r="791" spans="1:10" x14ac:dyDescent="0.2">
      <c r="A791" s="106" t="s">
        <v>762</v>
      </c>
      <c r="B791" s="106" t="s">
        <v>347</v>
      </c>
      <c r="C791" s="106" t="s">
        <v>348</v>
      </c>
      <c r="D791" s="106" t="s">
        <v>349</v>
      </c>
      <c r="E791">
        <v>6065</v>
      </c>
      <c r="F791" s="106" t="s">
        <v>385</v>
      </c>
      <c r="G791" s="106" t="s">
        <v>350</v>
      </c>
      <c r="H791" s="106" t="s">
        <v>355</v>
      </c>
      <c r="I791">
        <v>86</v>
      </c>
    </row>
    <row r="792" spans="1:10" x14ac:dyDescent="0.2">
      <c r="A792" s="106" t="s">
        <v>762</v>
      </c>
      <c r="B792" s="106" t="s">
        <v>347</v>
      </c>
      <c r="C792" s="106" t="s">
        <v>348</v>
      </c>
      <c r="D792" s="106" t="s">
        <v>349</v>
      </c>
      <c r="E792">
        <v>6905</v>
      </c>
      <c r="F792" s="106" t="s">
        <v>776</v>
      </c>
      <c r="G792" s="106" t="s">
        <v>350</v>
      </c>
      <c r="H792" s="106" t="s">
        <v>375</v>
      </c>
      <c r="I792" s="106">
        <v>463</v>
      </c>
      <c r="J792" s="106"/>
    </row>
    <row r="793" spans="1:10" x14ac:dyDescent="0.2">
      <c r="A793" s="106" t="s">
        <v>762</v>
      </c>
      <c r="B793" s="106" t="s">
        <v>347</v>
      </c>
      <c r="C793" s="106" t="s">
        <v>357</v>
      </c>
      <c r="D793" s="106" t="s">
        <v>353</v>
      </c>
      <c r="E793">
        <v>7064</v>
      </c>
      <c r="F793" s="106" t="s">
        <v>393</v>
      </c>
      <c r="G793" s="106" t="s">
        <v>362</v>
      </c>
      <c r="H793" s="106" t="s">
        <v>355</v>
      </c>
      <c r="I793" s="106">
        <v>29</v>
      </c>
      <c r="J793" s="106"/>
    </row>
    <row r="794" spans="1:10" x14ac:dyDescent="0.2">
      <c r="A794" s="106" t="s">
        <v>762</v>
      </c>
      <c r="B794" s="106" t="s">
        <v>347</v>
      </c>
      <c r="C794" s="106" t="s">
        <v>357</v>
      </c>
      <c r="D794" s="106" t="s">
        <v>349</v>
      </c>
      <c r="E794">
        <v>7073</v>
      </c>
      <c r="F794" s="106" t="s">
        <v>405</v>
      </c>
      <c r="G794" s="106" t="s">
        <v>362</v>
      </c>
      <c r="H794" s="106" t="s">
        <v>355</v>
      </c>
      <c r="I794">
        <v>73</v>
      </c>
    </row>
    <row r="795" spans="1:10" x14ac:dyDescent="0.2">
      <c r="A795" s="106" t="s">
        <v>765</v>
      </c>
      <c r="B795" s="106" t="s">
        <v>347</v>
      </c>
      <c r="C795" s="106" t="s">
        <v>357</v>
      </c>
      <c r="D795" s="106" t="s">
        <v>353</v>
      </c>
      <c r="E795">
        <v>3281</v>
      </c>
      <c r="F795" s="106" t="s">
        <v>766</v>
      </c>
      <c r="G795" s="106" t="s">
        <v>387</v>
      </c>
      <c r="H795" s="106" t="s">
        <v>388</v>
      </c>
      <c r="I795" t="s">
        <v>367</v>
      </c>
      <c r="J795" t="s">
        <v>2198</v>
      </c>
    </row>
    <row r="796" spans="1:10" x14ac:dyDescent="0.2">
      <c r="A796" t="s">
        <v>765</v>
      </c>
      <c r="B796" t="s">
        <v>347</v>
      </c>
      <c r="C796" t="s">
        <v>357</v>
      </c>
      <c r="D796" t="s">
        <v>353</v>
      </c>
      <c r="E796">
        <v>3466</v>
      </c>
      <c r="F796" t="s">
        <v>767</v>
      </c>
      <c r="G796" t="s">
        <v>387</v>
      </c>
      <c r="H796" t="s">
        <v>388</v>
      </c>
      <c r="I796" t="s">
        <v>373</v>
      </c>
      <c r="J796" t="s">
        <v>2181</v>
      </c>
    </row>
    <row r="797" spans="1:10" x14ac:dyDescent="0.2">
      <c r="A797" t="s">
        <v>765</v>
      </c>
      <c r="B797" t="s">
        <v>347</v>
      </c>
      <c r="C797" t="s">
        <v>357</v>
      </c>
      <c r="D797" t="s">
        <v>353</v>
      </c>
      <c r="E797">
        <v>7077</v>
      </c>
      <c r="F797" t="s">
        <v>2278</v>
      </c>
      <c r="G797" t="s">
        <v>362</v>
      </c>
      <c r="H797" t="s">
        <v>355</v>
      </c>
      <c r="I797">
        <v>86</v>
      </c>
    </row>
    <row r="798" spans="1:10" x14ac:dyDescent="0.2">
      <c r="A798" t="s">
        <v>2536</v>
      </c>
      <c r="B798" t="s">
        <v>347</v>
      </c>
      <c r="C798" t="s">
        <v>357</v>
      </c>
      <c r="D798" t="s">
        <v>353</v>
      </c>
      <c r="E798">
        <v>8975</v>
      </c>
      <c r="F798" t="s">
        <v>2537</v>
      </c>
      <c r="G798" t="s">
        <v>387</v>
      </c>
      <c r="H798" t="s">
        <v>388</v>
      </c>
      <c r="I798" t="s">
        <v>381</v>
      </c>
      <c r="J798" t="s">
        <v>2538</v>
      </c>
    </row>
    <row r="799" spans="1:10" x14ac:dyDescent="0.2">
      <c r="A799" t="s">
        <v>768</v>
      </c>
      <c r="B799" t="s">
        <v>347</v>
      </c>
      <c r="C799" t="s">
        <v>359</v>
      </c>
      <c r="D799" t="s">
        <v>353</v>
      </c>
      <c r="E799">
        <v>8155</v>
      </c>
      <c r="F799" t="s">
        <v>772</v>
      </c>
      <c r="G799" t="s">
        <v>350</v>
      </c>
      <c r="H799" t="s">
        <v>365</v>
      </c>
      <c r="I799">
        <v>767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1043</v>
      </c>
      <c r="B1" s="106" t="s">
        <v>1044</v>
      </c>
      <c r="C1" s="190">
        <v>43818</v>
      </c>
      <c r="D1" s="190">
        <v>43817</v>
      </c>
      <c r="E1" s="190">
        <v>43816</v>
      </c>
      <c r="F1" s="190">
        <v>43815</v>
      </c>
      <c r="G1" s="190">
        <v>43812</v>
      </c>
    </row>
    <row r="2" spans="1:7" x14ac:dyDescent="0.2">
      <c r="A2" s="106">
        <v>1301</v>
      </c>
      <c r="B2" s="106" t="s">
        <v>1045</v>
      </c>
      <c r="C2" s="190">
        <v>0</v>
      </c>
      <c r="D2" s="190">
        <v>0</v>
      </c>
      <c r="E2" s="190">
        <v>0</v>
      </c>
      <c r="F2" s="190">
        <v>0</v>
      </c>
      <c r="G2" s="190">
        <v>0</v>
      </c>
    </row>
    <row r="3" spans="1:7" x14ac:dyDescent="0.2">
      <c r="A3">
        <v>1379</v>
      </c>
      <c r="B3" s="106" t="s">
        <v>1046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2539</v>
      </c>
      <c r="C4">
        <v>0</v>
      </c>
      <c r="D4" t="s">
        <v>233</v>
      </c>
      <c r="E4" t="s">
        <v>233</v>
      </c>
      <c r="F4" t="s">
        <v>233</v>
      </c>
      <c r="G4" t="s">
        <v>233</v>
      </c>
    </row>
    <row r="5" spans="1:7" x14ac:dyDescent="0.2">
      <c r="A5">
        <v>1419</v>
      </c>
      <c r="B5" s="106" t="s">
        <v>1047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 x14ac:dyDescent="0.2">
      <c r="A6">
        <v>1420</v>
      </c>
      <c r="B6" s="106" t="s">
        <v>1048</v>
      </c>
      <c r="C6">
        <v>0</v>
      </c>
      <c r="D6">
        <v>0.15</v>
      </c>
      <c r="E6">
        <v>0</v>
      </c>
      <c r="F6">
        <v>0.05</v>
      </c>
      <c r="G6">
        <v>0</v>
      </c>
    </row>
    <row r="7" spans="1:7" x14ac:dyDescent="0.2">
      <c r="A7">
        <v>1430</v>
      </c>
      <c r="B7" s="106" t="s">
        <v>1049</v>
      </c>
      <c r="C7">
        <v>0.05</v>
      </c>
      <c r="D7">
        <v>0</v>
      </c>
      <c r="E7">
        <v>0.05</v>
      </c>
      <c r="F7">
        <v>0</v>
      </c>
      <c r="G7">
        <v>0.05</v>
      </c>
    </row>
    <row r="8" spans="1:7" x14ac:dyDescent="0.2">
      <c r="A8">
        <v>1433</v>
      </c>
      <c r="B8" s="106" t="s">
        <v>1050</v>
      </c>
      <c r="C8">
        <v>0</v>
      </c>
      <c r="D8" s="106">
        <v>0</v>
      </c>
      <c r="E8">
        <v>0</v>
      </c>
      <c r="F8">
        <v>0</v>
      </c>
      <c r="G8" s="106">
        <v>0</v>
      </c>
    </row>
    <row r="9" spans="1:7" x14ac:dyDescent="0.2">
      <c r="A9">
        <v>1605</v>
      </c>
      <c r="B9" s="106" t="s">
        <v>1051</v>
      </c>
      <c r="C9">
        <v>0.05</v>
      </c>
      <c r="D9">
        <v>0.15</v>
      </c>
      <c r="E9">
        <v>0.05</v>
      </c>
      <c r="F9">
        <v>0.05</v>
      </c>
      <c r="G9">
        <v>0</v>
      </c>
    </row>
    <row r="10" spans="1:7" x14ac:dyDescent="0.2">
      <c r="A10">
        <v>1662</v>
      </c>
      <c r="B10" s="106" t="s">
        <v>1052</v>
      </c>
      <c r="C10">
        <v>0.1</v>
      </c>
      <c r="D10">
        <v>0.3</v>
      </c>
      <c r="E10">
        <v>0.1</v>
      </c>
      <c r="F10">
        <v>0.05</v>
      </c>
      <c r="G10">
        <v>0.05</v>
      </c>
    </row>
    <row r="11" spans="1:7" x14ac:dyDescent="0.2">
      <c r="A11">
        <v>1663</v>
      </c>
      <c r="B11" s="106" t="s">
        <v>1053</v>
      </c>
      <c r="C11">
        <v>0.05</v>
      </c>
      <c r="D11">
        <v>0.15</v>
      </c>
      <c r="E11">
        <v>0.05</v>
      </c>
      <c r="F11">
        <v>0.05</v>
      </c>
      <c r="G11">
        <v>0.05</v>
      </c>
    </row>
    <row r="12" spans="1:7" x14ac:dyDescent="0.2">
      <c r="A12">
        <v>1712</v>
      </c>
      <c r="B12" s="106" t="s">
        <v>2540</v>
      </c>
      <c r="C12">
        <v>0</v>
      </c>
      <c r="D12" t="s">
        <v>233</v>
      </c>
      <c r="E12" t="s">
        <v>233</v>
      </c>
      <c r="F12">
        <v>0</v>
      </c>
      <c r="G12" t="s">
        <v>233</v>
      </c>
    </row>
    <row r="13" spans="1:7" x14ac:dyDescent="0.2">
      <c r="A13">
        <v>1719</v>
      </c>
      <c r="B13" s="106" t="s">
        <v>1012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1722</v>
      </c>
      <c r="B14" s="106" t="s">
        <v>1054</v>
      </c>
      <c r="C14">
        <v>0.05</v>
      </c>
      <c r="D14">
        <v>0.15</v>
      </c>
      <c r="E14" s="106">
        <v>0.05</v>
      </c>
      <c r="F14">
        <v>0.05</v>
      </c>
      <c r="G14" s="106">
        <v>0.05</v>
      </c>
    </row>
    <row r="15" spans="1:7" x14ac:dyDescent="0.2">
      <c r="A15">
        <v>1766</v>
      </c>
      <c r="B15" s="106" t="s">
        <v>1055</v>
      </c>
      <c r="C15">
        <v>0.15</v>
      </c>
      <c r="D15">
        <v>0.45</v>
      </c>
      <c r="E15">
        <v>0.15</v>
      </c>
      <c r="F15">
        <v>0.15</v>
      </c>
      <c r="G15">
        <v>0.15</v>
      </c>
    </row>
    <row r="16" spans="1:7" x14ac:dyDescent="0.2">
      <c r="A16">
        <v>1768</v>
      </c>
      <c r="B16" s="106" t="s">
        <v>1056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1780</v>
      </c>
      <c r="B17" s="106" t="s">
        <v>1057</v>
      </c>
      <c r="C17">
        <v>0.05</v>
      </c>
      <c r="D17" s="106">
        <v>0.15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1803</v>
      </c>
      <c r="B18" s="106" t="s">
        <v>1013</v>
      </c>
      <c r="C18">
        <v>0</v>
      </c>
      <c r="D18">
        <v>0</v>
      </c>
      <c r="E18" s="106" t="s">
        <v>233</v>
      </c>
      <c r="F18" s="106" t="s">
        <v>233</v>
      </c>
      <c r="G18">
        <v>0</v>
      </c>
    </row>
    <row r="19" spans="1:7" x14ac:dyDescent="0.2">
      <c r="A19">
        <v>1808</v>
      </c>
      <c r="B19" s="106" t="s">
        <v>1058</v>
      </c>
      <c r="C19">
        <v>0.05</v>
      </c>
      <c r="D19" s="106">
        <v>0.15</v>
      </c>
      <c r="E19" s="106">
        <v>0.05</v>
      </c>
      <c r="F19">
        <v>0.05</v>
      </c>
      <c r="G19">
        <v>0.05</v>
      </c>
    </row>
    <row r="20" spans="1:7" x14ac:dyDescent="0.2">
      <c r="A20">
        <v>1810</v>
      </c>
      <c r="B20" s="106" t="s">
        <v>1059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121</v>
      </c>
      <c r="C21">
        <v>0</v>
      </c>
      <c r="D21" s="106" t="s">
        <v>233</v>
      </c>
      <c r="E21" s="106" t="s">
        <v>233</v>
      </c>
      <c r="F21" s="106" t="s">
        <v>233</v>
      </c>
      <c r="G21" s="106" t="s">
        <v>233</v>
      </c>
    </row>
    <row r="22" spans="1:7" x14ac:dyDescent="0.2">
      <c r="A22">
        <v>1826</v>
      </c>
      <c r="B22" s="106" t="s">
        <v>1060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1848</v>
      </c>
      <c r="B23" s="106" t="s">
        <v>1061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1860</v>
      </c>
      <c r="B24" s="106" t="s">
        <v>111</v>
      </c>
      <c r="C24">
        <v>0.05</v>
      </c>
      <c r="D24">
        <v>0</v>
      </c>
      <c r="E24">
        <v>0.05</v>
      </c>
      <c r="F24" s="106">
        <v>0</v>
      </c>
      <c r="G24" s="106">
        <v>0</v>
      </c>
    </row>
    <row r="25" spans="1:7" x14ac:dyDescent="0.2">
      <c r="A25">
        <v>1867</v>
      </c>
      <c r="B25" s="106" t="s">
        <v>2541</v>
      </c>
      <c r="C25">
        <v>0.05</v>
      </c>
      <c r="D25" t="s">
        <v>233</v>
      </c>
      <c r="E25" s="106">
        <v>0.05</v>
      </c>
      <c r="F25" s="106" t="s">
        <v>233</v>
      </c>
      <c r="G25" s="106">
        <v>0.05</v>
      </c>
    </row>
    <row r="26" spans="1:7" x14ac:dyDescent="0.2">
      <c r="A26">
        <v>1870</v>
      </c>
      <c r="B26" s="106" t="s">
        <v>1062</v>
      </c>
      <c r="C26">
        <v>0</v>
      </c>
      <c r="D26" s="106">
        <v>0</v>
      </c>
      <c r="E26" s="106" t="s">
        <v>233</v>
      </c>
      <c r="F26" s="106" t="s">
        <v>233</v>
      </c>
      <c r="G26" s="106">
        <v>0</v>
      </c>
    </row>
    <row r="27" spans="1:7" x14ac:dyDescent="0.2">
      <c r="A27">
        <v>1878</v>
      </c>
      <c r="B27" s="106" t="s">
        <v>1063</v>
      </c>
      <c r="C27">
        <v>0.25</v>
      </c>
      <c r="D27" s="106">
        <v>0.75</v>
      </c>
      <c r="E27">
        <v>0.25</v>
      </c>
      <c r="F27" s="106">
        <v>0.25</v>
      </c>
      <c r="G27">
        <v>0.25</v>
      </c>
    </row>
    <row r="28" spans="1:7" x14ac:dyDescent="0.2">
      <c r="A28">
        <v>1881</v>
      </c>
      <c r="B28" s="106" t="s">
        <v>1064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1883</v>
      </c>
      <c r="B29" s="106" t="s">
        <v>1065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1884</v>
      </c>
      <c r="B30" s="106" t="s">
        <v>1066</v>
      </c>
      <c r="C30">
        <v>0.15</v>
      </c>
      <c r="D30">
        <v>0.45</v>
      </c>
      <c r="E30">
        <v>0.15</v>
      </c>
      <c r="F30">
        <v>0.15</v>
      </c>
      <c r="G30">
        <v>0.15</v>
      </c>
    </row>
    <row r="31" spans="1:7" x14ac:dyDescent="0.2">
      <c r="A31">
        <v>1921</v>
      </c>
      <c r="B31" s="106" t="s">
        <v>1067</v>
      </c>
      <c r="C31">
        <v>0</v>
      </c>
      <c r="D31">
        <v>0</v>
      </c>
      <c r="E31" s="106">
        <v>0</v>
      </c>
      <c r="F31" t="s">
        <v>233</v>
      </c>
      <c r="G31" s="106" t="s">
        <v>233</v>
      </c>
    </row>
    <row r="32" spans="1:7" x14ac:dyDescent="0.2">
      <c r="A32">
        <v>1928</v>
      </c>
      <c r="B32" s="106" t="s">
        <v>299</v>
      </c>
      <c r="C32">
        <v>0.05</v>
      </c>
      <c r="D32">
        <v>0.15</v>
      </c>
      <c r="E32">
        <v>0.05</v>
      </c>
      <c r="F32">
        <v>0.05</v>
      </c>
      <c r="G32" s="106">
        <v>0.05</v>
      </c>
    </row>
    <row r="33" spans="1:7" x14ac:dyDescent="0.2">
      <c r="A33">
        <v>1929</v>
      </c>
      <c r="B33" s="106" t="s">
        <v>2542</v>
      </c>
      <c r="C33">
        <v>0</v>
      </c>
      <c r="D33" s="106" t="s">
        <v>233</v>
      </c>
      <c r="E33" s="106">
        <v>0</v>
      </c>
      <c r="F33" s="106">
        <v>0</v>
      </c>
      <c r="G33" t="s">
        <v>233</v>
      </c>
    </row>
    <row r="34" spans="1:7" x14ac:dyDescent="0.2">
      <c r="A34">
        <v>1930</v>
      </c>
      <c r="B34" s="106" t="s">
        <v>1068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1934</v>
      </c>
      <c r="B35" s="106" t="s">
        <v>2279</v>
      </c>
      <c r="C35">
        <v>0</v>
      </c>
      <c r="D35" s="106">
        <v>0</v>
      </c>
      <c r="E35" t="s">
        <v>233</v>
      </c>
      <c r="F35" s="106">
        <v>0</v>
      </c>
      <c r="G35" s="106">
        <v>0</v>
      </c>
    </row>
    <row r="36" spans="1:7" x14ac:dyDescent="0.2">
      <c r="A36">
        <v>1939</v>
      </c>
      <c r="B36" s="106" t="s">
        <v>1069</v>
      </c>
      <c r="C36">
        <v>0</v>
      </c>
      <c r="D36" s="106">
        <v>0</v>
      </c>
      <c r="E36">
        <v>0</v>
      </c>
      <c r="F36" s="106">
        <v>0</v>
      </c>
      <c r="G36" s="106" t="s">
        <v>233</v>
      </c>
    </row>
    <row r="37" spans="1:7" x14ac:dyDescent="0.2">
      <c r="A37">
        <v>1944</v>
      </c>
      <c r="B37" s="106" t="s">
        <v>2543</v>
      </c>
      <c r="C37">
        <v>0</v>
      </c>
      <c r="D37" s="106" t="s">
        <v>233</v>
      </c>
      <c r="E37" s="106">
        <v>0</v>
      </c>
      <c r="F37" s="106" t="s">
        <v>233</v>
      </c>
      <c r="G37">
        <v>0</v>
      </c>
    </row>
    <row r="38" spans="1:7" x14ac:dyDescent="0.2">
      <c r="A38">
        <v>1949</v>
      </c>
      <c r="B38" s="106" t="s">
        <v>1070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1952</v>
      </c>
      <c r="B39" s="106" t="s">
        <v>1071</v>
      </c>
      <c r="C39">
        <v>0.05</v>
      </c>
      <c r="D39">
        <v>0.15</v>
      </c>
      <c r="E39" s="106">
        <v>0.05</v>
      </c>
      <c r="F39">
        <v>0.05</v>
      </c>
      <c r="G39">
        <v>0.05</v>
      </c>
    </row>
    <row r="40" spans="1:7" x14ac:dyDescent="0.2">
      <c r="A40">
        <v>1954</v>
      </c>
      <c r="B40" s="106" t="s">
        <v>1072</v>
      </c>
      <c r="C40">
        <v>0.1</v>
      </c>
      <c r="D40">
        <v>0.3</v>
      </c>
      <c r="E40">
        <v>0.1</v>
      </c>
      <c r="F40">
        <v>0.1</v>
      </c>
      <c r="G40">
        <v>0.1</v>
      </c>
    </row>
    <row r="41" spans="1:7" x14ac:dyDescent="0.2">
      <c r="A41">
        <v>1961</v>
      </c>
      <c r="B41" s="106" t="s">
        <v>1073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1964</v>
      </c>
      <c r="B42" s="106" t="s">
        <v>1074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1969</v>
      </c>
      <c r="B43" s="106" t="s">
        <v>1075</v>
      </c>
      <c r="C43">
        <v>0</v>
      </c>
      <c r="D43">
        <v>0</v>
      </c>
      <c r="E43">
        <v>0.05</v>
      </c>
      <c r="F43">
        <v>0</v>
      </c>
      <c r="G43">
        <v>0.05</v>
      </c>
    </row>
    <row r="44" spans="1:7" x14ac:dyDescent="0.2">
      <c r="A44">
        <v>1973</v>
      </c>
      <c r="B44" s="106" t="s">
        <v>307</v>
      </c>
      <c r="C44">
        <v>0</v>
      </c>
      <c r="D44" t="s">
        <v>233</v>
      </c>
      <c r="E44" t="s">
        <v>233</v>
      </c>
      <c r="F44" t="s">
        <v>233</v>
      </c>
      <c r="G44">
        <v>0</v>
      </c>
    </row>
    <row r="45" spans="1:7" x14ac:dyDescent="0.2">
      <c r="A45">
        <v>1976</v>
      </c>
      <c r="B45" s="106" t="s">
        <v>1076</v>
      </c>
      <c r="C45">
        <v>0.05</v>
      </c>
      <c r="D45">
        <v>0.15</v>
      </c>
      <c r="E45">
        <v>0.05</v>
      </c>
      <c r="F45">
        <v>0.05</v>
      </c>
      <c r="G45">
        <v>0.05</v>
      </c>
    </row>
    <row r="46" spans="1:7" x14ac:dyDescent="0.2">
      <c r="A46">
        <v>1979</v>
      </c>
      <c r="B46" s="106" t="s">
        <v>1077</v>
      </c>
      <c r="C46">
        <v>0.1</v>
      </c>
      <c r="D46">
        <v>0.3</v>
      </c>
      <c r="E46" s="106">
        <v>0</v>
      </c>
      <c r="F46" s="106" t="s">
        <v>233</v>
      </c>
      <c r="G46" t="s">
        <v>233</v>
      </c>
    </row>
    <row r="47" spans="1:7" x14ac:dyDescent="0.2">
      <c r="A47">
        <v>1980</v>
      </c>
      <c r="B47" s="106" t="s">
        <v>1078</v>
      </c>
      <c r="C47">
        <v>0.05</v>
      </c>
      <c r="D47">
        <v>0.15</v>
      </c>
      <c r="E47" s="106">
        <v>0.05</v>
      </c>
      <c r="F47">
        <v>0.05</v>
      </c>
      <c r="G47">
        <v>0.05</v>
      </c>
    </row>
    <row r="48" spans="1:7" x14ac:dyDescent="0.2">
      <c r="A48">
        <v>1983</v>
      </c>
      <c r="B48" s="106" t="s">
        <v>1079</v>
      </c>
      <c r="C48">
        <v>0.05</v>
      </c>
      <c r="D48" s="106">
        <v>0.15</v>
      </c>
      <c r="E48" s="106" t="s">
        <v>233</v>
      </c>
      <c r="F48" s="106">
        <v>0.05</v>
      </c>
      <c r="G48" t="s">
        <v>233</v>
      </c>
    </row>
    <row r="49" spans="1:7" x14ac:dyDescent="0.2">
      <c r="A49">
        <v>2004</v>
      </c>
      <c r="B49" s="106" t="s">
        <v>1080</v>
      </c>
      <c r="C49">
        <v>0.05</v>
      </c>
      <c r="D49">
        <v>0.15</v>
      </c>
      <c r="E49">
        <v>0.05</v>
      </c>
      <c r="F49">
        <v>0.05</v>
      </c>
      <c r="G49">
        <v>0.05</v>
      </c>
    </row>
    <row r="50" spans="1:7" x14ac:dyDescent="0.2">
      <c r="A50">
        <v>2127</v>
      </c>
      <c r="B50" s="106" t="s">
        <v>1026</v>
      </c>
      <c r="C50">
        <v>0</v>
      </c>
      <c r="D50" s="106" t="s">
        <v>233</v>
      </c>
      <c r="E50" s="106">
        <v>0</v>
      </c>
      <c r="F50" s="106" t="s">
        <v>233</v>
      </c>
      <c r="G50" s="106">
        <v>0</v>
      </c>
    </row>
    <row r="51" spans="1:7" x14ac:dyDescent="0.2">
      <c r="A51">
        <v>2130</v>
      </c>
      <c r="B51" s="106" t="s">
        <v>1081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2139</v>
      </c>
      <c r="B52" s="106" t="s">
        <v>1082</v>
      </c>
      <c r="C52">
        <v>0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2146</v>
      </c>
      <c r="B53" s="106" t="s">
        <v>1083</v>
      </c>
      <c r="C53">
        <v>0</v>
      </c>
      <c r="D53" s="106">
        <v>0</v>
      </c>
      <c r="E53" s="106">
        <v>0</v>
      </c>
      <c r="F53" s="106">
        <v>0.05</v>
      </c>
      <c r="G53" s="106">
        <v>0.05</v>
      </c>
    </row>
    <row r="54" spans="1:7" x14ac:dyDescent="0.2">
      <c r="A54">
        <v>2169</v>
      </c>
      <c r="B54" s="106" t="s">
        <v>2280</v>
      </c>
      <c r="C54">
        <v>0</v>
      </c>
      <c r="D54">
        <v>0</v>
      </c>
      <c r="E54" t="s">
        <v>233</v>
      </c>
      <c r="F54" t="s">
        <v>233</v>
      </c>
      <c r="G54" t="s">
        <v>233</v>
      </c>
    </row>
    <row r="55" spans="1:7" x14ac:dyDescent="0.2">
      <c r="A55">
        <v>2170</v>
      </c>
      <c r="B55" s="106" t="s">
        <v>1084</v>
      </c>
      <c r="C55">
        <v>0.05</v>
      </c>
      <c r="D55">
        <v>0</v>
      </c>
      <c r="E55">
        <v>0.05</v>
      </c>
      <c r="F55">
        <v>0.05</v>
      </c>
      <c r="G55">
        <v>0.05</v>
      </c>
    </row>
    <row r="56" spans="1:7" x14ac:dyDescent="0.2">
      <c r="A56">
        <v>2175</v>
      </c>
      <c r="B56" s="106" t="s">
        <v>323</v>
      </c>
      <c r="C56">
        <v>0.05</v>
      </c>
      <c r="D56" s="106">
        <v>0.15</v>
      </c>
      <c r="E56" s="106">
        <v>0.1</v>
      </c>
      <c r="F56" s="106">
        <v>0.1</v>
      </c>
      <c r="G56">
        <v>0.05</v>
      </c>
    </row>
    <row r="57" spans="1:7" x14ac:dyDescent="0.2">
      <c r="A57">
        <v>2181</v>
      </c>
      <c r="B57" s="106" t="s">
        <v>1085</v>
      </c>
      <c r="C57">
        <v>0</v>
      </c>
      <c r="D57">
        <v>0</v>
      </c>
      <c r="E57" t="s">
        <v>233</v>
      </c>
      <c r="F57" s="106" t="s">
        <v>233</v>
      </c>
      <c r="G57" t="s">
        <v>233</v>
      </c>
    </row>
    <row r="58" spans="1:7" x14ac:dyDescent="0.2">
      <c r="A58">
        <v>2193</v>
      </c>
      <c r="B58" s="106" t="s">
        <v>1086</v>
      </c>
      <c r="C58">
        <v>0</v>
      </c>
      <c r="D58">
        <v>0</v>
      </c>
      <c r="E58">
        <v>0.05</v>
      </c>
      <c r="F58" s="106">
        <v>0</v>
      </c>
      <c r="G58">
        <v>0</v>
      </c>
    </row>
    <row r="59" spans="1:7" x14ac:dyDescent="0.2">
      <c r="A59">
        <v>2198</v>
      </c>
      <c r="B59" s="106" t="s">
        <v>1087</v>
      </c>
      <c r="C59">
        <v>0</v>
      </c>
      <c r="D59">
        <v>0</v>
      </c>
      <c r="E59">
        <v>0</v>
      </c>
      <c r="F59">
        <v>0</v>
      </c>
      <c r="G59">
        <v>0.05</v>
      </c>
    </row>
    <row r="60" spans="1:7" x14ac:dyDescent="0.2">
      <c r="A60">
        <v>2201</v>
      </c>
      <c r="B60" s="106" t="s">
        <v>1088</v>
      </c>
      <c r="C60">
        <v>0.1</v>
      </c>
      <c r="D60">
        <v>0.3</v>
      </c>
      <c r="E60">
        <v>0.1</v>
      </c>
      <c r="F60" s="106">
        <v>0.1</v>
      </c>
      <c r="G60" s="106">
        <v>0.1</v>
      </c>
    </row>
    <row r="61" spans="1:7" x14ac:dyDescent="0.2">
      <c r="A61">
        <v>2204</v>
      </c>
      <c r="B61" s="106" t="s">
        <v>1089</v>
      </c>
      <c r="C61">
        <v>0.1</v>
      </c>
      <c r="D61">
        <v>0.3</v>
      </c>
      <c r="E61">
        <v>0.1</v>
      </c>
      <c r="F61" s="106">
        <v>0.1</v>
      </c>
      <c r="G61" s="106">
        <v>0.1</v>
      </c>
    </row>
    <row r="62" spans="1:7" x14ac:dyDescent="0.2">
      <c r="A62">
        <v>2206</v>
      </c>
      <c r="B62" s="106" t="s">
        <v>1090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2212</v>
      </c>
      <c r="B63" s="106" t="s">
        <v>1091</v>
      </c>
      <c r="C63">
        <v>0.05</v>
      </c>
      <c r="D63">
        <v>0.15</v>
      </c>
      <c r="E63">
        <v>0.05</v>
      </c>
      <c r="F63">
        <v>0.05</v>
      </c>
      <c r="G63">
        <v>0.05</v>
      </c>
    </row>
    <row r="64" spans="1:7" x14ac:dyDescent="0.2">
      <c r="A64">
        <v>2215</v>
      </c>
      <c r="B64" s="106" t="s">
        <v>1092</v>
      </c>
      <c r="C64">
        <v>0.05</v>
      </c>
      <c r="D64">
        <v>0.15</v>
      </c>
      <c r="E64">
        <v>0.05</v>
      </c>
      <c r="F64">
        <v>0.05</v>
      </c>
      <c r="G64">
        <v>0.05</v>
      </c>
    </row>
    <row r="65" spans="1:7" x14ac:dyDescent="0.2">
      <c r="A65">
        <v>2217</v>
      </c>
      <c r="B65" s="106" t="s">
        <v>1093</v>
      </c>
      <c r="C65">
        <v>0.1</v>
      </c>
      <c r="D65">
        <v>0.3</v>
      </c>
      <c r="E65">
        <v>0.1</v>
      </c>
      <c r="F65">
        <v>0.1</v>
      </c>
      <c r="G65">
        <v>0.1</v>
      </c>
    </row>
    <row r="66" spans="1:7" x14ac:dyDescent="0.2">
      <c r="A66">
        <v>2222</v>
      </c>
      <c r="B66" s="106" t="s">
        <v>1094</v>
      </c>
      <c r="C66">
        <v>0.15</v>
      </c>
      <c r="D66" s="106">
        <v>0.45</v>
      </c>
      <c r="E66">
        <v>0.15</v>
      </c>
      <c r="F66" s="106">
        <v>0.15</v>
      </c>
      <c r="G66">
        <v>0.15</v>
      </c>
    </row>
    <row r="67" spans="1:7" x14ac:dyDescent="0.2">
      <c r="A67">
        <v>2229</v>
      </c>
      <c r="B67" s="106" t="s">
        <v>1095</v>
      </c>
      <c r="C67">
        <v>0.1</v>
      </c>
      <c r="D67" s="106">
        <v>0.3</v>
      </c>
      <c r="E67">
        <v>0.1</v>
      </c>
      <c r="F67" s="106">
        <v>0.1</v>
      </c>
      <c r="G67">
        <v>0.1</v>
      </c>
    </row>
    <row r="68" spans="1:7" x14ac:dyDescent="0.2">
      <c r="A68">
        <v>2266</v>
      </c>
      <c r="B68" s="106" t="s">
        <v>1096</v>
      </c>
      <c r="C68">
        <v>0.05</v>
      </c>
      <c r="D68">
        <v>0.15</v>
      </c>
      <c r="E68">
        <v>0.05</v>
      </c>
      <c r="F68">
        <v>0.05</v>
      </c>
      <c r="G68">
        <v>0.05</v>
      </c>
    </row>
    <row r="69" spans="1:7" x14ac:dyDescent="0.2">
      <c r="A69">
        <v>2281</v>
      </c>
      <c r="B69" s="106" t="s">
        <v>2544</v>
      </c>
      <c r="C69">
        <v>0.05</v>
      </c>
      <c r="D69" t="s">
        <v>233</v>
      </c>
      <c r="E69" t="s">
        <v>233</v>
      </c>
      <c r="F69">
        <v>0.05</v>
      </c>
      <c r="G69" t="s">
        <v>233</v>
      </c>
    </row>
    <row r="70" spans="1:7" x14ac:dyDescent="0.2">
      <c r="A70">
        <v>2282</v>
      </c>
      <c r="B70" s="106" t="s">
        <v>1097</v>
      </c>
      <c r="C70">
        <v>0.1</v>
      </c>
      <c r="D70">
        <v>0.3</v>
      </c>
      <c r="E70">
        <v>0.1</v>
      </c>
      <c r="F70" s="106">
        <v>0.1</v>
      </c>
      <c r="G70" s="106">
        <v>0.1</v>
      </c>
    </row>
    <row r="71" spans="1:7" x14ac:dyDescent="0.2">
      <c r="A71">
        <v>2294</v>
      </c>
      <c r="B71" s="106" t="s">
        <v>1098</v>
      </c>
      <c r="C71">
        <v>0.05</v>
      </c>
      <c r="D71" s="106">
        <v>0.15</v>
      </c>
      <c r="E71">
        <v>0.05</v>
      </c>
      <c r="F71" s="106">
        <v>0.05</v>
      </c>
      <c r="G71" s="106" t="s">
        <v>233</v>
      </c>
    </row>
    <row r="72" spans="1:7" x14ac:dyDescent="0.2">
      <c r="A72">
        <v>2296</v>
      </c>
      <c r="B72" s="106" t="s">
        <v>1099</v>
      </c>
      <c r="C72">
        <v>0</v>
      </c>
      <c r="D72">
        <v>0</v>
      </c>
      <c r="E72">
        <v>0</v>
      </c>
      <c r="F72" s="106" t="s">
        <v>233</v>
      </c>
      <c r="G72" t="s">
        <v>233</v>
      </c>
    </row>
    <row r="73" spans="1:7" x14ac:dyDescent="0.2">
      <c r="A73">
        <v>2301</v>
      </c>
      <c r="B73" s="106" t="s">
        <v>1100</v>
      </c>
      <c r="C73">
        <v>0.05</v>
      </c>
      <c r="D73">
        <v>0.15</v>
      </c>
      <c r="E73" s="106">
        <v>0.05</v>
      </c>
      <c r="F73" s="106">
        <v>0.05</v>
      </c>
      <c r="G73">
        <v>0.05</v>
      </c>
    </row>
    <row r="74" spans="1:7" x14ac:dyDescent="0.2">
      <c r="A74">
        <v>2305</v>
      </c>
      <c r="B74" s="106" t="s">
        <v>1101</v>
      </c>
      <c r="C74">
        <v>0.05</v>
      </c>
      <c r="D74" s="106">
        <v>0.15</v>
      </c>
      <c r="E74" s="106">
        <v>0.05</v>
      </c>
      <c r="F74" s="106">
        <v>0.05</v>
      </c>
      <c r="G74">
        <v>0.05</v>
      </c>
    </row>
    <row r="75" spans="1:7" x14ac:dyDescent="0.2">
      <c r="A75">
        <v>2337</v>
      </c>
      <c r="B75" s="106" t="s">
        <v>1102</v>
      </c>
      <c r="C75">
        <v>0.05</v>
      </c>
      <c r="D75" s="106">
        <v>0.15</v>
      </c>
      <c r="E75" s="106">
        <v>0.05</v>
      </c>
      <c r="F75" s="106">
        <v>0.05</v>
      </c>
      <c r="G75">
        <v>0.05</v>
      </c>
    </row>
    <row r="76" spans="1:7" x14ac:dyDescent="0.2">
      <c r="A76">
        <v>2371</v>
      </c>
      <c r="B76" s="106" t="s">
        <v>1103</v>
      </c>
      <c r="C76">
        <v>0.05</v>
      </c>
      <c r="D76" s="106">
        <v>0.15</v>
      </c>
      <c r="E76" s="106">
        <v>0.05</v>
      </c>
      <c r="F76" s="106">
        <v>0</v>
      </c>
      <c r="G76" s="106">
        <v>0</v>
      </c>
    </row>
    <row r="77" spans="1:7" x14ac:dyDescent="0.2">
      <c r="A77">
        <v>2372</v>
      </c>
      <c r="B77" s="106" t="s">
        <v>2545</v>
      </c>
      <c r="C77">
        <v>0</v>
      </c>
      <c r="D77" s="106" t="s">
        <v>233</v>
      </c>
      <c r="E77">
        <v>0</v>
      </c>
      <c r="F77" s="106" t="s">
        <v>233</v>
      </c>
      <c r="G77" t="s">
        <v>233</v>
      </c>
    </row>
    <row r="78" spans="1:7" x14ac:dyDescent="0.2">
      <c r="A78">
        <v>2379</v>
      </c>
      <c r="B78" s="106" t="s">
        <v>840</v>
      </c>
      <c r="C78">
        <v>0.1</v>
      </c>
      <c r="D78" s="106">
        <v>0.3</v>
      </c>
      <c r="E78">
        <v>0.1</v>
      </c>
      <c r="F78" s="106">
        <v>0.1</v>
      </c>
      <c r="G78">
        <v>0.1</v>
      </c>
    </row>
    <row r="79" spans="1:7" x14ac:dyDescent="0.2">
      <c r="A79">
        <v>2384</v>
      </c>
      <c r="B79" s="106" t="s">
        <v>1104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2398</v>
      </c>
      <c r="B80" s="106" t="s">
        <v>2281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2413</v>
      </c>
      <c r="B81" s="106" t="s">
        <v>977</v>
      </c>
      <c r="C81">
        <v>0.1</v>
      </c>
      <c r="D81">
        <v>0.3</v>
      </c>
      <c r="E81">
        <v>0.1</v>
      </c>
      <c r="F81">
        <v>0.05</v>
      </c>
      <c r="G81">
        <v>0.05</v>
      </c>
    </row>
    <row r="82" spans="1:7" x14ac:dyDescent="0.2">
      <c r="A82">
        <v>2427</v>
      </c>
      <c r="B82" s="106" t="s">
        <v>2282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2428</v>
      </c>
      <c r="B83" s="106" t="s">
        <v>1105</v>
      </c>
      <c r="C83">
        <v>0.05</v>
      </c>
      <c r="D83" s="106">
        <v>0</v>
      </c>
      <c r="E83" s="106">
        <v>0.05</v>
      </c>
      <c r="F83" s="106">
        <v>0.05</v>
      </c>
      <c r="G83" s="106">
        <v>0.05</v>
      </c>
    </row>
    <row r="84" spans="1:7" x14ac:dyDescent="0.2">
      <c r="A84">
        <v>2433</v>
      </c>
      <c r="B84" s="106" t="s">
        <v>1106</v>
      </c>
      <c r="C84">
        <v>0.05</v>
      </c>
      <c r="D84" s="106">
        <v>0.15</v>
      </c>
      <c r="E84">
        <v>0.05</v>
      </c>
      <c r="F84" s="106">
        <v>0.05</v>
      </c>
      <c r="G84">
        <v>0.05</v>
      </c>
    </row>
    <row r="85" spans="1:7" x14ac:dyDescent="0.2">
      <c r="A85">
        <v>2440</v>
      </c>
      <c r="B85" s="106" t="s">
        <v>1107</v>
      </c>
      <c r="C85">
        <v>0.05</v>
      </c>
      <c r="D85">
        <v>0.15</v>
      </c>
      <c r="E85">
        <v>0.05</v>
      </c>
      <c r="F85">
        <v>0.05</v>
      </c>
      <c r="G85">
        <v>0.05</v>
      </c>
    </row>
    <row r="86" spans="1:7" x14ac:dyDescent="0.2">
      <c r="A86">
        <v>2453</v>
      </c>
      <c r="B86" s="106" t="s">
        <v>2546</v>
      </c>
      <c r="C86">
        <v>0</v>
      </c>
      <c r="D86" t="s">
        <v>233</v>
      </c>
      <c r="E86" t="s">
        <v>233</v>
      </c>
      <c r="F86" t="s">
        <v>233</v>
      </c>
      <c r="G86" s="106" t="s">
        <v>233</v>
      </c>
    </row>
    <row r="87" spans="1:7" x14ac:dyDescent="0.2">
      <c r="A87">
        <v>2462</v>
      </c>
      <c r="B87" s="106" t="s">
        <v>1108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2471</v>
      </c>
      <c r="B88" s="106" t="s">
        <v>1109</v>
      </c>
      <c r="C88">
        <v>0</v>
      </c>
      <c r="D88" s="106">
        <v>0</v>
      </c>
      <c r="E88">
        <v>0</v>
      </c>
      <c r="F88" s="106">
        <v>0</v>
      </c>
      <c r="G88">
        <v>0</v>
      </c>
    </row>
    <row r="89" spans="1:7" x14ac:dyDescent="0.2">
      <c r="A89">
        <v>2487</v>
      </c>
      <c r="B89" s="106" t="s">
        <v>1110</v>
      </c>
      <c r="C89">
        <v>0.05</v>
      </c>
      <c r="D89" s="106">
        <v>0.15</v>
      </c>
      <c r="E89">
        <v>0.05</v>
      </c>
      <c r="F89" s="106">
        <v>0.05</v>
      </c>
      <c r="G89">
        <v>0.05</v>
      </c>
    </row>
    <row r="90" spans="1:7" x14ac:dyDescent="0.2">
      <c r="A90">
        <v>2492</v>
      </c>
      <c r="B90" s="106" t="s">
        <v>1111</v>
      </c>
      <c r="C90">
        <v>0.05</v>
      </c>
      <c r="D90">
        <v>0.15</v>
      </c>
      <c r="E90">
        <v>0.05</v>
      </c>
      <c r="F90">
        <v>0.05</v>
      </c>
      <c r="G90">
        <v>0.05</v>
      </c>
    </row>
    <row r="91" spans="1:7" x14ac:dyDescent="0.2">
      <c r="A91">
        <v>2501</v>
      </c>
      <c r="B91" s="106" t="s">
        <v>1112</v>
      </c>
      <c r="C91">
        <v>0.05</v>
      </c>
      <c r="D91">
        <v>0.15</v>
      </c>
      <c r="E91">
        <v>0.05</v>
      </c>
      <c r="F91">
        <v>0.05</v>
      </c>
      <c r="G91">
        <v>0.05</v>
      </c>
    </row>
    <row r="92" spans="1:7" x14ac:dyDescent="0.2">
      <c r="A92">
        <v>2502</v>
      </c>
      <c r="B92" s="106" t="s">
        <v>1113</v>
      </c>
      <c r="C92">
        <v>0</v>
      </c>
      <c r="D92">
        <v>0</v>
      </c>
      <c r="E92" t="s">
        <v>233</v>
      </c>
      <c r="F92" t="s">
        <v>233</v>
      </c>
      <c r="G92">
        <v>0</v>
      </c>
    </row>
    <row r="93" spans="1:7" x14ac:dyDescent="0.2">
      <c r="A93">
        <v>2593</v>
      </c>
      <c r="B93" s="106" t="s">
        <v>1114</v>
      </c>
      <c r="C93">
        <v>0.1</v>
      </c>
      <c r="D93">
        <v>0.3</v>
      </c>
      <c r="E93">
        <v>0.1</v>
      </c>
      <c r="F93">
        <v>0.1</v>
      </c>
      <c r="G93">
        <v>0.1</v>
      </c>
    </row>
    <row r="94" spans="1:7" x14ac:dyDescent="0.2">
      <c r="A94">
        <v>2594</v>
      </c>
      <c r="B94" s="106" t="s">
        <v>1115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2599</v>
      </c>
      <c r="B95" s="106" t="s">
        <v>1116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2602</v>
      </c>
      <c r="B96" s="106" t="s">
        <v>1025</v>
      </c>
      <c r="C96">
        <v>0.1</v>
      </c>
      <c r="D96">
        <v>0.3</v>
      </c>
      <c r="E96">
        <v>0.1</v>
      </c>
      <c r="F96">
        <v>0.1</v>
      </c>
      <c r="G96">
        <v>0.1</v>
      </c>
    </row>
    <row r="97" spans="1:7" x14ac:dyDescent="0.2">
      <c r="A97">
        <v>2651</v>
      </c>
      <c r="B97" s="106" t="s">
        <v>1117</v>
      </c>
      <c r="C97">
        <v>0.15</v>
      </c>
      <c r="D97">
        <v>0.45</v>
      </c>
      <c r="E97">
        <v>0.15</v>
      </c>
      <c r="F97">
        <v>0.1</v>
      </c>
      <c r="G97">
        <v>0.1</v>
      </c>
    </row>
    <row r="98" spans="1:7" x14ac:dyDescent="0.2">
      <c r="A98">
        <v>2659</v>
      </c>
      <c r="B98" s="106" t="s">
        <v>1118</v>
      </c>
      <c r="C98">
        <v>0.1</v>
      </c>
      <c r="D98">
        <v>0.3</v>
      </c>
      <c r="E98">
        <v>0.1</v>
      </c>
      <c r="F98">
        <v>0.1</v>
      </c>
      <c r="G98">
        <v>0.1</v>
      </c>
    </row>
    <row r="99" spans="1:7" x14ac:dyDescent="0.2">
      <c r="A99">
        <v>2664</v>
      </c>
      <c r="B99" s="106" t="s">
        <v>1119</v>
      </c>
      <c r="C99">
        <v>0</v>
      </c>
      <c r="D99">
        <v>0</v>
      </c>
      <c r="E99">
        <v>0.05</v>
      </c>
      <c r="F99">
        <v>0</v>
      </c>
      <c r="G99">
        <v>0</v>
      </c>
    </row>
    <row r="100" spans="1:7" x14ac:dyDescent="0.2">
      <c r="A100">
        <v>2670</v>
      </c>
      <c r="B100" s="106" t="s">
        <v>1120</v>
      </c>
      <c r="C100">
        <v>0.15</v>
      </c>
      <c r="D100">
        <v>0.45</v>
      </c>
      <c r="E100">
        <v>0.15</v>
      </c>
      <c r="F100">
        <v>0.15</v>
      </c>
      <c r="G100">
        <v>0.15</v>
      </c>
    </row>
    <row r="101" spans="1:7" x14ac:dyDescent="0.2">
      <c r="A101">
        <v>2676</v>
      </c>
      <c r="B101" s="106" t="s">
        <v>2283</v>
      </c>
      <c r="C101">
        <v>0</v>
      </c>
      <c r="D101">
        <v>0</v>
      </c>
      <c r="E101">
        <v>0</v>
      </c>
      <c r="F101" t="s">
        <v>233</v>
      </c>
      <c r="G101" t="s">
        <v>233</v>
      </c>
    </row>
    <row r="102" spans="1:7" x14ac:dyDescent="0.2">
      <c r="A102">
        <v>2678</v>
      </c>
      <c r="B102" s="106" t="s">
        <v>1121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 x14ac:dyDescent="0.2">
      <c r="A103">
        <v>2685</v>
      </c>
      <c r="B103" s="106" t="s">
        <v>1122</v>
      </c>
      <c r="C103">
        <v>0.05</v>
      </c>
      <c r="D103">
        <v>0</v>
      </c>
      <c r="E103">
        <v>0.05</v>
      </c>
      <c r="F103">
        <v>0</v>
      </c>
      <c r="G103">
        <v>0.05</v>
      </c>
    </row>
    <row r="104" spans="1:7" x14ac:dyDescent="0.2">
      <c r="A104">
        <v>2687</v>
      </c>
      <c r="B104" s="106" t="s">
        <v>1123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2692</v>
      </c>
      <c r="B105" s="106" t="s">
        <v>1124</v>
      </c>
      <c r="C105">
        <v>0.1</v>
      </c>
      <c r="D105">
        <v>0.3</v>
      </c>
      <c r="E105" s="106">
        <v>0.1</v>
      </c>
      <c r="F105" s="106">
        <v>0.1</v>
      </c>
      <c r="G105" s="106">
        <v>0.1</v>
      </c>
    </row>
    <row r="106" spans="1:7" x14ac:dyDescent="0.2">
      <c r="A106">
        <v>2695</v>
      </c>
      <c r="B106" s="106" t="s">
        <v>1125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2698</v>
      </c>
      <c r="B107" s="106" t="s">
        <v>1126</v>
      </c>
      <c r="C107">
        <v>0.05</v>
      </c>
      <c r="D107">
        <v>0.15</v>
      </c>
      <c r="E107">
        <v>0.05</v>
      </c>
      <c r="F107">
        <v>0.05</v>
      </c>
      <c r="G107">
        <v>0.05</v>
      </c>
    </row>
    <row r="108" spans="1:7" x14ac:dyDescent="0.2">
      <c r="A108">
        <v>2715</v>
      </c>
      <c r="B108" s="106" t="s">
        <v>2547</v>
      </c>
      <c r="C108">
        <v>0</v>
      </c>
      <c r="D108" t="s">
        <v>233</v>
      </c>
      <c r="E108">
        <v>0.05</v>
      </c>
      <c r="F108">
        <v>0.05</v>
      </c>
      <c r="G108">
        <v>0.05</v>
      </c>
    </row>
    <row r="109" spans="1:7" x14ac:dyDescent="0.2">
      <c r="A109">
        <v>2729</v>
      </c>
      <c r="B109" s="106" t="s">
        <v>1127</v>
      </c>
      <c r="C109">
        <v>0.05</v>
      </c>
      <c r="D109">
        <v>0.15</v>
      </c>
      <c r="E109">
        <v>0.05</v>
      </c>
      <c r="F109">
        <v>0.05</v>
      </c>
      <c r="G109">
        <v>0.05</v>
      </c>
    </row>
    <row r="110" spans="1:7" x14ac:dyDescent="0.2">
      <c r="A110">
        <v>2730</v>
      </c>
      <c r="B110" s="106" t="s">
        <v>1128</v>
      </c>
      <c r="C110">
        <v>0.05</v>
      </c>
      <c r="D110" s="106">
        <v>0.15</v>
      </c>
      <c r="E110" s="106">
        <v>0.05</v>
      </c>
      <c r="F110">
        <v>0.05</v>
      </c>
      <c r="G110">
        <v>0.05</v>
      </c>
    </row>
    <row r="111" spans="1:7" x14ac:dyDescent="0.2">
      <c r="A111">
        <v>2733</v>
      </c>
      <c r="B111" s="106" t="s">
        <v>2284</v>
      </c>
      <c r="C111">
        <v>0</v>
      </c>
      <c r="D111" s="106">
        <v>0.3</v>
      </c>
      <c r="E111" s="106">
        <v>0</v>
      </c>
      <c r="F111">
        <v>0</v>
      </c>
      <c r="G111">
        <v>0</v>
      </c>
    </row>
    <row r="112" spans="1:7" x14ac:dyDescent="0.2">
      <c r="A112">
        <v>2749</v>
      </c>
      <c r="B112" s="106" t="s">
        <v>2285</v>
      </c>
      <c r="C112">
        <v>0</v>
      </c>
      <c r="D112">
        <v>0</v>
      </c>
      <c r="E112">
        <v>0</v>
      </c>
      <c r="F112">
        <v>0</v>
      </c>
      <c r="G112" t="s">
        <v>233</v>
      </c>
    </row>
    <row r="113" spans="1:7" x14ac:dyDescent="0.2">
      <c r="A113">
        <v>2784</v>
      </c>
      <c r="B113" s="106" t="s">
        <v>2286</v>
      </c>
      <c r="C113">
        <v>0</v>
      </c>
      <c r="D113">
        <v>0</v>
      </c>
      <c r="E113">
        <v>0</v>
      </c>
      <c r="F113" t="s">
        <v>233</v>
      </c>
      <c r="G113" t="s">
        <v>233</v>
      </c>
    </row>
    <row r="114" spans="1:7" x14ac:dyDescent="0.2">
      <c r="A114">
        <v>2792</v>
      </c>
      <c r="B114" s="106" t="s">
        <v>1129</v>
      </c>
      <c r="C114">
        <v>0.05</v>
      </c>
      <c r="D114">
        <v>0.15</v>
      </c>
      <c r="E114">
        <v>0.05</v>
      </c>
      <c r="F114">
        <v>0.05</v>
      </c>
      <c r="G114" s="106">
        <v>0.05</v>
      </c>
    </row>
    <row r="115" spans="1:7" x14ac:dyDescent="0.2">
      <c r="A115">
        <v>2796</v>
      </c>
      <c r="B115" s="106" t="s">
        <v>2548</v>
      </c>
      <c r="C115">
        <v>0.05</v>
      </c>
      <c r="D115" t="s">
        <v>233</v>
      </c>
      <c r="E115">
        <v>0.05</v>
      </c>
      <c r="F115" s="106" t="s">
        <v>233</v>
      </c>
      <c r="G115" s="106">
        <v>0.05</v>
      </c>
    </row>
    <row r="116" spans="1:7" x14ac:dyDescent="0.2">
      <c r="A116">
        <v>2801</v>
      </c>
      <c r="B116" s="106" t="s">
        <v>1130</v>
      </c>
      <c r="C116">
        <v>0.1</v>
      </c>
      <c r="D116">
        <v>0.3</v>
      </c>
      <c r="E116" s="106">
        <v>0.1</v>
      </c>
      <c r="F116" s="106">
        <v>0.1</v>
      </c>
      <c r="G116" s="106">
        <v>0.1</v>
      </c>
    </row>
    <row r="117" spans="1:7" x14ac:dyDescent="0.2">
      <c r="A117">
        <v>2815</v>
      </c>
      <c r="B117" s="106" t="s">
        <v>1131</v>
      </c>
      <c r="C117">
        <v>0</v>
      </c>
      <c r="D117">
        <v>0</v>
      </c>
      <c r="E117">
        <v>0</v>
      </c>
      <c r="F117" t="s">
        <v>233</v>
      </c>
      <c r="G117">
        <v>0</v>
      </c>
    </row>
    <row r="118" spans="1:7" x14ac:dyDescent="0.2">
      <c r="A118">
        <v>2819</v>
      </c>
      <c r="B118" s="106" t="s">
        <v>1132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2874</v>
      </c>
      <c r="B119" s="106" t="s">
        <v>2287</v>
      </c>
      <c r="C119">
        <v>0</v>
      </c>
      <c r="D119">
        <v>0</v>
      </c>
      <c r="E119" s="106">
        <v>0</v>
      </c>
      <c r="F119">
        <v>0.05</v>
      </c>
      <c r="G119">
        <v>0</v>
      </c>
    </row>
    <row r="120" spans="1:7" x14ac:dyDescent="0.2">
      <c r="A120">
        <v>2875</v>
      </c>
      <c r="B120" s="106" t="s">
        <v>1133</v>
      </c>
      <c r="C120">
        <v>0.1</v>
      </c>
      <c r="D120">
        <v>0.3</v>
      </c>
      <c r="E120">
        <v>0.1</v>
      </c>
      <c r="F120">
        <v>0.1</v>
      </c>
      <c r="G120">
        <v>0.1</v>
      </c>
    </row>
    <row r="121" spans="1:7" x14ac:dyDescent="0.2">
      <c r="A121">
        <v>2882</v>
      </c>
      <c r="B121" s="106" t="s">
        <v>1134</v>
      </c>
      <c r="C121">
        <v>0.05</v>
      </c>
      <c r="D121">
        <v>0.15</v>
      </c>
      <c r="E121">
        <v>0.05</v>
      </c>
      <c r="F121">
        <v>0.05</v>
      </c>
      <c r="G121" s="106">
        <v>0.05</v>
      </c>
    </row>
    <row r="122" spans="1:7" x14ac:dyDescent="0.2">
      <c r="A122">
        <v>2884</v>
      </c>
      <c r="B122" s="106" t="s">
        <v>1135</v>
      </c>
      <c r="C122">
        <v>0</v>
      </c>
      <c r="D122">
        <v>0</v>
      </c>
      <c r="E122">
        <v>0</v>
      </c>
      <c r="F122">
        <v>0</v>
      </c>
      <c r="G122">
        <v>0.05</v>
      </c>
    </row>
    <row r="123" spans="1:7" x14ac:dyDescent="0.2">
      <c r="A123">
        <v>2897</v>
      </c>
      <c r="B123" s="106" t="s">
        <v>1136</v>
      </c>
      <c r="C123">
        <v>0.15</v>
      </c>
      <c r="D123">
        <v>0.45</v>
      </c>
      <c r="E123">
        <v>0.15</v>
      </c>
      <c r="F123">
        <v>0.15</v>
      </c>
      <c r="G123">
        <v>0.15</v>
      </c>
    </row>
    <row r="124" spans="1:7" x14ac:dyDescent="0.2">
      <c r="A124">
        <v>2904</v>
      </c>
      <c r="B124" s="106" t="s">
        <v>1137</v>
      </c>
      <c r="C124">
        <v>0.05</v>
      </c>
      <c r="D124">
        <v>0.15</v>
      </c>
      <c r="E124">
        <v>0.05</v>
      </c>
      <c r="F124">
        <v>0.05</v>
      </c>
      <c r="G124">
        <v>0.05</v>
      </c>
    </row>
    <row r="125" spans="1:7" x14ac:dyDescent="0.2">
      <c r="A125">
        <v>2908</v>
      </c>
      <c r="B125" s="106" t="s">
        <v>1138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2910</v>
      </c>
      <c r="B126" s="106" t="s">
        <v>1139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 x14ac:dyDescent="0.2">
      <c r="A127">
        <v>2915</v>
      </c>
      <c r="B127" s="106" t="s">
        <v>1140</v>
      </c>
      <c r="C127">
        <v>0.05</v>
      </c>
      <c r="D127">
        <v>0.15</v>
      </c>
      <c r="E127">
        <v>0.05</v>
      </c>
      <c r="F127">
        <v>0.05</v>
      </c>
      <c r="G127">
        <v>0.05</v>
      </c>
    </row>
    <row r="128" spans="1:7" x14ac:dyDescent="0.2">
      <c r="A128">
        <v>2922</v>
      </c>
      <c r="B128" s="106" t="s">
        <v>1141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2924</v>
      </c>
      <c r="B129" s="106" t="s">
        <v>1142</v>
      </c>
      <c r="C129">
        <v>0</v>
      </c>
      <c r="D129" s="106">
        <v>0</v>
      </c>
      <c r="E129" t="s">
        <v>233</v>
      </c>
      <c r="F129" s="106">
        <v>0.05</v>
      </c>
      <c r="G129" t="s">
        <v>233</v>
      </c>
    </row>
    <row r="130" spans="1:7" x14ac:dyDescent="0.2">
      <c r="A130">
        <v>2930</v>
      </c>
      <c r="B130" s="106" t="s">
        <v>1143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2931</v>
      </c>
      <c r="B131" s="106" t="s">
        <v>1144</v>
      </c>
      <c r="C131">
        <v>0.05</v>
      </c>
      <c r="D131" s="106">
        <v>0.15</v>
      </c>
      <c r="E131">
        <v>0.05</v>
      </c>
      <c r="F131" s="106">
        <v>0.05</v>
      </c>
      <c r="G131" s="106">
        <v>0.05</v>
      </c>
    </row>
    <row r="132" spans="1:7" x14ac:dyDescent="0.2">
      <c r="A132">
        <v>2975</v>
      </c>
      <c r="B132" s="106" t="s">
        <v>1145</v>
      </c>
      <c r="C132">
        <v>0.05</v>
      </c>
      <c r="D132" s="106">
        <v>0.15</v>
      </c>
      <c r="E132">
        <v>0.05</v>
      </c>
      <c r="F132" s="106">
        <v>0.05</v>
      </c>
      <c r="G132" s="106">
        <v>0.05</v>
      </c>
    </row>
    <row r="133" spans="1:7" x14ac:dyDescent="0.2">
      <c r="A133">
        <v>3002</v>
      </c>
      <c r="B133" s="106" t="s">
        <v>1146</v>
      </c>
      <c r="C133">
        <v>0</v>
      </c>
      <c r="D133">
        <v>0</v>
      </c>
      <c r="E133" t="s">
        <v>233</v>
      </c>
      <c r="F133">
        <v>0.1</v>
      </c>
      <c r="G133">
        <v>0</v>
      </c>
    </row>
    <row r="134" spans="1:7" x14ac:dyDescent="0.2">
      <c r="A134">
        <v>3003</v>
      </c>
      <c r="B134" s="106" t="s">
        <v>1023</v>
      </c>
      <c r="C134">
        <v>0.05</v>
      </c>
      <c r="D134">
        <v>0.15</v>
      </c>
      <c r="E134">
        <v>0.05</v>
      </c>
      <c r="F134">
        <v>0.05</v>
      </c>
      <c r="G134">
        <v>0.05</v>
      </c>
    </row>
    <row r="135" spans="1:7" x14ac:dyDescent="0.2">
      <c r="A135">
        <v>3004</v>
      </c>
      <c r="B135" s="106" t="s">
        <v>1147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3028</v>
      </c>
      <c r="B136" s="106" t="s">
        <v>2549</v>
      </c>
      <c r="C136">
        <v>0</v>
      </c>
      <c r="D136" s="106" t="s">
        <v>233</v>
      </c>
      <c r="E136" t="s">
        <v>233</v>
      </c>
      <c r="F136" s="106" t="s">
        <v>233</v>
      </c>
      <c r="G136" s="106">
        <v>0</v>
      </c>
    </row>
    <row r="137" spans="1:7" x14ac:dyDescent="0.2">
      <c r="A137">
        <v>3038</v>
      </c>
      <c r="B137" s="106" t="s">
        <v>334</v>
      </c>
      <c r="C137">
        <v>0</v>
      </c>
      <c r="D137" s="106" t="s">
        <v>233</v>
      </c>
      <c r="E137">
        <v>0.05</v>
      </c>
      <c r="F137">
        <v>0</v>
      </c>
      <c r="G137" t="s">
        <v>233</v>
      </c>
    </row>
    <row r="138" spans="1:7" x14ac:dyDescent="0.2">
      <c r="A138">
        <v>3046</v>
      </c>
      <c r="B138" s="106" t="s">
        <v>1148</v>
      </c>
      <c r="C138">
        <v>0.15</v>
      </c>
      <c r="D138">
        <v>0.45</v>
      </c>
      <c r="E138">
        <v>0.15</v>
      </c>
      <c r="F138">
        <v>0.15</v>
      </c>
      <c r="G138">
        <v>0.15</v>
      </c>
    </row>
    <row r="139" spans="1:7" x14ac:dyDescent="0.2">
      <c r="A139">
        <v>3048</v>
      </c>
      <c r="B139" s="106" t="s">
        <v>1149</v>
      </c>
      <c r="C139">
        <v>0</v>
      </c>
      <c r="D139" s="106">
        <v>0</v>
      </c>
      <c r="E139">
        <v>0</v>
      </c>
      <c r="F139">
        <v>0</v>
      </c>
      <c r="G139" s="106" t="s">
        <v>233</v>
      </c>
    </row>
    <row r="140" spans="1:7" x14ac:dyDescent="0.2">
      <c r="A140">
        <v>3067</v>
      </c>
      <c r="B140" s="106" t="s">
        <v>1150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3079</v>
      </c>
      <c r="B141" s="106" t="s">
        <v>2550</v>
      </c>
      <c r="C141">
        <v>0</v>
      </c>
      <c r="D141" t="s">
        <v>233</v>
      </c>
      <c r="E141">
        <v>0</v>
      </c>
      <c r="F141" s="106">
        <v>0</v>
      </c>
      <c r="G141">
        <v>0</v>
      </c>
    </row>
    <row r="142" spans="1:7" x14ac:dyDescent="0.2">
      <c r="A142">
        <v>3082</v>
      </c>
      <c r="B142" s="106" t="s">
        <v>1151</v>
      </c>
      <c r="C142">
        <v>0</v>
      </c>
      <c r="D142">
        <v>0.15</v>
      </c>
      <c r="E142">
        <v>0</v>
      </c>
      <c r="F142">
        <v>0</v>
      </c>
      <c r="G142">
        <v>0</v>
      </c>
    </row>
    <row r="143" spans="1:7" x14ac:dyDescent="0.2">
      <c r="A143">
        <v>3086</v>
      </c>
      <c r="B143" s="106" t="s">
        <v>1152</v>
      </c>
      <c r="C143">
        <v>0.05</v>
      </c>
      <c r="D143">
        <v>0.15</v>
      </c>
      <c r="E143" s="106">
        <v>0.05</v>
      </c>
      <c r="F143" s="106">
        <v>0.05</v>
      </c>
      <c r="G143" s="106">
        <v>0.05</v>
      </c>
    </row>
    <row r="144" spans="1:7" x14ac:dyDescent="0.2">
      <c r="A144">
        <v>3088</v>
      </c>
      <c r="B144" s="106" t="s">
        <v>1153</v>
      </c>
      <c r="C144">
        <v>0.1</v>
      </c>
      <c r="D144">
        <v>0.3</v>
      </c>
      <c r="E144" s="106">
        <v>0.1</v>
      </c>
      <c r="F144" s="106">
        <v>0.1</v>
      </c>
      <c r="G144" s="106">
        <v>0.1</v>
      </c>
    </row>
    <row r="145" spans="1:7" x14ac:dyDescent="0.2">
      <c r="A145">
        <v>3092</v>
      </c>
      <c r="B145" s="106" t="s">
        <v>1154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 x14ac:dyDescent="0.2">
      <c r="A146">
        <v>3098</v>
      </c>
      <c r="B146" s="106" t="s">
        <v>2288</v>
      </c>
      <c r="C146">
        <v>0.15</v>
      </c>
      <c r="D146">
        <v>0.45</v>
      </c>
      <c r="E146" t="s">
        <v>233</v>
      </c>
      <c r="F146" t="s">
        <v>233</v>
      </c>
      <c r="G146" t="s">
        <v>233</v>
      </c>
    </row>
    <row r="147" spans="1:7" x14ac:dyDescent="0.2">
      <c r="A147">
        <v>3099</v>
      </c>
      <c r="B147" s="106" t="s">
        <v>64</v>
      </c>
      <c r="C147">
        <v>0.05</v>
      </c>
      <c r="D147" s="106">
        <v>0</v>
      </c>
      <c r="E147" s="106">
        <v>0.05</v>
      </c>
      <c r="F147" s="106">
        <v>0.05</v>
      </c>
      <c r="G147" s="106">
        <v>0.05</v>
      </c>
    </row>
    <row r="148" spans="1:7" x14ac:dyDescent="0.2">
      <c r="A148">
        <v>3101</v>
      </c>
      <c r="B148" s="106" t="s">
        <v>1020</v>
      </c>
      <c r="C148">
        <v>0.05</v>
      </c>
      <c r="D148">
        <v>0</v>
      </c>
      <c r="E148">
        <v>0.05</v>
      </c>
      <c r="F148">
        <v>0.05</v>
      </c>
      <c r="G148">
        <v>0.05</v>
      </c>
    </row>
    <row r="149" spans="1:7" x14ac:dyDescent="0.2">
      <c r="A149">
        <v>3103</v>
      </c>
      <c r="B149" s="106" t="s">
        <v>1155</v>
      </c>
      <c r="C149">
        <v>0</v>
      </c>
      <c r="D149">
        <v>0</v>
      </c>
      <c r="E149">
        <v>0</v>
      </c>
      <c r="F149">
        <v>0.05</v>
      </c>
      <c r="G149">
        <v>0</v>
      </c>
    </row>
    <row r="150" spans="1:7" x14ac:dyDescent="0.2">
      <c r="A150">
        <v>3104</v>
      </c>
      <c r="B150" s="106" t="s">
        <v>1156</v>
      </c>
      <c r="C150">
        <v>0.1</v>
      </c>
      <c r="D150">
        <v>0.3</v>
      </c>
      <c r="E150">
        <v>0.1</v>
      </c>
      <c r="F150">
        <v>0.1</v>
      </c>
      <c r="G150">
        <v>0.1</v>
      </c>
    </row>
    <row r="151" spans="1:7" x14ac:dyDescent="0.2">
      <c r="A151">
        <v>3105</v>
      </c>
      <c r="B151" s="106" t="s">
        <v>90</v>
      </c>
      <c r="C151">
        <v>0.05</v>
      </c>
      <c r="D151">
        <v>0</v>
      </c>
      <c r="E151">
        <v>0</v>
      </c>
      <c r="F151">
        <v>0</v>
      </c>
      <c r="G151">
        <v>0</v>
      </c>
    </row>
    <row r="152" spans="1:7" x14ac:dyDescent="0.2">
      <c r="A152">
        <v>3106</v>
      </c>
      <c r="B152" s="106" t="s">
        <v>1157</v>
      </c>
      <c r="C152">
        <v>0.05</v>
      </c>
      <c r="D152">
        <v>0.15</v>
      </c>
      <c r="E152">
        <v>0.05</v>
      </c>
      <c r="F152">
        <v>0.05</v>
      </c>
      <c r="G152">
        <v>0.05</v>
      </c>
    </row>
    <row r="153" spans="1:7" x14ac:dyDescent="0.2">
      <c r="A153">
        <v>3110</v>
      </c>
      <c r="B153" s="106" t="s">
        <v>1005</v>
      </c>
      <c r="C153">
        <v>0.15</v>
      </c>
      <c r="D153">
        <v>0.3</v>
      </c>
      <c r="E153">
        <v>0.1</v>
      </c>
      <c r="F153">
        <v>0.1</v>
      </c>
      <c r="G153">
        <v>0.1</v>
      </c>
    </row>
    <row r="154" spans="1:7" x14ac:dyDescent="0.2">
      <c r="A154">
        <v>3116</v>
      </c>
      <c r="B154" s="106" t="s">
        <v>124</v>
      </c>
      <c r="C154">
        <v>0.05</v>
      </c>
      <c r="D154" s="106">
        <v>0.15</v>
      </c>
      <c r="E154">
        <v>0.05</v>
      </c>
      <c r="F154" s="106">
        <v>0.05</v>
      </c>
      <c r="G154" s="106">
        <v>0.05</v>
      </c>
    </row>
    <row r="155" spans="1:7" x14ac:dyDescent="0.2">
      <c r="A155">
        <v>3132</v>
      </c>
      <c r="B155" s="106" t="s">
        <v>1158</v>
      </c>
      <c r="C155">
        <v>0.05</v>
      </c>
      <c r="D155">
        <v>0.15</v>
      </c>
      <c r="E155" s="106">
        <v>0.05</v>
      </c>
      <c r="F155" s="106">
        <v>0.05</v>
      </c>
      <c r="G155">
        <v>0.05</v>
      </c>
    </row>
    <row r="156" spans="1:7" x14ac:dyDescent="0.2">
      <c r="A156">
        <v>3134</v>
      </c>
      <c r="B156" s="106" t="s">
        <v>2289</v>
      </c>
      <c r="C156">
        <v>0</v>
      </c>
      <c r="D156">
        <v>0</v>
      </c>
      <c r="E156" s="106" t="s">
        <v>233</v>
      </c>
      <c r="F156" s="106" t="s">
        <v>233</v>
      </c>
      <c r="G156" t="s">
        <v>233</v>
      </c>
    </row>
    <row r="157" spans="1:7" x14ac:dyDescent="0.2">
      <c r="A157">
        <v>3141</v>
      </c>
      <c r="B157" s="106" t="s">
        <v>1159</v>
      </c>
      <c r="C157">
        <v>0.15</v>
      </c>
      <c r="D157">
        <v>0.45</v>
      </c>
      <c r="E157">
        <v>0.15</v>
      </c>
      <c r="F157">
        <v>0.15</v>
      </c>
      <c r="G157">
        <v>0.15</v>
      </c>
    </row>
    <row r="158" spans="1:7" x14ac:dyDescent="0.2">
      <c r="A158">
        <v>3148</v>
      </c>
      <c r="B158" s="106" t="s">
        <v>1160</v>
      </c>
      <c r="C158">
        <v>0.05</v>
      </c>
      <c r="D158" s="106">
        <v>0.15</v>
      </c>
      <c r="E158" s="106">
        <v>0.05</v>
      </c>
      <c r="F158" s="106">
        <v>0.05</v>
      </c>
      <c r="G158" s="106">
        <v>0.05</v>
      </c>
    </row>
    <row r="159" spans="1:7" x14ac:dyDescent="0.2">
      <c r="A159">
        <v>3151</v>
      </c>
      <c r="B159" s="106" t="s">
        <v>1161</v>
      </c>
      <c r="C159">
        <v>0.05</v>
      </c>
      <c r="D159">
        <v>0.15</v>
      </c>
      <c r="E159">
        <v>0</v>
      </c>
      <c r="F159">
        <v>0.05</v>
      </c>
      <c r="G159">
        <v>0</v>
      </c>
    </row>
    <row r="160" spans="1:7" x14ac:dyDescent="0.2">
      <c r="A160">
        <v>3154</v>
      </c>
      <c r="B160" s="106" t="s">
        <v>1162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3159</v>
      </c>
      <c r="B161" s="106" t="s">
        <v>1163</v>
      </c>
      <c r="C161">
        <v>0.05</v>
      </c>
      <c r="D161">
        <v>0</v>
      </c>
      <c r="E161">
        <v>0</v>
      </c>
      <c r="F161">
        <v>0</v>
      </c>
      <c r="G161">
        <v>0.05</v>
      </c>
    </row>
    <row r="162" spans="1:7" x14ac:dyDescent="0.2">
      <c r="A162">
        <v>3160</v>
      </c>
      <c r="B162" s="106" t="s">
        <v>1164</v>
      </c>
      <c r="C162">
        <v>0</v>
      </c>
      <c r="D162">
        <v>0</v>
      </c>
      <c r="E162" t="s">
        <v>233</v>
      </c>
      <c r="F162">
        <v>0</v>
      </c>
      <c r="G162">
        <v>0</v>
      </c>
    </row>
    <row r="163" spans="1:7" x14ac:dyDescent="0.2">
      <c r="A163">
        <v>3166</v>
      </c>
      <c r="B163" s="106" t="s">
        <v>1165</v>
      </c>
      <c r="C163">
        <v>0.05</v>
      </c>
      <c r="D163">
        <v>0.15</v>
      </c>
      <c r="E163">
        <v>0.05</v>
      </c>
      <c r="F163">
        <v>0.05</v>
      </c>
      <c r="G163">
        <v>0.05</v>
      </c>
    </row>
    <row r="164" spans="1:7" x14ac:dyDescent="0.2">
      <c r="A164">
        <v>3167</v>
      </c>
      <c r="B164" s="106" t="s">
        <v>1166</v>
      </c>
      <c r="C164">
        <v>0</v>
      </c>
      <c r="D164" s="106">
        <v>0</v>
      </c>
      <c r="E164">
        <v>0</v>
      </c>
      <c r="F164">
        <v>0.05</v>
      </c>
      <c r="G164">
        <v>0.05</v>
      </c>
    </row>
    <row r="165" spans="1:7" x14ac:dyDescent="0.2">
      <c r="A165">
        <v>3168</v>
      </c>
      <c r="B165" s="106" t="s">
        <v>1167</v>
      </c>
      <c r="C165">
        <v>0.05</v>
      </c>
      <c r="D165">
        <v>0.15</v>
      </c>
      <c r="E165">
        <v>0.05</v>
      </c>
      <c r="F165">
        <v>0.05</v>
      </c>
      <c r="G165">
        <v>0.05</v>
      </c>
    </row>
    <row r="166" spans="1:7" x14ac:dyDescent="0.2">
      <c r="A166">
        <v>3178</v>
      </c>
      <c r="B166" s="106" t="s">
        <v>1168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3179</v>
      </c>
      <c r="B167" s="106" t="s">
        <v>1169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3180</v>
      </c>
      <c r="B168" s="106" t="s">
        <v>1170</v>
      </c>
      <c r="C168">
        <v>0.05</v>
      </c>
      <c r="D168">
        <v>0</v>
      </c>
      <c r="E168">
        <v>0.05</v>
      </c>
      <c r="F168">
        <v>0</v>
      </c>
      <c r="G168">
        <v>0.05</v>
      </c>
    </row>
    <row r="169" spans="1:7" x14ac:dyDescent="0.2">
      <c r="A169">
        <v>3183</v>
      </c>
      <c r="B169" s="106" t="s">
        <v>1171</v>
      </c>
      <c r="C169">
        <v>0.05</v>
      </c>
      <c r="D169" s="106">
        <v>0.15</v>
      </c>
      <c r="E169">
        <v>0.05</v>
      </c>
      <c r="F169" s="106">
        <v>0.05</v>
      </c>
      <c r="G169" s="106">
        <v>0.05</v>
      </c>
    </row>
    <row r="170" spans="1:7" x14ac:dyDescent="0.2">
      <c r="A170">
        <v>3186</v>
      </c>
      <c r="B170" s="106" t="s">
        <v>1172</v>
      </c>
      <c r="C170">
        <v>0</v>
      </c>
      <c r="D170" s="106">
        <v>0.15</v>
      </c>
      <c r="E170">
        <v>0.05</v>
      </c>
      <c r="F170" s="106">
        <v>0.05</v>
      </c>
      <c r="G170" s="106">
        <v>0.05</v>
      </c>
    </row>
    <row r="171" spans="1:7" x14ac:dyDescent="0.2">
      <c r="A171">
        <v>3193</v>
      </c>
      <c r="B171" s="106" t="s">
        <v>1173</v>
      </c>
      <c r="C171">
        <v>0.05</v>
      </c>
      <c r="D171">
        <v>0.15</v>
      </c>
      <c r="E171">
        <v>0.5</v>
      </c>
      <c r="F171">
        <v>0.5</v>
      </c>
      <c r="G171" s="106">
        <v>0.5</v>
      </c>
    </row>
    <row r="172" spans="1:7" x14ac:dyDescent="0.2">
      <c r="A172">
        <v>3196</v>
      </c>
      <c r="B172" s="106" t="s">
        <v>2290</v>
      </c>
      <c r="C172">
        <v>0.05</v>
      </c>
      <c r="D172">
        <v>0.15</v>
      </c>
      <c r="E172" t="s">
        <v>233</v>
      </c>
      <c r="F172" t="s">
        <v>233</v>
      </c>
      <c r="G172" s="106" t="s">
        <v>233</v>
      </c>
    </row>
    <row r="173" spans="1:7" x14ac:dyDescent="0.2">
      <c r="A173">
        <v>3197</v>
      </c>
      <c r="B173" s="106" t="s">
        <v>1174</v>
      </c>
      <c r="C173">
        <v>0.05</v>
      </c>
      <c r="D173">
        <v>0.15</v>
      </c>
      <c r="E173">
        <v>0.05</v>
      </c>
      <c r="F173">
        <v>0.05</v>
      </c>
      <c r="G173" s="106">
        <v>0.05</v>
      </c>
    </row>
    <row r="174" spans="1:7" x14ac:dyDescent="0.2">
      <c r="A174">
        <v>3201</v>
      </c>
      <c r="B174" s="106" t="s">
        <v>1175</v>
      </c>
      <c r="C174">
        <v>0.05</v>
      </c>
      <c r="D174">
        <v>0.15</v>
      </c>
      <c r="E174">
        <v>0.05</v>
      </c>
      <c r="F174">
        <v>0.05</v>
      </c>
      <c r="G174">
        <v>0.05</v>
      </c>
    </row>
    <row r="175" spans="1:7" x14ac:dyDescent="0.2">
      <c r="A175">
        <v>3204</v>
      </c>
      <c r="B175" s="106" t="s">
        <v>1176</v>
      </c>
      <c r="C175">
        <v>0</v>
      </c>
      <c r="D175" s="106">
        <v>0</v>
      </c>
      <c r="E175" s="106">
        <v>0</v>
      </c>
      <c r="F175" s="106" t="s">
        <v>233</v>
      </c>
      <c r="G175" s="106">
        <v>0</v>
      </c>
    </row>
    <row r="176" spans="1:7" x14ac:dyDescent="0.2">
      <c r="A176">
        <v>3205</v>
      </c>
      <c r="B176" s="106" t="s">
        <v>1177</v>
      </c>
      <c r="C176">
        <v>0.05</v>
      </c>
      <c r="D176">
        <v>0.15</v>
      </c>
      <c r="E176">
        <v>0.05</v>
      </c>
      <c r="F176">
        <v>0.05</v>
      </c>
      <c r="G176">
        <v>0.05</v>
      </c>
    </row>
    <row r="177" spans="1:7" x14ac:dyDescent="0.2">
      <c r="A177">
        <v>3222</v>
      </c>
      <c r="B177" s="106" t="s">
        <v>1178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3231</v>
      </c>
      <c r="B178" s="106" t="s">
        <v>792</v>
      </c>
      <c r="C178">
        <v>0.05</v>
      </c>
      <c r="D178">
        <v>0.15</v>
      </c>
      <c r="E178" s="106">
        <v>0.05</v>
      </c>
      <c r="F178">
        <v>0.05</v>
      </c>
      <c r="G178">
        <v>0.05</v>
      </c>
    </row>
    <row r="179" spans="1:7" x14ac:dyDescent="0.2">
      <c r="A179">
        <v>3232</v>
      </c>
      <c r="B179" s="106" t="s">
        <v>1179</v>
      </c>
      <c r="C179">
        <v>0.05</v>
      </c>
      <c r="D179">
        <v>0.15</v>
      </c>
      <c r="E179">
        <v>0.05</v>
      </c>
      <c r="F179">
        <v>0.05</v>
      </c>
      <c r="G179">
        <v>0.05</v>
      </c>
    </row>
    <row r="180" spans="1:7" x14ac:dyDescent="0.2">
      <c r="A180">
        <v>3244</v>
      </c>
      <c r="B180" s="106" t="s">
        <v>1180</v>
      </c>
      <c r="C180">
        <v>0</v>
      </c>
      <c r="D180">
        <v>0</v>
      </c>
      <c r="E180">
        <v>0</v>
      </c>
      <c r="F180" t="s">
        <v>233</v>
      </c>
      <c r="G180">
        <v>0</v>
      </c>
    </row>
    <row r="181" spans="1:7" x14ac:dyDescent="0.2">
      <c r="A181">
        <v>3271</v>
      </c>
      <c r="B181" s="106" t="s">
        <v>1181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3276</v>
      </c>
      <c r="B182" s="106" t="s">
        <v>1182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 x14ac:dyDescent="0.2">
      <c r="A183">
        <v>3284</v>
      </c>
      <c r="B183" s="106" t="s">
        <v>1183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3288</v>
      </c>
      <c r="B184" s="106" t="s">
        <v>2291</v>
      </c>
      <c r="C184">
        <v>0</v>
      </c>
      <c r="D184" s="106">
        <v>0.15</v>
      </c>
      <c r="E184">
        <v>0</v>
      </c>
      <c r="F184">
        <v>0</v>
      </c>
      <c r="G184">
        <v>0</v>
      </c>
    </row>
    <row r="185" spans="1:7" x14ac:dyDescent="0.2">
      <c r="A185">
        <v>3289</v>
      </c>
      <c r="B185" s="106" t="s">
        <v>1184</v>
      </c>
      <c r="C185">
        <v>0.05</v>
      </c>
      <c r="D185" s="106">
        <v>0.15</v>
      </c>
      <c r="E185">
        <v>0.05</v>
      </c>
      <c r="F185">
        <v>0.05</v>
      </c>
      <c r="G185">
        <v>0.05</v>
      </c>
    </row>
    <row r="186" spans="1:7" x14ac:dyDescent="0.2">
      <c r="A186">
        <v>3291</v>
      </c>
      <c r="B186" s="106" t="s">
        <v>113</v>
      </c>
      <c r="C186">
        <v>0.05</v>
      </c>
      <c r="D186">
        <v>0.15</v>
      </c>
      <c r="E186">
        <v>0.05</v>
      </c>
      <c r="F186">
        <v>0.05</v>
      </c>
      <c r="G186">
        <v>0.05</v>
      </c>
    </row>
    <row r="187" spans="1:7" x14ac:dyDescent="0.2">
      <c r="A187">
        <v>3299</v>
      </c>
      <c r="B187" s="106" t="s">
        <v>1185</v>
      </c>
      <c r="C187">
        <v>0.05</v>
      </c>
      <c r="D187">
        <v>0.15</v>
      </c>
      <c r="E187">
        <v>0.05</v>
      </c>
      <c r="F187">
        <v>0.05</v>
      </c>
      <c r="G187" s="106">
        <v>0.05</v>
      </c>
    </row>
    <row r="188" spans="1:7" x14ac:dyDescent="0.2">
      <c r="A188">
        <v>3302</v>
      </c>
      <c r="B188" s="106" t="s">
        <v>2292</v>
      </c>
      <c r="C188">
        <v>0</v>
      </c>
      <c r="D188">
        <v>0</v>
      </c>
      <c r="E188" t="s">
        <v>233</v>
      </c>
      <c r="F188" t="s">
        <v>233</v>
      </c>
      <c r="G188" t="s">
        <v>233</v>
      </c>
    </row>
    <row r="189" spans="1:7" x14ac:dyDescent="0.2">
      <c r="A189">
        <v>3349</v>
      </c>
      <c r="B189" s="106" t="s">
        <v>1186</v>
      </c>
      <c r="C189">
        <v>0.4</v>
      </c>
      <c r="D189">
        <v>1.5</v>
      </c>
      <c r="E189">
        <v>0.4</v>
      </c>
      <c r="F189">
        <v>0.4</v>
      </c>
      <c r="G189">
        <v>0.4</v>
      </c>
    </row>
    <row r="190" spans="1:7" x14ac:dyDescent="0.2">
      <c r="A190">
        <v>3360</v>
      </c>
      <c r="B190" s="106" t="s">
        <v>2293</v>
      </c>
      <c r="C190">
        <v>0.1</v>
      </c>
      <c r="D190">
        <v>0.3</v>
      </c>
      <c r="E190" t="s">
        <v>233</v>
      </c>
      <c r="F190" t="s">
        <v>233</v>
      </c>
      <c r="G190" t="s">
        <v>233</v>
      </c>
    </row>
    <row r="191" spans="1:7" x14ac:dyDescent="0.2">
      <c r="A191">
        <v>3382</v>
      </c>
      <c r="B191" s="106" t="s">
        <v>1187</v>
      </c>
      <c r="C191">
        <v>0</v>
      </c>
      <c r="D191" s="106">
        <v>0</v>
      </c>
      <c r="E191" s="106" t="s">
        <v>233</v>
      </c>
      <c r="F191" s="106">
        <v>0</v>
      </c>
      <c r="G191" s="106">
        <v>0</v>
      </c>
    </row>
    <row r="192" spans="1:7" x14ac:dyDescent="0.2">
      <c r="A192">
        <v>3387</v>
      </c>
      <c r="B192" s="106" t="s">
        <v>1188</v>
      </c>
      <c r="C192">
        <v>0.05</v>
      </c>
      <c r="D192" s="106">
        <v>0.15</v>
      </c>
      <c r="E192">
        <v>0.05</v>
      </c>
      <c r="F192" s="106">
        <v>0.05</v>
      </c>
      <c r="G192">
        <v>0.05</v>
      </c>
    </row>
    <row r="193" spans="1:7" x14ac:dyDescent="0.2">
      <c r="A193">
        <v>3388</v>
      </c>
      <c r="B193" s="106" t="s">
        <v>2294</v>
      </c>
      <c r="C193">
        <v>0</v>
      </c>
      <c r="D193" s="106">
        <v>0</v>
      </c>
      <c r="E193" s="106">
        <v>0</v>
      </c>
      <c r="F193" s="106" t="s">
        <v>233</v>
      </c>
      <c r="G193" s="106" t="s">
        <v>233</v>
      </c>
    </row>
    <row r="194" spans="1:7" x14ac:dyDescent="0.2">
      <c r="A194">
        <v>3391</v>
      </c>
      <c r="B194" s="106" t="s">
        <v>1189</v>
      </c>
      <c r="C194">
        <v>0.25</v>
      </c>
      <c r="D194" s="106">
        <v>0.75</v>
      </c>
      <c r="E194" s="106">
        <v>0.25</v>
      </c>
      <c r="F194">
        <v>0.25</v>
      </c>
      <c r="G194" s="106">
        <v>0.05</v>
      </c>
    </row>
    <row r="195" spans="1:7" x14ac:dyDescent="0.2">
      <c r="A195">
        <v>3393</v>
      </c>
      <c r="B195" s="106" t="s">
        <v>1190</v>
      </c>
      <c r="C195">
        <v>0</v>
      </c>
      <c r="D195">
        <v>0</v>
      </c>
      <c r="E195" s="106">
        <v>0</v>
      </c>
      <c r="F195">
        <v>0</v>
      </c>
      <c r="G195" s="106" t="s">
        <v>233</v>
      </c>
    </row>
    <row r="196" spans="1:7" x14ac:dyDescent="0.2">
      <c r="A196">
        <v>3397</v>
      </c>
      <c r="B196" s="106" t="s">
        <v>1191</v>
      </c>
      <c r="C196">
        <v>0</v>
      </c>
      <c r="D196">
        <v>0</v>
      </c>
      <c r="E196" s="106">
        <v>0.05</v>
      </c>
      <c r="F196" s="106">
        <v>0.05</v>
      </c>
      <c r="G196" s="106">
        <v>0</v>
      </c>
    </row>
    <row r="197" spans="1:7" x14ac:dyDescent="0.2">
      <c r="A197">
        <v>3401</v>
      </c>
      <c r="B197" s="106" t="s">
        <v>1192</v>
      </c>
      <c r="C197">
        <v>0</v>
      </c>
      <c r="D197">
        <v>0</v>
      </c>
      <c r="E197">
        <v>0</v>
      </c>
      <c r="F197">
        <v>0.05</v>
      </c>
      <c r="G197">
        <v>0.05</v>
      </c>
    </row>
    <row r="198" spans="1:7" x14ac:dyDescent="0.2">
      <c r="A198">
        <v>3407</v>
      </c>
      <c r="B198" s="106" t="s">
        <v>1035</v>
      </c>
      <c r="C198">
        <v>0.05</v>
      </c>
      <c r="D198" s="106">
        <v>0</v>
      </c>
      <c r="E198" s="106">
        <v>0.05</v>
      </c>
      <c r="F198" s="106">
        <v>0</v>
      </c>
      <c r="G198" s="106">
        <v>0.05</v>
      </c>
    </row>
    <row r="199" spans="1:7" x14ac:dyDescent="0.2">
      <c r="A199">
        <v>3415</v>
      </c>
      <c r="B199" s="106" t="s">
        <v>2551</v>
      </c>
      <c r="C199">
        <v>0</v>
      </c>
      <c r="D199" s="106" t="s">
        <v>233</v>
      </c>
      <c r="E199" s="106" t="s">
        <v>233</v>
      </c>
      <c r="F199" s="106" t="s">
        <v>233</v>
      </c>
      <c r="G199" s="106">
        <v>0</v>
      </c>
    </row>
    <row r="200" spans="1:7" x14ac:dyDescent="0.2">
      <c r="A200">
        <v>3433</v>
      </c>
      <c r="B200" s="106" t="s">
        <v>1193</v>
      </c>
      <c r="C200">
        <v>0</v>
      </c>
      <c r="D200">
        <v>0.15</v>
      </c>
      <c r="E200">
        <v>0</v>
      </c>
      <c r="F200">
        <v>0</v>
      </c>
      <c r="G200">
        <v>0</v>
      </c>
    </row>
    <row r="201" spans="1:7" x14ac:dyDescent="0.2">
      <c r="A201">
        <v>3436</v>
      </c>
      <c r="B201" s="106" t="s">
        <v>2552</v>
      </c>
      <c r="C201">
        <v>0</v>
      </c>
      <c r="D201" t="s">
        <v>233</v>
      </c>
      <c r="E201">
        <v>0</v>
      </c>
      <c r="F201" t="s">
        <v>233</v>
      </c>
      <c r="G201" s="106">
        <v>0</v>
      </c>
    </row>
    <row r="202" spans="1:7" x14ac:dyDescent="0.2">
      <c r="A202">
        <v>3454</v>
      </c>
      <c r="B202" s="106" t="s">
        <v>1194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3457</v>
      </c>
      <c r="B203" s="106" t="s">
        <v>1195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3465</v>
      </c>
      <c r="B204" s="106" t="s">
        <v>2295</v>
      </c>
      <c r="C204">
        <v>0</v>
      </c>
      <c r="D204">
        <v>0</v>
      </c>
      <c r="E204" s="106">
        <v>0</v>
      </c>
      <c r="F204" t="s">
        <v>233</v>
      </c>
      <c r="G204" s="106" t="s">
        <v>233</v>
      </c>
    </row>
    <row r="205" spans="1:7" x14ac:dyDescent="0.2">
      <c r="A205">
        <v>3475</v>
      </c>
      <c r="B205" s="106" t="s">
        <v>2296</v>
      </c>
      <c r="C205">
        <v>0</v>
      </c>
      <c r="D205">
        <v>0</v>
      </c>
      <c r="E205" s="106">
        <v>0</v>
      </c>
      <c r="F205">
        <v>0</v>
      </c>
      <c r="G205" s="106" t="s">
        <v>233</v>
      </c>
    </row>
    <row r="206" spans="1:7" x14ac:dyDescent="0.2">
      <c r="A206">
        <v>3480</v>
      </c>
      <c r="B206" s="106" t="s">
        <v>2553</v>
      </c>
      <c r="C206">
        <v>0</v>
      </c>
      <c r="D206" s="106" t="s">
        <v>233</v>
      </c>
      <c r="E206" s="106" t="s">
        <v>233</v>
      </c>
      <c r="F206" s="106" t="s">
        <v>233</v>
      </c>
      <c r="G206" s="106" t="s">
        <v>233</v>
      </c>
    </row>
    <row r="207" spans="1:7" x14ac:dyDescent="0.2">
      <c r="A207">
        <v>3484</v>
      </c>
      <c r="B207" s="106" t="s">
        <v>1196</v>
      </c>
      <c r="C207">
        <v>0.05</v>
      </c>
      <c r="D207" s="106">
        <v>0.15</v>
      </c>
      <c r="E207">
        <v>0.05</v>
      </c>
      <c r="F207" s="106">
        <v>0.05</v>
      </c>
      <c r="G207" s="106">
        <v>0.05</v>
      </c>
    </row>
    <row r="208" spans="1:7" x14ac:dyDescent="0.2">
      <c r="A208">
        <v>3501</v>
      </c>
      <c r="B208" s="106" t="s">
        <v>1197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 x14ac:dyDescent="0.2">
      <c r="A209">
        <v>3526</v>
      </c>
      <c r="B209" s="106" t="s">
        <v>2297</v>
      </c>
      <c r="C209">
        <v>0</v>
      </c>
      <c r="D209">
        <v>0</v>
      </c>
      <c r="E209">
        <v>0</v>
      </c>
      <c r="F209">
        <v>0</v>
      </c>
      <c r="G209" t="s">
        <v>233</v>
      </c>
    </row>
    <row r="210" spans="1:7" x14ac:dyDescent="0.2">
      <c r="A210">
        <v>3529</v>
      </c>
      <c r="B210" s="106" t="s">
        <v>1198</v>
      </c>
      <c r="C210">
        <v>0</v>
      </c>
      <c r="D210">
        <v>0</v>
      </c>
      <c r="E210">
        <v>0</v>
      </c>
      <c r="F210" s="106" t="s">
        <v>233</v>
      </c>
      <c r="G210" s="106">
        <v>0.05</v>
      </c>
    </row>
    <row r="211" spans="1:7" x14ac:dyDescent="0.2">
      <c r="A211">
        <v>3538</v>
      </c>
      <c r="B211" s="106" t="s">
        <v>1199</v>
      </c>
      <c r="C211">
        <v>0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3539</v>
      </c>
      <c r="B212" s="106" t="s">
        <v>1200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3544</v>
      </c>
      <c r="B213" s="106" t="s">
        <v>1201</v>
      </c>
      <c r="C213">
        <v>0.05</v>
      </c>
      <c r="D213">
        <v>0.15</v>
      </c>
      <c r="E213">
        <v>0.05</v>
      </c>
      <c r="F213">
        <v>0.05</v>
      </c>
      <c r="G213">
        <v>0.05</v>
      </c>
    </row>
    <row r="214" spans="1:7" x14ac:dyDescent="0.2">
      <c r="A214">
        <v>3547</v>
      </c>
      <c r="B214" s="106" t="s">
        <v>1202</v>
      </c>
      <c r="C214">
        <v>0.05</v>
      </c>
      <c r="D214">
        <v>0.15</v>
      </c>
      <c r="E214">
        <v>0.05</v>
      </c>
      <c r="F214">
        <v>0.05</v>
      </c>
      <c r="G214">
        <v>0.05</v>
      </c>
    </row>
    <row r="215" spans="1:7" x14ac:dyDescent="0.2">
      <c r="A215">
        <v>3571</v>
      </c>
      <c r="B215" s="106" t="s">
        <v>1203</v>
      </c>
      <c r="C215">
        <v>0.05</v>
      </c>
      <c r="D215">
        <v>0.15</v>
      </c>
      <c r="E215">
        <v>0.05</v>
      </c>
      <c r="F215">
        <v>0.05</v>
      </c>
      <c r="G215">
        <v>0.05</v>
      </c>
    </row>
    <row r="216" spans="1:7" x14ac:dyDescent="0.2">
      <c r="A216">
        <v>3580</v>
      </c>
      <c r="B216" s="106" t="s">
        <v>1204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 x14ac:dyDescent="0.2">
      <c r="A217">
        <v>3591</v>
      </c>
      <c r="B217" s="106" t="s">
        <v>1205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 x14ac:dyDescent="0.2">
      <c r="A218">
        <v>3593</v>
      </c>
      <c r="B218" s="106" t="s">
        <v>1206</v>
      </c>
      <c r="C218">
        <v>0.1</v>
      </c>
      <c r="D218">
        <v>0.3</v>
      </c>
      <c r="E218">
        <v>0.1</v>
      </c>
      <c r="F218">
        <v>0.1</v>
      </c>
      <c r="G218">
        <v>0.1</v>
      </c>
    </row>
    <row r="219" spans="1:7" x14ac:dyDescent="0.2">
      <c r="A219">
        <v>3606</v>
      </c>
      <c r="B219" s="106" t="s">
        <v>1207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3611</v>
      </c>
      <c r="B220" s="106" t="s">
        <v>2298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3612</v>
      </c>
      <c r="B221" s="106" t="s">
        <v>1208</v>
      </c>
      <c r="C221">
        <v>0.05</v>
      </c>
      <c r="D221">
        <v>0</v>
      </c>
      <c r="E221">
        <v>0.05</v>
      </c>
      <c r="F221">
        <v>0</v>
      </c>
      <c r="G221" s="106">
        <v>0.05</v>
      </c>
    </row>
    <row r="222" spans="1:7" x14ac:dyDescent="0.2">
      <c r="A222">
        <v>3627</v>
      </c>
      <c r="B222" s="106" t="s">
        <v>1209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3632</v>
      </c>
      <c r="B223" s="106" t="s">
        <v>1210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3635</v>
      </c>
      <c r="B224" s="106" t="s">
        <v>85</v>
      </c>
      <c r="C224">
        <v>0.05</v>
      </c>
      <c r="D224">
        <v>0.15</v>
      </c>
      <c r="E224">
        <v>0.05</v>
      </c>
      <c r="F224">
        <v>0.05</v>
      </c>
      <c r="G224" s="106">
        <v>0.05</v>
      </c>
    </row>
    <row r="225" spans="1:7" x14ac:dyDescent="0.2">
      <c r="A225">
        <v>3639</v>
      </c>
      <c r="B225" s="106" t="s">
        <v>1211</v>
      </c>
      <c r="C225">
        <v>0.05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3640</v>
      </c>
      <c r="B226" s="106" t="s">
        <v>1212</v>
      </c>
      <c r="C226">
        <v>0.05</v>
      </c>
      <c r="D226" s="106">
        <v>0.15</v>
      </c>
      <c r="E226">
        <v>0.05</v>
      </c>
      <c r="F226">
        <v>0.05</v>
      </c>
      <c r="G226">
        <v>0.05</v>
      </c>
    </row>
    <row r="227" spans="1:7" x14ac:dyDescent="0.2">
      <c r="A227">
        <v>3648</v>
      </c>
      <c r="B227" s="106" t="s">
        <v>1213</v>
      </c>
      <c r="C227">
        <v>0.05</v>
      </c>
      <c r="D227">
        <v>0</v>
      </c>
      <c r="E227">
        <v>0.05</v>
      </c>
      <c r="F227">
        <v>0</v>
      </c>
      <c r="G227">
        <v>0.05</v>
      </c>
    </row>
    <row r="228" spans="1:7" x14ac:dyDescent="0.2">
      <c r="A228">
        <v>3655</v>
      </c>
      <c r="B228" s="106" t="s">
        <v>1214</v>
      </c>
      <c r="C228">
        <v>0.1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3656</v>
      </c>
      <c r="B229" s="106" t="s">
        <v>1215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3659</v>
      </c>
      <c r="B230" s="106" t="s">
        <v>1216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3660</v>
      </c>
      <c r="B231" s="106" t="s">
        <v>1217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 x14ac:dyDescent="0.2">
      <c r="A232">
        <v>3661</v>
      </c>
      <c r="B232" s="106" t="s">
        <v>1218</v>
      </c>
      <c r="C232">
        <v>0.05</v>
      </c>
      <c r="D232">
        <v>0.15</v>
      </c>
      <c r="E232">
        <v>0.05</v>
      </c>
      <c r="F232">
        <v>0.05</v>
      </c>
      <c r="G232">
        <v>0.05</v>
      </c>
    </row>
    <row r="233" spans="1:7" x14ac:dyDescent="0.2">
      <c r="A233">
        <v>3662</v>
      </c>
      <c r="B233" s="106" t="s">
        <v>1219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3667</v>
      </c>
      <c r="B234" s="106" t="s">
        <v>2299</v>
      </c>
      <c r="C234">
        <v>0</v>
      </c>
      <c r="D234" s="106">
        <v>0</v>
      </c>
      <c r="E234" t="s">
        <v>233</v>
      </c>
      <c r="F234" t="s">
        <v>233</v>
      </c>
      <c r="G234" t="s">
        <v>233</v>
      </c>
    </row>
    <row r="235" spans="1:7" x14ac:dyDescent="0.2">
      <c r="A235">
        <v>3668</v>
      </c>
      <c r="B235" s="106" t="s">
        <v>1220</v>
      </c>
      <c r="C235">
        <v>0.05</v>
      </c>
      <c r="D235">
        <v>0.15</v>
      </c>
      <c r="E235">
        <v>0.05</v>
      </c>
      <c r="F235">
        <v>0.05</v>
      </c>
      <c r="G235">
        <v>0.05</v>
      </c>
    </row>
    <row r="236" spans="1:7" x14ac:dyDescent="0.2">
      <c r="A236">
        <v>3678</v>
      </c>
      <c r="B236" s="106" t="s">
        <v>1221</v>
      </c>
      <c r="C236">
        <v>0.1</v>
      </c>
      <c r="D236" s="106">
        <v>0.3</v>
      </c>
      <c r="E236" s="106">
        <v>0.1</v>
      </c>
      <c r="F236" s="106">
        <v>0.1</v>
      </c>
      <c r="G236" s="106">
        <v>0.1</v>
      </c>
    </row>
    <row r="237" spans="1:7" x14ac:dyDescent="0.2">
      <c r="A237">
        <v>3681</v>
      </c>
      <c r="B237" s="106" t="s">
        <v>1222</v>
      </c>
      <c r="C237">
        <v>0.05</v>
      </c>
      <c r="D237" s="106">
        <v>0.15</v>
      </c>
      <c r="E237">
        <v>0.05</v>
      </c>
      <c r="F237" s="106">
        <v>0.05</v>
      </c>
      <c r="G237" s="106">
        <v>0.05</v>
      </c>
    </row>
    <row r="238" spans="1:7" x14ac:dyDescent="0.2">
      <c r="A238">
        <v>3694</v>
      </c>
      <c r="B238" s="106" t="s">
        <v>1223</v>
      </c>
      <c r="C238">
        <v>0.05</v>
      </c>
      <c r="D238" s="106">
        <v>0.15</v>
      </c>
      <c r="E238">
        <v>0.05</v>
      </c>
      <c r="F238" s="106">
        <v>0.05</v>
      </c>
      <c r="G238" s="106">
        <v>0.05</v>
      </c>
    </row>
    <row r="239" spans="1:7" x14ac:dyDescent="0.2">
      <c r="A239">
        <v>3697</v>
      </c>
      <c r="B239" s="106" t="s">
        <v>1224</v>
      </c>
      <c r="C239">
        <v>0.15</v>
      </c>
      <c r="D239">
        <v>0.45</v>
      </c>
      <c r="E239">
        <v>0.15</v>
      </c>
      <c r="F239">
        <v>0.15</v>
      </c>
      <c r="G239">
        <v>0.15</v>
      </c>
    </row>
    <row r="240" spans="1:7" x14ac:dyDescent="0.2">
      <c r="A240">
        <v>3708</v>
      </c>
      <c r="B240" s="106" t="s">
        <v>1225</v>
      </c>
      <c r="C240">
        <v>0.1</v>
      </c>
      <c r="D240" s="106">
        <v>0.3</v>
      </c>
      <c r="E240">
        <v>0.1</v>
      </c>
      <c r="F240" s="106">
        <v>0.1</v>
      </c>
      <c r="G240">
        <v>0.1</v>
      </c>
    </row>
    <row r="241" spans="1:7" x14ac:dyDescent="0.2">
      <c r="A241">
        <v>3738</v>
      </c>
      <c r="B241" s="106" t="s">
        <v>1226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 x14ac:dyDescent="0.2">
      <c r="A242">
        <v>3774</v>
      </c>
      <c r="B242" s="106" t="s">
        <v>1227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 x14ac:dyDescent="0.2">
      <c r="A243">
        <v>3778</v>
      </c>
      <c r="B243" s="106" t="s">
        <v>1228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3822</v>
      </c>
      <c r="B244" s="106" t="s">
        <v>1229</v>
      </c>
      <c r="C244">
        <v>0.05</v>
      </c>
      <c r="D244">
        <v>0.15</v>
      </c>
      <c r="E244">
        <v>0.1</v>
      </c>
      <c r="F244">
        <v>0.05</v>
      </c>
      <c r="G244">
        <v>0.05</v>
      </c>
    </row>
    <row r="245" spans="1:7" x14ac:dyDescent="0.2">
      <c r="A245">
        <v>3843</v>
      </c>
      <c r="B245" s="106" t="s">
        <v>2300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3865</v>
      </c>
      <c r="B246" s="106" t="s">
        <v>1230</v>
      </c>
      <c r="C246">
        <v>0</v>
      </c>
      <c r="D246" s="106">
        <v>0.15</v>
      </c>
      <c r="E246" s="106">
        <v>0.05</v>
      </c>
      <c r="F246" s="106">
        <v>0</v>
      </c>
      <c r="G246" s="106">
        <v>0</v>
      </c>
    </row>
    <row r="247" spans="1:7" x14ac:dyDescent="0.2">
      <c r="A247">
        <v>3877</v>
      </c>
      <c r="B247" s="106" t="s">
        <v>1231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3878</v>
      </c>
      <c r="B248" s="106" t="s">
        <v>1232</v>
      </c>
      <c r="C248">
        <v>0</v>
      </c>
      <c r="D248">
        <v>0</v>
      </c>
      <c r="E248">
        <v>0</v>
      </c>
      <c r="F248">
        <v>0</v>
      </c>
      <c r="G248" s="106">
        <v>0.05</v>
      </c>
    </row>
    <row r="249" spans="1:7" x14ac:dyDescent="0.2">
      <c r="A249">
        <v>3912</v>
      </c>
      <c r="B249" s="106" t="s">
        <v>2554</v>
      </c>
      <c r="C249">
        <v>0</v>
      </c>
      <c r="D249" t="s">
        <v>233</v>
      </c>
      <c r="E249" s="106">
        <v>0</v>
      </c>
      <c r="F249">
        <v>0</v>
      </c>
      <c r="G249" s="106" t="s">
        <v>233</v>
      </c>
    </row>
    <row r="250" spans="1:7" x14ac:dyDescent="0.2">
      <c r="A250">
        <v>3928</v>
      </c>
      <c r="B250" s="106" t="s">
        <v>2301</v>
      </c>
      <c r="C250">
        <v>0</v>
      </c>
      <c r="D250" s="106">
        <v>0</v>
      </c>
      <c r="E250" s="106">
        <v>0</v>
      </c>
      <c r="F250" s="106" t="s">
        <v>233</v>
      </c>
      <c r="G250" s="106" t="s">
        <v>233</v>
      </c>
    </row>
    <row r="251" spans="1:7" x14ac:dyDescent="0.2">
      <c r="A251">
        <v>3950</v>
      </c>
      <c r="B251" s="106" t="s">
        <v>2302</v>
      </c>
      <c r="C251">
        <v>0.1</v>
      </c>
      <c r="D251" s="106">
        <v>0</v>
      </c>
      <c r="E251" s="106">
        <v>0</v>
      </c>
      <c r="F251" s="106">
        <v>0</v>
      </c>
      <c r="G251" s="106" t="s">
        <v>233</v>
      </c>
    </row>
    <row r="252" spans="1:7" x14ac:dyDescent="0.2">
      <c r="A252">
        <v>3963</v>
      </c>
      <c r="B252" s="106" t="s">
        <v>2303</v>
      </c>
      <c r="C252">
        <v>0</v>
      </c>
      <c r="D252">
        <v>0</v>
      </c>
      <c r="E252" s="106" t="s">
        <v>233</v>
      </c>
      <c r="F252" t="s">
        <v>233</v>
      </c>
      <c r="G252" s="106" t="s">
        <v>233</v>
      </c>
    </row>
    <row r="253" spans="1:7" x14ac:dyDescent="0.2">
      <c r="A253">
        <v>3964</v>
      </c>
      <c r="B253" s="106" t="s">
        <v>1233</v>
      </c>
      <c r="C253">
        <v>0.05</v>
      </c>
      <c r="D253">
        <v>0.15</v>
      </c>
      <c r="E253">
        <v>0.05</v>
      </c>
      <c r="F253">
        <v>0.05</v>
      </c>
      <c r="G253">
        <v>0.05</v>
      </c>
    </row>
    <row r="254" spans="1:7" x14ac:dyDescent="0.2">
      <c r="A254">
        <v>3968</v>
      </c>
      <c r="B254" s="106" t="s">
        <v>1234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3975</v>
      </c>
      <c r="B255" s="106" t="s">
        <v>1235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3983</v>
      </c>
      <c r="B256" s="106" t="s">
        <v>1236</v>
      </c>
      <c r="C256">
        <v>0.1</v>
      </c>
      <c r="D256">
        <v>0.3</v>
      </c>
      <c r="E256">
        <v>0.1</v>
      </c>
      <c r="F256" s="106">
        <v>0.1</v>
      </c>
      <c r="G256" s="106">
        <v>0.1</v>
      </c>
    </row>
    <row r="257" spans="1:7" x14ac:dyDescent="0.2">
      <c r="A257">
        <v>3996</v>
      </c>
      <c r="B257" s="106" t="s">
        <v>1237</v>
      </c>
      <c r="C257">
        <v>0.05</v>
      </c>
      <c r="D257" s="106">
        <v>0.15</v>
      </c>
      <c r="E257" s="106">
        <v>9.1999999999999993</v>
      </c>
      <c r="F257" s="106">
        <v>9.5</v>
      </c>
      <c r="G257" s="106">
        <v>9.6</v>
      </c>
    </row>
    <row r="258" spans="1:7" x14ac:dyDescent="0.2">
      <c r="A258">
        <v>4004</v>
      </c>
      <c r="B258" s="106" t="s">
        <v>2304</v>
      </c>
      <c r="C258">
        <v>0</v>
      </c>
      <c r="D258">
        <v>0</v>
      </c>
      <c r="E258" t="s">
        <v>233</v>
      </c>
      <c r="F258" t="s">
        <v>233</v>
      </c>
      <c r="G258" t="s">
        <v>233</v>
      </c>
    </row>
    <row r="259" spans="1:7" x14ac:dyDescent="0.2">
      <c r="A259">
        <v>4021</v>
      </c>
      <c r="B259" s="106" t="s">
        <v>2305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4022</v>
      </c>
      <c r="B260" s="106" t="s">
        <v>1238</v>
      </c>
      <c r="C260">
        <v>0</v>
      </c>
      <c r="D260">
        <v>0</v>
      </c>
      <c r="E260" s="106">
        <v>0</v>
      </c>
      <c r="F260" s="106" t="s">
        <v>233</v>
      </c>
      <c r="G260" s="106">
        <v>0</v>
      </c>
    </row>
    <row r="261" spans="1:7" x14ac:dyDescent="0.2">
      <c r="A261">
        <v>4025</v>
      </c>
      <c r="B261" s="106" t="s">
        <v>1239</v>
      </c>
      <c r="C261">
        <v>0.1</v>
      </c>
      <c r="D261">
        <v>0.3</v>
      </c>
      <c r="E261">
        <v>0.1</v>
      </c>
      <c r="F261">
        <v>0.1</v>
      </c>
      <c r="G261">
        <v>0.1</v>
      </c>
    </row>
    <row r="262" spans="1:7" x14ac:dyDescent="0.2">
      <c r="A262">
        <v>4031</v>
      </c>
      <c r="B262" s="106" t="s">
        <v>1240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4041</v>
      </c>
      <c r="B263" s="106" t="s">
        <v>1241</v>
      </c>
      <c r="C263">
        <v>0.05</v>
      </c>
      <c r="D263" s="106">
        <v>0.15</v>
      </c>
      <c r="E263" s="106">
        <v>0.05</v>
      </c>
      <c r="F263" s="106">
        <v>0.05</v>
      </c>
      <c r="G263" s="106">
        <v>0.05</v>
      </c>
    </row>
    <row r="264" spans="1:7" x14ac:dyDescent="0.2">
      <c r="A264">
        <v>4042</v>
      </c>
      <c r="B264" s="106" t="s">
        <v>1009</v>
      </c>
      <c r="C264">
        <v>0</v>
      </c>
      <c r="D264">
        <v>0</v>
      </c>
      <c r="E264" s="106">
        <v>0.05</v>
      </c>
      <c r="F264" s="106">
        <v>0</v>
      </c>
      <c r="G264" s="106">
        <v>0.05</v>
      </c>
    </row>
    <row r="265" spans="1:7" x14ac:dyDescent="0.2">
      <c r="A265">
        <v>4043</v>
      </c>
      <c r="B265" s="106" t="s">
        <v>1242</v>
      </c>
      <c r="C265">
        <v>0.05</v>
      </c>
      <c r="D265" s="106">
        <v>0.15</v>
      </c>
      <c r="E265" s="106">
        <v>0.05</v>
      </c>
      <c r="F265" s="106">
        <v>0.05</v>
      </c>
      <c r="G265" s="106">
        <v>0.05</v>
      </c>
    </row>
    <row r="266" spans="1:7" x14ac:dyDescent="0.2">
      <c r="A266">
        <v>4044</v>
      </c>
      <c r="B266" s="106" t="s">
        <v>1243</v>
      </c>
      <c r="C266">
        <v>0</v>
      </c>
      <c r="D266" s="106">
        <v>0.15</v>
      </c>
      <c r="E266" s="106">
        <v>0.05</v>
      </c>
      <c r="F266" s="106">
        <v>0.05</v>
      </c>
      <c r="G266" s="106">
        <v>0.05</v>
      </c>
    </row>
    <row r="267" spans="1:7" x14ac:dyDescent="0.2">
      <c r="A267">
        <v>4045</v>
      </c>
      <c r="B267" s="106" t="s">
        <v>1244</v>
      </c>
      <c r="C267">
        <v>0.05</v>
      </c>
      <c r="D267">
        <v>0.15</v>
      </c>
      <c r="E267">
        <v>0.05</v>
      </c>
      <c r="F267">
        <v>0.05</v>
      </c>
      <c r="G267">
        <v>0.05</v>
      </c>
    </row>
    <row r="268" spans="1:7" x14ac:dyDescent="0.2">
      <c r="A268">
        <v>4046</v>
      </c>
      <c r="B268" s="106" t="s">
        <v>1245</v>
      </c>
      <c r="C268">
        <v>0.05</v>
      </c>
      <c r="D268">
        <v>0.15</v>
      </c>
      <c r="E268" t="s">
        <v>233</v>
      </c>
      <c r="F268">
        <v>0.05</v>
      </c>
      <c r="G268" t="s">
        <v>233</v>
      </c>
    </row>
    <row r="269" spans="1:7" x14ac:dyDescent="0.2">
      <c r="A269">
        <v>4047</v>
      </c>
      <c r="B269" s="106" t="s">
        <v>1246</v>
      </c>
      <c r="C269">
        <v>0.05</v>
      </c>
      <c r="D269">
        <v>0.15</v>
      </c>
      <c r="E269" s="106">
        <v>0.05</v>
      </c>
      <c r="F269">
        <v>0.05</v>
      </c>
      <c r="G269">
        <v>0.05</v>
      </c>
    </row>
    <row r="270" spans="1:7" x14ac:dyDescent="0.2">
      <c r="A270">
        <v>4062</v>
      </c>
      <c r="B270" s="106" t="s">
        <v>322</v>
      </c>
      <c r="C270">
        <v>0.05</v>
      </c>
      <c r="D270" s="106">
        <v>0.15</v>
      </c>
      <c r="E270" s="106">
        <v>0.05</v>
      </c>
      <c r="F270" s="106">
        <v>0.05</v>
      </c>
      <c r="G270" s="106">
        <v>0.05</v>
      </c>
    </row>
    <row r="271" spans="1:7" x14ac:dyDescent="0.2">
      <c r="A271">
        <v>4091</v>
      </c>
      <c r="B271" s="106" t="s">
        <v>1247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4092</v>
      </c>
      <c r="B272" s="106" t="s">
        <v>1248</v>
      </c>
      <c r="C272">
        <v>0.1</v>
      </c>
      <c r="D272">
        <v>0.3</v>
      </c>
      <c r="E272">
        <v>0.1</v>
      </c>
      <c r="F272">
        <v>0.1</v>
      </c>
      <c r="G272">
        <v>0.1</v>
      </c>
    </row>
    <row r="273" spans="1:7" x14ac:dyDescent="0.2">
      <c r="A273">
        <v>4099</v>
      </c>
      <c r="B273" s="106" t="s">
        <v>2306</v>
      </c>
      <c r="C273">
        <v>0.05</v>
      </c>
      <c r="D273">
        <v>0.15</v>
      </c>
      <c r="E273" t="s">
        <v>233</v>
      </c>
      <c r="F273">
        <v>0.05</v>
      </c>
      <c r="G273" s="106">
        <v>0.05</v>
      </c>
    </row>
    <row r="274" spans="1:7" x14ac:dyDescent="0.2">
      <c r="A274">
        <v>4100</v>
      </c>
      <c r="B274" s="106" t="s">
        <v>1249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4112</v>
      </c>
      <c r="B275" s="106" t="s">
        <v>1250</v>
      </c>
      <c r="C275">
        <v>0.1</v>
      </c>
      <c r="D275">
        <v>0.3</v>
      </c>
      <c r="E275">
        <v>0.1</v>
      </c>
      <c r="F275">
        <v>0.1</v>
      </c>
      <c r="G275">
        <v>0.1</v>
      </c>
    </row>
    <row r="276" spans="1:7" x14ac:dyDescent="0.2">
      <c r="A276">
        <v>4114</v>
      </c>
      <c r="B276" s="106" t="s">
        <v>1251</v>
      </c>
      <c r="C276">
        <v>0.15</v>
      </c>
      <c r="D276">
        <v>0.45</v>
      </c>
      <c r="E276">
        <v>0.15</v>
      </c>
      <c r="F276">
        <v>0.15</v>
      </c>
      <c r="G276">
        <v>0.15</v>
      </c>
    </row>
    <row r="277" spans="1:7" x14ac:dyDescent="0.2">
      <c r="A277">
        <v>4116</v>
      </c>
      <c r="B277" s="106" t="s">
        <v>1252</v>
      </c>
      <c r="C277">
        <v>0</v>
      </c>
      <c r="D277" s="106">
        <v>0</v>
      </c>
      <c r="E277" s="106">
        <v>0</v>
      </c>
      <c r="F277" s="106">
        <v>0.05</v>
      </c>
      <c r="G277" s="106">
        <v>0.05</v>
      </c>
    </row>
    <row r="278" spans="1:7" x14ac:dyDescent="0.2">
      <c r="A278">
        <v>4151</v>
      </c>
      <c r="B278" s="106" t="s">
        <v>1253</v>
      </c>
      <c r="C278">
        <v>0.05</v>
      </c>
      <c r="D278">
        <v>0.15</v>
      </c>
      <c r="E278">
        <v>0.05</v>
      </c>
      <c r="F278">
        <v>0.05</v>
      </c>
      <c r="G278">
        <v>0.05</v>
      </c>
    </row>
    <row r="279" spans="1:7" x14ac:dyDescent="0.2">
      <c r="A279">
        <v>4182</v>
      </c>
      <c r="B279" s="106" t="s">
        <v>88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4183</v>
      </c>
      <c r="B280" s="106" t="s">
        <v>298</v>
      </c>
      <c r="C280">
        <v>0</v>
      </c>
      <c r="D280">
        <v>0</v>
      </c>
      <c r="E280">
        <v>0.05</v>
      </c>
      <c r="F280">
        <v>0.05</v>
      </c>
      <c r="G280" s="106">
        <v>0.05</v>
      </c>
    </row>
    <row r="281" spans="1:7" x14ac:dyDescent="0.2">
      <c r="A281">
        <v>4185</v>
      </c>
      <c r="B281" s="106" t="s">
        <v>2307</v>
      </c>
      <c r="C281">
        <v>0</v>
      </c>
      <c r="D281" s="106">
        <v>0</v>
      </c>
      <c r="E281">
        <v>0</v>
      </c>
      <c r="F281" t="s">
        <v>233</v>
      </c>
      <c r="G281" s="106" t="s">
        <v>233</v>
      </c>
    </row>
    <row r="282" spans="1:7" x14ac:dyDescent="0.2">
      <c r="A282">
        <v>4186</v>
      </c>
      <c r="B282" s="106" t="s">
        <v>1254</v>
      </c>
      <c r="C282">
        <v>0.05</v>
      </c>
      <c r="D282">
        <v>0</v>
      </c>
      <c r="E282">
        <v>0.1</v>
      </c>
      <c r="F282">
        <v>0.1</v>
      </c>
      <c r="G282">
        <v>0</v>
      </c>
    </row>
    <row r="283" spans="1:7" x14ac:dyDescent="0.2">
      <c r="A283">
        <v>4187</v>
      </c>
      <c r="B283" s="106" t="s">
        <v>2308</v>
      </c>
      <c r="C283">
        <v>0</v>
      </c>
      <c r="D283">
        <v>0</v>
      </c>
      <c r="E283" t="s">
        <v>233</v>
      </c>
      <c r="F283" t="s">
        <v>233</v>
      </c>
      <c r="G283" t="s">
        <v>233</v>
      </c>
    </row>
    <row r="284" spans="1:7" x14ac:dyDescent="0.2">
      <c r="A284">
        <v>4202</v>
      </c>
      <c r="B284" s="106" t="s">
        <v>89</v>
      </c>
      <c r="C284">
        <v>0.05</v>
      </c>
      <c r="D284">
        <v>0</v>
      </c>
      <c r="E284">
        <v>0.05</v>
      </c>
      <c r="F284">
        <v>0</v>
      </c>
      <c r="G284">
        <v>0</v>
      </c>
    </row>
    <row r="285" spans="1:7" x14ac:dyDescent="0.2">
      <c r="A285">
        <v>4203</v>
      </c>
      <c r="B285" s="106" t="s">
        <v>1255</v>
      </c>
      <c r="C285">
        <v>0</v>
      </c>
      <c r="D285">
        <v>0</v>
      </c>
      <c r="E285">
        <v>0</v>
      </c>
      <c r="F285">
        <v>0</v>
      </c>
      <c r="G285">
        <v>0.1</v>
      </c>
    </row>
    <row r="286" spans="1:7" x14ac:dyDescent="0.2">
      <c r="A286">
        <v>4204</v>
      </c>
      <c r="B286" s="106" t="s">
        <v>320</v>
      </c>
      <c r="C286">
        <v>0.05</v>
      </c>
      <c r="D286">
        <v>0.15</v>
      </c>
      <c r="E286">
        <v>0</v>
      </c>
      <c r="F286">
        <v>0</v>
      </c>
      <c r="G286">
        <v>0</v>
      </c>
    </row>
    <row r="287" spans="1:7" x14ac:dyDescent="0.2">
      <c r="A287">
        <v>4205</v>
      </c>
      <c r="B287" s="106" t="s">
        <v>1256</v>
      </c>
      <c r="C287">
        <v>0.05</v>
      </c>
      <c r="D287">
        <v>0.15</v>
      </c>
      <c r="E287">
        <v>0.05</v>
      </c>
      <c r="F287">
        <v>0.05</v>
      </c>
      <c r="G287">
        <v>0.05</v>
      </c>
    </row>
    <row r="288" spans="1:7" x14ac:dyDescent="0.2">
      <c r="A288">
        <v>4208</v>
      </c>
      <c r="B288" s="106" t="s">
        <v>98</v>
      </c>
      <c r="C288">
        <v>0.05</v>
      </c>
      <c r="D288">
        <v>0.15</v>
      </c>
      <c r="E288">
        <v>0.05</v>
      </c>
      <c r="F288">
        <v>0.05</v>
      </c>
      <c r="G288">
        <v>0.05</v>
      </c>
    </row>
    <row r="289" spans="1:7" x14ac:dyDescent="0.2">
      <c r="A289">
        <v>4212</v>
      </c>
      <c r="B289" s="106" t="s">
        <v>1257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4216</v>
      </c>
      <c r="B290" s="106" t="s">
        <v>1258</v>
      </c>
      <c r="C290">
        <v>0.05</v>
      </c>
      <c r="D290">
        <v>0.15</v>
      </c>
      <c r="E290">
        <v>0.05</v>
      </c>
      <c r="F290">
        <v>0.05</v>
      </c>
      <c r="G290">
        <v>0.05</v>
      </c>
    </row>
    <row r="291" spans="1:7" x14ac:dyDescent="0.2">
      <c r="A291">
        <v>4218</v>
      </c>
      <c r="B291" s="106" t="s">
        <v>1259</v>
      </c>
      <c r="C291">
        <v>0.05</v>
      </c>
      <c r="D291" s="106">
        <v>0</v>
      </c>
      <c r="E291" s="106">
        <v>0.05</v>
      </c>
      <c r="F291" s="106">
        <v>0</v>
      </c>
      <c r="G291" s="106">
        <v>0.05</v>
      </c>
    </row>
    <row r="292" spans="1:7" x14ac:dyDescent="0.2">
      <c r="A292">
        <v>4221</v>
      </c>
      <c r="B292" s="106" t="s">
        <v>2309</v>
      </c>
      <c r="C292">
        <v>0.05</v>
      </c>
      <c r="D292">
        <v>0</v>
      </c>
      <c r="E292">
        <v>0.05</v>
      </c>
      <c r="F292" t="s">
        <v>233</v>
      </c>
      <c r="G292">
        <v>0.05</v>
      </c>
    </row>
    <row r="293" spans="1:7" x14ac:dyDescent="0.2">
      <c r="A293">
        <v>4272</v>
      </c>
      <c r="B293" s="106" t="s">
        <v>1260</v>
      </c>
      <c r="C293">
        <v>0.05</v>
      </c>
      <c r="D293">
        <v>0</v>
      </c>
      <c r="E293">
        <v>0</v>
      </c>
      <c r="F293">
        <v>0</v>
      </c>
      <c r="G293">
        <v>0.05</v>
      </c>
    </row>
    <row r="294" spans="1:7" x14ac:dyDescent="0.2">
      <c r="A294">
        <v>4286</v>
      </c>
      <c r="B294" s="106" t="s">
        <v>1261</v>
      </c>
      <c r="C294">
        <v>0</v>
      </c>
      <c r="D294">
        <v>0.15</v>
      </c>
      <c r="E294">
        <v>0</v>
      </c>
      <c r="F294">
        <v>0</v>
      </c>
      <c r="G294">
        <v>0</v>
      </c>
    </row>
    <row r="295" spans="1:7" x14ac:dyDescent="0.2">
      <c r="A295">
        <v>4290</v>
      </c>
      <c r="B295" s="106" t="s">
        <v>1262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4299</v>
      </c>
      <c r="B296" s="106" t="s">
        <v>1263</v>
      </c>
      <c r="C296">
        <v>0.05</v>
      </c>
      <c r="D296">
        <v>0.15</v>
      </c>
      <c r="E296">
        <v>0.05</v>
      </c>
      <c r="F296">
        <v>0.05</v>
      </c>
      <c r="G296">
        <v>0.05</v>
      </c>
    </row>
    <row r="297" spans="1:7" x14ac:dyDescent="0.2">
      <c r="A297">
        <v>4307</v>
      </c>
      <c r="B297" s="106" t="s">
        <v>1264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4310</v>
      </c>
      <c r="B298" s="106" t="s">
        <v>1265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4321</v>
      </c>
      <c r="B299" s="106" t="s">
        <v>1266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4337</v>
      </c>
      <c r="B300" s="106" t="s">
        <v>1267</v>
      </c>
      <c r="C300">
        <v>0.1</v>
      </c>
      <c r="D300">
        <v>0.3</v>
      </c>
      <c r="E300">
        <v>0.1</v>
      </c>
      <c r="F300">
        <v>0.1</v>
      </c>
      <c r="G300" s="106">
        <v>0.1</v>
      </c>
    </row>
    <row r="301" spans="1:7" x14ac:dyDescent="0.2">
      <c r="A301">
        <v>4344</v>
      </c>
      <c r="B301" s="106" t="s">
        <v>1268</v>
      </c>
      <c r="C301">
        <v>0.05</v>
      </c>
      <c r="D301">
        <v>0</v>
      </c>
      <c r="E301" s="106">
        <v>0</v>
      </c>
      <c r="F301">
        <v>0.05</v>
      </c>
      <c r="G301" s="106">
        <v>0.05</v>
      </c>
    </row>
    <row r="302" spans="1:7" x14ac:dyDescent="0.2">
      <c r="A302">
        <v>4345</v>
      </c>
      <c r="B302" s="106" t="s">
        <v>1269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4362</v>
      </c>
      <c r="B303" s="106" t="s">
        <v>2310</v>
      </c>
      <c r="C303">
        <v>0</v>
      </c>
      <c r="D303" s="106">
        <v>0</v>
      </c>
      <c r="E303" s="106">
        <v>0.05</v>
      </c>
      <c r="F303" s="106" t="s">
        <v>233</v>
      </c>
      <c r="G303" s="106">
        <v>0</v>
      </c>
    </row>
    <row r="304" spans="1:7" x14ac:dyDescent="0.2">
      <c r="A304">
        <v>4368</v>
      </c>
      <c r="B304" s="106" t="s">
        <v>1270</v>
      </c>
      <c r="C304">
        <v>0</v>
      </c>
      <c r="D304">
        <v>0</v>
      </c>
      <c r="E304">
        <v>0</v>
      </c>
      <c r="F304">
        <v>0</v>
      </c>
      <c r="G304">
        <v>0.05</v>
      </c>
    </row>
    <row r="305" spans="1:7" x14ac:dyDescent="0.2">
      <c r="A305">
        <v>4401</v>
      </c>
      <c r="B305" s="106" t="s">
        <v>313</v>
      </c>
      <c r="C305">
        <v>0.05</v>
      </c>
      <c r="D305" s="106">
        <v>0.15</v>
      </c>
      <c r="E305">
        <v>0.05</v>
      </c>
      <c r="F305">
        <v>0.05</v>
      </c>
      <c r="G305">
        <v>0.05</v>
      </c>
    </row>
    <row r="306" spans="1:7" x14ac:dyDescent="0.2">
      <c r="A306">
        <v>4403</v>
      </c>
      <c r="B306" s="106" t="s">
        <v>1271</v>
      </c>
      <c r="C306">
        <v>0</v>
      </c>
      <c r="D306" s="106">
        <v>0</v>
      </c>
      <c r="E306">
        <v>0</v>
      </c>
      <c r="F306" t="s">
        <v>233</v>
      </c>
      <c r="G306" t="s">
        <v>233</v>
      </c>
    </row>
    <row r="307" spans="1:7" x14ac:dyDescent="0.2">
      <c r="A307">
        <v>4410</v>
      </c>
      <c r="B307" s="106" t="s">
        <v>1272</v>
      </c>
      <c r="C307">
        <v>0.05</v>
      </c>
      <c r="D307">
        <v>0.15</v>
      </c>
      <c r="E307">
        <v>0.05</v>
      </c>
      <c r="F307">
        <v>0</v>
      </c>
      <c r="G307">
        <v>0</v>
      </c>
    </row>
    <row r="308" spans="1:7" x14ac:dyDescent="0.2">
      <c r="A308">
        <v>4452</v>
      </c>
      <c r="B308" s="106" t="s">
        <v>1273</v>
      </c>
      <c r="C308">
        <v>0.15</v>
      </c>
      <c r="D308">
        <v>0.45</v>
      </c>
      <c r="E308">
        <v>0.15</v>
      </c>
      <c r="F308">
        <v>0.15</v>
      </c>
      <c r="G308">
        <v>0.15</v>
      </c>
    </row>
    <row r="309" spans="1:7" x14ac:dyDescent="0.2">
      <c r="A309">
        <v>4461</v>
      </c>
      <c r="B309" s="106" t="s">
        <v>1274</v>
      </c>
      <c r="C309">
        <v>0.1</v>
      </c>
      <c r="D309">
        <v>0.3</v>
      </c>
      <c r="E309">
        <v>0.1</v>
      </c>
      <c r="F309">
        <v>0.1</v>
      </c>
      <c r="G309">
        <v>0.1</v>
      </c>
    </row>
    <row r="310" spans="1:7" x14ac:dyDescent="0.2">
      <c r="A310">
        <v>4462</v>
      </c>
      <c r="B310" s="106" t="s">
        <v>2555</v>
      </c>
      <c r="C310">
        <v>0</v>
      </c>
      <c r="D310" t="s">
        <v>233</v>
      </c>
      <c r="E310">
        <v>0</v>
      </c>
      <c r="F310" t="s">
        <v>233</v>
      </c>
      <c r="G310">
        <v>0</v>
      </c>
    </row>
    <row r="311" spans="1:7" x14ac:dyDescent="0.2">
      <c r="A311">
        <v>4503</v>
      </c>
      <c r="B311" s="106" t="s">
        <v>1275</v>
      </c>
      <c r="C311">
        <v>0.05</v>
      </c>
      <c r="D311">
        <v>0</v>
      </c>
      <c r="E311">
        <v>0.05</v>
      </c>
      <c r="F311">
        <v>0</v>
      </c>
      <c r="G311">
        <v>0</v>
      </c>
    </row>
    <row r="312" spans="1:7" x14ac:dyDescent="0.2">
      <c r="A312">
        <v>4507</v>
      </c>
      <c r="B312" s="106" t="s">
        <v>2556</v>
      </c>
      <c r="C312">
        <v>0</v>
      </c>
      <c r="D312" t="s">
        <v>233</v>
      </c>
      <c r="E312" t="s">
        <v>233</v>
      </c>
      <c r="F312" t="s">
        <v>233</v>
      </c>
      <c r="G312" t="s">
        <v>233</v>
      </c>
    </row>
    <row r="313" spans="1:7" x14ac:dyDescent="0.2">
      <c r="A313">
        <v>4512</v>
      </c>
      <c r="B313" s="106" t="s">
        <v>1276</v>
      </c>
      <c r="C313">
        <v>0</v>
      </c>
      <c r="D313">
        <v>0</v>
      </c>
      <c r="E313">
        <v>0</v>
      </c>
      <c r="F313">
        <v>0</v>
      </c>
      <c r="G313">
        <v>0.05</v>
      </c>
    </row>
    <row r="314" spans="1:7" x14ac:dyDescent="0.2">
      <c r="A314">
        <v>4519</v>
      </c>
      <c r="B314" s="106" t="s">
        <v>783</v>
      </c>
      <c r="C314">
        <v>0.2</v>
      </c>
      <c r="D314">
        <v>0.6</v>
      </c>
      <c r="E314" s="106">
        <v>0.2</v>
      </c>
      <c r="F314">
        <v>0.2</v>
      </c>
      <c r="G314" s="106">
        <v>0.2</v>
      </c>
    </row>
    <row r="315" spans="1:7" x14ac:dyDescent="0.2">
      <c r="A315">
        <v>4521</v>
      </c>
      <c r="B315" s="106" t="s">
        <v>1277</v>
      </c>
      <c r="C315">
        <v>0.1</v>
      </c>
      <c r="D315">
        <v>0.3</v>
      </c>
      <c r="E315">
        <v>0.1</v>
      </c>
      <c r="F315">
        <v>0.1</v>
      </c>
      <c r="G315">
        <v>0.1</v>
      </c>
    </row>
    <row r="316" spans="1:7" x14ac:dyDescent="0.2">
      <c r="A316">
        <v>4523</v>
      </c>
      <c r="B316" s="106" t="s">
        <v>2557</v>
      </c>
      <c r="C316">
        <v>0</v>
      </c>
      <c r="D316" t="s">
        <v>233</v>
      </c>
      <c r="E316">
        <v>0</v>
      </c>
      <c r="F316">
        <v>0.15</v>
      </c>
      <c r="G316">
        <v>0.15</v>
      </c>
    </row>
    <row r="317" spans="1:7" x14ac:dyDescent="0.2">
      <c r="A317">
        <v>4526</v>
      </c>
      <c r="B317" s="106" t="s">
        <v>1278</v>
      </c>
      <c r="C317">
        <v>0</v>
      </c>
      <c r="D317">
        <v>0</v>
      </c>
      <c r="E317" s="106">
        <v>0.1</v>
      </c>
      <c r="F317" s="106">
        <v>0.1</v>
      </c>
      <c r="G317">
        <v>0.1</v>
      </c>
    </row>
    <row r="318" spans="1:7" x14ac:dyDescent="0.2">
      <c r="A318">
        <v>4527</v>
      </c>
      <c r="B318" s="106" t="s">
        <v>1279</v>
      </c>
      <c r="C318">
        <v>0</v>
      </c>
      <c r="D318">
        <v>0.15</v>
      </c>
      <c r="E318">
        <v>0</v>
      </c>
      <c r="F318">
        <v>0.05</v>
      </c>
      <c r="G318">
        <v>0</v>
      </c>
    </row>
    <row r="319" spans="1:7" x14ac:dyDescent="0.2">
      <c r="A319">
        <v>4528</v>
      </c>
      <c r="B319" s="106" t="s">
        <v>1280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4530</v>
      </c>
      <c r="B320" s="106" t="s">
        <v>2311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4534</v>
      </c>
      <c r="B321" s="106" t="s">
        <v>1281</v>
      </c>
      <c r="C321">
        <v>0.1</v>
      </c>
      <c r="D321">
        <v>0.3</v>
      </c>
      <c r="E321">
        <v>0.1</v>
      </c>
      <c r="F321" s="106">
        <v>0.1</v>
      </c>
      <c r="G321">
        <v>0.1</v>
      </c>
    </row>
    <row r="322" spans="1:7" x14ac:dyDescent="0.2">
      <c r="A322">
        <v>4536</v>
      </c>
      <c r="B322" s="106" t="s">
        <v>1282</v>
      </c>
      <c r="C322">
        <v>0.05</v>
      </c>
      <c r="D322">
        <v>0.15</v>
      </c>
      <c r="E322">
        <v>0.05</v>
      </c>
      <c r="F322">
        <v>0.05</v>
      </c>
      <c r="G322">
        <v>0.05</v>
      </c>
    </row>
    <row r="323" spans="1:7" x14ac:dyDescent="0.2">
      <c r="A323">
        <v>4538</v>
      </c>
      <c r="B323" s="106" t="s">
        <v>1283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4540</v>
      </c>
      <c r="B324" s="106" t="s">
        <v>1284</v>
      </c>
      <c r="C324">
        <v>0.05</v>
      </c>
      <c r="D324">
        <v>0</v>
      </c>
      <c r="E324">
        <v>0.05</v>
      </c>
      <c r="F324">
        <v>0</v>
      </c>
      <c r="G324">
        <v>0</v>
      </c>
    </row>
    <row r="325" spans="1:7" x14ac:dyDescent="0.2">
      <c r="A325">
        <v>4541</v>
      </c>
      <c r="B325" s="106" t="s">
        <v>2312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4543</v>
      </c>
      <c r="B326" s="106" t="s">
        <v>1285</v>
      </c>
      <c r="C326">
        <v>0.1</v>
      </c>
      <c r="D326">
        <v>0.3</v>
      </c>
      <c r="E326">
        <v>0.1</v>
      </c>
      <c r="F326" s="106">
        <v>0</v>
      </c>
      <c r="G326">
        <v>0.1</v>
      </c>
    </row>
    <row r="327" spans="1:7" x14ac:dyDescent="0.2">
      <c r="A327">
        <v>4547</v>
      </c>
      <c r="B327" s="106" t="s">
        <v>1286</v>
      </c>
      <c r="C327">
        <v>0.05</v>
      </c>
      <c r="D327">
        <v>0.15</v>
      </c>
      <c r="E327">
        <v>0.05</v>
      </c>
      <c r="F327" s="106">
        <v>0.05</v>
      </c>
      <c r="G327">
        <v>0.05</v>
      </c>
    </row>
    <row r="328" spans="1:7" x14ac:dyDescent="0.2">
      <c r="A328">
        <v>4550</v>
      </c>
      <c r="B328" s="106" t="s">
        <v>2313</v>
      </c>
      <c r="C328">
        <v>0</v>
      </c>
      <c r="D328">
        <v>0</v>
      </c>
      <c r="E328">
        <v>0</v>
      </c>
      <c r="F328">
        <v>0</v>
      </c>
      <c r="G328" t="s">
        <v>233</v>
      </c>
    </row>
    <row r="329" spans="1:7" x14ac:dyDescent="0.2">
      <c r="A329">
        <v>4553</v>
      </c>
      <c r="B329" s="106" t="s">
        <v>1287</v>
      </c>
      <c r="C329">
        <v>0.05</v>
      </c>
      <c r="D329">
        <v>0.15</v>
      </c>
      <c r="E329">
        <v>0.05</v>
      </c>
      <c r="F329">
        <v>0.05</v>
      </c>
      <c r="G329" s="106">
        <v>0.05</v>
      </c>
    </row>
    <row r="330" spans="1:7" x14ac:dyDescent="0.2">
      <c r="A330">
        <v>4554</v>
      </c>
      <c r="B330" s="106" t="s">
        <v>1288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 x14ac:dyDescent="0.2">
      <c r="A331">
        <v>4555</v>
      </c>
      <c r="B331" s="106" t="s">
        <v>1289</v>
      </c>
      <c r="C331">
        <v>0.15</v>
      </c>
      <c r="D331">
        <v>0.45</v>
      </c>
      <c r="E331">
        <v>0.15</v>
      </c>
      <c r="F331">
        <v>0.15</v>
      </c>
      <c r="G331">
        <v>0.15</v>
      </c>
    </row>
    <row r="332" spans="1:7" x14ac:dyDescent="0.2">
      <c r="A332">
        <v>4559</v>
      </c>
      <c r="B332" s="106" t="s">
        <v>1290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4574</v>
      </c>
      <c r="B333" s="106" t="s">
        <v>1291</v>
      </c>
      <c r="C333">
        <v>0.05</v>
      </c>
      <c r="D333">
        <v>0.3</v>
      </c>
      <c r="E333">
        <v>0.1</v>
      </c>
      <c r="F333">
        <v>0.05</v>
      </c>
      <c r="G333">
        <v>0.05</v>
      </c>
    </row>
    <row r="334" spans="1:7" x14ac:dyDescent="0.2">
      <c r="A334">
        <v>4612</v>
      </c>
      <c r="B334" s="106" t="s">
        <v>1292</v>
      </c>
      <c r="C334">
        <v>0.1</v>
      </c>
      <c r="D334">
        <v>0.3</v>
      </c>
      <c r="E334">
        <v>0.1</v>
      </c>
      <c r="F334">
        <v>0.1</v>
      </c>
      <c r="G334">
        <v>0.1</v>
      </c>
    </row>
    <row r="335" spans="1:7" x14ac:dyDescent="0.2">
      <c r="A335">
        <v>4613</v>
      </c>
      <c r="B335" s="106" t="s">
        <v>316</v>
      </c>
      <c r="C335">
        <v>0.05</v>
      </c>
      <c r="D335">
        <v>0.15</v>
      </c>
      <c r="E335">
        <v>0.05</v>
      </c>
      <c r="F335">
        <v>0.05</v>
      </c>
      <c r="G335" s="106">
        <v>0.05</v>
      </c>
    </row>
    <row r="336" spans="1:7" x14ac:dyDescent="0.2">
      <c r="A336">
        <v>4617</v>
      </c>
      <c r="B336" s="106" t="s">
        <v>1293</v>
      </c>
      <c r="C336">
        <v>0</v>
      </c>
      <c r="D336">
        <v>0.15</v>
      </c>
      <c r="E336">
        <v>0</v>
      </c>
      <c r="F336">
        <v>0</v>
      </c>
      <c r="G336">
        <v>0</v>
      </c>
    </row>
    <row r="337" spans="1:7" x14ac:dyDescent="0.2">
      <c r="A337">
        <v>4619</v>
      </c>
      <c r="B337" s="106" t="s">
        <v>2558</v>
      </c>
      <c r="C337">
        <v>0</v>
      </c>
      <c r="D337" t="s">
        <v>233</v>
      </c>
      <c r="E337" t="s">
        <v>233</v>
      </c>
      <c r="F337" t="s">
        <v>233</v>
      </c>
      <c r="G337" t="s">
        <v>233</v>
      </c>
    </row>
    <row r="338" spans="1:7" x14ac:dyDescent="0.2">
      <c r="A338">
        <v>4633</v>
      </c>
      <c r="B338" s="106" t="s">
        <v>1294</v>
      </c>
      <c r="C338">
        <v>0.05</v>
      </c>
      <c r="D338">
        <v>0.15</v>
      </c>
      <c r="E338">
        <v>0.05</v>
      </c>
      <c r="F338" s="106">
        <v>0.05</v>
      </c>
      <c r="G338" s="106">
        <v>0.05</v>
      </c>
    </row>
    <row r="339" spans="1:7" x14ac:dyDescent="0.2">
      <c r="A339">
        <v>4634</v>
      </c>
      <c r="B339" s="106" t="s">
        <v>139</v>
      </c>
      <c r="C339">
        <v>0.05</v>
      </c>
      <c r="D339">
        <v>0.15</v>
      </c>
      <c r="E339">
        <v>0.05</v>
      </c>
      <c r="F339">
        <v>0.05</v>
      </c>
      <c r="G339">
        <v>0.05</v>
      </c>
    </row>
    <row r="340" spans="1:7" x14ac:dyDescent="0.2">
      <c r="A340">
        <v>4658</v>
      </c>
      <c r="B340" s="106" t="s">
        <v>1295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4665</v>
      </c>
      <c r="B341" s="106" t="s">
        <v>1296</v>
      </c>
      <c r="C341">
        <v>0.05</v>
      </c>
      <c r="D341">
        <v>0.15</v>
      </c>
      <c r="E341">
        <v>0.05</v>
      </c>
      <c r="F341">
        <v>0.05</v>
      </c>
      <c r="G341">
        <v>0.05</v>
      </c>
    </row>
    <row r="342" spans="1:7" x14ac:dyDescent="0.2">
      <c r="A342">
        <v>4668</v>
      </c>
      <c r="B342" s="106" t="s">
        <v>1297</v>
      </c>
      <c r="C342">
        <v>0.05</v>
      </c>
      <c r="D342" s="106">
        <v>0</v>
      </c>
      <c r="E342">
        <v>0.05</v>
      </c>
      <c r="F342" s="106">
        <v>0.05</v>
      </c>
      <c r="G342">
        <v>0.05</v>
      </c>
    </row>
    <row r="343" spans="1:7" x14ac:dyDescent="0.2">
      <c r="A343">
        <v>4671</v>
      </c>
      <c r="B343" s="106" t="s">
        <v>1298</v>
      </c>
      <c r="C343">
        <v>0.05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4676</v>
      </c>
      <c r="B344" s="106" t="s">
        <v>1299</v>
      </c>
      <c r="C344">
        <v>0</v>
      </c>
      <c r="D344">
        <v>0</v>
      </c>
      <c r="E344">
        <v>0.05</v>
      </c>
      <c r="F344">
        <v>0.05</v>
      </c>
      <c r="G344">
        <v>0.05</v>
      </c>
    </row>
    <row r="345" spans="1:7" x14ac:dyDescent="0.2">
      <c r="A345">
        <v>4678</v>
      </c>
      <c r="B345" s="106" t="s">
        <v>2314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4681</v>
      </c>
      <c r="B346" s="106" t="s">
        <v>2559</v>
      </c>
      <c r="C346">
        <v>0.05</v>
      </c>
      <c r="D346" t="s">
        <v>233</v>
      </c>
      <c r="E346">
        <v>0.05</v>
      </c>
      <c r="F346">
        <v>0</v>
      </c>
      <c r="G346" s="106">
        <v>0.05</v>
      </c>
    </row>
    <row r="347" spans="1:7" x14ac:dyDescent="0.2">
      <c r="A347">
        <v>4686</v>
      </c>
      <c r="B347" s="106" t="s">
        <v>978</v>
      </c>
      <c r="C347">
        <v>0</v>
      </c>
      <c r="D347" t="s">
        <v>233</v>
      </c>
      <c r="E347">
        <v>0</v>
      </c>
      <c r="F347">
        <v>0</v>
      </c>
      <c r="G347" s="106">
        <v>0</v>
      </c>
    </row>
    <row r="348" spans="1:7" x14ac:dyDescent="0.2">
      <c r="A348">
        <v>4694</v>
      </c>
      <c r="B348" s="106" t="s">
        <v>2315</v>
      </c>
      <c r="C348">
        <v>0</v>
      </c>
      <c r="D348">
        <v>0</v>
      </c>
      <c r="E348" t="s">
        <v>233</v>
      </c>
      <c r="F348" t="s">
        <v>233</v>
      </c>
      <c r="G348" t="s">
        <v>233</v>
      </c>
    </row>
    <row r="349" spans="1:7" x14ac:dyDescent="0.2">
      <c r="A349">
        <v>4696</v>
      </c>
      <c r="B349" s="106" t="s">
        <v>1300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4704</v>
      </c>
      <c r="B350" s="106" t="s">
        <v>2316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4716</v>
      </c>
      <c r="B351" s="106" t="s">
        <v>1301</v>
      </c>
      <c r="C351">
        <v>0.2</v>
      </c>
      <c r="D351">
        <v>0.6</v>
      </c>
      <c r="E351">
        <v>0.2</v>
      </c>
      <c r="F351" s="106">
        <v>0.2</v>
      </c>
      <c r="G351">
        <v>0.2</v>
      </c>
    </row>
    <row r="352" spans="1:7" x14ac:dyDescent="0.2">
      <c r="A352">
        <v>4718</v>
      </c>
      <c r="B352" s="106" t="s">
        <v>2560</v>
      </c>
      <c r="C352">
        <v>0.05</v>
      </c>
      <c r="D352" s="106" t="s">
        <v>233</v>
      </c>
      <c r="E352" s="106">
        <v>0.05</v>
      </c>
      <c r="F352" t="s">
        <v>233</v>
      </c>
      <c r="G352">
        <v>0.05</v>
      </c>
    </row>
    <row r="353" spans="1:7" x14ac:dyDescent="0.2">
      <c r="A353">
        <v>4719</v>
      </c>
      <c r="B353" s="106" t="s">
        <v>1302</v>
      </c>
      <c r="C353">
        <v>0.05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4725</v>
      </c>
      <c r="B354" s="106" t="s">
        <v>1303</v>
      </c>
      <c r="C354">
        <v>0.05</v>
      </c>
      <c r="D354">
        <v>0.15</v>
      </c>
      <c r="E354">
        <v>0.05</v>
      </c>
      <c r="F354">
        <v>0.05</v>
      </c>
      <c r="G354">
        <v>0.05</v>
      </c>
    </row>
    <row r="355" spans="1:7" x14ac:dyDescent="0.2">
      <c r="A355">
        <v>4726</v>
      </c>
      <c r="B355" s="106" t="s">
        <v>2317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4732</v>
      </c>
      <c r="B356" s="106" t="s">
        <v>1304</v>
      </c>
      <c r="C356">
        <v>0</v>
      </c>
      <c r="D356" s="106">
        <v>0</v>
      </c>
      <c r="E356" s="106">
        <v>0.05</v>
      </c>
      <c r="F356" s="106">
        <v>0.05</v>
      </c>
      <c r="G356" s="106">
        <v>0.05</v>
      </c>
    </row>
    <row r="357" spans="1:7" x14ac:dyDescent="0.2">
      <c r="A357">
        <v>4812</v>
      </c>
      <c r="B357" s="106" t="s">
        <v>1305</v>
      </c>
      <c r="C357">
        <v>0</v>
      </c>
      <c r="D357">
        <v>0.3</v>
      </c>
      <c r="E357">
        <v>0.1</v>
      </c>
      <c r="F357">
        <v>0.1</v>
      </c>
      <c r="G357">
        <v>0.1</v>
      </c>
    </row>
    <row r="358" spans="1:7" x14ac:dyDescent="0.2">
      <c r="A358">
        <v>4820</v>
      </c>
      <c r="B358" s="106" t="s">
        <v>1306</v>
      </c>
      <c r="C358">
        <v>0.05</v>
      </c>
      <c r="D358" s="106">
        <v>0.6</v>
      </c>
      <c r="E358" s="106">
        <v>0.05</v>
      </c>
      <c r="F358" s="106">
        <v>0.05</v>
      </c>
      <c r="G358" s="106">
        <v>0.05</v>
      </c>
    </row>
    <row r="359" spans="1:7" x14ac:dyDescent="0.2">
      <c r="A359">
        <v>4825</v>
      </c>
      <c r="B359" s="106" t="s">
        <v>1307</v>
      </c>
      <c r="C359">
        <v>0.1</v>
      </c>
      <c r="D359" s="106">
        <v>0.3</v>
      </c>
      <c r="E359" s="106">
        <v>0.1</v>
      </c>
      <c r="F359" s="106">
        <v>0.1</v>
      </c>
      <c r="G359">
        <v>0.1</v>
      </c>
    </row>
    <row r="360" spans="1:7" x14ac:dyDescent="0.2">
      <c r="A360">
        <v>4826</v>
      </c>
      <c r="B360" s="106" t="s">
        <v>1308</v>
      </c>
      <c r="C360">
        <v>0</v>
      </c>
      <c r="D360">
        <v>0</v>
      </c>
      <c r="E360">
        <v>0</v>
      </c>
      <c r="F360">
        <v>0.05</v>
      </c>
      <c r="G360">
        <v>0.05</v>
      </c>
    </row>
    <row r="361" spans="1:7" x14ac:dyDescent="0.2">
      <c r="A361">
        <v>4828</v>
      </c>
      <c r="B361" s="106" t="s">
        <v>1309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4839</v>
      </c>
      <c r="B362" s="106" t="s">
        <v>1310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4848</v>
      </c>
      <c r="B363" s="106" t="s">
        <v>1311</v>
      </c>
      <c r="C363">
        <v>0.05</v>
      </c>
      <c r="D363" s="106">
        <v>0.15</v>
      </c>
      <c r="E363">
        <v>0.05</v>
      </c>
      <c r="F363" s="106">
        <v>0.05</v>
      </c>
      <c r="G363">
        <v>0.05</v>
      </c>
    </row>
    <row r="364" spans="1:7" x14ac:dyDescent="0.2">
      <c r="A364">
        <v>4849</v>
      </c>
      <c r="B364" s="106" t="s">
        <v>1016</v>
      </c>
      <c r="C364">
        <v>0.1</v>
      </c>
      <c r="D364" s="106">
        <v>0.3</v>
      </c>
      <c r="E364">
        <v>0.1</v>
      </c>
      <c r="F364" s="106">
        <v>0.1</v>
      </c>
      <c r="G364">
        <v>0.1</v>
      </c>
    </row>
    <row r="365" spans="1:7" x14ac:dyDescent="0.2">
      <c r="A365">
        <v>4917</v>
      </c>
      <c r="B365" s="106" t="s">
        <v>1312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4919</v>
      </c>
      <c r="B366" s="106" t="s">
        <v>1313</v>
      </c>
      <c r="C366">
        <v>0.1</v>
      </c>
      <c r="D366">
        <v>0.3</v>
      </c>
      <c r="E366">
        <v>0.1</v>
      </c>
      <c r="F366" s="106">
        <v>0.1</v>
      </c>
      <c r="G366">
        <v>0.1</v>
      </c>
    </row>
    <row r="367" spans="1:7" x14ac:dyDescent="0.2">
      <c r="A367">
        <v>4929</v>
      </c>
      <c r="B367" s="106" t="s">
        <v>1314</v>
      </c>
      <c r="C367">
        <v>0.05</v>
      </c>
      <c r="D367">
        <v>0.15</v>
      </c>
      <c r="E367">
        <v>0.05</v>
      </c>
      <c r="F367">
        <v>0.05</v>
      </c>
      <c r="G367">
        <v>0.05</v>
      </c>
    </row>
    <row r="368" spans="1:7" x14ac:dyDescent="0.2">
      <c r="A368">
        <v>4951</v>
      </c>
      <c r="B368" s="106" t="s">
        <v>1315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4955</v>
      </c>
      <c r="B369" s="106" t="s">
        <v>1316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4958</v>
      </c>
      <c r="B370" s="106" t="s">
        <v>1317</v>
      </c>
      <c r="C370">
        <v>0.05</v>
      </c>
      <c r="D370" s="106">
        <v>0.15</v>
      </c>
      <c r="E370">
        <v>0.05</v>
      </c>
      <c r="F370" s="106">
        <v>0.05</v>
      </c>
      <c r="G370" s="106">
        <v>0.05</v>
      </c>
    </row>
    <row r="371" spans="1:7" x14ac:dyDescent="0.2">
      <c r="A371">
        <v>4967</v>
      </c>
      <c r="B371" s="106" t="s">
        <v>1318</v>
      </c>
      <c r="C371">
        <v>0.15</v>
      </c>
      <c r="D371" s="106">
        <v>0.45</v>
      </c>
      <c r="E371">
        <v>0.15</v>
      </c>
      <c r="F371" s="106">
        <v>0.15</v>
      </c>
      <c r="G371" s="106">
        <v>0.15</v>
      </c>
    </row>
    <row r="372" spans="1:7" x14ac:dyDescent="0.2">
      <c r="A372">
        <v>4968</v>
      </c>
      <c r="B372" s="106" t="s">
        <v>1319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4971</v>
      </c>
      <c r="B373" s="106" t="s">
        <v>2561</v>
      </c>
      <c r="C373">
        <v>0.05</v>
      </c>
      <c r="D373" t="s">
        <v>233</v>
      </c>
      <c r="E373" s="106" t="s">
        <v>233</v>
      </c>
      <c r="F373">
        <v>0.05</v>
      </c>
      <c r="G373" s="106">
        <v>0.05</v>
      </c>
    </row>
    <row r="374" spans="1:7" x14ac:dyDescent="0.2">
      <c r="A374">
        <v>4975</v>
      </c>
      <c r="B374" s="106" t="s">
        <v>1320</v>
      </c>
      <c r="C374">
        <v>0.05</v>
      </c>
      <c r="D374">
        <v>0.15</v>
      </c>
      <c r="E374" s="106">
        <v>0.05</v>
      </c>
      <c r="F374" s="106">
        <v>0.05</v>
      </c>
      <c r="G374" s="106">
        <v>0.1</v>
      </c>
    </row>
    <row r="375" spans="1:7" x14ac:dyDescent="0.2">
      <c r="A375">
        <v>4985</v>
      </c>
      <c r="B375" s="106" t="s">
        <v>1321</v>
      </c>
      <c r="C375">
        <v>0.1</v>
      </c>
      <c r="D375">
        <v>0.3</v>
      </c>
      <c r="E375" s="106">
        <v>0.1</v>
      </c>
      <c r="F375">
        <v>0.1</v>
      </c>
      <c r="G375">
        <v>0.1</v>
      </c>
    </row>
    <row r="376" spans="1:7" x14ac:dyDescent="0.2">
      <c r="A376">
        <v>4996</v>
      </c>
      <c r="B376" s="106" t="s">
        <v>324</v>
      </c>
      <c r="C376">
        <v>0.05</v>
      </c>
      <c r="D376">
        <v>0</v>
      </c>
      <c r="E376" s="106">
        <v>0</v>
      </c>
      <c r="F376">
        <v>0.05</v>
      </c>
      <c r="G376">
        <v>0.05</v>
      </c>
    </row>
    <row r="377" spans="1:7" x14ac:dyDescent="0.2">
      <c r="A377">
        <v>4997</v>
      </c>
      <c r="B377" s="106" t="s">
        <v>1322</v>
      </c>
      <c r="C377">
        <v>0</v>
      </c>
      <c r="D377">
        <v>0</v>
      </c>
      <c r="E377">
        <v>0.05</v>
      </c>
      <c r="F377" s="106">
        <v>0</v>
      </c>
      <c r="G377" s="106">
        <v>0.05</v>
      </c>
    </row>
    <row r="378" spans="1:7" x14ac:dyDescent="0.2">
      <c r="A378">
        <v>5009</v>
      </c>
      <c r="B378" s="106" t="s">
        <v>2562</v>
      </c>
      <c r="C378">
        <v>0</v>
      </c>
      <c r="D378" t="s">
        <v>233</v>
      </c>
      <c r="E378">
        <v>0</v>
      </c>
      <c r="F378" s="106">
        <v>0</v>
      </c>
      <c r="G378" s="106">
        <v>0</v>
      </c>
    </row>
    <row r="379" spans="1:7" x14ac:dyDescent="0.2">
      <c r="A379">
        <v>5011</v>
      </c>
      <c r="B379" s="106" t="s">
        <v>2563</v>
      </c>
      <c r="C379">
        <v>0</v>
      </c>
      <c r="D379" s="106" t="s">
        <v>233</v>
      </c>
      <c r="E379" s="106">
        <v>0</v>
      </c>
      <c r="F379" s="106" t="s">
        <v>233</v>
      </c>
      <c r="G379">
        <v>0</v>
      </c>
    </row>
    <row r="380" spans="1:7" x14ac:dyDescent="0.2">
      <c r="A380">
        <v>5018</v>
      </c>
      <c r="B380" s="106" t="s">
        <v>1323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5101</v>
      </c>
      <c r="B381" s="106" t="s">
        <v>2318</v>
      </c>
      <c r="C381">
        <v>0</v>
      </c>
      <c r="D381" s="106">
        <v>0</v>
      </c>
      <c r="E381">
        <v>0</v>
      </c>
      <c r="F381" s="106">
        <v>0</v>
      </c>
      <c r="G381">
        <v>0.05</v>
      </c>
    </row>
    <row r="382" spans="1:7" x14ac:dyDescent="0.2">
      <c r="A382">
        <v>5105</v>
      </c>
      <c r="B382" s="106" t="s">
        <v>1324</v>
      </c>
      <c r="C382">
        <v>0.05</v>
      </c>
      <c r="D382">
        <v>0.15</v>
      </c>
      <c r="E382">
        <v>0.05</v>
      </c>
      <c r="F382">
        <v>0.05</v>
      </c>
      <c r="G382">
        <v>0.05</v>
      </c>
    </row>
    <row r="383" spans="1:7" x14ac:dyDescent="0.2">
      <c r="A383">
        <v>5108</v>
      </c>
      <c r="B383" s="106" t="s">
        <v>1325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5110</v>
      </c>
      <c r="B384" s="106" t="s">
        <v>127</v>
      </c>
      <c r="C384">
        <v>0</v>
      </c>
      <c r="D384">
        <v>0</v>
      </c>
      <c r="E384">
        <v>0</v>
      </c>
      <c r="F384" s="106">
        <v>0.05</v>
      </c>
      <c r="G384">
        <v>0.05</v>
      </c>
    </row>
    <row r="385" spans="1:7" x14ac:dyDescent="0.2">
      <c r="A385">
        <v>5121</v>
      </c>
      <c r="B385" s="106" t="s">
        <v>1326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5185</v>
      </c>
      <c r="B386" s="106" t="s">
        <v>1327</v>
      </c>
      <c r="C386">
        <v>0.05</v>
      </c>
      <c r="D386" s="106">
        <v>0.15</v>
      </c>
      <c r="E386" s="106">
        <v>0.05</v>
      </c>
      <c r="F386">
        <v>0.05</v>
      </c>
      <c r="G386">
        <v>0.05</v>
      </c>
    </row>
    <row r="387" spans="1:7" x14ac:dyDescent="0.2">
      <c r="A387">
        <v>5186</v>
      </c>
      <c r="B387" s="106" t="s">
        <v>1328</v>
      </c>
      <c r="C387">
        <v>0.05</v>
      </c>
      <c r="D387">
        <v>0.3</v>
      </c>
      <c r="E387">
        <v>0.05</v>
      </c>
      <c r="F387" s="106">
        <v>0.05</v>
      </c>
      <c r="G387">
        <v>0</v>
      </c>
    </row>
    <row r="388" spans="1:7" x14ac:dyDescent="0.2">
      <c r="A388">
        <v>5191</v>
      </c>
      <c r="B388" s="106" t="s">
        <v>1329</v>
      </c>
      <c r="C388">
        <v>0.05</v>
      </c>
      <c r="D388" s="106">
        <v>0.15</v>
      </c>
      <c r="E388" s="106">
        <v>0.05</v>
      </c>
      <c r="F388" s="106">
        <v>0.05</v>
      </c>
      <c r="G388" s="106">
        <v>0.05</v>
      </c>
    </row>
    <row r="389" spans="1:7" x14ac:dyDescent="0.2">
      <c r="A389">
        <v>5192</v>
      </c>
      <c r="B389" s="106" t="s">
        <v>1330</v>
      </c>
      <c r="C389">
        <v>0</v>
      </c>
      <c r="D389">
        <v>0.15</v>
      </c>
      <c r="E389" s="106">
        <v>0.05</v>
      </c>
      <c r="F389" s="106">
        <v>0.05</v>
      </c>
      <c r="G389" s="106">
        <v>0.05</v>
      </c>
    </row>
    <row r="390" spans="1:7" x14ac:dyDescent="0.2">
      <c r="A390">
        <v>5201</v>
      </c>
      <c r="B390" s="106" t="s">
        <v>1331</v>
      </c>
      <c r="C390">
        <v>0.1</v>
      </c>
      <c r="D390">
        <v>0.15</v>
      </c>
      <c r="E390" s="106">
        <v>0.1</v>
      </c>
      <c r="F390" s="106">
        <v>0.1</v>
      </c>
      <c r="G390" s="106">
        <v>0.1</v>
      </c>
    </row>
    <row r="391" spans="1:7" x14ac:dyDescent="0.2">
      <c r="A391">
        <v>5202</v>
      </c>
      <c r="B391" s="106" t="s">
        <v>2564</v>
      </c>
      <c r="C391">
        <v>0</v>
      </c>
      <c r="D391" t="s">
        <v>233</v>
      </c>
      <c r="E391">
        <v>0</v>
      </c>
      <c r="F391" t="s">
        <v>233</v>
      </c>
      <c r="G391" t="s">
        <v>233</v>
      </c>
    </row>
    <row r="392" spans="1:7" x14ac:dyDescent="0.2">
      <c r="A392">
        <v>5210</v>
      </c>
      <c r="B392" s="106" t="s">
        <v>1332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5218</v>
      </c>
      <c r="B393" s="106" t="s">
        <v>1333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5232</v>
      </c>
      <c r="B394" s="106" t="s">
        <v>1334</v>
      </c>
      <c r="C394">
        <v>0.1</v>
      </c>
      <c r="D394" s="106">
        <v>0.3</v>
      </c>
      <c r="E394">
        <v>0.1</v>
      </c>
      <c r="F394" s="106">
        <v>0.1</v>
      </c>
      <c r="G394">
        <v>0.1</v>
      </c>
    </row>
    <row r="395" spans="1:7" x14ac:dyDescent="0.2">
      <c r="A395">
        <v>5273</v>
      </c>
      <c r="B395" s="106" t="s">
        <v>1335</v>
      </c>
      <c r="C395">
        <v>0.1</v>
      </c>
      <c r="D395">
        <v>0.3</v>
      </c>
      <c r="E395">
        <v>0.1</v>
      </c>
      <c r="F395">
        <v>0.1</v>
      </c>
      <c r="G395">
        <v>0.1</v>
      </c>
    </row>
    <row r="396" spans="1:7" x14ac:dyDescent="0.2">
      <c r="A396">
        <v>5301</v>
      </c>
      <c r="B396" s="106" t="s">
        <v>1336</v>
      </c>
      <c r="C396">
        <v>0.05</v>
      </c>
      <c r="D396">
        <v>0.15</v>
      </c>
      <c r="E396">
        <v>0.05</v>
      </c>
      <c r="F396">
        <v>0.05</v>
      </c>
      <c r="G396" s="106">
        <v>0.05</v>
      </c>
    </row>
    <row r="397" spans="1:7" x14ac:dyDescent="0.2">
      <c r="A397">
        <v>5302</v>
      </c>
      <c r="B397" s="106" t="s">
        <v>1337</v>
      </c>
      <c r="C397">
        <v>0.1</v>
      </c>
      <c r="D397">
        <v>0.3</v>
      </c>
      <c r="E397">
        <v>0.1</v>
      </c>
      <c r="F397">
        <v>0.1</v>
      </c>
      <c r="G397" s="106">
        <v>0.1</v>
      </c>
    </row>
    <row r="398" spans="1:7" x14ac:dyDescent="0.2">
      <c r="A398">
        <v>5310</v>
      </c>
      <c r="B398" s="106" t="s">
        <v>1338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5332</v>
      </c>
      <c r="B399" s="106" t="s">
        <v>1339</v>
      </c>
      <c r="C399">
        <v>0.1</v>
      </c>
      <c r="D399">
        <v>0.3</v>
      </c>
      <c r="E399" s="106">
        <v>0.1</v>
      </c>
      <c r="F399">
        <v>0.1</v>
      </c>
      <c r="G399">
        <v>0.1</v>
      </c>
    </row>
    <row r="400" spans="1:7" x14ac:dyDescent="0.2">
      <c r="A400">
        <v>5333</v>
      </c>
      <c r="B400" s="106" t="s">
        <v>330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5334</v>
      </c>
      <c r="B401" s="106" t="s">
        <v>2565</v>
      </c>
      <c r="C401">
        <v>0</v>
      </c>
      <c r="D401" t="s">
        <v>233</v>
      </c>
      <c r="E401">
        <v>0</v>
      </c>
      <c r="F401" t="s">
        <v>233</v>
      </c>
      <c r="G401">
        <v>0</v>
      </c>
    </row>
    <row r="402" spans="1:7" x14ac:dyDescent="0.2">
      <c r="A402">
        <v>5344</v>
      </c>
      <c r="B402" s="106" t="s">
        <v>1340</v>
      </c>
      <c r="C402">
        <v>0.15</v>
      </c>
      <c r="D402" s="106">
        <v>0.45</v>
      </c>
      <c r="E402" s="106">
        <v>0.15</v>
      </c>
      <c r="F402" s="106">
        <v>0.15</v>
      </c>
      <c r="G402" s="106">
        <v>0.15</v>
      </c>
    </row>
    <row r="403" spans="1:7" x14ac:dyDescent="0.2">
      <c r="A403">
        <v>5352</v>
      </c>
      <c r="B403" s="106" t="s">
        <v>1341</v>
      </c>
      <c r="C403">
        <v>0.15</v>
      </c>
      <c r="D403">
        <v>0.45</v>
      </c>
      <c r="E403">
        <v>0.15</v>
      </c>
      <c r="F403">
        <v>0.15</v>
      </c>
      <c r="G403">
        <v>0.15</v>
      </c>
    </row>
    <row r="404" spans="1:7" x14ac:dyDescent="0.2">
      <c r="A404">
        <v>5358</v>
      </c>
      <c r="B404" s="106" t="s">
        <v>1342</v>
      </c>
      <c r="C404">
        <v>0</v>
      </c>
      <c r="D404" s="106">
        <v>0.15</v>
      </c>
      <c r="E404">
        <v>0</v>
      </c>
      <c r="F404">
        <v>0</v>
      </c>
      <c r="G404">
        <v>0</v>
      </c>
    </row>
    <row r="405" spans="1:7" x14ac:dyDescent="0.2">
      <c r="A405">
        <v>5393</v>
      </c>
      <c r="B405" s="106" t="s">
        <v>329</v>
      </c>
      <c r="C405">
        <v>0.05</v>
      </c>
      <c r="D405" s="106">
        <v>0.15</v>
      </c>
      <c r="E405">
        <v>0.05</v>
      </c>
      <c r="F405">
        <v>0.05</v>
      </c>
      <c r="G405" s="106">
        <v>0.05</v>
      </c>
    </row>
    <row r="406" spans="1:7" x14ac:dyDescent="0.2">
      <c r="A406">
        <v>5401</v>
      </c>
      <c r="B406" s="106" t="s">
        <v>1343</v>
      </c>
      <c r="C406">
        <v>0</v>
      </c>
      <c r="D406">
        <v>0</v>
      </c>
      <c r="E406" t="s">
        <v>233</v>
      </c>
      <c r="F406" s="106" t="s">
        <v>233</v>
      </c>
      <c r="G406" s="106">
        <v>0.05</v>
      </c>
    </row>
    <row r="407" spans="1:7" x14ac:dyDescent="0.2">
      <c r="A407">
        <v>5406</v>
      </c>
      <c r="B407" s="106" t="s">
        <v>2566</v>
      </c>
      <c r="C407">
        <v>0</v>
      </c>
      <c r="D407" t="s">
        <v>233</v>
      </c>
      <c r="E407">
        <v>0</v>
      </c>
      <c r="F407" s="106" t="s">
        <v>233</v>
      </c>
      <c r="G407" s="106">
        <v>0.05</v>
      </c>
    </row>
    <row r="408" spans="1:7" x14ac:dyDescent="0.2">
      <c r="A408">
        <v>5408</v>
      </c>
      <c r="B408" s="106" t="s">
        <v>1344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5410</v>
      </c>
      <c r="B409" s="106" t="s">
        <v>1345</v>
      </c>
      <c r="C409">
        <v>0.05</v>
      </c>
      <c r="D409">
        <v>0.15</v>
      </c>
      <c r="E409" s="106">
        <v>0.05</v>
      </c>
      <c r="F409">
        <v>0.05</v>
      </c>
      <c r="G409">
        <v>0.05</v>
      </c>
    </row>
    <row r="410" spans="1:7" x14ac:dyDescent="0.2">
      <c r="A410">
        <v>5411</v>
      </c>
      <c r="B410" s="106" t="s">
        <v>1346</v>
      </c>
      <c r="C410">
        <v>0</v>
      </c>
      <c r="D410">
        <v>0</v>
      </c>
      <c r="E410">
        <v>0</v>
      </c>
      <c r="F410">
        <v>0</v>
      </c>
      <c r="G410" t="s">
        <v>233</v>
      </c>
    </row>
    <row r="411" spans="1:7" x14ac:dyDescent="0.2">
      <c r="A411">
        <v>5440</v>
      </c>
      <c r="B411" s="106" t="s">
        <v>1347</v>
      </c>
      <c r="C411">
        <v>0</v>
      </c>
      <c r="D411">
        <v>0.15</v>
      </c>
      <c r="E411">
        <v>0</v>
      </c>
      <c r="F411">
        <v>0</v>
      </c>
      <c r="G411" s="106">
        <v>0</v>
      </c>
    </row>
    <row r="412" spans="1:7" x14ac:dyDescent="0.2">
      <c r="A412">
        <v>5451</v>
      </c>
      <c r="B412" s="106" t="s">
        <v>1348</v>
      </c>
      <c r="C412">
        <v>0.05</v>
      </c>
      <c r="D412">
        <v>0.15</v>
      </c>
      <c r="E412">
        <v>0.05</v>
      </c>
      <c r="F412">
        <v>0.05</v>
      </c>
      <c r="G412">
        <v>0.05</v>
      </c>
    </row>
    <row r="413" spans="1:7" x14ac:dyDescent="0.2">
      <c r="A413">
        <v>5463</v>
      </c>
      <c r="B413" s="106" t="s">
        <v>141</v>
      </c>
      <c r="C413">
        <v>0.05</v>
      </c>
      <c r="D413">
        <v>0.15</v>
      </c>
      <c r="E413">
        <v>0.05</v>
      </c>
      <c r="F413">
        <v>0.05</v>
      </c>
      <c r="G413">
        <v>0.05</v>
      </c>
    </row>
    <row r="414" spans="1:7" x14ac:dyDescent="0.2">
      <c r="A414">
        <v>5464</v>
      </c>
      <c r="B414" s="106" t="s">
        <v>2567</v>
      </c>
      <c r="C414">
        <v>0</v>
      </c>
      <c r="D414" t="s">
        <v>233</v>
      </c>
      <c r="E414">
        <v>0</v>
      </c>
      <c r="F414">
        <v>0</v>
      </c>
      <c r="G414">
        <v>0</v>
      </c>
    </row>
    <row r="415" spans="1:7" x14ac:dyDescent="0.2">
      <c r="A415">
        <v>5471</v>
      </c>
      <c r="B415" s="106" t="s">
        <v>300</v>
      </c>
      <c r="C415">
        <v>0.1</v>
      </c>
      <c r="D415" s="106">
        <v>0.3</v>
      </c>
      <c r="E415">
        <v>0.1</v>
      </c>
      <c r="F415" s="106">
        <v>0.1</v>
      </c>
      <c r="G415">
        <v>0.1</v>
      </c>
    </row>
    <row r="416" spans="1:7" x14ac:dyDescent="0.2">
      <c r="A416">
        <v>5476</v>
      </c>
      <c r="B416" s="106" t="s">
        <v>1349</v>
      </c>
      <c r="C416">
        <v>0</v>
      </c>
      <c r="D416">
        <v>0</v>
      </c>
      <c r="E416">
        <v>0</v>
      </c>
      <c r="F416" s="106">
        <v>0</v>
      </c>
      <c r="G416" s="106" t="s">
        <v>233</v>
      </c>
    </row>
    <row r="417" spans="1:7" x14ac:dyDescent="0.2">
      <c r="A417">
        <v>5480</v>
      </c>
      <c r="B417" s="106" t="s">
        <v>1350</v>
      </c>
      <c r="C417">
        <v>0</v>
      </c>
      <c r="D417" s="106">
        <v>0.15</v>
      </c>
      <c r="E417" s="106">
        <v>0</v>
      </c>
      <c r="F417">
        <v>0.05</v>
      </c>
      <c r="G417" s="106">
        <v>0</v>
      </c>
    </row>
    <row r="418" spans="1:7" x14ac:dyDescent="0.2">
      <c r="A418">
        <v>5481</v>
      </c>
      <c r="B418" s="106" t="s">
        <v>1351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5482</v>
      </c>
      <c r="B419" s="106" t="s">
        <v>1352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5486</v>
      </c>
      <c r="B420" s="106" t="s">
        <v>1353</v>
      </c>
      <c r="C420">
        <v>0.05</v>
      </c>
      <c r="D420">
        <v>0.15</v>
      </c>
      <c r="E420">
        <v>0.05</v>
      </c>
      <c r="F420" s="106">
        <v>0.05</v>
      </c>
      <c r="G420">
        <v>0.05</v>
      </c>
    </row>
    <row r="421" spans="1:7" x14ac:dyDescent="0.2">
      <c r="A421">
        <v>5541</v>
      </c>
      <c r="B421" s="106" t="s">
        <v>2568</v>
      </c>
      <c r="C421">
        <v>0</v>
      </c>
      <c r="D421" t="s">
        <v>233</v>
      </c>
      <c r="E421" t="s">
        <v>233</v>
      </c>
      <c r="F421" t="s">
        <v>233</v>
      </c>
      <c r="G421" t="s">
        <v>233</v>
      </c>
    </row>
    <row r="422" spans="1:7" x14ac:dyDescent="0.2">
      <c r="A422">
        <v>5602</v>
      </c>
      <c r="B422" s="106" t="s">
        <v>1354</v>
      </c>
      <c r="C422">
        <v>0.05</v>
      </c>
      <c r="D422">
        <v>0.15</v>
      </c>
      <c r="E422">
        <v>0.05</v>
      </c>
      <c r="F422">
        <v>0.05</v>
      </c>
      <c r="G422">
        <v>0.05</v>
      </c>
    </row>
    <row r="423" spans="1:7" x14ac:dyDescent="0.2">
      <c r="A423">
        <v>5603</v>
      </c>
      <c r="B423" s="106" t="s">
        <v>1355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5631</v>
      </c>
      <c r="B424" s="106" t="s">
        <v>1356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5632</v>
      </c>
      <c r="B425" s="106" t="s">
        <v>1357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5659</v>
      </c>
      <c r="B426" s="106" t="s">
        <v>1358</v>
      </c>
      <c r="C426">
        <v>0</v>
      </c>
      <c r="D426" s="106">
        <v>0</v>
      </c>
      <c r="E426">
        <v>0</v>
      </c>
      <c r="F426" s="106">
        <v>0.05</v>
      </c>
      <c r="G426">
        <v>0.05</v>
      </c>
    </row>
    <row r="427" spans="1:7" x14ac:dyDescent="0.2">
      <c r="A427">
        <v>5711</v>
      </c>
      <c r="B427" s="106" t="s">
        <v>1359</v>
      </c>
      <c r="C427">
        <v>0.05</v>
      </c>
      <c r="D427">
        <v>0.15</v>
      </c>
      <c r="E427">
        <v>0.05</v>
      </c>
      <c r="F427">
        <v>0</v>
      </c>
      <c r="G427">
        <v>0.05</v>
      </c>
    </row>
    <row r="428" spans="1:7" x14ac:dyDescent="0.2">
      <c r="A428">
        <v>5713</v>
      </c>
      <c r="B428" s="106" t="s">
        <v>2319</v>
      </c>
      <c r="C428">
        <v>0</v>
      </c>
      <c r="D428">
        <v>0.3</v>
      </c>
      <c r="E428">
        <v>0.1</v>
      </c>
      <c r="F428">
        <v>0.1</v>
      </c>
      <c r="G428">
        <v>0.1</v>
      </c>
    </row>
    <row r="429" spans="1:7" x14ac:dyDescent="0.2">
      <c r="A429">
        <v>5714</v>
      </c>
      <c r="B429" s="106" t="s">
        <v>1360</v>
      </c>
      <c r="C429">
        <v>0.1</v>
      </c>
      <c r="D429">
        <v>0.3</v>
      </c>
      <c r="E429">
        <v>0.1</v>
      </c>
      <c r="F429">
        <v>0.1</v>
      </c>
      <c r="G429">
        <v>0.1</v>
      </c>
    </row>
    <row r="430" spans="1:7" x14ac:dyDescent="0.2">
      <c r="A430">
        <v>5741</v>
      </c>
      <c r="B430" s="106" t="s">
        <v>1361</v>
      </c>
      <c r="C430">
        <v>0.05</v>
      </c>
      <c r="D430">
        <v>0.15</v>
      </c>
      <c r="E430">
        <v>0.05</v>
      </c>
      <c r="F430">
        <v>0.05</v>
      </c>
      <c r="G430">
        <v>0.05</v>
      </c>
    </row>
    <row r="431" spans="1:7" x14ac:dyDescent="0.2">
      <c r="A431">
        <v>5802</v>
      </c>
      <c r="B431" s="106" t="s">
        <v>130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5807</v>
      </c>
      <c r="B432" s="106" t="s">
        <v>1362</v>
      </c>
      <c r="C432">
        <v>0.05</v>
      </c>
      <c r="D432">
        <v>0.15</v>
      </c>
      <c r="E432">
        <v>0.05</v>
      </c>
      <c r="F432" s="106">
        <v>0.05</v>
      </c>
      <c r="G432" s="106">
        <v>0.05</v>
      </c>
    </row>
    <row r="433" spans="1:7" x14ac:dyDescent="0.2">
      <c r="A433">
        <v>5809</v>
      </c>
      <c r="B433" s="106" t="s">
        <v>1363</v>
      </c>
      <c r="C433">
        <v>0</v>
      </c>
      <c r="D433">
        <v>0</v>
      </c>
      <c r="E433">
        <v>0</v>
      </c>
      <c r="F433" s="106" t="s">
        <v>233</v>
      </c>
      <c r="G433" s="106">
        <v>0</v>
      </c>
    </row>
    <row r="434" spans="1:7" x14ac:dyDescent="0.2">
      <c r="A434">
        <v>5852</v>
      </c>
      <c r="B434" s="106" t="s">
        <v>1364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5901</v>
      </c>
      <c r="B435" s="106" t="s">
        <v>318</v>
      </c>
      <c r="C435">
        <v>0</v>
      </c>
      <c r="D435">
        <v>0</v>
      </c>
      <c r="E435">
        <v>0</v>
      </c>
      <c r="F435">
        <v>0</v>
      </c>
      <c r="G435">
        <v>0.05</v>
      </c>
    </row>
    <row r="436" spans="1:7" x14ac:dyDescent="0.2">
      <c r="A436">
        <v>5902</v>
      </c>
      <c r="B436" s="106" t="s">
        <v>1365</v>
      </c>
      <c r="C436">
        <v>0.05</v>
      </c>
      <c r="D436">
        <v>0.15</v>
      </c>
      <c r="E436">
        <v>0.05</v>
      </c>
      <c r="F436">
        <v>0.05</v>
      </c>
      <c r="G436" s="106">
        <v>0</v>
      </c>
    </row>
    <row r="437" spans="1:7" x14ac:dyDescent="0.2">
      <c r="A437">
        <v>5911</v>
      </c>
      <c r="B437" s="106" t="s">
        <v>1366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5932</v>
      </c>
      <c r="B438" s="106" t="s">
        <v>1367</v>
      </c>
      <c r="C438">
        <v>0.05</v>
      </c>
      <c r="D438" s="106">
        <v>0.15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5933</v>
      </c>
      <c r="B439" s="106" t="s">
        <v>1368</v>
      </c>
      <c r="C439">
        <v>0</v>
      </c>
      <c r="D439" s="106">
        <v>0</v>
      </c>
      <c r="E439" s="106" t="s">
        <v>233</v>
      </c>
      <c r="F439" t="s">
        <v>233</v>
      </c>
      <c r="G439" s="106">
        <v>0</v>
      </c>
    </row>
    <row r="440" spans="1:7" x14ac:dyDescent="0.2">
      <c r="A440">
        <v>5938</v>
      </c>
      <c r="B440" s="106" t="s">
        <v>2569</v>
      </c>
      <c r="C440">
        <v>0.05</v>
      </c>
      <c r="D440" s="106" t="s">
        <v>233</v>
      </c>
      <c r="E440">
        <v>0.05</v>
      </c>
      <c r="F440" s="106">
        <v>0</v>
      </c>
      <c r="G440">
        <v>0</v>
      </c>
    </row>
    <row r="441" spans="1:7" x14ac:dyDescent="0.2">
      <c r="A441">
        <v>5943</v>
      </c>
      <c r="B441" s="106" t="s">
        <v>1369</v>
      </c>
      <c r="C441">
        <v>0</v>
      </c>
      <c r="D441">
        <v>0.15</v>
      </c>
      <c r="E441">
        <v>0</v>
      </c>
      <c r="F441">
        <v>0.05</v>
      </c>
      <c r="G441">
        <v>0</v>
      </c>
    </row>
    <row r="442" spans="1:7" x14ac:dyDescent="0.2">
      <c r="A442">
        <v>5946</v>
      </c>
      <c r="B442" s="106" t="s">
        <v>1370</v>
      </c>
      <c r="C442">
        <v>0</v>
      </c>
      <c r="D442">
        <v>0</v>
      </c>
      <c r="E442" s="106">
        <v>0.05</v>
      </c>
      <c r="F442">
        <v>0</v>
      </c>
      <c r="G442">
        <v>0.05</v>
      </c>
    </row>
    <row r="443" spans="1:7" x14ac:dyDescent="0.2">
      <c r="A443">
        <v>5947</v>
      </c>
      <c r="B443" s="106" t="s">
        <v>321</v>
      </c>
      <c r="C443">
        <v>0.15</v>
      </c>
      <c r="D443">
        <v>0.45</v>
      </c>
      <c r="E443">
        <v>0.15</v>
      </c>
      <c r="F443">
        <v>0.15</v>
      </c>
      <c r="G443">
        <v>0.15</v>
      </c>
    </row>
    <row r="444" spans="1:7" x14ac:dyDescent="0.2">
      <c r="A444">
        <v>5949</v>
      </c>
      <c r="B444" s="106" t="s">
        <v>1371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5951</v>
      </c>
      <c r="B445" s="106" t="s">
        <v>1372</v>
      </c>
      <c r="C445">
        <v>0.05</v>
      </c>
      <c r="D445">
        <v>0.15</v>
      </c>
      <c r="E445">
        <v>0.05</v>
      </c>
      <c r="F445">
        <v>0.05</v>
      </c>
      <c r="G445" s="106">
        <v>0.05</v>
      </c>
    </row>
    <row r="446" spans="1:7" x14ac:dyDescent="0.2">
      <c r="A446">
        <v>5957</v>
      </c>
      <c r="B446" s="106" t="s">
        <v>1373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5976</v>
      </c>
      <c r="B447" s="106" t="s">
        <v>1374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5981</v>
      </c>
      <c r="B448" s="106" t="s">
        <v>1375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5985</v>
      </c>
      <c r="B449" s="106" t="s">
        <v>2570</v>
      </c>
      <c r="C449">
        <v>0</v>
      </c>
      <c r="D449" t="s">
        <v>233</v>
      </c>
      <c r="E449" t="s">
        <v>233</v>
      </c>
      <c r="F449">
        <v>0</v>
      </c>
      <c r="G449">
        <v>0</v>
      </c>
    </row>
    <row r="450" spans="1:7" x14ac:dyDescent="0.2">
      <c r="A450">
        <v>5991</v>
      </c>
      <c r="B450" s="106" t="s">
        <v>1376</v>
      </c>
      <c r="C450">
        <v>0.05</v>
      </c>
      <c r="D450">
        <v>0.15</v>
      </c>
      <c r="E450">
        <v>0.05</v>
      </c>
      <c r="F450">
        <v>0.05</v>
      </c>
      <c r="G450">
        <v>0.05</v>
      </c>
    </row>
    <row r="451" spans="1:7" x14ac:dyDescent="0.2">
      <c r="A451">
        <v>5998</v>
      </c>
      <c r="B451" s="106" t="s">
        <v>1377</v>
      </c>
      <c r="C451">
        <v>0.05</v>
      </c>
      <c r="D451">
        <v>0.15</v>
      </c>
      <c r="E451">
        <v>0.05</v>
      </c>
      <c r="F451">
        <v>0.05</v>
      </c>
      <c r="G451">
        <v>0.05</v>
      </c>
    </row>
    <row r="452" spans="1:7" x14ac:dyDescent="0.2">
      <c r="A452">
        <v>6005</v>
      </c>
      <c r="B452" s="106" t="s">
        <v>1378</v>
      </c>
      <c r="C452">
        <v>0.1</v>
      </c>
      <c r="D452">
        <v>0.3</v>
      </c>
      <c r="E452">
        <v>0.1</v>
      </c>
      <c r="F452">
        <v>0.1</v>
      </c>
      <c r="G452">
        <v>0.1</v>
      </c>
    </row>
    <row r="453" spans="1:7" x14ac:dyDescent="0.2">
      <c r="A453">
        <v>6028</v>
      </c>
      <c r="B453" s="106" t="s">
        <v>1027</v>
      </c>
      <c r="C453">
        <v>0.15</v>
      </c>
      <c r="D453">
        <v>0.45</v>
      </c>
      <c r="E453">
        <v>0.15</v>
      </c>
      <c r="F453">
        <v>0.15</v>
      </c>
      <c r="G453">
        <v>0.15</v>
      </c>
    </row>
    <row r="454" spans="1:7" x14ac:dyDescent="0.2">
      <c r="A454">
        <v>6037</v>
      </c>
      <c r="B454" s="106" t="s">
        <v>1379</v>
      </c>
      <c r="C454">
        <v>0</v>
      </c>
      <c r="D454">
        <v>0</v>
      </c>
      <c r="E454" t="s">
        <v>233</v>
      </c>
      <c r="F454">
        <v>0</v>
      </c>
      <c r="G454">
        <v>0</v>
      </c>
    </row>
    <row r="455" spans="1:7" x14ac:dyDescent="0.2">
      <c r="A455">
        <v>6047</v>
      </c>
      <c r="B455" s="106" t="s">
        <v>1380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6048</v>
      </c>
      <c r="B456" s="106" t="s">
        <v>1381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6054</v>
      </c>
      <c r="B457" s="106" t="s">
        <v>1382</v>
      </c>
      <c r="C457">
        <v>0.05</v>
      </c>
      <c r="D457" s="106">
        <v>0.15</v>
      </c>
      <c r="E457">
        <v>0.05</v>
      </c>
      <c r="F457">
        <v>0.05</v>
      </c>
      <c r="G457" s="106">
        <v>0.05</v>
      </c>
    </row>
    <row r="458" spans="1:7" x14ac:dyDescent="0.2">
      <c r="A458">
        <v>6055</v>
      </c>
      <c r="B458" s="106" t="s">
        <v>1383</v>
      </c>
      <c r="C458">
        <v>0.05</v>
      </c>
      <c r="D458" s="106">
        <v>0.15</v>
      </c>
      <c r="E458">
        <v>0.05</v>
      </c>
      <c r="F458">
        <v>0.05</v>
      </c>
      <c r="G458" s="106">
        <v>0.05</v>
      </c>
    </row>
    <row r="459" spans="1:7" x14ac:dyDescent="0.2">
      <c r="A459">
        <v>6058</v>
      </c>
      <c r="B459" s="106" t="s">
        <v>1384</v>
      </c>
      <c r="C459">
        <v>0.05</v>
      </c>
      <c r="D459">
        <v>0.15</v>
      </c>
      <c r="E459">
        <v>0.05</v>
      </c>
      <c r="F459">
        <v>0.05</v>
      </c>
      <c r="G459">
        <v>0.05</v>
      </c>
    </row>
    <row r="460" spans="1:7" x14ac:dyDescent="0.2">
      <c r="A460">
        <v>6088</v>
      </c>
      <c r="B460" s="106" t="s">
        <v>1385</v>
      </c>
      <c r="C460">
        <v>0.05</v>
      </c>
      <c r="D460">
        <v>0.6</v>
      </c>
      <c r="E460">
        <v>0.05</v>
      </c>
      <c r="F460">
        <v>0.05</v>
      </c>
      <c r="G460">
        <v>0.05</v>
      </c>
    </row>
    <row r="461" spans="1:7" x14ac:dyDescent="0.2">
      <c r="A461">
        <v>6093</v>
      </c>
      <c r="B461" s="106" t="s">
        <v>1386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6098</v>
      </c>
      <c r="B462" s="106" t="s">
        <v>335</v>
      </c>
      <c r="C462">
        <v>0.1</v>
      </c>
      <c r="D462">
        <v>0.3</v>
      </c>
      <c r="E462">
        <v>0.1</v>
      </c>
      <c r="F462">
        <v>0.1</v>
      </c>
      <c r="G462">
        <v>0.1</v>
      </c>
    </row>
    <row r="463" spans="1:7" x14ac:dyDescent="0.2">
      <c r="A463">
        <v>6099</v>
      </c>
      <c r="B463" s="106" t="s">
        <v>1387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6101</v>
      </c>
      <c r="B464" s="106" t="s">
        <v>1388</v>
      </c>
      <c r="C464">
        <v>0.05</v>
      </c>
      <c r="D464">
        <v>0.15</v>
      </c>
      <c r="E464">
        <v>0.05</v>
      </c>
      <c r="F464">
        <v>0.05</v>
      </c>
      <c r="G464">
        <v>0.05</v>
      </c>
    </row>
    <row r="465" spans="1:7" x14ac:dyDescent="0.2">
      <c r="A465">
        <v>6103</v>
      </c>
      <c r="B465" s="106" t="s">
        <v>1389</v>
      </c>
      <c r="C465">
        <v>0.05</v>
      </c>
      <c r="D465">
        <v>0.3</v>
      </c>
      <c r="E465">
        <v>0.1</v>
      </c>
      <c r="F465">
        <v>0.1</v>
      </c>
      <c r="G465">
        <v>0.15</v>
      </c>
    </row>
    <row r="466" spans="1:7" x14ac:dyDescent="0.2">
      <c r="A466">
        <v>6104</v>
      </c>
      <c r="B466" s="106" t="s">
        <v>1390</v>
      </c>
      <c r="C466">
        <v>0</v>
      </c>
      <c r="D466">
        <v>0.15</v>
      </c>
      <c r="E466">
        <v>0</v>
      </c>
      <c r="F466">
        <v>0.05</v>
      </c>
      <c r="G466">
        <v>0.05</v>
      </c>
    </row>
    <row r="467" spans="1:7" x14ac:dyDescent="0.2">
      <c r="A467">
        <v>6113</v>
      </c>
      <c r="B467" s="106" t="s">
        <v>2320</v>
      </c>
      <c r="C467">
        <v>0</v>
      </c>
      <c r="D467" s="106">
        <v>0</v>
      </c>
      <c r="E467" s="106" t="s">
        <v>233</v>
      </c>
      <c r="F467" s="106" t="s">
        <v>233</v>
      </c>
      <c r="G467" s="106">
        <v>0</v>
      </c>
    </row>
    <row r="468" spans="1:7" x14ac:dyDescent="0.2">
      <c r="A468">
        <v>6118</v>
      </c>
      <c r="B468" s="106" t="s">
        <v>1391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6134</v>
      </c>
      <c r="B469" s="106" t="s">
        <v>778</v>
      </c>
      <c r="C469">
        <v>0.05</v>
      </c>
      <c r="D469">
        <v>0.15</v>
      </c>
      <c r="E469">
        <v>0.05</v>
      </c>
      <c r="F469" s="106">
        <v>0.05</v>
      </c>
      <c r="G469" s="106">
        <v>0.05</v>
      </c>
    </row>
    <row r="470" spans="1:7" x14ac:dyDescent="0.2">
      <c r="A470">
        <v>6135</v>
      </c>
      <c r="B470" s="106" t="s">
        <v>305</v>
      </c>
      <c r="C470">
        <v>0</v>
      </c>
      <c r="D470">
        <v>0</v>
      </c>
      <c r="E470">
        <v>0.05</v>
      </c>
      <c r="F470">
        <v>0.1</v>
      </c>
      <c r="G470">
        <v>0.1</v>
      </c>
    </row>
    <row r="471" spans="1:7" x14ac:dyDescent="0.2">
      <c r="A471">
        <v>6136</v>
      </c>
      <c r="B471" s="106" t="s">
        <v>1392</v>
      </c>
      <c r="C471">
        <v>0.05</v>
      </c>
      <c r="D471">
        <v>0.15</v>
      </c>
      <c r="E471">
        <v>0</v>
      </c>
      <c r="F471">
        <v>0.05</v>
      </c>
      <c r="G471">
        <v>0.05</v>
      </c>
    </row>
    <row r="472" spans="1:7" x14ac:dyDescent="0.2">
      <c r="A472">
        <v>6140</v>
      </c>
      <c r="B472" s="106" t="s">
        <v>1393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6141</v>
      </c>
      <c r="B473" s="106" t="s">
        <v>2571</v>
      </c>
      <c r="C473">
        <v>0</v>
      </c>
      <c r="D473" t="s">
        <v>233</v>
      </c>
      <c r="E473">
        <v>0</v>
      </c>
      <c r="F473">
        <v>0</v>
      </c>
      <c r="G473">
        <v>0</v>
      </c>
    </row>
    <row r="474" spans="1:7" x14ac:dyDescent="0.2">
      <c r="A474">
        <v>6143</v>
      </c>
      <c r="B474" s="106" t="s">
        <v>1394</v>
      </c>
      <c r="C474">
        <v>0</v>
      </c>
      <c r="D474" s="106">
        <v>0</v>
      </c>
      <c r="E474" s="106">
        <v>0.05</v>
      </c>
      <c r="F474">
        <v>0.05</v>
      </c>
      <c r="G474" s="106">
        <v>0.05</v>
      </c>
    </row>
    <row r="475" spans="1:7" x14ac:dyDescent="0.2">
      <c r="A475">
        <v>6146</v>
      </c>
      <c r="B475" s="106" t="s">
        <v>1395</v>
      </c>
      <c r="C475">
        <v>0.45</v>
      </c>
      <c r="D475">
        <v>1.35</v>
      </c>
      <c r="E475">
        <v>0.45</v>
      </c>
      <c r="F475">
        <v>0.45</v>
      </c>
      <c r="G475">
        <v>0.45</v>
      </c>
    </row>
    <row r="476" spans="1:7" x14ac:dyDescent="0.2">
      <c r="A476">
        <v>6151</v>
      </c>
      <c r="B476" s="106" t="s">
        <v>1396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6157</v>
      </c>
      <c r="B477" s="106" t="s">
        <v>1397</v>
      </c>
      <c r="C477">
        <v>0.05</v>
      </c>
      <c r="D477">
        <v>0.15</v>
      </c>
      <c r="E477">
        <v>0.05</v>
      </c>
      <c r="F477">
        <v>0.05</v>
      </c>
      <c r="G477">
        <v>0.05</v>
      </c>
    </row>
    <row r="478" spans="1:7" x14ac:dyDescent="0.2">
      <c r="A478">
        <v>6165</v>
      </c>
      <c r="B478" s="106" t="s">
        <v>1398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6184</v>
      </c>
      <c r="B479" s="106" t="s">
        <v>1399</v>
      </c>
      <c r="C479">
        <v>0.05</v>
      </c>
      <c r="D479">
        <v>0.15</v>
      </c>
      <c r="E479">
        <v>0.05</v>
      </c>
      <c r="F479">
        <v>0.05</v>
      </c>
      <c r="G479">
        <v>0.05</v>
      </c>
    </row>
    <row r="480" spans="1:7" x14ac:dyDescent="0.2">
      <c r="A480">
        <v>6194</v>
      </c>
      <c r="B480" s="106" t="s">
        <v>1400</v>
      </c>
      <c r="C480">
        <v>0.1</v>
      </c>
      <c r="D480">
        <v>0.3</v>
      </c>
      <c r="E480">
        <v>0.1</v>
      </c>
      <c r="F480">
        <v>0.1</v>
      </c>
      <c r="G480">
        <v>0.1</v>
      </c>
    </row>
    <row r="481" spans="1:7" x14ac:dyDescent="0.2">
      <c r="A481">
        <v>6196</v>
      </c>
      <c r="B481" s="106" t="s">
        <v>1401</v>
      </c>
      <c r="C481">
        <v>0.1</v>
      </c>
      <c r="D481">
        <v>0.3</v>
      </c>
      <c r="E481">
        <v>0.1</v>
      </c>
      <c r="F481">
        <v>0.1</v>
      </c>
      <c r="G481">
        <v>0.1</v>
      </c>
    </row>
    <row r="482" spans="1:7" x14ac:dyDescent="0.2">
      <c r="A482">
        <v>6200</v>
      </c>
      <c r="B482" s="106" t="s">
        <v>1402</v>
      </c>
      <c r="C482">
        <v>0.1</v>
      </c>
      <c r="D482">
        <v>0.3</v>
      </c>
      <c r="E482">
        <v>0.1</v>
      </c>
      <c r="F482">
        <v>0.1</v>
      </c>
      <c r="G482">
        <v>0.1</v>
      </c>
    </row>
    <row r="483" spans="1:7" x14ac:dyDescent="0.2">
      <c r="A483">
        <v>6201</v>
      </c>
      <c r="B483" s="106" t="s">
        <v>2572</v>
      </c>
      <c r="C483">
        <v>0.15</v>
      </c>
      <c r="D483" t="s">
        <v>233</v>
      </c>
      <c r="E483" t="s">
        <v>233</v>
      </c>
      <c r="F483" t="s">
        <v>233</v>
      </c>
      <c r="G483" s="106">
        <v>0.05</v>
      </c>
    </row>
    <row r="484" spans="1:7" x14ac:dyDescent="0.2">
      <c r="A484">
        <v>6205</v>
      </c>
      <c r="B484" s="106" t="s">
        <v>1403</v>
      </c>
      <c r="C484">
        <v>0.05</v>
      </c>
      <c r="D484">
        <v>0</v>
      </c>
      <c r="E484">
        <v>0.05</v>
      </c>
      <c r="F484">
        <v>0</v>
      </c>
      <c r="G484" s="106">
        <v>0.05</v>
      </c>
    </row>
    <row r="485" spans="1:7" x14ac:dyDescent="0.2">
      <c r="A485">
        <v>6217</v>
      </c>
      <c r="B485" s="106" t="s">
        <v>1404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6218</v>
      </c>
      <c r="B486" s="106" t="s">
        <v>1405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6222</v>
      </c>
      <c r="B487" s="106" t="s">
        <v>1406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6237</v>
      </c>
      <c r="B488" s="106" t="s">
        <v>1407</v>
      </c>
      <c r="C488">
        <v>0.05</v>
      </c>
      <c r="D488">
        <v>0.15</v>
      </c>
      <c r="E488">
        <v>0.05</v>
      </c>
      <c r="F488">
        <v>0.05</v>
      </c>
      <c r="G488">
        <v>0.05</v>
      </c>
    </row>
    <row r="489" spans="1:7" x14ac:dyDescent="0.2">
      <c r="A489">
        <v>6240</v>
      </c>
      <c r="B489" s="106" t="s">
        <v>1408</v>
      </c>
      <c r="C489">
        <v>3.2</v>
      </c>
      <c r="D489" s="106">
        <v>0.15</v>
      </c>
      <c r="E489">
        <v>0.05</v>
      </c>
      <c r="F489" s="106">
        <v>0.05</v>
      </c>
      <c r="G489">
        <v>0.05</v>
      </c>
    </row>
    <row r="490" spans="1:7" x14ac:dyDescent="0.2">
      <c r="A490">
        <v>6247</v>
      </c>
      <c r="B490" s="106" t="s">
        <v>1409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6258</v>
      </c>
      <c r="B491" s="106" t="s">
        <v>1410</v>
      </c>
      <c r="C491">
        <v>0.15</v>
      </c>
      <c r="D491">
        <v>0.45</v>
      </c>
      <c r="E491" s="106">
        <v>0.15</v>
      </c>
      <c r="F491" s="106">
        <v>0.2</v>
      </c>
      <c r="G491">
        <v>0.2</v>
      </c>
    </row>
    <row r="492" spans="1:7" x14ac:dyDescent="0.2">
      <c r="A492">
        <v>6262</v>
      </c>
      <c r="B492" s="106" t="s">
        <v>1411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6264</v>
      </c>
      <c r="B493" s="106" t="s">
        <v>2573</v>
      </c>
      <c r="C493">
        <v>0</v>
      </c>
      <c r="D493" s="106" t="s">
        <v>233</v>
      </c>
      <c r="E493" s="106" t="s">
        <v>233</v>
      </c>
      <c r="F493" s="106" t="s">
        <v>233</v>
      </c>
      <c r="G493" t="s">
        <v>233</v>
      </c>
    </row>
    <row r="494" spans="1:7" x14ac:dyDescent="0.2">
      <c r="A494">
        <v>6266</v>
      </c>
      <c r="B494" s="106" t="s">
        <v>2321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6269</v>
      </c>
      <c r="B495" s="106" t="s">
        <v>1412</v>
      </c>
      <c r="C495">
        <v>0</v>
      </c>
      <c r="D495">
        <v>0</v>
      </c>
      <c r="E495" s="106">
        <v>0.05</v>
      </c>
      <c r="F495" s="106">
        <v>0</v>
      </c>
      <c r="G495" s="106">
        <v>0</v>
      </c>
    </row>
    <row r="496" spans="1:7" x14ac:dyDescent="0.2">
      <c r="A496">
        <v>6273</v>
      </c>
      <c r="B496" s="106" t="s">
        <v>1413</v>
      </c>
      <c r="C496">
        <v>0.9</v>
      </c>
      <c r="D496">
        <v>2.5499999999999998</v>
      </c>
      <c r="E496">
        <v>0.85</v>
      </c>
      <c r="F496" s="106">
        <v>0.9</v>
      </c>
      <c r="G496">
        <v>0.9</v>
      </c>
    </row>
    <row r="497" spans="1:7" x14ac:dyDescent="0.2">
      <c r="A497">
        <v>6274</v>
      </c>
      <c r="B497" s="106" t="s">
        <v>1414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6278</v>
      </c>
      <c r="B498" s="106" t="s">
        <v>1415</v>
      </c>
      <c r="C498">
        <v>0.05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6284</v>
      </c>
      <c r="B499" s="106" t="s">
        <v>1416</v>
      </c>
      <c r="C499">
        <v>0.1</v>
      </c>
      <c r="D499">
        <v>0.3</v>
      </c>
      <c r="E499">
        <v>0.1</v>
      </c>
      <c r="F499">
        <v>0.1</v>
      </c>
      <c r="G499">
        <v>0.1</v>
      </c>
    </row>
    <row r="500" spans="1:7" x14ac:dyDescent="0.2">
      <c r="A500">
        <v>6287</v>
      </c>
      <c r="B500" s="106" t="s">
        <v>780</v>
      </c>
      <c r="C500">
        <v>0.1</v>
      </c>
      <c r="D500">
        <v>0.3</v>
      </c>
      <c r="E500">
        <v>0.1</v>
      </c>
      <c r="F500">
        <v>0.1</v>
      </c>
      <c r="G500">
        <v>0.1</v>
      </c>
    </row>
    <row r="501" spans="1:7" x14ac:dyDescent="0.2">
      <c r="A501">
        <v>6298</v>
      </c>
      <c r="B501" s="106" t="s">
        <v>2322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6301</v>
      </c>
      <c r="B502" s="106" t="s">
        <v>109</v>
      </c>
      <c r="C502">
        <v>0</v>
      </c>
      <c r="D502">
        <v>0.15</v>
      </c>
      <c r="E502">
        <v>0</v>
      </c>
      <c r="F502">
        <v>0</v>
      </c>
      <c r="G502">
        <v>0.05</v>
      </c>
    </row>
    <row r="503" spans="1:7" x14ac:dyDescent="0.2">
      <c r="A503">
        <v>6302</v>
      </c>
      <c r="B503" s="106" t="s">
        <v>1028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6305</v>
      </c>
      <c r="B504" s="106" t="s">
        <v>33</v>
      </c>
      <c r="C504">
        <v>0.05</v>
      </c>
      <c r="D504">
        <v>0.15</v>
      </c>
      <c r="E504">
        <v>0.1</v>
      </c>
      <c r="F504">
        <v>0.1</v>
      </c>
      <c r="G504">
        <v>0.1</v>
      </c>
    </row>
    <row r="505" spans="1:7" x14ac:dyDescent="0.2">
      <c r="A505">
        <v>6310</v>
      </c>
      <c r="B505" s="106" t="s">
        <v>1417</v>
      </c>
      <c r="C505">
        <v>0</v>
      </c>
      <c r="D505">
        <v>0</v>
      </c>
      <c r="E505">
        <v>0</v>
      </c>
      <c r="F505">
        <v>0</v>
      </c>
      <c r="G505">
        <v>0.05</v>
      </c>
    </row>
    <row r="506" spans="1:7" x14ac:dyDescent="0.2">
      <c r="A506">
        <v>6315</v>
      </c>
      <c r="B506" s="106" t="s">
        <v>1418</v>
      </c>
      <c r="C506">
        <v>0.05</v>
      </c>
      <c r="D506" s="106">
        <v>0.15</v>
      </c>
      <c r="E506" s="106">
        <v>0.05</v>
      </c>
      <c r="F506" s="106">
        <v>0.05</v>
      </c>
      <c r="G506" s="106">
        <v>0.05</v>
      </c>
    </row>
    <row r="507" spans="1:7" x14ac:dyDescent="0.2">
      <c r="A507">
        <v>6316</v>
      </c>
      <c r="B507" s="106" t="s">
        <v>1419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6325</v>
      </c>
      <c r="B508" s="106" t="s">
        <v>1420</v>
      </c>
      <c r="C508">
        <v>0.05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6326</v>
      </c>
      <c r="B509" s="106" t="s">
        <v>1421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6330</v>
      </c>
      <c r="B510" s="106" t="s">
        <v>1422</v>
      </c>
      <c r="C510">
        <v>0</v>
      </c>
      <c r="D510">
        <v>0.15</v>
      </c>
      <c r="E510">
        <v>0</v>
      </c>
      <c r="F510">
        <v>0.05</v>
      </c>
      <c r="G510" s="106">
        <v>0</v>
      </c>
    </row>
    <row r="511" spans="1:7" x14ac:dyDescent="0.2">
      <c r="A511">
        <v>6331</v>
      </c>
      <c r="B511" s="106" t="s">
        <v>1423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6332</v>
      </c>
      <c r="B512" s="106" t="s">
        <v>1424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6339</v>
      </c>
      <c r="B513" s="106" t="s">
        <v>2323</v>
      </c>
      <c r="C513">
        <v>0.05</v>
      </c>
      <c r="D513">
        <v>0.15</v>
      </c>
      <c r="E513">
        <v>0.05</v>
      </c>
      <c r="F513" t="s">
        <v>233</v>
      </c>
      <c r="G513">
        <v>0.05</v>
      </c>
    </row>
    <row r="514" spans="1:7" x14ac:dyDescent="0.2">
      <c r="A514">
        <v>6349</v>
      </c>
      <c r="B514" s="106" t="s">
        <v>1425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6351</v>
      </c>
      <c r="B515" s="106" t="s">
        <v>1426</v>
      </c>
      <c r="C515">
        <v>0.05</v>
      </c>
      <c r="D515">
        <v>0.15</v>
      </c>
      <c r="E515">
        <v>0.05</v>
      </c>
      <c r="F515">
        <v>0.05</v>
      </c>
      <c r="G515">
        <v>0.05</v>
      </c>
    </row>
    <row r="516" spans="1:7" x14ac:dyDescent="0.2">
      <c r="A516">
        <v>6358</v>
      </c>
      <c r="B516" s="106" t="s">
        <v>1427</v>
      </c>
      <c r="C516">
        <v>0.05</v>
      </c>
      <c r="D516">
        <v>0.15</v>
      </c>
      <c r="E516">
        <v>0.1</v>
      </c>
      <c r="F516">
        <v>0.05</v>
      </c>
      <c r="G516">
        <v>0.05</v>
      </c>
    </row>
    <row r="517" spans="1:7" x14ac:dyDescent="0.2">
      <c r="A517">
        <v>6361</v>
      </c>
      <c r="B517" s="106" t="s">
        <v>1428</v>
      </c>
      <c r="C517">
        <v>0.1</v>
      </c>
      <c r="D517">
        <v>0.15</v>
      </c>
      <c r="E517">
        <v>0.1</v>
      </c>
      <c r="F517">
        <v>0.1</v>
      </c>
      <c r="G517">
        <v>0.1</v>
      </c>
    </row>
    <row r="518" spans="1:7" x14ac:dyDescent="0.2">
      <c r="A518">
        <v>6362</v>
      </c>
      <c r="B518" s="106" t="s">
        <v>1429</v>
      </c>
      <c r="C518">
        <v>0.05</v>
      </c>
      <c r="D518" s="106">
        <v>0.15</v>
      </c>
      <c r="E518" s="106">
        <v>0.05</v>
      </c>
      <c r="F518">
        <v>0.05</v>
      </c>
      <c r="G518">
        <v>0.05</v>
      </c>
    </row>
    <row r="519" spans="1:7" x14ac:dyDescent="0.2">
      <c r="A519">
        <v>6363</v>
      </c>
      <c r="B519" s="106" t="s">
        <v>1430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6367</v>
      </c>
      <c r="B520" s="106" t="s">
        <v>1431</v>
      </c>
      <c r="C520">
        <v>0.05</v>
      </c>
      <c r="D520" s="106">
        <v>0.9</v>
      </c>
      <c r="E520" s="106">
        <v>0.3</v>
      </c>
      <c r="F520">
        <v>0.3</v>
      </c>
      <c r="G520" s="106">
        <v>0.3</v>
      </c>
    </row>
    <row r="521" spans="1:7" x14ac:dyDescent="0.2">
      <c r="A521">
        <v>6368</v>
      </c>
      <c r="B521" s="106" t="s">
        <v>1432</v>
      </c>
      <c r="C521">
        <v>0</v>
      </c>
      <c r="D521" s="106">
        <v>0</v>
      </c>
      <c r="E521" s="106">
        <v>0</v>
      </c>
      <c r="F521" t="s">
        <v>233</v>
      </c>
      <c r="G521">
        <v>0</v>
      </c>
    </row>
    <row r="522" spans="1:7" x14ac:dyDescent="0.2">
      <c r="A522">
        <v>6370</v>
      </c>
      <c r="B522" s="106" t="s">
        <v>1433</v>
      </c>
      <c r="C522">
        <v>0</v>
      </c>
      <c r="D522">
        <v>0</v>
      </c>
      <c r="E522" t="s">
        <v>233</v>
      </c>
      <c r="F522">
        <v>0.05</v>
      </c>
      <c r="G522">
        <v>0</v>
      </c>
    </row>
    <row r="523" spans="1:7" x14ac:dyDescent="0.2">
      <c r="A523">
        <v>6371</v>
      </c>
      <c r="B523" s="106" t="s">
        <v>108</v>
      </c>
      <c r="C523">
        <v>0.1</v>
      </c>
      <c r="D523">
        <v>0.3</v>
      </c>
      <c r="E523">
        <v>0.1</v>
      </c>
      <c r="F523">
        <v>0.1</v>
      </c>
      <c r="G523">
        <v>0.1</v>
      </c>
    </row>
    <row r="524" spans="1:7" x14ac:dyDescent="0.2">
      <c r="A524">
        <v>6373</v>
      </c>
      <c r="B524" s="106" t="s">
        <v>1434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6379</v>
      </c>
      <c r="B525" s="106" t="s">
        <v>2324</v>
      </c>
      <c r="C525">
        <v>0</v>
      </c>
      <c r="D525">
        <v>0</v>
      </c>
      <c r="E525" t="s">
        <v>233</v>
      </c>
      <c r="F525" t="s">
        <v>233</v>
      </c>
      <c r="G525">
        <v>0</v>
      </c>
    </row>
    <row r="526" spans="1:7" x14ac:dyDescent="0.2">
      <c r="A526">
        <v>6381</v>
      </c>
      <c r="B526" s="106" t="s">
        <v>1435</v>
      </c>
      <c r="C526">
        <v>0.05</v>
      </c>
      <c r="D526">
        <v>0.15</v>
      </c>
      <c r="E526">
        <v>0.05</v>
      </c>
      <c r="F526">
        <v>0.05</v>
      </c>
      <c r="G526">
        <v>0.05</v>
      </c>
    </row>
    <row r="527" spans="1:7" x14ac:dyDescent="0.2">
      <c r="A527">
        <v>6383</v>
      </c>
      <c r="B527" s="106" t="s">
        <v>1037</v>
      </c>
      <c r="C527">
        <v>0.2</v>
      </c>
      <c r="D527" s="106">
        <v>0.45</v>
      </c>
      <c r="E527">
        <v>0.15</v>
      </c>
      <c r="F527">
        <v>0.15</v>
      </c>
      <c r="G527">
        <v>0.15</v>
      </c>
    </row>
    <row r="528" spans="1:7" x14ac:dyDescent="0.2">
      <c r="A528">
        <v>6393</v>
      </c>
      <c r="B528" s="106" t="s">
        <v>1436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6395</v>
      </c>
      <c r="B529" s="106" t="s">
        <v>2574</v>
      </c>
      <c r="C529">
        <v>0</v>
      </c>
      <c r="D529" s="106" t="s">
        <v>233</v>
      </c>
      <c r="E529">
        <v>0</v>
      </c>
      <c r="F529" t="s">
        <v>233</v>
      </c>
      <c r="G529">
        <v>0.05</v>
      </c>
    </row>
    <row r="530" spans="1:7" x14ac:dyDescent="0.2">
      <c r="A530">
        <v>6407</v>
      </c>
      <c r="B530" s="106" t="s">
        <v>1437</v>
      </c>
      <c r="C530">
        <v>0.05</v>
      </c>
      <c r="D530">
        <v>0.15</v>
      </c>
      <c r="E530">
        <v>0.05</v>
      </c>
      <c r="F530" s="106">
        <v>0.05</v>
      </c>
      <c r="G530">
        <v>0.05</v>
      </c>
    </row>
    <row r="531" spans="1:7" x14ac:dyDescent="0.2">
      <c r="A531">
        <v>6412</v>
      </c>
      <c r="B531" s="106" t="s">
        <v>1438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6413</v>
      </c>
      <c r="B532" s="106" t="s">
        <v>1439</v>
      </c>
      <c r="C532">
        <v>0.05</v>
      </c>
      <c r="D532" s="106">
        <v>0.15</v>
      </c>
      <c r="E532" s="106">
        <v>0.05</v>
      </c>
      <c r="F532">
        <v>0.05</v>
      </c>
      <c r="G532" s="106">
        <v>0.05</v>
      </c>
    </row>
    <row r="533" spans="1:7" x14ac:dyDescent="0.2">
      <c r="A533">
        <v>6418</v>
      </c>
      <c r="B533" s="106" t="s">
        <v>2575</v>
      </c>
      <c r="C533">
        <v>0</v>
      </c>
      <c r="D533" t="s">
        <v>233</v>
      </c>
      <c r="E533" t="s">
        <v>233</v>
      </c>
      <c r="F533" t="s">
        <v>233</v>
      </c>
      <c r="G533" t="s">
        <v>233</v>
      </c>
    </row>
    <row r="534" spans="1:7" x14ac:dyDescent="0.2">
      <c r="A534">
        <v>6428</v>
      </c>
      <c r="B534" s="106" t="s">
        <v>1440</v>
      </c>
      <c r="C534">
        <v>0.05</v>
      </c>
      <c r="D534">
        <v>0.15</v>
      </c>
      <c r="E534">
        <v>0.05</v>
      </c>
      <c r="F534">
        <v>0.05</v>
      </c>
      <c r="G534">
        <v>0.05</v>
      </c>
    </row>
    <row r="535" spans="1:7" x14ac:dyDescent="0.2">
      <c r="A535">
        <v>6430</v>
      </c>
      <c r="B535" s="106" t="s">
        <v>1441</v>
      </c>
      <c r="C535">
        <v>0.05</v>
      </c>
      <c r="D535">
        <v>0.15</v>
      </c>
      <c r="E535">
        <v>0.05</v>
      </c>
      <c r="F535">
        <v>0.05</v>
      </c>
      <c r="G535">
        <v>0.05</v>
      </c>
    </row>
    <row r="536" spans="1:7" x14ac:dyDescent="0.2">
      <c r="A536">
        <v>6436</v>
      </c>
      <c r="B536" s="106" t="s">
        <v>1442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6444</v>
      </c>
      <c r="B537" s="106" t="s">
        <v>1443</v>
      </c>
      <c r="C537">
        <v>0.05</v>
      </c>
      <c r="D537">
        <v>0.15</v>
      </c>
      <c r="E537" s="106">
        <v>0.05</v>
      </c>
      <c r="F537">
        <v>0.05</v>
      </c>
      <c r="G537" s="106">
        <v>0.05</v>
      </c>
    </row>
    <row r="538" spans="1:7" x14ac:dyDescent="0.2">
      <c r="A538">
        <v>6448</v>
      </c>
      <c r="B538" s="106" t="s">
        <v>790</v>
      </c>
      <c r="C538">
        <v>0.05</v>
      </c>
      <c r="D538">
        <v>0.15</v>
      </c>
      <c r="E538">
        <v>0.05</v>
      </c>
      <c r="F538">
        <v>0.05</v>
      </c>
      <c r="G538">
        <v>0.05</v>
      </c>
    </row>
    <row r="539" spans="1:7" x14ac:dyDescent="0.2">
      <c r="A539">
        <v>6454</v>
      </c>
      <c r="B539" s="106" t="s">
        <v>1444</v>
      </c>
      <c r="C539">
        <v>0.05</v>
      </c>
      <c r="D539">
        <v>0.15</v>
      </c>
      <c r="E539">
        <v>0.05</v>
      </c>
      <c r="F539">
        <v>0.05</v>
      </c>
      <c r="G539" s="106">
        <v>0.05</v>
      </c>
    </row>
    <row r="540" spans="1:7" x14ac:dyDescent="0.2">
      <c r="A540">
        <v>6457</v>
      </c>
      <c r="B540" s="106" t="s">
        <v>311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6459</v>
      </c>
      <c r="B541" s="106" t="s">
        <v>1445</v>
      </c>
      <c r="C541">
        <v>0</v>
      </c>
      <c r="D541">
        <v>0</v>
      </c>
      <c r="E541">
        <v>0</v>
      </c>
      <c r="F541" t="s">
        <v>233</v>
      </c>
      <c r="G541" t="s">
        <v>233</v>
      </c>
    </row>
    <row r="542" spans="1:7" x14ac:dyDescent="0.2">
      <c r="A542">
        <v>6460</v>
      </c>
      <c r="B542" s="106" t="s">
        <v>2576</v>
      </c>
      <c r="C542">
        <v>0</v>
      </c>
      <c r="D542" t="s">
        <v>233</v>
      </c>
      <c r="E542" t="s">
        <v>233</v>
      </c>
      <c r="F542" t="s">
        <v>233</v>
      </c>
      <c r="G542">
        <v>0</v>
      </c>
    </row>
    <row r="543" spans="1:7" x14ac:dyDescent="0.2">
      <c r="A543">
        <v>6463</v>
      </c>
      <c r="B543" s="106" t="s">
        <v>1446</v>
      </c>
      <c r="C543">
        <v>0.05</v>
      </c>
      <c r="D543">
        <v>0.15</v>
      </c>
      <c r="E543">
        <v>0.05</v>
      </c>
      <c r="F543">
        <v>0.05</v>
      </c>
      <c r="G543">
        <v>0.05</v>
      </c>
    </row>
    <row r="544" spans="1:7" x14ac:dyDescent="0.2">
      <c r="A544">
        <v>6465</v>
      </c>
      <c r="B544" s="106" t="s">
        <v>781</v>
      </c>
      <c r="C544">
        <v>0.2</v>
      </c>
      <c r="D544">
        <v>0.6</v>
      </c>
      <c r="E544">
        <v>0.2</v>
      </c>
      <c r="F544">
        <v>0.2</v>
      </c>
      <c r="G544">
        <v>0.2</v>
      </c>
    </row>
    <row r="545" spans="1:7" x14ac:dyDescent="0.2">
      <c r="A545">
        <v>6470</v>
      </c>
      <c r="B545" s="106" t="s">
        <v>2577</v>
      </c>
      <c r="C545">
        <v>0</v>
      </c>
      <c r="D545" t="s">
        <v>233</v>
      </c>
      <c r="E545">
        <v>0</v>
      </c>
      <c r="F545" t="s">
        <v>233</v>
      </c>
      <c r="G545" t="s">
        <v>233</v>
      </c>
    </row>
    <row r="546" spans="1:7" x14ac:dyDescent="0.2">
      <c r="A546">
        <v>6472</v>
      </c>
      <c r="B546" s="106" t="s">
        <v>133</v>
      </c>
      <c r="C546">
        <v>0.05</v>
      </c>
      <c r="D546">
        <v>0</v>
      </c>
      <c r="E546">
        <v>0.05</v>
      </c>
      <c r="F546">
        <v>0</v>
      </c>
      <c r="G546">
        <v>0.05</v>
      </c>
    </row>
    <row r="547" spans="1:7" x14ac:dyDescent="0.2">
      <c r="A547">
        <v>6473</v>
      </c>
      <c r="B547" s="106" t="s">
        <v>132</v>
      </c>
      <c r="C547">
        <v>0.05</v>
      </c>
      <c r="D547" t="s">
        <v>233</v>
      </c>
      <c r="E547" s="106">
        <v>0.05</v>
      </c>
      <c r="F547" s="106" t="s">
        <v>233</v>
      </c>
      <c r="G547">
        <v>0.05</v>
      </c>
    </row>
    <row r="548" spans="1:7" x14ac:dyDescent="0.2">
      <c r="A548">
        <v>6474</v>
      </c>
      <c r="B548" s="106" t="s">
        <v>312</v>
      </c>
      <c r="C548">
        <v>0</v>
      </c>
      <c r="D548">
        <v>0</v>
      </c>
      <c r="E548">
        <v>0.1</v>
      </c>
      <c r="F548">
        <v>0.1</v>
      </c>
      <c r="G548">
        <v>0.1</v>
      </c>
    </row>
    <row r="549" spans="1:7" x14ac:dyDescent="0.2">
      <c r="A549">
        <v>6479</v>
      </c>
      <c r="B549" s="106" t="s">
        <v>1019</v>
      </c>
      <c r="C549">
        <v>0.05</v>
      </c>
      <c r="D549" s="106">
        <v>0.15</v>
      </c>
      <c r="E549">
        <v>0.05</v>
      </c>
      <c r="F549" s="106">
        <v>0.05</v>
      </c>
      <c r="G549" s="106">
        <v>0.05</v>
      </c>
    </row>
    <row r="550" spans="1:7" x14ac:dyDescent="0.2">
      <c r="A550">
        <v>6480</v>
      </c>
      <c r="B550" s="106" t="s">
        <v>1447</v>
      </c>
      <c r="C550">
        <v>0</v>
      </c>
      <c r="D550" s="106">
        <v>0</v>
      </c>
      <c r="E550">
        <v>0</v>
      </c>
      <c r="F550" s="106">
        <v>0</v>
      </c>
      <c r="G550" s="106">
        <v>0</v>
      </c>
    </row>
    <row r="551" spans="1:7" x14ac:dyDescent="0.2">
      <c r="A551">
        <v>6482</v>
      </c>
      <c r="B551" s="106" t="s">
        <v>1448</v>
      </c>
      <c r="C551">
        <v>0.05</v>
      </c>
      <c r="D551">
        <v>0.15</v>
      </c>
      <c r="E551">
        <v>0.05</v>
      </c>
      <c r="F551">
        <v>0.05</v>
      </c>
      <c r="G551">
        <v>0</v>
      </c>
    </row>
    <row r="552" spans="1:7" x14ac:dyDescent="0.2">
      <c r="A552">
        <v>6485</v>
      </c>
      <c r="B552" s="106" t="s">
        <v>2325</v>
      </c>
      <c r="C552">
        <v>0</v>
      </c>
      <c r="D552">
        <v>0</v>
      </c>
      <c r="E552" t="s">
        <v>233</v>
      </c>
      <c r="F552">
        <v>0</v>
      </c>
      <c r="G552">
        <v>0</v>
      </c>
    </row>
    <row r="553" spans="1:7" x14ac:dyDescent="0.2">
      <c r="A553">
        <v>6490</v>
      </c>
      <c r="B553" s="106" t="s">
        <v>1449</v>
      </c>
      <c r="C553">
        <v>0.05</v>
      </c>
      <c r="D553">
        <v>0.15</v>
      </c>
      <c r="E553">
        <v>0.05</v>
      </c>
      <c r="F553">
        <v>0.05</v>
      </c>
      <c r="G553">
        <v>0.05</v>
      </c>
    </row>
    <row r="554" spans="1:7" x14ac:dyDescent="0.2">
      <c r="A554">
        <v>6501</v>
      </c>
      <c r="B554" s="106" t="s">
        <v>2326</v>
      </c>
      <c r="C554">
        <v>0</v>
      </c>
      <c r="D554">
        <v>0</v>
      </c>
      <c r="E554" t="s">
        <v>233</v>
      </c>
      <c r="F554" t="s">
        <v>233</v>
      </c>
      <c r="G554" t="s">
        <v>233</v>
      </c>
    </row>
    <row r="555" spans="1:7" x14ac:dyDescent="0.2">
      <c r="A555">
        <v>6505</v>
      </c>
      <c r="B555" s="106" t="s">
        <v>1450</v>
      </c>
      <c r="C555">
        <v>0.05</v>
      </c>
      <c r="D555" s="106">
        <v>0</v>
      </c>
      <c r="E555" s="106">
        <v>0.05</v>
      </c>
      <c r="F555">
        <v>0</v>
      </c>
      <c r="G555" s="106">
        <v>0.05</v>
      </c>
    </row>
    <row r="556" spans="1:7" x14ac:dyDescent="0.2">
      <c r="A556">
        <v>6506</v>
      </c>
      <c r="B556" s="106" t="s">
        <v>1451</v>
      </c>
      <c r="C556">
        <v>0.1</v>
      </c>
      <c r="D556">
        <v>0.3</v>
      </c>
      <c r="E556" s="106">
        <v>0.1</v>
      </c>
      <c r="F556">
        <v>0.1</v>
      </c>
      <c r="G556">
        <v>0.1</v>
      </c>
    </row>
    <row r="557" spans="1:7" x14ac:dyDescent="0.2">
      <c r="A557">
        <v>6508</v>
      </c>
      <c r="B557" s="106" t="s">
        <v>1452</v>
      </c>
      <c r="C557">
        <v>0.05</v>
      </c>
      <c r="D557" s="106">
        <v>0.15</v>
      </c>
      <c r="E557" s="106">
        <v>0.05</v>
      </c>
      <c r="F557" s="106">
        <v>0.05</v>
      </c>
      <c r="G557" s="106">
        <v>0.05</v>
      </c>
    </row>
    <row r="558" spans="1:7" x14ac:dyDescent="0.2">
      <c r="A558">
        <v>6516</v>
      </c>
      <c r="B558" s="106" t="s">
        <v>2578</v>
      </c>
      <c r="C558">
        <v>0</v>
      </c>
      <c r="D558" s="106" t="s">
        <v>233</v>
      </c>
      <c r="E558">
        <v>0</v>
      </c>
      <c r="F558" s="106">
        <v>0</v>
      </c>
      <c r="G558">
        <v>0.05</v>
      </c>
    </row>
    <row r="559" spans="1:7" x14ac:dyDescent="0.2">
      <c r="A559">
        <v>6535</v>
      </c>
      <c r="B559" s="106" t="s">
        <v>1453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6547</v>
      </c>
      <c r="B560" s="106" t="s">
        <v>1454</v>
      </c>
      <c r="C560">
        <v>0.05</v>
      </c>
      <c r="D560">
        <v>0.15</v>
      </c>
      <c r="E560">
        <v>0.05</v>
      </c>
      <c r="F560" s="106">
        <v>0.05</v>
      </c>
      <c r="G560" s="106">
        <v>0.05</v>
      </c>
    </row>
    <row r="561" spans="1:7" x14ac:dyDescent="0.2">
      <c r="A561">
        <v>6551</v>
      </c>
      <c r="B561" s="106" t="s">
        <v>1455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6552</v>
      </c>
      <c r="B562" s="106" t="s">
        <v>1456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6586</v>
      </c>
      <c r="B563" s="106" t="s">
        <v>1457</v>
      </c>
      <c r="C563">
        <v>0</v>
      </c>
      <c r="D563">
        <v>0</v>
      </c>
      <c r="E563">
        <v>0</v>
      </c>
      <c r="F563">
        <v>0</v>
      </c>
      <c r="G563">
        <v>0.1</v>
      </c>
    </row>
    <row r="564" spans="1:7" x14ac:dyDescent="0.2">
      <c r="A564">
        <v>6588</v>
      </c>
      <c r="B564" s="106" t="s">
        <v>784</v>
      </c>
      <c r="C564">
        <v>0.1</v>
      </c>
      <c r="D564">
        <v>0.3</v>
      </c>
      <c r="E564">
        <v>0.1</v>
      </c>
      <c r="F564">
        <v>0.1</v>
      </c>
      <c r="G564">
        <v>0.1</v>
      </c>
    </row>
    <row r="565" spans="1:7" x14ac:dyDescent="0.2">
      <c r="A565">
        <v>6619</v>
      </c>
      <c r="B565" s="106" t="s">
        <v>2579</v>
      </c>
      <c r="C565">
        <v>0</v>
      </c>
      <c r="D565" t="s">
        <v>233</v>
      </c>
      <c r="E565" t="s">
        <v>233</v>
      </c>
      <c r="F565" t="s">
        <v>233</v>
      </c>
      <c r="G565" t="s">
        <v>233</v>
      </c>
    </row>
    <row r="566" spans="1:7" x14ac:dyDescent="0.2">
      <c r="A566">
        <v>6622</v>
      </c>
      <c r="B566" s="106" t="s">
        <v>1458</v>
      </c>
      <c r="C566">
        <v>0.1</v>
      </c>
      <c r="D566">
        <v>0.3</v>
      </c>
      <c r="E566">
        <v>0.1</v>
      </c>
      <c r="F566">
        <v>0.1</v>
      </c>
      <c r="G566">
        <v>0.1</v>
      </c>
    </row>
    <row r="567" spans="1:7" x14ac:dyDescent="0.2">
      <c r="A567">
        <v>6638</v>
      </c>
      <c r="B567" s="106" t="s">
        <v>2327</v>
      </c>
      <c r="C567">
        <v>0</v>
      </c>
      <c r="D567" s="106">
        <v>0</v>
      </c>
      <c r="E567" t="s">
        <v>233</v>
      </c>
      <c r="F567" s="106">
        <v>0</v>
      </c>
      <c r="G567">
        <v>0</v>
      </c>
    </row>
    <row r="568" spans="1:7" x14ac:dyDescent="0.2">
      <c r="A568">
        <v>6640</v>
      </c>
      <c r="B568" s="106" t="s">
        <v>1459</v>
      </c>
      <c r="C568">
        <v>0.1</v>
      </c>
      <c r="D568">
        <v>0.6</v>
      </c>
      <c r="E568">
        <v>0.1</v>
      </c>
      <c r="F568">
        <v>0.1</v>
      </c>
      <c r="G568">
        <v>0.1</v>
      </c>
    </row>
    <row r="569" spans="1:7" x14ac:dyDescent="0.2">
      <c r="A569">
        <v>6641</v>
      </c>
      <c r="B569" s="106" t="s">
        <v>1460</v>
      </c>
      <c r="C569">
        <v>0.05</v>
      </c>
      <c r="D569" s="106">
        <v>0.15</v>
      </c>
      <c r="E569">
        <v>0.05</v>
      </c>
      <c r="F569">
        <v>0.05</v>
      </c>
      <c r="G569" s="106">
        <v>0.05</v>
      </c>
    </row>
    <row r="570" spans="1:7" x14ac:dyDescent="0.2">
      <c r="A570">
        <v>6645</v>
      </c>
      <c r="B570" s="106" t="s">
        <v>1461</v>
      </c>
      <c r="C570">
        <v>0.15</v>
      </c>
      <c r="D570">
        <v>0.45</v>
      </c>
      <c r="E570" s="106">
        <v>0.15</v>
      </c>
      <c r="F570" s="106">
        <v>0.15</v>
      </c>
      <c r="G570" s="106">
        <v>0.15</v>
      </c>
    </row>
    <row r="571" spans="1:7" x14ac:dyDescent="0.2">
      <c r="A571">
        <v>6652</v>
      </c>
      <c r="B571" s="106" t="s">
        <v>1462</v>
      </c>
      <c r="C571">
        <v>0.05</v>
      </c>
      <c r="D571">
        <v>0.15</v>
      </c>
      <c r="E571" s="106">
        <v>0.05</v>
      </c>
      <c r="F571" s="106">
        <v>0.05</v>
      </c>
      <c r="G571" s="106">
        <v>0.05</v>
      </c>
    </row>
    <row r="572" spans="1:7" x14ac:dyDescent="0.2">
      <c r="A572">
        <v>6653</v>
      </c>
      <c r="B572" s="106" t="s">
        <v>1463</v>
      </c>
      <c r="C572">
        <v>0</v>
      </c>
      <c r="D572">
        <v>0</v>
      </c>
      <c r="E572" s="106">
        <v>0</v>
      </c>
      <c r="F572">
        <v>0.05</v>
      </c>
      <c r="G572">
        <v>0.05</v>
      </c>
    </row>
    <row r="573" spans="1:7" x14ac:dyDescent="0.2">
      <c r="A573">
        <v>6674</v>
      </c>
      <c r="B573" s="106" t="s">
        <v>326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6676</v>
      </c>
      <c r="B574" s="106" t="s">
        <v>1464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6702</v>
      </c>
      <c r="B575" s="106" t="s">
        <v>328</v>
      </c>
      <c r="C575">
        <v>0.2</v>
      </c>
      <c r="D575" s="106">
        <v>0.6</v>
      </c>
      <c r="E575" s="106">
        <v>0.2</v>
      </c>
      <c r="F575">
        <v>0.2</v>
      </c>
      <c r="G575">
        <v>0.2</v>
      </c>
    </row>
    <row r="576" spans="1:7" x14ac:dyDescent="0.2">
      <c r="A576">
        <v>6704</v>
      </c>
      <c r="B576" s="106" t="s">
        <v>1465</v>
      </c>
      <c r="C576">
        <v>0</v>
      </c>
      <c r="D576">
        <v>0.15</v>
      </c>
      <c r="E576" s="106">
        <v>0</v>
      </c>
      <c r="F576" s="106">
        <v>0.05</v>
      </c>
      <c r="G576" s="106" t="s">
        <v>233</v>
      </c>
    </row>
    <row r="577" spans="1:7" x14ac:dyDescent="0.2">
      <c r="A577">
        <v>6706</v>
      </c>
      <c r="B577" s="106" t="s">
        <v>1466</v>
      </c>
      <c r="C577">
        <v>0.05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6707</v>
      </c>
      <c r="B578" s="106" t="s">
        <v>1467</v>
      </c>
      <c r="C578">
        <v>0</v>
      </c>
      <c r="D578">
        <v>0</v>
      </c>
      <c r="E578" s="106">
        <v>0.1</v>
      </c>
      <c r="F578">
        <v>0</v>
      </c>
      <c r="G578" s="106">
        <v>0</v>
      </c>
    </row>
    <row r="579" spans="1:7" x14ac:dyDescent="0.2">
      <c r="A579">
        <v>6715</v>
      </c>
      <c r="B579" s="106" t="s">
        <v>1468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6723</v>
      </c>
      <c r="B580" s="106" t="s">
        <v>1469</v>
      </c>
      <c r="C580">
        <v>0.05</v>
      </c>
      <c r="D580">
        <v>0.15</v>
      </c>
      <c r="E580">
        <v>0.05</v>
      </c>
      <c r="F580">
        <v>0.05</v>
      </c>
      <c r="G580">
        <v>0.05</v>
      </c>
    </row>
    <row r="581" spans="1:7" x14ac:dyDescent="0.2">
      <c r="A581">
        <v>6724</v>
      </c>
      <c r="B581" s="106" t="s">
        <v>1470</v>
      </c>
      <c r="C581">
        <v>0.05</v>
      </c>
      <c r="D581">
        <v>0.15</v>
      </c>
      <c r="E581">
        <v>0.05</v>
      </c>
      <c r="F581">
        <v>0.05</v>
      </c>
      <c r="G581">
        <v>0.05</v>
      </c>
    </row>
    <row r="582" spans="1:7" x14ac:dyDescent="0.2">
      <c r="A582">
        <v>6737</v>
      </c>
      <c r="B582" s="106" t="s">
        <v>2580</v>
      </c>
      <c r="C582">
        <v>0</v>
      </c>
      <c r="D582" t="s">
        <v>233</v>
      </c>
      <c r="E582">
        <v>0.05</v>
      </c>
      <c r="F582" t="s">
        <v>233</v>
      </c>
      <c r="G582">
        <v>0.05</v>
      </c>
    </row>
    <row r="583" spans="1:7" x14ac:dyDescent="0.2">
      <c r="A583">
        <v>6741</v>
      </c>
      <c r="B583" s="106" t="s">
        <v>2328</v>
      </c>
      <c r="C583">
        <v>0</v>
      </c>
      <c r="D583">
        <v>0</v>
      </c>
      <c r="E583">
        <v>0</v>
      </c>
      <c r="F583" t="s">
        <v>233</v>
      </c>
      <c r="G583" t="s">
        <v>233</v>
      </c>
    </row>
    <row r="584" spans="1:7" x14ac:dyDescent="0.2">
      <c r="A584">
        <v>6742</v>
      </c>
      <c r="B584" s="106" t="s">
        <v>1471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6745</v>
      </c>
      <c r="B585" s="106" t="s">
        <v>2581</v>
      </c>
      <c r="C585">
        <v>0</v>
      </c>
      <c r="D585" t="s">
        <v>233</v>
      </c>
      <c r="E585" s="106">
        <v>0</v>
      </c>
      <c r="F585" s="106">
        <v>0</v>
      </c>
      <c r="G585" s="106" t="s">
        <v>233</v>
      </c>
    </row>
    <row r="586" spans="1:7" x14ac:dyDescent="0.2">
      <c r="A586">
        <v>6748</v>
      </c>
      <c r="B586" s="106" t="s">
        <v>1472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6750</v>
      </c>
      <c r="B587" s="106" t="s">
        <v>1473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6753</v>
      </c>
      <c r="B588" s="106" t="s">
        <v>2582</v>
      </c>
      <c r="C588">
        <v>0</v>
      </c>
      <c r="D588" t="s">
        <v>233</v>
      </c>
      <c r="E588" t="s">
        <v>233</v>
      </c>
      <c r="F588">
        <v>0.05</v>
      </c>
      <c r="G588">
        <v>0</v>
      </c>
    </row>
    <row r="589" spans="1:7" x14ac:dyDescent="0.2">
      <c r="A589">
        <v>6754</v>
      </c>
      <c r="B589" s="106" t="s">
        <v>1474</v>
      </c>
      <c r="C589">
        <v>0</v>
      </c>
      <c r="D589">
        <v>0.15</v>
      </c>
      <c r="E589">
        <v>0.05</v>
      </c>
      <c r="F589">
        <v>0.05</v>
      </c>
      <c r="G589">
        <v>0.05</v>
      </c>
    </row>
    <row r="590" spans="1:7" x14ac:dyDescent="0.2">
      <c r="A590">
        <v>6755</v>
      </c>
      <c r="B590" s="106" t="s">
        <v>980</v>
      </c>
      <c r="C590">
        <v>0.05</v>
      </c>
      <c r="D590" s="106">
        <v>0.15</v>
      </c>
      <c r="E590">
        <v>0.05</v>
      </c>
      <c r="F590">
        <v>0.05</v>
      </c>
      <c r="G590">
        <v>0.05</v>
      </c>
    </row>
    <row r="591" spans="1:7" x14ac:dyDescent="0.2">
      <c r="A591">
        <v>6758</v>
      </c>
      <c r="B591" s="106" t="s">
        <v>1475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6762</v>
      </c>
      <c r="B592" s="106" t="s">
        <v>1476</v>
      </c>
      <c r="C592">
        <v>0.2</v>
      </c>
      <c r="D592">
        <v>0.6</v>
      </c>
      <c r="E592">
        <v>0.25</v>
      </c>
      <c r="F592">
        <v>0.25</v>
      </c>
      <c r="G592">
        <v>0.25</v>
      </c>
    </row>
    <row r="593" spans="1:7" x14ac:dyDescent="0.2">
      <c r="A593">
        <v>6763</v>
      </c>
      <c r="B593" s="106" t="s">
        <v>1477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6768</v>
      </c>
      <c r="B594" s="106" t="s">
        <v>2583</v>
      </c>
      <c r="C594">
        <v>0</v>
      </c>
      <c r="D594" t="s">
        <v>233</v>
      </c>
      <c r="E594">
        <v>0</v>
      </c>
      <c r="F594">
        <v>0</v>
      </c>
      <c r="G594" t="s">
        <v>233</v>
      </c>
    </row>
    <row r="595" spans="1:7" x14ac:dyDescent="0.2">
      <c r="A595">
        <v>6770</v>
      </c>
      <c r="B595" s="106" t="s">
        <v>26</v>
      </c>
      <c r="C595">
        <v>0.05</v>
      </c>
      <c r="D595">
        <v>0.15</v>
      </c>
      <c r="E595">
        <v>0.05</v>
      </c>
      <c r="F595" s="106">
        <v>0.05</v>
      </c>
      <c r="G595">
        <v>0.05</v>
      </c>
    </row>
    <row r="596" spans="1:7" x14ac:dyDescent="0.2">
      <c r="A596">
        <v>6785</v>
      </c>
      <c r="B596" s="106" t="s">
        <v>1478</v>
      </c>
      <c r="C596">
        <v>0</v>
      </c>
      <c r="D596">
        <v>0.15</v>
      </c>
      <c r="E596">
        <v>0</v>
      </c>
      <c r="F596">
        <v>0.05</v>
      </c>
      <c r="G596" t="s">
        <v>233</v>
      </c>
    </row>
    <row r="597" spans="1:7" x14ac:dyDescent="0.2">
      <c r="A597">
        <v>6794</v>
      </c>
      <c r="B597" s="106" t="s">
        <v>1479</v>
      </c>
      <c r="C597">
        <v>0.05</v>
      </c>
      <c r="D597">
        <v>0.15</v>
      </c>
      <c r="E597">
        <v>0.05</v>
      </c>
      <c r="F597">
        <v>0.05</v>
      </c>
      <c r="G597">
        <v>0.05</v>
      </c>
    </row>
    <row r="598" spans="1:7" x14ac:dyDescent="0.2">
      <c r="A598">
        <v>6798</v>
      </c>
      <c r="B598" s="106" t="s">
        <v>1480</v>
      </c>
      <c r="C598">
        <v>0.05</v>
      </c>
      <c r="D598">
        <v>0.15</v>
      </c>
      <c r="E598" s="106">
        <v>0.05</v>
      </c>
      <c r="F598" s="106">
        <v>0.05</v>
      </c>
      <c r="G598" s="106">
        <v>0.05</v>
      </c>
    </row>
    <row r="599" spans="1:7" x14ac:dyDescent="0.2">
      <c r="A599">
        <v>6803</v>
      </c>
      <c r="B599" s="106" t="s">
        <v>2329</v>
      </c>
      <c r="C599">
        <v>0.05</v>
      </c>
      <c r="D599">
        <v>0</v>
      </c>
      <c r="E599">
        <v>0.05</v>
      </c>
      <c r="F599" s="106" t="s">
        <v>233</v>
      </c>
      <c r="G599">
        <v>0.05</v>
      </c>
    </row>
    <row r="600" spans="1:7" x14ac:dyDescent="0.2">
      <c r="A600">
        <v>6804</v>
      </c>
      <c r="B600" s="106" t="s">
        <v>1481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 x14ac:dyDescent="0.2">
      <c r="A601">
        <v>6806</v>
      </c>
      <c r="B601" s="106" t="s">
        <v>1482</v>
      </c>
      <c r="C601">
        <v>0.25</v>
      </c>
      <c r="D601">
        <v>0.75</v>
      </c>
      <c r="E601">
        <v>0.25</v>
      </c>
      <c r="F601">
        <v>0.25</v>
      </c>
      <c r="G601">
        <v>0.25</v>
      </c>
    </row>
    <row r="602" spans="1:7" x14ac:dyDescent="0.2">
      <c r="A602">
        <v>6807</v>
      </c>
      <c r="B602" s="106" t="s">
        <v>331</v>
      </c>
      <c r="C602">
        <v>0.05</v>
      </c>
      <c r="D602" s="106">
        <v>0.15</v>
      </c>
      <c r="E602">
        <v>0.05</v>
      </c>
      <c r="F602" s="106">
        <v>0.05</v>
      </c>
      <c r="G602">
        <v>0.05</v>
      </c>
    </row>
    <row r="603" spans="1:7" x14ac:dyDescent="0.2">
      <c r="A603">
        <v>6814</v>
      </c>
      <c r="B603" s="106" t="s">
        <v>1483</v>
      </c>
      <c r="C603">
        <v>0.05</v>
      </c>
      <c r="D603" s="106">
        <v>0.15</v>
      </c>
      <c r="E603" s="106" t="s">
        <v>233</v>
      </c>
      <c r="F603" s="106">
        <v>0.05</v>
      </c>
      <c r="G603" s="106" t="s">
        <v>233</v>
      </c>
    </row>
    <row r="604" spans="1:7" x14ac:dyDescent="0.2">
      <c r="A604">
        <v>6817</v>
      </c>
      <c r="B604" s="106" t="s">
        <v>1484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6823</v>
      </c>
      <c r="B605" s="106" t="s">
        <v>1485</v>
      </c>
      <c r="C605">
        <v>0.05</v>
      </c>
      <c r="D605">
        <v>0.15</v>
      </c>
      <c r="E605">
        <v>0.05</v>
      </c>
      <c r="F605">
        <v>0</v>
      </c>
      <c r="G605">
        <v>0</v>
      </c>
    </row>
    <row r="606" spans="1:7" x14ac:dyDescent="0.2">
      <c r="A606">
        <v>6839</v>
      </c>
      <c r="B606" s="106" t="s">
        <v>1486</v>
      </c>
      <c r="C606">
        <v>0.05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6845</v>
      </c>
      <c r="B607" s="106" t="s">
        <v>304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6848</v>
      </c>
      <c r="B608" s="106" t="s">
        <v>1487</v>
      </c>
      <c r="C608">
        <v>0.05</v>
      </c>
      <c r="D608">
        <v>0.15</v>
      </c>
      <c r="E608" s="106">
        <v>0.05</v>
      </c>
      <c r="F608" s="106">
        <v>0.05</v>
      </c>
      <c r="G608" s="106">
        <v>0.05</v>
      </c>
    </row>
    <row r="609" spans="1:7" x14ac:dyDescent="0.2">
      <c r="A609">
        <v>6850</v>
      </c>
      <c r="B609" s="106" t="s">
        <v>2330</v>
      </c>
      <c r="C609">
        <v>0</v>
      </c>
      <c r="D609">
        <v>0</v>
      </c>
      <c r="E609">
        <v>0</v>
      </c>
      <c r="F609" t="s">
        <v>233</v>
      </c>
      <c r="G609">
        <v>0.05</v>
      </c>
    </row>
    <row r="610" spans="1:7" x14ac:dyDescent="0.2">
      <c r="A610">
        <v>6856</v>
      </c>
      <c r="B610" s="106" t="s">
        <v>327</v>
      </c>
      <c r="C610">
        <v>0.15</v>
      </c>
      <c r="D610">
        <v>0.45</v>
      </c>
      <c r="E610">
        <v>0.15</v>
      </c>
      <c r="F610">
        <v>0.15</v>
      </c>
      <c r="G610">
        <v>0.15</v>
      </c>
    </row>
    <row r="611" spans="1:7" x14ac:dyDescent="0.2">
      <c r="A611">
        <v>6857</v>
      </c>
      <c r="B611" s="106" t="s">
        <v>1488</v>
      </c>
      <c r="C611">
        <v>0.1</v>
      </c>
      <c r="D611">
        <v>0.3</v>
      </c>
      <c r="E611">
        <v>0.1</v>
      </c>
      <c r="F611">
        <v>0.1</v>
      </c>
      <c r="G611">
        <v>0.1</v>
      </c>
    </row>
    <row r="612" spans="1:7" x14ac:dyDescent="0.2">
      <c r="A612">
        <v>6861</v>
      </c>
      <c r="B612" s="106" t="s">
        <v>1489</v>
      </c>
      <c r="C612">
        <v>0.65</v>
      </c>
      <c r="D612">
        <v>1.95</v>
      </c>
      <c r="E612">
        <v>0.7</v>
      </c>
      <c r="F612">
        <v>0.7</v>
      </c>
      <c r="G612">
        <v>0.7</v>
      </c>
    </row>
    <row r="613" spans="1:7" x14ac:dyDescent="0.2">
      <c r="A613">
        <v>6871</v>
      </c>
      <c r="B613" s="106" t="s">
        <v>1490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 x14ac:dyDescent="0.2">
      <c r="A614">
        <v>6875</v>
      </c>
      <c r="B614" s="106" t="s">
        <v>1491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6879</v>
      </c>
      <c r="B615" s="106" t="s">
        <v>1492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6902</v>
      </c>
      <c r="B616" s="106" t="s">
        <v>1493</v>
      </c>
      <c r="C616">
        <v>0</v>
      </c>
      <c r="D616">
        <v>0.3</v>
      </c>
      <c r="E616">
        <v>0.1</v>
      </c>
      <c r="F616">
        <v>0</v>
      </c>
      <c r="G616">
        <v>0.1</v>
      </c>
    </row>
    <row r="617" spans="1:7" x14ac:dyDescent="0.2">
      <c r="A617">
        <v>6908</v>
      </c>
      <c r="B617" s="106" t="s">
        <v>2331</v>
      </c>
      <c r="C617">
        <v>0</v>
      </c>
      <c r="D617">
        <v>0</v>
      </c>
      <c r="E617" t="s">
        <v>233</v>
      </c>
      <c r="F617">
        <v>0</v>
      </c>
      <c r="G617" t="s">
        <v>233</v>
      </c>
    </row>
    <row r="618" spans="1:7" x14ac:dyDescent="0.2">
      <c r="A618">
        <v>6915</v>
      </c>
      <c r="B618" s="106" t="s">
        <v>1494</v>
      </c>
      <c r="C618">
        <v>0.05</v>
      </c>
      <c r="D618" s="106">
        <v>0</v>
      </c>
      <c r="E618">
        <v>0.05</v>
      </c>
      <c r="F618" s="106">
        <v>0</v>
      </c>
      <c r="G618" s="106">
        <v>0.05</v>
      </c>
    </row>
    <row r="619" spans="1:7" x14ac:dyDescent="0.2">
      <c r="A619">
        <v>6916</v>
      </c>
      <c r="B619" s="106" t="s">
        <v>1495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6920</v>
      </c>
      <c r="B620" s="106" t="s">
        <v>86</v>
      </c>
      <c r="C620">
        <v>0</v>
      </c>
      <c r="D620">
        <v>0</v>
      </c>
      <c r="E620" t="s">
        <v>233</v>
      </c>
      <c r="F620">
        <v>0</v>
      </c>
      <c r="G620">
        <v>0</v>
      </c>
    </row>
    <row r="621" spans="1:7" x14ac:dyDescent="0.2">
      <c r="A621">
        <v>6923</v>
      </c>
      <c r="B621" s="106" t="s">
        <v>112</v>
      </c>
      <c r="C621">
        <v>0.05</v>
      </c>
      <c r="D621" s="106">
        <v>0.15</v>
      </c>
      <c r="E621">
        <v>0.05</v>
      </c>
      <c r="F621">
        <v>0.05</v>
      </c>
      <c r="G621">
        <v>0.05</v>
      </c>
    </row>
    <row r="622" spans="1:7" x14ac:dyDescent="0.2">
      <c r="A622">
        <v>6926</v>
      </c>
      <c r="B622" s="106" t="s">
        <v>1496</v>
      </c>
      <c r="C622">
        <v>0.05</v>
      </c>
      <c r="D622">
        <v>0.15</v>
      </c>
      <c r="E622">
        <v>0.05</v>
      </c>
      <c r="F622">
        <v>0.05</v>
      </c>
      <c r="G622">
        <v>0.05</v>
      </c>
    </row>
    <row r="623" spans="1:7" x14ac:dyDescent="0.2">
      <c r="A623">
        <v>6941</v>
      </c>
      <c r="B623" s="106" t="s">
        <v>1497</v>
      </c>
      <c r="C623">
        <v>0.05</v>
      </c>
      <c r="D623">
        <v>0.15</v>
      </c>
      <c r="E623">
        <v>0.05</v>
      </c>
      <c r="F623">
        <v>0.05</v>
      </c>
      <c r="G623">
        <v>0.05</v>
      </c>
    </row>
    <row r="624" spans="1:7" x14ac:dyDescent="0.2">
      <c r="A624">
        <v>6947</v>
      </c>
      <c r="B624" s="106" t="s">
        <v>1498</v>
      </c>
      <c r="C624">
        <v>0.05</v>
      </c>
      <c r="D624">
        <v>0.15</v>
      </c>
      <c r="E624">
        <v>0.05</v>
      </c>
      <c r="F624">
        <v>0.05</v>
      </c>
      <c r="G624">
        <v>0.05</v>
      </c>
    </row>
    <row r="625" spans="1:7" x14ac:dyDescent="0.2">
      <c r="A625">
        <v>6951</v>
      </c>
      <c r="B625" s="106" t="s">
        <v>319</v>
      </c>
      <c r="C625">
        <v>0.1</v>
      </c>
      <c r="D625">
        <v>0.3</v>
      </c>
      <c r="E625">
        <v>0.1</v>
      </c>
      <c r="F625" s="106">
        <v>0.1</v>
      </c>
      <c r="G625" s="106">
        <v>0.05</v>
      </c>
    </row>
    <row r="626" spans="1:7" x14ac:dyDescent="0.2">
      <c r="A626">
        <v>6952</v>
      </c>
      <c r="B626" s="106" t="s">
        <v>786</v>
      </c>
      <c r="C626">
        <v>0.05</v>
      </c>
      <c r="D626">
        <v>0.15</v>
      </c>
      <c r="E626">
        <v>0.05</v>
      </c>
      <c r="F626" s="106">
        <v>0.05</v>
      </c>
      <c r="G626" s="106">
        <v>0.05</v>
      </c>
    </row>
    <row r="627" spans="1:7" x14ac:dyDescent="0.2">
      <c r="A627">
        <v>6954</v>
      </c>
      <c r="B627" s="106" t="s">
        <v>1499</v>
      </c>
      <c r="C627">
        <v>0</v>
      </c>
      <c r="D627">
        <v>1.05</v>
      </c>
      <c r="E627">
        <v>0.4</v>
      </c>
      <c r="F627">
        <v>0.4</v>
      </c>
      <c r="G627">
        <v>0.4</v>
      </c>
    </row>
    <row r="628" spans="1:7" x14ac:dyDescent="0.2">
      <c r="A628">
        <v>6958</v>
      </c>
      <c r="B628" s="106" t="s">
        <v>1500</v>
      </c>
      <c r="C628">
        <v>0.05</v>
      </c>
      <c r="D628">
        <v>0.15</v>
      </c>
      <c r="E628">
        <v>0.05</v>
      </c>
      <c r="F628">
        <v>0.05</v>
      </c>
      <c r="G628">
        <v>0.05</v>
      </c>
    </row>
    <row r="629" spans="1:7" x14ac:dyDescent="0.2">
      <c r="A629">
        <v>6961</v>
      </c>
      <c r="B629" s="106" t="s">
        <v>1501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6962</v>
      </c>
      <c r="B630" s="106" t="s">
        <v>1502</v>
      </c>
      <c r="C630">
        <v>0.5</v>
      </c>
      <c r="D630" s="106">
        <v>1.5</v>
      </c>
      <c r="E630">
        <v>0.5</v>
      </c>
      <c r="F630">
        <v>0.5</v>
      </c>
      <c r="G630">
        <v>0.05</v>
      </c>
    </row>
    <row r="631" spans="1:7" x14ac:dyDescent="0.2">
      <c r="A631">
        <v>6965</v>
      </c>
      <c r="B631" s="106" t="s">
        <v>791</v>
      </c>
      <c r="C631">
        <v>0</v>
      </c>
      <c r="D631" s="106">
        <v>0</v>
      </c>
      <c r="E631" s="106">
        <v>0</v>
      </c>
      <c r="F631" s="106" t="s">
        <v>233</v>
      </c>
      <c r="G631" s="106">
        <v>0</v>
      </c>
    </row>
    <row r="632" spans="1:7" x14ac:dyDescent="0.2">
      <c r="A632">
        <v>6967</v>
      </c>
      <c r="B632" s="106" t="s">
        <v>1503</v>
      </c>
      <c r="C632">
        <v>0.05</v>
      </c>
      <c r="D632" s="106">
        <v>0.15</v>
      </c>
      <c r="E632" s="106">
        <v>0.05</v>
      </c>
      <c r="F632" s="106">
        <v>0.05</v>
      </c>
      <c r="G632" s="106">
        <v>0.05</v>
      </c>
    </row>
    <row r="633" spans="1:7" x14ac:dyDescent="0.2">
      <c r="A633">
        <v>6971</v>
      </c>
      <c r="B633" s="106" t="s">
        <v>1504</v>
      </c>
      <c r="C633">
        <v>0.15</v>
      </c>
      <c r="D633">
        <v>0.45</v>
      </c>
      <c r="E633" s="106">
        <v>0.15</v>
      </c>
      <c r="F633">
        <v>0.15</v>
      </c>
      <c r="G633" s="106">
        <v>0.15</v>
      </c>
    </row>
    <row r="634" spans="1:7" x14ac:dyDescent="0.2">
      <c r="A634">
        <v>6976</v>
      </c>
      <c r="B634" s="106" t="s">
        <v>1505</v>
      </c>
      <c r="C634">
        <v>0.1</v>
      </c>
      <c r="D634">
        <v>0.3</v>
      </c>
      <c r="E634">
        <v>0.1</v>
      </c>
      <c r="F634">
        <v>0.1</v>
      </c>
      <c r="G634">
        <v>0.1</v>
      </c>
    </row>
    <row r="635" spans="1:7" x14ac:dyDescent="0.2">
      <c r="A635">
        <v>6981</v>
      </c>
      <c r="B635" s="106" t="s">
        <v>2332</v>
      </c>
      <c r="C635">
        <v>0</v>
      </c>
      <c r="D635">
        <v>0</v>
      </c>
      <c r="E635">
        <v>0</v>
      </c>
      <c r="F635" t="s">
        <v>233</v>
      </c>
      <c r="G635">
        <v>0</v>
      </c>
    </row>
    <row r="636" spans="1:7" x14ac:dyDescent="0.2">
      <c r="A636">
        <v>6986</v>
      </c>
      <c r="B636" s="106" t="s">
        <v>1506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6988</v>
      </c>
      <c r="B637" s="106" t="s">
        <v>138</v>
      </c>
      <c r="C637">
        <v>0.1</v>
      </c>
      <c r="D637" s="106">
        <v>0.3</v>
      </c>
      <c r="E637" s="106">
        <v>0.1</v>
      </c>
      <c r="F637" s="106">
        <v>0.1</v>
      </c>
      <c r="G637" s="106">
        <v>0.15</v>
      </c>
    </row>
    <row r="638" spans="1:7" x14ac:dyDescent="0.2">
      <c r="A638">
        <v>6989</v>
      </c>
      <c r="B638" s="106" t="s">
        <v>1507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6995</v>
      </c>
      <c r="B639" s="106" t="s">
        <v>91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 x14ac:dyDescent="0.2">
      <c r="A640">
        <v>7003</v>
      </c>
      <c r="B640" s="106" t="s">
        <v>1508</v>
      </c>
      <c r="C640">
        <v>0.05</v>
      </c>
      <c r="D640">
        <v>0.15</v>
      </c>
      <c r="E640">
        <v>0.05</v>
      </c>
      <c r="F640">
        <v>0.05</v>
      </c>
      <c r="G640">
        <v>0.05</v>
      </c>
    </row>
    <row r="641" spans="1:7" x14ac:dyDescent="0.2">
      <c r="A641">
        <v>7012</v>
      </c>
      <c r="B641" s="106" t="s">
        <v>1509</v>
      </c>
      <c r="C641">
        <v>0.05</v>
      </c>
      <c r="D641">
        <v>0.15</v>
      </c>
      <c r="E641">
        <v>0.05</v>
      </c>
      <c r="F641">
        <v>0.05</v>
      </c>
      <c r="G641">
        <v>0.05</v>
      </c>
    </row>
    <row r="642" spans="1:7" x14ac:dyDescent="0.2">
      <c r="A642">
        <v>7014</v>
      </c>
      <c r="B642" s="106" t="s">
        <v>1510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7030</v>
      </c>
      <c r="B643" s="106" t="s">
        <v>1511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7102</v>
      </c>
      <c r="B644" s="106" t="s">
        <v>1512</v>
      </c>
      <c r="C644">
        <v>0.05</v>
      </c>
      <c r="D644">
        <v>0.15</v>
      </c>
      <c r="E644">
        <v>0.05</v>
      </c>
      <c r="F644">
        <v>0.05</v>
      </c>
      <c r="G644">
        <v>0.05</v>
      </c>
    </row>
    <row r="645" spans="1:7" x14ac:dyDescent="0.2">
      <c r="A645">
        <v>7105</v>
      </c>
      <c r="B645" s="106" t="s">
        <v>1513</v>
      </c>
      <c r="C645">
        <v>0.05</v>
      </c>
      <c r="D645" s="106">
        <v>0.15</v>
      </c>
      <c r="E645">
        <v>0.05</v>
      </c>
      <c r="F645">
        <v>0.05</v>
      </c>
      <c r="G645">
        <v>0.05</v>
      </c>
    </row>
    <row r="646" spans="1:7" x14ac:dyDescent="0.2">
      <c r="A646">
        <v>7150</v>
      </c>
      <c r="B646" s="106" t="s">
        <v>1514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7164</v>
      </c>
      <c r="B647" s="106" t="s">
        <v>1515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7173</v>
      </c>
      <c r="B648" s="106" t="s">
        <v>1516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7181</v>
      </c>
      <c r="B649" s="106" t="s">
        <v>136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 x14ac:dyDescent="0.2">
      <c r="A650">
        <v>7182</v>
      </c>
      <c r="B650" s="106" t="s">
        <v>2333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7184</v>
      </c>
      <c r="B651" s="106" t="s">
        <v>1517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7186</v>
      </c>
      <c r="B652" s="106" t="s">
        <v>1008</v>
      </c>
      <c r="C652">
        <v>0</v>
      </c>
      <c r="D652">
        <v>0.15</v>
      </c>
      <c r="E652">
        <v>0.05</v>
      </c>
      <c r="F652">
        <v>0.05</v>
      </c>
      <c r="G652">
        <v>0.05</v>
      </c>
    </row>
    <row r="653" spans="1:7" x14ac:dyDescent="0.2">
      <c r="A653">
        <v>7189</v>
      </c>
      <c r="B653" s="106" t="s">
        <v>81</v>
      </c>
      <c r="C653">
        <v>0.05</v>
      </c>
      <c r="D653">
        <v>0.15</v>
      </c>
      <c r="E653">
        <v>0.05</v>
      </c>
      <c r="F653">
        <v>0.05</v>
      </c>
      <c r="G653">
        <v>0.05</v>
      </c>
    </row>
    <row r="654" spans="1:7" x14ac:dyDescent="0.2">
      <c r="A654">
        <v>7190</v>
      </c>
      <c r="B654" s="106" t="s">
        <v>1518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7201</v>
      </c>
      <c r="B655" s="106" t="s">
        <v>1519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7202</v>
      </c>
      <c r="B656" s="106" t="s">
        <v>1520</v>
      </c>
      <c r="C656">
        <v>0</v>
      </c>
      <c r="D656">
        <v>0.15</v>
      </c>
      <c r="E656" s="106">
        <v>0</v>
      </c>
      <c r="F656">
        <v>0.05</v>
      </c>
      <c r="G656">
        <v>0.05</v>
      </c>
    </row>
    <row r="657" spans="1:7" x14ac:dyDescent="0.2">
      <c r="A657">
        <v>7203</v>
      </c>
      <c r="B657" s="106" t="s">
        <v>325</v>
      </c>
      <c r="C657">
        <v>0.15</v>
      </c>
      <c r="D657">
        <v>0.45</v>
      </c>
      <c r="E657">
        <v>0.15</v>
      </c>
      <c r="F657">
        <v>0.15</v>
      </c>
      <c r="G657">
        <v>0.15</v>
      </c>
    </row>
    <row r="658" spans="1:7" x14ac:dyDescent="0.2">
      <c r="A658">
        <v>7205</v>
      </c>
      <c r="B658" s="106" t="s">
        <v>117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7212</v>
      </c>
      <c r="B659" s="106" t="s">
        <v>2334</v>
      </c>
      <c r="C659">
        <v>0</v>
      </c>
      <c r="D659">
        <v>0</v>
      </c>
      <c r="E659" t="s">
        <v>233</v>
      </c>
      <c r="F659">
        <v>0</v>
      </c>
      <c r="G659" t="s">
        <v>233</v>
      </c>
    </row>
    <row r="660" spans="1:7" x14ac:dyDescent="0.2">
      <c r="A660">
        <v>7220</v>
      </c>
      <c r="B660" s="106" t="s">
        <v>1521</v>
      </c>
      <c r="C660">
        <v>0.05</v>
      </c>
      <c r="D660" s="106">
        <v>0.15</v>
      </c>
      <c r="E660">
        <v>0.05</v>
      </c>
      <c r="F660" s="106">
        <v>0.05</v>
      </c>
      <c r="G660">
        <v>0.05</v>
      </c>
    </row>
    <row r="661" spans="1:7" x14ac:dyDescent="0.2">
      <c r="A661">
        <v>7222</v>
      </c>
      <c r="B661" s="106" t="s">
        <v>1522</v>
      </c>
      <c r="C661">
        <v>0.05</v>
      </c>
      <c r="D661">
        <v>0.15</v>
      </c>
      <c r="E661">
        <v>0.05</v>
      </c>
      <c r="F661">
        <v>0.05</v>
      </c>
      <c r="G661">
        <v>0.05</v>
      </c>
    </row>
    <row r="662" spans="1:7" x14ac:dyDescent="0.2">
      <c r="A662">
        <v>7224</v>
      </c>
      <c r="B662" s="106" t="s">
        <v>1523</v>
      </c>
      <c r="C662">
        <v>0.05</v>
      </c>
      <c r="D662">
        <v>0</v>
      </c>
      <c r="E662">
        <v>0.05</v>
      </c>
      <c r="F662">
        <v>0</v>
      </c>
      <c r="G662">
        <v>0</v>
      </c>
    </row>
    <row r="663" spans="1:7" x14ac:dyDescent="0.2">
      <c r="A663">
        <v>7226</v>
      </c>
      <c r="B663" s="106" t="s">
        <v>1524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7231</v>
      </c>
      <c r="B664" s="106" t="s">
        <v>1525</v>
      </c>
      <c r="C664">
        <v>0</v>
      </c>
      <c r="D664">
        <v>0</v>
      </c>
      <c r="E664">
        <v>0</v>
      </c>
      <c r="F664">
        <v>0</v>
      </c>
      <c r="G664">
        <v>0.05</v>
      </c>
    </row>
    <row r="665" spans="1:7" x14ac:dyDescent="0.2">
      <c r="A665">
        <v>7236</v>
      </c>
      <c r="B665" s="106" t="s">
        <v>1526</v>
      </c>
      <c r="C665">
        <v>0</v>
      </c>
      <c r="D665" s="106">
        <v>0</v>
      </c>
      <c r="E665">
        <v>0</v>
      </c>
      <c r="F665" s="106">
        <v>0</v>
      </c>
      <c r="G665" s="106" t="s">
        <v>233</v>
      </c>
    </row>
    <row r="666" spans="1:7" x14ac:dyDescent="0.2">
      <c r="A666">
        <v>7239</v>
      </c>
      <c r="B666" s="106" t="s">
        <v>1527</v>
      </c>
      <c r="C666">
        <v>0.05</v>
      </c>
      <c r="D666" s="106">
        <v>0.15</v>
      </c>
      <c r="E666" s="106">
        <v>0.05</v>
      </c>
      <c r="F666" s="106">
        <v>0.05</v>
      </c>
      <c r="G666" s="106">
        <v>0.05</v>
      </c>
    </row>
    <row r="667" spans="1:7" x14ac:dyDescent="0.2">
      <c r="A667">
        <v>7240</v>
      </c>
      <c r="B667" s="106" t="s">
        <v>1528</v>
      </c>
      <c r="C667">
        <v>0.05</v>
      </c>
      <c r="D667">
        <v>0.15</v>
      </c>
      <c r="E667" s="106">
        <v>0.05</v>
      </c>
      <c r="F667">
        <v>0.05</v>
      </c>
      <c r="G667" s="106">
        <v>0.05</v>
      </c>
    </row>
    <row r="668" spans="1:7" x14ac:dyDescent="0.2">
      <c r="A668">
        <v>7244</v>
      </c>
      <c r="B668" s="106" t="s">
        <v>1529</v>
      </c>
      <c r="C668">
        <v>0.05</v>
      </c>
      <c r="D668">
        <v>0.15</v>
      </c>
      <c r="E668">
        <v>0.05</v>
      </c>
      <c r="F668">
        <v>0.05</v>
      </c>
      <c r="G668">
        <v>0.05</v>
      </c>
    </row>
    <row r="669" spans="1:7" x14ac:dyDescent="0.2">
      <c r="A669">
        <v>7261</v>
      </c>
      <c r="B669" s="106" t="s">
        <v>1029</v>
      </c>
      <c r="C669">
        <v>0</v>
      </c>
      <c r="D669">
        <v>0</v>
      </c>
      <c r="E669">
        <v>0</v>
      </c>
      <c r="F669">
        <v>0</v>
      </c>
      <c r="G669">
        <v>0.05</v>
      </c>
    </row>
    <row r="670" spans="1:7" x14ac:dyDescent="0.2">
      <c r="A670">
        <v>7269</v>
      </c>
      <c r="B670" s="106" t="s">
        <v>2335</v>
      </c>
      <c r="C670">
        <v>0.1</v>
      </c>
      <c r="D670">
        <v>0</v>
      </c>
      <c r="E670">
        <v>0</v>
      </c>
      <c r="F670">
        <v>0</v>
      </c>
      <c r="G670">
        <v>0.1</v>
      </c>
    </row>
    <row r="671" spans="1:7" x14ac:dyDescent="0.2">
      <c r="A671">
        <v>7272</v>
      </c>
      <c r="B671" s="106" t="s">
        <v>297</v>
      </c>
      <c r="C671">
        <v>0</v>
      </c>
      <c r="D671">
        <v>0</v>
      </c>
      <c r="E671" t="s">
        <v>233</v>
      </c>
      <c r="F671" s="106">
        <v>0.05</v>
      </c>
      <c r="G671">
        <v>0.05</v>
      </c>
    </row>
    <row r="672" spans="1:7" x14ac:dyDescent="0.2">
      <c r="A672">
        <v>7277</v>
      </c>
      <c r="B672" s="106" t="s">
        <v>1530</v>
      </c>
      <c r="C672">
        <v>0.05</v>
      </c>
      <c r="D672">
        <v>0.15</v>
      </c>
      <c r="E672">
        <v>0</v>
      </c>
      <c r="F672">
        <v>0</v>
      </c>
      <c r="G672">
        <v>0</v>
      </c>
    </row>
    <row r="673" spans="1:7" x14ac:dyDescent="0.2">
      <c r="A673">
        <v>7278</v>
      </c>
      <c r="B673" s="106" t="s">
        <v>83</v>
      </c>
      <c r="C673">
        <v>0.05</v>
      </c>
      <c r="D673">
        <v>0.15</v>
      </c>
      <c r="E673">
        <v>0.05</v>
      </c>
      <c r="F673">
        <v>0.05</v>
      </c>
      <c r="G673">
        <v>0</v>
      </c>
    </row>
    <row r="674" spans="1:7" x14ac:dyDescent="0.2">
      <c r="A674">
        <v>7280</v>
      </c>
      <c r="B674" s="106" t="s">
        <v>1531</v>
      </c>
      <c r="C674">
        <v>0.05</v>
      </c>
      <c r="D674">
        <v>0.15</v>
      </c>
      <c r="E674">
        <v>0.05</v>
      </c>
      <c r="F674">
        <v>0.05</v>
      </c>
      <c r="G674">
        <v>0.05</v>
      </c>
    </row>
    <row r="675" spans="1:7" x14ac:dyDescent="0.2">
      <c r="A675">
        <v>7282</v>
      </c>
      <c r="B675" s="106" t="s">
        <v>782</v>
      </c>
      <c r="C675">
        <v>0.05</v>
      </c>
      <c r="D675" s="106">
        <v>0.15</v>
      </c>
      <c r="E675">
        <v>0.05</v>
      </c>
      <c r="F675" s="106">
        <v>0.05</v>
      </c>
      <c r="G675" s="106">
        <v>0.05</v>
      </c>
    </row>
    <row r="676" spans="1:7" x14ac:dyDescent="0.2">
      <c r="A676">
        <v>7283</v>
      </c>
      <c r="B676" s="106" t="s">
        <v>1532</v>
      </c>
      <c r="C676">
        <v>0</v>
      </c>
      <c r="D676">
        <v>0</v>
      </c>
      <c r="E676">
        <v>0</v>
      </c>
      <c r="F676" t="s">
        <v>233</v>
      </c>
      <c r="G676">
        <v>0.05</v>
      </c>
    </row>
    <row r="677" spans="1:7" x14ac:dyDescent="0.2">
      <c r="A677">
        <v>7294</v>
      </c>
      <c r="B677" s="106" t="s">
        <v>2336</v>
      </c>
      <c r="C677">
        <v>0.05</v>
      </c>
      <c r="D677">
        <v>0.15</v>
      </c>
      <c r="E677">
        <v>0.05</v>
      </c>
      <c r="F677">
        <v>0.05</v>
      </c>
      <c r="G677" s="106">
        <v>0.05</v>
      </c>
    </row>
    <row r="678" spans="1:7" x14ac:dyDescent="0.2">
      <c r="A678">
        <v>7296</v>
      </c>
      <c r="B678" s="106" t="s">
        <v>1533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7309</v>
      </c>
      <c r="B679" s="106" t="s">
        <v>1534</v>
      </c>
      <c r="C679">
        <v>0.3</v>
      </c>
      <c r="D679" s="106">
        <v>0.9</v>
      </c>
      <c r="E679">
        <v>0.3</v>
      </c>
      <c r="F679">
        <v>0.3</v>
      </c>
      <c r="G679">
        <v>0.3</v>
      </c>
    </row>
    <row r="680" spans="1:7" x14ac:dyDescent="0.2">
      <c r="A680">
        <v>7313</v>
      </c>
      <c r="B680" s="106" t="s">
        <v>1535</v>
      </c>
      <c r="C680">
        <v>0.05</v>
      </c>
      <c r="D680">
        <v>0.3</v>
      </c>
      <c r="E680">
        <v>0.05</v>
      </c>
      <c r="F680">
        <v>0.1</v>
      </c>
      <c r="G680">
        <v>0.1</v>
      </c>
    </row>
    <row r="681" spans="1:7" x14ac:dyDescent="0.2">
      <c r="A681">
        <v>7321</v>
      </c>
      <c r="B681" s="106" t="s">
        <v>1536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 x14ac:dyDescent="0.2">
      <c r="A682">
        <v>7322</v>
      </c>
      <c r="B682" s="106" t="s">
        <v>2337</v>
      </c>
      <c r="C682">
        <v>0.05</v>
      </c>
      <c r="D682">
        <v>0.15</v>
      </c>
      <c r="E682">
        <v>0</v>
      </c>
      <c r="F682">
        <v>0.05</v>
      </c>
      <c r="G682" t="s">
        <v>233</v>
      </c>
    </row>
    <row r="683" spans="1:7" x14ac:dyDescent="0.2">
      <c r="A683">
        <v>7327</v>
      </c>
      <c r="B683" s="106" t="s">
        <v>140</v>
      </c>
      <c r="C683">
        <v>0.05</v>
      </c>
      <c r="D683" t="s">
        <v>233</v>
      </c>
      <c r="E683">
        <v>0.05</v>
      </c>
      <c r="F683" t="s">
        <v>233</v>
      </c>
      <c r="G683">
        <v>0.05</v>
      </c>
    </row>
    <row r="684" spans="1:7" x14ac:dyDescent="0.2">
      <c r="A684">
        <v>7416</v>
      </c>
      <c r="B684" s="106" t="s">
        <v>1537</v>
      </c>
      <c r="C684">
        <v>0.05</v>
      </c>
      <c r="D684">
        <v>0.15</v>
      </c>
      <c r="E684" s="106">
        <v>0.05</v>
      </c>
      <c r="F684">
        <v>0.05</v>
      </c>
      <c r="G684">
        <v>0.05</v>
      </c>
    </row>
    <row r="685" spans="1:7" x14ac:dyDescent="0.2">
      <c r="A685">
        <v>7420</v>
      </c>
      <c r="B685" s="106" t="s">
        <v>1538</v>
      </c>
      <c r="C685">
        <v>0</v>
      </c>
      <c r="D685">
        <v>0</v>
      </c>
      <c r="E685">
        <v>0</v>
      </c>
      <c r="F685">
        <v>0</v>
      </c>
      <c r="G685" s="106">
        <v>0</v>
      </c>
    </row>
    <row r="686" spans="1:7" x14ac:dyDescent="0.2">
      <c r="A686">
        <v>7421</v>
      </c>
      <c r="B686" s="106" t="s">
        <v>2584</v>
      </c>
      <c r="C686">
        <v>0</v>
      </c>
      <c r="D686" t="s">
        <v>233</v>
      </c>
      <c r="E686" t="s">
        <v>233</v>
      </c>
      <c r="F686" t="s">
        <v>233</v>
      </c>
      <c r="G686" t="s">
        <v>233</v>
      </c>
    </row>
    <row r="687" spans="1:7" x14ac:dyDescent="0.2">
      <c r="A687">
        <v>7427</v>
      </c>
      <c r="B687" s="106" t="s">
        <v>1539</v>
      </c>
      <c r="C687">
        <v>0.05</v>
      </c>
      <c r="D687">
        <v>0.15</v>
      </c>
      <c r="E687">
        <v>0.05</v>
      </c>
      <c r="F687">
        <v>0.05</v>
      </c>
      <c r="G687">
        <v>0.05</v>
      </c>
    </row>
    <row r="688" spans="1:7" x14ac:dyDescent="0.2">
      <c r="A688">
        <v>7442</v>
      </c>
      <c r="B688" s="106" t="s">
        <v>1540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">
      <c r="A689">
        <v>7445</v>
      </c>
      <c r="B689" s="106" t="s">
        <v>1541</v>
      </c>
      <c r="C689">
        <v>0.05</v>
      </c>
      <c r="D689">
        <v>0.15</v>
      </c>
      <c r="E689">
        <v>0.05</v>
      </c>
      <c r="F689">
        <v>0.05</v>
      </c>
      <c r="G689" s="106">
        <v>0.05</v>
      </c>
    </row>
    <row r="690" spans="1:7" x14ac:dyDescent="0.2">
      <c r="A690">
        <v>7451</v>
      </c>
      <c r="B690" s="106" t="s">
        <v>1542</v>
      </c>
      <c r="C690">
        <v>0.05</v>
      </c>
      <c r="D690">
        <v>0</v>
      </c>
      <c r="E690">
        <v>0.05</v>
      </c>
      <c r="F690" s="106">
        <v>0</v>
      </c>
      <c r="G690" s="106">
        <v>0</v>
      </c>
    </row>
    <row r="691" spans="1:7" x14ac:dyDescent="0.2">
      <c r="A691">
        <v>7453</v>
      </c>
      <c r="B691" s="106" t="s">
        <v>104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7455</v>
      </c>
      <c r="B692" s="106" t="s">
        <v>2585</v>
      </c>
      <c r="C692">
        <v>0</v>
      </c>
      <c r="D692" t="s">
        <v>233</v>
      </c>
      <c r="E692" t="s">
        <v>233</v>
      </c>
      <c r="F692" t="s">
        <v>233</v>
      </c>
      <c r="G692" t="s">
        <v>233</v>
      </c>
    </row>
    <row r="693" spans="1:7" x14ac:dyDescent="0.2">
      <c r="A693">
        <v>7458</v>
      </c>
      <c r="B693" s="106" t="s">
        <v>1543</v>
      </c>
      <c r="C693">
        <v>0.1</v>
      </c>
      <c r="D693">
        <v>0.3</v>
      </c>
      <c r="E693">
        <v>0.1</v>
      </c>
      <c r="F693">
        <v>0.05</v>
      </c>
      <c r="G693">
        <v>0.1</v>
      </c>
    </row>
    <row r="694" spans="1:7" x14ac:dyDescent="0.2">
      <c r="A694">
        <v>7459</v>
      </c>
      <c r="B694" s="106" t="s">
        <v>1544</v>
      </c>
      <c r="C694">
        <v>0.05</v>
      </c>
      <c r="D694">
        <v>0.15</v>
      </c>
      <c r="E694">
        <v>0.05</v>
      </c>
      <c r="F694">
        <v>0.05</v>
      </c>
      <c r="G694">
        <v>0.05</v>
      </c>
    </row>
    <row r="695" spans="1:7" x14ac:dyDescent="0.2">
      <c r="A695">
        <v>7463</v>
      </c>
      <c r="B695" s="106" t="s">
        <v>1545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 x14ac:dyDescent="0.2">
      <c r="A696">
        <v>7475</v>
      </c>
      <c r="B696" s="106" t="s">
        <v>1546</v>
      </c>
      <c r="C696">
        <v>0.05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7476</v>
      </c>
      <c r="B697" s="106" t="s">
        <v>1547</v>
      </c>
      <c r="C697">
        <v>0.2</v>
      </c>
      <c r="D697">
        <v>0</v>
      </c>
      <c r="E697">
        <v>0.2</v>
      </c>
      <c r="F697">
        <v>0.15</v>
      </c>
      <c r="G697" s="106">
        <v>0</v>
      </c>
    </row>
    <row r="698" spans="1:7" x14ac:dyDescent="0.2">
      <c r="A698">
        <v>7480</v>
      </c>
      <c r="B698" s="106" t="s">
        <v>1548</v>
      </c>
      <c r="C698">
        <v>0.05</v>
      </c>
      <c r="D698">
        <v>0.15</v>
      </c>
      <c r="E698">
        <v>0.05</v>
      </c>
      <c r="F698">
        <v>0.05</v>
      </c>
      <c r="G698">
        <v>0.05</v>
      </c>
    </row>
    <row r="699" spans="1:7" x14ac:dyDescent="0.2">
      <c r="A699">
        <v>7482</v>
      </c>
      <c r="B699" s="106" t="s">
        <v>1549</v>
      </c>
      <c r="C699">
        <v>0.05</v>
      </c>
      <c r="D699">
        <v>0.15</v>
      </c>
      <c r="E699">
        <v>0.05</v>
      </c>
      <c r="F699">
        <v>0.05</v>
      </c>
      <c r="G699">
        <v>0.05</v>
      </c>
    </row>
    <row r="700" spans="1:7" x14ac:dyDescent="0.2">
      <c r="A700">
        <v>7487</v>
      </c>
      <c r="B700" s="106" t="s">
        <v>1550</v>
      </c>
      <c r="C700">
        <v>0.05</v>
      </c>
      <c r="D700">
        <v>0.15</v>
      </c>
      <c r="E700">
        <v>0.05</v>
      </c>
      <c r="F700">
        <v>0.05</v>
      </c>
      <c r="G700">
        <v>0.05</v>
      </c>
    </row>
    <row r="701" spans="1:7" x14ac:dyDescent="0.2">
      <c r="A701">
        <v>7494</v>
      </c>
      <c r="B701" s="106" t="s">
        <v>1551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7506</v>
      </c>
      <c r="B702" s="106" t="s">
        <v>1552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7510</v>
      </c>
      <c r="B703" s="106" t="s">
        <v>1553</v>
      </c>
      <c r="C703">
        <v>0</v>
      </c>
      <c r="D703">
        <v>0</v>
      </c>
      <c r="E703" t="s">
        <v>233</v>
      </c>
      <c r="F703">
        <v>0</v>
      </c>
      <c r="G703" t="s">
        <v>233</v>
      </c>
    </row>
    <row r="704" spans="1:7" x14ac:dyDescent="0.2">
      <c r="A704">
        <v>7512</v>
      </c>
      <c r="B704" s="106" t="s">
        <v>2338</v>
      </c>
      <c r="C704">
        <v>0</v>
      </c>
      <c r="D704">
        <v>0</v>
      </c>
      <c r="E704">
        <v>0</v>
      </c>
      <c r="F704">
        <v>0</v>
      </c>
      <c r="G704" t="s">
        <v>233</v>
      </c>
    </row>
    <row r="705" spans="1:7" x14ac:dyDescent="0.2">
      <c r="A705">
        <v>7522</v>
      </c>
      <c r="B705" s="106" t="s">
        <v>1554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7524</v>
      </c>
      <c r="B706" s="106" t="s">
        <v>1555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">
      <c r="A707">
        <v>7525</v>
      </c>
      <c r="B707" s="106" t="s">
        <v>2586</v>
      </c>
      <c r="C707">
        <v>0</v>
      </c>
      <c r="D707" t="s">
        <v>233</v>
      </c>
      <c r="E707" t="s">
        <v>233</v>
      </c>
      <c r="F707" t="s">
        <v>233</v>
      </c>
      <c r="G707">
        <v>0.05</v>
      </c>
    </row>
    <row r="708" spans="1:7" x14ac:dyDescent="0.2">
      <c r="A708">
        <v>7532</v>
      </c>
      <c r="B708" s="106" t="s">
        <v>1556</v>
      </c>
      <c r="C708">
        <v>0.05</v>
      </c>
      <c r="D708">
        <v>0.15</v>
      </c>
      <c r="E708" s="106">
        <v>0</v>
      </c>
      <c r="F708" s="106">
        <v>0</v>
      </c>
      <c r="G708" s="106">
        <v>0</v>
      </c>
    </row>
    <row r="709" spans="1:7" x14ac:dyDescent="0.2">
      <c r="A709">
        <v>7545</v>
      </c>
      <c r="B709" s="106" t="s">
        <v>1557</v>
      </c>
      <c r="C709">
        <v>0.05</v>
      </c>
      <c r="D709" s="106">
        <v>0.15</v>
      </c>
      <c r="E709">
        <v>0.05</v>
      </c>
      <c r="F709" s="106">
        <v>0.05</v>
      </c>
      <c r="G709" s="106">
        <v>0.05</v>
      </c>
    </row>
    <row r="710" spans="1:7" x14ac:dyDescent="0.2">
      <c r="A710">
        <v>7570</v>
      </c>
      <c r="B710" s="106" t="s">
        <v>1558</v>
      </c>
      <c r="C710">
        <v>0</v>
      </c>
      <c r="D710">
        <v>0.15</v>
      </c>
      <c r="E710">
        <v>0</v>
      </c>
      <c r="F710" s="106">
        <v>0.05</v>
      </c>
      <c r="G710" s="106">
        <v>0</v>
      </c>
    </row>
    <row r="711" spans="1:7" x14ac:dyDescent="0.2">
      <c r="A711">
        <v>7581</v>
      </c>
      <c r="B711" s="106" t="s">
        <v>2587</v>
      </c>
      <c r="C711">
        <v>0</v>
      </c>
      <c r="D711" t="s">
        <v>233</v>
      </c>
      <c r="E711" t="s">
        <v>233</v>
      </c>
      <c r="F711" s="106" t="s">
        <v>233</v>
      </c>
      <c r="G711" t="s">
        <v>233</v>
      </c>
    </row>
    <row r="712" spans="1:7" x14ac:dyDescent="0.2">
      <c r="A712">
        <v>7593</v>
      </c>
      <c r="B712" s="106" t="s">
        <v>1559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7599</v>
      </c>
      <c r="B713" s="106" t="s">
        <v>1560</v>
      </c>
      <c r="C713">
        <v>0</v>
      </c>
      <c r="D713">
        <v>0.15</v>
      </c>
      <c r="E713">
        <v>0.05</v>
      </c>
      <c r="F713">
        <v>0.05</v>
      </c>
      <c r="G713">
        <v>0.05</v>
      </c>
    </row>
    <row r="714" spans="1:7" x14ac:dyDescent="0.2">
      <c r="A714">
        <v>7601</v>
      </c>
      <c r="B714" s="106" t="s">
        <v>1561</v>
      </c>
      <c r="C714">
        <v>0.05</v>
      </c>
      <c r="D714">
        <v>0.15</v>
      </c>
      <c r="E714">
        <v>0.05</v>
      </c>
      <c r="F714">
        <v>0.05</v>
      </c>
      <c r="G714">
        <v>0</v>
      </c>
    </row>
    <row r="715" spans="1:7" x14ac:dyDescent="0.2">
      <c r="A715">
        <v>7611</v>
      </c>
      <c r="B715" s="106" t="s">
        <v>1562</v>
      </c>
      <c r="C715">
        <v>0.05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7613</v>
      </c>
      <c r="B716" s="106" t="s">
        <v>1563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7615</v>
      </c>
      <c r="B717" s="106" t="s">
        <v>1564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7616</v>
      </c>
      <c r="B718" s="106" t="s">
        <v>1565</v>
      </c>
      <c r="C718">
        <v>0.05</v>
      </c>
      <c r="D718">
        <v>0.15</v>
      </c>
      <c r="E718">
        <v>0.05</v>
      </c>
      <c r="F718">
        <v>0.05</v>
      </c>
      <c r="G718">
        <v>0.05</v>
      </c>
    </row>
    <row r="719" spans="1:7" x14ac:dyDescent="0.2">
      <c r="A719">
        <v>7618</v>
      </c>
      <c r="B719" s="106" t="s">
        <v>2588</v>
      </c>
      <c r="C719">
        <v>0</v>
      </c>
      <c r="D719" s="106" t="s">
        <v>233</v>
      </c>
      <c r="E719" s="106">
        <v>0</v>
      </c>
      <c r="F719" s="106" t="s">
        <v>233</v>
      </c>
      <c r="G719" s="106" t="s">
        <v>233</v>
      </c>
    </row>
    <row r="720" spans="1:7" x14ac:dyDescent="0.2">
      <c r="A720">
        <v>7628</v>
      </c>
      <c r="B720" s="106" t="s">
        <v>1566</v>
      </c>
      <c r="C720">
        <v>0.05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7630</v>
      </c>
      <c r="B721" s="106" t="s">
        <v>1567</v>
      </c>
      <c r="C721">
        <v>0.1</v>
      </c>
      <c r="D721">
        <v>0.3</v>
      </c>
      <c r="E721">
        <v>0.1</v>
      </c>
      <c r="F721">
        <v>0.1</v>
      </c>
      <c r="G721">
        <v>0.1</v>
      </c>
    </row>
    <row r="722" spans="1:7" x14ac:dyDescent="0.2">
      <c r="A722">
        <v>7637</v>
      </c>
      <c r="B722" s="106" t="s">
        <v>1568</v>
      </c>
      <c r="C722">
        <v>0</v>
      </c>
      <c r="D722">
        <v>0</v>
      </c>
      <c r="E722" t="s">
        <v>233</v>
      </c>
      <c r="F722">
        <v>0</v>
      </c>
      <c r="G722">
        <v>0</v>
      </c>
    </row>
    <row r="723" spans="1:7" x14ac:dyDescent="0.2">
      <c r="A723">
        <v>7640</v>
      </c>
      <c r="B723" s="106" t="s">
        <v>1569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7649</v>
      </c>
      <c r="B724" s="106" t="s">
        <v>2339</v>
      </c>
      <c r="C724">
        <v>0</v>
      </c>
      <c r="D724">
        <v>0</v>
      </c>
      <c r="E724">
        <v>0</v>
      </c>
      <c r="F724" t="s">
        <v>233</v>
      </c>
      <c r="G724" t="s">
        <v>233</v>
      </c>
    </row>
    <row r="725" spans="1:7" x14ac:dyDescent="0.2">
      <c r="A725">
        <v>7701</v>
      </c>
      <c r="B725" s="106" t="s">
        <v>1570</v>
      </c>
      <c r="C725">
        <v>0.1</v>
      </c>
      <c r="D725">
        <v>0.3</v>
      </c>
      <c r="E725">
        <v>0.1</v>
      </c>
      <c r="F725">
        <v>0.1</v>
      </c>
      <c r="G725">
        <v>0.05</v>
      </c>
    </row>
    <row r="726" spans="1:7" x14ac:dyDescent="0.2">
      <c r="A726">
        <v>7702</v>
      </c>
      <c r="B726" s="106" t="s">
        <v>1571</v>
      </c>
      <c r="C726">
        <v>0.05</v>
      </c>
      <c r="D726">
        <v>0.15</v>
      </c>
      <c r="E726">
        <v>0.05</v>
      </c>
      <c r="F726">
        <v>0.05</v>
      </c>
      <c r="G726">
        <v>0.05</v>
      </c>
    </row>
    <row r="727" spans="1:7" x14ac:dyDescent="0.2">
      <c r="A727">
        <v>7723</v>
      </c>
      <c r="B727" s="106" t="s">
        <v>1572</v>
      </c>
      <c r="C727">
        <v>0.05</v>
      </c>
      <c r="D727" s="106">
        <v>0.15</v>
      </c>
      <c r="E727">
        <v>0.05</v>
      </c>
      <c r="F727">
        <v>0.05</v>
      </c>
      <c r="G727">
        <v>0</v>
      </c>
    </row>
    <row r="728" spans="1:7" x14ac:dyDescent="0.2">
      <c r="A728">
        <v>7727</v>
      </c>
      <c r="B728" s="106" t="s">
        <v>2589</v>
      </c>
      <c r="C728">
        <v>0</v>
      </c>
      <c r="D728" t="s">
        <v>233</v>
      </c>
      <c r="E728">
        <v>0</v>
      </c>
      <c r="F728">
        <v>0</v>
      </c>
      <c r="G728">
        <v>0</v>
      </c>
    </row>
    <row r="729" spans="1:7" x14ac:dyDescent="0.2">
      <c r="A729">
        <v>7729</v>
      </c>
      <c r="B729" s="106" t="s">
        <v>1010</v>
      </c>
      <c r="C729">
        <v>0.1</v>
      </c>
      <c r="D729">
        <v>0.3</v>
      </c>
      <c r="E729" s="106">
        <v>0.1</v>
      </c>
      <c r="F729" s="106">
        <v>0.1</v>
      </c>
      <c r="G729" s="106">
        <v>0.1</v>
      </c>
    </row>
    <row r="730" spans="1:7" x14ac:dyDescent="0.2">
      <c r="A730">
        <v>7730</v>
      </c>
      <c r="B730" s="106" t="s">
        <v>1573</v>
      </c>
      <c r="C730">
        <v>0.05</v>
      </c>
      <c r="D730">
        <v>0</v>
      </c>
      <c r="E730">
        <v>0</v>
      </c>
      <c r="F730" s="106">
        <v>0.05</v>
      </c>
      <c r="G730" s="106">
        <v>0</v>
      </c>
    </row>
    <row r="731" spans="1:7" x14ac:dyDescent="0.2">
      <c r="A731">
        <v>7733</v>
      </c>
      <c r="B731" s="106" t="s">
        <v>1574</v>
      </c>
      <c r="C731">
        <v>0.05</v>
      </c>
      <c r="D731">
        <v>0.15</v>
      </c>
      <c r="E731">
        <v>0.05</v>
      </c>
      <c r="F731" s="106">
        <v>0.05</v>
      </c>
      <c r="G731" s="106">
        <v>0.05</v>
      </c>
    </row>
    <row r="732" spans="1:7" x14ac:dyDescent="0.2">
      <c r="A732">
        <v>7740</v>
      </c>
      <c r="B732" s="106" t="s">
        <v>1575</v>
      </c>
      <c r="C732">
        <v>0.05</v>
      </c>
      <c r="D732" s="106">
        <v>0.15</v>
      </c>
      <c r="E732" s="106">
        <v>0.05</v>
      </c>
      <c r="F732" s="106">
        <v>0.05</v>
      </c>
      <c r="G732">
        <v>0.05</v>
      </c>
    </row>
    <row r="733" spans="1:7" x14ac:dyDescent="0.2">
      <c r="A733">
        <v>7741</v>
      </c>
      <c r="B733" s="106" t="s">
        <v>2340</v>
      </c>
      <c r="C733">
        <v>0.2</v>
      </c>
      <c r="D733" s="106">
        <v>0.6</v>
      </c>
      <c r="E733" s="106">
        <v>0.2</v>
      </c>
      <c r="F733" s="106" t="s">
        <v>233</v>
      </c>
      <c r="G733" t="s">
        <v>233</v>
      </c>
    </row>
    <row r="734" spans="1:7" x14ac:dyDescent="0.2">
      <c r="A734">
        <v>7743</v>
      </c>
      <c r="B734" s="106" t="s">
        <v>1576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7747</v>
      </c>
      <c r="B735" s="106" t="s">
        <v>1577</v>
      </c>
      <c r="C735">
        <v>0.1</v>
      </c>
      <c r="D735">
        <v>0.3</v>
      </c>
      <c r="E735">
        <v>0.05</v>
      </c>
      <c r="F735">
        <v>0.05</v>
      </c>
      <c r="G735">
        <v>0.05</v>
      </c>
    </row>
    <row r="736" spans="1:7" x14ac:dyDescent="0.2">
      <c r="A736">
        <v>7752</v>
      </c>
      <c r="B736" s="106" t="s">
        <v>1578</v>
      </c>
      <c r="C736">
        <v>0.05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7762</v>
      </c>
      <c r="B737" s="106" t="s">
        <v>107</v>
      </c>
      <c r="C737">
        <v>0.05</v>
      </c>
      <c r="D737">
        <v>0.15</v>
      </c>
      <c r="E737">
        <v>0.05</v>
      </c>
      <c r="F737">
        <v>0.05</v>
      </c>
      <c r="G737">
        <v>0.05</v>
      </c>
    </row>
    <row r="738" spans="1:7" x14ac:dyDescent="0.2">
      <c r="A738">
        <v>7769</v>
      </c>
      <c r="B738" s="106" t="s">
        <v>1579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7782</v>
      </c>
      <c r="B739" s="106" t="s">
        <v>1580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7819</v>
      </c>
      <c r="B740" s="106" t="s">
        <v>1581</v>
      </c>
      <c r="C740">
        <v>0</v>
      </c>
      <c r="D740">
        <v>0</v>
      </c>
      <c r="E740" s="106">
        <v>0</v>
      </c>
      <c r="F740">
        <v>0</v>
      </c>
      <c r="G740" s="106">
        <v>0</v>
      </c>
    </row>
    <row r="741" spans="1:7" x14ac:dyDescent="0.2">
      <c r="A741">
        <v>7822</v>
      </c>
      <c r="B741" s="106" t="s">
        <v>1582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7823</v>
      </c>
      <c r="B742" s="106" t="s">
        <v>2590</v>
      </c>
      <c r="C742">
        <v>0</v>
      </c>
      <c r="D742" t="s">
        <v>233</v>
      </c>
      <c r="E742">
        <v>0</v>
      </c>
      <c r="F742" t="s">
        <v>233</v>
      </c>
      <c r="G742" t="s">
        <v>233</v>
      </c>
    </row>
    <row r="743" spans="1:7" x14ac:dyDescent="0.2">
      <c r="A743">
        <v>7840</v>
      </c>
      <c r="B743" s="106" t="s">
        <v>1583</v>
      </c>
      <c r="C743">
        <v>0.05</v>
      </c>
      <c r="D743">
        <v>0.15</v>
      </c>
      <c r="E743">
        <v>0.05</v>
      </c>
      <c r="F743">
        <v>0.05</v>
      </c>
      <c r="G743">
        <v>0.05</v>
      </c>
    </row>
    <row r="744" spans="1:7" x14ac:dyDescent="0.2">
      <c r="A744">
        <v>7844</v>
      </c>
      <c r="B744" s="106" t="s">
        <v>1584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7846</v>
      </c>
      <c r="B745" s="106" t="s">
        <v>1585</v>
      </c>
      <c r="C745">
        <v>0.1</v>
      </c>
      <c r="D745" s="106">
        <v>0.3</v>
      </c>
      <c r="E745">
        <v>0.1</v>
      </c>
      <c r="F745" s="106">
        <v>0.1</v>
      </c>
      <c r="G745" s="106">
        <v>0.1</v>
      </c>
    </row>
    <row r="746" spans="1:7" x14ac:dyDescent="0.2">
      <c r="A746">
        <v>7856</v>
      </c>
      <c r="B746" s="106" t="s">
        <v>1586</v>
      </c>
      <c r="C746">
        <v>0</v>
      </c>
      <c r="D746" s="106">
        <v>0</v>
      </c>
      <c r="E746" t="s">
        <v>233</v>
      </c>
      <c r="F746" s="106">
        <v>0</v>
      </c>
      <c r="G746" s="106">
        <v>0</v>
      </c>
    </row>
    <row r="747" spans="1:7" x14ac:dyDescent="0.2">
      <c r="A747">
        <v>7860</v>
      </c>
      <c r="B747" s="106" t="s">
        <v>1587</v>
      </c>
      <c r="C747">
        <v>0</v>
      </c>
      <c r="D747">
        <v>0</v>
      </c>
      <c r="E747">
        <v>0.05</v>
      </c>
      <c r="F747">
        <v>0</v>
      </c>
      <c r="G747">
        <v>0.05</v>
      </c>
    </row>
    <row r="748" spans="1:7" x14ac:dyDescent="0.2">
      <c r="A748">
        <v>7862</v>
      </c>
      <c r="B748" s="106" t="s">
        <v>1588</v>
      </c>
      <c r="C748">
        <v>0.05</v>
      </c>
      <c r="D748">
        <v>0.15</v>
      </c>
      <c r="E748">
        <v>0.05</v>
      </c>
      <c r="F748">
        <v>0.05</v>
      </c>
      <c r="G748">
        <v>0.05</v>
      </c>
    </row>
    <row r="749" spans="1:7" x14ac:dyDescent="0.2">
      <c r="A749">
        <v>7873</v>
      </c>
      <c r="B749" s="106" t="s">
        <v>2591</v>
      </c>
      <c r="C749">
        <v>0</v>
      </c>
      <c r="D749" s="106" t="s">
        <v>233</v>
      </c>
      <c r="E749">
        <v>0</v>
      </c>
      <c r="F749" s="106">
        <v>0</v>
      </c>
      <c r="G749" t="s">
        <v>233</v>
      </c>
    </row>
    <row r="750" spans="1:7" x14ac:dyDescent="0.2">
      <c r="A750">
        <v>7885</v>
      </c>
      <c r="B750" s="106" t="s">
        <v>1589</v>
      </c>
      <c r="C750">
        <v>0.05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7898</v>
      </c>
      <c r="B751" s="106" t="s">
        <v>1590</v>
      </c>
      <c r="C751">
        <v>0</v>
      </c>
      <c r="D751" s="106">
        <v>0.15</v>
      </c>
      <c r="E751">
        <v>0</v>
      </c>
      <c r="F751" s="106">
        <v>0.05</v>
      </c>
      <c r="G751">
        <v>0</v>
      </c>
    </row>
    <row r="752" spans="1:7" x14ac:dyDescent="0.2">
      <c r="A752">
        <v>7911</v>
      </c>
      <c r="B752" s="106" t="s">
        <v>1591</v>
      </c>
      <c r="C752">
        <v>0.05</v>
      </c>
      <c r="D752">
        <v>0.15</v>
      </c>
      <c r="E752">
        <v>0.05</v>
      </c>
      <c r="F752" s="106">
        <v>0.05</v>
      </c>
      <c r="G752">
        <v>0.05</v>
      </c>
    </row>
    <row r="753" spans="1:7" x14ac:dyDescent="0.2">
      <c r="A753">
        <v>7912</v>
      </c>
      <c r="B753" s="106" t="s">
        <v>1592</v>
      </c>
      <c r="C753">
        <v>0</v>
      </c>
      <c r="D753">
        <v>0</v>
      </c>
      <c r="E753">
        <v>0</v>
      </c>
      <c r="F753" s="106">
        <v>0</v>
      </c>
      <c r="G753" s="106" t="s">
        <v>233</v>
      </c>
    </row>
    <row r="754" spans="1:7" x14ac:dyDescent="0.2">
      <c r="A754">
        <v>7915</v>
      </c>
      <c r="B754" s="106" t="s">
        <v>2341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7916</v>
      </c>
      <c r="B755" s="106" t="s">
        <v>1593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7925</v>
      </c>
      <c r="B756" s="106" t="s">
        <v>2592</v>
      </c>
      <c r="C756">
        <v>0.05</v>
      </c>
      <c r="D756" t="s">
        <v>233</v>
      </c>
      <c r="E756" s="106">
        <v>0.05</v>
      </c>
      <c r="F756" t="s">
        <v>233</v>
      </c>
      <c r="G756" s="106">
        <v>0.05</v>
      </c>
    </row>
    <row r="757" spans="1:7" x14ac:dyDescent="0.2">
      <c r="A757">
        <v>7936</v>
      </c>
      <c r="B757" s="106" t="s">
        <v>1594</v>
      </c>
      <c r="C757">
        <v>0.05</v>
      </c>
      <c r="D757">
        <v>0.15</v>
      </c>
      <c r="E757">
        <v>0.05</v>
      </c>
      <c r="F757" s="106">
        <v>0.05</v>
      </c>
      <c r="G757">
        <v>0.05</v>
      </c>
    </row>
    <row r="758" spans="1:7" x14ac:dyDescent="0.2">
      <c r="A758">
        <v>7937</v>
      </c>
      <c r="B758" s="106" t="s">
        <v>1595</v>
      </c>
      <c r="C758">
        <v>0.05</v>
      </c>
      <c r="D758">
        <v>0.15</v>
      </c>
      <c r="E758">
        <v>0.05</v>
      </c>
      <c r="F758">
        <v>0.05</v>
      </c>
      <c r="G758" s="106">
        <v>0.05</v>
      </c>
    </row>
    <row r="759" spans="1:7" x14ac:dyDescent="0.2">
      <c r="A759">
        <v>7942</v>
      </c>
      <c r="B759" s="106" t="s">
        <v>2342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7949</v>
      </c>
      <c r="B760" s="106" t="s">
        <v>1596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7951</v>
      </c>
      <c r="B761" s="106" t="s">
        <v>1597</v>
      </c>
      <c r="C761">
        <v>0.1</v>
      </c>
      <c r="D761" s="106">
        <v>0.45</v>
      </c>
      <c r="E761" s="106">
        <v>0.15</v>
      </c>
      <c r="F761" s="106">
        <v>0.15</v>
      </c>
      <c r="G761">
        <v>0.15</v>
      </c>
    </row>
    <row r="762" spans="1:7" x14ac:dyDescent="0.2">
      <c r="A762">
        <v>7952</v>
      </c>
      <c r="B762" s="106" t="s">
        <v>1598</v>
      </c>
      <c r="C762">
        <v>0.1</v>
      </c>
      <c r="D762">
        <v>0.3</v>
      </c>
      <c r="E762">
        <v>0.1</v>
      </c>
      <c r="F762" s="106">
        <v>0.1</v>
      </c>
      <c r="G762" s="106">
        <v>0.1</v>
      </c>
    </row>
    <row r="763" spans="1:7" x14ac:dyDescent="0.2">
      <c r="A763">
        <v>7962</v>
      </c>
      <c r="B763" s="106" t="s">
        <v>1599</v>
      </c>
      <c r="C763">
        <v>0.05</v>
      </c>
      <c r="D763">
        <v>0.15</v>
      </c>
      <c r="E763">
        <v>0.05</v>
      </c>
      <c r="F763" s="106">
        <v>0.05</v>
      </c>
      <c r="G763" s="106">
        <v>0.05</v>
      </c>
    </row>
    <row r="764" spans="1:7" x14ac:dyDescent="0.2">
      <c r="A764">
        <v>7965</v>
      </c>
      <c r="B764" s="106" t="s">
        <v>1600</v>
      </c>
      <c r="C764">
        <v>0.5</v>
      </c>
      <c r="D764">
        <v>1.65</v>
      </c>
      <c r="E764">
        <v>0.2</v>
      </c>
      <c r="F764">
        <v>0.15</v>
      </c>
      <c r="G764" s="106">
        <v>0.55000000000000004</v>
      </c>
    </row>
    <row r="765" spans="1:7" x14ac:dyDescent="0.2">
      <c r="A765">
        <v>7970</v>
      </c>
      <c r="B765" s="106" t="s">
        <v>1601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7981</v>
      </c>
      <c r="B766" s="106" t="s">
        <v>1602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 x14ac:dyDescent="0.2">
      <c r="A767">
        <v>7984</v>
      </c>
      <c r="B767" s="106" t="s">
        <v>1603</v>
      </c>
      <c r="C767">
        <v>0.05</v>
      </c>
      <c r="D767">
        <v>0.15</v>
      </c>
      <c r="E767">
        <v>0.05</v>
      </c>
      <c r="F767">
        <v>0.05</v>
      </c>
      <c r="G767">
        <v>0</v>
      </c>
    </row>
    <row r="768" spans="1:7" x14ac:dyDescent="0.2">
      <c r="A768">
        <v>7988</v>
      </c>
      <c r="B768" s="106" t="s">
        <v>1604</v>
      </c>
      <c r="C768">
        <v>0.05</v>
      </c>
      <c r="D768">
        <v>0.15</v>
      </c>
      <c r="E768">
        <v>0.05</v>
      </c>
      <c r="F768" s="106">
        <v>0.05</v>
      </c>
      <c r="G768">
        <v>0.05</v>
      </c>
    </row>
    <row r="769" spans="1:7" x14ac:dyDescent="0.2">
      <c r="A769">
        <v>7989</v>
      </c>
      <c r="B769" s="106" t="s">
        <v>2343</v>
      </c>
      <c r="C769">
        <v>0.05</v>
      </c>
      <c r="D769">
        <v>0</v>
      </c>
      <c r="E769">
        <v>0.05</v>
      </c>
      <c r="F769" s="106">
        <v>0.05</v>
      </c>
      <c r="G769">
        <v>0.05</v>
      </c>
    </row>
    <row r="770" spans="1:7" x14ac:dyDescent="0.2">
      <c r="A770">
        <v>7994</v>
      </c>
      <c r="B770" s="106" t="s">
        <v>1605</v>
      </c>
      <c r="C770">
        <v>0</v>
      </c>
      <c r="D770">
        <v>0</v>
      </c>
      <c r="E770" s="106">
        <v>0</v>
      </c>
      <c r="F770" s="106">
        <v>0</v>
      </c>
      <c r="G770" s="106">
        <v>0</v>
      </c>
    </row>
    <row r="771" spans="1:7" x14ac:dyDescent="0.2">
      <c r="A771">
        <v>7999</v>
      </c>
      <c r="B771" s="106" t="s">
        <v>1606</v>
      </c>
      <c r="C771">
        <v>0.05</v>
      </c>
      <c r="D771">
        <v>0.15</v>
      </c>
      <c r="E771" s="106">
        <v>0.05</v>
      </c>
      <c r="F771" s="106">
        <v>0.05</v>
      </c>
      <c r="G771" s="106">
        <v>0.05</v>
      </c>
    </row>
    <row r="772" spans="1:7" x14ac:dyDescent="0.2">
      <c r="A772">
        <v>8001</v>
      </c>
      <c r="B772" s="106" t="s">
        <v>1607</v>
      </c>
      <c r="C772">
        <v>0.05</v>
      </c>
      <c r="D772" s="106">
        <v>0.15</v>
      </c>
      <c r="E772">
        <v>0.05</v>
      </c>
      <c r="F772" s="106">
        <v>0.05</v>
      </c>
      <c r="G772">
        <v>0.05</v>
      </c>
    </row>
    <row r="773" spans="1:7" x14ac:dyDescent="0.2">
      <c r="A773">
        <v>8008</v>
      </c>
      <c r="B773" s="106" t="s">
        <v>1608</v>
      </c>
      <c r="C773">
        <v>0.05</v>
      </c>
      <c r="D773">
        <v>0.15</v>
      </c>
      <c r="E773">
        <v>0.05</v>
      </c>
      <c r="F773">
        <v>0.05</v>
      </c>
      <c r="G773">
        <v>0.05</v>
      </c>
    </row>
    <row r="774" spans="1:7" x14ac:dyDescent="0.2">
      <c r="A774">
        <v>8011</v>
      </c>
      <c r="B774" s="106" t="s">
        <v>1609</v>
      </c>
      <c r="C774">
        <v>0.05</v>
      </c>
      <c r="D774">
        <v>0.15</v>
      </c>
      <c r="E774">
        <v>0.05</v>
      </c>
      <c r="F774">
        <v>0.05</v>
      </c>
      <c r="G774">
        <v>0.05</v>
      </c>
    </row>
    <row r="775" spans="1:7" x14ac:dyDescent="0.2">
      <c r="A775">
        <v>8015</v>
      </c>
      <c r="B775" s="106" t="s">
        <v>1610</v>
      </c>
      <c r="C775">
        <v>0</v>
      </c>
      <c r="D775">
        <v>0.15</v>
      </c>
      <c r="E775">
        <v>0</v>
      </c>
      <c r="F775">
        <v>0</v>
      </c>
      <c r="G775">
        <v>0</v>
      </c>
    </row>
    <row r="776" spans="1:7" x14ac:dyDescent="0.2">
      <c r="A776">
        <v>8016</v>
      </c>
      <c r="B776" s="106" t="s">
        <v>1611</v>
      </c>
      <c r="C776">
        <v>0.05</v>
      </c>
      <c r="D776">
        <v>0.15</v>
      </c>
      <c r="E776">
        <v>0.05</v>
      </c>
      <c r="F776">
        <v>0.05</v>
      </c>
      <c r="G776" s="106">
        <v>0.05</v>
      </c>
    </row>
    <row r="777" spans="1:7" x14ac:dyDescent="0.2">
      <c r="A777">
        <v>8028</v>
      </c>
      <c r="B777" s="106" t="s">
        <v>1612</v>
      </c>
      <c r="C777">
        <v>0.05</v>
      </c>
      <c r="D777">
        <v>0.15</v>
      </c>
      <c r="E777">
        <v>0.05</v>
      </c>
      <c r="F777">
        <v>0.05</v>
      </c>
      <c r="G777">
        <v>0.05</v>
      </c>
    </row>
    <row r="778" spans="1:7" x14ac:dyDescent="0.2">
      <c r="A778">
        <v>8031</v>
      </c>
      <c r="B778" s="106" t="s">
        <v>1613</v>
      </c>
      <c r="C778">
        <v>0.05</v>
      </c>
      <c r="D778">
        <v>0.15</v>
      </c>
      <c r="E778">
        <v>0.05</v>
      </c>
      <c r="F778">
        <v>0.05</v>
      </c>
      <c r="G778">
        <v>0.05</v>
      </c>
    </row>
    <row r="779" spans="1:7" x14ac:dyDescent="0.2">
      <c r="A779">
        <v>8032</v>
      </c>
      <c r="B779" s="106" t="s">
        <v>1614</v>
      </c>
      <c r="C779">
        <v>0.1</v>
      </c>
      <c r="D779">
        <v>0.3</v>
      </c>
      <c r="E779">
        <v>0.1</v>
      </c>
      <c r="F779">
        <v>0.1</v>
      </c>
      <c r="G779">
        <v>0.1</v>
      </c>
    </row>
    <row r="780" spans="1:7" x14ac:dyDescent="0.2">
      <c r="A780">
        <v>8035</v>
      </c>
      <c r="B780" s="106" t="s">
        <v>1615</v>
      </c>
      <c r="C780">
        <v>0.4</v>
      </c>
      <c r="D780">
        <v>1.35</v>
      </c>
      <c r="E780">
        <v>0.45</v>
      </c>
      <c r="F780">
        <v>0.45</v>
      </c>
      <c r="G780">
        <v>0.45</v>
      </c>
    </row>
    <row r="781" spans="1:7" x14ac:dyDescent="0.2">
      <c r="A781">
        <v>8041</v>
      </c>
      <c r="B781" s="106" t="s">
        <v>1616</v>
      </c>
      <c r="C781">
        <v>0.05</v>
      </c>
      <c r="D781">
        <v>0.15</v>
      </c>
      <c r="E781">
        <v>0.05</v>
      </c>
      <c r="F781">
        <v>0.05</v>
      </c>
      <c r="G781">
        <v>0.05</v>
      </c>
    </row>
    <row r="782" spans="1:7" x14ac:dyDescent="0.2">
      <c r="A782">
        <v>8043</v>
      </c>
      <c r="B782" s="106" t="s">
        <v>1617</v>
      </c>
      <c r="C782">
        <v>0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8050</v>
      </c>
      <c r="B783" s="106" t="s">
        <v>1618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 x14ac:dyDescent="0.2">
      <c r="A784">
        <v>8051</v>
      </c>
      <c r="B784" s="106" t="s">
        <v>2344</v>
      </c>
      <c r="C784">
        <v>0.05</v>
      </c>
      <c r="D784">
        <v>0.15</v>
      </c>
      <c r="E784">
        <v>0.05</v>
      </c>
      <c r="F784">
        <v>0.05</v>
      </c>
      <c r="G784">
        <v>0.05</v>
      </c>
    </row>
    <row r="785" spans="1:7" x14ac:dyDescent="0.2">
      <c r="A785">
        <v>8057</v>
      </c>
      <c r="B785" s="106" t="s">
        <v>1619</v>
      </c>
      <c r="C785">
        <v>0.15</v>
      </c>
      <c r="D785">
        <v>0.45</v>
      </c>
      <c r="E785">
        <v>0.15</v>
      </c>
      <c r="F785">
        <v>0.15</v>
      </c>
      <c r="G785">
        <v>0.15</v>
      </c>
    </row>
    <row r="786" spans="1:7" x14ac:dyDescent="0.2">
      <c r="A786">
        <v>8059</v>
      </c>
      <c r="B786" s="106" t="s">
        <v>1620</v>
      </c>
      <c r="C786">
        <v>0</v>
      </c>
      <c r="D786">
        <v>0</v>
      </c>
      <c r="E786">
        <v>0.05</v>
      </c>
      <c r="F786">
        <v>0.1</v>
      </c>
      <c r="G786">
        <v>0.1</v>
      </c>
    </row>
    <row r="787" spans="1:7" x14ac:dyDescent="0.2">
      <c r="A787">
        <v>8060</v>
      </c>
      <c r="B787" s="106" t="s">
        <v>2593</v>
      </c>
      <c r="C787">
        <v>0</v>
      </c>
      <c r="D787" t="s">
        <v>233</v>
      </c>
      <c r="E787">
        <v>0</v>
      </c>
      <c r="F787">
        <v>0</v>
      </c>
      <c r="G787" t="s">
        <v>233</v>
      </c>
    </row>
    <row r="788" spans="1:7" x14ac:dyDescent="0.2">
      <c r="A788">
        <v>8068</v>
      </c>
      <c r="B788" s="106" t="s">
        <v>1621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8074</v>
      </c>
      <c r="B789" s="106" t="s">
        <v>1622</v>
      </c>
      <c r="C789">
        <v>0.1</v>
      </c>
      <c r="D789">
        <v>0</v>
      </c>
      <c r="E789">
        <v>0</v>
      </c>
      <c r="F789" t="s">
        <v>233</v>
      </c>
      <c r="G789">
        <v>0</v>
      </c>
    </row>
    <row r="790" spans="1:7" x14ac:dyDescent="0.2">
      <c r="A790">
        <v>8075</v>
      </c>
      <c r="B790" s="106" t="s">
        <v>1623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8077</v>
      </c>
      <c r="B791" s="106" t="s">
        <v>1624</v>
      </c>
      <c r="C791">
        <v>0</v>
      </c>
      <c r="D791">
        <v>0.15</v>
      </c>
      <c r="E791">
        <v>0.05</v>
      </c>
      <c r="F791">
        <v>0.05</v>
      </c>
      <c r="G791">
        <v>0</v>
      </c>
    </row>
    <row r="792" spans="1:7" x14ac:dyDescent="0.2">
      <c r="A792">
        <v>8079</v>
      </c>
      <c r="B792" s="106" t="s">
        <v>1625</v>
      </c>
      <c r="C792">
        <v>0.1</v>
      </c>
      <c r="D792">
        <v>0.3</v>
      </c>
      <c r="E792">
        <v>0.1</v>
      </c>
      <c r="F792">
        <v>0.1</v>
      </c>
      <c r="G792" s="106">
        <v>0.1</v>
      </c>
    </row>
    <row r="793" spans="1:7" x14ac:dyDescent="0.2">
      <c r="A793">
        <v>8086</v>
      </c>
      <c r="B793" s="106" t="s">
        <v>1018</v>
      </c>
      <c r="C793">
        <v>0.05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8089</v>
      </c>
      <c r="B794" s="106" t="s">
        <v>1626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 x14ac:dyDescent="0.2">
      <c r="A795">
        <v>8093</v>
      </c>
      <c r="B795" s="106" t="s">
        <v>1627</v>
      </c>
      <c r="C795">
        <v>0.05</v>
      </c>
      <c r="D795">
        <v>0.15</v>
      </c>
      <c r="E795">
        <v>0.05</v>
      </c>
      <c r="F795">
        <v>0.05</v>
      </c>
      <c r="G795">
        <v>0.05</v>
      </c>
    </row>
    <row r="796" spans="1:7" x14ac:dyDescent="0.2">
      <c r="A796">
        <v>8096</v>
      </c>
      <c r="B796" s="106" t="s">
        <v>2345</v>
      </c>
      <c r="C796">
        <v>0</v>
      </c>
      <c r="D796">
        <v>0</v>
      </c>
      <c r="E796" s="106">
        <v>0</v>
      </c>
      <c r="F796">
        <v>0</v>
      </c>
      <c r="G796">
        <v>0.1</v>
      </c>
    </row>
    <row r="797" spans="1:7" x14ac:dyDescent="0.2">
      <c r="A797">
        <v>8097</v>
      </c>
      <c r="B797" s="106" t="s">
        <v>1628</v>
      </c>
      <c r="C797">
        <v>0.05</v>
      </c>
      <c r="D797">
        <v>0.15</v>
      </c>
      <c r="E797">
        <v>0.05</v>
      </c>
      <c r="F797">
        <v>0.05</v>
      </c>
      <c r="G797">
        <v>0</v>
      </c>
    </row>
    <row r="798" spans="1:7" x14ac:dyDescent="0.2">
      <c r="A798">
        <v>8098</v>
      </c>
      <c r="B798" s="106" t="s">
        <v>1629</v>
      </c>
      <c r="C798">
        <v>0.05</v>
      </c>
      <c r="D798">
        <v>0.15</v>
      </c>
      <c r="E798">
        <v>0.05</v>
      </c>
      <c r="F798">
        <v>0.05</v>
      </c>
      <c r="G798">
        <v>0.05</v>
      </c>
    </row>
    <row r="799" spans="1:7" x14ac:dyDescent="0.2">
      <c r="A799">
        <v>8101</v>
      </c>
      <c r="B799" s="106" t="s">
        <v>1630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8103</v>
      </c>
      <c r="B800" s="106" t="s">
        <v>1631</v>
      </c>
      <c r="C800">
        <v>0.05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8111</v>
      </c>
      <c r="B801" s="106" t="s">
        <v>2346</v>
      </c>
      <c r="C801">
        <v>0</v>
      </c>
      <c r="D801">
        <v>0</v>
      </c>
      <c r="E801">
        <v>0</v>
      </c>
      <c r="F801">
        <v>0</v>
      </c>
      <c r="G801" s="106" t="s">
        <v>233</v>
      </c>
    </row>
    <row r="802" spans="1:7" x14ac:dyDescent="0.2">
      <c r="A802">
        <v>8113</v>
      </c>
      <c r="B802" s="106" t="s">
        <v>1632</v>
      </c>
      <c r="C802">
        <v>0.1</v>
      </c>
      <c r="D802">
        <v>0.3</v>
      </c>
      <c r="E802">
        <v>0.1</v>
      </c>
      <c r="F802">
        <v>0</v>
      </c>
      <c r="G802">
        <v>0</v>
      </c>
    </row>
    <row r="803" spans="1:7" x14ac:dyDescent="0.2">
      <c r="A803">
        <v>8114</v>
      </c>
      <c r="B803" s="106" t="s">
        <v>1633</v>
      </c>
      <c r="C803">
        <v>0.05</v>
      </c>
      <c r="D803">
        <v>0.15</v>
      </c>
      <c r="E803">
        <v>0.05</v>
      </c>
      <c r="F803">
        <v>0.05</v>
      </c>
      <c r="G803" s="106">
        <v>0.05</v>
      </c>
    </row>
    <row r="804" spans="1:7" x14ac:dyDescent="0.2">
      <c r="A804">
        <v>8130</v>
      </c>
      <c r="B804" s="106" t="s">
        <v>1634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8131</v>
      </c>
      <c r="B805" s="106" t="s">
        <v>1635</v>
      </c>
      <c r="C805">
        <v>0.05</v>
      </c>
      <c r="D805">
        <v>0.15</v>
      </c>
      <c r="E805">
        <v>0.05</v>
      </c>
      <c r="F805">
        <v>0.05</v>
      </c>
      <c r="G805">
        <v>0.05</v>
      </c>
    </row>
    <row r="806" spans="1:7" x14ac:dyDescent="0.2">
      <c r="A806">
        <v>8132</v>
      </c>
      <c r="B806" s="106" t="s">
        <v>1636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8137</v>
      </c>
      <c r="B807" s="106" t="s">
        <v>1637</v>
      </c>
      <c r="C807">
        <v>0.05</v>
      </c>
      <c r="D807">
        <v>0.15</v>
      </c>
      <c r="E807">
        <v>0.05</v>
      </c>
      <c r="F807">
        <v>0.05</v>
      </c>
      <c r="G807">
        <v>0.05</v>
      </c>
    </row>
    <row r="808" spans="1:7" x14ac:dyDescent="0.2">
      <c r="A808">
        <v>8140</v>
      </c>
      <c r="B808" s="106" t="s">
        <v>1638</v>
      </c>
      <c r="C808">
        <v>0.05</v>
      </c>
      <c r="D808">
        <v>0.15</v>
      </c>
      <c r="E808">
        <v>0.05</v>
      </c>
      <c r="F808" s="106">
        <v>0.05</v>
      </c>
      <c r="G808" s="106">
        <v>0.05</v>
      </c>
    </row>
    <row r="809" spans="1:7" x14ac:dyDescent="0.2">
      <c r="A809">
        <v>8141</v>
      </c>
      <c r="B809" s="106" t="s">
        <v>1639</v>
      </c>
      <c r="C809">
        <v>0.05</v>
      </c>
      <c r="D809">
        <v>0.15</v>
      </c>
      <c r="E809">
        <v>0.05</v>
      </c>
      <c r="F809">
        <v>0.05</v>
      </c>
      <c r="G809">
        <v>0.05</v>
      </c>
    </row>
    <row r="810" spans="1:7" x14ac:dyDescent="0.2">
      <c r="A810">
        <v>8142</v>
      </c>
      <c r="B810" s="106" t="s">
        <v>1640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 x14ac:dyDescent="0.2">
      <c r="A811">
        <v>8150</v>
      </c>
      <c r="B811" s="106" t="s">
        <v>1641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8153</v>
      </c>
      <c r="B812" s="106" t="s">
        <v>1642</v>
      </c>
      <c r="C812">
        <v>0.05</v>
      </c>
      <c r="D812">
        <v>0.3</v>
      </c>
      <c r="E812">
        <v>0.1</v>
      </c>
      <c r="F812">
        <v>0.1</v>
      </c>
      <c r="G812">
        <v>0.1</v>
      </c>
    </row>
    <row r="813" spans="1:7" x14ac:dyDescent="0.2">
      <c r="A813">
        <v>8158</v>
      </c>
      <c r="B813" s="106" t="s">
        <v>1643</v>
      </c>
      <c r="C813">
        <v>0.05</v>
      </c>
      <c r="D813">
        <v>0.15</v>
      </c>
      <c r="E813">
        <v>0.05</v>
      </c>
      <c r="F813">
        <v>0.05</v>
      </c>
      <c r="G813">
        <v>0.05</v>
      </c>
    </row>
    <row r="814" spans="1:7" x14ac:dyDescent="0.2">
      <c r="A814">
        <v>8160</v>
      </c>
      <c r="B814" s="106" t="s">
        <v>1644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8163</v>
      </c>
      <c r="B815" s="106" t="s">
        <v>1645</v>
      </c>
      <c r="C815">
        <v>0.05</v>
      </c>
      <c r="D815">
        <v>0.15</v>
      </c>
      <c r="E815">
        <v>0.05</v>
      </c>
      <c r="F815">
        <v>0.05</v>
      </c>
      <c r="G815">
        <v>0.05</v>
      </c>
    </row>
    <row r="816" spans="1:7" x14ac:dyDescent="0.2">
      <c r="A816">
        <v>8165</v>
      </c>
      <c r="B816" s="106" t="s">
        <v>1646</v>
      </c>
      <c r="C816">
        <v>0.05</v>
      </c>
      <c r="D816">
        <v>0.15</v>
      </c>
      <c r="E816">
        <v>0.05</v>
      </c>
      <c r="F816">
        <v>0</v>
      </c>
      <c r="G816">
        <v>0.05</v>
      </c>
    </row>
    <row r="817" spans="1:7" x14ac:dyDescent="0.2">
      <c r="A817">
        <v>8166</v>
      </c>
      <c r="B817" s="106" t="s">
        <v>2594</v>
      </c>
      <c r="C817">
        <v>0</v>
      </c>
      <c r="D817" t="s">
        <v>233</v>
      </c>
      <c r="E817">
        <v>0</v>
      </c>
      <c r="F817" t="s">
        <v>233</v>
      </c>
      <c r="G817">
        <v>0.05</v>
      </c>
    </row>
    <row r="818" spans="1:7" x14ac:dyDescent="0.2">
      <c r="A818">
        <v>8173</v>
      </c>
      <c r="B818" s="106" t="s">
        <v>1647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8174</v>
      </c>
      <c r="B819" s="106" t="s">
        <v>1648</v>
      </c>
      <c r="C819">
        <v>0.1</v>
      </c>
      <c r="D819">
        <v>0.3</v>
      </c>
      <c r="E819">
        <v>0.1</v>
      </c>
      <c r="F819" s="106">
        <v>0.1</v>
      </c>
      <c r="G819" s="106">
        <v>0.1</v>
      </c>
    </row>
    <row r="820" spans="1:7" x14ac:dyDescent="0.2">
      <c r="A820">
        <v>8179</v>
      </c>
      <c r="B820" s="106" t="s">
        <v>1649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8182</v>
      </c>
      <c r="B821" s="106" t="s">
        <v>1650</v>
      </c>
      <c r="C821">
        <v>0.05</v>
      </c>
      <c r="D821">
        <v>0.15</v>
      </c>
      <c r="E821">
        <v>0.05</v>
      </c>
      <c r="F821">
        <v>0.05</v>
      </c>
      <c r="G821">
        <v>0.05</v>
      </c>
    </row>
    <row r="822" spans="1:7" x14ac:dyDescent="0.2">
      <c r="A822">
        <v>8184</v>
      </c>
      <c r="B822" s="106" t="s">
        <v>1651</v>
      </c>
      <c r="C822">
        <v>0.05</v>
      </c>
      <c r="D822">
        <v>0.15</v>
      </c>
      <c r="E822">
        <v>0.1</v>
      </c>
      <c r="F822">
        <v>0.05</v>
      </c>
      <c r="G822">
        <v>0.05</v>
      </c>
    </row>
    <row r="823" spans="1:7" x14ac:dyDescent="0.2">
      <c r="A823">
        <v>8185</v>
      </c>
      <c r="B823" s="106" t="s">
        <v>1652</v>
      </c>
      <c r="C823">
        <v>0.05</v>
      </c>
      <c r="D823">
        <v>0.15</v>
      </c>
      <c r="E823">
        <v>0.05</v>
      </c>
      <c r="F823">
        <v>0.05</v>
      </c>
      <c r="G823">
        <v>0.05</v>
      </c>
    </row>
    <row r="824" spans="1:7" x14ac:dyDescent="0.2">
      <c r="A824">
        <v>8194</v>
      </c>
      <c r="B824" s="106" t="s">
        <v>1653</v>
      </c>
      <c r="C824">
        <v>0.05</v>
      </c>
      <c r="D824">
        <v>0.15</v>
      </c>
      <c r="E824">
        <v>0.05</v>
      </c>
      <c r="F824">
        <v>0.05</v>
      </c>
      <c r="G824">
        <v>0.05</v>
      </c>
    </row>
    <row r="825" spans="1:7" x14ac:dyDescent="0.2">
      <c r="A825">
        <v>8200</v>
      </c>
      <c r="B825" s="106" t="s">
        <v>1654</v>
      </c>
      <c r="C825">
        <v>0</v>
      </c>
      <c r="D825">
        <v>0</v>
      </c>
      <c r="E825">
        <v>0</v>
      </c>
      <c r="F825">
        <v>0.05</v>
      </c>
      <c r="G825">
        <v>0</v>
      </c>
    </row>
    <row r="826" spans="1:7" x14ac:dyDescent="0.2">
      <c r="A826">
        <v>8203</v>
      </c>
      <c r="B826" s="106" t="s">
        <v>1655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8214</v>
      </c>
      <c r="B827" s="106" t="s">
        <v>1656</v>
      </c>
      <c r="C827">
        <v>0</v>
      </c>
      <c r="D827">
        <v>0.15</v>
      </c>
      <c r="E827">
        <v>0.05</v>
      </c>
      <c r="F827">
        <v>0.05</v>
      </c>
      <c r="G827">
        <v>0.05</v>
      </c>
    </row>
    <row r="828" spans="1:7" x14ac:dyDescent="0.2">
      <c r="A828">
        <v>8217</v>
      </c>
      <c r="B828" s="106" t="s">
        <v>1657</v>
      </c>
      <c r="C828">
        <v>0.05</v>
      </c>
      <c r="D828">
        <v>0.15</v>
      </c>
      <c r="E828">
        <v>0.1</v>
      </c>
      <c r="F828">
        <v>0.1</v>
      </c>
      <c r="G828">
        <v>0.05</v>
      </c>
    </row>
    <row r="829" spans="1:7" x14ac:dyDescent="0.2">
      <c r="A829">
        <v>8227</v>
      </c>
      <c r="B829" s="106" t="s">
        <v>1658</v>
      </c>
      <c r="C829">
        <v>0.2</v>
      </c>
      <c r="D829">
        <v>0.6</v>
      </c>
      <c r="E829">
        <v>0.2</v>
      </c>
      <c r="F829">
        <v>0.15</v>
      </c>
      <c r="G829">
        <v>0.15</v>
      </c>
    </row>
    <row r="830" spans="1:7" x14ac:dyDescent="0.2">
      <c r="A830">
        <v>8230</v>
      </c>
      <c r="B830" s="106" t="s">
        <v>1659</v>
      </c>
      <c r="C830">
        <v>0.05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8237</v>
      </c>
      <c r="B831" s="106" t="s">
        <v>1660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8242</v>
      </c>
      <c r="B832" s="106" t="s">
        <v>1661</v>
      </c>
      <c r="C832">
        <v>0.05</v>
      </c>
      <c r="D832">
        <v>0.15</v>
      </c>
      <c r="E832">
        <v>0.05</v>
      </c>
      <c r="F832">
        <v>0.05</v>
      </c>
      <c r="G832">
        <v>0.05</v>
      </c>
    </row>
    <row r="833" spans="1:7" x14ac:dyDescent="0.2">
      <c r="A833">
        <v>8244</v>
      </c>
      <c r="B833" s="106" t="s">
        <v>1662</v>
      </c>
      <c r="C833">
        <v>0.1</v>
      </c>
      <c r="D833">
        <v>0.3</v>
      </c>
      <c r="E833">
        <v>0.1</v>
      </c>
      <c r="F833">
        <v>0.1</v>
      </c>
      <c r="G833">
        <v>0.1</v>
      </c>
    </row>
    <row r="834" spans="1:7" x14ac:dyDescent="0.2">
      <c r="A834">
        <v>8251</v>
      </c>
      <c r="B834" s="106" t="s">
        <v>1663</v>
      </c>
      <c r="C834">
        <v>0.05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8252</v>
      </c>
      <c r="B835" s="106" t="s">
        <v>1664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8253</v>
      </c>
      <c r="B836" s="106" t="s">
        <v>979</v>
      </c>
      <c r="C836">
        <v>0.05</v>
      </c>
      <c r="D836">
        <v>0.15</v>
      </c>
      <c r="E836">
        <v>0.05</v>
      </c>
      <c r="F836">
        <v>0.05</v>
      </c>
      <c r="G836">
        <v>0.05</v>
      </c>
    </row>
    <row r="837" spans="1:7" x14ac:dyDescent="0.2">
      <c r="A837">
        <v>8267</v>
      </c>
      <c r="B837" s="106" t="s">
        <v>301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 x14ac:dyDescent="0.2">
      <c r="A838">
        <v>8273</v>
      </c>
      <c r="B838" s="106" t="s">
        <v>2347</v>
      </c>
      <c r="C838">
        <v>0</v>
      </c>
      <c r="D838">
        <v>0</v>
      </c>
      <c r="E838" s="106">
        <v>0</v>
      </c>
      <c r="F838">
        <v>0</v>
      </c>
      <c r="G838">
        <v>0</v>
      </c>
    </row>
    <row r="839" spans="1:7" x14ac:dyDescent="0.2">
      <c r="A839">
        <v>8275</v>
      </c>
      <c r="B839" s="106" t="s">
        <v>1665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8276</v>
      </c>
      <c r="B840" s="106" t="s">
        <v>1666</v>
      </c>
      <c r="C840">
        <v>0.05</v>
      </c>
      <c r="D840">
        <v>0.15</v>
      </c>
      <c r="E840">
        <v>0.05</v>
      </c>
      <c r="F840">
        <v>0.05</v>
      </c>
      <c r="G840">
        <v>0.05</v>
      </c>
    </row>
    <row r="841" spans="1:7" x14ac:dyDescent="0.2">
      <c r="A841">
        <v>8278</v>
      </c>
      <c r="B841" s="106" t="s">
        <v>1667</v>
      </c>
      <c r="C841">
        <v>0.05</v>
      </c>
      <c r="D841">
        <v>0.15</v>
      </c>
      <c r="E841">
        <v>0.05</v>
      </c>
      <c r="F841">
        <v>0.05</v>
      </c>
      <c r="G841">
        <v>0.05</v>
      </c>
    </row>
    <row r="842" spans="1:7" x14ac:dyDescent="0.2">
      <c r="A842">
        <v>8279</v>
      </c>
      <c r="B842" s="106" t="s">
        <v>1668</v>
      </c>
      <c r="C842">
        <v>0.1</v>
      </c>
      <c r="D842">
        <v>0.3</v>
      </c>
      <c r="E842">
        <v>0.1</v>
      </c>
      <c r="F842">
        <v>0.1</v>
      </c>
      <c r="G842">
        <v>0.1</v>
      </c>
    </row>
    <row r="843" spans="1:7" x14ac:dyDescent="0.2">
      <c r="A843">
        <v>8281</v>
      </c>
      <c r="B843" s="106" t="s">
        <v>1669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8282</v>
      </c>
      <c r="B844" s="106" t="s">
        <v>1670</v>
      </c>
      <c r="C844">
        <v>0.05</v>
      </c>
      <c r="D844">
        <v>0.15</v>
      </c>
      <c r="E844">
        <v>0.05</v>
      </c>
      <c r="F844">
        <v>0.05</v>
      </c>
      <c r="G844">
        <v>0.05</v>
      </c>
    </row>
    <row r="845" spans="1:7" x14ac:dyDescent="0.2">
      <c r="A845">
        <v>8283</v>
      </c>
      <c r="B845" s="106" t="s">
        <v>1671</v>
      </c>
      <c r="C845">
        <v>0.1</v>
      </c>
      <c r="D845">
        <v>0.3</v>
      </c>
      <c r="E845">
        <v>0</v>
      </c>
      <c r="F845">
        <v>0</v>
      </c>
      <c r="G845">
        <v>0</v>
      </c>
    </row>
    <row r="846" spans="1:7" x14ac:dyDescent="0.2">
      <c r="A846">
        <v>8289</v>
      </c>
      <c r="B846" s="106" t="s">
        <v>1672</v>
      </c>
      <c r="C846">
        <v>0</v>
      </c>
      <c r="D846">
        <v>0</v>
      </c>
      <c r="E846">
        <v>0</v>
      </c>
      <c r="F846" s="106">
        <v>0</v>
      </c>
      <c r="G846" s="106">
        <v>0</v>
      </c>
    </row>
    <row r="847" spans="1:7" x14ac:dyDescent="0.2">
      <c r="A847">
        <v>8303</v>
      </c>
      <c r="B847" s="106" t="s">
        <v>1673</v>
      </c>
      <c r="C847">
        <v>0.05</v>
      </c>
      <c r="D847">
        <v>0</v>
      </c>
      <c r="E847">
        <v>0.05</v>
      </c>
      <c r="F847" s="106">
        <v>0.05</v>
      </c>
      <c r="G847" s="106">
        <v>0.05</v>
      </c>
    </row>
    <row r="848" spans="1:7" x14ac:dyDescent="0.2">
      <c r="A848">
        <v>8304</v>
      </c>
      <c r="B848" s="106" t="s">
        <v>2595</v>
      </c>
      <c r="C848">
        <v>0</v>
      </c>
      <c r="D848" t="s">
        <v>233</v>
      </c>
      <c r="E848" t="s">
        <v>233</v>
      </c>
      <c r="F848" t="s">
        <v>233</v>
      </c>
      <c r="G848" t="s">
        <v>233</v>
      </c>
    </row>
    <row r="849" spans="1:7" x14ac:dyDescent="0.2">
      <c r="A849">
        <v>8308</v>
      </c>
      <c r="B849" s="106" t="s">
        <v>102</v>
      </c>
      <c r="C849">
        <v>0</v>
      </c>
      <c r="D849">
        <v>0</v>
      </c>
      <c r="E849">
        <v>0</v>
      </c>
      <c r="F849" s="106">
        <v>0</v>
      </c>
      <c r="G849">
        <v>0</v>
      </c>
    </row>
    <row r="850" spans="1:7" x14ac:dyDescent="0.2">
      <c r="A850">
        <v>8309</v>
      </c>
      <c r="B850" s="106" t="s">
        <v>1674</v>
      </c>
      <c r="C850">
        <v>0.1</v>
      </c>
      <c r="D850">
        <v>0.3</v>
      </c>
      <c r="E850">
        <v>0.1</v>
      </c>
      <c r="F850" s="106">
        <v>0.1</v>
      </c>
      <c r="G850">
        <v>0.1</v>
      </c>
    </row>
    <row r="851" spans="1:7" x14ac:dyDescent="0.2">
      <c r="A851">
        <v>8316</v>
      </c>
      <c r="B851" s="106" t="s">
        <v>981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8331</v>
      </c>
      <c r="B852" s="106" t="s">
        <v>1675</v>
      </c>
      <c r="C852">
        <v>0.05</v>
      </c>
      <c r="D852">
        <v>0.15</v>
      </c>
      <c r="E852">
        <v>0.05</v>
      </c>
      <c r="F852">
        <v>0.05</v>
      </c>
      <c r="G852">
        <v>0.05</v>
      </c>
    </row>
    <row r="853" spans="1:7" x14ac:dyDescent="0.2">
      <c r="A853">
        <v>8337</v>
      </c>
      <c r="B853" s="106" t="s">
        <v>1676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">
      <c r="A854">
        <v>8338</v>
      </c>
      <c r="B854" s="106" t="s">
        <v>1677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8341</v>
      </c>
      <c r="B855" s="106" t="s">
        <v>1678</v>
      </c>
      <c r="C855">
        <v>0.05</v>
      </c>
      <c r="D855">
        <v>0.15</v>
      </c>
      <c r="E855">
        <v>0.05</v>
      </c>
      <c r="F855">
        <v>0.05</v>
      </c>
      <c r="G855">
        <v>0.05</v>
      </c>
    </row>
    <row r="856" spans="1:7" x14ac:dyDescent="0.2">
      <c r="A856">
        <v>8342</v>
      </c>
      <c r="B856" s="106" t="s">
        <v>1679</v>
      </c>
      <c r="C856">
        <v>0.05</v>
      </c>
      <c r="D856">
        <v>0.15</v>
      </c>
      <c r="E856">
        <v>0.05</v>
      </c>
      <c r="F856">
        <v>0.05</v>
      </c>
      <c r="G856">
        <v>0.05</v>
      </c>
    </row>
    <row r="857" spans="1:7" x14ac:dyDescent="0.2">
      <c r="A857">
        <v>8343</v>
      </c>
      <c r="B857" s="106" t="s">
        <v>1680</v>
      </c>
      <c r="C857">
        <v>0.05</v>
      </c>
      <c r="D857">
        <v>0.15</v>
      </c>
      <c r="E857">
        <v>0.05</v>
      </c>
      <c r="F857" s="106">
        <v>0.05</v>
      </c>
      <c r="G857">
        <v>0.05</v>
      </c>
    </row>
    <row r="858" spans="1:7" x14ac:dyDescent="0.2">
      <c r="A858">
        <v>8344</v>
      </c>
      <c r="B858" s="106" t="s">
        <v>1681</v>
      </c>
      <c r="C858">
        <v>0.05</v>
      </c>
      <c r="D858">
        <v>0.15</v>
      </c>
      <c r="E858">
        <v>0.05</v>
      </c>
      <c r="F858" s="106">
        <v>0.05</v>
      </c>
      <c r="G858">
        <v>0.05</v>
      </c>
    </row>
    <row r="859" spans="1:7" x14ac:dyDescent="0.2">
      <c r="A859">
        <v>8345</v>
      </c>
      <c r="B859" s="106" t="s">
        <v>1682</v>
      </c>
      <c r="C859">
        <v>0.05</v>
      </c>
      <c r="D859">
        <v>0.15</v>
      </c>
      <c r="E859">
        <v>0.05</v>
      </c>
      <c r="F859">
        <v>0.05</v>
      </c>
      <c r="G859">
        <v>0.05</v>
      </c>
    </row>
    <row r="860" spans="1:7" x14ac:dyDescent="0.2">
      <c r="A860">
        <v>8346</v>
      </c>
      <c r="B860" s="106" t="s">
        <v>1683</v>
      </c>
      <c r="C860">
        <v>0.05</v>
      </c>
      <c r="D860" s="106">
        <v>0</v>
      </c>
      <c r="E860">
        <v>0.05</v>
      </c>
      <c r="F860" s="106">
        <v>0</v>
      </c>
      <c r="G860">
        <v>0.05</v>
      </c>
    </row>
    <row r="861" spans="1:7" x14ac:dyDescent="0.2">
      <c r="A861">
        <v>8350</v>
      </c>
      <c r="B861" s="106" t="s">
        <v>1684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8354</v>
      </c>
      <c r="B862" s="106" t="s">
        <v>2348</v>
      </c>
      <c r="C862">
        <v>0.05</v>
      </c>
      <c r="D862">
        <v>0.15</v>
      </c>
      <c r="E862">
        <v>0.05</v>
      </c>
      <c r="F862">
        <v>0.05</v>
      </c>
      <c r="G862">
        <v>0.05</v>
      </c>
    </row>
    <row r="863" spans="1:7" x14ac:dyDescent="0.2">
      <c r="A863">
        <v>8355</v>
      </c>
      <c r="B863" s="106" t="s">
        <v>1685</v>
      </c>
      <c r="C863">
        <v>0</v>
      </c>
      <c r="D863">
        <v>0.15</v>
      </c>
      <c r="E863">
        <v>0.05</v>
      </c>
      <c r="F863">
        <v>0.05</v>
      </c>
      <c r="G863">
        <v>0.05</v>
      </c>
    </row>
    <row r="864" spans="1:7" x14ac:dyDescent="0.2">
      <c r="A864">
        <v>8356</v>
      </c>
      <c r="B864" s="106" t="s">
        <v>1686</v>
      </c>
      <c r="C864">
        <v>0.05</v>
      </c>
      <c r="D864">
        <v>0.15</v>
      </c>
      <c r="E864">
        <v>0.05</v>
      </c>
      <c r="F864">
        <v>0.05</v>
      </c>
      <c r="G864">
        <v>0.05</v>
      </c>
    </row>
    <row r="865" spans="1:7" x14ac:dyDescent="0.2">
      <c r="A865">
        <v>8358</v>
      </c>
      <c r="B865" s="106" t="s">
        <v>1687</v>
      </c>
      <c r="C865">
        <v>0</v>
      </c>
      <c r="D865">
        <v>0</v>
      </c>
      <c r="E865">
        <v>0.05</v>
      </c>
      <c r="F865">
        <v>0</v>
      </c>
      <c r="G865">
        <v>0.05</v>
      </c>
    </row>
    <row r="866" spans="1:7" x14ac:dyDescent="0.2">
      <c r="A866">
        <v>8359</v>
      </c>
      <c r="B866" s="106" t="s">
        <v>1036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8361</v>
      </c>
      <c r="B867" s="106" t="s">
        <v>1688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">
      <c r="A868">
        <v>8362</v>
      </c>
      <c r="B868" s="106" t="s">
        <v>1689</v>
      </c>
      <c r="C868">
        <v>0.05</v>
      </c>
      <c r="D868" s="106">
        <v>0.15</v>
      </c>
      <c r="E868">
        <v>0.05</v>
      </c>
      <c r="F868" s="106">
        <v>0.05</v>
      </c>
      <c r="G868">
        <v>0.05</v>
      </c>
    </row>
    <row r="869" spans="1:7" x14ac:dyDescent="0.2">
      <c r="A869">
        <v>8363</v>
      </c>
      <c r="B869" s="106" t="s">
        <v>1690</v>
      </c>
      <c r="C869">
        <v>0.1</v>
      </c>
      <c r="D869" s="106">
        <v>0.3</v>
      </c>
      <c r="E869">
        <v>0.1</v>
      </c>
      <c r="F869" s="106">
        <v>0.1</v>
      </c>
      <c r="G869">
        <v>0.1</v>
      </c>
    </row>
    <row r="870" spans="1:7" x14ac:dyDescent="0.2">
      <c r="A870">
        <v>8364</v>
      </c>
      <c r="B870" s="106" t="s">
        <v>1691</v>
      </c>
      <c r="C870">
        <v>0.05</v>
      </c>
      <c r="D870" s="106">
        <v>0.15</v>
      </c>
      <c r="E870">
        <v>0.05</v>
      </c>
      <c r="F870" s="106">
        <v>0.05</v>
      </c>
      <c r="G870" s="106">
        <v>0.05</v>
      </c>
    </row>
    <row r="871" spans="1:7" x14ac:dyDescent="0.2">
      <c r="A871">
        <v>8365</v>
      </c>
      <c r="B871" s="106" t="s">
        <v>1692</v>
      </c>
      <c r="C871">
        <v>0.05</v>
      </c>
      <c r="D871">
        <v>0.15</v>
      </c>
      <c r="E871">
        <v>0.05</v>
      </c>
      <c r="F871">
        <v>0.05</v>
      </c>
      <c r="G871">
        <v>0.05</v>
      </c>
    </row>
    <row r="872" spans="1:7" x14ac:dyDescent="0.2">
      <c r="A872">
        <v>8366</v>
      </c>
      <c r="B872" s="106" t="s">
        <v>1693</v>
      </c>
      <c r="C872">
        <v>0.05</v>
      </c>
      <c r="D872">
        <v>0.15</v>
      </c>
      <c r="E872">
        <v>0.05</v>
      </c>
      <c r="F872">
        <v>0.05</v>
      </c>
      <c r="G872">
        <v>0.05</v>
      </c>
    </row>
    <row r="873" spans="1:7" x14ac:dyDescent="0.2">
      <c r="A873">
        <v>8367</v>
      </c>
      <c r="B873" s="106" t="s">
        <v>1694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 x14ac:dyDescent="0.2">
      <c r="A874">
        <v>8368</v>
      </c>
      <c r="B874" s="106" t="s">
        <v>2349</v>
      </c>
      <c r="C874">
        <v>0.05</v>
      </c>
      <c r="D874">
        <v>0.15</v>
      </c>
      <c r="E874">
        <v>0.05</v>
      </c>
      <c r="F874" s="106">
        <v>0</v>
      </c>
      <c r="G874">
        <v>0</v>
      </c>
    </row>
    <row r="875" spans="1:7" x14ac:dyDescent="0.2">
      <c r="A875">
        <v>8369</v>
      </c>
      <c r="B875" s="106" t="s">
        <v>1695</v>
      </c>
      <c r="C875">
        <v>0.1</v>
      </c>
      <c r="D875">
        <v>0.3</v>
      </c>
      <c r="E875">
        <v>0.1</v>
      </c>
      <c r="F875" s="106">
        <v>0.1</v>
      </c>
      <c r="G875">
        <v>0.1</v>
      </c>
    </row>
    <row r="876" spans="1:7" x14ac:dyDescent="0.2">
      <c r="A876">
        <v>8370</v>
      </c>
      <c r="B876" s="106" t="s">
        <v>1696</v>
      </c>
      <c r="C876">
        <v>0.05</v>
      </c>
      <c r="D876">
        <v>0.15</v>
      </c>
      <c r="E876">
        <v>0.05</v>
      </c>
      <c r="F876">
        <v>0.05</v>
      </c>
      <c r="G876">
        <v>0.05</v>
      </c>
    </row>
    <row r="877" spans="1:7" x14ac:dyDescent="0.2">
      <c r="A877">
        <v>8379</v>
      </c>
      <c r="B877" s="106" t="s">
        <v>1697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">
      <c r="A878">
        <v>8382</v>
      </c>
      <c r="B878" s="106" t="s">
        <v>1698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 x14ac:dyDescent="0.2">
      <c r="A879">
        <v>8383</v>
      </c>
      <c r="B879" s="106" t="s">
        <v>1699</v>
      </c>
      <c r="C879">
        <v>0</v>
      </c>
      <c r="D879">
        <v>0</v>
      </c>
      <c r="E879" t="s">
        <v>233</v>
      </c>
      <c r="F879">
        <v>0</v>
      </c>
      <c r="G879">
        <v>0</v>
      </c>
    </row>
    <row r="880" spans="1:7" x14ac:dyDescent="0.2">
      <c r="A880">
        <v>8385</v>
      </c>
      <c r="B880" s="106" t="s">
        <v>1700</v>
      </c>
      <c r="C880">
        <v>0</v>
      </c>
      <c r="D880">
        <v>0</v>
      </c>
      <c r="E880">
        <v>0</v>
      </c>
      <c r="F880" s="106">
        <v>0</v>
      </c>
      <c r="G880" s="106">
        <v>0.05</v>
      </c>
    </row>
    <row r="881" spans="1:7" x14ac:dyDescent="0.2">
      <c r="A881">
        <v>8387</v>
      </c>
      <c r="B881" s="106" t="s">
        <v>1701</v>
      </c>
      <c r="C881">
        <v>0.05</v>
      </c>
      <c r="D881">
        <v>0.15</v>
      </c>
      <c r="E881" s="106">
        <v>0.05</v>
      </c>
      <c r="F881" s="106">
        <v>0.05</v>
      </c>
      <c r="G881" s="106">
        <v>0.05</v>
      </c>
    </row>
    <row r="882" spans="1:7" x14ac:dyDescent="0.2">
      <c r="A882">
        <v>8388</v>
      </c>
      <c r="B882" s="106" t="s">
        <v>1702</v>
      </c>
      <c r="C882">
        <v>0.05</v>
      </c>
      <c r="D882">
        <v>0.15</v>
      </c>
      <c r="E882" s="106">
        <v>0.05</v>
      </c>
      <c r="F882" s="106">
        <v>0.05</v>
      </c>
      <c r="G882" s="106">
        <v>0.05</v>
      </c>
    </row>
    <row r="883" spans="1:7" x14ac:dyDescent="0.2">
      <c r="A883">
        <v>8393</v>
      </c>
      <c r="B883" s="106" t="s">
        <v>1703</v>
      </c>
      <c r="C883">
        <v>0.05</v>
      </c>
      <c r="D883">
        <v>0.15</v>
      </c>
      <c r="E883">
        <v>0.05</v>
      </c>
      <c r="F883">
        <v>0.05</v>
      </c>
      <c r="G883" s="106">
        <v>0.05</v>
      </c>
    </row>
    <row r="884" spans="1:7" x14ac:dyDescent="0.2">
      <c r="A884">
        <v>8395</v>
      </c>
      <c r="B884" s="106" t="s">
        <v>1704</v>
      </c>
      <c r="C884">
        <v>0</v>
      </c>
      <c r="D884">
        <v>0.15</v>
      </c>
      <c r="E884">
        <v>0</v>
      </c>
      <c r="F884">
        <v>0.05</v>
      </c>
      <c r="G884" s="106">
        <v>0</v>
      </c>
    </row>
    <row r="885" spans="1:7" x14ac:dyDescent="0.2">
      <c r="A885">
        <v>8397</v>
      </c>
      <c r="B885" s="106" t="s">
        <v>1705</v>
      </c>
      <c r="C885">
        <v>0.1</v>
      </c>
      <c r="D885">
        <v>0.3</v>
      </c>
      <c r="E885">
        <v>0.1</v>
      </c>
      <c r="F885">
        <v>0.1</v>
      </c>
      <c r="G885" s="106">
        <v>0.1</v>
      </c>
    </row>
    <row r="886" spans="1:7" x14ac:dyDescent="0.2">
      <c r="A886">
        <v>8399</v>
      </c>
      <c r="B886" s="106" t="s">
        <v>1706</v>
      </c>
      <c r="C886">
        <v>0.05</v>
      </c>
      <c r="D886">
        <v>0.15</v>
      </c>
      <c r="E886">
        <v>0.05</v>
      </c>
      <c r="F886">
        <v>0.05</v>
      </c>
      <c r="G886">
        <v>0.05</v>
      </c>
    </row>
    <row r="887" spans="1:7" x14ac:dyDescent="0.2">
      <c r="A887">
        <v>8410</v>
      </c>
      <c r="B887" s="106" t="s">
        <v>1022</v>
      </c>
      <c r="C887">
        <v>0</v>
      </c>
      <c r="D887" s="106">
        <v>0.15</v>
      </c>
      <c r="E887">
        <v>0.05</v>
      </c>
      <c r="F887" s="106">
        <v>0.05</v>
      </c>
      <c r="G887" s="106">
        <v>0.05</v>
      </c>
    </row>
    <row r="888" spans="1:7" x14ac:dyDescent="0.2">
      <c r="A888">
        <v>8416</v>
      </c>
      <c r="B888" s="106" t="s">
        <v>1707</v>
      </c>
      <c r="C888">
        <v>0</v>
      </c>
      <c r="D888" s="106">
        <v>0</v>
      </c>
      <c r="E888">
        <v>0.05</v>
      </c>
      <c r="F888" s="106">
        <v>0</v>
      </c>
      <c r="G888" s="106">
        <v>0.05</v>
      </c>
    </row>
    <row r="889" spans="1:7" x14ac:dyDescent="0.2">
      <c r="A889">
        <v>8418</v>
      </c>
      <c r="B889" s="106" t="s">
        <v>2350</v>
      </c>
      <c r="C889">
        <v>0</v>
      </c>
      <c r="D889">
        <v>0</v>
      </c>
      <c r="E889">
        <v>0</v>
      </c>
      <c r="F889" t="s">
        <v>233</v>
      </c>
      <c r="G889">
        <v>0</v>
      </c>
    </row>
    <row r="890" spans="1:7" x14ac:dyDescent="0.2">
      <c r="A890">
        <v>8424</v>
      </c>
      <c r="B890" s="106" t="s">
        <v>1708</v>
      </c>
      <c r="C890">
        <v>0</v>
      </c>
      <c r="D890">
        <v>0</v>
      </c>
      <c r="E890" t="s">
        <v>233</v>
      </c>
      <c r="F890">
        <v>0</v>
      </c>
      <c r="G890">
        <v>0</v>
      </c>
    </row>
    <row r="891" spans="1:7" x14ac:dyDescent="0.2">
      <c r="A891">
        <v>8439</v>
      </c>
      <c r="B891" s="106" t="s">
        <v>1709</v>
      </c>
      <c r="C891">
        <v>0.1</v>
      </c>
      <c r="D891">
        <v>0.3</v>
      </c>
      <c r="E891">
        <v>0.1</v>
      </c>
      <c r="F891">
        <v>0.1</v>
      </c>
      <c r="G891">
        <v>0.1</v>
      </c>
    </row>
    <row r="892" spans="1:7" x14ac:dyDescent="0.2">
      <c r="A892">
        <v>8521</v>
      </c>
      <c r="B892" s="106" t="s">
        <v>1710</v>
      </c>
      <c r="C892">
        <v>0.05</v>
      </c>
      <c r="D892">
        <v>0.15</v>
      </c>
      <c r="E892">
        <v>0.05</v>
      </c>
      <c r="F892" t="s">
        <v>233</v>
      </c>
      <c r="G892">
        <v>0</v>
      </c>
    </row>
    <row r="893" spans="1:7" x14ac:dyDescent="0.2">
      <c r="A893">
        <v>8522</v>
      </c>
      <c r="B893" s="106" t="s">
        <v>1711</v>
      </c>
      <c r="C893">
        <v>0.05</v>
      </c>
      <c r="D893">
        <v>0.3</v>
      </c>
      <c r="E893">
        <v>0.1</v>
      </c>
      <c r="F893">
        <v>0.1</v>
      </c>
      <c r="G893">
        <v>0.1</v>
      </c>
    </row>
    <row r="894" spans="1:7" x14ac:dyDescent="0.2">
      <c r="A894">
        <v>8530</v>
      </c>
      <c r="B894" s="106" t="s">
        <v>1712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 x14ac:dyDescent="0.2">
      <c r="A895">
        <v>8537</v>
      </c>
      <c r="B895" s="106" t="s">
        <v>1713</v>
      </c>
      <c r="C895">
        <v>0.05</v>
      </c>
      <c r="D895">
        <v>0.15</v>
      </c>
      <c r="E895">
        <v>0.05</v>
      </c>
      <c r="F895">
        <v>0.05</v>
      </c>
      <c r="G895">
        <v>0.05</v>
      </c>
    </row>
    <row r="896" spans="1:7" x14ac:dyDescent="0.2">
      <c r="A896">
        <v>8541</v>
      </c>
      <c r="B896" s="106" t="s">
        <v>1714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 x14ac:dyDescent="0.2">
      <c r="A897">
        <v>8542</v>
      </c>
      <c r="B897" s="106" t="s">
        <v>1715</v>
      </c>
      <c r="C897">
        <v>0.05</v>
      </c>
      <c r="D897">
        <v>0.15</v>
      </c>
      <c r="E897">
        <v>0.05</v>
      </c>
      <c r="F897">
        <v>0.05</v>
      </c>
      <c r="G897">
        <v>0</v>
      </c>
    </row>
    <row r="898" spans="1:7" x14ac:dyDescent="0.2">
      <c r="A898">
        <v>8544</v>
      </c>
      <c r="B898" s="106" t="s">
        <v>1716</v>
      </c>
      <c r="C898">
        <v>0.05</v>
      </c>
      <c r="D898">
        <v>0</v>
      </c>
      <c r="E898" s="106">
        <v>0.05</v>
      </c>
      <c r="F898">
        <v>0</v>
      </c>
      <c r="G898" s="106">
        <v>0</v>
      </c>
    </row>
    <row r="899" spans="1:7" x14ac:dyDescent="0.2">
      <c r="A899">
        <v>8550</v>
      </c>
      <c r="B899" s="106" t="s">
        <v>2596</v>
      </c>
      <c r="C899">
        <v>0</v>
      </c>
      <c r="D899" s="106" t="s">
        <v>233</v>
      </c>
      <c r="E899">
        <v>0</v>
      </c>
      <c r="F899" t="s">
        <v>233</v>
      </c>
      <c r="G899">
        <v>0</v>
      </c>
    </row>
    <row r="900" spans="1:7" x14ac:dyDescent="0.2">
      <c r="A900">
        <v>8551</v>
      </c>
      <c r="B900" s="106" t="s">
        <v>1717</v>
      </c>
      <c r="C900">
        <v>0.05</v>
      </c>
      <c r="D900" s="106">
        <v>0.15</v>
      </c>
      <c r="E900">
        <v>0.05</v>
      </c>
      <c r="F900" s="106">
        <v>0.05</v>
      </c>
      <c r="G900">
        <v>0.05</v>
      </c>
    </row>
    <row r="901" spans="1:7" x14ac:dyDescent="0.2">
      <c r="A901">
        <v>8558</v>
      </c>
      <c r="B901" s="106" t="s">
        <v>1718</v>
      </c>
      <c r="C901">
        <v>0.05</v>
      </c>
      <c r="D901">
        <v>0.15</v>
      </c>
      <c r="E901">
        <v>0.05</v>
      </c>
      <c r="F901">
        <v>0.05</v>
      </c>
      <c r="G901">
        <v>0.05</v>
      </c>
    </row>
    <row r="902" spans="1:7" x14ac:dyDescent="0.2">
      <c r="A902">
        <v>8563</v>
      </c>
      <c r="B902" s="106" t="s">
        <v>1719</v>
      </c>
      <c r="C902">
        <v>0</v>
      </c>
      <c r="D902">
        <v>0.15</v>
      </c>
      <c r="E902" s="106">
        <v>0.05</v>
      </c>
      <c r="F902">
        <v>0.05</v>
      </c>
      <c r="G902">
        <v>0.05</v>
      </c>
    </row>
    <row r="903" spans="1:7" x14ac:dyDescent="0.2">
      <c r="A903">
        <v>8566</v>
      </c>
      <c r="B903" s="106" t="s">
        <v>1720</v>
      </c>
      <c r="C903">
        <v>0.1</v>
      </c>
      <c r="D903">
        <v>0.3</v>
      </c>
      <c r="E903">
        <v>0.1</v>
      </c>
      <c r="F903">
        <v>0.1</v>
      </c>
      <c r="G903">
        <v>0.1</v>
      </c>
    </row>
    <row r="904" spans="1:7" x14ac:dyDescent="0.2">
      <c r="A904">
        <v>8572</v>
      </c>
      <c r="B904" s="106" t="s">
        <v>2597</v>
      </c>
      <c r="C904">
        <v>0</v>
      </c>
      <c r="D904" t="s">
        <v>233</v>
      </c>
      <c r="E904" t="s">
        <v>233</v>
      </c>
      <c r="F904">
        <v>0</v>
      </c>
      <c r="G904" s="106">
        <v>0</v>
      </c>
    </row>
    <row r="905" spans="1:7" x14ac:dyDescent="0.2">
      <c r="A905">
        <v>8584</v>
      </c>
      <c r="B905" s="106" t="s">
        <v>2598</v>
      </c>
      <c r="C905">
        <v>0</v>
      </c>
      <c r="D905" t="s">
        <v>233</v>
      </c>
      <c r="E905">
        <v>0</v>
      </c>
      <c r="F905">
        <v>0</v>
      </c>
      <c r="G905" s="106">
        <v>0</v>
      </c>
    </row>
    <row r="906" spans="1:7" x14ac:dyDescent="0.2">
      <c r="A906">
        <v>8589</v>
      </c>
      <c r="B906" s="106" t="s">
        <v>1721</v>
      </c>
      <c r="C906">
        <v>0</v>
      </c>
      <c r="D906">
        <v>0</v>
      </c>
      <c r="E906">
        <v>0</v>
      </c>
      <c r="F906" s="106">
        <v>0</v>
      </c>
      <c r="G906" s="106">
        <v>0</v>
      </c>
    </row>
    <row r="907" spans="1:7" x14ac:dyDescent="0.2">
      <c r="A907">
        <v>8593</v>
      </c>
      <c r="B907" s="106" t="s">
        <v>308</v>
      </c>
      <c r="C907">
        <v>0</v>
      </c>
      <c r="D907">
        <v>0</v>
      </c>
      <c r="E907">
        <v>0</v>
      </c>
      <c r="F907" s="106">
        <v>0.05</v>
      </c>
      <c r="G907" s="106">
        <v>0.05</v>
      </c>
    </row>
    <row r="908" spans="1:7" x14ac:dyDescent="0.2">
      <c r="A908">
        <v>8595</v>
      </c>
      <c r="B908" s="106" t="s">
        <v>1722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8601</v>
      </c>
      <c r="B909" s="106" t="s">
        <v>27</v>
      </c>
      <c r="C909">
        <v>0</v>
      </c>
      <c r="D909" s="106">
        <v>0.15</v>
      </c>
      <c r="E909">
        <v>0</v>
      </c>
      <c r="F909" s="106">
        <v>0.05</v>
      </c>
      <c r="G909" s="106">
        <v>0.05</v>
      </c>
    </row>
    <row r="910" spans="1:7" x14ac:dyDescent="0.2">
      <c r="A910">
        <v>8604</v>
      </c>
      <c r="B910" s="106" t="s">
        <v>787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8613</v>
      </c>
      <c r="B911" s="106" t="s">
        <v>1723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8614</v>
      </c>
      <c r="B912" s="106" t="s">
        <v>2351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">
      <c r="A913">
        <v>8622</v>
      </c>
      <c r="B913" s="106" t="s">
        <v>1724</v>
      </c>
      <c r="C913">
        <v>0.05</v>
      </c>
      <c r="D913">
        <v>0</v>
      </c>
      <c r="E913">
        <v>0</v>
      </c>
      <c r="F913">
        <v>0</v>
      </c>
      <c r="G913">
        <v>0.05</v>
      </c>
    </row>
    <row r="914" spans="1:7" x14ac:dyDescent="0.2">
      <c r="A914">
        <v>8624</v>
      </c>
      <c r="B914" s="106" t="s">
        <v>1725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8628</v>
      </c>
      <c r="B915" s="106" t="s">
        <v>1726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">
      <c r="A916">
        <v>8630</v>
      </c>
      <c r="B916" s="106" t="s">
        <v>1727</v>
      </c>
      <c r="C916">
        <v>0.1</v>
      </c>
      <c r="D916">
        <v>0.3</v>
      </c>
      <c r="E916">
        <v>0.1</v>
      </c>
      <c r="F916">
        <v>0.05</v>
      </c>
      <c r="G916">
        <v>0.1</v>
      </c>
    </row>
    <row r="917" spans="1:7" x14ac:dyDescent="0.2">
      <c r="A917">
        <v>8692</v>
      </c>
      <c r="B917" s="106" t="s">
        <v>1728</v>
      </c>
      <c r="C917">
        <v>0</v>
      </c>
      <c r="D917">
        <v>0</v>
      </c>
      <c r="E917" t="s">
        <v>233</v>
      </c>
      <c r="F917">
        <v>0</v>
      </c>
      <c r="G917">
        <v>0</v>
      </c>
    </row>
    <row r="918" spans="1:7" x14ac:dyDescent="0.2">
      <c r="A918">
        <v>8697</v>
      </c>
      <c r="B918" s="106" t="s">
        <v>1729</v>
      </c>
      <c r="C918">
        <v>0.05</v>
      </c>
      <c r="D918">
        <v>0.15</v>
      </c>
      <c r="E918">
        <v>0.05</v>
      </c>
      <c r="F918">
        <v>0.05</v>
      </c>
      <c r="G918" s="106">
        <v>0.05</v>
      </c>
    </row>
    <row r="919" spans="1:7" x14ac:dyDescent="0.2">
      <c r="A919">
        <v>8698</v>
      </c>
      <c r="B919" s="106" t="s">
        <v>1730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8708</v>
      </c>
      <c r="B920" s="106" t="s">
        <v>1731</v>
      </c>
      <c r="C920">
        <v>0.05</v>
      </c>
      <c r="D920">
        <v>0.15</v>
      </c>
      <c r="E920" s="106">
        <v>0.05</v>
      </c>
      <c r="F920" s="106">
        <v>0.05</v>
      </c>
      <c r="G920" s="106">
        <v>0.05</v>
      </c>
    </row>
    <row r="921" spans="1:7" x14ac:dyDescent="0.2">
      <c r="A921">
        <v>8714</v>
      </c>
      <c r="B921" s="106" t="s">
        <v>1732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8715</v>
      </c>
      <c r="B922" s="106" t="s">
        <v>1733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8725</v>
      </c>
      <c r="B923" s="106" t="s">
        <v>1734</v>
      </c>
      <c r="C923">
        <v>0.05</v>
      </c>
      <c r="D923">
        <v>0</v>
      </c>
      <c r="E923">
        <v>0.05</v>
      </c>
      <c r="F923">
        <v>0.1</v>
      </c>
      <c r="G923">
        <v>0.05</v>
      </c>
    </row>
    <row r="924" spans="1:7" x14ac:dyDescent="0.2">
      <c r="A924">
        <v>8729</v>
      </c>
      <c r="B924" s="106" t="s">
        <v>1735</v>
      </c>
      <c r="C924">
        <v>0.05</v>
      </c>
      <c r="D924">
        <v>0.15</v>
      </c>
      <c r="E924">
        <v>0.05</v>
      </c>
      <c r="F924">
        <v>0.05</v>
      </c>
      <c r="G924">
        <v>0.05</v>
      </c>
    </row>
    <row r="925" spans="1:7" x14ac:dyDescent="0.2">
      <c r="A925">
        <v>8750</v>
      </c>
      <c r="B925" s="106" t="s">
        <v>32</v>
      </c>
      <c r="C925">
        <v>0.05</v>
      </c>
      <c r="D925">
        <v>0</v>
      </c>
      <c r="E925">
        <v>0.05</v>
      </c>
      <c r="F925" t="s">
        <v>233</v>
      </c>
      <c r="G925" t="s">
        <v>233</v>
      </c>
    </row>
    <row r="926" spans="1:7" x14ac:dyDescent="0.2">
      <c r="A926">
        <v>8766</v>
      </c>
      <c r="B926" s="106" t="s">
        <v>1736</v>
      </c>
      <c r="C926">
        <v>0.1</v>
      </c>
      <c r="D926" s="106">
        <v>0.3</v>
      </c>
      <c r="E926">
        <v>0.1</v>
      </c>
      <c r="F926">
        <v>0.1</v>
      </c>
      <c r="G926">
        <v>0.1</v>
      </c>
    </row>
    <row r="927" spans="1:7" x14ac:dyDescent="0.2">
      <c r="A927">
        <v>8795</v>
      </c>
      <c r="B927" s="106" t="s">
        <v>134</v>
      </c>
      <c r="C927">
        <v>0.05</v>
      </c>
      <c r="D927">
        <v>0.15</v>
      </c>
      <c r="E927">
        <v>0.05</v>
      </c>
      <c r="F927">
        <v>0.05</v>
      </c>
      <c r="G927">
        <v>0.05</v>
      </c>
    </row>
    <row r="928" spans="1:7" x14ac:dyDescent="0.2">
      <c r="A928">
        <v>8798</v>
      </c>
      <c r="B928" s="106" t="s">
        <v>1737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8801</v>
      </c>
      <c r="B929" s="106" t="s">
        <v>2599</v>
      </c>
      <c r="C929">
        <v>0.05</v>
      </c>
      <c r="D929" t="s">
        <v>233</v>
      </c>
      <c r="E929">
        <v>0.05</v>
      </c>
      <c r="F929">
        <v>0.05</v>
      </c>
      <c r="G929">
        <v>0</v>
      </c>
    </row>
    <row r="930" spans="1:7" x14ac:dyDescent="0.2">
      <c r="A930">
        <v>8803</v>
      </c>
      <c r="B930" s="106" t="s">
        <v>1738</v>
      </c>
      <c r="C930">
        <v>0.05</v>
      </c>
      <c r="D930">
        <v>0.15</v>
      </c>
      <c r="E930">
        <v>0.05</v>
      </c>
      <c r="F930" s="106">
        <v>0.05</v>
      </c>
      <c r="G930">
        <v>0.05</v>
      </c>
    </row>
    <row r="931" spans="1:7" x14ac:dyDescent="0.2">
      <c r="A931">
        <v>8804</v>
      </c>
      <c r="B931" s="106" t="s">
        <v>1739</v>
      </c>
      <c r="C931">
        <v>0.05</v>
      </c>
      <c r="D931">
        <v>0.15</v>
      </c>
      <c r="E931">
        <v>0.05</v>
      </c>
      <c r="F931" s="106">
        <v>0.05</v>
      </c>
      <c r="G931">
        <v>0.05</v>
      </c>
    </row>
    <row r="932" spans="1:7" x14ac:dyDescent="0.2">
      <c r="A932">
        <v>8850</v>
      </c>
      <c r="B932" s="106" t="s">
        <v>2352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8871</v>
      </c>
      <c r="B933" s="106" t="s">
        <v>1740</v>
      </c>
      <c r="C933">
        <v>0</v>
      </c>
      <c r="D933">
        <v>0.15</v>
      </c>
      <c r="E933" t="s">
        <v>233</v>
      </c>
      <c r="F933">
        <v>0.05</v>
      </c>
      <c r="G933" t="s">
        <v>233</v>
      </c>
    </row>
    <row r="934" spans="1:7" x14ac:dyDescent="0.2">
      <c r="A934">
        <v>8876</v>
      </c>
      <c r="B934" s="106" t="s">
        <v>1741</v>
      </c>
      <c r="C934">
        <v>0.05</v>
      </c>
      <c r="D934">
        <v>0.15</v>
      </c>
      <c r="E934" s="106">
        <v>0.05</v>
      </c>
      <c r="F934" s="106">
        <v>0.05</v>
      </c>
      <c r="G934" s="106">
        <v>0.05</v>
      </c>
    </row>
    <row r="935" spans="1:7" x14ac:dyDescent="0.2">
      <c r="A935">
        <v>8892</v>
      </c>
      <c r="B935" s="106" t="s">
        <v>1742</v>
      </c>
      <c r="C935">
        <v>0</v>
      </c>
      <c r="D935">
        <v>0.15</v>
      </c>
      <c r="E935">
        <v>0</v>
      </c>
      <c r="F935">
        <v>0.05</v>
      </c>
      <c r="G935">
        <v>0</v>
      </c>
    </row>
    <row r="936" spans="1:7" x14ac:dyDescent="0.2">
      <c r="A936">
        <v>8897</v>
      </c>
      <c r="B936" s="106" t="s">
        <v>1743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">
      <c r="A937">
        <v>8904</v>
      </c>
      <c r="B937" s="106" t="s">
        <v>1744</v>
      </c>
      <c r="C937">
        <v>0.05</v>
      </c>
      <c r="D937">
        <v>0.15</v>
      </c>
      <c r="E937">
        <v>0.05</v>
      </c>
      <c r="F937">
        <v>0</v>
      </c>
      <c r="G937">
        <v>0.05</v>
      </c>
    </row>
    <row r="938" spans="1:7" x14ac:dyDescent="0.2">
      <c r="A938">
        <v>8917</v>
      </c>
      <c r="B938" s="106" t="s">
        <v>1745</v>
      </c>
      <c r="C938">
        <v>0</v>
      </c>
      <c r="D938">
        <v>0.15</v>
      </c>
      <c r="E938">
        <v>0</v>
      </c>
      <c r="F938" t="s">
        <v>233</v>
      </c>
      <c r="G938">
        <v>0.05</v>
      </c>
    </row>
    <row r="939" spans="1:7" x14ac:dyDescent="0.2">
      <c r="A939">
        <v>8920</v>
      </c>
      <c r="B939" s="106" t="s">
        <v>2353</v>
      </c>
      <c r="C939">
        <v>0</v>
      </c>
      <c r="D939">
        <v>0</v>
      </c>
      <c r="E939">
        <v>0</v>
      </c>
      <c r="F939" t="s">
        <v>233</v>
      </c>
      <c r="G939" t="s">
        <v>233</v>
      </c>
    </row>
    <row r="940" spans="1:7" x14ac:dyDescent="0.2">
      <c r="A940">
        <v>8923</v>
      </c>
      <c r="B940" s="106" t="s">
        <v>1746</v>
      </c>
      <c r="C940">
        <v>0.05</v>
      </c>
      <c r="D940">
        <v>0.15</v>
      </c>
      <c r="E940">
        <v>0.05</v>
      </c>
      <c r="F940">
        <v>0.05</v>
      </c>
      <c r="G940">
        <v>0.05</v>
      </c>
    </row>
    <row r="941" spans="1:7" x14ac:dyDescent="0.2">
      <c r="A941">
        <v>8928</v>
      </c>
      <c r="B941" s="106" t="s">
        <v>1747</v>
      </c>
      <c r="C941">
        <v>0.1</v>
      </c>
      <c r="D941">
        <v>0.3</v>
      </c>
      <c r="E941">
        <v>0.05</v>
      </c>
      <c r="F941">
        <v>0.1</v>
      </c>
      <c r="G941" s="106">
        <v>0.05</v>
      </c>
    </row>
    <row r="942" spans="1:7" x14ac:dyDescent="0.2">
      <c r="A942">
        <v>8940</v>
      </c>
      <c r="B942" s="106" t="s">
        <v>1748</v>
      </c>
      <c r="C942">
        <v>0.05</v>
      </c>
      <c r="D942" s="106">
        <v>0.15</v>
      </c>
      <c r="E942">
        <v>0.05</v>
      </c>
      <c r="F942" s="106">
        <v>0.05</v>
      </c>
      <c r="G942">
        <v>0.05</v>
      </c>
    </row>
    <row r="943" spans="1:7" x14ac:dyDescent="0.2">
      <c r="A943">
        <v>8999</v>
      </c>
      <c r="B943" s="106" t="s">
        <v>1749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9001</v>
      </c>
      <c r="B944" s="106" t="s">
        <v>1750</v>
      </c>
      <c r="C944">
        <v>0.1</v>
      </c>
      <c r="D944" s="106">
        <v>0.3</v>
      </c>
      <c r="E944" s="106">
        <v>0.1</v>
      </c>
      <c r="F944" s="106">
        <v>0.1</v>
      </c>
      <c r="G944" s="106">
        <v>0.1</v>
      </c>
    </row>
    <row r="945" spans="1:7" x14ac:dyDescent="0.2">
      <c r="A945">
        <v>9005</v>
      </c>
      <c r="B945" s="106" t="s">
        <v>1751</v>
      </c>
      <c r="C945">
        <v>0.05</v>
      </c>
      <c r="D945">
        <v>0.15</v>
      </c>
      <c r="E945">
        <v>0.05</v>
      </c>
      <c r="F945">
        <v>0.05</v>
      </c>
      <c r="G945">
        <v>0.05</v>
      </c>
    </row>
    <row r="946" spans="1:7" x14ac:dyDescent="0.2">
      <c r="A946">
        <v>9006</v>
      </c>
      <c r="B946" s="106" t="s">
        <v>1752</v>
      </c>
      <c r="C946">
        <v>0.05</v>
      </c>
      <c r="D946">
        <v>0.15</v>
      </c>
      <c r="E946">
        <v>0.05</v>
      </c>
      <c r="F946">
        <v>0.05</v>
      </c>
      <c r="G946">
        <v>0.05</v>
      </c>
    </row>
    <row r="947" spans="1:7" x14ac:dyDescent="0.2">
      <c r="A947">
        <v>9007</v>
      </c>
      <c r="B947" s="106" t="s">
        <v>1753</v>
      </c>
      <c r="C947">
        <v>0.05</v>
      </c>
      <c r="D947">
        <v>0.15</v>
      </c>
      <c r="E947">
        <v>0.05</v>
      </c>
      <c r="F947">
        <v>0.05</v>
      </c>
      <c r="G947">
        <v>0.05</v>
      </c>
    </row>
    <row r="948" spans="1:7" x14ac:dyDescent="0.2">
      <c r="A948">
        <v>9008</v>
      </c>
      <c r="B948" s="106" t="s">
        <v>1754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9009</v>
      </c>
      <c r="B949" s="106" t="s">
        <v>1755</v>
      </c>
      <c r="C949">
        <v>0.1</v>
      </c>
      <c r="D949">
        <v>0.3</v>
      </c>
      <c r="E949" s="106">
        <v>0.1</v>
      </c>
      <c r="F949" s="106">
        <v>0.1</v>
      </c>
      <c r="G949" s="106">
        <v>0.1</v>
      </c>
    </row>
    <row r="950" spans="1:7" x14ac:dyDescent="0.2">
      <c r="A950">
        <v>9010</v>
      </c>
      <c r="B950" s="106" t="s">
        <v>1756</v>
      </c>
      <c r="C950">
        <v>0.1</v>
      </c>
      <c r="D950">
        <v>0.3</v>
      </c>
      <c r="E950">
        <v>0.1</v>
      </c>
      <c r="F950">
        <v>0.1</v>
      </c>
      <c r="G950">
        <v>0.1</v>
      </c>
    </row>
    <row r="951" spans="1:7" x14ac:dyDescent="0.2">
      <c r="A951">
        <v>9014</v>
      </c>
      <c r="B951" s="106" t="s">
        <v>1757</v>
      </c>
      <c r="C951">
        <v>0.05</v>
      </c>
      <c r="D951">
        <v>0.15</v>
      </c>
      <c r="E951">
        <v>0.05</v>
      </c>
      <c r="F951">
        <v>0.05</v>
      </c>
      <c r="G951">
        <v>0.05</v>
      </c>
    </row>
    <row r="952" spans="1:7" x14ac:dyDescent="0.2">
      <c r="A952">
        <v>9021</v>
      </c>
      <c r="B952" s="106" t="s">
        <v>1758</v>
      </c>
      <c r="C952">
        <v>0.2</v>
      </c>
      <c r="D952">
        <v>0.6</v>
      </c>
      <c r="E952" s="106">
        <v>0.2</v>
      </c>
      <c r="F952" s="106">
        <v>0.2</v>
      </c>
      <c r="G952" s="106">
        <v>0.2</v>
      </c>
    </row>
    <row r="953" spans="1:7" x14ac:dyDescent="0.2">
      <c r="A953">
        <v>9031</v>
      </c>
      <c r="B953" s="106" t="s">
        <v>1759</v>
      </c>
      <c r="C953">
        <v>0.05</v>
      </c>
      <c r="D953">
        <v>0.15</v>
      </c>
      <c r="E953">
        <v>0.05</v>
      </c>
      <c r="F953">
        <v>0.05</v>
      </c>
      <c r="G953">
        <v>0.05</v>
      </c>
    </row>
    <row r="954" spans="1:7" x14ac:dyDescent="0.2">
      <c r="A954">
        <v>9039</v>
      </c>
      <c r="B954" s="106" t="s">
        <v>1760</v>
      </c>
      <c r="C954">
        <v>0.15</v>
      </c>
      <c r="D954">
        <v>0.45</v>
      </c>
      <c r="E954">
        <v>0.15</v>
      </c>
      <c r="F954">
        <v>0.15</v>
      </c>
      <c r="G954">
        <v>0.15</v>
      </c>
    </row>
    <row r="955" spans="1:7" x14ac:dyDescent="0.2">
      <c r="A955">
        <v>9041</v>
      </c>
      <c r="B955" s="106" t="s">
        <v>1761</v>
      </c>
      <c r="C955">
        <v>0.1</v>
      </c>
      <c r="D955">
        <v>0.3</v>
      </c>
      <c r="E955">
        <v>0.1</v>
      </c>
      <c r="F955">
        <v>0.1</v>
      </c>
      <c r="G955">
        <v>0.1</v>
      </c>
    </row>
    <row r="956" spans="1:7" x14ac:dyDescent="0.2">
      <c r="A956">
        <v>9042</v>
      </c>
      <c r="B956" s="106" t="s">
        <v>1762</v>
      </c>
      <c r="C956">
        <v>0.1</v>
      </c>
      <c r="D956" s="106">
        <v>0.3</v>
      </c>
      <c r="E956">
        <v>0.1</v>
      </c>
      <c r="F956" s="106">
        <v>0.1</v>
      </c>
      <c r="G956">
        <v>0.1</v>
      </c>
    </row>
    <row r="957" spans="1:7" x14ac:dyDescent="0.2">
      <c r="A957">
        <v>9044</v>
      </c>
      <c r="B957" s="106" t="s">
        <v>1763</v>
      </c>
      <c r="C957">
        <v>0</v>
      </c>
      <c r="D957">
        <v>0</v>
      </c>
      <c r="E957">
        <v>0</v>
      </c>
      <c r="F957">
        <v>0</v>
      </c>
      <c r="G957">
        <v>0.05</v>
      </c>
    </row>
    <row r="958" spans="1:7" x14ac:dyDescent="0.2">
      <c r="A958">
        <v>9045</v>
      </c>
      <c r="B958" s="106" t="s">
        <v>1764</v>
      </c>
      <c r="C958">
        <v>0.1</v>
      </c>
      <c r="D958">
        <v>0.3</v>
      </c>
      <c r="E958">
        <v>0.1</v>
      </c>
      <c r="F958">
        <v>0.1</v>
      </c>
      <c r="G958">
        <v>0.1</v>
      </c>
    </row>
    <row r="959" spans="1:7" x14ac:dyDescent="0.2">
      <c r="A959">
        <v>9046</v>
      </c>
      <c r="B959" s="106" t="s">
        <v>1765</v>
      </c>
      <c r="C959">
        <v>0.1</v>
      </c>
      <c r="D959">
        <v>0.3</v>
      </c>
      <c r="E959">
        <v>0.1</v>
      </c>
      <c r="F959" s="106">
        <v>0.1</v>
      </c>
      <c r="G959">
        <v>0.1</v>
      </c>
    </row>
    <row r="960" spans="1:7" x14ac:dyDescent="0.2">
      <c r="A960">
        <v>9048</v>
      </c>
      <c r="B960" s="106" t="s">
        <v>1766</v>
      </c>
      <c r="C960">
        <v>0.1</v>
      </c>
      <c r="D960">
        <v>0.3</v>
      </c>
      <c r="E960">
        <v>0.1</v>
      </c>
      <c r="F960" s="106">
        <v>0.05</v>
      </c>
      <c r="G960">
        <v>0.1</v>
      </c>
    </row>
    <row r="961" spans="1:7" x14ac:dyDescent="0.2">
      <c r="A961">
        <v>9052</v>
      </c>
      <c r="B961" s="106" t="s">
        <v>1767</v>
      </c>
      <c r="C961">
        <v>0.05</v>
      </c>
      <c r="D961">
        <v>0.15</v>
      </c>
      <c r="E961">
        <v>0.05</v>
      </c>
      <c r="F961">
        <v>0.05</v>
      </c>
      <c r="G961">
        <v>0.05</v>
      </c>
    </row>
    <row r="962" spans="1:7" x14ac:dyDescent="0.2">
      <c r="A962">
        <v>9058</v>
      </c>
      <c r="B962" s="106" t="s">
        <v>1768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9062</v>
      </c>
      <c r="B963" s="106" t="s">
        <v>785</v>
      </c>
      <c r="C963">
        <v>0.15</v>
      </c>
      <c r="D963">
        <v>0.45</v>
      </c>
      <c r="E963">
        <v>0.15</v>
      </c>
      <c r="F963" s="106">
        <v>0.15</v>
      </c>
      <c r="G963">
        <v>0.15</v>
      </c>
    </row>
    <row r="964" spans="1:7" x14ac:dyDescent="0.2">
      <c r="A964">
        <v>9065</v>
      </c>
      <c r="B964" s="106" t="s">
        <v>1769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9066</v>
      </c>
      <c r="B965" s="106" t="s">
        <v>1770</v>
      </c>
      <c r="C965">
        <v>0</v>
      </c>
      <c r="D965">
        <v>0</v>
      </c>
      <c r="E965" s="106">
        <v>0</v>
      </c>
      <c r="F965">
        <v>0</v>
      </c>
      <c r="G965" s="106">
        <v>0</v>
      </c>
    </row>
    <row r="966" spans="1:7" x14ac:dyDescent="0.2">
      <c r="A966">
        <v>9069</v>
      </c>
      <c r="B966" s="106" t="s">
        <v>1771</v>
      </c>
      <c r="C966">
        <v>0</v>
      </c>
      <c r="D966" s="106">
        <v>0</v>
      </c>
      <c r="E966" t="s">
        <v>233</v>
      </c>
      <c r="F966">
        <v>0</v>
      </c>
      <c r="G966">
        <v>0.05</v>
      </c>
    </row>
    <row r="967" spans="1:7" x14ac:dyDescent="0.2">
      <c r="A967">
        <v>9070</v>
      </c>
      <c r="B967" s="106" t="s">
        <v>1772</v>
      </c>
      <c r="C967">
        <v>0.1</v>
      </c>
      <c r="D967" s="106">
        <v>0.3</v>
      </c>
      <c r="E967">
        <v>0.1</v>
      </c>
      <c r="F967">
        <v>0.1</v>
      </c>
      <c r="G967">
        <v>0.1</v>
      </c>
    </row>
    <row r="968" spans="1:7" x14ac:dyDescent="0.2">
      <c r="A968">
        <v>9075</v>
      </c>
      <c r="B968" s="106" t="s">
        <v>1773</v>
      </c>
      <c r="C968">
        <v>0.1</v>
      </c>
      <c r="D968">
        <v>0.15</v>
      </c>
      <c r="E968">
        <v>0.1</v>
      </c>
      <c r="F968">
        <v>0.1</v>
      </c>
      <c r="G968">
        <v>0.1</v>
      </c>
    </row>
    <row r="969" spans="1:7" x14ac:dyDescent="0.2">
      <c r="A969">
        <v>9076</v>
      </c>
      <c r="B969" s="106" t="s">
        <v>1774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">
      <c r="A970">
        <v>9090</v>
      </c>
      <c r="B970" s="106" t="s">
        <v>1775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 x14ac:dyDescent="0.2">
      <c r="A971">
        <v>9099</v>
      </c>
      <c r="B971" s="106" t="s">
        <v>1776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9101</v>
      </c>
      <c r="B972" s="106" t="s">
        <v>1777</v>
      </c>
      <c r="C972">
        <v>0.05</v>
      </c>
      <c r="D972">
        <v>0.15</v>
      </c>
      <c r="E972">
        <v>0.05</v>
      </c>
      <c r="F972">
        <v>0.05</v>
      </c>
      <c r="G972">
        <v>0.05</v>
      </c>
    </row>
    <row r="973" spans="1:7" x14ac:dyDescent="0.2">
      <c r="A973">
        <v>9104</v>
      </c>
      <c r="B973" s="106" t="s">
        <v>1778</v>
      </c>
      <c r="C973">
        <v>0.05</v>
      </c>
      <c r="D973">
        <v>0.15</v>
      </c>
      <c r="E973">
        <v>0.1</v>
      </c>
      <c r="F973">
        <v>0.05</v>
      </c>
      <c r="G973">
        <v>0.05</v>
      </c>
    </row>
    <row r="974" spans="1:7" x14ac:dyDescent="0.2">
      <c r="A974">
        <v>9107</v>
      </c>
      <c r="B974" s="106" t="s">
        <v>1779</v>
      </c>
      <c r="C974">
        <v>0</v>
      </c>
      <c r="D974">
        <v>0</v>
      </c>
      <c r="E974">
        <v>0.05</v>
      </c>
      <c r="F974">
        <v>0</v>
      </c>
      <c r="G974">
        <v>0</v>
      </c>
    </row>
    <row r="975" spans="1:7" x14ac:dyDescent="0.2">
      <c r="A975">
        <v>9130</v>
      </c>
      <c r="B975" s="106" t="s">
        <v>1780</v>
      </c>
      <c r="C975">
        <v>0.05</v>
      </c>
      <c r="D975">
        <v>0.15</v>
      </c>
      <c r="E975">
        <v>0.05</v>
      </c>
      <c r="F975">
        <v>0.05</v>
      </c>
      <c r="G975">
        <v>0.05</v>
      </c>
    </row>
    <row r="976" spans="1:7" x14ac:dyDescent="0.2">
      <c r="A976">
        <v>9142</v>
      </c>
      <c r="B976" s="106" t="s">
        <v>1781</v>
      </c>
      <c r="C976">
        <v>0.1</v>
      </c>
      <c r="D976" s="106">
        <v>0.3</v>
      </c>
      <c r="E976">
        <v>0.1</v>
      </c>
      <c r="F976" s="106">
        <v>0.1</v>
      </c>
      <c r="G976">
        <v>0.1</v>
      </c>
    </row>
    <row r="977" spans="1:7" x14ac:dyDescent="0.2">
      <c r="A977">
        <v>9232</v>
      </c>
      <c r="B977" s="106" t="s">
        <v>1782</v>
      </c>
      <c r="C977">
        <v>0.05</v>
      </c>
      <c r="D977" s="106">
        <v>0.15</v>
      </c>
      <c r="E977">
        <v>0.05</v>
      </c>
      <c r="F977" s="106">
        <v>0.05</v>
      </c>
      <c r="G977">
        <v>0.05</v>
      </c>
    </row>
    <row r="978" spans="1:7" x14ac:dyDescent="0.2">
      <c r="A978">
        <v>9260</v>
      </c>
      <c r="B978" s="106" t="s">
        <v>1783</v>
      </c>
      <c r="C978">
        <v>0.1</v>
      </c>
      <c r="D978">
        <v>0.3</v>
      </c>
      <c r="E978" s="106">
        <v>0.1</v>
      </c>
      <c r="F978" s="106">
        <v>0.1</v>
      </c>
      <c r="G978" s="106">
        <v>0.1</v>
      </c>
    </row>
    <row r="979" spans="1:7" x14ac:dyDescent="0.2">
      <c r="A979">
        <v>9267</v>
      </c>
      <c r="B979" s="106" t="s">
        <v>1784</v>
      </c>
      <c r="C979">
        <v>0.05</v>
      </c>
      <c r="D979" s="106">
        <v>3.6</v>
      </c>
      <c r="E979">
        <v>0.1</v>
      </c>
      <c r="F979">
        <v>0.05</v>
      </c>
      <c r="G979">
        <v>0.05</v>
      </c>
    </row>
    <row r="980" spans="1:7" x14ac:dyDescent="0.2">
      <c r="A980">
        <v>9277</v>
      </c>
      <c r="B980" s="106" t="s">
        <v>1785</v>
      </c>
      <c r="C980">
        <v>0</v>
      </c>
      <c r="D980">
        <v>0.15</v>
      </c>
      <c r="E980">
        <v>0</v>
      </c>
      <c r="F980">
        <v>0</v>
      </c>
      <c r="G980">
        <v>0</v>
      </c>
    </row>
    <row r="981" spans="1:7" x14ac:dyDescent="0.2">
      <c r="A981">
        <v>9303</v>
      </c>
      <c r="B981" s="106" t="s">
        <v>1786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">
      <c r="A982">
        <v>9306</v>
      </c>
      <c r="B982" s="106" t="s">
        <v>1787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9308</v>
      </c>
      <c r="B983" s="106" t="s">
        <v>1788</v>
      </c>
      <c r="C983">
        <v>0.05</v>
      </c>
      <c r="D983">
        <v>0.15</v>
      </c>
      <c r="E983">
        <v>0.05</v>
      </c>
      <c r="F983">
        <v>0.05</v>
      </c>
      <c r="G983" s="106">
        <v>0.05</v>
      </c>
    </row>
    <row r="984" spans="1:7" x14ac:dyDescent="0.2">
      <c r="A984">
        <v>9310</v>
      </c>
      <c r="B984" s="106" t="s">
        <v>1789</v>
      </c>
      <c r="C984">
        <v>0</v>
      </c>
      <c r="D984">
        <v>0</v>
      </c>
      <c r="E984">
        <v>0</v>
      </c>
      <c r="F984" s="106">
        <v>0</v>
      </c>
      <c r="G984" s="106">
        <v>0</v>
      </c>
    </row>
    <row r="985" spans="1:7" x14ac:dyDescent="0.2">
      <c r="A985">
        <v>9319</v>
      </c>
      <c r="B985" s="106" t="s">
        <v>2600</v>
      </c>
      <c r="C985">
        <v>0.05</v>
      </c>
      <c r="D985" t="s">
        <v>233</v>
      </c>
      <c r="E985" t="s">
        <v>233</v>
      </c>
      <c r="F985" s="106">
        <v>0.05</v>
      </c>
      <c r="G985" s="106" t="s">
        <v>233</v>
      </c>
    </row>
    <row r="986" spans="1:7" x14ac:dyDescent="0.2">
      <c r="A986">
        <v>9351</v>
      </c>
      <c r="B986" s="106" t="s">
        <v>1790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">
      <c r="A987">
        <v>9366</v>
      </c>
      <c r="B987" s="106" t="s">
        <v>1791</v>
      </c>
      <c r="C987">
        <v>0</v>
      </c>
      <c r="D987">
        <v>0</v>
      </c>
      <c r="E987" t="s">
        <v>233</v>
      </c>
      <c r="F987">
        <v>0</v>
      </c>
      <c r="G987" t="s">
        <v>233</v>
      </c>
    </row>
    <row r="988" spans="1:7" x14ac:dyDescent="0.2">
      <c r="A988">
        <v>9375</v>
      </c>
      <c r="B988" s="106" t="s">
        <v>1792</v>
      </c>
      <c r="C988">
        <v>0.05</v>
      </c>
      <c r="D988" s="106">
        <v>0.15</v>
      </c>
      <c r="E988">
        <v>0.05</v>
      </c>
      <c r="F988">
        <v>0.05</v>
      </c>
      <c r="G988">
        <v>0.05</v>
      </c>
    </row>
    <row r="989" spans="1:7" x14ac:dyDescent="0.2">
      <c r="A989">
        <v>9384</v>
      </c>
      <c r="B989" s="106" t="s">
        <v>1793</v>
      </c>
      <c r="C989">
        <v>0.05</v>
      </c>
      <c r="D989" s="106">
        <v>0.15</v>
      </c>
      <c r="E989">
        <v>0.05</v>
      </c>
      <c r="F989" s="106">
        <v>0</v>
      </c>
      <c r="G989">
        <v>0</v>
      </c>
    </row>
    <row r="990" spans="1:7" x14ac:dyDescent="0.2">
      <c r="A990">
        <v>9401</v>
      </c>
      <c r="B990" s="106" t="s">
        <v>1794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9405</v>
      </c>
      <c r="B991" s="106" t="s">
        <v>2354</v>
      </c>
      <c r="C991">
        <v>0</v>
      </c>
      <c r="D991">
        <v>0</v>
      </c>
      <c r="E991" s="106">
        <v>0</v>
      </c>
      <c r="F991">
        <v>0</v>
      </c>
      <c r="G991">
        <v>0</v>
      </c>
    </row>
    <row r="992" spans="1:7" x14ac:dyDescent="0.2">
      <c r="A992">
        <v>9409</v>
      </c>
      <c r="B992" s="106" t="s">
        <v>1795</v>
      </c>
      <c r="C992">
        <v>0.05</v>
      </c>
      <c r="D992">
        <v>0.15</v>
      </c>
      <c r="E992" s="106">
        <v>0.05</v>
      </c>
      <c r="F992">
        <v>0.05</v>
      </c>
      <c r="G992">
        <v>0.05</v>
      </c>
    </row>
    <row r="993" spans="1:7" x14ac:dyDescent="0.2">
      <c r="A993">
        <v>9412</v>
      </c>
      <c r="B993" s="106" t="s">
        <v>1030</v>
      </c>
      <c r="C993">
        <v>0.05</v>
      </c>
      <c r="D993">
        <v>0.15</v>
      </c>
      <c r="E993">
        <v>0.05</v>
      </c>
      <c r="F993">
        <v>0.05</v>
      </c>
      <c r="G993">
        <v>0.05</v>
      </c>
    </row>
    <row r="994" spans="1:7" x14ac:dyDescent="0.2">
      <c r="A994">
        <v>9413</v>
      </c>
      <c r="B994" s="106" t="s">
        <v>1796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 x14ac:dyDescent="0.2">
      <c r="A995">
        <v>9416</v>
      </c>
      <c r="B995" s="106" t="s">
        <v>1797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">
      <c r="A996">
        <v>9417</v>
      </c>
      <c r="B996" s="106" t="s">
        <v>1798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">
      <c r="A997">
        <v>9419</v>
      </c>
      <c r="B997" s="106" t="s">
        <v>2355</v>
      </c>
      <c r="C997">
        <v>0</v>
      </c>
      <c r="D997">
        <v>0</v>
      </c>
      <c r="E997">
        <v>0</v>
      </c>
      <c r="F997" s="106">
        <v>0</v>
      </c>
      <c r="G997" t="s">
        <v>233</v>
      </c>
    </row>
    <row r="998" spans="1:7" x14ac:dyDescent="0.2">
      <c r="A998">
        <v>9422</v>
      </c>
      <c r="B998" s="106" t="s">
        <v>1799</v>
      </c>
      <c r="C998">
        <v>0</v>
      </c>
      <c r="D998">
        <v>0</v>
      </c>
      <c r="E998">
        <v>0</v>
      </c>
      <c r="F998" s="106">
        <v>0</v>
      </c>
      <c r="G998" t="s">
        <v>233</v>
      </c>
    </row>
    <row r="999" spans="1:7" x14ac:dyDescent="0.2">
      <c r="A999">
        <v>9428</v>
      </c>
      <c r="B999" s="106" t="s">
        <v>2356</v>
      </c>
      <c r="C999">
        <v>0</v>
      </c>
      <c r="D999">
        <v>0</v>
      </c>
      <c r="E999" t="s">
        <v>233</v>
      </c>
      <c r="F999" t="s">
        <v>233</v>
      </c>
      <c r="G999" t="s">
        <v>233</v>
      </c>
    </row>
    <row r="1000" spans="1:7" x14ac:dyDescent="0.2">
      <c r="A1000">
        <v>9432</v>
      </c>
      <c r="B1000" s="106" t="s">
        <v>1800</v>
      </c>
      <c r="C1000">
        <v>0.1</v>
      </c>
      <c r="D1000" s="106">
        <v>0.3</v>
      </c>
      <c r="E1000">
        <v>0.05</v>
      </c>
      <c r="F1000" s="106">
        <v>0.1</v>
      </c>
      <c r="G1000">
        <v>0.1</v>
      </c>
    </row>
    <row r="1001" spans="1:7" x14ac:dyDescent="0.2">
      <c r="A1001">
        <v>9433</v>
      </c>
      <c r="B1001" s="106" t="s">
        <v>1017</v>
      </c>
      <c r="C1001">
        <v>0.05</v>
      </c>
      <c r="D1001" s="106">
        <v>0.15</v>
      </c>
      <c r="E1001" s="106">
        <v>0.1</v>
      </c>
      <c r="F1001" s="106">
        <v>0.1</v>
      </c>
      <c r="G1001" s="106">
        <v>0.05</v>
      </c>
    </row>
    <row r="1002" spans="1:7" x14ac:dyDescent="0.2">
      <c r="A1002">
        <v>9435</v>
      </c>
      <c r="B1002" s="106" t="s">
        <v>2601</v>
      </c>
      <c r="C1002">
        <v>0</v>
      </c>
      <c r="D1002" s="106" t="s">
        <v>233</v>
      </c>
      <c r="E1002" s="106" t="s">
        <v>233</v>
      </c>
      <c r="F1002" s="106">
        <v>0</v>
      </c>
      <c r="G1002" s="106">
        <v>0</v>
      </c>
    </row>
    <row r="1003" spans="1:7" x14ac:dyDescent="0.2">
      <c r="A1003">
        <v>9437</v>
      </c>
      <c r="B1003" s="106" t="s">
        <v>841</v>
      </c>
      <c r="C1003">
        <v>0.05</v>
      </c>
      <c r="D1003">
        <v>0.15</v>
      </c>
      <c r="E1003">
        <v>0.05</v>
      </c>
      <c r="F1003">
        <v>0</v>
      </c>
      <c r="G1003">
        <v>0</v>
      </c>
    </row>
    <row r="1004" spans="1:7" x14ac:dyDescent="0.2">
      <c r="A1004">
        <v>9438</v>
      </c>
      <c r="B1004" s="106" t="s">
        <v>1801</v>
      </c>
      <c r="C1004">
        <v>0</v>
      </c>
      <c r="D1004" s="106">
        <v>0</v>
      </c>
      <c r="E1004">
        <v>0</v>
      </c>
      <c r="F1004">
        <v>0</v>
      </c>
      <c r="G1004" s="106">
        <v>0</v>
      </c>
    </row>
    <row r="1005" spans="1:7" x14ac:dyDescent="0.2">
      <c r="A1005">
        <v>9449</v>
      </c>
      <c r="B1005" s="106" t="s">
        <v>1802</v>
      </c>
      <c r="C1005">
        <v>0.05</v>
      </c>
      <c r="D1005" s="106">
        <v>0.15</v>
      </c>
      <c r="E1005">
        <v>0.05</v>
      </c>
      <c r="F1005">
        <v>0.05</v>
      </c>
      <c r="G1005">
        <v>0.05</v>
      </c>
    </row>
    <row r="1006" spans="1:7" x14ac:dyDescent="0.2">
      <c r="A1006">
        <v>9450</v>
      </c>
      <c r="B1006" s="106" t="s">
        <v>1803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">
      <c r="A1007">
        <v>9468</v>
      </c>
      <c r="B1007" s="106" t="s">
        <v>1804</v>
      </c>
      <c r="C1007">
        <v>0</v>
      </c>
      <c r="D1007" s="106">
        <v>0</v>
      </c>
      <c r="E1007" s="106">
        <v>0</v>
      </c>
      <c r="F1007" s="106">
        <v>0</v>
      </c>
      <c r="G1007" s="106">
        <v>0</v>
      </c>
    </row>
    <row r="1008" spans="1:7" x14ac:dyDescent="0.2">
      <c r="A1008">
        <v>9470</v>
      </c>
      <c r="B1008" s="106" t="s">
        <v>1805</v>
      </c>
      <c r="C1008">
        <v>0.2</v>
      </c>
      <c r="D1008" s="106">
        <v>0.45</v>
      </c>
      <c r="E1008" s="106">
        <v>0.15</v>
      </c>
      <c r="F1008" s="106">
        <v>0.15</v>
      </c>
      <c r="G1008" s="106">
        <v>0.15</v>
      </c>
    </row>
    <row r="1009" spans="1:7" x14ac:dyDescent="0.2">
      <c r="A1009">
        <v>9475</v>
      </c>
      <c r="B1009" s="106" t="s">
        <v>1806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 x14ac:dyDescent="0.2">
      <c r="A1010">
        <v>9504</v>
      </c>
      <c r="B1010" s="106" t="s">
        <v>1807</v>
      </c>
      <c r="C1010">
        <v>0.05</v>
      </c>
      <c r="D1010">
        <v>0.15</v>
      </c>
      <c r="E1010">
        <v>0.05</v>
      </c>
      <c r="F1010">
        <v>0.05</v>
      </c>
      <c r="G1010">
        <v>0.05</v>
      </c>
    </row>
    <row r="1011" spans="1:7" x14ac:dyDescent="0.2">
      <c r="A1011">
        <v>9506</v>
      </c>
      <c r="B1011" s="106" t="s">
        <v>1808</v>
      </c>
      <c r="C1011">
        <v>0</v>
      </c>
      <c r="D1011" s="106">
        <v>0</v>
      </c>
      <c r="E1011" s="106">
        <v>0</v>
      </c>
      <c r="F1011" s="106">
        <v>0</v>
      </c>
      <c r="G1011" s="106">
        <v>0</v>
      </c>
    </row>
    <row r="1012" spans="1:7" x14ac:dyDescent="0.2">
      <c r="A1012">
        <v>9511</v>
      </c>
      <c r="B1012" s="106" t="s">
        <v>2602</v>
      </c>
      <c r="C1012">
        <v>0</v>
      </c>
      <c r="D1012" s="106" t="s">
        <v>233</v>
      </c>
      <c r="E1012" s="106">
        <v>0</v>
      </c>
      <c r="F1012" s="106">
        <v>0</v>
      </c>
      <c r="G1012" s="106">
        <v>0.05</v>
      </c>
    </row>
    <row r="1013" spans="1:7" x14ac:dyDescent="0.2">
      <c r="A1013">
        <v>9513</v>
      </c>
      <c r="B1013" s="106" t="s">
        <v>1809</v>
      </c>
      <c r="C1013">
        <v>0</v>
      </c>
      <c r="D1013" s="106">
        <v>0</v>
      </c>
      <c r="E1013" s="106">
        <v>0</v>
      </c>
      <c r="F1013" s="106">
        <v>0</v>
      </c>
      <c r="G1013" s="106">
        <v>0</v>
      </c>
    </row>
    <row r="1014" spans="1:7" x14ac:dyDescent="0.2">
      <c r="A1014">
        <v>9517</v>
      </c>
      <c r="B1014" s="106" t="s">
        <v>1810</v>
      </c>
      <c r="C1014">
        <v>0.05</v>
      </c>
      <c r="D1014">
        <v>0</v>
      </c>
      <c r="E1014" s="106">
        <v>0.05</v>
      </c>
      <c r="F1014" s="106">
        <v>0</v>
      </c>
      <c r="G1014" s="106">
        <v>0</v>
      </c>
    </row>
    <row r="1015" spans="1:7" x14ac:dyDescent="0.2">
      <c r="A1015">
        <v>9519</v>
      </c>
      <c r="B1015" s="106" t="s">
        <v>1811</v>
      </c>
      <c r="C1015">
        <v>0</v>
      </c>
      <c r="D1015">
        <v>0</v>
      </c>
      <c r="E1015" s="106">
        <v>0</v>
      </c>
      <c r="F1015" s="106">
        <v>0</v>
      </c>
      <c r="G1015" s="106">
        <v>0</v>
      </c>
    </row>
    <row r="1016" spans="1:7" x14ac:dyDescent="0.2">
      <c r="A1016">
        <v>9532</v>
      </c>
      <c r="B1016" s="106" t="s">
        <v>1812</v>
      </c>
      <c r="C1016">
        <v>0.05</v>
      </c>
      <c r="D1016">
        <v>0.15</v>
      </c>
      <c r="E1016">
        <v>0.05</v>
      </c>
      <c r="F1016">
        <v>0.05</v>
      </c>
      <c r="G1016">
        <v>0.05</v>
      </c>
    </row>
    <row r="1017" spans="1:7" x14ac:dyDescent="0.2">
      <c r="A1017">
        <v>9533</v>
      </c>
      <c r="B1017" s="106" t="s">
        <v>1813</v>
      </c>
      <c r="C1017">
        <v>0.1</v>
      </c>
      <c r="D1017">
        <v>0.3</v>
      </c>
      <c r="E1017">
        <v>0.1</v>
      </c>
      <c r="F1017" s="106">
        <v>0.1</v>
      </c>
      <c r="G1017">
        <v>0.1</v>
      </c>
    </row>
    <row r="1018" spans="1:7" x14ac:dyDescent="0.2">
      <c r="A1018">
        <v>9534</v>
      </c>
      <c r="B1018" s="106" t="s">
        <v>2603</v>
      </c>
      <c r="C1018">
        <v>0.05</v>
      </c>
      <c r="D1018" t="s">
        <v>233</v>
      </c>
      <c r="E1018">
        <v>0.05</v>
      </c>
      <c r="F1018" s="106" t="s">
        <v>233</v>
      </c>
      <c r="G1018">
        <v>0.05</v>
      </c>
    </row>
    <row r="1019" spans="1:7" x14ac:dyDescent="0.2">
      <c r="A1019">
        <v>9536</v>
      </c>
      <c r="B1019" s="106" t="s">
        <v>1814</v>
      </c>
      <c r="C1019">
        <v>0.05</v>
      </c>
      <c r="D1019">
        <v>0.15</v>
      </c>
      <c r="E1019">
        <v>0.05</v>
      </c>
      <c r="F1019">
        <v>0.05</v>
      </c>
      <c r="G1019">
        <v>0.05</v>
      </c>
    </row>
    <row r="1020" spans="1:7" x14ac:dyDescent="0.2">
      <c r="A1020">
        <v>9543</v>
      </c>
      <c r="B1020" s="106" t="s">
        <v>1815</v>
      </c>
      <c r="C1020">
        <v>0.05</v>
      </c>
      <c r="D1020">
        <v>0.15</v>
      </c>
      <c r="E1020">
        <v>0.05</v>
      </c>
      <c r="F1020">
        <v>0.05</v>
      </c>
      <c r="G1020">
        <v>0.05</v>
      </c>
    </row>
    <row r="1021" spans="1:7" x14ac:dyDescent="0.2">
      <c r="A1021">
        <v>9551</v>
      </c>
      <c r="B1021" s="106" t="s">
        <v>1816</v>
      </c>
      <c r="C1021">
        <v>0</v>
      </c>
      <c r="D1021" s="106">
        <v>0</v>
      </c>
      <c r="E1021">
        <v>0</v>
      </c>
      <c r="F1021" s="106">
        <v>0</v>
      </c>
      <c r="G1021">
        <v>0</v>
      </c>
    </row>
    <row r="1022" spans="1:7" x14ac:dyDescent="0.2">
      <c r="A1022">
        <v>9601</v>
      </c>
      <c r="B1022" s="106" t="s">
        <v>1817</v>
      </c>
      <c r="C1022">
        <v>0.3</v>
      </c>
      <c r="D1022" s="106">
        <v>0.9</v>
      </c>
      <c r="E1022">
        <v>0.3</v>
      </c>
      <c r="F1022" s="106">
        <v>0.3</v>
      </c>
      <c r="G1022">
        <v>0.3</v>
      </c>
    </row>
    <row r="1023" spans="1:7" x14ac:dyDescent="0.2">
      <c r="A1023">
        <v>9605</v>
      </c>
      <c r="B1023" s="106" t="s">
        <v>1818</v>
      </c>
      <c r="C1023">
        <v>0.3</v>
      </c>
      <c r="D1023" s="106">
        <v>0.9</v>
      </c>
      <c r="E1023">
        <v>0.3</v>
      </c>
      <c r="F1023" s="106">
        <v>0.3</v>
      </c>
      <c r="G1023" s="106">
        <v>0.3</v>
      </c>
    </row>
    <row r="1024" spans="1:7" x14ac:dyDescent="0.2">
      <c r="A1024">
        <v>9616</v>
      </c>
      <c r="B1024" s="106" t="s">
        <v>2604</v>
      </c>
      <c r="C1024">
        <v>0</v>
      </c>
      <c r="D1024" t="s">
        <v>233</v>
      </c>
      <c r="E1024" t="s">
        <v>233</v>
      </c>
      <c r="F1024" t="s">
        <v>233</v>
      </c>
      <c r="G1024" t="s">
        <v>233</v>
      </c>
    </row>
    <row r="1025" spans="1:7" x14ac:dyDescent="0.2">
      <c r="A1025">
        <v>9619</v>
      </c>
      <c r="B1025" s="106" t="s">
        <v>1819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">
      <c r="A1026">
        <v>9622</v>
      </c>
      <c r="B1026" s="106" t="s">
        <v>1820</v>
      </c>
      <c r="C1026">
        <v>0</v>
      </c>
      <c r="D1026" s="106">
        <v>0</v>
      </c>
      <c r="E1026" s="106">
        <v>0</v>
      </c>
      <c r="F1026" s="106">
        <v>0</v>
      </c>
      <c r="G1026" s="106">
        <v>0</v>
      </c>
    </row>
    <row r="1027" spans="1:7" x14ac:dyDescent="0.2">
      <c r="A1027">
        <v>9627</v>
      </c>
      <c r="B1027" s="106" t="s">
        <v>1821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9663</v>
      </c>
      <c r="B1028" s="106" t="s">
        <v>1822</v>
      </c>
      <c r="C1028">
        <v>0.15</v>
      </c>
      <c r="D1028">
        <v>0.45</v>
      </c>
      <c r="E1028">
        <v>0.15</v>
      </c>
      <c r="F1028">
        <v>0.15</v>
      </c>
      <c r="G1028">
        <v>0.15</v>
      </c>
    </row>
    <row r="1029" spans="1:7" x14ac:dyDescent="0.2">
      <c r="A1029">
        <v>9675</v>
      </c>
      <c r="B1029" s="106" t="s">
        <v>1823</v>
      </c>
      <c r="C1029">
        <v>0.05</v>
      </c>
      <c r="D1029">
        <v>0.15</v>
      </c>
      <c r="E1029">
        <v>0.05</v>
      </c>
      <c r="F1029">
        <v>0.05</v>
      </c>
      <c r="G1029">
        <v>0.05</v>
      </c>
    </row>
    <row r="1030" spans="1:7" x14ac:dyDescent="0.2">
      <c r="A1030">
        <v>9681</v>
      </c>
      <c r="B1030" s="106" t="s">
        <v>1824</v>
      </c>
      <c r="C1030">
        <v>0</v>
      </c>
      <c r="D1030" s="106">
        <v>0</v>
      </c>
      <c r="E1030" s="106">
        <v>0</v>
      </c>
      <c r="F1030" s="106">
        <v>0</v>
      </c>
      <c r="G1030" s="106">
        <v>0</v>
      </c>
    </row>
    <row r="1031" spans="1:7" x14ac:dyDescent="0.2">
      <c r="A1031">
        <v>9697</v>
      </c>
      <c r="B1031" s="106" t="s">
        <v>1825</v>
      </c>
      <c r="C1031">
        <v>0.1</v>
      </c>
      <c r="D1031">
        <v>0.15</v>
      </c>
      <c r="E1031">
        <v>0.05</v>
      </c>
      <c r="F1031">
        <v>0</v>
      </c>
      <c r="G1031">
        <v>0</v>
      </c>
    </row>
    <row r="1032" spans="1:7" x14ac:dyDescent="0.2">
      <c r="A1032">
        <v>9706</v>
      </c>
      <c r="B1032" s="106" t="s">
        <v>333</v>
      </c>
      <c r="C1032">
        <v>0.15</v>
      </c>
      <c r="D1032">
        <v>0.3</v>
      </c>
      <c r="E1032">
        <v>0.15</v>
      </c>
      <c r="F1032">
        <v>0.1</v>
      </c>
      <c r="G1032">
        <v>0.1</v>
      </c>
    </row>
    <row r="1033" spans="1:7" x14ac:dyDescent="0.2">
      <c r="A1033">
        <v>9715</v>
      </c>
      <c r="B1033" s="106" t="s">
        <v>1826</v>
      </c>
      <c r="C1033">
        <v>0</v>
      </c>
      <c r="D1033">
        <v>0</v>
      </c>
      <c r="E1033" t="s">
        <v>233</v>
      </c>
      <c r="F1033">
        <v>0</v>
      </c>
      <c r="G1033" t="s">
        <v>233</v>
      </c>
    </row>
    <row r="1034" spans="1:7" x14ac:dyDescent="0.2">
      <c r="A1034">
        <v>9717</v>
      </c>
      <c r="B1034" s="106" t="s">
        <v>1827</v>
      </c>
      <c r="C1034">
        <v>0.05</v>
      </c>
      <c r="D1034">
        <v>0</v>
      </c>
      <c r="E1034">
        <v>0.05</v>
      </c>
      <c r="F1034">
        <v>0</v>
      </c>
      <c r="G1034">
        <v>0</v>
      </c>
    </row>
    <row r="1035" spans="1:7" x14ac:dyDescent="0.2">
      <c r="A1035">
        <v>9719</v>
      </c>
      <c r="B1035" s="106" t="s">
        <v>2605</v>
      </c>
      <c r="C1035">
        <v>0</v>
      </c>
      <c r="D1035" t="s">
        <v>233</v>
      </c>
      <c r="E1035">
        <v>0</v>
      </c>
      <c r="F1035">
        <v>0</v>
      </c>
      <c r="G1035">
        <v>0</v>
      </c>
    </row>
    <row r="1036" spans="1:7" x14ac:dyDescent="0.2">
      <c r="A1036">
        <v>9726</v>
      </c>
      <c r="B1036" s="106" t="s">
        <v>1828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">
      <c r="A1037">
        <v>9729</v>
      </c>
      <c r="B1037" s="106" t="s">
        <v>1829</v>
      </c>
      <c r="C1037">
        <v>0.05</v>
      </c>
      <c r="D1037">
        <v>0.15</v>
      </c>
      <c r="E1037">
        <v>0.05</v>
      </c>
      <c r="F1037">
        <v>0.05</v>
      </c>
      <c r="G1037">
        <v>0.05</v>
      </c>
    </row>
    <row r="1038" spans="1:7" x14ac:dyDescent="0.2">
      <c r="A1038">
        <v>9735</v>
      </c>
      <c r="B1038" s="106" t="s">
        <v>2357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9740</v>
      </c>
      <c r="B1039" s="106" t="s">
        <v>1830</v>
      </c>
      <c r="C1039">
        <v>0.15</v>
      </c>
      <c r="D1039">
        <v>0.45</v>
      </c>
      <c r="E1039">
        <v>0.15</v>
      </c>
      <c r="F1039">
        <v>0.15</v>
      </c>
      <c r="G1039">
        <v>0.15</v>
      </c>
    </row>
    <row r="1040" spans="1:7" x14ac:dyDescent="0.2">
      <c r="A1040">
        <v>9744</v>
      </c>
      <c r="B1040" s="106" t="s">
        <v>1831</v>
      </c>
      <c r="C1040">
        <v>0.1</v>
      </c>
      <c r="D1040" s="106">
        <v>0.3</v>
      </c>
      <c r="E1040" s="106">
        <v>0.1</v>
      </c>
      <c r="F1040" s="106">
        <v>0.1</v>
      </c>
      <c r="G1040">
        <v>0.1</v>
      </c>
    </row>
    <row r="1041" spans="1:7" x14ac:dyDescent="0.2">
      <c r="A1041">
        <v>9757</v>
      </c>
      <c r="B1041" s="106" t="s">
        <v>2606</v>
      </c>
      <c r="C1041">
        <v>0.05</v>
      </c>
      <c r="D1041" s="106" t="s">
        <v>233</v>
      </c>
      <c r="E1041" s="106">
        <v>0.05</v>
      </c>
      <c r="F1041" t="s">
        <v>233</v>
      </c>
      <c r="G1041">
        <v>0.05</v>
      </c>
    </row>
    <row r="1042" spans="1:7" x14ac:dyDescent="0.2">
      <c r="A1042">
        <v>9759</v>
      </c>
      <c r="B1042" s="106" t="s">
        <v>839</v>
      </c>
      <c r="C1042">
        <v>0.1</v>
      </c>
      <c r="D1042">
        <v>0.3</v>
      </c>
      <c r="E1042">
        <v>0.05</v>
      </c>
      <c r="F1042">
        <v>0.05</v>
      </c>
      <c r="G1042">
        <v>0.05</v>
      </c>
    </row>
    <row r="1043" spans="1:7" x14ac:dyDescent="0.2">
      <c r="A1043">
        <v>9765</v>
      </c>
      <c r="B1043" s="106" t="s">
        <v>1832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">
      <c r="A1044">
        <v>9783</v>
      </c>
      <c r="B1044" s="106" t="s">
        <v>2358</v>
      </c>
      <c r="C1044">
        <v>0</v>
      </c>
      <c r="D1044">
        <v>0</v>
      </c>
      <c r="E1044">
        <v>0</v>
      </c>
      <c r="F1044" t="s">
        <v>233</v>
      </c>
      <c r="G1044" t="s">
        <v>233</v>
      </c>
    </row>
    <row r="1045" spans="1:7" x14ac:dyDescent="0.2">
      <c r="A1045">
        <v>9787</v>
      </c>
      <c r="B1045" s="106" t="s">
        <v>1833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">
      <c r="A1046">
        <v>9788</v>
      </c>
      <c r="B1046" s="106" t="s">
        <v>1834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">
      <c r="A1047">
        <v>9790</v>
      </c>
      <c r="B1047" s="106" t="s">
        <v>1835</v>
      </c>
      <c r="C1047">
        <v>0.05</v>
      </c>
      <c r="D1047">
        <v>0</v>
      </c>
      <c r="E1047">
        <v>0</v>
      </c>
      <c r="F1047">
        <v>0.05</v>
      </c>
      <c r="G1047">
        <v>0.1</v>
      </c>
    </row>
    <row r="1048" spans="1:7" x14ac:dyDescent="0.2">
      <c r="A1048">
        <v>9824</v>
      </c>
      <c r="B1048" s="106" t="s">
        <v>1836</v>
      </c>
      <c r="C1048">
        <v>0.1</v>
      </c>
      <c r="D1048">
        <v>0.15</v>
      </c>
      <c r="E1048">
        <v>0.1</v>
      </c>
      <c r="F1048">
        <v>0.1</v>
      </c>
      <c r="G1048">
        <v>0.1</v>
      </c>
    </row>
    <row r="1049" spans="1:7" x14ac:dyDescent="0.2">
      <c r="A1049">
        <v>9830</v>
      </c>
      <c r="B1049" s="106" t="s">
        <v>1837</v>
      </c>
      <c r="C1049">
        <v>0</v>
      </c>
      <c r="D1049" s="106">
        <v>0</v>
      </c>
      <c r="E1049">
        <v>0</v>
      </c>
      <c r="F1049" s="106">
        <v>0</v>
      </c>
      <c r="G1049">
        <v>0</v>
      </c>
    </row>
    <row r="1050" spans="1:7" x14ac:dyDescent="0.2">
      <c r="A1050">
        <v>9831</v>
      </c>
      <c r="B1050" s="106" t="s">
        <v>1838</v>
      </c>
      <c r="C1050">
        <v>0.05</v>
      </c>
      <c r="D1050">
        <v>0.15</v>
      </c>
      <c r="E1050">
        <v>0</v>
      </c>
      <c r="F1050" t="s">
        <v>233</v>
      </c>
      <c r="G1050">
        <v>0.05</v>
      </c>
    </row>
    <row r="1051" spans="1:7" x14ac:dyDescent="0.2">
      <c r="A1051">
        <v>9837</v>
      </c>
      <c r="B1051" s="106" t="s">
        <v>1839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">
      <c r="A1052">
        <v>9843</v>
      </c>
      <c r="B1052" s="106" t="s">
        <v>1840</v>
      </c>
      <c r="C1052">
        <v>0</v>
      </c>
      <c r="D1052">
        <v>0.9</v>
      </c>
      <c r="E1052">
        <v>0.3</v>
      </c>
      <c r="F1052">
        <v>0.3</v>
      </c>
      <c r="G1052">
        <v>0.3</v>
      </c>
    </row>
    <row r="1053" spans="1:7" x14ac:dyDescent="0.2">
      <c r="A1053">
        <v>9850</v>
      </c>
      <c r="B1053" s="106" t="s">
        <v>1841</v>
      </c>
      <c r="C1053">
        <v>0</v>
      </c>
      <c r="D1053">
        <v>0</v>
      </c>
      <c r="E1053">
        <v>0</v>
      </c>
      <c r="F1053">
        <v>0</v>
      </c>
      <c r="G1053" s="106">
        <v>0</v>
      </c>
    </row>
    <row r="1054" spans="1:7" x14ac:dyDescent="0.2">
      <c r="A1054">
        <v>9854</v>
      </c>
      <c r="B1054" s="106" t="s">
        <v>1842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">
      <c r="A1055">
        <v>9856</v>
      </c>
      <c r="B1055" s="106" t="s">
        <v>1843</v>
      </c>
      <c r="C1055">
        <v>0</v>
      </c>
      <c r="D1055" s="106">
        <v>0.15</v>
      </c>
      <c r="E1055">
        <v>0.05</v>
      </c>
      <c r="F1055" s="106">
        <v>0.05</v>
      </c>
      <c r="G1055">
        <v>0.05</v>
      </c>
    </row>
    <row r="1056" spans="1:7" x14ac:dyDescent="0.2">
      <c r="A1056">
        <v>9861</v>
      </c>
      <c r="B1056" s="106" t="s">
        <v>1844</v>
      </c>
      <c r="C1056">
        <v>0.05</v>
      </c>
      <c r="D1056">
        <v>0.15</v>
      </c>
      <c r="E1056">
        <v>0.05</v>
      </c>
      <c r="F1056">
        <v>0.05</v>
      </c>
      <c r="G1056">
        <v>0.05</v>
      </c>
    </row>
    <row r="1057" spans="1:7" x14ac:dyDescent="0.2">
      <c r="A1057">
        <v>9869</v>
      </c>
      <c r="B1057" s="106" t="s">
        <v>1845</v>
      </c>
      <c r="C1057">
        <v>0</v>
      </c>
      <c r="D1057">
        <v>0</v>
      </c>
      <c r="E1057">
        <v>0.1</v>
      </c>
      <c r="F1057">
        <v>0</v>
      </c>
      <c r="G1057">
        <v>0</v>
      </c>
    </row>
    <row r="1058" spans="1:7" x14ac:dyDescent="0.2">
      <c r="A1058">
        <v>9872</v>
      </c>
      <c r="B1058" s="106" t="s">
        <v>1846</v>
      </c>
      <c r="C1058">
        <v>0.05</v>
      </c>
      <c r="D1058">
        <v>0.15</v>
      </c>
      <c r="E1058">
        <v>0.05</v>
      </c>
      <c r="F1058">
        <v>0.05</v>
      </c>
      <c r="G1058">
        <v>0.05</v>
      </c>
    </row>
    <row r="1059" spans="1:7" x14ac:dyDescent="0.2">
      <c r="A1059">
        <v>9882</v>
      </c>
      <c r="B1059" s="106" t="s">
        <v>1847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">
      <c r="A1060">
        <v>9896</v>
      </c>
      <c r="B1060" s="106" t="s">
        <v>1848</v>
      </c>
      <c r="C1060">
        <v>0</v>
      </c>
      <c r="D1060">
        <v>0</v>
      </c>
      <c r="E1060" s="106">
        <v>0</v>
      </c>
      <c r="F1060" s="106">
        <v>0.05</v>
      </c>
      <c r="G1060" s="106">
        <v>0.05</v>
      </c>
    </row>
    <row r="1061" spans="1:7" x14ac:dyDescent="0.2">
      <c r="A1061">
        <v>9900</v>
      </c>
      <c r="B1061" s="106" t="s">
        <v>1849</v>
      </c>
      <c r="C1061">
        <v>0.05</v>
      </c>
      <c r="D1061">
        <v>0.15</v>
      </c>
      <c r="E1061">
        <v>0.05</v>
      </c>
      <c r="F1061">
        <v>0.05</v>
      </c>
      <c r="G1061">
        <v>0.05</v>
      </c>
    </row>
    <row r="1062" spans="1:7" x14ac:dyDescent="0.2">
      <c r="A1062">
        <v>9902</v>
      </c>
      <c r="B1062" s="106" t="s">
        <v>1850</v>
      </c>
      <c r="C1062">
        <v>0.05</v>
      </c>
      <c r="D1062">
        <v>0.15</v>
      </c>
      <c r="E1062">
        <v>0.05</v>
      </c>
      <c r="F1062">
        <v>0.05</v>
      </c>
      <c r="G1062">
        <v>0.05</v>
      </c>
    </row>
    <row r="1063" spans="1:7" x14ac:dyDescent="0.2">
      <c r="A1063">
        <v>9919</v>
      </c>
      <c r="B1063" s="106" t="s">
        <v>1851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">
      <c r="A1064">
        <v>9928</v>
      </c>
      <c r="B1064" s="106" t="s">
        <v>2607</v>
      </c>
      <c r="C1064">
        <v>0.05</v>
      </c>
      <c r="D1064" t="s">
        <v>233</v>
      </c>
      <c r="E1064">
        <v>0.1</v>
      </c>
      <c r="F1064">
        <v>0</v>
      </c>
      <c r="G1064">
        <v>0.05</v>
      </c>
    </row>
    <row r="1065" spans="1:7" x14ac:dyDescent="0.2">
      <c r="A1065">
        <v>9930</v>
      </c>
      <c r="B1065" s="106" t="s">
        <v>1852</v>
      </c>
      <c r="C1065">
        <v>0</v>
      </c>
      <c r="D1065">
        <v>0.15</v>
      </c>
      <c r="E1065">
        <v>0</v>
      </c>
      <c r="F1065">
        <v>0</v>
      </c>
      <c r="G1065">
        <v>0</v>
      </c>
    </row>
    <row r="1066" spans="1:7" x14ac:dyDescent="0.2">
      <c r="A1066">
        <v>9945</v>
      </c>
      <c r="B1066" s="106" t="s">
        <v>1853</v>
      </c>
      <c r="C1066">
        <v>0.05</v>
      </c>
      <c r="D1066">
        <v>0.15</v>
      </c>
      <c r="E1066" s="106">
        <v>0.05</v>
      </c>
      <c r="F1066">
        <v>0.05</v>
      </c>
      <c r="G1066">
        <v>0.05</v>
      </c>
    </row>
    <row r="1067" spans="1:7" x14ac:dyDescent="0.2">
      <c r="A1067">
        <v>9946</v>
      </c>
      <c r="B1067" s="106" t="s">
        <v>1854</v>
      </c>
      <c r="C1067">
        <v>0.05</v>
      </c>
      <c r="D1067">
        <v>0.15</v>
      </c>
      <c r="E1067">
        <v>0.05</v>
      </c>
      <c r="F1067">
        <v>0.05</v>
      </c>
      <c r="G1067">
        <v>0.05</v>
      </c>
    </row>
    <row r="1068" spans="1:7" x14ac:dyDescent="0.2">
      <c r="A1068">
        <v>9948</v>
      </c>
      <c r="B1068" s="106" t="s">
        <v>1855</v>
      </c>
      <c r="C1068">
        <v>0</v>
      </c>
      <c r="D1068">
        <v>0.15</v>
      </c>
      <c r="E1068">
        <v>0</v>
      </c>
      <c r="F1068">
        <v>0</v>
      </c>
      <c r="G1068">
        <v>0</v>
      </c>
    </row>
    <row r="1069" spans="1:7" x14ac:dyDescent="0.2">
      <c r="A1069">
        <v>9962</v>
      </c>
      <c r="B1069" s="106" t="s">
        <v>1856</v>
      </c>
      <c r="C1069">
        <v>0.05</v>
      </c>
      <c r="D1069">
        <v>0</v>
      </c>
      <c r="E1069">
        <v>0</v>
      </c>
      <c r="F1069">
        <v>0</v>
      </c>
      <c r="G1069">
        <v>0.05</v>
      </c>
    </row>
    <row r="1070" spans="1:7" x14ac:dyDescent="0.2">
      <c r="A1070">
        <v>9979</v>
      </c>
      <c r="B1070" s="106" t="s">
        <v>1857</v>
      </c>
      <c r="C1070">
        <v>0.05</v>
      </c>
      <c r="D1070">
        <v>0.15</v>
      </c>
      <c r="E1070">
        <v>0.05</v>
      </c>
      <c r="F1070">
        <v>0.05</v>
      </c>
      <c r="G1070">
        <v>0.05</v>
      </c>
    </row>
    <row r="1071" spans="1:7" x14ac:dyDescent="0.2">
      <c r="A1071">
        <v>9982</v>
      </c>
      <c r="B1071" s="106" t="s">
        <v>1858</v>
      </c>
      <c r="C1071">
        <v>0.05</v>
      </c>
      <c r="D1071">
        <v>0.15</v>
      </c>
      <c r="E1071">
        <v>0.05</v>
      </c>
      <c r="F1071">
        <v>0.05</v>
      </c>
      <c r="G1071">
        <v>0.05</v>
      </c>
    </row>
    <row r="1072" spans="1:7" x14ac:dyDescent="0.2">
      <c r="A1072">
        <v>9983</v>
      </c>
      <c r="B1072" s="106" t="s">
        <v>1859</v>
      </c>
      <c r="C1072">
        <v>1.2</v>
      </c>
      <c r="D1072">
        <v>14.55</v>
      </c>
      <c r="E1072">
        <v>135.4</v>
      </c>
      <c r="F1072">
        <v>1.25</v>
      </c>
      <c r="G1072">
        <v>1.25</v>
      </c>
    </row>
    <row r="1073" spans="1:7" x14ac:dyDescent="0.2">
      <c r="A1073">
        <v>9989</v>
      </c>
      <c r="B1073" s="106" t="s">
        <v>1024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">
      <c r="A1074">
        <v>9994</v>
      </c>
      <c r="B1074" s="106" t="s">
        <v>1860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">
      <c r="B1075" s="106"/>
    </row>
    <row r="1076" spans="1:7" x14ac:dyDescent="0.2">
      <c r="B1076" s="106"/>
    </row>
    <row r="1077" spans="1:7" x14ac:dyDescent="0.2">
      <c r="B1077" s="106"/>
    </row>
    <row r="1078" spans="1:7" x14ac:dyDescent="0.2">
      <c r="B1078" s="106"/>
    </row>
    <row r="1079" spans="1:7" x14ac:dyDescent="0.2">
      <c r="B1079" s="106"/>
    </row>
    <row r="1080" spans="1:7" x14ac:dyDescent="0.2">
      <c r="B1080" s="106"/>
    </row>
    <row r="1081" spans="1:7" x14ac:dyDescent="0.2">
      <c r="B1081" s="106"/>
    </row>
    <row r="1082" spans="1:7" x14ac:dyDescent="0.2">
      <c r="B1082" s="106"/>
    </row>
    <row r="1083" spans="1:7" x14ac:dyDescent="0.2">
      <c r="B1083" s="106"/>
    </row>
    <row r="1084" spans="1:7" x14ac:dyDescent="0.2">
      <c r="B1084" s="106"/>
    </row>
    <row r="1085" spans="1:7" x14ac:dyDescent="0.2">
      <c r="B1085" s="106"/>
      <c r="G1085" s="106"/>
    </row>
    <row r="1086" spans="1:7" x14ac:dyDescent="0.2">
      <c r="B1086" s="106"/>
    </row>
    <row r="1087" spans="1:7" x14ac:dyDescent="0.2">
      <c r="B1087" s="106"/>
    </row>
    <row r="1088" spans="1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829</v>
      </c>
      <c r="D1" s="140">
        <v>0.1</v>
      </c>
    </row>
    <row r="2" spans="1:4" s="106" customFormat="1" x14ac:dyDescent="0.2">
      <c r="A2" s="13" t="s">
        <v>827</v>
      </c>
      <c r="B2" s="1" t="s">
        <v>836</v>
      </c>
      <c r="C2" s="1" t="s">
        <v>828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 t="shared" ref="C4:C6" si="0"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 t="shared" si="0"/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 t="shared" si="0"/>
        <v>1013.1000000000001</v>
      </c>
    </row>
    <row r="7" spans="1:4" s="106" customFormat="1" x14ac:dyDescent="0.2"/>
    <row r="8" spans="1:4" s="106" customFormat="1" x14ac:dyDescent="0.2">
      <c r="A8" s="13" t="s">
        <v>830</v>
      </c>
      <c r="B8" s="1" t="s">
        <v>837</v>
      </c>
    </row>
    <row r="9" spans="1:4" s="106" customFormat="1" x14ac:dyDescent="0.2">
      <c r="A9" s="141" t="s">
        <v>831</v>
      </c>
      <c r="B9" s="143">
        <v>198</v>
      </c>
    </row>
    <row r="10" spans="1:4" s="106" customFormat="1" x14ac:dyDescent="0.2">
      <c r="A10" s="141" t="s">
        <v>832</v>
      </c>
      <c r="B10" s="143">
        <v>385</v>
      </c>
    </row>
    <row r="11" spans="1:4" s="106" customFormat="1" x14ac:dyDescent="0.2">
      <c r="A11" s="1" t="s">
        <v>833</v>
      </c>
      <c r="B11" s="144">
        <v>2.8000000000000001E-2</v>
      </c>
    </row>
    <row r="12" spans="1:4" s="106" customFormat="1" x14ac:dyDescent="0.2">
      <c r="A12" s="1" t="s">
        <v>239</v>
      </c>
      <c r="B12" s="144">
        <v>1.0999999999999999E-2</v>
      </c>
    </row>
    <row r="15" spans="1:4" ht="15" x14ac:dyDescent="0.2">
      <c r="A15" s="78" t="s">
        <v>171</v>
      </c>
    </row>
    <row r="16" spans="1:4" x14ac:dyDescent="0.2">
      <c r="B16" s="1"/>
    </row>
    <row r="17" spans="1:2" ht="15.75" thickBot="1" x14ac:dyDescent="0.3">
      <c r="A17" s="69" t="s">
        <v>172</v>
      </c>
    </row>
    <row r="18" spans="1:2" ht="15.75" thickBot="1" x14ac:dyDescent="0.25">
      <c r="A18" s="71" t="s">
        <v>173</v>
      </c>
      <c r="B18" s="72" t="s">
        <v>174</v>
      </c>
    </row>
    <row r="19" spans="1:2" ht="15.75" thickBot="1" x14ac:dyDescent="0.3">
      <c r="A19" s="73" t="s">
        <v>175</v>
      </c>
      <c r="B19" s="70" t="s">
        <v>176</v>
      </c>
    </row>
    <row r="20" spans="1:2" ht="15.75" thickBot="1" x14ac:dyDescent="0.3">
      <c r="A20" s="73" t="s">
        <v>177</v>
      </c>
      <c r="B20" s="70" t="s">
        <v>178</v>
      </c>
    </row>
    <row r="21" spans="1:2" ht="15.75" thickBot="1" x14ac:dyDescent="0.3">
      <c r="A21" s="73" t="s">
        <v>179</v>
      </c>
      <c r="B21" s="70" t="s">
        <v>180</v>
      </c>
    </row>
    <row r="22" spans="1:2" ht="15.75" thickBot="1" x14ac:dyDescent="0.3">
      <c r="A22" s="73" t="s">
        <v>181</v>
      </c>
      <c r="B22" s="70" t="s">
        <v>182</v>
      </c>
    </row>
    <row r="23" spans="1:2" ht="15.75" thickBot="1" x14ac:dyDescent="0.3">
      <c r="A23" s="74" t="s">
        <v>183</v>
      </c>
      <c r="B23" s="75" t="s">
        <v>184</v>
      </c>
    </row>
    <row r="24" spans="1:2" ht="15.75" thickBot="1" x14ac:dyDescent="0.3">
      <c r="A24" s="76" t="s">
        <v>185</v>
      </c>
      <c r="B24" s="77" t="s">
        <v>186</v>
      </c>
    </row>
    <row r="25" spans="1:2" ht="15.75" thickBot="1" x14ac:dyDescent="0.3">
      <c r="A25" s="73" t="s">
        <v>187</v>
      </c>
      <c r="B25" s="70" t="s">
        <v>188</v>
      </c>
    </row>
    <row r="26" spans="1:2" ht="15.75" thickBot="1" x14ac:dyDescent="0.3">
      <c r="A26" s="73" t="s">
        <v>189</v>
      </c>
      <c r="B26" s="70" t="s">
        <v>190</v>
      </c>
    </row>
    <row r="27" spans="1:2" ht="15.75" thickBot="1" x14ac:dyDescent="0.3">
      <c r="A27" s="69" t="s">
        <v>191</v>
      </c>
    </row>
    <row r="28" spans="1:2" ht="15.75" thickBot="1" x14ac:dyDescent="0.25">
      <c r="A28" s="71" t="s">
        <v>173</v>
      </c>
      <c r="B28" s="72" t="s">
        <v>174</v>
      </c>
    </row>
    <row r="29" spans="1:2" ht="15.75" thickBot="1" x14ac:dyDescent="0.3">
      <c r="A29" s="73" t="s">
        <v>177</v>
      </c>
      <c r="B29" s="70" t="s">
        <v>178</v>
      </c>
    </row>
    <row r="30" spans="1:2" ht="15.75" thickBot="1" x14ac:dyDescent="0.3">
      <c r="A30" s="73" t="s">
        <v>179</v>
      </c>
      <c r="B30" s="70" t="s">
        <v>192</v>
      </c>
    </row>
    <row r="31" spans="1:2" ht="15.75" thickBot="1" x14ac:dyDescent="0.3">
      <c r="A31" s="73" t="s">
        <v>181</v>
      </c>
      <c r="B31" s="70" t="s">
        <v>193</v>
      </c>
    </row>
    <row r="32" spans="1:2" ht="15.75" thickBot="1" x14ac:dyDescent="0.3">
      <c r="A32" s="74" t="s">
        <v>194</v>
      </c>
      <c r="B32" s="75" t="s">
        <v>195</v>
      </c>
    </row>
    <row r="35" spans="1:8" ht="15" x14ac:dyDescent="0.2">
      <c r="A35" s="78" t="s">
        <v>196</v>
      </c>
    </row>
    <row r="36" spans="1:8" ht="15" thickBot="1" x14ac:dyDescent="0.25"/>
    <row r="37" spans="1:8" ht="15.75" thickBot="1" x14ac:dyDescent="0.25">
      <c r="A37" s="71" t="s">
        <v>197</v>
      </c>
      <c r="B37" s="72" t="s">
        <v>163</v>
      </c>
    </row>
    <row r="38" spans="1:8" ht="15.75" thickBot="1" x14ac:dyDescent="0.3">
      <c r="A38" s="73" t="s">
        <v>177</v>
      </c>
      <c r="B38" s="70" t="s">
        <v>198</v>
      </c>
    </row>
    <row r="39" spans="1:8" ht="15.75" thickBot="1" x14ac:dyDescent="0.3">
      <c r="A39" s="73" t="s">
        <v>179</v>
      </c>
      <c r="B39" s="70" t="s">
        <v>199</v>
      </c>
    </row>
    <row r="40" spans="1:8" ht="15.75" thickBot="1" x14ac:dyDescent="0.3">
      <c r="A40" s="73" t="s">
        <v>200</v>
      </c>
      <c r="B40" s="70" t="s">
        <v>201</v>
      </c>
    </row>
    <row r="41" spans="1:8" ht="15.75" thickBot="1" x14ac:dyDescent="0.3">
      <c r="A41" s="73" t="s">
        <v>181</v>
      </c>
      <c r="B41" s="70" t="s">
        <v>202</v>
      </c>
    </row>
    <row r="42" spans="1:8" ht="15.75" thickBot="1" x14ac:dyDescent="0.3">
      <c r="A42" s="73" t="s">
        <v>183</v>
      </c>
      <c r="B42" s="70" t="s">
        <v>203</v>
      </c>
    </row>
    <row r="43" spans="1:8" ht="15.75" thickBot="1" x14ac:dyDescent="0.3">
      <c r="A43" s="73" t="s">
        <v>204</v>
      </c>
      <c r="B43" s="70" t="s">
        <v>205</v>
      </c>
    </row>
    <row r="44" spans="1:8" ht="15" x14ac:dyDescent="0.25">
      <c r="A44" s="80" t="s">
        <v>206</v>
      </c>
      <c r="B44" s="337" t="s">
        <v>208</v>
      </c>
    </row>
    <row r="45" spans="1:8" ht="30.75" thickBot="1" x14ac:dyDescent="0.3">
      <c r="A45" s="73" t="s">
        <v>207</v>
      </c>
      <c r="B45" s="338"/>
    </row>
    <row r="47" spans="1:8" ht="15" thickBot="1" x14ac:dyDescent="0.25"/>
    <row r="48" spans="1:8" ht="15" thickBot="1" x14ac:dyDescent="0.25">
      <c r="A48" s="339" t="s">
        <v>157</v>
      </c>
      <c r="B48" s="340"/>
      <c r="C48" s="343" t="s">
        <v>209</v>
      </c>
      <c r="D48" s="344"/>
      <c r="E48" s="344"/>
      <c r="F48" s="344"/>
      <c r="G48" s="345"/>
      <c r="H48" s="86"/>
    </row>
    <row r="49" spans="1:8" ht="15" thickBot="1" x14ac:dyDescent="0.25">
      <c r="A49" s="341"/>
      <c r="B49" s="342"/>
      <c r="C49" s="346" t="s">
        <v>210</v>
      </c>
      <c r="D49" s="347"/>
      <c r="E49" s="81" t="s">
        <v>211</v>
      </c>
      <c r="F49" s="348" t="s">
        <v>212</v>
      </c>
      <c r="G49" s="349"/>
    </row>
    <row r="50" spans="1:8" ht="15" thickBot="1" x14ac:dyDescent="0.25">
      <c r="A50" s="87" t="s">
        <v>213</v>
      </c>
      <c r="B50" s="82" t="s">
        <v>214</v>
      </c>
      <c r="C50" s="82" t="s">
        <v>215</v>
      </c>
      <c r="D50" s="83" t="s">
        <v>214</v>
      </c>
      <c r="E50" s="83" t="s">
        <v>215</v>
      </c>
      <c r="F50" s="81" t="s">
        <v>215</v>
      </c>
      <c r="G50" s="84" t="s">
        <v>214</v>
      </c>
      <c r="H50" s="84" t="s">
        <v>215</v>
      </c>
    </row>
    <row r="51" spans="1:8" ht="28.5" customHeight="1" thickBot="1" x14ac:dyDescent="0.25">
      <c r="A51" s="88" t="s">
        <v>216</v>
      </c>
      <c r="B51" s="334" t="s">
        <v>217</v>
      </c>
      <c r="C51" s="335"/>
      <c r="D51" s="334" t="s">
        <v>218</v>
      </c>
      <c r="E51" s="336"/>
      <c r="F51" s="336"/>
      <c r="G51" s="336"/>
      <c r="H51" s="335"/>
    </row>
    <row r="52" spans="1:8" ht="43.5" thickBot="1" x14ac:dyDescent="0.25">
      <c r="A52" s="88" t="s">
        <v>219</v>
      </c>
      <c r="B52" s="334" t="s">
        <v>220</v>
      </c>
      <c r="C52" s="335"/>
      <c r="D52" s="85" t="s">
        <v>221</v>
      </c>
      <c r="E52" s="85" t="s">
        <v>222</v>
      </c>
      <c r="F52" s="85" t="s">
        <v>222</v>
      </c>
      <c r="G52" s="85" t="s">
        <v>221</v>
      </c>
      <c r="H52" s="85" t="s">
        <v>222</v>
      </c>
    </row>
    <row r="53" spans="1:8" ht="15" thickBot="1" x14ac:dyDescent="0.25">
      <c r="A53" s="88" t="s">
        <v>223</v>
      </c>
      <c r="B53" s="334" t="s">
        <v>224</v>
      </c>
      <c r="C53" s="335"/>
      <c r="D53" s="334" t="s">
        <v>210</v>
      </c>
      <c r="E53" s="335"/>
      <c r="F53" s="85" t="s">
        <v>225</v>
      </c>
      <c r="G53" s="334" t="s">
        <v>226</v>
      </c>
      <c r="H53" s="335"/>
    </row>
    <row r="54" spans="1:8" ht="15" thickBot="1" x14ac:dyDescent="0.25">
      <c r="A54" s="88" t="s">
        <v>163</v>
      </c>
      <c r="B54" s="334" t="s">
        <v>227</v>
      </c>
      <c r="C54" s="336"/>
      <c r="D54" s="336"/>
      <c r="E54" s="336"/>
      <c r="F54" s="335"/>
      <c r="G54" s="334" t="s">
        <v>228</v>
      </c>
      <c r="H54" s="335"/>
    </row>
    <row r="55" spans="1:8" ht="42.75" x14ac:dyDescent="0.2">
      <c r="A55" s="142" t="s">
        <v>833</v>
      </c>
      <c r="B55" s="79" t="s">
        <v>230</v>
      </c>
      <c r="C55" s="337" t="s">
        <v>233</v>
      </c>
      <c r="D55" s="79" t="s">
        <v>230</v>
      </c>
      <c r="E55" s="337" t="s">
        <v>233</v>
      </c>
      <c r="F55" s="337" t="s">
        <v>233</v>
      </c>
      <c r="G55" s="79" t="s">
        <v>236</v>
      </c>
      <c r="H55" s="337" t="s">
        <v>233</v>
      </c>
    </row>
    <row r="56" spans="1:8" ht="42.75" x14ac:dyDescent="0.2">
      <c r="A56" s="89" t="s">
        <v>229</v>
      </c>
      <c r="B56" s="90" t="s">
        <v>835</v>
      </c>
      <c r="C56" s="350"/>
      <c r="D56" s="79" t="s">
        <v>234</v>
      </c>
      <c r="E56" s="350"/>
      <c r="F56" s="350"/>
      <c r="G56" s="79" t="s">
        <v>237</v>
      </c>
      <c r="H56" s="350"/>
    </row>
    <row r="57" spans="1:8" ht="42.75" x14ac:dyDescent="0.2">
      <c r="A57" s="89"/>
      <c r="B57" s="79" t="s">
        <v>231</v>
      </c>
      <c r="C57" s="350"/>
      <c r="D57" s="79" t="s">
        <v>231</v>
      </c>
      <c r="E57" s="350"/>
      <c r="F57" s="350"/>
      <c r="G57" s="79" t="s">
        <v>238</v>
      </c>
      <c r="H57" s="350"/>
    </row>
    <row r="58" spans="1:8" ht="15" thickBot="1" x14ac:dyDescent="0.25">
      <c r="A58" s="88"/>
      <c r="B58" s="85" t="s">
        <v>232</v>
      </c>
      <c r="C58" s="338"/>
      <c r="D58" s="85" t="s">
        <v>235</v>
      </c>
      <c r="E58" s="338"/>
      <c r="F58" s="338"/>
      <c r="G58" s="85"/>
      <c r="H58" s="338"/>
    </row>
    <row r="59" spans="1:8" ht="42.75" x14ac:dyDescent="0.2">
      <c r="A59" s="142" t="s">
        <v>834</v>
      </c>
      <c r="B59" s="337" t="s">
        <v>233</v>
      </c>
      <c r="C59" s="351">
        <v>1.0999999999999999E-2</v>
      </c>
      <c r="D59" s="337" t="s">
        <v>233</v>
      </c>
      <c r="E59" s="354">
        <v>1.0999999999999999E-2</v>
      </c>
      <c r="F59" s="354">
        <v>3.9E-2</v>
      </c>
      <c r="G59" s="337" t="s">
        <v>233</v>
      </c>
      <c r="H59" s="79" t="s">
        <v>236</v>
      </c>
    </row>
    <row r="60" spans="1:8" ht="42.75" x14ac:dyDescent="0.2">
      <c r="A60" s="89" t="s">
        <v>229</v>
      </c>
      <c r="B60" s="350"/>
      <c r="C60" s="352"/>
      <c r="D60" s="350"/>
      <c r="E60" s="355"/>
      <c r="F60" s="355"/>
      <c r="G60" s="350"/>
      <c r="H60" s="79" t="s">
        <v>237</v>
      </c>
    </row>
    <row r="61" spans="1:8" ht="43.5" thickBot="1" x14ac:dyDescent="0.25">
      <c r="A61" s="88"/>
      <c r="B61" s="338"/>
      <c r="C61" s="353"/>
      <c r="D61" s="338"/>
      <c r="E61" s="356"/>
      <c r="F61" s="356"/>
      <c r="G61" s="338"/>
      <c r="H61" s="85" t="s">
        <v>238</v>
      </c>
    </row>
    <row r="62" spans="1:8" ht="127.5" customHeight="1" x14ac:dyDescent="0.2">
      <c r="A62" s="89" t="s">
        <v>240</v>
      </c>
      <c r="B62" s="337" t="s">
        <v>233</v>
      </c>
      <c r="C62" s="365" t="s">
        <v>242</v>
      </c>
      <c r="D62" s="337" t="s">
        <v>233</v>
      </c>
      <c r="E62" s="337" t="s">
        <v>233</v>
      </c>
      <c r="F62" s="337" t="s">
        <v>233</v>
      </c>
      <c r="G62" s="337" t="s">
        <v>233</v>
      </c>
      <c r="H62" s="337" t="s">
        <v>243</v>
      </c>
    </row>
    <row r="63" spans="1:8" ht="15" thickBot="1" x14ac:dyDescent="0.25">
      <c r="A63" s="88" t="s">
        <v>241</v>
      </c>
      <c r="B63" s="338"/>
      <c r="C63" s="366"/>
      <c r="D63" s="338"/>
      <c r="E63" s="338"/>
      <c r="F63" s="338"/>
      <c r="G63" s="338"/>
      <c r="H63" s="338"/>
    </row>
    <row r="64" spans="1:8" ht="15" thickBot="1" x14ac:dyDescent="0.25">
      <c r="A64" s="88" t="s">
        <v>244</v>
      </c>
      <c r="B64" s="334" t="s">
        <v>245</v>
      </c>
      <c r="C64" s="336"/>
      <c r="D64" s="336"/>
      <c r="E64" s="336"/>
      <c r="F64" s="336"/>
      <c r="G64" s="336"/>
      <c r="H64" s="335"/>
    </row>
    <row r="65" spans="1:8" ht="14.25" customHeight="1" x14ac:dyDescent="0.2">
      <c r="A65" s="357" t="s">
        <v>246</v>
      </c>
      <c r="B65" s="359" t="s">
        <v>247</v>
      </c>
      <c r="C65" s="360"/>
      <c r="D65" s="360"/>
      <c r="E65" s="360"/>
      <c r="F65" s="360"/>
      <c r="G65" s="360"/>
      <c r="H65" s="361"/>
    </row>
    <row r="66" spans="1:8" ht="15" thickBot="1" x14ac:dyDescent="0.25">
      <c r="A66" s="358"/>
      <c r="B66" s="362" t="s">
        <v>248</v>
      </c>
      <c r="C66" s="363"/>
      <c r="D66" s="363"/>
      <c r="E66" s="363"/>
      <c r="F66" s="363"/>
      <c r="G66" s="363"/>
      <c r="H66" s="364"/>
    </row>
    <row r="67" spans="1:8" ht="14.25" customHeight="1" x14ac:dyDescent="0.2">
      <c r="A67" s="357" t="s">
        <v>249</v>
      </c>
      <c r="B67" s="359" t="s">
        <v>250</v>
      </c>
      <c r="C67" s="360"/>
      <c r="D67" s="360"/>
      <c r="E67" s="360"/>
      <c r="F67" s="360"/>
      <c r="G67" s="360"/>
      <c r="H67" s="361"/>
    </row>
    <row r="68" spans="1:8" ht="15" thickBot="1" x14ac:dyDescent="0.25">
      <c r="A68" s="358"/>
      <c r="B68" s="362" t="s">
        <v>251</v>
      </c>
      <c r="C68" s="363"/>
      <c r="D68" s="363"/>
      <c r="E68" s="363"/>
      <c r="F68" s="363"/>
      <c r="G68" s="363"/>
      <c r="H68" s="364"/>
    </row>
    <row r="69" spans="1:8" ht="28.5" customHeight="1" x14ac:dyDescent="0.2">
      <c r="A69" s="357" t="s">
        <v>252</v>
      </c>
      <c r="B69" s="359" t="s">
        <v>253</v>
      </c>
      <c r="C69" s="360"/>
      <c r="D69" s="361"/>
      <c r="E69" s="359" t="s">
        <v>254</v>
      </c>
      <c r="F69" s="360"/>
      <c r="G69" s="360"/>
      <c r="H69" s="361"/>
    </row>
    <row r="70" spans="1:8" ht="28.5" customHeight="1" x14ac:dyDescent="0.2">
      <c r="A70" s="367"/>
      <c r="B70" s="368"/>
      <c r="C70" s="369"/>
      <c r="D70" s="370"/>
      <c r="E70" s="368" t="s">
        <v>255</v>
      </c>
      <c r="F70" s="369"/>
      <c r="G70" s="369"/>
      <c r="H70" s="370"/>
    </row>
    <row r="71" spans="1:8" ht="28.5" customHeight="1" thickBot="1" x14ac:dyDescent="0.25">
      <c r="A71" s="358"/>
      <c r="B71" s="362"/>
      <c r="C71" s="363"/>
      <c r="D71" s="364"/>
      <c r="E71" s="362" t="s">
        <v>256</v>
      </c>
      <c r="F71" s="363"/>
      <c r="G71" s="363"/>
      <c r="H71" s="364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2019-12-20T13:14:53Z</dcterms:modified>
</cp:coreProperties>
</file>